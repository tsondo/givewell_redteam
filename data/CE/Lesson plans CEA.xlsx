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CEA (Rwanda)" sheetId="2" r:id="rId6"/>
    <sheet state="visible" name="CEA (SSA)" sheetId="3" r:id="rId7"/>
    <sheet state="visible" name="Calculation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tc={526b4530-2232-443d-ac17-b53b2de43ea6}</author>
  </authors>
  <commentList>
    <comment authorId="0" xr:uid="{526b4530-2232-443d-ac17-b53b2de43ea6}" ref="A1">
      <text>
        <t xml:space="preserve">[Threaded comment]
 Your version of Excel allows you to read this threaded comment; however, any edits to it will get removed if the file is opened in a newer version of Excel. Learn more: https://go.microsoft.com/fwlink/?linkid=870924
Comment:
	@sam@charityentrepreneurship.com If I do an average of growth rates over the past 30 years taking World Bank and IMF data, and the average of IMF projections (which this is currently just based on) then I get 4.76% (See calculations tab). 
Do you think this is more reasonable?
Reply:
	Marked as resolved
Reply:
	Re-opened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tc={0a915f0b-8ad6-4255-abd1-cb58f996b073}</author>
    <author>tc={0b75654a-2145-4f00-9f79-b3fa4d8ad1bc}</author>
    <author>tc={141b8b21-b0c7-46f6-b261-2d9bf8e9e3cc}</author>
    <author>tc={1481e943-2f0d-4d28-ab20-f5859d81e817}</author>
    <author>tc={198fa4f0-72fa-441b-9e17-ed795f1ace09}</author>
    <author>tc={19d4c7f6-478d-4f1e-be0e-c3ddbe3c1e3e}</author>
    <author>tc={1cb813e3-6add-4e8a-86ed-1279b140a0f4}</author>
    <author>tc={23ee848d-d80e-418b-a35d-7825abe51fa2}</author>
    <author>tc={2c4e19a7-772a-47d8-9d17-e2479db09fcc}</author>
    <author>tc={2e18124e-ccd9-404d-a705-46e7f468e577}</author>
    <author>tc={2eda6dce-acfa-42fc-bae1-abcf41583b7d}</author>
    <author>tc={34904105-1f23-4d5c-a199-27bb643d7db7}</author>
    <author>tc={35ccb80b-709e-4418-9b9e-79a061589fc3}</author>
    <author>tc={36dfa808-43ce-4b5a-9924-7e6ea098ba51}</author>
    <author>tc={479c03fa-9c30-4a02-a24d-f62a31e41f61}</author>
    <author>tc={4d6f3b8b-9338-4d44-8504-7b7adc714696}</author>
    <author>tc={5d65b48f-03d1-4609-bf42-eb18aae6a8fb}</author>
    <author>tc={691b9f5b-f94b-49ee-ab77-8d01539b1204}</author>
    <author>tc={81ebefa4-267d-4649-abdc-1d9127748b27}</author>
    <author>tc={847197eb-dd48-48db-968b-e39c90fb9f00}</author>
    <author>tc={866023db-df4c-4761-8d74-6686e77db86f}</author>
    <author>tc={9368de74-4694-4eff-a489-b8d62fbd844d}</author>
    <author>tc={9b6264ad-c8ab-43e6-9fab-6dfc967cd66a}</author>
    <author>tc={9e20157c-05fc-4f5b-9b42-7122e80de9c7}</author>
    <author>tc={9f0ee7d1-02dc-4ce7-b659-2410444f53fd}</author>
    <author>tc={aa7a4001-d6f7-420a-93cf-c5e903be0921}</author>
    <author>tc={aed19296-49d9-4ee0-b461-6be7817b9ad9}</author>
    <author>tc={aee71c3a-8a37-4608-b58a-6bc76d576f96}</author>
    <author>tc={b8fa46aa-2183-4c2c-98f1-80bfebd1eec7}</author>
    <author>tc={ba7c893f-d738-4432-8620-f665f99ef744}</author>
    <author>tc={cb1e5a5f-b91a-405c-8923-d7d5c84b1c3b}</author>
    <author>tc={d32063da-dd6f-4575-88ac-e01b14d21a02}</author>
    <author>tc={d8bd6cb9-db82-4c05-9983-afdc8bc01a3d}</author>
    <author>tc={d9230939-7092-41cb-b935-70a069f31763}</author>
    <author>tc={dbb30e05-8105-4c19-8c95-5abcd8d32c92}</author>
    <author>tc={e98da22a-4692-413b-a026-791ea37f62d0}</author>
    <author>tc={f1a96586-7f5d-4381-bfea-cda3625869b1}</author>
    <author>tc={f34c9853-9c7b-4396-8f25-41f7d9d2cfc0}</author>
    <author>tc={f5d0fab1-332a-4787-9e50-17daac62805d}</author>
  </authors>
  <commentList>
    <comment authorId="0" xr:uid="{0a915f0b-8ad6-4255-abd1-cb58f996b073}" ref="D82">
      <text>
        <t xml:space="preserve">[Threaded comment]
 Your version of Excel allows you to read this threaded comment; however, any edits to it will get removed if the file is opened in a newer version of Excel. Learn more: https://go.microsoft.com/fwlink/?linkid=870924
Comment:
	why * b3?
</t>
      </text>
    </comment>
    <comment authorId="1" xr:uid="{0b75654a-2145-4f00-9f79-b3fa4d8ad1bc}" ref="C58">
      <text>
        <t xml:space="preserve">[Threaded comment]
 Your version of Excel allows you to read this threaded comment; however, any edits to it will get removed if the file is opened in a newer version of Excel. Learn more: https://go.microsoft.com/fwlink/?linkid=870924
Comment:
	You haven't removed it -- you're using it for costs (as you should). So could you please make this text black again and instead explain what each discount rate applies to, and what the rationale is?
</t>
      </text>
    </comment>
    <comment authorId="2" xr:uid="{141b8b21-b0c7-46f6-b261-2d9bf8e9e3cc}" ref="A101">
      <text>
        <t xml:space="preserve">[Threaded comment]
 Your version of Excel allows you to read this threaded comment; however, any edits to it will get removed if the file is opened in a newer version of Excel. Learn more: https://go.microsoft.com/fwlink/?linkid=870924
Comment:
	Why ignore growth not caused by intervention?
Reply:
	It would make the modelling harder and not affect the results much
</t>
      </text>
    </comment>
    <comment authorId="3" xr:uid="{1481e943-2f0d-4d28-ab20-f5859d81e817}" ref="A74">
      <text>
        <t xml:space="preserve">[Threaded comment]
 Your version of Excel allows you to read this threaded comment; however, any edits to it will get removed if the file is opened in a newer version of Excel. Learn more: https://go.microsoft.com/fwlink/?linkid=870924
Comment:
	This note mentions accounting for economic growth and alcohol use but I don't see either of those?
</t>
      </text>
    </comment>
    <comment authorId="4" xr:uid="{198fa4f0-72fa-441b-9e17-ed795f1ace09}" ref="B110">
      <text>
        <t xml:space="preserve">[Threaded comment]
 Your version of Excel allows you to read this threaded comment; however, any edits to it will get removed if the file is opened in a newer version of Excel. Learn more: https://go.microsoft.com/fwlink/?linkid=870924
Comment:
	Both Sam and Vicky weight the GDP model &gt; than the income model, even though the report says that income correlations should be taken more seriously than broader economic ones?
</t>
      </text>
    </comment>
    <comment authorId="5" xr:uid="{19d4c7f6-478d-4f1e-be0e-c3ddbe3c1e3e}" ref="B57">
      <text>
        <t xml:space="preserve">[Threaded comment]
 Your version of Excel allows you to read this threaded comment; however, any edits to it will get removed if the file is opened in a newer version of Excel. Learn more: https://go.microsoft.com/fwlink/?linkid=870924
Comment:
	Does this mean 80% of teachers do it 100% of the time, or 100% of teachers do it 80% of the time, or X% of teachers do it Y% of the time, where XY = 80%? Surely there are different in terms of their impact on effect size?
If what you mean is "reduction in effect size due to imperfect enforcement" maybe just say that?
</t>
      </text>
    </comment>
    <comment authorId="6" xr:uid="{1cb813e3-6add-4e8a-86ed-1279b140a0f4}" ref="B107">
      <text>
        <t xml:space="preserve">[Threaded comment]
 Your version of Excel allows you to read this threaded comment; however, any edits to it will get removed if the file is opened in a newer version of Excel. Learn more: https://go.microsoft.com/fwlink/?linkid=870924
Comment:
	As far as I can tell, probability of success is applied to costs and not benefits (and so this is ~20% too optimistic). 
Also, the probability of success is irrelevant in a charity that’s modelled such that benefits are directly proportional to cost, and both benefits and costs are directly proportional to probability of success..
</t>
      </text>
    </comment>
    <comment authorId="7" xr:uid="{23ee848d-d80e-418b-a35d-7825abe51fa2}" ref="K82">
      <text>
        <t xml:space="preserve">[Threaded comment]
 Your version of Excel allows you to read this threaded comment; however, any edits to it will get removed if the file is opened in a newer version of Excel. Learn more: https://go.microsoft.com/fwlink/?linkid=870924
Comment:
	At scale costs are made up of 70% fixed costs ($1.8m/yr), which is crazily large. Are you sure this is most likely scenario?
</t>
      </text>
    </comment>
    <comment authorId="8" xr:uid="{2c4e19a7-772a-47d8-9d17-e2479db09fcc}" ref="A59">
      <text>
        <t xml:space="preserve">[Threaded comment]
 Your version of Excel allows you to read this threaded comment; however, any edits to it will get removed if the file is opened in a newer version of Excel. Learn more: https://go.microsoft.com/fwlink/?linkid=870924
Comment:
	Please explain more clearly
</t>
      </text>
    </comment>
    <comment authorId="9" xr:uid="{2e18124e-ccd9-404d-a705-46e7f468e577}" ref="B22">
      <text>
        <t xml:space="preserve">[Threaded comment]
 Your version of Excel allows you to read this threaded comment; however, any edits to it will get removed if the file is opened in a newer version of Excel. Learn more: https://go.microsoft.com/fwlink/?linkid=870924
Comment:
	Assumes 100% enrolment. Surely there are many unenrolled and many enrolled by never / almost never attending?
</t>
      </text>
    </comment>
    <comment authorId="10" xr:uid="{2eda6dce-acfa-42fc-bae1-abcf41583b7d}" ref="J74">
      <text>
        <t xml:space="preserve">[Threaded comment]
 Your version of Excel allows you to read this threaded comment; however, any edits to it will get removed if the file is opened in a newer version of Excel. Learn more: https://go.microsoft.com/fwlink/?linkid=870924
Comment:
	Assumes no GDP growth, which is a big assumption over 8 years no?
Reply:
	Why does this start at year 9? This appears to model for a child who starts in year 1 (if it were the average for a child receiving the intervention, it would start lower as only a small % of the total children would have started accruing benefits in this year). Given this, shouldn't they start getting benefit after the 7 "years until benefit starts"?
</t>
      </text>
    </comment>
    <comment authorId="11" xr:uid="{34904105-1f23-4d5c-a199-27bb643d7db7}" ref="C11">
      <text>
        <t xml:space="preserve">[Threaded comment]
 Your version of Excel allows you to read this threaded comment; however, any edits to it will get removed if the file is opened in a newer version of Excel. Learn more: https://go.microsoft.com/fwlink/?linkid=870924
Comment:
	Needs more staff
</t>
      </text>
    </comment>
    <comment authorId="12" xr:uid="{35ccb80b-709e-4418-9b9e-79a061589fc3}" ref="A12">
      <text>
        <t xml:space="preserve">[Threaded comment]
 Your version of Excel allows you to read this threaded comment; however, any edits to it will get removed if the file is opened in a newer version of Excel. Learn more: https://go.microsoft.com/fwlink/?linkid=870924
Comment:
	Please explain this more thoroughly. What does this cost buy you?
Reply:
	From the study it appears to be the cost of teacher's guides only. How do you get to a cost of teacher's guides per student? Is this taking the cost of DEVELOPING the guide and dividing by the number of student who end up using it? (if so, this should be modelled as a fixed cost, rather than a truly variable one). Is this is cost of providing the physical lesson plan to the school/class? If so the cost should be modelled per school/class rather than per student.
</t>
      </text>
    </comment>
    <comment authorId="13" xr:uid="{36dfa808-43ce-4b5a-9924-7e6ea098ba51}" ref="B101">
      <text>
        <t xml:space="preserve">[Threaded comment]
 Your version of Excel allows you to read this threaded comment; however, any edits to it will get removed if the file is opened in a newer version of Excel. Learn more: https://go.microsoft.com/fwlink/?linkid=870924
Comment:
	There's a REF error in the formula
Reply:
	As far as I can tell this is deliberate and covered by the IFERROR
</t>
      </text>
    </comment>
    <comment authorId="14" xr:uid="{479c03fa-9c30-4a02-a24d-f62a31e41f61}" ref="B78">
      <text>
        <t xml:space="preserve">[Threaded comment]
 Your version of Excel allows you to read this threaded comment; however, any edits to it will get removed if the file is opened in a newer version of Excel. Learn more: https://go.microsoft.com/fwlink/?linkid=870924
Comment:
	Wait forgive me if I'm wrong, but this is the total discounted benefits per child over 37 years. And this number is factored into the yearly benefit below. Does this not massively double count? i.e. should you not divide this number by 37 to get the yearly benefit to be used below?
Reply:
	Oh yeah that makes sense! Good catch, thanks! No wonder it looked so cost-effective haha.
Divided by 37 now!
Reply:
	Wait, maybe it should be divided by 30 rather than 37 as the impacts last for 30 years?
Reply:
	I think you can make a case for either tbh.
Reply:
	Ok I've thought about it more and I might be being stupid but is it double counting if we're reaching new kids each year?
Reply:
	Ohh I see what you're saying. So the assumptions you are making are: every kid you reach will be a new kid every year (which seems unlikely, my guess is you'll teach the same kid for a few years in one school, and the effects won't compound every year). Also then you haven't discounted correctly the kid you teach at year 20 in the program vs the kid you teach at year 7. This is now saying, if every kid I teach now (for one year), then these are the cumulative income benefits over 30 years for that kid. So I guess the yearly benefits below, you would still have to discount them? haha this is very confusing
Reply:
	Answer seems to be somewhere in the middle, where dividing by 30 is too harsh, but not dividing is too lenient (because you would actually teach the same kid for more than a year)
Reply:
	and then maybe a discount is missing. because the first number encapsulates the discounted income of an individual, but the second doesn't encapsulate the discount of WHEN you teach that kid. i.e.
</t>
      </text>
    </comment>
    <comment authorId="15" xr:uid="{4d6f3b8b-9338-4d44-8504-7b7adc714696}" ref="C13">
      <text>
        <t xml:space="preserve">[Threaded comment]
 Your version of Excel allows you to read this threaded comment; however, any edits to it will get removed if the file is opened in a newer version of Excel. Learn more: https://go.microsoft.com/fwlink/?linkid=870924
Comment:
	Could this at least be built up from assumptions around how long it takes to train, how much the teachers need to be payed to attend training and how much trainers need to be paid to attend?
</t>
      </text>
    </comment>
    <comment authorId="16" xr:uid="{5d65b48f-03d1-4609-bf42-eb18aae6a8fb}" ref="B11">
      <text>
        <t xml:space="preserve">[Threaded comment]
 Your version of Excel allows you to read this threaded comment; however, any edits to it will get removed if the file is opened in a newer version of Excel. Learn more: https://go.microsoft.com/fwlink/?linkid=870924
Comment:
	Both this and SMS charity have the at scale staff costs as less than the insect charity. I find this really hard to believe. (I think the insect charity should come down)
</t>
      </text>
    </comment>
    <comment authorId="17" xr:uid="{691b9f5b-f94b-49ee-ab77-8d01539b1204}" ref="C56">
      <text>
        <t xml:space="preserve">[Threaded comment]
 Your version of Excel allows you to read this threaded comment; however, any edits to it will get removed if the file is opened in a newer version of Excel. Learn more: https://go.microsoft.com/fwlink/?linkid=870924
Comment:
	What does this model implicitly assume happens to the students when a teacher doesn't show up? Do they just go home / sit there unsupervised doing no learning, or do they join other classes, also taught by trained teachers, such that they're still getting the lesson plan intervention?
Reply:
	The model assumes they get no learning
</t>
      </text>
    </comment>
    <comment authorId="18" xr:uid="{81ebefa4-267d-4649-abdc-1d9127748b27}" ref="B68">
      <text>
        <t xml:space="preserve">[Threaded comment]
 Your version of Excel allows you to read this threaded comment; however, any edits to it will get removed if the file is opened in a newer version of Excel. Learn more: https://go.microsoft.com/fwlink/?linkid=870924
Comment:
	I think this is the number that should be used below?
</t>
      </text>
    </comment>
    <comment authorId="19" xr:uid="{847197eb-dd48-48db-968b-e39c90fb9f00}" ref="F62">
      <text>
        <t xml:space="preserve">[Threaded comment]
 Your version of Excel allows you to read this threaded comment; however, any edits to it will get removed if the file is opened in a newer version of Excel. Learn more: https://go.microsoft.com/fwlink/?linkid=870924
Comment:
	@sam@charityentrepreneurship.com 
Hard to find a good data source for "median household consumption".
If I use "Final consumption expenditure" and divide this by the total population then I get per capita consumption of $735.51
I could use this number instead?
Reply:
	https://data.worldbank.org/indicator/NE.CON.TOTL.CD?locations=RW
</t>
      </text>
    </comment>
    <comment authorId="20" xr:uid="{866023db-df4c-4761-8d74-6686e77db86f}" ref="B22">
      <text>
        <t xml:space="preserve">[Threaded comment]
 Your version of Excel allows you to read this threaded comment; however, any edits to it will get removed if the file is opened in a newer version of Excel. Learn more: https://go.microsoft.com/fwlink/?linkid=870924
Comment:
	Split up
</t>
      </text>
    </comment>
    <comment authorId="21" xr:uid="{9368de74-4694-4eff-a489-b8d62fbd844d}" ref="C95">
      <text>
        <t xml:space="preserve">[Threaded comment]
 Your version of Excel allows you to read this threaded comment; however, any edits to it will get removed if the file is opened in a newer version of Excel. Learn more: https://go.microsoft.com/fwlink/?linkid=870924
Comment:
	Why?
</t>
      </text>
    </comment>
    <comment authorId="22" xr:uid="{9b6264ad-c8ab-43e6-9fab-6dfc967cd66a}" ref="B46">
      <text>
        <t xml:space="preserve">[Threaded comment]
 Your version of Excel allows you to read this threaded comment; however, any edits to it will get removed if the file is opened in a newer version of Excel. Learn more: https://go.microsoft.com/fwlink/?linkid=870924
Comment:
	Am I correct to say currently this assume no teacher turnover? Might have to train a lot more teachers per school. Though I think currently your costs modelled suggest you're retraining teachers every year. so maybe that assumes 100% teacher turnover?
Reply:
	Yes I guess it does kind of assume 100% teacher turnover currently
</t>
      </text>
    </comment>
    <comment authorId="23" xr:uid="{9e20157c-05fc-4f5b-9b42-7122e80de9c7}" ref="A1">
      <text>
        <t xml:space="preserve">[Threaded comment]
 Your version of Excel allows you to read this threaded comment; however, any edits to it will get removed if the file is opened in a newer version of Excel. Learn more: https://go.microsoft.com/fwlink/?linkid=870924
Comment:
	Please insect description of exactly what version of what this intervention could be is being modelled
</t>
      </text>
    </comment>
    <comment authorId="24" xr:uid="{9f0ee7d1-02dc-4ce7-b659-2410444f53fd}" ref="C82">
      <text>
        <t xml:space="preserve">[Threaded comment]
 Your version of Excel allows you to read this threaded comment; however, any edits to it will get removed if the file is opened in a newer version of Excel. Learn more: https://go.microsoft.com/fwlink/?linkid=870924
Comment:
	In this formula, the cost per teacher is being multiplied by the number of schools and not teachers?
</t>
      </text>
    </comment>
    <comment authorId="25" xr:uid="{aa7a4001-d6f7-420a-93cf-c5e903be0921}" ref="B9">
      <text>
        <t xml:space="preserve">[Threaded comment]
 Your version of Excel allows you to read this threaded comment; however, any edits to it will get removed if the file is opened in a newer version of Excel. Learn more: https://go.microsoft.com/fwlink/?linkid=870924
Comment:
	@vicky@charityentrepreneurship.com thoughts?
Reply:
	Sure :)
</t>
      </text>
    </comment>
    <comment authorId="26" xr:uid="{aed19296-49d9-4ee0-b461-6be7817b9ad9}" ref="C120">
      <text>
        <t xml:space="preserve">[Threaded comment]
 Your version of Excel allows you to read this threaded comment; however, any edits to it will get removed if the file is opened in a newer version of Excel. Learn more: https://go.microsoft.com/fwlink/?linkid=870924
Comment:
	Please explain these few calculations
</t>
      </text>
    </comment>
    <comment authorId="27" xr:uid="{aee71c3a-8a37-4608-b58a-6bc76d576f96}" ref="C56">
      <text>
        <t xml:space="preserve">[Threaded comment]
 Your version of Excel allows you to read this threaded comment; however, any edits to it will get removed if the file is opened in a newer version of Excel. Learn more: https://go.microsoft.com/fwlink/?linkid=870924
Comment:
	Assuming 1 day a week is a bit of an underestimate -&gt; changed to 2 days
</t>
      </text>
    </comment>
    <comment authorId="28" xr:uid="{b8fa46aa-2183-4c2c-98f1-80bfebd1eec7}" ref="B48">
      <text>
        <t xml:space="preserve">[Threaded comment]
 Your version of Excel allows you to read this threaded comment; however, any edits to it will get removed if the file is opened in a newer version of Excel. Learn more: https://go.microsoft.com/fwlink/?linkid=870924
Comment:
	@vicky@charityentrepreneurship.com is this reasonable
Reply:
	Seems okay to me!
</t>
      </text>
    </comment>
    <comment authorId="29" xr:uid="{ba7c893f-d738-4432-8620-f665f99ef744}" ref="A95">
      <text>
        <t xml:space="preserve">[Threaded comment]
 Your version of Excel allows you to read this threaded comment; however, any edits to it will get removed if the file is opened in a newer version of Excel. Learn more: https://go.microsoft.com/fwlink/?linkid=870924
Comment:
	Spell out what it's a delay to
</t>
      </text>
    </comment>
    <comment authorId="30" xr:uid="{cb1e5a5f-b91a-405c-8923-d7d5c84b1c3b}" ref="C47">
      <text>
        <t xml:space="preserve">[Threaded comment]
 Your version of Excel allows you to read this threaded comment; however, any edits to it will get removed if the file is opened in a newer version of Excel. Learn more: https://go.microsoft.com/fwlink/?linkid=870924
Comment:
	Instead of linking to a defunct internal report, please cite the specific piece(s) of evidence this came from
</t>
      </text>
    </comment>
    <comment authorId="31" xr:uid="{d32063da-dd6f-4575-88ac-e01b14d21a02}" ref="B93">
      <text>
        <t xml:space="preserve">[Threaded comment]
 Your version of Excel allows you to read this threaded comment; however, any edits to it will get removed if the file is opened in a newer version of Excel. Learn more: https://go.microsoft.com/fwlink/?linkid=870924
Comment:
	Please explain what effect this effect size is for
</t>
      </text>
    </comment>
    <comment authorId="32" xr:uid="{d8bd6cb9-db82-4c05-9983-afdc8bc01a3d}" ref="B88">
      <text>
        <t xml:space="preserve">[Threaded comment]
 Your version of Excel allows you to read this threaded comment; however, any edits to it will get removed if the file is opened in a newer version of Excel. Learn more: https://go.microsoft.com/fwlink/?linkid=870924
Comment:
	Do the income benefits in the future not need to by discounted?
Reply:
	Maybe I'm wrong, but I don't see the 4% applying to the benefits
Reply:
	OH I see it in B57 now gotcha
</t>
      </text>
    </comment>
    <comment authorId="33" xr:uid="{d9230939-7092-41cb-b935-70a069f31763}" ref="C13">
      <text>
        <t xml:space="preserve">[Threaded comment]
 Your version of Excel allows you to read this threaded comment; however, any edits to it will get removed if the file is opened in a newer version of Excel. Learn more: https://go.microsoft.com/fwlink/?linkid=870924
Comment:
	Can we get a better number for this? Do teachers need training once or every year?
</t>
      </text>
    </comment>
    <comment authorId="34" xr:uid="{dbb30e05-8105-4c19-8c95-5abcd8d32c92}" ref="A56">
      <text>
        <t xml:space="preserve">[Threaded comment]
 Your version of Excel allows you to read this threaded comment; however, any edits to it will get removed if the file is opened in a newer version of Excel. Learn more: https://go.microsoft.com/fwlink/?linkid=870924
Comment:
	Not clear where this and enforcement are playing into the results?
</t>
      </text>
    </comment>
    <comment authorId="35" xr:uid="{e98da22a-4692-413b-a026-791ea37f62d0}" ref="C22">
      <text>
        <t xml:space="preserve">[Threaded comment]
 Your version of Excel allows you to read this threaded comment; however, any edits to it will get removed if the file is opened in a newer version of Excel. Learn more: https://go.microsoft.com/fwlink/?linkid=870924
Comment:
	Split into separate lines
</t>
      </text>
    </comment>
    <comment authorId="36" xr:uid="{f1a96586-7f5d-4381-bfea-cda3625869b1}" ref="B89">
      <text>
        <t xml:space="preserve">[Threaded comment]
 Your version of Excel allows you to read this threaded comment; however, any edits to it will get removed if the file is opened in a newer version of Excel. Learn more: https://go.microsoft.com/fwlink/?linkid=870924
Comment:
	As far as I can tell, probability of success is applied to costs and not benefits (and so this is ~20% too optimistic). 
Also, the probability of success is irrelevant in a charity that’s modelled such that benefits are directly proportional to cost, and both benefits and costs are directly proportional to probability of success..
</t>
      </text>
    </comment>
    <comment authorId="37" xr:uid="{f34c9853-9c7b-4396-8f25-41f7d9d2cfc0}" ref="B15">
      <text>
        <t xml:space="preserve">[Threaded comment]
 Your version of Excel allows you to read this threaded comment; however, any edits to it will get removed if the file is opened in a newer version of Excel. Learn more: https://go.microsoft.com/fwlink/?linkid=870924
Comment:
	Should probably flag that this isn't currently connected to formulae so changing this doesn't change things
Reply:
	How do we square this with 5 years for IPV and 6 years for insects? It's all quite inconsistent with no transparency of reasoning for the inconsistency
</t>
      </text>
    </comment>
    <comment authorId="38" xr:uid="{f5d0fab1-332a-4787-9e50-17daac62805d}" ref="A93">
      <text>
        <t xml:space="preserve">[Threaded comment]
 Your version of Excel allows you to read this threaded comment; however, any edits to it will get removed if the file is opened in a newer version of Excel. Learn more: https://go.microsoft.com/fwlink/?linkid=870924
Comment:
	@vicky@charityscience.com Why was this only applied on the economic growth model and not the income model?
Reply:
	That's a great question which I don't have a good answer for!
1 total reaction
Filip Murár reacted with 🙃 at 2025-01-02 15:38 PM
Reply:
	Sorry, I just realised I was dumb - It is applied in row 83 for Model 1 (Same calculation as is done here but in the formula for number of children reached instead of using it as a separate multiplier)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tc={0f68502e-f6ca-4471-82e5-08d193bf3a8e}</author>
  </authors>
  <commentList>
    <comment authorId="0" xr:uid="{0f68502e-f6ca-4471-82e5-08d193bf3a8e}" ref="D77">
      <text>
        <t xml:space="preserve">[Threaded comment]
 Your version of Excel allows you to read this threaded comment; however, any edits to it will get removed if the file is opened in a newer version of Excel. Learn more: https://go.microsoft.com/fwlink/?linkid=870924
Comment:
	I think the current value in that tab is 0.25, so this is wrong.
Also, this shouldn't be hard-coded; it should refer to the CEA tab.
Reply:
	Yes you're right it is 0.25, oops!
Reply:
	I've changed it and linked it to the relevant tab now
</t>
      </text>
    </comment>
  </commentList>
</comments>
</file>

<file path=xl/sharedStrings.xml><?xml version="1.0" encoding="utf-8"?>
<sst xmlns="http://schemas.openxmlformats.org/spreadsheetml/2006/main" count="809" uniqueCount="341">
  <si>
    <t>Rwanda</t>
  </si>
  <si>
    <t>Average country in SSA</t>
  </si>
  <si>
    <t>AVG</t>
  </si>
  <si>
    <t>Notes / explanation</t>
  </si>
  <si>
    <t>Costs</t>
  </si>
  <si>
    <t>Benefits</t>
  </si>
  <si>
    <t>Benefits higher in SSA average case as average salary is higher than in Rwanda so an intervention that sees a % increase in salaries is more beneficial</t>
  </si>
  <si>
    <t>BCR</t>
  </si>
  <si>
    <t>Benefits rise more than costs for SSA average case as some costs fixed regardless of country, so a higher BCR in SSA average case</t>
  </si>
  <si>
    <t>$/DALY equivalent</t>
  </si>
  <si>
    <t>Difference not as extreme as BCR as the total increase in income means less to a wealthier cohort</t>
  </si>
  <si>
    <t>Inputs</t>
  </si>
  <si>
    <t>Expected</t>
  </si>
  <si>
    <t>Description</t>
  </si>
  <si>
    <t>Testing/pilot costs</t>
  </si>
  <si>
    <t>Duration of testing/pilot period (in years)</t>
  </si>
  <si>
    <t>Suggested areas for improvement if more time:</t>
  </si>
  <si>
    <t>Fixed charity costs</t>
  </si>
  <si>
    <t>Best guess</t>
  </si>
  <si>
    <t>• Review costs, Try to get better numbers for "costs of lesson plans". For example does it make sense that at scale costs are 70% fixed costs; "Cost of lesson plans per child" could be modelled per classroom rather than per child; and "Cost of lesson plans per teacher" could look at how much training actually costs</t>
  </si>
  <si>
    <t>• Review the "Delay (years before any effect on growth in economy)" on "method 2".</t>
  </si>
  <si>
    <t>At scale costs</t>
  </si>
  <si>
    <t>Years delay to design program and lesson plans</t>
  </si>
  <si>
    <t>Years to reach scale</t>
  </si>
  <si>
    <t>Staff costs</t>
  </si>
  <si>
    <t>Costs roughly based on 4 staff members plus additional buffer. These costs will increase each year during scale up ie. Staff costs will be $225,000 in year 2, $550,000 in year 3, and so on until scale is reached in year 9.</t>
  </si>
  <si>
    <t>Cost of lesson plans per child</t>
  </si>
  <si>
    <t>https://www.sciencedirect.com/science/article/pii/S0305750X18300287</t>
  </si>
  <si>
    <t>Cost of lesson plans per teacher</t>
  </si>
  <si>
    <t>Assume some training and delivery costs (best guess)</t>
  </si>
  <si>
    <t>Years until benefit starts</t>
  </si>
  <si>
    <t>See calculations tab</t>
  </si>
  <si>
    <t>Charity years operating</t>
  </si>
  <si>
    <t>Best guess, note this has very little effect on the results</t>
  </si>
  <si>
    <t>Number of years to model impact for</t>
  </si>
  <si>
    <t>Number of years each child needs to receive intervention to receive full benefit</t>
  </si>
  <si>
    <t>Duration of compulsory education in SSA (World Bank)</t>
  </si>
  <si>
    <t>Reach</t>
  </si>
  <si>
    <t>Total number of primary schools in Rwanda</t>
  </si>
  <si>
    <t>https://www.mineduc.gov.rw/basic-education</t>
  </si>
  <si>
    <t>Total number of primary school aged children in school in Rwanda</t>
  </si>
  <si>
    <t>Basic Education</t>
  </si>
  <si>
    <t>Number of children per school</t>
  </si>
  <si>
    <t>Calculation: Total number of children / total number of schools</t>
  </si>
  <si>
    <t>Student-teacher ratio</t>
  </si>
  <si>
    <r>
      <rPr/>
      <t>Each teacher teaches 58.34 students (</t>
    </r>
    <r>
      <rPr>
        <color rgb="FF1155CC"/>
        <u/>
      </rPr>
      <t>https://ourworldindata.org/grapher/pupil-teacher-ratio-for-primary-education-by-country?tab=table</t>
    </r>
    <r>
      <rPr/>
      <t>)</t>
    </r>
  </si>
  <si>
    <t>Number of teachers per school</t>
  </si>
  <si>
    <t>Calculation: Number of children per school / student-teacher ratio</t>
  </si>
  <si>
    <t>% of schools reached in pilot</t>
  </si>
  <si>
    <r>
      <rPr/>
      <t>Assume we work with 1% of schools during pilot (</t>
    </r>
    <r>
      <rPr>
        <color rgb="FF1155CC"/>
        <u/>
      </rPr>
      <t>Bridge International did this in their pilot in Kenya</t>
    </r>
    <r>
      <rPr/>
      <t>)</t>
    </r>
  </si>
  <si>
    <t>% of schools reached at scale</t>
  </si>
  <si>
    <r>
      <rPr>
        <rFont val="Arial"/>
        <color theme="1"/>
      </rPr>
      <t xml:space="preserve">Assume we can work with 50% of schools at scale (best guess). </t>
    </r>
    <r>
      <rPr>
        <rFont val="Arial"/>
        <b/>
        <color theme="1"/>
      </rPr>
      <t>Note: This is currently decoupled from fixed staff costs. If you decrease this, you'll presumably need to decrease staff costs too</t>
    </r>
  </si>
  <si>
    <t>Might be lower</t>
  </si>
  <si>
    <t>Number of schools worked with during pilot</t>
  </si>
  <si>
    <t>Calculation: Number of schools * % of schools worked with</t>
  </si>
  <si>
    <t>Number of schools worked with in year 2</t>
  </si>
  <si>
    <t>Number of schools worked with in year 3</t>
  </si>
  <si>
    <t>Number of schools worked with in year 4</t>
  </si>
  <si>
    <t>Number of schools worked with in year 5</t>
  </si>
  <si>
    <t>Number of schools worked with in year 6</t>
  </si>
  <si>
    <t>Number of schools worked with in year 7</t>
  </si>
  <si>
    <t>Number of schools worked with in year 8</t>
  </si>
  <si>
    <t>Number of schools worked with at scale</t>
  </si>
  <si>
    <t>Number of children reached during pilot</t>
  </si>
  <si>
    <t>Calculation: Number of children per school * number of schools worked with during pilot</t>
  </si>
  <si>
    <t>Number of children worked with in year 2</t>
  </si>
  <si>
    <t>Number of children worked with in year 3</t>
  </si>
  <si>
    <t>Number of children worked with in year 4</t>
  </si>
  <si>
    <t>Number of children worked with in year 5</t>
  </si>
  <si>
    <t>Number of children worked with in year 6</t>
  </si>
  <si>
    <t>Number of children worked with in year 7</t>
  </si>
  <si>
    <t>Number of children worked with in year 8</t>
  </si>
  <si>
    <t>Number of children reached at scale</t>
  </si>
  <si>
    <t>Calculation: Number of children per school * number of schools worked with at scale</t>
  </si>
  <si>
    <t>Number of teachers reached during pilot</t>
  </si>
  <si>
    <t>Calculation: Number of teachers per school * number of schools worked with during pilot</t>
  </si>
  <si>
    <t>Number of teachers reached at scale</t>
  </si>
  <si>
    <t>Calculation: Number of teachers per school * number of schools worked with at scale</t>
  </si>
  <si>
    <t>Effect of lesson plans on test scores (SDs)</t>
  </si>
  <si>
    <t>See data in Section 4.2 of final lesson plans report</t>
  </si>
  <si>
    <t>External validity adjustment</t>
  </si>
  <si>
    <t>Effect of lesson plans on test scores (SDs) – adjusted</t>
  </si>
  <si>
    <t>Calculation</t>
  </si>
  <si>
    <t>Total spent at testing during pilot</t>
  </si>
  <si>
    <t>Total spent per year when at scale</t>
  </si>
  <si>
    <t>Probability of success following pilot</t>
  </si>
  <si>
    <t>This is the probability of success that we will get government buy in following our pilot in private schools. We need this government buy in to reach scale as we plan to scale by working in government schools. Note given the pilot is only a very small part of the total costs this does not affect the end result much.</t>
  </si>
  <si>
    <t>Net attendance of primary schools (Children)</t>
  </si>
  <si>
    <t>Note: We have removed this factor as it seems to be accounted for in the estimates above on the number of children per school.</t>
  </si>
  <si>
    <t>Net attendance of primary schools (Teachers)</t>
  </si>
  <si>
    <r>
      <rPr/>
      <t>8-9% teachers report absenteeism "at least once a week" (</t>
    </r>
    <r>
      <rPr>
        <color rgb="FF1155CC"/>
        <u/>
      </rPr>
      <t>Time to Teach: Rwanda</t>
    </r>
    <r>
      <rPr/>
      <t>) -&gt; Assume absent 1.5 days per week (best guess)
Reported absenteeism based on findings of World Bank researchers who turned up to schools unannounced is higher than the rate self-reported by teachers</t>
    </r>
    <r>
      <rPr>
        <color rgb="FF000000"/>
      </rPr>
      <t xml:space="preserve"> (</t>
    </r>
    <r>
      <rPr>
        <color rgb="FF1155CC"/>
        <u/>
      </rPr>
      <t>World Bank</t>
    </r>
    <r>
      <rPr/>
      <t>). Multiplier applied to account for this underreporting on the 8-9% number is calculated in the Calculations tab under "Teacher attendance".</t>
    </r>
  </si>
  <si>
    <t>reduction in effect size due to imperfect usage of lesson plans</t>
  </si>
  <si>
    <t>Discount rate</t>
  </si>
  <si>
    <t>Held constant across CEAs (from GiveWell)</t>
  </si>
  <si>
    <t>Discount rate (assuming income increase tracks growth)</t>
  </si>
  <si>
    <t>We use this reduced income rate for modelling benefits in "Method 1". The income rate we use is a combination of a pure time preference factor (to account for sonner being better) a factor that accounts for future uncertainty and a factor that accounts for future growth (as benefits to richer scoieties are less valuable). But we expect that income effects will track economic growth and go up in time. As such we use a lower discount rate to account only for uncertainty (1%) and pure time preference (0%)</t>
  </si>
  <si>
    <t>Income effects</t>
  </si>
  <si>
    <t>Baseline per capita income</t>
  </si>
  <si>
    <t>https://data.worldbank.org/indicator/NY.GDP.PCAP.CD?locations=RW</t>
  </si>
  <si>
    <t>Total population in Rwanda</t>
  </si>
  <si>
    <t>https://data.worldbank.org/indicator/SP.POP.TOTL?locations=RW</t>
  </si>
  <si>
    <t>Moral weights</t>
  </si>
  <si>
    <t>GiveWell moral weight: Doubled years of income equivalent in DALYs</t>
  </si>
  <si>
    <t>https://docs.google.com/spreadsheets/d/1epyGHcuM9A7YjtddVpEPByBs_lxFY5fh1FQbVLlPneA/edit#gid=171561146</t>
  </si>
  <si>
    <t>DALY value assigned to doubling consumption for one person for one year</t>
  </si>
  <si>
    <t>METHOD 1 – BASED ON INCOME EFFECTS</t>
  </si>
  <si>
    <t>Income increase from 1 SD increase in test scores</t>
  </si>
  <si>
    <r>
      <rPr/>
      <t>Using lower end estimate from most cited study on the income effects of improved test scores: 1 SD improvement in test scores leads to a 10-45% income increase (</t>
    </r>
    <r>
      <rPr>
        <color rgb="FF1155CC"/>
        <u/>
      </rPr>
      <t>Hanushek et al., 2016</t>
    </r>
    <r>
      <rPr/>
      <t>)</t>
    </r>
  </si>
  <si>
    <t>Calculations – Net present value of economic benefits</t>
  </si>
  <si>
    <t>Year</t>
  </si>
  <si>
    <t>Increased income per child (for a child that starts in year 1)</t>
  </si>
  <si>
    <t>% of annual income this represents</t>
  </si>
  <si>
    <t>Net present value of economic benefits per child per intervention</t>
  </si>
  <si>
    <t>Net present value of economic benefits per child per year of intervention</t>
  </si>
  <si>
    <t>Calculations – Per capita income increase version</t>
  </si>
  <si>
    <t>Charity costs</t>
  </si>
  <si>
    <t>Number of children reach in each year</t>
  </si>
  <si>
    <t>Economic benefit</t>
  </si>
  <si>
    <t>Outputs – Per capita income increase version</t>
  </si>
  <si>
    <t>Total discounted costs</t>
  </si>
  <si>
    <t>Total discounted benefit</t>
  </si>
  <si>
    <t>Benefit-cost ratio</t>
  </si>
  <si>
    <t>METHOD 2 – BASED ON ECONOMIC GROWTH</t>
  </si>
  <si>
    <t>Effect size (accounting for all the factors that reduce the effect)</t>
  </si>
  <si>
    <t>Total income of whole population</t>
  </si>
  <si>
    <t>Delay (years before any effect on growth in economy)</t>
  </si>
  <si>
    <t>From CEA tab but divided by 2 and rounded up as will start having an effect even before 7 years</t>
  </si>
  <si>
    <t>Economic growth per year assuming 100% of population affected</t>
  </si>
  <si>
    <t>Calculations – Economic growth version</t>
  </si>
  <si>
    <t>% of schools reached</t>
  </si>
  <si>
    <t>Total income of country (ignore growth not caused by intervention)</t>
  </si>
  <si>
    <t>Economic effect of the intervention</t>
  </si>
  <si>
    <t>Outputs – Economic growth version</t>
  </si>
  <si>
    <t>Outputs – Combined</t>
  </si>
  <si>
    <t>WEIGHTINGS</t>
  </si>
  <si>
    <t>Vicky</t>
  </si>
  <si>
    <t>Sam</t>
  </si>
  <si>
    <t>Average</t>
  </si>
  <si>
    <t>↓ Play around with weightings here</t>
  </si>
  <si>
    <t>Income model</t>
  </si>
  <si>
    <t>GDP model</t>
  </si>
  <si>
    <r>
      <rPr>
        <rFont val="Arial"/>
        <b/>
        <color theme="1"/>
      </rPr>
      <t>Note:</t>
    </r>
    <r>
      <rPr>
        <rFont val="Arial"/>
        <color theme="1"/>
      </rPr>
      <t xml:space="preserve"> The income model has much more evidence behind it. The GDP model suggests much smaller effects. We end up weighting the GDP model more, in large part to make our overall estimate very conservative, and still show that it passes our bar compared to other charities. I expect other models would not be as conservative.</t>
    </r>
  </si>
  <si>
    <t>Comparison: GDP model is ___% of income model</t>
  </si>
  <si>
    <t>Weighted average economic benefits</t>
  </si>
  <si>
    <t>Weighted average benefit-cost ratio</t>
  </si>
  <si>
    <t>Per person % increase in income per year that effect lasts</t>
  </si>
  <si>
    <t>Per person average $ increase in income per year that effect lasts</t>
  </si>
  <si>
    <t>Number of person years of increased income across affected population</t>
  </si>
  <si>
    <t>DALY equivalent of increase in income</t>
  </si>
  <si>
    <t>DALYs/$1000</t>
  </si>
  <si>
    <t>A new charity introducing lesson plans into schools in an average country in SSA. The charity will do a pilot in its first year in private schools, then take the results of this pilot to governments and ask to pilot it and scale it up in government schools.</t>
  </si>
  <si>
    <t>Total number of schools in average country in SSA</t>
  </si>
  <si>
    <t>Number of children out of school in SSA</t>
  </si>
  <si>
    <t>% of children out of school in SSA</t>
  </si>
  <si>
    <t>Total number of primary school aged children in average country in SSA</t>
  </si>
  <si>
    <t>I couldn't find information on the total number of primary school aged children in the average country in SSA, so instead I used the number of children out of school and as we know that 6% of primary school aged children are out of school, we can calculate the total number of primary school aged children
Calculation: Number of children out of school / % of children out of school</t>
  </si>
  <si>
    <r>
      <rPr>
        <rFont val="Arial"/>
      </rPr>
      <t>Each teacher teaches 41.67 students (</t>
    </r>
    <r>
      <rPr>
        <rFont val="Arial"/>
        <color rgb="FF1155CC"/>
        <u/>
      </rPr>
      <t>https://ourworldindata.org/grapher/pupil-teacher-ratio-for-primary-education-by-country?tab=table</t>
    </r>
    <r>
      <rPr>
        <rFont val="Arial"/>
      </rPr>
      <t>)</t>
    </r>
  </si>
  <si>
    <r>
      <rPr/>
      <t>Assume we work with 1% of schools during pilot (</t>
    </r>
    <r>
      <rPr>
        <color rgb="FF1155CC"/>
        <u/>
      </rPr>
      <t>Bridge International did this in their pilot in Kenya</t>
    </r>
    <r>
      <rPr/>
      <t>)</t>
    </r>
  </si>
  <si>
    <t>Assume we can work with 50% of schools at scale (best guess)</t>
  </si>
  <si>
    <r>
      <rPr>
        <rFont val="Arial"/>
      </rPr>
      <t>14.5-14.7% teachers report absenteeism "at least once a week" (</t>
    </r>
    <r>
      <rPr>
        <rFont val="Arial"/>
        <color rgb="FF1155CC"/>
        <u/>
      </rPr>
      <t>Time to Teach: West and Central Africa</t>
    </r>
    <r>
      <rPr>
        <rFont val="Arial"/>
      </rPr>
      <t>). 15.5-15.7% teachers report absenteeism "at least once a week" (</t>
    </r>
    <r>
      <rPr>
        <rFont val="Arial"/>
        <color rgb="FF1155CC"/>
        <u/>
      </rPr>
      <t xml:space="preserve">Time to Teach: Eastern and Southern Africa).
</t>
    </r>
    <r>
      <rPr>
        <rFont val="Arial"/>
      </rPr>
      <t>-&gt; Assume absent 1.5 days per week (best guess)
Reported absenteeism of 21.7-56% based on findings of World Bank researchers who turned up to schools unannounced</t>
    </r>
    <r>
      <rPr>
        <rFont val="Arial"/>
        <color rgb="FF000000"/>
      </rPr>
      <t xml:space="preserve"> (</t>
    </r>
    <r>
      <rPr>
        <rFont val="Arial"/>
        <color rgb="FF1155CC"/>
        <u/>
      </rPr>
      <t>World Ban</t>
    </r>
    <r>
      <rPr>
        <rFont val="Arial"/>
      </rPr>
      <t xml:space="preserve">k). </t>
    </r>
  </si>
  <si>
    <t>Per capita income</t>
  </si>
  <si>
    <t>Total population in average country in SSA</t>
  </si>
  <si>
    <t>Value assigned to doubling consumption for one person for one year</t>
  </si>
  <si>
    <r>
      <rPr/>
      <t>Using lower end estimate from most cited study on the income effects of improved test scores: 1 SD improvement in test scores leads to a 10-45% income increase (</t>
    </r>
    <r>
      <rPr>
        <color rgb="FF1155CC"/>
        <u/>
      </rPr>
      <t>Hanushek et al., 2016</t>
    </r>
    <r>
      <rPr/>
      <t>)</t>
    </r>
  </si>
  <si>
    <t>Increased income per child</t>
  </si>
  <si>
    <t>Effect size (accouning for all the factors that reduce the effect)</t>
  </si>
  <si>
    <t xml:space="preserve">Calculation </t>
  </si>
  <si>
    <r>
      <rPr>
        <rFont val="Arial"/>
        <b/>
        <color theme="1"/>
      </rPr>
      <t>Note:</t>
    </r>
    <r>
      <rPr>
        <rFont val="Arial"/>
        <color theme="1"/>
      </rPr>
      <t xml:space="preserve"> The income model has much more evidence behind it. The GDP model suggests much smaller effects. We end up weighting the GDP model more, in large part to make our overall estimate very conservative, and still show that it passes our bar compared to other charities. I expect other models would not be as conservative.</t>
    </r>
  </si>
  <si>
    <t>Returns to education (Additional years of schooling -&gt; Income increase)</t>
  </si>
  <si>
    <t>Findings</t>
  </si>
  <si>
    <t>Source</t>
  </si>
  <si>
    <t>Notes</t>
  </si>
  <si>
    <t>additional year of schooling</t>
  </si>
  <si>
    <t xml:space="preserve"> = </t>
  </si>
  <si>
    <t>income increase</t>
  </si>
  <si>
    <r>
      <rPr>
        <color rgb="FF1155CC"/>
        <u/>
      </rPr>
      <t>Woodleigh Impact</t>
    </r>
    <r>
      <rPr/>
      <t xml:space="preserve"> (informed by Psacharopoulos and Patrinos &amp; World Bank)</t>
    </r>
  </si>
  <si>
    <r>
      <rPr>
        <color rgb="FF1155CC"/>
        <u/>
      </rPr>
      <t>EA Quebec</t>
    </r>
    <r>
      <rPr/>
      <t xml:space="preserve"> (using </t>
    </r>
    <r>
      <rPr>
        <color rgb="FF1155CC"/>
        <u/>
      </rPr>
      <t>Duflo, 2017</t>
    </r>
    <r>
      <rPr/>
      <t>)</t>
    </r>
  </si>
  <si>
    <t>income increase (World average)</t>
  </si>
  <si>
    <t>Psacharopoulos and Patrinos, 2018</t>
  </si>
  <si>
    <t>income increase (in SSA)</t>
  </si>
  <si>
    <t>additional year of schooling (Primary school)</t>
  </si>
  <si>
    <t>World Bank, 2014</t>
  </si>
  <si>
    <t>Filmer and Schady, 2014</t>
  </si>
  <si>
    <t>AVERAGE</t>
  </si>
  <si>
    <t>Returns to education (SD increase in test scores = Additional years of schooling)</t>
  </si>
  <si>
    <t>SD increase in test scores</t>
  </si>
  <si>
    <t xml:space="preserve"> =</t>
  </si>
  <si>
    <t>additional years of schooling</t>
  </si>
  <si>
    <r>
      <rPr>
        <color rgb="FF1155CC"/>
        <u/>
      </rPr>
      <t>Woodleigh Impact</t>
    </r>
    <r>
      <rPr/>
      <t xml:space="preserve"> (using </t>
    </r>
    <r>
      <rPr>
        <color rgb="FF1155CC"/>
        <u/>
      </rPr>
      <t>Sabbates et al., 2018</t>
    </r>
    <r>
      <rPr/>
      <t>)</t>
    </r>
  </si>
  <si>
    <t>1.666666667 to 6.9 additional years of schooling</t>
  </si>
  <si>
    <r>
      <rPr>
        <color rgb="FF1155CC"/>
        <u/>
      </rPr>
      <t>EA Quebec</t>
    </r>
    <r>
      <rPr/>
      <t xml:space="preserve"> (using </t>
    </r>
    <r>
      <rPr>
        <color rgb="FF1155CC"/>
        <u/>
      </rPr>
      <t>Duflo, 2017</t>
    </r>
    <r>
      <rPr/>
      <t>)</t>
    </r>
  </si>
  <si>
    <t>8.4 to 10.5 additional years of schooling</t>
  </si>
  <si>
    <r>
      <rPr>
        <color rgb="FF1155CC"/>
        <u/>
      </rPr>
      <t>EA Quebec</t>
    </r>
    <r>
      <rPr/>
      <t xml:space="preserve"> (using </t>
    </r>
    <r>
      <rPr>
        <color rgb="FF1155CC"/>
        <u/>
      </rPr>
      <t>World Bank, 2014</t>
    </r>
    <r>
      <rPr/>
      <t xml:space="preserve"> and </t>
    </r>
    <r>
      <rPr>
        <color rgb="FF1155CC"/>
        <u/>
      </rPr>
      <t>Hanushek et al., 2016</t>
    </r>
    <r>
      <rPr/>
      <t>)</t>
    </r>
  </si>
  <si>
    <t>1 to 4.5 additional years of schooling</t>
  </si>
  <si>
    <t>Returns to education (SD increase in test scores -&gt; Income increase)</t>
  </si>
  <si>
    <t>Hanushek et al., 2013</t>
  </si>
  <si>
    <t>12% to 25%</t>
  </si>
  <si>
    <t>Hanushek et al., 2016</t>
  </si>
  <si>
    <t>10% to 45%</t>
  </si>
  <si>
    <t>Founders Pledge</t>
  </si>
  <si>
    <t>1 to 25%</t>
  </si>
  <si>
    <r>
      <rPr>
        <color rgb="FF1155CC"/>
        <u/>
      </rPr>
      <t>EA Quebec</t>
    </r>
    <r>
      <rPr/>
      <t xml:space="preserve"> (using </t>
    </r>
    <r>
      <rPr>
        <color rgb="FF1155CC"/>
        <u/>
      </rPr>
      <t>Bettinger et al., 2014</t>
    </r>
    <r>
      <rPr/>
      <t xml:space="preserve"> and 2017 [Unpublished; Cited by FP and GW in their reports])</t>
    </r>
  </si>
  <si>
    <t>$D$19*D4</t>
  </si>
  <si>
    <t>$D$19*D5</t>
  </si>
  <si>
    <t>$D$19*D6</t>
  </si>
  <si>
    <t>$D$19*D7</t>
  </si>
  <si>
    <t>$D$19*D8</t>
  </si>
  <si>
    <t>$D$19*D9</t>
  </si>
  <si>
    <t>$D$19*D10</t>
  </si>
  <si>
    <t>$D$19*D11</t>
  </si>
  <si>
    <t>$D$19*D12</t>
  </si>
  <si>
    <t>$D$19*D13</t>
  </si>
  <si>
    <t>$D$19*D14</t>
  </si>
  <si>
    <t>$D$19*D15</t>
  </si>
  <si>
    <t>$D$20*D4</t>
  </si>
  <si>
    <t>$D$20*D5</t>
  </si>
  <si>
    <t>$D$20*D6</t>
  </si>
  <si>
    <t>$D$20*D7</t>
  </si>
  <si>
    <t>$D$20*D8</t>
  </si>
  <si>
    <t>$D$20*D9</t>
  </si>
  <si>
    <t>$D$20*D10</t>
  </si>
  <si>
    <t>$D$20*D11</t>
  </si>
  <si>
    <t>$D$20*D12</t>
  </si>
  <si>
    <t>$D$20*D13</t>
  </si>
  <si>
    <t>$D$20*D14</t>
  </si>
  <si>
    <t>$D$20*D15</t>
  </si>
  <si>
    <t>$D$21*D4</t>
  </si>
  <si>
    <t>$D$21*D5</t>
  </si>
  <si>
    <t>$D$21*D6</t>
  </si>
  <si>
    <t>$D$21*D7</t>
  </si>
  <si>
    <t>$D$21*D8</t>
  </si>
  <si>
    <t>$D$21*D9</t>
  </si>
  <si>
    <t>$D$21*D10</t>
  </si>
  <si>
    <t>$D$21*D11</t>
  </si>
  <si>
    <t>$D$21*D12</t>
  </si>
  <si>
    <t>$D$21*D13</t>
  </si>
  <si>
    <t>$D$21*D14</t>
  </si>
  <si>
    <t>$D$21*D15</t>
  </si>
  <si>
    <t>METHOD 2 – BASED ON GDP EFFECTS</t>
  </si>
  <si>
    <t>Returns to education -&gt; GDP impacts</t>
  </si>
  <si>
    <t>Period</t>
  </si>
  <si>
    <t>increase in GDP over an 80-year period (in terms of the present value of future GDP)</t>
  </si>
  <si>
    <r>
      <rPr/>
      <t>The Knowledge Capital of Nations, Hanushek [</t>
    </r>
    <r>
      <rPr>
        <color rgb="FF1155CC"/>
        <u/>
      </rPr>
      <t>Cited by FP, pg. 51</t>
    </r>
    <r>
      <rPr/>
      <t>].</t>
    </r>
  </si>
  <si>
    <t>"This approach results in an estimate that a 25-point increase in scores on PISA, a prominent international test, for the entire population (a quarter of a standard deviation) would lead to GDP being on average 6% higher over an 80-year period, or that wages for all workers would be 12% higher." AND  "Separately address objections related to causality in a number of ways, to argue that the relationship between cognitive skills and growth established found above is mostly causal."</t>
  </si>
  <si>
    <t>increase in wages over an 80-year period (in terms of the present value of future GDP)</t>
  </si>
  <si>
    <r>
      <rPr/>
      <t>The Knowledge Capital of Nations, Hanushek [</t>
    </r>
    <r>
      <rPr>
        <color rgb="FF1155CC"/>
        <u/>
      </rPr>
      <t>Cited by FP, pg. 51</t>
    </r>
    <r>
      <rPr/>
      <t>].</t>
    </r>
  </si>
  <si>
    <t>Hanushek et. al 2012</t>
  </si>
  <si>
    <r>
      <rPr>
        <rFont val="Arial"/>
        <color rgb="FF000000"/>
      </rPr>
      <t xml:space="preserve">increase in GDP </t>
    </r>
    <r>
      <rPr>
        <rFont val="Arial"/>
        <color rgb="FF000000"/>
      </rPr>
      <t>over 40 years</t>
    </r>
  </si>
  <si>
    <t>Calculation using above data in line below assuming no diminishing marginal return</t>
  </si>
  <si>
    <r>
      <rPr>
        <rFont val="Arial"/>
        <color rgb="FF000000"/>
      </rPr>
      <t xml:space="preserve">increase in GDP </t>
    </r>
    <r>
      <rPr>
        <rFont val="Arial"/>
        <color rgb="FF000000"/>
      </rPr>
      <t>over 40 years</t>
    </r>
  </si>
  <si>
    <t>Hanushek et. al 2008</t>
  </si>
  <si>
    <t>Effect of this intervention on test scores</t>
  </si>
  <si>
    <t>From CEA tab</t>
  </si>
  <si>
    <t>Assume diminishing marginal returns and decrease additional effect by:</t>
  </si>
  <si>
    <t>Assumption</t>
  </si>
  <si>
    <r>
      <rPr>
        <rFont val="Arial"/>
        <color rgb="FF000000"/>
      </rPr>
      <t xml:space="preserve">increase in GDP </t>
    </r>
    <r>
      <rPr>
        <rFont val="Arial"/>
        <color rgb="FF000000"/>
      </rPr>
      <t>over 40 years</t>
    </r>
  </si>
  <si>
    <t>Number of years delay before intervention has an effect:</t>
  </si>
  <si>
    <t>per year economic growth after delay</t>
  </si>
  <si>
    <t>Number of papers showing a positive effect on cross country models</t>
  </si>
  <si>
    <t>Number of papers showing a null effect on cross country models</t>
  </si>
  <si>
    <t>AVERAGE (ADJUSTED)</t>
  </si>
  <si>
    <t>OLD NOTES TO BE IGNORED</t>
  </si>
  <si>
    <r>
      <rPr/>
      <t>The Knowledge Capital of Nations, Hanushek [</t>
    </r>
    <r>
      <rPr>
        <color rgb="FF1155CC"/>
        <u/>
      </rPr>
      <t>Cited by FP, pg. 51</t>
    </r>
    <r>
      <rPr/>
      <t>].</t>
    </r>
  </si>
  <si>
    <t>increase in GDP annually</t>
  </si>
  <si>
    <t>I get a 0.25 increase gives</t>
  </si>
  <si>
    <t>Over a 40 year working life this would be a total salary increase of</t>
  </si>
  <si>
    <t>But most of it would be towards the end of their life under this kind of formula</t>
  </si>
  <si>
    <t>Discounting we get</t>
  </si>
  <si>
    <t>Asume 12% after 80 years</t>
  </si>
  <si>
    <t>Over a 40 year working life this would be</t>
  </si>
  <si>
    <r>
      <rPr>
        <rFont val="Arial"/>
        <color theme="1"/>
      </rPr>
      <t xml:space="preserve">increase in GDP </t>
    </r>
    <r>
      <rPr>
        <rFont val="Arial"/>
        <color rgb="FFFF0000"/>
      </rPr>
      <t>over 40 years</t>
    </r>
  </si>
  <si>
    <t>I get an effect of</t>
  </si>
  <si>
    <t>so 0.25 increase in scores is</t>
  </si>
  <si>
    <t>point increase in education capital</t>
  </si>
  <si>
    <t>decrease in GDP per worker</t>
  </si>
  <si>
    <t>OTHER</t>
  </si>
  <si>
    <t>Teacher attendance</t>
  </si>
  <si>
    <t>Country</t>
  </si>
  <si>
    <t>Reported by teachers</t>
  </si>
  <si>
    <t>Reported by World Bank</t>
  </si>
  <si>
    <t>Difference</t>
  </si>
  <si>
    <t>Kenya</t>
  </si>
  <si>
    <t>Mozambique</t>
  </si>
  <si>
    <t>Senegal</t>
  </si>
  <si>
    <t>Togo</t>
  </si>
  <si>
    <t>Madagascar</t>
  </si>
  <si>
    <t>Nigeria</t>
  </si>
  <si>
    <t>Tanzania</t>
  </si>
  <si>
    <t>Uganda</t>
  </si>
  <si>
    <t>Number of years to model impacts for</t>
  </si>
  <si>
    <t>Number of years</t>
  </si>
  <si>
    <t>Woodleigh Impact</t>
  </si>
  <si>
    <t>2 to 20</t>
  </si>
  <si>
    <t>EA Quebec</t>
  </si>
  <si>
    <t>20 to 40</t>
  </si>
  <si>
    <t>GiveWell</t>
  </si>
  <si>
    <t>Previous CE CEAs</t>
  </si>
  <si>
    <t>Delay before impacts start</t>
  </si>
  <si>
    <t>World Bank</t>
  </si>
  <si>
    <t>Duration of compulsory education in SSA</t>
  </si>
  <si>
    <t>3 to 5</t>
  </si>
  <si>
    <t>Population</t>
  </si>
  <si>
    <t>Angola</t>
  </si>
  <si>
    <t>Benin</t>
  </si>
  <si>
    <t>Botswana</t>
  </si>
  <si>
    <t>Burkina Faso</t>
  </si>
  <si>
    <t>Burundi</t>
  </si>
  <si>
    <t>Cabo Verde</t>
  </si>
  <si>
    <t>Cameroon</t>
  </si>
  <si>
    <t>Central African Republic</t>
  </si>
  <si>
    <t>Chad</t>
  </si>
  <si>
    <t>Comoros</t>
  </si>
  <si>
    <t>Congo, Dem. Rep.</t>
  </si>
  <si>
    <t>Congo, Rep.</t>
  </si>
  <si>
    <t>Cote d'Ivoire</t>
  </si>
  <si>
    <t>Equatorial Guinea</t>
  </si>
  <si>
    <t>Eritrea</t>
  </si>
  <si>
    <t>Eswatini</t>
  </si>
  <si>
    <t>Ethiopia</t>
  </si>
  <si>
    <t>Gabon</t>
  </si>
  <si>
    <t>Gambia, The</t>
  </si>
  <si>
    <t>Ghana</t>
  </si>
  <si>
    <t>Guinea</t>
  </si>
  <si>
    <t>Guinea-Bissau</t>
  </si>
  <si>
    <t>Lesotho</t>
  </si>
  <si>
    <t>Liberia</t>
  </si>
  <si>
    <t>Malawi</t>
  </si>
  <si>
    <t>Mali</t>
  </si>
  <si>
    <t>Mauritania</t>
  </si>
  <si>
    <t>Mauritius</t>
  </si>
  <si>
    <t>Namibia</t>
  </si>
  <si>
    <t>Niger</t>
  </si>
  <si>
    <t>Sao Tome and Principe</t>
  </si>
  <si>
    <t>Seychelles</t>
  </si>
  <si>
    <t>Sierra Leone</t>
  </si>
  <si>
    <t>Somalia</t>
  </si>
  <si>
    <t>South Africa</t>
  </si>
  <si>
    <t>South Sudan</t>
  </si>
  <si>
    <t>Sudan</t>
  </si>
  <si>
    <t>Zambia</t>
  </si>
  <si>
    <t>Zimbabwe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</si>
</sst>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
    <numFmt numFmtId="165" formatCode="&quot;$&quot;#,##0"/>
    <numFmt numFmtId="166" formatCode="&quot;$&quot;#,##0.00"/>
    <numFmt numFmtId="167" formatCode="0.000"/>
    <numFmt numFmtId="168" formatCode="[$$]#,##0.00"/>
    <numFmt numFmtId="169" formatCode="0.0000%"/>
    <numFmt numFmtId="170" formatCode="#,##0.000"/>
    <numFmt numFmtId="171" formatCode="0.0%"/>
  </numFmts>
  <fonts count="39">
    <font>
      <sz val="10.0"/>
      <color rgb="FF000000"/>
      <name val="Arial"/>
      <scheme val="minor"/>
    </font>
    <font>
      <b/>
      <color theme="1"/>
      <name val="Arial"/>
      <scheme val="minor"/>
    </font>
    <font>
      <color theme="1"/>
      <name val="Arial"/>
      <scheme val="minor"/>
    </font>
    <font>
      <b/>
      <color rgb="FFFFFFFF"/>
      <name val="Arial"/>
    </font>
    <font>
      <b/>
      <i/>
      <color theme="1"/>
      <name val="Arial"/>
    </font>
    <font>
      <color theme="1"/>
      <name val="Arial"/>
    </font>
    <font>
      <u/>
      <color theme="1"/>
      <name val="Arial"/>
    </font>
    <font>
      <u/>
      <color rgb="FF980000"/>
      <name val="Arial"/>
      <scheme val="minor"/>
    </font>
    <font>
      <color rgb="FF000000"/>
      <name val="Arial"/>
    </font>
    <font>
      <b/>
      <color theme="1"/>
      <name val="Arial"/>
    </font>
    <font>
      <u/>
      <color rgb="FF0000FF"/>
      <name val="Arial"/>
    </font>
    <font>
      <i/>
      <sz val="9.0"/>
      <color theme="1"/>
      <name val="Arial"/>
    </font>
    <font>
      <color rgb="FF34A853"/>
      <name val="Arial"/>
    </font>
    <font>
      <u/>
      <color rgb="FF0000FF"/>
    </font>
    <font>
      <i/>
      <sz val="9.0"/>
      <color rgb="FFFF0000"/>
      <name val="Arial"/>
    </font>
    <font>
      <color rgb="FF980000"/>
      <name val="Arial"/>
      <scheme val="minor"/>
    </font>
    <font>
      <color rgb="FF000000"/>
      <name val="Arial"/>
      <scheme val="minor"/>
    </font>
    <font>
      <b/>
      <color rgb="FFFF0000"/>
      <name val="Arial"/>
      <scheme val="minor"/>
    </font>
    <font>
      <color rgb="FFD9D9D9"/>
      <name val="Arial"/>
      <scheme val="minor"/>
    </font>
    <font>
      <b/>
      <color rgb="FFD9D9D9"/>
      <name val="Arial"/>
      <scheme val="minor"/>
    </font>
    <font>
      <u/>
      <color rgb="FF0000FF"/>
    </font>
    <font>
      <i/>
      <sz val="9.0"/>
      <color rgb="FFD9D9D9"/>
      <name val="Arial"/>
    </font>
    <font>
      <color rgb="FFD9D9D9"/>
      <name val="Arial"/>
    </font>
    <font>
      <b/>
      <i/>
      <color theme="1"/>
      <name val="Arial"/>
      <scheme val="minor"/>
    </font>
    <font>
      <u/>
      <color rgb="FF0000FF"/>
    </font>
    <font>
      <color rgb="FFFF0000"/>
      <name val="Arial"/>
      <scheme val="minor"/>
    </font>
    <font>
      <b/>
      <color rgb="FFFFFFFF"/>
      <name val="Arial"/>
      <scheme val="minor"/>
    </font>
    <font>
      <b/>
      <color rgb="FF000000"/>
      <name val="Arial"/>
    </font>
    <font>
      <color rgb="FFFF0000"/>
      <name val="Arial"/>
    </font>
    <font>
      <b/>
      <color rgb="FF000000"/>
      <name val="Arial"/>
      <scheme val="minor"/>
    </font>
    <font>
      <color rgb="FF666666"/>
      <name val="Arial"/>
      <scheme val="minor"/>
    </font>
    <font>
      <b/>
      <color rgb="FF666666"/>
      <name val="Arial"/>
      <scheme val="minor"/>
    </font>
    <font>
      <u/>
      <color rgb="FF1155CC"/>
      <name val="Arial"/>
    </font>
    <font>
      <u/>
      <color rgb="FF1155CC"/>
      <name val="Arial"/>
    </font>
    <font>
      <u/>
      <color rgb="FF0000FF"/>
      <name val="Arial"/>
    </font>
    <font>
      <color rgb="FF0000FF"/>
    </font>
    <font>
      <u/>
      <color rgb="FF0000FF"/>
    </font>
    <font>
      <b/>
      <u/>
      <color rgb="FF0000FF"/>
    </font>
    <font>
      <u/>
      <color rgb="FF0000FF"/>
      <name val="Arial"/>
    </font>
  </fonts>
  <fills count="15">
    <fill>
      <patternFill patternType="none"/>
    </fill>
    <fill>
      <patternFill patternType="lightGray"/>
    </fill>
    <fill>
      <patternFill patternType="solid">
        <fgColor rgb="FF0B5394"/>
        <bgColor rgb="FF0B5394"/>
      </patternFill>
    </fill>
    <fill>
      <patternFill patternType="solid">
        <fgColor rgb="FFEFEFEF"/>
        <bgColor rgb="FFEFEFEF"/>
      </patternFill>
    </fill>
    <fill>
      <patternFill patternType="solid">
        <fgColor rgb="FFFCE5CD"/>
        <bgColor rgb="FFFCE5CD"/>
      </patternFill>
    </fill>
    <fill>
      <patternFill patternType="solid">
        <fgColor rgb="FFFFD966"/>
        <bgColor rgb="FFFFD966"/>
      </patternFill>
    </fill>
    <fill>
      <patternFill patternType="solid">
        <fgColor rgb="FFFFFFFF"/>
        <bgColor rgb="FFFFFFFF"/>
      </patternFill>
    </fill>
    <fill>
      <patternFill patternType="solid">
        <fgColor rgb="FFC9DAF8"/>
        <bgColor rgb="FFC9DAF8"/>
      </patternFill>
    </fill>
    <fill>
      <patternFill patternType="solid">
        <fgColor rgb="FFF4CCCC"/>
        <bgColor rgb="FFF4CCCC"/>
      </patternFill>
    </fill>
    <fill>
      <patternFill patternType="solid">
        <fgColor rgb="FF3D85C6"/>
        <bgColor rgb="FF3D85C6"/>
      </patternFill>
    </fill>
    <fill>
      <patternFill patternType="solid">
        <fgColor rgb="FFCFE2F3"/>
        <bgColor rgb="FFCFE2F3"/>
      </patternFill>
    </fill>
    <fill>
      <patternFill patternType="solid">
        <fgColor rgb="FFFFF2CC"/>
        <bgColor rgb="FFFFF2CC"/>
      </patternFill>
    </fill>
    <fill>
      <patternFill patternType="solid">
        <fgColor rgb="FFFFF2E5"/>
        <bgColor rgb="FFFFF2E5"/>
      </patternFill>
    </fill>
    <fill>
      <patternFill patternType="solid">
        <fgColor rgb="FFF3F3F3"/>
        <bgColor rgb="FFF3F3F3"/>
      </patternFill>
    </fill>
    <fill>
      <patternFill patternType="solid">
        <fgColor rgb="FF351C75"/>
        <bgColor rgb="FF351C75"/>
      </patternFill>
    </fill>
  </fills>
  <borders count="4">
    <border/>
    <border>
      <right style="thin">
        <color rgb="FFEFEFEF"/>
      </right>
    </border>
    <border>
      <left style="thin">
        <color rgb="FFEFEFEF"/>
      </left>
      <right style="thin">
        <color rgb="FFEFEFEF"/>
      </right>
    </border>
    <border>
      <left style="thin">
        <color rgb="FFEFEFEF"/>
      </left>
    </border>
  </borders>
  <cellStyleXfs count="1">
    <xf borderId="0" fillId="0" fontId="0" numFmtId="0" applyAlignment="1" applyFont="1"/>
  </cellStyleXfs>
  <cellXfs count="20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shrinkToFit="0" wrapText="1"/>
    </xf>
    <xf borderId="0" fillId="0" fontId="1" numFmtId="0" xfId="0" applyAlignment="1" applyFont="1">
      <alignment readingOrder="0"/>
    </xf>
    <xf borderId="0" fillId="0" fontId="2" numFmtId="164" xfId="0" applyFont="1" applyNumberFormat="1"/>
    <xf borderId="0" fillId="0" fontId="2" numFmtId="0" xfId="0" applyAlignment="1" applyFont="1">
      <alignment readingOrder="0"/>
    </xf>
    <xf borderId="0" fillId="0" fontId="2" numFmtId="3" xfId="0" applyFont="1" applyNumberFormat="1"/>
    <xf borderId="0" fillId="2" fontId="3" numFmtId="0" xfId="0" applyAlignment="1" applyFill="1" applyFont="1">
      <alignment readingOrder="0" shrinkToFit="0" vertical="bottom" wrapText="1"/>
    </xf>
    <xf borderId="0" fillId="2" fontId="2" numFmtId="0" xfId="0" applyFont="1"/>
    <xf borderId="0" fillId="2" fontId="3" numFmtId="0" xfId="0" applyAlignment="1" applyFont="1">
      <alignment shrinkToFit="0" vertical="bottom" wrapText="1"/>
    </xf>
    <xf borderId="0" fillId="3" fontId="4" numFmtId="0" xfId="0" applyAlignment="1" applyFill="1" applyFont="1">
      <alignment readingOrder="0" vertical="bottom"/>
    </xf>
    <xf borderId="0" fillId="3" fontId="5" numFmtId="165" xfId="0" applyAlignment="1" applyFont="1" applyNumberFormat="1">
      <alignment horizontal="right" readingOrder="0" vertical="bottom"/>
    </xf>
    <xf borderId="0" fillId="3" fontId="5" numFmtId="0" xfId="0" applyAlignment="1" applyFont="1">
      <alignment readingOrder="0" shrinkToFit="0" vertical="bottom" wrapText="0"/>
    </xf>
    <xf borderId="0" fillId="3" fontId="2" numFmtId="0" xfId="0" applyFont="1"/>
    <xf borderId="0" fillId="0" fontId="6" numFmtId="0" xfId="0" applyAlignment="1" applyFont="1">
      <alignment readingOrder="0" vertical="bottom"/>
    </xf>
    <xf borderId="0" fillId="0" fontId="5" numFmtId="165" xfId="0" applyAlignment="1" applyFont="1" applyNumberFormat="1">
      <alignment horizontal="right" readingOrder="0" vertical="bottom"/>
    </xf>
    <xf borderId="0" fillId="0" fontId="5" numFmtId="0" xfId="0" applyAlignment="1" applyFont="1">
      <alignment readingOrder="0" shrinkToFit="0" vertical="bottom" wrapText="0"/>
    </xf>
    <xf borderId="0" fillId="0" fontId="5" numFmtId="0" xfId="0" applyAlignment="1" applyFont="1">
      <alignment readingOrder="0" vertical="bottom"/>
    </xf>
    <xf borderId="0" fillId="4" fontId="5" numFmtId="3" xfId="0" applyAlignment="1" applyFill="1" applyFont="1" applyNumberFormat="1">
      <alignment horizontal="right" readingOrder="0" vertical="bottom"/>
    </xf>
    <xf borderId="0" fillId="0" fontId="7" numFmtId="0" xfId="0" applyAlignment="1" applyFont="1">
      <alignment readingOrder="0"/>
    </xf>
    <xf borderId="0" fillId="0" fontId="5" numFmtId="0" xfId="0" applyAlignment="1" applyFont="1">
      <alignment vertical="bottom"/>
    </xf>
    <xf borderId="0" fillId="4" fontId="5" numFmtId="165" xfId="0" applyAlignment="1" applyFont="1" applyNumberFormat="1">
      <alignment horizontal="right" vertical="bottom"/>
    </xf>
    <xf borderId="0" fillId="0" fontId="8" numFmtId="0" xfId="0" applyAlignment="1" applyFont="1">
      <alignment readingOrder="0" vertical="bottom"/>
    </xf>
    <xf borderId="0" fillId="5" fontId="8" numFmtId="3" xfId="0" applyAlignment="1" applyFill="1" applyFont="1" applyNumberFormat="1">
      <alignment horizontal="right" readingOrder="0" vertical="bottom"/>
    </xf>
    <xf borderId="0" fillId="0" fontId="8" numFmtId="0" xfId="0" applyAlignment="1" applyFont="1">
      <alignment readingOrder="0" shrinkToFit="0" vertical="bottom" wrapText="0"/>
    </xf>
    <xf borderId="0" fillId="6" fontId="9" numFmtId="0" xfId="0" applyAlignment="1" applyFill="1" applyFont="1">
      <alignment shrinkToFit="0" vertical="bottom" wrapText="0"/>
    </xf>
    <xf borderId="0" fillId="6" fontId="5" numFmtId="0" xfId="0" applyAlignment="1" applyFont="1">
      <alignment vertical="bottom"/>
    </xf>
    <xf borderId="0" fillId="5" fontId="5" numFmtId="3" xfId="0" applyAlignment="1" applyFont="1" applyNumberFormat="1">
      <alignment horizontal="right" readingOrder="0" vertical="bottom"/>
    </xf>
    <xf borderId="0" fillId="4" fontId="5" numFmtId="165" xfId="0" applyAlignment="1" applyFont="1" applyNumberFormat="1">
      <alignment horizontal="right" readingOrder="0" vertical="bottom"/>
    </xf>
    <xf borderId="0" fillId="4" fontId="5" numFmtId="166" xfId="0" applyAlignment="1" applyFont="1" applyNumberFormat="1">
      <alignment horizontal="right" readingOrder="0" vertical="bottom"/>
    </xf>
    <xf borderId="0" fillId="0" fontId="10" numFmtId="0" xfId="0" applyAlignment="1" applyFont="1">
      <alignment readingOrder="0" shrinkToFit="0" vertical="bottom" wrapText="0"/>
    </xf>
    <xf borderId="0" fillId="5" fontId="5" numFmtId="166" xfId="0" applyAlignment="1" applyFont="1" applyNumberFormat="1">
      <alignment horizontal="right" readingOrder="0" vertical="bottom"/>
    </xf>
    <xf borderId="0" fillId="4" fontId="2" numFmtId="3" xfId="0" applyAlignment="1" applyFont="1" applyNumberFormat="1">
      <alignment readingOrder="0"/>
    </xf>
    <xf borderId="0" fillId="0" fontId="2" numFmtId="0" xfId="0" applyAlignment="1" applyFont="1">
      <alignment readingOrder="0"/>
    </xf>
    <xf borderId="0" fillId="6" fontId="11" numFmtId="0" xfId="0" applyAlignment="1" applyFont="1">
      <alignment readingOrder="0" shrinkToFit="0" vertical="bottom" wrapText="0"/>
    </xf>
    <xf borderId="0" fillId="0" fontId="5" numFmtId="0" xfId="0" applyAlignment="1" applyFont="1">
      <alignment vertical="bottom"/>
    </xf>
    <xf borderId="0" fillId="5" fontId="5" numFmtId="1" xfId="0" applyAlignment="1" applyFont="1" applyNumberFormat="1">
      <alignment horizontal="right" readingOrder="0" vertical="bottom"/>
    </xf>
    <xf borderId="0" fillId="6" fontId="12" numFmtId="0" xfId="0" applyAlignment="1" applyFont="1">
      <alignment vertical="bottom"/>
    </xf>
    <xf borderId="0" fillId="4" fontId="5" numFmtId="1" xfId="0" applyAlignment="1" applyFont="1" applyNumberFormat="1">
      <alignment horizontal="right" readingOrder="0" vertical="bottom"/>
    </xf>
    <xf borderId="0" fillId="0" fontId="5" numFmtId="0" xfId="0" applyAlignment="1" applyFont="1">
      <alignment readingOrder="0" shrinkToFit="0" vertical="bottom" wrapText="1"/>
    </xf>
    <xf borderId="0" fillId="0" fontId="2" numFmtId="3" xfId="0" applyAlignment="1" applyFont="1" applyNumberFormat="1">
      <alignment readingOrder="0"/>
    </xf>
    <xf borderId="0" fillId="0" fontId="13" numFmtId="0" xfId="0" applyAlignment="1" applyFont="1">
      <alignment readingOrder="0"/>
    </xf>
    <xf borderId="0" fillId="6" fontId="14" numFmtId="0" xfId="0" applyAlignment="1" applyFont="1">
      <alignment readingOrder="0" shrinkToFit="0" vertical="bottom" wrapText="0"/>
    </xf>
    <xf borderId="0" fillId="7" fontId="2" numFmtId="3" xfId="0" applyAlignment="1" applyFill="1" applyFont="1" applyNumberFormat="1">
      <alignment readingOrder="0"/>
    </xf>
    <xf borderId="0" fillId="4" fontId="2" numFmtId="4" xfId="0" applyAlignment="1" applyFont="1" applyNumberFormat="1">
      <alignment readingOrder="0"/>
    </xf>
    <xf borderId="0" fillId="5" fontId="2" numFmtId="9" xfId="0" applyAlignment="1" applyFont="1" applyNumberFormat="1">
      <alignment readingOrder="0"/>
    </xf>
    <xf borderId="0" fillId="8" fontId="15" numFmtId="0" xfId="0" applyAlignment="1" applyFill="1" applyFont="1">
      <alignment readingOrder="0"/>
    </xf>
    <xf borderId="0" fillId="7" fontId="16" numFmtId="4" xfId="0" applyFont="1" applyNumberFormat="1"/>
    <xf borderId="0" fillId="0" fontId="15" numFmtId="0" xfId="0" applyAlignment="1" applyFont="1">
      <alignment readingOrder="0"/>
    </xf>
    <xf borderId="0" fillId="0" fontId="2" numFmtId="4" xfId="0" applyFont="1" applyNumberFormat="1"/>
    <xf borderId="0" fillId="7" fontId="2" numFmtId="4" xfId="0" applyFont="1" applyNumberFormat="1"/>
    <xf borderId="0" fillId="0" fontId="16" numFmtId="0" xfId="0" applyAlignment="1" applyFont="1">
      <alignment readingOrder="0"/>
    </xf>
    <xf borderId="0" fillId="0" fontId="16" numFmtId="0" xfId="0" applyAlignment="1" applyFont="1">
      <alignment readingOrder="0"/>
    </xf>
    <xf borderId="0" fillId="4" fontId="16" numFmtId="2" xfId="0" applyAlignment="1" applyFont="1" applyNumberFormat="1">
      <alignment readingOrder="0"/>
    </xf>
    <xf borderId="0" fillId="5" fontId="16" numFmtId="9" xfId="0" applyAlignment="1" applyFont="1" applyNumberFormat="1">
      <alignment readingOrder="0"/>
    </xf>
    <xf borderId="0" fillId="7" fontId="16" numFmtId="167" xfId="0" applyAlignment="1" applyFont="1" applyNumberFormat="1">
      <alignment readingOrder="0"/>
    </xf>
    <xf borderId="0" fillId="0" fontId="2" numFmtId="4" xfId="0" applyAlignment="1" applyFont="1" applyNumberFormat="1">
      <alignment readingOrder="0"/>
    </xf>
    <xf borderId="0" fillId="4" fontId="2" numFmtId="168" xfId="0" applyAlignment="1" applyFont="1" applyNumberFormat="1">
      <alignment readingOrder="0"/>
    </xf>
    <xf borderId="0" fillId="0" fontId="17" numFmtId="0" xfId="0" applyAlignment="1" applyFont="1">
      <alignment readingOrder="0"/>
    </xf>
    <xf borderId="0" fillId="0" fontId="18" numFmtId="0" xfId="0" applyAlignment="1" applyFont="1">
      <alignment readingOrder="0"/>
    </xf>
    <xf borderId="0" fillId="4" fontId="18" numFmtId="9" xfId="0" applyAlignment="1" applyFont="1" applyNumberFormat="1">
      <alignment readingOrder="0"/>
    </xf>
    <xf borderId="0" fillId="0" fontId="18" numFmtId="0" xfId="0" applyAlignment="1" applyFont="1">
      <alignment readingOrder="0"/>
    </xf>
    <xf borderId="0" fillId="0" fontId="18" numFmtId="0" xfId="0" applyFont="1"/>
    <xf borderId="0" fillId="0" fontId="19" numFmtId="0" xfId="0" applyAlignment="1" applyFont="1">
      <alignment readingOrder="0"/>
    </xf>
    <xf borderId="0" fillId="4" fontId="2" numFmtId="9" xfId="0" applyAlignment="1" applyFont="1" applyNumberFormat="1">
      <alignment readingOrder="0"/>
    </xf>
    <xf borderId="0" fillId="0" fontId="20" numFmtId="0" xfId="0" applyAlignment="1" applyFont="1">
      <alignment readingOrder="0" shrinkToFit="0" wrapText="0"/>
    </xf>
    <xf borderId="0" fillId="4" fontId="16" numFmtId="9" xfId="0" applyAlignment="1" applyFont="1" applyNumberFormat="1">
      <alignment readingOrder="0"/>
    </xf>
    <xf borderId="0" fillId="6" fontId="21" numFmtId="0" xfId="0" applyAlignment="1" applyFont="1">
      <alignment shrinkToFit="0" vertical="bottom" wrapText="0"/>
    </xf>
    <xf borderId="0" fillId="6" fontId="22" numFmtId="0" xfId="0" applyAlignment="1" applyFont="1">
      <alignment vertical="bottom"/>
    </xf>
    <xf borderId="0" fillId="6" fontId="11" numFmtId="0" xfId="0" applyAlignment="1" applyFont="1">
      <alignment shrinkToFit="0" vertical="bottom" wrapText="0"/>
    </xf>
    <xf borderId="0" fillId="0" fontId="2" numFmtId="9" xfId="0" applyAlignment="1" applyFont="1" applyNumberFormat="1">
      <alignment readingOrder="0"/>
    </xf>
    <xf borderId="0" fillId="0" fontId="5" numFmtId="0" xfId="0" applyAlignment="1" applyFont="1">
      <alignment shrinkToFit="0" vertical="bottom" wrapText="0"/>
    </xf>
    <xf borderId="0" fillId="0" fontId="11" numFmtId="0" xfId="0" applyAlignment="1" applyFont="1">
      <alignment shrinkToFit="0" vertical="bottom" wrapText="0"/>
    </xf>
    <xf borderId="1" fillId="3" fontId="23" numFmtId="0" xfId="0" applyAlignment="1" applyBorder="1" applyFont="1">
      <alignment readingOrder="0"/>
    </xf>
    <xf borderId="2" fillId="3" fontId="23" numFmtId="0" xfId="0" applyAlignment="1" applyBorder="1" applyFont="1">
      <alignment readingOrder="0"/>
    </xf>
    <xf borderId="3" fillId="3" fontId="23" numFmtId="0" xfId="0" applyAlignment="1" applyBorder="1" applyFont="1">
      <alignment readingOrder="0"/>
    </xf>
    <xf borderId="0" fillId="0" fontId="24" numFmtId="0" xfId="0" applyAlignment="1" applyFont="1">
      <alignment readingOrder="0"/>
    </xf>
    <xf borderId="0" fillId="0" fontId="25" numFmtId="0" xfId="0" applyAlignment="1" applyFont="1">
      <alignment readingOrder="0"/>
    </xf>
    <xf borderId="0" fillId="0" fontId="2" numFmtId="167" xfId="0" applyAlignment="1" applyFont="1" applyNumberFormat="1">
      <alignment readingOrder="0"/>
    </xf>
    <xf borderId="0" fillId="2" fontId="26" numFmtId="0" xfId="0" applyAlignment="1" applyFont="1">
      <alignment readingOrder="0"/>
    </xf>
    <xf borderId="0" fillId="9" fontId="3" numFmtId="0" xfId="0" applyAlignment="1" applyFill="1" applyFont="1">
      <alignment readingOrder="0" shrinkToFit="0" vertical="bottom" wrapText="1"/>
    </xf>
    <xf borderId="0" fillId="0" fontId="2" numFmtId="168" xfId="0" applyAlignment="1" applyFont="1" applyNumberFormat="1">
      <alignment readingOrder="0"/>
    </xf>
    <xf borderId="0" fillId="0" fontId="16" numFmtId="168" xfId="0" applyFont="1" applyNumberFormat="1"/>
    <xf borderId="0" fillId="0" fontId="2" numFmtId="10" xfId="0" applyFont="1" applyNumberFormat="1"/>
    <xf borderId="0" fillId="7" fontId="0" numFmtId="168" xfId="0" applyFont="1" applyNumberFormat="1"/>
    <xf borderId="0" fillId="0" fontId="2" numFmtId="165" xfId="0" applyFont="1" applyNumberFormat="1"/>
    <xf borderId="0" fillId="0" fontId="8" numFmtId="164" xfId="0" applyAlignment="1" applyFont="1" applyNumberFormat="1">
      <alignment readingOrder="0" vertical="bottom"/>
    </xf>
    <xf borderId="0" fillId="0" fontId="16" numFmtId="3" xfId="0" applyAlignment="1" applyFont="1" applyNumberFormat="1">
      <alignment readingOrder="0"/>
    </xf>
    <xf borderId="0" fillId="0" fontId="16" numFmtId="3" xfId="0" applyFont="1" applyNumberFormat="1"/>
    <xf borderId="0" fillId="0" fontId="8" numFmtId="164" xfId="0" applyAlignment="1" applyFont="1" applyNumberFormat="1">
      <alignment vertical="bottom"/>
    </xf>
    <xf borderId="0" fillId="0" fontId="16" numFmtId="164" xfId="0" applyFont="1" applyNumberFormat="1"/>
    <xf borderId="0" fillId="10" fontId="2" numFmtId="164" xfId="0" applyFill="1" applyFont="1" applyNumberFormat="1"/>
    <xf borderId="0" fillId="0" fontId="2" numFmtId="168" xfId="0" applyFont="1" applyNumberFormat="1"/>
    <xf borderId="0" fillId="0" fontId="9" numFmtId="0" xfId="0" applyAlignment="1" applyFont="1">
      <alignment readingOrder="0" vertical="bottom"/>
    </xf>
    <xf borderId="0" fillId="10" fontId="1" numFmtId="4" xfId="0" applyFont="1" applyNumberFormat="1"/>
    <xf borderId="0" fillId="0" fontId="1" numFmtId="2" xfId="0" applyFont="1" applyNumberFormat="1"/>
    <xf borderId="0" fillId="0" fontId="27" numFmtId="0" xfId="0" applyAlignment="1" applyFont="1">
      <alignment readingOrder="0" shrinkToFit="0" vertical="bottom" wrapText="1"/>
    </xf>
    <xf borderId="0" fillId="0" fontId="16" numFmtId="0" xfId="0" applyFont="1"/>
    <xf borderId="0" fillId="0" fontId="8" numFmtId="0" xfId="0" applyAlignment="1" applyFont="1">
      <alignment readingOrder="0" shrinkToFit="0" vertical="bottom" wrapText="1"/>
    </xf>
    <xf borderId="0" fillId="10" fontId="16" numFmtId="9" xfId="0" applyAlignment="1" applyFont="1" applyNumberFormat="1">
      <alignment horizontal="right"/>
    </xf>
    <xf borderId="0" fillId="10" fontId="16" numFmtId="164" xfId="0" applyAlignment="1" applyFont="1" applyNumberFormat="1">
      <alignment horizontal="right"/>
    </xf>
    <xf borderId="0" fillId="0" fontId="8" numFmtId="0" xfId="0" applyAlignment="1" applyFont="1">
      <alignment readingOrder="0" shrinkToFit="0" vertical="bottom" wrapText="1"/>
    </xf>
    <xf borderId="0" fillId="4" fontId="2" numFmtId="0" xfId="0" applyAlignment="1" applyFont="1">
      <alignment horizontal="right" readingOrder="0"/>
    </xf>
    <xf borderId="0" fillId="11" fontId="16" numFmtId="169" xfId="0" applyFill="1" applyFont="1" applyNumberFormat="1"/>
    <xf borderId="0" fillId="0" fontId="16" numFmtId="10" xfId="0" applyFont="1" applyNumberFormat="1"/>
    <xf borderId="0" fillId="0" fontId="16" numFmtId="10" xfId="0" applyAlignment="1" applyFont="1" applyNumberFormat="1">
      <alignment readingOrder="0"/>
    </xf>
    <xf borderId="0" fillId="0" fontId="16" numFmtId="164" xfId="0" applyAlignment="1" applyFont="1" applyNumberFormat="1">
      <alignment readingOrder="0"/>
    </xf>
    <xf borderId="0" fillId="0" fontId="28" numFmtId="164" xfId="0" applyAlignment="1" applyFont="1" applyNumberFormat="1">
      <alignment vertical="bottom"/>
    </xf>
    <xf borderId="0" fillId="0" fontId="25" numFmtId="164" xfId="0" applyAlignment="1" applyFont="1" applyNumberFormat="1">
      <alignment readingOrder="0"/>
    </xf>
    <xf borderId="0" fillId="10" fontId="16" numFmtId="164" xfId="0" applyFont="1" applyNumberFormat="1"/>
    <xf borderId="0" fillId="0" fontId="25" numFmtId="0" xfId="0" applyFont="1"/>
    <xf borderId="0" fillId="0" fontId="27" numFmtId="0" xfId="0" applyAlignment="1" applyFont="1">
      <alignment readingOrder="0" vertical="bottom"/>
    </xf>
    <xf borderId="0" fillId="10" fontId="29" numFmtId="4" xfId="0" applyFont="1" applyNumberFormat="1"/>
    <xf borderId="0" fillId="0" fontId="17" numFmtId="0" xfId="0" applyFont="1"/>
    <xf borderId="0" fillId="0" fontId="30" numFmtId="0" xfId="0" applyAlignment="1" applyFont="1">
      <alignment readingOrder="0"/>
    </xf>
    <xf borderId="0" fillId="12" fontId="30" numFmtId="9" xfId="0" applyAlignment="1" applyFill="1" applyFont="1" applyNumberFormat="1">
      <alignment readingOrder="0"/>
    </xf>
    <xf borderId="0" fillId="0" fontId="30" numFmtId="0" xfId="0" applyFont="1"/>
    <xf borderId="0" fillId="0" fontId="29" numFmtId="10" xfId="0" applyFont="1" applyNumberFormat="1"/>
    <xf borderId="0" fillId="0" fontId="30" numFmtId="164" xfId="0" applyFont="1" applyNumberFormat="1"/>
    <xf borderId="0" fillId="0" fontId="30" numFmtId="168" xfId="0" applyFont="1" applyNumberFormat="1"/>
    <xf borderId="0" fillId="0" fontId="29" numFmtId="4" xfId="0" applyFont="1" applyNumberFormat="1"/>
    <xf borderId="0" fillId="0" fontId="31" numFmtId="4" xfId="0" applyFont="1" applyNumberFormat="1"/>
    <xf borderId="0" fillId="7" fontId="2" numFmtId="10" xfId="0" applyFont="1" applyNumberFormat="1"/>
    <xf borderId="0" fillId="0" fontId="30" numFmtId="10" xfId="0" applyFont="1" applyNumberFormat="1"/>
    <xf borderId="0" fillId="7" fontId="2" numFmtId="170" xfId="0" applyFont="1" applyNumberFormat="1"/>
    <xf borderId="0" fillId="0" fontId="30" numFmtId="170" xfId="0" applyFont="1" applyNumberFormat="1"/>
    <xf borderId="0" fillId="7" fontId="2" numFmtId="3" xfId="0" applyFont="1" applyNumberFormat="1"/>
    <xf borderId="0" fillId="0" fontId="30" numFmtId="3" xfId="0" applyFont="1" applyNumberFormat="1"/>
    <xf borderId="0" fillId="7" fontId="2" numFmtId="1" xfId="0" applyFont="1" applyNumberFormat="1"/>
    <xf borderId="0" fillId="0" fontId="30" numFmtId="1" xfId="0" applyFont="1" applyNumberFormat="1"/>
    <xf borderId="0" fillId="7" fontId="1" numFmtId="164" xfId="0" applyFont="1" applyNumberFormat="1"/>
    <xf borderId="0" fillId="0" fontId="31" numFmtId="164" xfId="0" applyFont="1" applyNumberFormat="1"/>
    <xf borderId="0" fillId="7" fontId="1" numFmtId="4" xfId="0" applyFont="1" applyNumberFormat="1"/>
    <xf borderId="0" fillId="0" fontId="32" numFmtId="0" xfId="0" applyAlignment="1" applyFont="1">
      <alignment shrinkToFit="0" vertical="bottom" wrapText="0"/>
    </xf>
    <xf borderId="0" fillId="4" fontId="5" numFmtId="3" xfId="0" applyAlignment="1" applyFont="1" applyNumberFormat="1">
      <alignment horizontal="right" vertical="bottom"/>
    </xf>
    <xf borderId="0" fillId="0" fontId="33" numFmtId="0" xfId="0" applyAlignment="1" applyFont="1">
      <alignment vertical="bottom"/>
    </xf>
    <xf borderId="0" fillId="4" fontId="5" numFmtId="9" xfId="0" applyAlignment="1" applyFont="1" applyNumberFormat="1">
      <alignment horizontal="right" vertical="bottom"/>
    </xf>
    <xf borderId="0" fillId="0" fontId="5" numFmtId="0" xfId="0" applyAlignment="1" applyFont="1">
      <alignment shrinkToFit="0" vertical="bottom" wrapText="1"/>
    </xf>
    <xf borderId="0" fillId="7" fontId="5" numFmtId="4" xfId="0" applyAlignment="1" applyFont="1" applyNumberFormat="1">
      <alignment horizontal="right" vertical="bottom"/>
    </xf>
    <xf borderId="0" fillId="4" fontId="5" numFmtId="4" xfId="0" applyAlignment="1" applyFont="1" applyNumberFormat="1">
      <alignment horizontal="right" vertical="bottom"/>
    </xf>
    <xf borderId="0" fillId="0" fontId="34" numFmtId="0" xfId="0" applyAlignment="1" applyFont="1">
      <alignment shrinkToFit="0" vertical="bottom" wrapText="0"/>
    </xf>
    <xf borderId="0" fillId="0" fontId="1" numFmtId="4" xfId="0" applyFont="1" applyNumberFormat="1"/>
    <xf borderId="0" fillId="10" fontId="2" numFmtId="9" xfId="0" applyAlignment="1" applyFont="1" applyNumberFormat="1">
      <alignment readingOrder="0"/>
    </xf>
    <xf borderId="0" fillId="2" fontId="26" numFmtId="0" xfId="0" applyFont="1"/>
    <xf borderId="0" fillId="2" fontId="26" numFmtId="0" xfId="0" applyAlignment="1" applyFont="1">
      <alignment horizontal="center"/>
    </xf>
    <xf borderId="0" fillId="0" fontId="2" numFmtId="0" xfId="0" applyAlignment="1" applyFont="1">
      <alignment horizontal="center" readingOrder="0"/>
    </xf>
    <xf borderId="0" fillId="0" fontId="2" numFmtId="0" xfId="0" applyAlignment="1" applyFont="1">
      <alignment readingOrder="0"/>
    </xf>
    <xf borderId="0" fillId="0" fontId="35" numFmtId="0" xfId="0" applyAlignment="1" applyFont="1">
      <alignment readingOrder="0"/>
    </xf>
    <xf borderId="0" fillId="0" fontId="2" numFmtId="10" xfId="0" applyAlignment="1" applyFont="1" applyNumberFormat="1">
      <alignment readingOrder="0"/>
    </xf>
    <xf borderId="0" fillId="0" fontId="2" numFmtId="171" xfId="0" applyAlignment="1" applyFont="1" applyNumberFormat="1">
      <alignment readingOrder="0"/>
    </xf>
    <xf borderId="0" fillId="0" fontId="25" numFmtId="9" xfId="0" applyFont="1" applyNumberFormat="1"/>
    <xf borderId="0" fillId="0" fontId="2" numFmtId="0" xfId="0" applyAlignment="1" applyFont="1">
      <alignment horizontal="center"/>
    </xf>
    <xf borderId="0" fillId="0" fontId="2" numFmtId="0" xfId="0" applyAlignment="1" applyFont="1">
      <alignment horizontal="right" readingOrder="0"/>
    </xf>
    <xf borderId="0" fillId="0" fontId="2" numFmtId="0" xfId="0" applyAlignment="1" applyFont="1">
      <alignment horizontal="left" readingOrder="0"/>
    </xf>
    <xf borderId="0" fillId="0" fontId="5" numFmtId="0" xfId="0" applyAlignment="1" applyFont="1">
      <alignment horizontal="right" vertical="bottom"/>
    </xf>
    <xf borderId="0" fillId="0" fontId="5" numFmtId="0" xfId="0" applyAlignment="1" applyFont="1">
      <alignment horizontal="center" vertical="bottom"/>
    </xf>
    <xf borderId="0" fillId="0" fontId="2" numFmtId="10" xfId="0" applyAlignment="1" applyFont="1" applyNumberFormat="1">
      <alignment horizontal="right" readingOrder="0"/>
    </xf>
    <xf borderId="0" fillId="0" fontId="28" numFmtId="0" xfId="0" applyAlignment="1" applyFont="1">
      <alignment horizontal="center" readingOrder="0" vertical="bottom"/>
    </xf>
    <xf borderId="0" fillId="0" fontId="25" numFmtId="10" xfId="0" applyFont="1" applyNumberFormat="1"/>
    <xf borderId="0" fillId="0" fontId="5" numFmtId="0" xfId="0" applyAlignment="1" applyFont="1">
      <alignment horizontal="right" readingOrder="0" vertical="bottom"/>
    </xf>
    <xf borderId="0" fillId="0" fontId="16" numFmtId="0" xfId="0" applyAlignment="1" applyFont="1">
      <alignment readingOrder="0" shrinkToFit="0" wrapText="0"/>
    </xf>
    <xf borderId="0" fillId="0" fontId="2" numFmtId="2" xfId="0" applyAlignment="1" applyFont="1" applyNumberFormat="1">
      <alignment horizontal="center" readingOrder="0"/>
    </xf>
    <xf borderId="0" fillId="0" fontId="5" numFmtId="0" xfId="0" applyAlignment="1" applyFont="1">
      <alignment horizontal="left" readingOrder="0" vertical="bottom"/>
    </xf>
    <xf borderId="0" fillId="0" fontId="5" numFmtId="9" xfId="0" applyAlignment="1" applyFont="1" applyNumberFormat="1">
      <alignment horizontal="center" readingOrder="0" vertical="bottom"/>
    </xf>
    <xf borderId="0" fillId="0" fontId="5" numFmtId="2" xfId="0" applyAlignment="1" applyFont="1" applyNumberFormat="1">
      <alignment horizontal="right" readingOrder="0" vertical="bottom"/>
    </xf>
    <xf borderId="0" fillId="0" fontId="16" numFmtId="169" xfId="0" applyFont="1" applyNumberFormat="1"/>
    <xf borderId="0" fillId="0" fontId="2" numFmtId="169" xfId="0" applyFont="1" applyNumberFormat="1"/>
    <xf borderId="0" fillId="13" fontId="2" numFmtId="0" xfId="0" applyAlignment="1" applyFill="1" applyFont="1">
      <alignment horizontal="center" readingOrder="0"/>
    </xf>
    <xf borderId="0" fillId="13" fontId="2" numFmtId="0" xfId="0" applyAlignment="1" applyFont="1">
      <alignment readingOrder="0"/>
    </xf>
    <xf borderId="0" fillId="13" fontId="2" numFmtId="0" xfId="0" applyAlignment="1" applyFont="1">
      <alignment readingOrder="0"/>
    </xf>
    <xf borderId="0" fillId="13" fontId="2" numFmtId="0" xfId="0" applyFont="1"/>
    <xf borderId="0" fillId="13" fontId="2" numFmtId="0" xfId="0" applyAlignment="1" applyFont="1">
      <alignment horizontal="left" readingOrder="0"/>
    </xf>
    <xf borderId="0" fillId="13" fontId="5" numFmtId="0" xfId="0" applyAlignment="1" applyFont="1">
      <alignment horizontal="right" readingOrder="0" vertical="bottom"/>
    </xf>
    <xf borderId="0" fillId="13" fontId="5" numFmtId="0" xfId="0" applyAlignment="1" applyFont="1">
      <alignment readingOrder="0" vertical="bottom"/>
    </xf>
    <xf borderId="0" fillId="13" fontId="5" numFmtId="0" xfId="0" applyAlignment="1" applyFont="1">
      <alignment horizontal="center" vertical="bottom"/>
    </xf>
    <xf borderId="0" fillId="13" fontId="2" numFmtId="171" xfId="0" applyAlignment="1" applyFont="1" applyNumberFormat="1">
      <alignment readingOrder="0"/>
    </xf>
    <xf borderId="0" fillId="13" fontId="36" numFmtId="0" xfId="0" applyAlignment="1" applyFont="1">
      <alignment readingOrder="0"/>
    </xf>
    <xf borderId="0" fillId="13" fontId="25" numFmtId="0" xfId="0" applyAlignment="1" applyFont="1">
      <alignment readingOrder="0" shrinkToFit="0" wrapText="0"/>
    </xf>
    <xf borderId="0" fillId="13" fontId="16" numFmtId="169" xfId="0" applyFont="1" applyNumberFormat="1"/>
    <xf borderId="0" fillId="13" fontId="2" numFmtId="0" xfId="0" applyAlignment="1" applyFont="1">
      <alignment readingOrder="0"/>
    </xf>
    <xf borderId="0" fillId="13" fontId="25" numFmtId="0" xfId="0" applyAlignment="1" applyFont="1">
      <alignment readingOrder="0"/>
    </xf>
    <xf borderId="0" fillId="13" fontId="25" numFmtId="169" xfId="0" applyFont="1" applyNumberFormat="1"/>
    <xf borderId="0" fillId="13" fontId="25" numFmtId="10" xfId="0" applyFont="1" applyNumberFormat="1"/>
    <xf borderId="0" fillId="13" fontId="2" numFmtId="10" xfId="0" applyAlignment="1" applyFont="1" applyNumberFormat="1">
      <alignment readingOrder="0"/>
    </xf>
    <xf borderId="0" fillId="13" fontId="2" numFmtId="10" xfId="0" applyFont="1" applyNumberFormat="1"/>
    <xf borderId="0" fillId="14" fontId="26" numFmtId="0" xfId="0" applyAlignment="1" applyFill="1" applyFont="1">
      <alignment readingOrder="0"/>
    </xf>
    <xf borderId="0" fillId="14" fontId="26" numFmtId="0" xfId="0" applyFont="1"/>
    <xf borderId="0" fillId="14" fontId="26" numFmtId="0" xfId="0" applyAlignment="1" applyFont="1">
      <alignment horizontal="center" readingOrder="0"/>
    </xf>
    <xf borderId="0" fillId="0" fontId="29" numFmtId="0" xfId="0" applyAlignment="1" applyFont="1">
      <alignment horizontal="left" readingOrder="0"/>
    </xf>
    <xf borderId="0" fillId="0" fontId="37" numFmtId="0" xfId="0" applyAlignment="1" applyFont="1">
      <alignment horizontal="left" readingOrder="0" shrinkToFit="0" wrapText="1"/>
    </xf>
    <xf borderId="0" fillId="0" fontId="26" numFmtId="0" xfId="0" applyFont="1"/>
    <xf borderId="0" fillId="0" fontId="16" numFmtId="10" xfId="0" applyAlignment="1" applyFont="1" applyNumberFormat="1">
      <alignment horizontal="left"/>
    </xf>
    <xf borderId="0" fillId="0" fontId="16" numFmtId="10" xfId="0" applyAlignment="1" applyFont="1" applyNumberFormat="1">
      <alignment horizontal="left" readingOrder="0"/>
    </xf>
    <xf borderId="0" fillId="0" fontId="16" numFmtId="4" xfId="0" applyAlignment="1" applyFont="1" applyNumberFormat="1">
      <alignment horizontal="left"/>
    </xf>
    <xf borderId="0" fillId="0" fontId="29" numFmtId="4" xfId="0" applyAlignment="1" applyFont="1" applyNumberFormat="1">
      <alignment horizontal="left"/>
    </xf>
    <xf borderId="0" fillId="0" fontId="29" numFmtId="0" xfId="0" applyAlignment="1" applyFont="1">
      <alignment horizontal="left"/>
    </xf>
    <xf borderId="0" fillId="0" fontId="5" numFmtId="0" xfId="0" applyAlignment="1" applyFont="1">
      <alignment horizontal="left" readingOrder="0" shrinkToFit="0" vertical="bottom" wrapText="1"/>
    </xf>
    <xf borderId="0" fillId="0" fontId="38" numFmtId="0" xfId="0" applyAlignment="1" applyFont="1">
      <alignment readingOrder="0" vertical="bottom"/>
    </xf>
    <xf borderId="0" fillId="0" fontId="5" numFmtId="0" xfId="0" applyAlignment="1" applyFont="1">
      <alignment readingOrder="0" vertical="bottom"/>
    </xf>
    <xf borderId="0" fillId="14" fontId="26" numFmtId="0" xfId="0" applyAlignment="1" applyFont="1">
      <alignment horizontal="left" readingOrder="0"/>
    </xf>
    <xf borderId="0" fillId="0" fontId="5" numFmtId="0" xfId="0" applyAlignment="1" applyFont="1">
      <alignment horizontal="left" vertical="bottom"/>
    </xf>
    <xf borderId="0" fillId="14" fontId="3" numFmtId="0" xfId="0" applyAlignment="1" applyFont="1">
      <alignment readingOrder="0" shrinkToFit="0" vertical="bottom" wrapText="0"/>
    </xf>
    <xf borderId="0" fillId="14" fontId="5" numFmtId="0" xfId="0" applyAlignment="1" applyFont="1">
      <alignment vertical="bottom"/>
    </xf>
    <xf borderId="0" fillId="0" fontId="2" numFmtId="3" xfId="0" applyAlignment="1" applyFont="1" applyNumberFormat="1">
      <alignment horizontal="right" readingOrder="0"/>
    </xf>
    <xf borderId="0" fillId="0" fontId="1" numFmtId="0" xfId="0" applyAlignment="1" applyFont="1">
      <alignment horizontal="center" readingOrder="0"/>
    </xf>
    <xf borderId="0" fillId="0" fontId="1"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icky Cox" id="{4fc88236-7527-4b86-8124-44dbdd1d4185}" providerId="google-sheets"/>
  <x18tc:person displayName="Sam Hilton" id="{900c5d8c-1c1a-45c3-a167-1846e31a1a00}" providerId="google-sheets"/>
  <x18tc:person displayName="sam@charityentrepreneurship.com" id="{1f4b664c-eab1-4f71-b6cc-b5552206897d}" userId="sam@charityentrepreneurship.com" providerId="google-sheets"/>
  <x18tc:person displayName="vicky@charityentrepreneurship.com" id="{871f73a4-a5a6-431b-b2f2-1f1e35aef533}" userId="vicky@charityentrepreneurship.com" providerId="google-sheets"/>
  <x18tc:person displayName="vicky@charityscience.com" id="{4540e8fb-a568-48e9-b65c-4c0b6bc15771}" userId="vicky@charityscience.com" providerId="google-sheets"/>
  <x18tc:person displayName="Aidan Alexander" id="{97336631-cd97-4327-b133-651342c5a556}" providerId="google-sheets"/>
  <x18tc:person displayName="Filip Murár" id="{962489eb-6c31-45f3-b7d8-052df881b2b7}" providerId="google-sheets"/>
  <x18tc:person displayName="James Che" id="{664660d1-927c-4307-8cb7-4084a4d695ce}" providerId="google-sheets"/>
  <x18tc:person displayName="Samuel Harvey" id="{24b283d7-20c7-4450-b5df-55ffd753256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1-16T12:40:50.00" personId="{4fc88236-7527-4b86-8124-44dbdd1d4185}" id="{526b4530-2232-443d-ac17-b53b2de43ea6}" done="1">
    <x18tc:text xml:space="preserve">@sam@charityentrepreneurship.com If I do an average of growth rates over the past 30 years taking World Bank and IMF data, and the average of IMF projections (which this is currently just based on) then I get 4.76% (See calculations tab). 
Do you think this is more reasonable?</x18tc:text>
    <x18tc:mentions>
      <x18tc:mention mentionpersonId="{1f4b664c-eab1-4f71-b6cc-b5552206897d}" mentionId="{f05a258a-7b98-4b63-8844-42dad5c268c9}" startIndex="0" length="32"/>
    </x18tc:mentions>
  </x18tc:threadedComment>
  <x18tc:threadedComment ref="A1" dT="2023-01-25T23:19:52.00" personId="{4fc88236-7527-4b86-8124-44dbdd1d4185}" id="{dcd11612-d3a7-433c-834d-56e98aa1a2e3}" parentId="{526b4530-2232-443d-ac17-b53b2de43ea6}">
    <x18tc:text xml:space="preserve">Marked as resolved</x18tc:text>
  </x18tc:threadedComment>
  <x18tc:threadedComment ref="A1" dT="2023-01-25T23:20:18.00" personId="{4fc88236-7527-4b86-8124-44dbdd1d4185}" id="{8e2a46c9-2824-410f-82d3-4a977f4ecc51}" parentId="{526b4530-2232-443d-ac17-b53b2de43ea6}">
    <x18tc:text xml:space="preserve">Re-opened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1" dT="2022-12-21T11:24:40.00" personId="{4fc88236-7527-4b86-8124-44dbdd1d4185}" id="{34904105-1f23-4d5c-a199-27bb643d7db7}" done="1">
    <x18tc:text xml:space="preserve">Needs more staff</x18tc:text>
  </x18tc:threadedComment>
  <x18tc:threadedComment ref="A56" dT="2023-11-13T16:35:28.00" personId="{97336631-cd97-4327-b133-651342c5a556}" id="{dbb30e05-8105-4c19-8c95-5abcd8d32c92}" done="1">
    <x18tc:text xml:space="preserve">Not clear where this and enforcement are playing into the results?</x18tc:text>
  </x18tc:threadedComment>
  <x18tc:threadedComment ref="B57" dT="2023-11-13T16:26:45.00" personId="{97336631-cd97-4327-b133-651342c5a556}" id="{19d4c7f6-478d-4f1e-be0e-c3ddbe3c1e3e}" done="1">
    <x18tc:text xml:space="preserve">Does this mean 80% of teachers do it 100% of the time, or 100% of teachers do it 80% of the time, or X% of teachers do it Y% of the time, where XY = 80%? Surely there are different in terms of their impact on effect size?
If what you mean is "reduction in effect size due to imperfect enforcement" maybe just say that?</x18tc:text>
  </x18tc:threadedComment>
  <x18tc:threadedComment ref="F62" dT="2023-01-24T15:55:45.00" personId="{4fc88236-7527-4b86-8124-44dbdd1d4185}" id="{847197eb-dd48-48db-968b-e39c90fb9f00}" done="1">
    <x18tc:text xml:space="preserve">@sam@charityentrepreneurship.com 
Hard to find a good data source for "median household consumption".
If I use "Final consumption expenditure" and divide this by the total population then I get per capita consumption of $735.51
I could use this number instead?</x18tc:text>
    <x18tc:mentions>
      <x18tc:mention mentionpersonId="{1f4b664c-eab1-4f71-b6cc-b5552206897d}" mentionId="{256bba1f-96c9-409d-b223-0fc0309bf58f}" startIndex="0" length="32"/>
    </x18tc:mentions>
  </x18tc:threadedComment>
  <x18tc:threadedComment ref="F62" dT="2023-01-24T15:56:01.00" personId="{4fc88236-7527-4b86-8124-44dbdd1d4185}" id="{f5cfcd9b-25a3-4226-882e-ea48a15366c3}" parentId="{847197eb-dd48-48db-968b-e39c90fb9f00}">
    <x18tc:text xml:space="preserve">https://data.worldbank.org/indicator/NE.CON.TOTL.CD?locations=RW</x18tc:text>
    <x18tc:extLst>
      <ext uri="{F7C98A9C-CBB3-438F-8F68-D28B6AF4A901}">
        <xltc2:checksum/>
        <xltc2:hyperlink startIndex="0" length="64" url="https://data.worldbank.org/indicator/NE.CON.TOTL.CD?locations=RW"/>
      </ext>
    </x18tc:extLst>
  </x18tc:threadedComment>
  <x18tc:threadedComment ref="B88" dT="2023-01-25T11:46:18.00" personId="{664660d1-927c-4307-8cb7-4084a4d695ce}" id="{d8bd6cb9-db82-4c05-9983-afdc8bc01a3d}" done="1">
    <x18tc:text xml:space="preserve">Do the income benefits in the future not need to by discounted?</x18tc:text>
  </x18tc:threadedComment>
  <x18tc:threadedComment ref="B88" dT="2023-01-25T11:46:42.00" personId="{664660d1-927c-4307-8cb7-4084a4d695ce}" id="{ef8f4e95-056a-4b24-be74-169ed89db5d6}" parentId="{d8bd6cb9-db82-4c05-9983-afdc8bc01a3d}">
    <x18tc:text xml:space="preserve">Maybe I'm wrong, but I don't see the 4% applying to the benefits</x18tc:text>
  </x18tc:threadedComment>
  <x18tc:threadedComment ref="B88" dT="2023-01-25T11:47:07.00" personId="{664660d1-927c-4307-8cb7-4084a4d695ce}" id="{6bae885c-3915-414b-8a01-4cd111e153b5}" parentId="{d8bd6cb9-db82-4c05-9983-afdc8bc01a3d}">
    <x18tc:text xml:space="preserve">OH I see it in B57 now gotcha</x18tc:text>
  </x18tc:threadedComment>
  <x18tc:threadedComment ref="B22" dT="2022-12-21T11:28:14.00" personId="{900c5d8c-1c1a-45c3-a167-1846e31a1a00}" id="{866023db-df4c-4761-8d74-6686e77db86f}" done="1">
    <x18tc:text xml:space="preserve">Split up</x18tc:text>
  </x18tc:threadedComment>
  <x18tc:threadedComment ref="A101" dT="2023-11-13T16:33:41.00" personId="{97336631-cd97-4327-b133-651342c5a556}" id="{141b8b21-b0c7-46f6-b261-2d9bf8e9e3cc}" done="0">
    <x18tc:text xml:space="preserve">Why ignore growth not caused by intervention?</x18tc:text>
  </x18tc:threadedComment>
  <x18tc:threadedComment ref="A101" dT="2023-12-20T13:20:12.00" personId="{900c5d8c-1c1a-45c3-a167-1846e31a1a00}" id="{51c3008e-859d-4327-8cda-ca2b9140ed12}" parentId="{141b8b21-b0c7-46f6-b261-2d9bf8e9e3cc}">
    <x18tc:text xml:space="preserve">It would make the modelling harder and not affect the results much</x18tc:text>
  </x18tc:threadedComment>
  <x18tc:threadedComment ref="B93" dT="2023-11-13T16:21:51.00" personId="{97336631-cd97-4327-b133-651342c5a556}" id="{d32063da-dd6f-4575-88ac-e01b14d21a02}" done="1">
    <x18tc:text xml:space="preserve">Please explain what effect this effect size is for</x18tc:text>
  </x18tc:threadedComment>
  <x18tc:threadedComment ref="C56" dT="2022-12-21T11:31:08.00" personId="{4fc88236-7527-4b86-8124-44dbdd1d4185}" id="{aee71c3a-8a37-4608-b58a-6bc76d576f96}" done="1">
    <x18tc:text xml:space="preserve">Assuming 1 day a week is a bit of an underestimate -&gt; changed to 2 days</x18tc:text>
  </x18tc:threadedComment>
  <x18tc:threadedComment ref="C13" dT="2022-12-21T11:27:59.00" personId="{4fc88236-7527-4b86-8124-44dbdd1d4185}" id="{d9230939-7092-41cb-b935-70a069f31763}" done="1">
    <x18tc:text xml:space="preserve">Can we get a better number for this? Do teachers need training once or every year?</x18tc:text>
  </x18tc:threadedComment>
  <x18tc:threadedComment ref="B89" dT="2023-11-13T16:20:58.00" personId="{97336631-cd97-4327-b133-651342c5a556}" id="{f1a96586-7f5d-4381-bfea-cda3625869b1}" done="1">
    <x18tc:text xml:space="preserve">As far as I can tell, probability of success is applied to costs and not benefits (and so this is ~20% too optimistic). 
Also, the probability of success is irrelevant in a charity that’s modelled such that benefits are directly proportional to cost, and both benefits and costs are directly proportional to probability of success..</x18tc:text>
  </x18tc:threadedComment>
  <x18tc:threadedComment ref="B101" dT="2023-11-13T16:34:41.00" personId="{97336631-cd97-4327-b133-651342c5a556}" id="{36dfa808-43ce-4b5a-9924-7e6ea098ba51}" done="0">
    <x18tc:text xml:space="preserve">There's a REF error in the formula</x18tc:text>
  </x18tc:threadedComment>
  <x18tc:threadedComment ref="B101" dT="2023-12-20T13:19:16.00" personId="{900c5d8c-1c1a-45c3-a167-1846e31a1a00}" id="{4ff6d6bb-b499-45c2-9fa5-98b499724572}" parentId="{36dfa808-43ce-4b5a-9924-7e6ea098ba51}">
    <x18tc:text xml:space="preserve">As far as I can tell this is deliberate and covered by the IFERROR</x18tc:text>
  </x18tc:threadedComment>
  <x18tc:threadedComment ref="C56" dT="2023-11-13T16:25:12.00" personId="{97336631-cd97-4327-b133-651342c5a556}" id="{691b9f5b-f94b-49ee-ab77-8d01539b1204}" done="0">
    <x18tc:text xml:space="preserve">What does this model implicitly assume happens to the students when a teacher doesn't show up? Do they just go home / sit there unsupervised doing no learning, or do they join other classes, also taught by trained teachers, such that they're still getting the lesson plan intervention?</x18tc:text>
  </x18tc:threadedComment>
  <x18tc:threadedComment ref="C56" dT="2023-12-20T13:26:50.00" personId="{900c5d8c-1c1a-45c3-a167-1846e31a1a00}" id="{98d02d78-2878-4bcd-b4fc-b8de3fc12b45}" parentId="{691b9f5b-f94b-49ee-ab77-8d01539b1204}">
    <x18tc:text xml:space="preserve">The model assumes they get no learning</x18tc:text>
  </x18tc:threadedComment>
  <x18tc:threadedComment ref="B11" dT="2023-11-13T16:01:37.00" personId="{97336631-cd97-4327-b133-651342c5a556}" id="{5d65b48f-03d1-4609-bf42-eb18aae6a8fb}" done="1">
    <x18tc:text xml:space="preserve">Both this and SMS charity have the at scale staff costs as less than the insect charity. I find this really hard to believe. (I think the insect charity should come down)</x18tc:text>
  </x18tc:threadedComment>
  <x18tc:threadedComment ref="C47" dT="2023-10-11T14:44:28.00" personId="{97336631-cd97-4327-b133-651342c5a556}" id="{cb1e5a5f-b91a-405c-8923-d7d5c84b1c3b}" done="1">
    <x18tc:text xml:space="preserve">Instead of linking to a defunct internal report, please cite the specific piece(s) of evidence this came from</x18tc:text>
  </x18tc:threadedComment>
  <x18tc:threadedComment ref="K82" dT="2023-11-13T16:19:19.00" personId="{97336631-cd97-4327-b133-651342c5a556}" id="{23ee848d-d80e-418b-a35d-7825abe51fa2}" done="0">
    <x18tc:text xml:space="preserve">At scale costs are made up of 70% fixed costs ($1.8m/yr), which is crazily large. Are you sure this is most likely scenario?</x18tc:text>
  </x18tc:threadedComment>
  <x18tc:threadedComment ref="C95" dT="2023-11-13T16:31:02.00" personId="{97336631-cd97-4327-b133-651342c5a556}" id="{9368de74-4694-4eff-a489-b8d62fbd844d}" done="1">
    <x18tc:text xml:space="preserve">Why?</x18tc:text>
  </x18tc:threadedComment>
  <x18tc:threadedComment ref="A1" dT="2023-11-13T16:00:57.00" personId="{97336631-cd97-4327-b133-651342c5a556}" id="{9e20157c-05fc-4f5b-9b42-7122e80de9c7}" done="0">
    <x18tc:text xml:space="preserve">Please insect description of exactly what version of what this intervention could be is being modelled</x18tc:text>
  </x18tc:threadedComment>
  <x18tc:threadedComment ref="C22" dT="2022-12-21T11:28:25.00" personId="{4fc88236-7527-4b86-8124-44dbdd1d4185}" id="{e98da22a-4692-413b-a026-791ea37f62d0}" done="1">
    <x18tc:text xml:space="preserve">Split into separate lines</x18tc:text>
  </x18tc:threadedComment>
  <x18tc:threadedComment ref="B107" dT="2023-11-13T16:20:32.00" personId="{97336631-cd97-4327-b133-651342c5a556}" id="{1cb813e3-6add-4e8a-86ed-1279b140a0f4}" done="1">
    <x18tc:text xml:space="preserve">As far as I can tell, probability of success is applied to costs and not benefits (and so this is ~20% too optimistic). 
Also, the probability of success is irrelevant in a charity that’s modelled such that benefits are directly proportional to cost, and both benefits and costs are directly proportional to probability of success..</x18tc:text>
  </x18tc:threadedComment>
  <x18tc:threadedComment ref="A95" dT="2023-11-13T16:31:18.00" personId="{97336631-cd97-4327-b133-651342c5a556}" id="{ba7c893f-d738-4432-8620-f665f99ef744}" done="1">
    <x18tc:text xml:space="preserve">Spell out what it's a delay to</x18tc:text>
  </x18tc:threadedComment>
  <x18tc:threadedComment ref="B78" dT="2023-01-25T11:49:49.00" personId="{664660d1-927c-4307-8cb7-4084a4d695ce}" id="{479c03fa-9c30-4a02-a24d-f62a31e41f61}" done="1">
    <x18tc:text xml:space="preserve">Wait forgive me if I'm wrong, but this is the total discounted benefits per child over 37 years. And this number is factored into the yearly benefit below. Does this not massively double count? i.e. should you not divide this number by 37 to get the yearly benefit to be used below?</x18tc:text>
  </x18tc:threadedComment>
  <x18tc:threadedComment ref="B78" dT="2023-01-25T23:15:43.00" personId="{4fc88236-7527-4b86-8124-44dbdd1d4185}" id="{9d662474-b4dc-4132-9797-e1d7abcb7901}" parentId="{479c03fa-9c30-4a02-a24d-f62a31e41f61}">
    <x18tc:text xml:space="preserve">Oh yeah that makes sense! Good catch, thanks! No wonder it looked so cost-effective haha.
Divided by 37 now!</x18tc:text>
  </x18tc:threadedComment>
  <x18tc:threadedComment ref="B78" dT="2023-01-25T23:17:24.00" personId="{4fc88236-7527-4b86-8124-44dbdd1d4185}" id="{8d4a8f15-1d28-4cdf-841a-4be2757b2b31}" parentId="{479c03fa-9c30-4a02-a24d-f62a31e41f61}">
    <x18tc:text xml:space="preserve">Wait, maybe it should be divided by 30 rather than 37 as the impacts last for 30 years?</x18tc:text>
  </x18tc:threadedComment>
  <x18tc:threadedComment ref="B78" dT="2023-01-26T09:46:16.00" personId="{664660d1-927c-4307-8cb7-4084a4d695ce}" id="{faf2e03e-96ed-4a5f-9357-ec0381ec73f6}" parentId="{479c03fa-9c30-4a02-a24d-f62a31e41f61}">
    <x18tc:text xml:space="preserve">I think you can make a case for either tbh.</x18tc:text>
  </x18tc:threadedComment>
  <x18tc:threadedComment ref="B78" dT="2023-01-27T10:13:41.00" personId="{4fc88236-7527-4b86-8124-44dbdd1d4185}" id="{9fd791d0-5ce6-46e7-992e-6e2d5968e823}" parentId="{479c03fa-9c30-4a02-a24d-f62a31e41f61}">
    <x18tc:text xml:space="preserve">Ok I've thought about it more and I might be being stupid but is it double counting if we're reaching new kids each year?</x18tc:text>
  </x18tc:threadedComment>
  <x18tc:threadedComment ref="B78" dT="2023-01-27T10:39:36.00" personId="{664660d1-927c-4307-8cb7-4084a4d695ce}" id="{c36a3047-7dc7-4c47-a6f5-f28dd20fa548}" parentId="{479c03fa-9c30-4a02-a24d-f62a31e41f61}">
    <x18tc:text xml:space="preserve">Ohh I see what you're saying. So the assumptions you are making are: every kid you reach will be a new kid every year (which seems unlikely, my guess is you'll teach the same kid for a few years in one school, and the effects won't compound every year). Also then you haven't discounted correctly the kid you teach at year 20 in the program vs the kid you teach at year 7. This is now saying, if every kid I teach now (for one year), then these are the cumulative income benefits over 30 years for that kid. So I guess the yearly benefits below, you would still have to discount them? haha this is very confusing</x18tc:text>
  </x18tc:threadedComment>
  <x18tc:threadedComment ref="B78" dT="2023-01-27T10:42:11.00" personId="{664660d1-927c-4307-8cb7-4084a4d695ce}" id="{8ea32c95-3132-4506-b8e2-d437f7b09f01}" parentId="{479c03fa-9c30-4a02-a24d-f62a31e41f61}">
    <x18tc:text xml:space="preserve">Answer seems to be somewhere in the middle, where dividing by 30 is too harsh, but not dividing is too lenient (because you would actually teach the same kid for more than a year)</x18tc:text>
  </x18tc:threadedComment>
  <x18tc:threadedComment ref="B78" dT="2023-01-27T10:43:23.00" personId="{664660d1-927c-4307-8cb7-4084a4d695ce}" id="{c8ecd8b2-d09c-46da-8bf7-5b83521ecd38}" parentId="{479c03fa-9c30-4a02-a24d-f62a31e41f61}">
    <x18tc:text xml:space="preserve">and then maybe a discount is missing. because the first number encapsulates the discounted income of an individual, but the second doesn't encapsulate the discount of WHEN you teach that kid. i.e.</x18tc:text>
  </x18tc:threadedComment>
  <x18tc:threadedComment ref="A74" dT="2023-11-13T16:14:43.00" personId="{97336631-cd97-4327-b133-651342c5a556}" id="{1481e943-2f0d-4d28-ab20-f5859d81e817}" done="1">
    <x18tc:text xml:space="preserve">This note mentions accounting for economic growth and alcohol use but I don't see either of those?</x18tc:text>
  </x18tc:threadedComment>
  <x18tc:threadedComment ref="C82" dT="2024-02-08T15:11:06.00" personId="{24b283d7-20c7-4450-b5df-55ffd753256a}" id="{9f0ee7d1-02dc-4ce7-b659-2410444f53fd}" done="1">
    <x18tc:text xml:space="preserve">In this formula, the cost per teacher is being multiplied by the number of schools and not teachers?</x18tc:text>
  </x18tc:threadedComment>
  <x18tc:threadedComment ref="B110" dT="2023-11-13T16:28:13.00" personId="{97336631-cd97-4327-b133-651342c5a556}" id="{198fa4f0-72fa-441b-9e17-ed795f1ace09}" done="1">
    <x18tc:text xml:space="preserve">Both Sam and Vicky weight the GDP model &gt; than the income model, even though the report says that income correlations should be taken more seriously than broader economic ones?</x18tc:text>
  </x18tc:threadedComment>
  <x18tc:threadedComment ref="D82" dT="2024-02-08T15:12:19.00" personId="{24b283d7-20c7-4450-b5df-55ffd753256a}" id="{0a915f0b-8ad6-4255-abd1-cb58f996b073}" done="1">
    <x18tc:text xml:space="preserve">why * b3?</x18tc:text>
  </x18tc:threadedComment>
  <x18tc:threadedComment ref="B46" dT="2023-01-25T12:10:34.00" personId="{664660d1-927c-4307-8cb7-4084a4d695ce}" id="{9b6264ad-c8ab-43e6-9fab-6dfc967cd66a}" done="1">
    <x18tc:text xml:space="preserve">Am I correct to say currently this assume no teacher turnover? Might have to train a lot more teachers per school. Though I think currently your costs modelled suggest you're retraining teachers every year. so maybe that assumes 100% teacher turnover?</x18tc:text>
  </x18tc:threadedComment>
  <x18tc:threadedComment ref="B46" dT="2023-01-25T23:14:46.00" personId="{4fc88236-7527-4b86-8124-44dbdd1d4185}" id="{55bdc0eb-2a81-4b48-906c-59218ff77296}" parentId="{9b6264ad-c8ab-43e6-9fab-6dfc967cd66a}">
    <x18tc:text xml:space="preserve">Yes I guess it does kind of assume 100% teacher turnover currently</x18tc:text>
  </x18tc:threadedComment>
  <x18tc:threadedComment ref="C13" dT="2023-10-11T14:38:10.00" personId="{97336631-cd97-4327-b133-651342c5a556}" id="{4d6f3b8b-9338-4d44-8504-7b7adc714696}" done="1">
    <x18tc:text xml:space="preserve">Could this at least be built up from assumptions around how long it takes to train, how much the teachers need to be payed to attend training and how much trainers need to be paid to attend?</x18tc:text>
  </x18tc:threadedComment>
  <x18tc:threadedComment ref="J74" dT="2023-11-13T16:13:38.00" personId="{97336631-cd97-4327-b133-651342c5a556}" id="{2eda6dce-acfa-42fc-bae1-abcf41583b7d}" done="0">
    <x18tc:text xml:space="preserve">Assumes no GDP growth, which is a big assumption over 8 years no?</x18tc:text>
  </x18tc:threadedComment>
  <x18tc:threadedComment ref="J74" dT="2023-11-13T16:18:17.00" personId="{97336631-cd97-4327-b133-651342c5a556}" id="{ecb41e0e-5860-41ff-ba88-f7f255f13c36}" parentId="{2eda6dce-acfa-42fc-bae1-abcf41583b7d}">
    <x18tc:text xml:space="preserve">Why does this start at year 9? This appears to model for a child who starts in year 1 (if it were the average for a child receiving the intervention, it would start lower as only a small % of the total children would have started accruing benefits in this year). Given this, shouldn't they start getting benefit after the 7 "years until benefit starts"?</x18tc:text>
  </x18tc:threadedComment>
  <x18tc:threadedComment ref="B68" dT="2023-01-25T11:56:42.00" personId="{664660d1-927c-4307-8cb7-4084a4d695ce}" id="{81ebefa4-267d-4649-abdc-1d9127748b27}" done="1">
    <x18tc:text xml:space="preserve">I think this is the number that should be used below?</x18tc:text>
  </x18tc:threadedComment>
  <x18tc:threadedComment ref="B9" dT="2023-02-08T07:45:39.00" personId="{900c5d8c-1c1a-45c3-a167-1846e31a1a00}" id="{aa7a4001-d6f7-420a-93cf-c5e903be0921}" done="1">
    <x18tc:text xml:space="preserve">@vicky@charityentrepreneurship.com thoughts?</x18tc:text>
    <x18tc:mentions>
      <x18tc:mention mentionpersonId="{871f73a4-a5a6-431b-b2f2-1f1e35aef533}" mentionId="{775a344e-9f85-42d8-8e6c-17b0441c13ad}" startIndex="0" length="34"/>
    </x18tc:mentions>
  </x18tc:threadedComment>
  <x18tc:threadedComment ref="B9" dT="2023-02-08T10:43:32.00" personId="{4fc88236-7527-4b86-8124-44dbdd1d4185}" id="{71b60f47-26d8-45d7-b3a0-26df42e02e3f}" parentId="{aa7a4001-d6f7-420a-93cf-c5e903be0921}">
    <x18tc:text xml:space="preserve">Sure :)</x18tc:text>
  </x18tc:threadedComment>
  <x18tc:threadedComment ref="A93" dT="2024-12-27T17:53:47.00" personId="{962489eb-6c31-45f3-b7d8-052df881b2b7}" id="{f5d0fab1-332a-4787-9e50-17daac62805d}" done="0">
    <x18tc:text xml:space="preserve">@vicky@charityscience.com Why was this only applied on the economic growth model and not the income model?</x18tc:text>
    <x18tc:mentions>
      <x18tc:mention mentionpersonId="{4540e8fb-a568-48e9-b65c-4c0b6bc15771}" mentionId="{9fd35db7-0aaf-4d36-ac10-efb30369628d}" startIndex="0" length="25"/>
    </x18tc:mentions>
  </x18tc:threadedComment>
  <x18tc:threadedComment ref="A93" dT="2025-01-02T10:57:09.00" personId="{4fc88236-7527-4b86-8124-44dbdd1d4185}" id="{80af3a5c-205e-4086-b0fb-ef8275fa8ff0}" parentId="{f5d0fab1-332a-4787-9e50-17daac62805d}">
    <x18tc:text xml:space="preserve">That's a great question which I don't have a good answer for!
1 total reaction
Filip Murár reacted with 🙃 at 2025-01-02 15:38 PM</x18tc:text>
  </x18tc:threadedComment>
  <x18tc:threadedComment ref="A93" dT="2025-01-02T15:46:21.00" personId="{4fc88236-7527-4b86-8124-44dbdd1d4185}" id="{aaa10d4f-fd29-4b5b-a3cd-c73103f7c9e1}" parentId="{f5d0fab1-332a-4787-9e50-17daac62805d}">
    <x18tc:text xml:space="preserve">Sorry, I just realised I was dumb - It is applied in row 83 for Model 1 (Same calculation as is done here but in the formula for number of children reached instead of using it as a separate multiplier)</x18tc:text>
  </x18tc:threadedComment>
  <x18tc:threadedComment ref="A59" dT="2023-11-13T16:10:24.00" personId="{97336631-cd97-4327-b133-651342c5a556}" id="{2c4e19a7-772a-47d8-9d17-e2479db09fcc}" done="1">
    <x18tc:text xml:space="preserve">Please explain more clearly</x18tc:text>
  </x18tc:threadedComment>
  <x18tc:threadedComment ref="A12" dT="2023-10-11T14:34:21.00" personId="{97336631-cd97-4327-b133-651342c5a556}" id="{35ccb80b-709e-4418-9b9e-79a061589fc3}" done="1">
    <x18tc:text xml:space="preserve">Please explain this more thoroughly. What does this cost buy you?</x18tc:text>
  </x18tc:threadedComment>
  <x18tc:threadedComment ref="A12" dT="2023-10-11T14:37:23.00" personId="{97336631-cd97-4327-b133-651342c5a556}" id="{f1c5071f-e2bf-4038-92ec-b497222c9e43}" parentId="{35ccb80b-709e-4418-9b9e-79a061589fc3}">
    <x18tc:text xml:space="preserve">From the study it appears to be the cost of teacher's guides only. How do you get to a cost of teacher's guides per student? Is this taking the cost of DEVELOPING the guide and dividing by the number of student who end up using it? (if so, this should be modelled as a fixed cost, rather than a truly variable one). Is this is cost of providing the physical lesson plan to the school/class? If so the cost should be modelled per school/class rather than per student.</x18tc:text>
  </x18tc:threadedComment>
  <x18tc:threadedComment ref="C58" dT="2023-11-13T16:11:16.00" personId="{97336631-cd97-4327-b133-651342c5a556}" id="{0b75654a-2145-4f00-9f79-b3fa4d8ad1bc}" done="1">
    <x18tc:text xml:space="preserve">You haven't removed it -- you're using it for costs (as you should). So could you please make this text black again and instead explain what each discount rate applies to, and what the rationale is?</x18tc:text>
  </x18tc:threadedComment>
  <x18tc:threadedComment ref="B48" dT="2023-02-08T07:36:25.00" personId="{900c5d8c-1c1a-45c3-a167-1846e31a1a00}" id="{b8fa46aa-2183-4c2c-98f1-80bfebd1eec7}" done="1">
    <x18tc:text xml:space="preserve">@vicky@charityentrepreneurship.com is this reasonable</x18tc:text>
    <x18tc:mentions>
      <x18tc:mention mentionpersonId="{871f73a4-a5a6-431b-b2f2-1f1e35aef533}" mentionId="{375d1261-dfeb-4501-8705-85375a0a5b52}" startIndex="0" length="34"/>
    </x18tc:mentions>
  </x18tc:threadedComment>
  <x18tc:threadedComment ref="B48" dT="2023-02-08T10:43:45.00" personId="{4fc88236-7527-4b86-8124-44dbdd1d4185}" id="{e116eea5-abce-468a-ace3-cf51741bbd46}" parentId="{b8fa46aa-2183-4c2c-98f1-80bfebd1eec7}">
    <x18tc:text xml:space="preserve">Seems okay to me!</x18tc:text>
  </x18tc:threadedComment>
  <x18tc:threadedComment ref="B22" dT="2023-11-13T16:06:09.00" personId="{97336631-cd97-4327-b133-651342c5a556}" id="{2e18124e-ccd9-404d-a705-46e7f468e577}" done="1">
    <x18tc:text xml:space="preserve">Assumes 100% enrolment. Surely there are many unenrolled and many enrolled by never / almost never attending?</x18tc:text>
  </x18tc:threadedComment>
  <x18tc:threadedComment ref="C120" dT="2023-11-13T16:36:44.00" personId="{97336631-cd97-4327-b133-651342c5a556}" id="{aed19296-49d9-4ee0-b461-6be7817b9ad9}" done="1">
    <x18tc:text xml:space="preserve">Please explain these few calculations</x18tc:text>
  </x18tc:threadedComment>
  <x18tc:threadedComment ref="B15" dT="2023-10-11T15:00:56.00" personId="{97336631-cd97-4327-b133-651342c5a556}" id="{f34c9853-9c7b-4396-8f25-41f7d9d2cfc0}" done="1">
    <x18tc:text xml:space="preserve">Should probably flag that this isn't currently connected to formulae so changing this doesn't change things</x18tc:text>
  </x18tc:threadedComment>
  <x18tc:threadedComment ref="B15" dT="2023-11-13T16:04:56.00" personId="{97336631-cd97-4327-b133-651342c5a556}" id="{fa60867a-37e9-41a8-977b-f05909d63a70}" parentId="{f34c9853-9c7b-4396-8f25-41f7d9d2cfc0}">
    <x18tc:text xml:space="preserve">How do we square this with 5 years for IPV and 6 years for insects? It's all quite inconsistent with no transparency of reasoning for the inconsistency</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77" dT="2024-12-26T10:58:36.00" personId="{962489eb-6c31-45f3-b7d8-052df881b2b7}" id="{0f68502e-f6ca-4471-82e5-08d193bf3a8e}" done="1">
    <x18tc:text xml:space="preserve">I think the current value in that tab is 0.25, so this is wrong.
Also, this shouldn't be hard-coded; it should refer to the CEA tab.</x18tc:text>
  </x18tc:threadedComment>
  <x18tc:threadedComment ref="D77" dT="2025-01-02T10:54:44.00" personId="{4fc88236-7527-4b86-8124-44dbdd1d4185}" id="{06acc84a-f492-411c-ac68-d6f49c214d6b}" parentId="{0f68502e-f6ca-4471-82e5-08d193bf3a8e}">
    <x18tc:text xml:space="preserve">Yes you're right it is 0.25, oops!</x18tc:text>
  </x18tc:threadedComment>
  <x18tc:threadedComment ref="D77" dT="2025-01-02T10:55:06.00" personId="{4fc88236-7527-4b86-8124-44dbdd1d4185}" id="{0c0ccd1b-6fb5-4fe4-9fb1-6e81c4552f42}" parentId="{0f68502e-f6ca-4471-82e5-08d193bf3a8e}">
    <x18tc:text xml:space="preserve">I've changed it and linked it to the relevant tab now</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1" Type="http://schemas.openxmlformats.org/officeDocument/2006/relationships/hyperlink" Target="https://data.worldbank.org/indicator/SP.POP.TOTL?locations=RW" TargetMode="External"/><Relationship Id="rId10" Type="http://schemas.openxmlformats.org/officeDocument/2006/relationships/hyperlink" Target="https://data.worldbank.org/indicator/NY.GDP.PCAP.CD?locations=RW" TargetMode="External"/><Relationship Id="rId13" Type="http://schemas.openxmlformats.org/officeDocument/2006/relationships/hyperlink" Target="https://www.nber.org/system/files/working_papers/w22657/w22657.pdf" TargetMode="External"/><Relationship Id="rId12" Type="http://schemas.openxmlformats.org/officeDocument/2006/relationships/hyperlink" Target="https://docs.google.com/spreadsheets/d/1epyGHcuM9A7YjtddVpEPByBs_lxFY5fh1FQbVLlPneA/edit"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sciencedirect.com/science/article/pii/S0305750X18300287" TargetMode="External"/><Relationship Id="rId9" Type="http://schemas.openxmlformats.org/officeDocument/2006/relationships/hyperlink" Target="https://www.unicef-irc.org/publications/pdf/Time-to-Teach-Rwanda.pdf" TargetMode="External"/><Relationship Id="rId15" Type="http://schemas.openxmlformats.org/officeDocument/2006/relationships/vmlDrawing" Target="../drawings/vmlDrawing2.vml"/><Relationship Id="rId14" Type="http://schemas.openxmlformats.org/officeDocument/2006/relationships/drawing" Target="../drawings/drawing2.xml"/><Relationship Id="rId5" Type="http://schemas.openxmlformats.org/officeDocument/2006/relationships/hyperlink" Target="https://www.mineduc.gov.rw/basic-education" TargetMode="External"/><Relationship Id="rId6" Type="http://schemas.openxmlformats.org/officeDocument/2006/relationships/hyperlink" Target="https://www.mineduc.gov.rw/basic-education" TargetMode="External"/><Relationship Id="rId7" Type="http://schemas.openxmlformats.org/officeDocument/2006/relationships/hyperlink" Target="https://ourworldindata.org/grapher/pupil-teacher-ratio-for-primary-education-by-country?tab=table" TargetMode="External"/><Relationship Id="rId8" Type="http://schemas.openxmlformats.org/officeDocument/2006/relationships/hyperlink" Target="https://bfi.uchicago.edu/wp-content/uploads/2022/06/BFI_WP_2022-68-1.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ciencedirect.com/science/article/pii/S0305750X18300287" TargetMode="External"/><Relationship Id="rId2" Type="http://schemas.openxmlformats.org/officeDocument/2006/relationships/hyperlink" Target="https://ourworldindata.org/grapher/pupil-teacher-ratio-for-primary-education-by-country?tab=table" TargetMode="External"/><Relationship Id="rId3" Type="http://schemas.openxmlformats.org/officeDocument/2006/relationships/hyperlink" Target="https://bfi.uchicago.edu/wp-content/uploads/2022/06/BFI_WP_2022-68-1.pdf" TargetMode="External"/><Relationship Id="rId4" Type="http://schemas.openxmlformats.org/officeDocument/2006/relationships/hyperlink" Target="https://www.unicef-irc.org/publications/pdf/time-to-teach-teacher-attendance-and-time-on-task-in-west-and-central-africa.html.pdf" TargetMode="External"/><Relationship Id="rId5" Type="http://schemas.openxmlformats.org/officeDocument/2006/relationships/hyperlink" Target="https://data.worldbank.org/indicator/NY.GDP.PCAP.CD?locations=RW" TargetMode="External"/><Relationship Id="rId6" Type="http://schemas.openxmlformats.org/officeDocument/2006/relationships/hyperlink" Target="https://docs.google.com/spreadsheets/d/1epyGHcuM9A7YjtddVpEPByBs_lxFY5fh1FQbVLlPneA/edit" TargetMode="External"/><Relationship Id="rId7" Type="http://schemas.openxmlformats.org/officeDocument/2006/relationships/hyperlink" Target="https://www.nber.org/system/files/working_papers/w22657/w22657.pdf"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nber.org/system/files/working_papers/w22657/w22657.pdf" TargetMode="External"/><Relationship Id="rId22" Type="http://schemas.openxmlformats.org/officeDocument/2006/relationships/hyperlink" Target="https://docs.google.com/spreadsheets/d/1jJuNjPvTOz-HwtlO7x7UTS5cVAPFURMvyd1VkRFAHys/edit" TargetMode="External"/><Relationship Id="rId21" Type="http://schemas.openxmlformats.org/officeDocument/2006/relationships/hyperlink" Target="https://docs.google.com/spreadsheets/d/1KlNP-NDSOs51N4RLEUp76flx7wc6fQtLN1_ZlV8rSTU/edit" TargetMode="External"/><Relationship Id="rId24" Type="http://schemas.openxmlformats.org/officeDocument/2006/relationships/hyperlink" Target="https://founderspledge.com/research/fp-education" TargetMode="External"/><Relationship Id="rId23" Type="http://schemas.openxmlformats.org/officeDocument/2006/relationships/hyperlink" Target="https://founderspledge.com/research/fp-education"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document/d/1oRCE5mkcV5i-ow2B8x1mzMRRqJ2DwAlu_8S4HTO1JuA/edit" TargetMode="External"/><Relationship Id="rId9" Type="http://schemas.openxmlformats.org/officeDocument/2006/relationships/hyperlink" Target="https://documents1.worldbank.org/curated/en/830831468147839247/pdf/WPS7020.pdf" TargetMode="External"/><Relationship Id="rId26" Type="http://schemas.openxmlformats.org/officeDocument/2006/relationships/hyperlink" Target="https://www.researchgate.net/publication/279603863_Education_and_economic_growth_It's_not_just_going_to_school_but_learning_something_while_there_that_matters" TargetMode="External"/><Relationship Id="rId25" Type="http://schemas.openxmlformats.org/officeDocument/2006/relationships/hyperlink" Target="https://link.springer.com/article/10.1007/s10887-012-9081-x" TargetMode="External"/><Relationship Id="rId28" Type="http://schemas.openxmlformats.org/officeDocument/2006/relationships/hyperlink" Target="https://link.springer.com/article/10.1007/s10887-012-9081-x" TargetMode="External"/><Relationship Id="rId27" Type="http://schemas.openxmlformats.org/officeDocument/2006/relationships/hyperlink" Target="https://founderspledge.com/research/fp-education" TargetMode="External"/><Relationship Id="rId5" Type="http://schemas.openxmlformats.org/officeDocument/2006/relationships/hyperlink" Target="https://docs.google.com/spreadsheets/d/1jJuNjPvTOz-HwtlO7x7UTS5cVAPFURMvyd1VkRFAHys/edit" TargetMode="External"/><Relationship Id="rId6" Type="http://schemas.openxmlformats.org/officeDocument/2006/relationships/hyperlink" Target="http://documents.worldbank.org/curated/en/442521523465644318/Returns-to-investment-in-education-a-decennial-review-of-the-global-literature" TargetMode="External"/><Relationship Id="rId29" Type="http://schemas.openxmlformats.org/officeDocument/2006/relationships/hyperlink" Target="https://www.researchgate.net/publication/279603863_Education_and_economic_growth_It's_not_just_going_to_school_but_learning_something_while_there_that_matters" TargetMode="External"/><Relationship Id="rId7" Type="http://schemas.openxmlformats.org/officeDocument/2006/relationships/hyperlink" Target="http://documents.worldbank.org/curated/en/442521523465644318/Returns-to-investment-in-education-a-decennial-review-of-the-global-literature" TargetMode="External"/><Relationship Id="rId8" Type="http://schemas.openxmlformats.org/officeDocument/2006/relationships/hyperlink" Target="http://documents.worldbank.org/curated/en/442521523465644318/Returns-to-investment-in-education-a-decennial-review-of-the-global-literature" TargetMode="External"/><Relationship Id="rId31" Type="http://schemas.openxmlformats.org/officeDocument/2006/relationships/hyperlink" Target="https://docs.google.com/document/d/1oRCE5mkcV5i-ow2B8x1mzMRRqJ2DwAlu_8S4HTO1JuA/edit" TargetMode="External"/><Relationship Id="rId30" Type="http://schemas.openxmlformats.org/officeDocument/2006/relationships/hyperlink" Target="https://databank.worldbank.org/source/service-delivery-indicators/Series/SDI.E2.PCT" TargetMode="External"/><Relationship Id="rId11" Type="http://schemas.openxmlformats.org/officeDocument/2006/relationships/hyperlink" Target="https://documents1.worldbank.org/curated/en/830831468147839247/pdf/WPS7020.pdf" TargetMode="External"/><Relationship Id="rId33" Type="http://schemas.openxmlformats.org/officeDocument/2006/relationships/hyperlink" Target="https://docs.google.com/spreadsheets/d/1jJuNjPvTOz-HwtlO7x7UTS5cVAPFURMvyd1VkRFAHys/edit" TargetMode="External"/><Relationship Id="rId10" Type="http://schemas.openxmlformats.org/officeDocument/2006/relationships/hyperlink" Target="https://documents1.worldbank.org/curated/en/830831468147839247/pdf/WPS7020.pdf" TargetMode="External"/><Relationship Id="rId32" Type="http://schemas.openxmlformats.org/officeDocument/2006/relationships/hyperlink" Target="https://docs.google.com/spreadsheets/d/1KlNP-NDSOs51N4RLEUp76flx7wc6fQtLN1_ZlV8rSTU/edit" TargetMode="External"/><Relationship Id="rId13" Type="http://schemas.openxmlformats.org/officeDocument/2006/relationships/hyperlink" Target="https://documents1.worldbank.org/curated/en/830831468147839247/pdf/WPS7020.pdf" TargetMode="External"/><Relationship Id="rId35" Type="http://schemas.openxmlformats.org/officeDocument/2006/relationships/hyperlink" Target="https://docs.google.com/spreadsheets/d/1KlNP-NDSOs51N4RLEUp76flx7wc6fQtLN1_ZlV8rSTU/edit" TargetMode="External"/><Relationship Id="rId12" Type="http://schemas.openxmlformats.org/officeDocument/2006/relationships/hyperlink" Target="https://documents1.worldbank.org/curated/en/830831468147839247/pdf/WPS7020.pdf" TargetMode="External"/><Relationship Id="rId34" Type="http://schemas.openxmlformats.org/officeDocument/2006/relationships/hyperlink" Target="https://docs.google.com/spreadsheets/d/1Ek2Y6aFuSQqHA5HrKS5Ela4GIVKTFtU2_M4SlsX9T1E/edit" TargetMode="External"/><Relationship Id="rId15" Type="http://schemas.openxmlformats.org/officeDocument/2006/relationships/hyperlink" Target="http://jhr.uwpress.org/content/49/3/663.short" TargetMode="External"/><Relationship Id="rId37" Type="http://schemas.openxmlformats.org/officeDocument/2006/relationships/drawing" Target="../drawings/drawing4.xml"/><Relationship Id="rId14" Type="http://schemas.openxmlformats.org/officeDocument/2006/relationships/hyperlink" Target="https://documents1.worldbank.org/curated/en/830831468147839247/pdf/WPS7020.pdf" TargetMode="External"/><Relationship Id="rId36" Type="http://schemas.openxmlformats.org/officeDocument/2006/relationships/hyperlink" Target="https://docs.google.com/spreadsheets/d/1jJuNjPvTOz-HwtlO7x7UTS5cVAPFURMvyd1VkRFAHys/edit" TargetMode="External"/><Relationship Id="rId17" Type="http://schemas.openxmlformats.org/officeDocument/2006/relationships/hyperlink" Target="https://docs.google.com/spreadsheets/d/1jJuNjPvTOz-HwtlO7x7UTS5cVAPFURMvyd1VkRFAHys/edit" TargetMode="External"/><Relationship Id="rId16" Type="http://schemas.openxmlformats.org/officeDocument/2006/relationships/hyperlink" Target="https://docs.google.com/document/d/1oRCE5mkcV5i-ow2B8x1mzMRRqJ2DwAlu_8S4HTO1JuA/edit" TargetMode="External"/><Relationship Id="rId38" Type="http://schemas.openxmlformats.org/officeDocument/2006/relationships/vmlDrawing" Target="../drawings/vmlDrawing3.vml"/><Relationship Id="rId19" Type="http://schemas.openxmlformats.org/officeDocument/2006/relationships/hyperlink" Target="https://www.nber.org/system/files/working_papers/w19762/w19762.pdf" TargetMode="External"/><Relationship Id="rId18" Type="http://schemas.openxmlformats.org/officeDocument/2006/relationships/hyperlink" Target="https://docs.google.com/spreadsheets/d/1jJuNjPvTOz-HwtlO7x7UTS5cVAPFURMvyd1VkRFAHys/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4" width="14.25"/>
  </cols>
  <sheetData>
    <row r="1">
      <c r="A1" s="1"/>
      <c r="B1" s="2" t="s">
        <v>0</v>
      </c>
      <c r="C1" s="2" t="s">
        <v>1</v>
      </c>
      <c r="D1" s="2" t="s">
        <v>2</v>
      </c>
      <c r="E1" s="2" t="s">
        <v>3</v>
      </c>
    </row>
    <row r="2">
      <c r="A2" s="3" t="s">
        <v>4</v>
      </c>
      <c r="B2" s="4">
        <f>'CEA (Rwanda)'!B116</f>
        <v>23155995.14</v>
      </c>
      <c r="C2" s="4">
        <f>'CEA (SSA)'!B116</f>
        <v>33688567.87</v>
      </c>
      <c r="D2" s="4">
        <f t="shared" ref="D2:D5" si="1">AVERAGE(B2:C2)</f>
        <v>28422281.5</v>
      </c>
    </row>
    <row r="3">
      <c r="A3" s="3" t="s">
        <v>5</v>
      </c>
      <c r="B3" s="4">
        <f>'CEA (Rwanda)'!B117</f>
        <v>583271568.4</v>
      </c>
      <c r="C3" s="4">
        <f>'CEA (SSA)'!B117</f>
        <v>1920423914</v>
      </c>
      <c r="D3" s="4">
        <f t="shared" si="1"/>
        <v>1251847741</v>
      </c>
      <c r="E3" s="5" t="s">
        <v>6</v>
      </c>
    </row>
    <row r="4">
      <c r="A4" s="3" t="s">
        <v>7</v>
      </c>
      <c r="B4" s="6">
        <f>'CEA (Rwanda)'!B118</f>
        <v>25.18879301</v>
      </c>
      <c r="C4" s="6">
        <f>'CEA (SSA)'!B118</f>
        <v>57.00521083</v>
      </c>
      <c r="D4" s="6">
        <f t="shared" si="1"/>
        <v>41.09700192</v>
      </c>
      <c r="E4" s="5" t="s">
        <v>8</v>
      </c>
    </row>
    <row r="5">
      <c r="A5" s="3" t="s">
        <v>9</v>
      </c>
      <c r="B5" s="4">
        <f>'CEA (Rwanda)'!B125</f>
        <v>52.36729932</v>
      </c>
      <c r="C5" s="4">
        <f>'CEA (SSA)'!B125</f>
        <v>46.30678643</v>
      </c>
      <c r="D5" s="4">
        <f t="shared" si="1"/>
        <v>49.33704288</v>
      </c>
      <c r="E5" s="5" t="s">
        <v>10</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88"/>
    <col customWidth="1" min="2" max="2" width="15.88"/>
  </cols>
  <sheetData>
    <row r="1">
      <c r="A1" s="7">
        <v>4.0</v>
      </c>
      <c r="N1" s="8"/>
      <c r="O1" s="8"/>
      <c r="P1" s="8"/>
      <c r="Q1" s="8"/>
      <c r="R1" s="8"/>
      <c r="S1" s="8"/>
      <c r="T1" s="8"/>
      <c r="U1" s="8"/>
      <c r="V1" s="8"/>
      <c r="W1" s="8"/>
      <c r="X1" s="8"/>
      <c r="Y1" s="8"/>
      <c r="Z1" s="8"/>
      <c r="AA1" s="8"/>
      <c r="AB1" s="8"/>
      <c r="AC1" s="8"/>
      <c r="AD1" s="8"/>
      <c r="AE1" s="8"/>
      <c r="AF1" s="8"/>
      <c r="AG1" s="8"/>
      <c r="AH1" s="8"/>
      <c r="AI1" s="8"/>
      <c r="AJ1" s="8"/>
      <c r="AK1" s="8"/>
      <c r="AL1" s="8"/>
      <c r="AM1" s="8"/>
    </row>
    <row r="2">
      <c r="A2" s="9" t="s">
        <v>11</v>
      </c>
      <c r="B2" s="7" t="s">
        <v>12</v>
      </c>
      <c r="C2" s="9" t="s">
        <v>13</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row>
    <row r="3">
      <c r="A3" s="10" t="s">
        <v>4</v>
      </c>
      <c r="B3" s="11"/>
      <c r="C3" s="12"/>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row>
    <row r="4">
      <c r="A4" s="14" t="s">
        <v>14</v>
      </c>
      <c r="B4" s="15"/>
      <c r="C4" s="16"/>
    </row>
    <row r="5">
      <c r="A5" s="17" t="s">
        <v>15</v>
      </c>
      <c r="B5" s="18">
        <v>1.0</v>
      </c>
      <c r="C5" s="16"/>
      <c r="F5" s="19" t="s">
        <v>16</v>
      </c>
    </row>
    <row r="6">
      <c r="A6" s="20" t="s">
        <v>17</v>
      </c>
      <c r="B6" s="21">
        <v>125000.0</v>
      </c>
      <c r="C6" s="16" t="s">
        <v>18</v>
      </c>
      <c r="F6" s="5" t="s">
        <v>19</v>
      </c>
    </row>
    <row r="7">
      <c r="A7" s="17"/>
      <c r="B7" s="15"/>
      <c r="C7" s="16"/>
      <c r="F7" s="5" t="s">
        <v>20</v>
      </c>
    </row>
    <row r="8">
      <c r="A8" s="14" t="s">
        <v>21</v>
      </c>
      <c r="B8" s="15"/>
      <c r="C8" s="16"/>
    </row>
    <row r="9">
      <c r="A9" s="22" t="s">
        <v>22</v>
      </c>
      <c r="B9" s="23">
        <v>1.0</v>
      </c>
      <c r="C9" s="24" t="s">
        <v>18</v>
      </c>
      <c r="F9" s="25"/>
      <c r="G9" s="26"/>
    </row>
    <row r="10">
      <c r="A10" s="17" t="s">
        <v>23</v>
      </c>
      <c r="B10" s="27">
        <v>8.0</v>
      </c>
      <c r="C10" s="16" t="s">
        <v>18</v>
      </c>
      <c r="F10" s="25"/>
      <c r="G10" s="26"/>
    </row>
    <row r="11">
      <c r="A11" s="17" t="s">
        <v>24</v>
      </c>
      <c r="B11" s="28">
        <v>225000.0</v>
      </c>
      <c r="C11" s="16" t="s">
        <v>25</v>
      </c>
      <c r="F11" s="25"/>
      <c r="G11" s="26"/>
    </row>
    <row r="12">
      <c r="A12" s="17" t="s">
        <v>26</v>
      </c>
      <c r="B12" s="29">
        <v>0.16</v>
      </c>
      <c r="C12" s="30" t="s">
        <v>27</v>
      </c>
      <c r="F12" s="25"/>
      <c r="G12" s="26"/>
    </row>
    <row r="13">
      <c r="A13" s="17" t="s">
        <v>28</v>
      </c>
      <c r="B13" s="31">
        <v>25.0</v>
      </c>
      <c r="C13" s="16" t="s">
        <v>29</v>
      </c>
      <c r="F13" s="25"/>
      <c r="G13" s="26"/>
    </row>
    <row r="14">
      <c r="A14" s="17" t="s">
        <v>30</v>
      </c>
      <c r="B14" s="32">
        <f>AVERAGE(Calculations!$A$136:$A$138)</f>
        <v>6.666666667</v>
      </c>
      <c r="C14" s="33" t="s">
        <v>31</v>
      </c>
      <c r="F14" s="34"/>
      <c r="G14" s="26"/>
    </row>
    <row r="15">
      <c r="A15" s="35" t="s">
        <v>32</v>
      </c>
      <c r="B15" s="36">
        <v>30.0</v>
      </c>
      <c r="C15" s="33" t="s">
        <v>33</v>
      </c>
      <c r="F15" s="37"/>
      <c r="G15" s="26"/>
    </row>
    <row r="16">
      <c r="A16" s="17" t="s">
        <v>34</v>
      </c>
      <c r="B16" s="38">
        <f>roundup(AVERAGE(Calculations!A128:A132),0)</f>
        <v>30</v>
      </c>
      <c r="C16" s="33" t="s">
        <v>31</v>
      </c>
      <c r="F16" s="37"/>
      <c r="G16" s="26"/>
    </row>
    <row r="17">
      <c r="A17" s="39" t="s">
        <v>35</v>
      </c>
      <c r="B17" s="32">
        <v>8.0</v>
      </c>
      <c r="C17" s="33" t="s">
        <v>36</v>
      </c>
      <c r="F17" s="34"/>
      <c r="G17" s="26"/>
    </row>
    <row r="18">
      <c r="A18" s="17"/>
      <c r="B18" s="40"/>
      <c r="C18" s="33"/>
      <c r="F18" s="34"/>
      <c r="G18" s="26"/>
    </row>
    <row r="19">
      <c r="A19" s="14" t="s">
        <v>37</v>
      </c>
      <c r="B19" s="40"/>
      <c r="C19" s="33"/>
      <c r="F19" s="34"/>
      <c r="G19" s="26"/>
    </row>
    <row r="20">
      <c r="A20" s="17" t="s">
        <v>38</v>
      </c>
      <c r="B20" s="32">
        <v>2961.0</v>
      </c>
      <c r="C20" s="41" t="s">
        <v>39</v>
      </c>
      <c r="F20" s="34"/>
      <c r="G20" s="26"/>
    </row>
    <row r="21">
      <c r="A21" s="22" t="s">
        <v>40</v>
      </c>
      <c r="B21" s="32">
        <v>2512465.0</v>
      </c>
      <c r="C21" s="41" t="s">
        <v>41</v>
      </c>
      <c r="F21" s="42"/>
      <c r="G21" s="26"/>
    </row>
    <row r="22">
      <c r="A22" s="17" t="s">
        <v>42</v>
      </c>
      <c r="B22" s="43">
        <f>B21/B20</f>
        <v>848.5190814</v>
      </c>
      <c r="C22" s="33" t="s">
        <v>43</v>
      </c>
      <c r="F22" s="34"/>
      <c r="G22" s="26"/>
    </row>
    <row r="23">
      <c r="A23" s="17" t="s">
        <v>44</v>
      </c>
      <c r="B23" s="44">
        <v>58.34</v>
      </c>
      <c r="C23" s="41" t="s">
        <v>45</v>
      </c>
      <c r="F23" s="34"/>
      <c r="G23" s="26"/>
    </row>
    <row r="24">
      <c r="A24" s="17" t="s">
        <v>46</v>
      </c>
      <c r="B24" s="43">
        <f>B22/B23</f>
        <v>14.54437918</v>
      </c>
      <c r="C24" s="33" t="s">
        <v>47</v>
      </c>
      <c r="F24" s="34"/>
      <c r="G24" s="26"/>
    </row>
    <row r="25">
      <c r="A25" s="17" t="s">
        <v>48</v>
      </c>
      <c r="B25" s="45">
        <v>0.01</v>
      </c>
      <c r="C25" s="41" t="s">
        <v>49</v>
      </c>
      <c r="F25" s="34"/>
      <c r="G25" s="26"/>
    </row>
    <row r="26">
      <c r="A26" s="17" t="s">
        <v>50</v>
      </c>
      <c r="B26" s="45">
        <v>0.5</v>
      </c>
      <c r="C26" s="33" t="s">
        <v>51</v>
      </c>
      <c r="F26" s="34"/>
      <c r="H26" s="46" t="s">
        <v>52</v>
      </c>
    </row>
    <row r="27">
      <c r="A27" s="17" t="s">
        <v>53</v>
      </c>
      <c r="B27" s="43">
        <f>B20*B25</f>
        <v>29.61</v>
      </c>
      <c r="C27" s="33" t="s">
        <v>54</v>
      </c>
      <c r="F27" s="34"/>
      <c r="G27" s="26"/>
    </row>
    <row r="28">
      <c r="A28" s="17" t="s">
        <v>55</v>
      </c>
      <c r="B28" s="47">
        <f>$B$27+(($B$35-$B$27)/$B$10)</f>
        <v>210.97125</v>
      </c>
      <c r="C28" s="33"/>
      <c r="F28" s="34"/>
      <c r="G28" s="48"/>
      <c r="J28" s="49"/>
    </row>
    <row r="29">
      <c r="A29" s="17" t="s">
        <v>56</v>
      </c>
      <c r="B29" s="50">
        <f t="shared" ref="B29:B34" si="1">B28+(($B$35-$B$27)/$B$10)</f>
        <v>392.3325</v>
      </c>
      <c r="C29" s="33"/>
      <c r="F29" s="34"/>
      <c r="G29" s="48"/>
      <c r="J29" s="49"/>
    </row>
    <row r="30">
      <c r="A30" s="17" t="s">
        <v>57</v>
      </c>
      <c r="B30" s="50">
        <f t="shared" si="1"/>
        <v>573.69375</v>
      </c>
      <c r="C30" s="33"/>
      <c r="F30" s="34"/>
      <c r="G30" s="48"/>
      <c r="J30" s="49"/>
    </row>
    <row r="31">
      <c r="A31" s="17" t="s">
        <v>58</v>
      </c>
      <c r="B31" s="50">
        <f t="shared" si="1"/>
        <v>755.055</v>
      </c>
      <c r="C31" s="33"/>
      <c r="F31" s="34"/>
      <c r="G31" s="48"/>
      <c r="J31" s="49"/>
    </row>
    <row r="32">
      <c r="A32" s="17" t="s">
        <v>59</v>
      </c>
      <c r="B32" s="50">
        <f t="shared" si="1"/>
        <v>936.41625</v>
      </c>
      <c r="C32" s="33"/>
      <c r="F32" s="34"/>
      <c r="G32" s="48"/>
      <c r="J32" s="49"/>
    </row>
    <row r="33">
      <c r="A33" s="17" t="s">
        <v>60</v>
      </c>
      <c r="B33" s="50">
        <f t="shared" si="1"/>
        <v>1117.7775</v>
      </c>
      <c r="C33" s="33"/>
      <c r="F33" s="34"/>
      <c r="G33" s="48"/>
      <c r="J33" s="49"/>
    </row>
    <row r="34">
      <c r="A34" s="17" t="s">
        <v>61</v>
      </c>
      <c r="B34" s="50">
        <f t="shared" si="1"/>
        <v>1299.13875</v>
      </c>
      <c r="C34" s="33"/>
      <c r="F34" s="34"/>
      <c r="G34" s="48"/>
      <c r="J34" s="49"/>
    </row>
    <row r="35">
      <c r="A35" s="17" t="s">
        <v>62</v>
      </c>
      <c r="B35" s="43">
        <f>B20*B26</f>
        <v>1480.5</v>
      </c>
      <c r="C35" s="33" t="s">
        <v>54</v>
      </c>
      <c r="F35" s="34"/>
    </row>
    <row r="36">
      <c r="A36" s="5" t="s">
        <v>63</v>
      </c>
      <c r="B36" s="43">
        <f>B27*B22</f>
        <v>25124.65</v>
      </c>
      <c r="C36" s="51" t="s">
        <v>64</v>
      </c>
    </row>
    <row r="37" hidden="1">
      <c r="A37" s="5" t="s">
        <v>65</v>
      </c>
      <c r="B37" s="43">
        <f t="shared" ref="B37:B43" si="2">B36+(($B$44-$B$36)/$B$10)</f>
        <v>179013.1313</v>
      </c>
      <c r="C37" s="51"/>
    </row>
    <row r="38" hidden="1">
      <c r="A38" s="5" t="s">
        <v>66</v>
      </c>
      <c r="B38" s="43">
        <f t="shared" si="2"/>
        <v>332901.6125</v>
      </c>
      <c r="C38" s="51"/>
    </row>
    <row r="39" hidden="1">
      <c r="A39" s="5" t="s">
        <v>67</v>
      </c>
      <c r="B39" s="43">
        <f t="shared" si="2"/>
        <v>486790.0938</v>
      </c>
      <c r="C39" s="51"/>
    </row>
    <row r="40" hidden="1">
      <c r="A40" s="5" t="s">
        <v>68</v>
      </c>
      <c r="B40" s="43">
        <f t="shared" si="2"/>
        <v>640678.575</v>
      </c>
      <c r="C40" s="51"/>
    </row>
    <row r="41" hidden="1">
      <c r="A41" s="5" t="s">
        <v>69</v>
      </c>
      <c r="B41" s="43">
        <f t="shared" si="2"/>
        <v>794567.0563</v>
      </c>
      <c r="C41" s="51"/>
    </row>
    <row r="42" hidden="1">
      <c r="A42" s="5" t="s">
        <v>70</v>
      </c>
      <c r="B42" s="43">
        <f t="shared" si="2"/>
        <v>948455.5375</v>
      </c>
      <c r="C42" s="51"/>
    </row>
    <row r="43" hidden="1">
      <c r="A43" s="5" t="s">
        <v>71</v>
      </c>
      <c r="B43" s="43">
        <f t="shared" si="2"/>
        <v>1102344.019</v>
      </c>
      <c r="C43" s="51"/>
    </row>
    <row r="44">
      <c r="A44" s="5" t="s">
        <v>72</v>
      </c>
      <c r="B44" s="43">
        <f>B22*B35</f>
        <v>1256232.5</v>
      </c>
      <c r="C44" s="51" t="s">
        <v>73</v>
      </c>
    </row>
    <row r="45">
      <c r="A45" s="5" t="s">
        <v>74</v>
      </c>
      <c r="B45" s="43">
        <f>B24*B27</f>
        <v>430.6590675</v>
      </c>
      <c r="C45" s="51" t="s">
        <v>75</v>
      </c>
    </row>
    <row r="46">
      <c r="A46" s="5" t="s">
        <v>76</v>
      </c>
      <c r="B46" s="43">
        <f>B24*B35</f>
        <v>21532.95338</v>
      </c>
      <c r="C46" s="51" t="s">
        <v>77</v>
      </c>
    </row>
    <row r="47">
      <c r="A47" s="52" t="s">
        <v>78</v>
      </c>
      <c r="B47" s="53">
        <f>AVERAGE(0.38,0.3,0.5/6.9,0.3,0.54)</f>
        <v>0.3184927536</v>
      </c>
      <c r="C47" s="51" t="s">
        <v>79</v>
      </c>
    </row>
    <row r="48">
      <c r="A48" s="52" t="s">
        <v>80</v>
      </c>
      <c r="B48" s="54">
        <v>0.8</v>
      </c>
      <c r="C48" s="51" t="s">
        <v>18</v>
      </c>
      <c r="J48" s="49"/>
    </row>
    <row r="49">
      <c r="A49" s="52" t="s">
        <v>81</v>
      </c>
      <c r="B49" s="55">
        <f>B47*B48</f>
        <v>0.2547942029</v>
      </c>
      <c r="C49" s="51" t="s">
        <v>82</v>
      </c>
      <c r="J49" s="49"/>
    </row>
    <row r="50">
      <c r="A50" s="5"/>
      <c r="B50" s="56"/>
      <c r="C50" s="51"/>
      <c r="J50" s="49"/>
    </row>
    <row r="51">
      <c r="A51" s="3" t="s">
        <v>83</v>
      </c>
      <c r="B51" s="57">
        <f>B6+(B36*B12)+(B13*B45)</f>
        <v>139786.4207</v>
      </c>
      <c r="C51" s="51"/>
    </row>
    <row r="52">
      <c r="A52" s="3" t="s">
        <v>84</v>
      </c>
      <c r="B52" s="57">
        <f>(B11*B10)+(B12*B44)+(B13*B46)</f>
        <v>2539321.034</v>
      </c>
      <c r="C52" s="51"/>
    </row>
    <row r="53">
      <c r="A53" s="17"/>
      <c r="B53" s="40"/>
      <c r="C53" s="33"/>
      <c r="F53" s="34"/>
      <c r="G53" s="26"/>
    </row>
    <row r="54">
      <c r="A54" s="5" t="s">
        <v>85</v>
      </c>
      <c r="B54" s="45">
        <v>0.8</v>
      </c>
      <c r="C54" s="51" t="s">
        <v>86</v>
      </c>
      <c r="E54" s="58"/>
    </row>
    <row r="55">
      <c r="A55" s="59" t="s">
        <v>87</v>
      </c>
      <c r="B55" s="60">
        <v>0.9281</v>
      </c>
      <c r="C55" s="61" t="s">
        <v>88</v>
      </c>
      <c r="D55" s="62"/>
      <c r="E55" s="63"/>
      <c r="F55" s="62"/>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62"/>
      <c r="AG55" s="62"/>
      <c r="AH55" s="62"/>
      <c r="AI55" s="62"/>
      <c r="AJ55" s="62"/>
      <c r="AK55" s="62"/>
      <c r="AL55" s="62"/>
      <c r="AM55" s="62"/>
    </row>
    <row r="56">
      <c r="A56" s="5" t="s">
        <v>89</v>
      </c>
      <c r="B56" s="64">
        <f>1-((AVERAGE(0.08*1.5/5,0.09*1.5/5))*Calculations!D124)</f>
        <v>0.754562898</v>
      </c>
      <c r="C56" s="65" t="s">
        <v>90</v>
      </c>
      <c r="E56" s="58"/>
      <c r="G56" s="5"/>
    </row>
    <row r="57">
      <c r="A57" s="5" t="s">
        <v>91</v>
      </c>
      <c r="B57" s="45">
        <v>0.8</v>
      </c>
      <c r="C57" s="51" t="s">
        <v>18</v>
      </c>
      <c r="H57" s="46" t="s">
        <v>52</v>
      </c>
    </row>
    <row r="58">
      <c r="A58" s="22" t="s">
        <v>92</v>
      </c>
      <c r="B58" s="66">
        <v>0.04</v>
      </c>
      <c r="C58" s="24" t="s">
        <v>93</v>
      </c>
      <c r="D58" s="62"/>
      <c r="E58" s="62"/>
      <c r="F58" s="67"/>
      <c r="G58" s="68"/>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2"/>
      <c r="AL58" s="62"/>
      <c r="AM58" s="62"/>
    </row>
    <row r="59">
      <c r="A59" s="39" t="s">
        <v>94</v>
      </c>
      <c r="B59" s="64">
        <v>0.01</v>
      </c>
      <c r="C59" s="16" t="s">
        <v>95</v>
      </c>
      <c r="F59" s="69"/>
      <c r="G59" s="26"/>
    </row>
    <row r="60">
      <c r="A60" s="17"/>
      <c r="B60" s="70"/>
      <c r="C60" s="71"/>
      <c r="F60" s="72"/>
      <c r="G60" s="35"/>
    </row>
    <row r="61">
      <c r="A61" s="73" t="s">
        <v>96</v>
      </c>
      <c r="B61" s="74"/>
      <c r="C61" s="74"/>
      <c r="D61" s="74"/>
      <c r="E61" s="74"/>
      <c r="F61" s="74"/>
      <c r="G61" s="74"/>
      <c r="H61" s="74"/>
      <c r="I61" s="74"/>
      <c r="J61" s="74"/>
      <c r="K61" s="75"/>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row>
    <row r="62">
      <c r="A62" s="5" t="s">
        <v>97</v>
      </c>
      <c r="B62" s="44">
        <v>822.3</v>
      </c>
      <c r="C62" s="76" t="s">
        <v>98</v>
      </c>
      <c r="F62" s="77"/>
      <c r="K62" s="56"/>
    </row>
    <row r="63">
      <c r="A63" s="39" t="s">
        <v>99</v>
      </c>
      <c r="B63" s="32">
        <v>1.3461888E7</v>
      </c>
      <c r="C63" s="76" t="s">
        <v>100</v>
      </c>
    </row>
    <row r="65">
      <c r="A65" s="73" t="s">
        <v>101</v>
      </c>
    </row>
    <row r="66">
      <c r="A66" s="5" t="s">
        <v>102</v>
      </c>
      <c r="B66" s="78">
        <f>1/2.3</f>
        <v>0.4347826087</v>
      </c>
      <c r="C66" s="41" t="s">
        <v>103</v>
      </c>
      <c r="D66" s="5" t="s">
        <v>104</v>
      </c>
    </row>
    <row r="67">
      <c r="A67" s="5"/>
      <c r="B67" s="5"/>
      <c r="C67" s="33"/>
    </row>
    <row r="68">
      <c r="D68" s="56"/>
      <c r="E68" s="56"/>
    </row>
    <row r="69">
      <c r="A69" s="79" t="s">
        <v>105</v>
      </c>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row>
    <row r="70">
      <c r="A70" s="5" t="s">
        <v>106</v>
      </c>
      <c r="B70" s="64">
        <v>0.1</v>
      </c>
      <c r="C70" s="41" t="s">
        <v>107</v>
      </c>
    </row>
    <row r="72">
      <c r="A72" s="80" t="s">
        <v>108</v>
      </c>
    </row>
    <row r="73">
      <c r="A73" s="5" t="s">
        <v>109</v>
      </c>
      <c r="B73" s="5">
        <v>1.0</v>
      </c>
      <c r="C73" s="5">
        <v>2.0</v>
      </c>
      <c r="D73" s="5">
        <v>3.0</v>
      </c>
      <c r="E73" s="5">
        <v>4.0</v>
      </c>
      <c r="F73" s="5">
        <v>5.0</v>
      </c>
      <c r="G73" s="5">
        <v>6.0</v>
      </c>
      <c r="H73" s="5">
        <v>7.0</v>
      </c>
      <c r="I73" s="5">
        <v>8.0</v>
      </c>
      <c r="J73" s="5">
        <v>9.0</v>
      </c>
      <c r="K73" s="5">
        <v>10.0</v>
      </c>
      <c r="L73" s="5">
        <v>11.0</v>
      </c>
      <c r="M73" s="5">
        <v>12.0</v>
      </c>
      <c r="N73" s="5">
        <v>13.0</v>
      </c>
      <c r="O73" s="5">
        <v>14.0</v>
      </c>
      <c r="P73" s="5">
        <v>15.0</v>
      </c>
      <c r="Q73" s="5">
        <v>16.0</v>
      </c>
      <c r="R73" s="5">
        <v>17.0</v>
      </c>
      <c r="S73" s="5">
        <v>18.0</v>
      </c>
      <c r="T73" s="5">
        <v>19.0</v>
      </c>
      <c r="U73" s="5">
        <v>20.0</v>
      </c>
      <c r="V73" s="5">
        <v>21.0</v>
      </c>
      <c r="W73" s="5">
        <v>22.0</v>
      </c>
      <c r="X73" s="5">
        <v>23.0</v>
      </c>
      <c r="Y73" s="5">
        <v>24.0</v>
      </c>
      <c r="Z73" s="5">
        <v>25.0</v>
      </c>
      <c r="AA73" s="5">
        <v>26.0</v>
      </c>
      <c r="AB73" s="5">
        <v>27.0</v>
      </c>
      <c r="AC73" s="5">
        <v>28.0</v>
      </c>
      <c r="AD73" s="5">
        <v>29.0</v>
      </c>
      <c r="AE73" s="5">
        <v>30.0</v>
      </c>
      <c r="AF73" s="5">
        <v>31.0</v>
      </c>
      <c r="AG73" s="5">
        <v>32.0</v>
      </c>
      <c r="AH73" s="5">
        <v>33.0</v>
      </c>
      <c r="AI73" s="5">
        <v>34.0</v>
      </c>
      <c r="AJ73" s="5">
        <v>35.0</v>
      </c>
      <c r="AK73" s="5">
        <v>36.0</v>
      </c>
      <c r="AL73" s="5">
        <v>37.0</v>
      </c>
      <c r="AM73" s="5">
        <v>38.0</v>
      </c>
    </row>
    <row r="74">
      <c r="A74" s="22" t="s">
        <v>110</v>
      </c>
      <c r="B74" s="81">
        <v>0.0</v>
      </c>
      <c r="C74" s="81">
        <v>0.0</v>
      </c>
      <c r="D74" s="81">
        <v>0.0</v>
      </c>
      <c r="E74" s="81">
        <v>0.0</v>
      </c>
      <c r="F74" s="81">
        <v>0.0</v>
      </c>
      <c r="G74" s="81">
        <v>0.0</v>
      </c>
      <c r="H74" s="81">
        <v>0.0</v>
      </c>
      <c r="I74" s="81">
        <v>0.0</v>
      </c>
      <c r="J74" s="82">
        <f t="shared" ref="J74:AM74" si="3">$B$62*($B$70)*$B$49</f>
        <v>20.9517273</v>
      </c>
      <c r="K74" s="82">
        <f t="shared" si="3"/>
        <v>20.9517273</v>
      </c>
      <c r="L74" s="82">
        <f t="shared" si="3"/>
        <v>20.9517273</v>
      </c>
      <c r="M74" s="82">
        <f t="shared" si="3"/>
        <v>20.9517273</v>
      </c>
      <c r="N74" s="82">
        <f t="shared" si="3"/>
        <v>20.9517273</v>
      </c>
      <c r="O74" s="82">
        <f t="shared" si="3"/>
        <v>20.9517273</v>
      </c>
      <c r="P74" s="82">
        <f t="shared" si="3"/>
        <v>20.9517273</v>
      </c>
      <c r="Q74" s="82">
        <f t="shared" si="3"/>
        <v>20.9517273</v>
      </c>
      <c r="R74" s="82">
        <f t="shared" si="3"/>
        <v>20.9517273</v>
      </c>
      <c r="S74" s="82">
        <f t="shared" si="3"/>
        <v>20.9517273</v>
      </c>
      <c r="T74" s="82">
        <f t="shared" si="3"/>
        <v>20.9517273</v>
      </c>
      <c r="U74" s="82">
        <f t="shared" si="3"/>
        <v>20.9517273</v>
      </c>
      <c r="V74" s="82">
        <f t="shared" si="3"/>
        <v>20.9517273</v>
      </c>
      <c r="W74" s="82">
        <f t="shared" si="3"/>
        <v>20.9517273</v>
      </c>
      <c r="X74" s="82">
        <f t="shared" si="3"/>
        <v>20.9517273</v>
      </c>
      <c r="Y74" s="82">
        <f t="shared" si="3"/>
        <v>20.9517273</v>
      </c>
      <c r="Z74" s="82">
        <f t="shared" si="3"/>
        <v>20.9517273</v>
      </c>
      <c r="AA74" s="82">
        <f t="shared" si="3"/>
        <v>20.9517273</v>
      </c>
      <c r="AB74" s="82">
        <f t="shared" si="3"/>
        <v>20.9517273</v>
      </c>
      <c r="AC74" s="82">
        <f t="shared" si="3"/>
        <v>20.9517273</v>
      </c>
      <c r="AD74" s="82">
        <f t="shared" si="3"/>
        <v>20.9517273</v>
      </c>
      <c r="AE74" s="82">
        <f t="shared" si="3"/>
        <v>20.9517273</v>
      </c>
      <c r="AF74" s="82">
        <f t="shared" si="3"/>
        <v>20.9517273</v>
      </c>
      <c r="AG74" s="82">
        <f t="shared" si="3"/>
        <v>20.9517273</v>
      </c>
      <c r="AH74" s="82">
        <f t="shared" si="3"/>
        <v>20.9517273</v>
      </c>
      <c r="AI74" s="82">
        <f t="shared" si="3"/>
        <v>20.9517273</v>
      </c>
      <c r="AJ74" s="82">
        <f t="shared" si="3"/>
        <v>20.9517273</v>
      </c>
      <c r="AK74" s="82">
        <f t="shared" si="3"/>
        <v>20.9517273</v>
      </c>
      <c r="AL74" s="82">
        <f t="shared" si="3"/>
        <v>20.9517273</v>
      </c>
      <c r="AM74" s="82">
        <f t="shared" si="3"/>
        <v>20.9517273</v>
      </c>
    </row>
    <row r="75">
      <c r="A75" s="5" t="s">
        <v>111</v>
      </c>
      <c r="B75" s="83">
        <f t="shared" ref="B75:AM75" si="4">B74/$B62</f>
        <v>0</v>
      </c>
      <c r="C75" s="83">
        <f t="shared" si="4"/>
        <v>0</v>
      </c>
      <c r="D75" s="83">
        <f t="shared" si="4"/>
        <v>0</v>
      </c>
      <c r="E75" s="83">
        <f t="shared" si="4"/>
        <v>0</v>
      </c>
      <c r="F75" s="83">
        <f t="shared" si="4"/>
        <v>0</v>
      </c>
      <c r="G75" s="83">
        <f t="shared" si="4"/>
        <v>0</v>
      </c>
      <c r="H75" s="83">
        <f t="shared" si="4"/>
        <v>0</v>
      </c>
      <c r="I75" s="83">
        <f t="shared" si="4"/>
        <v>0</v>
      </c>
      <c r="J75" s="83">
        <f t="shared" si="4"/>
        <v>0.02547942029</v>
      </c>
      <c r="K75" s="83">
        <f t="shared" si="4"/>
        <v>0.02547942029</v>
      </c>
      <c r="L75" s="83">
        <f t="shared" si="4"/>
        <v>0.02547942029</v>
      </c>
      <c r="M75" s="83">
        <f t="shared" si="4"/>
        <v>0.02547942029</v>
      </c>
      <c r="N75" s="83">
        <f t="shared" si="4"/>
        <v>0.02547942029</v>
      </c>
      <c r="O75" s="83">
        <f t="shared" si="4"/>
        <v>0.02547942029</v>
      </c>
      <c r="P75" s="83">
        <f t="shared" si="4"/>
        <v>0.02547942029</v>
      </c>
      <c r="Q75" s="83">
        <f t="shared" si="4"/>
        <v>0.02547942029</v>
      </c>
      <c r="R75" s="83">
        <f t="shared" si="4"/>
        <v>0.02547942029</v>
      </c>
      <c r="S75" s="83">
        <f t="shared" si="4"/>
        <v>0.02547942029</v>
      </c>
      <c r="T75" s="83">
        <f t="shared" si="4"/>
        <v>0.02547942029</v>
      </c>
      <c r="U75" s="83">
        <f t="shared" si="4"/>
        <v>0.02547942029</v>
      </c>
      <c r="V75" s="83">
        <f t="shared" si="4"/>
        <v>0.02547942029</v>
      </c>
      <c r="W75" s="83">
        <f t="shared" si="4"/>
        <v>0.02547942029</v>
      </c>
      <c r="X75" s="83">
        <f t="shared" si="4"/>
        <v>0.02547942029</v>
      </c>
      <c r="Y75" s="83">
        <f t="shared" si="4"/>
        <v>0.02547942029</v>
      </c>
      <c r="Z75" s="83">
        <f t="shared" si="4"/>
        <v>0.02547942029</v>
      </c>
      <c r="AA75" s="83">
        <f t="shared" si="4"/>
        <v>0.02547942029</v>
      </c>
      <c r="AB75" s="83">
        <f t="shared" si="4"/>
        <v>0.02547942029</v>
      </c>
      <c r="AC75" s="83">
        <f t="shared" si="4"/>
        <v>0.02547942029</v>
      </c>
      <c r="AD75" s="83">
        <f t="shared" si="4"/>
        <v>0.02547942029</v>
      </c>
      <c r="AE75" s="83">
        <f t="shared" si="4"/>
        <v>0.02547942029</v>
      </c>
      <c r="AF75" s="83">
        <f t="shared" si="4"/>
        <v>0.02547942029</v>
      </c>
      <c r="AG75" s="83">
        <f t="shared" si="4"/>
        <v>0.02547942029</v>
      </c>
      <c r="AH75" s="83">
        <f t="shared" si="4"/>
        <v>0.02547942029</v>
      </c>
      <c r="AI75" s="83">
        <f t="shared" si="4"/>
        <v>0.02547942029</v>
      </c>
      <c r="AJ75" s="83">
        <f t="shared" si="4"/>
        <v>0.02547942029</v>
      </c>
      <c r="AK75" s="83">
        <f t="shared" si="4"/>
        <v>0.02547942029</v>
      </c>
      <c r="AL75" s="83">
        <f t="shared" si="4"/>
        <v>0.02547942029</v>
      </c>
      <c r="AM75" s="83">
        <f t="shared" si="4"/>
        <v>0.02547942029</v>
      </c>
    </row>
    <row r="77">
      <c r="A77" s="5" t="s">
        <v>112</v>
      </c>
      <c r="B77" s="84">
        <f t="array" ref="B77">NPV($B$59,$74:74)</f>
        <v>499.3422142</v>
      </c>
      <c r="D77" s="56"/>
      <c r="E77" s="56"/>
    </row>
    <row r="78">
      <c r="A78" s="5" t="s">
        <v>113</v>
      </c>
      <c r="B78" s="84">
        <f>B77/B17</f>
        <v>62.41777677</v>
      </c>
      <c r="E78" s="56"/>
    </row>
    <row r="80">
      <c r="A80" s="80" t="s">
        <v>114</v>
      </c>
    </row>
    <row r="81">
      <c r="A81" s="5" t="s">
        <v>109</v>
      </c>
      <c r="B81" s="5">
        <v>1.0</v>
      </c>
      <c r="C81" s="5">
        <v>2.0</v>
      </c>
      <c r="D81" s="5">
        <v>3.0</v>
      </c>
      <c r="E81" s="5">
        <v>4.0</v>
      </c>
      <c r="F81" s="5">
        <v>5.0</v>
      </c>
      <c r="G81" s="5">
        <v>6.0</v>
      </c>
      <c r="H81" s="5">
        <v>7.0</v>
      </c>
      <c r="I81" s="5">
        <v>8.0</v>
      </c>
      <c r="J81" s="5">
        <v>9.0</v>
      </c>
      <c r="K81" s="5">
        <v>10.0</v>
      </c>
      <c r="L81" s="5">
        <v>11.0</v>
      </c>
      <c r="M81" s="5">
        <v>12.0</v>
      </c>
      <c r="N81" s="5">
        <v>13.0</v>
      </c>
      <c r="O81" s="5">
        <v>14.0</v>
      </c>
      <c r="P81" s="5">
        <v>15.0</v>
      </c>
      <c r="Q81" s="5">
        <v>16.0</v>
      </c>
      <c r="R81" s="5">
        <v>17.0</v>
      </c>
      <c r="S81" s="5">
        <v>18.0</v>
      </c>
      <c r="T81" s="5">
        <v>19.0</v>
      </c>
      <c r="U81" s="5">
        <v>20.0</v>
      </c>
      <c r="V81" s="5">
        <v>21.0</v>
      </c>
      <c r="W81" s="5">
        <v>22.0</v>
      </c>
      <c r="X81" s="5">
        <v>23.0</v>
      </c>
      <c r="Y81" s="5">
        <v>24.0</v>
      </c>
      <c r="Z81" s="5">
        <v>25.0</v>
      </c>
      <c r="AA81" s="5">
        <v>26.0</v>
      </c>
      <c r="AB81" s="5">
        <v>27.0</v>
      </c>
      <c r="AC81" s="5">
        <v>28.0</v>
      </c>
      <c r="AD81" s="5">
        <v>29.0</v>
      </c>
      <c r="AE81" s="5">
        <v>30.0</v>
      </c>
      <c r="AF81" s="5">
        <v>31.0</v>
      </c>
      <c r="AG81" s="5">
        <v>32.0</v>
      </c>
      <c r="AH81" s="5">
        <v>33.0</v>
      </c>
      <c r="AI81" s="5">
        <v>34.0</v>
      </c>
      <c r="AJ81" s="5">
        <v>35.0</v>
      </c>
      <c r="AK81" s="5">
        <v>36.0</v>
      </c>
      <c r="AL81" s="5">
        <v>37.0</v>
      </c>
      <c r="AM81" s="5">
        <v>38.0</v>
      </c>
    </row>
    <row r="82">
      <c r="A82" s="35" t="s">
        <v>115</v>
      </c>
      <c r="B82" s="4">
        <f>B51</f>
        <v>139786.4207</v>
      </c>
      <c r="C82" s="85">
        <f>($B$11+($B$12*$B28*$B$22)+($B$13*$B28*$B$24))*$B$54</f>
        <v>264282.5979</v>
      </c>
      <c r="D82" s="85">
        <f>($B$11+($B$12*$B29*$B$22)+($B$13*$B29*$B$24))*$B$54</f>
        <v>336736.0593</v>
      </c>
      <c r="E82" s="85">
        <f>($B$11+($B$12*$B30*$B$22)+($B$13*$B30*$B$24))*$B$54</f>
        <v>409189.5207</v>
      </c>
      <c r="F82" s="85">
        <f>($B$11+($B$12*$B31*$B$22)+($B$13*$B31*$B$24))*$B$54</f>
        <v>481642.982</v>
      </c>
      <c r="G82" s="85">
        <f t="shared" ref="G82:H82" si="5">($B$11+($B$12*$B32*$B$22)+($B$13*$B32*$B$24))*$B$54</f>
        <v>554096.4434</v>
      </c>
      <c r="H82" s="85">
        <f t="shared" si="5"/>
        <v>554096.4434</v>
      </c>
      <c r="I82" s="85">
        <f>($B$11+($B$12*$B33*$B$22)+($B$13*$B33*$B$24))*$B$54</f>
        <v>626549.9048</v>
      </c>
      <c r="J82" s="85">
        <f>($B$11+($B$12*$B234*$B$22)+($B$13*$B34*$B$24))*$B$54</f>
        <v>557903.3318</v>
      </c>
      <c r="K82" s="4">
        <f t="shared" ref="K82:AE82" si="6">$B$52*$B$54</f>
        <v>2031456.828</v>
      </c>
      <c r="L82" s="4">
        <f t="shared" si="6"/>
        <v>2031456.828</v>
      </c>
      <c r="M82" s="4">
        <f t="shared" si="6"/>
        <v>2031456.828</v>
      </c>
      <c r="N82" s="4">
        <f t="shared" si="6"/>
        <v>2031456.828</v>
      </c>
      <c r="O82" s="4">
        <f t="shared" si="6"/>
        <v>2031456.828</v>
      </c>
      <c r="P82" s="4">
        <f t="shared" si="6"/>
        <v>2031456.828</v>
      </c>
      <c r="Q82" s="4">
        <f t="shared" si="6"/>
        <v>2031456.828</v>
      </c>
      <c r="R82" s="4">
        <f t="shared" si="6"/>
        <v>2031456.828</v>
      </c>
      <c r="S82" s="4">
        <f t="shared" si="6"/>
        <v>2031456.828</v>
      </c>
      <c r="T82" s="4">
        <f t="shared" si="6"/>
        <v>2031456.828</v>
      </c>
      <c r="U82" s="4">
        <f t="shared" si="6"/>
        <v>2031456.828</v>
      </c>
      <c r="V82" s="4">
        <f t="shared" si="6"/>
        <v>2031456.828</v>
      </c>
      <c r="W82" s="4">
        <f t="shared" si="6"/>
        <v>2031456.828</v>
      </c>
      <c r="X82" s="4">
        <f t="shared" si="6"/>
        <v>2031456.828</v>
      </c>
      <c r="Y82" s="4">
        <f t="shared" si="6"/>
        <v>2031456.828</v>
      </c>
      <c r="Z82" s="4">
        <f t="shared" si="6"/>
        <v>2031456.828</v>
      </c>
      <c r="AA82" s="4">
        <f t="shared" si="6"/>
        <v>2031456.828</v>
      </c>
      <c r="AB82" s="4">
        <f t="shared" si="6"/>
        <v>2031456.828</v>
      </c>
      <c r="AC82" s="4">
        <f t="shared" si="6"/>
        <v>2031456.828</v>
      </c>
      <c r="AD82" s="4">
        <f t="shared" si="6"/>
        <v>2031456.828</v>
      </c>
      <c r="AE82" s="4">
        <f t="shared" si="6"/>
        <v>2031456.828</v>
      </c>
      <c r="AF82" s="81">
        <v>0.0</v>
      </c>
      <c r="AG82" s="81">
        <v>0.0</v>
      </c>
      <c r="AH82" s="81">
        <v>0.0</v>
      </c>
      <c r="AI82" s="81">
        <v>0.0</v>
      </c>
      <c r="AJ82" s="81">
        <v>0.0</v>
      </c>
      <c r="AK82" s="81">
        <v>0.0</v>
      </c>
      <c r="AL82" s="81">
        <v>0.0</v>
      </c>
      <c r="AM82" s="81"/>
    </row>
    <row r="83">
      <c r="A83" s="86" t="s">
        <v>116</v>
      </c>
      <c r="B83" s="87">
        <v>0.0</v>
      </c>
      <c r="C83" s="88">
        <f>($B$36*$B$54*$B$56*$B$57)</f>
        <v>12133.20238</v>
      </c>
      <c r="D83" s="88">
        <f>($B$37*$B$54*$B$56*$B$57)</f>
        <v>86449.06694</v>
      </c>
      <c r="E83" s="88">
        <f>($B$38*$B$54*$B$56*$B$57)</f>
        <v>160764.9315</v>
      </c>
      <c r="F83" s="88">
        <f>($B$39*$B$54*$B$56*$B$57)</f>
        <v>235080.7961</v>
      </c>
      <c r="G83" s="88">
        <f>($B$40*$B$54*$B$56*$B$57)</f>
        <v>309396.6606</v>
      </c>
      <c r="H83" s="88">
        <f>($B$41*$B$54*$B$56*$B$57)</f>
        <v>383712.5252</v>
      </c>
      <c r="I83" s="88">
        <f>($B$42*$B$54*$B$56*$B$57)</f>
        <v>458028.3898</v>
      </c>
      <c r="J83" s="88">
        <f>($B$43*$B$54*$B$56*$B$57)</f>
        <v>532344.2543</v>
      </c>
      <c r="K83" s="88">
        <f t="shared" ref="K83:AL83" si="7">($B$44*$B$54*$B$56*$B$57)</f>
        <v>606660.1189</v>
      </c>
      <c r="L83" s="88">
        <f t="shared" si="7"/>
        <v>606660.1189</v>
      </c>
      <c r="M83" s="88">
        <f t="shared" si="7"/>
        <v>606660.1189</v>
      </c>
      <c r="N83" s="88">
        <f t="shared" si="7"/>
        <v>606660.1189</v>
      </c>
      <c r="O83" s="88">
        <f t="shared" si="7"/>
        <v>606660.1189</v>
      </c>
      <c r="P83" s="88">
        <f t="shared" si="7"/>
        <v>606660.1189</v>
      </c>
      <c r="Q83" s="88">
        <f t="shared" si="7"/>
        <v>606660.1189</v>
      </c>
      <c r="R83" s="88">
        <f t="shared" si="7"/>
        <v>606660.1189</v>
      </c>
      <c r="S83" s="88">
        <f t="shared" si="7"/>
        <v>606660.1189</v>
      </c>
      <c r="T83" s="88">
        <f t="shared" si="7"/>
        <v>606660.1189</v>
      </c>
      <c r="U83" s="88">
        <f t="shared" si="7"/>
        <v>606660.1189</v>
      </c>
      <c r="V83" s="88">
        <f t="shared" si="7"/>
        <v>606660.1189</v>
      </c>
      <c r="W83" s="88">
        <f t="shared" si="7"/>
        <v>606660.1189</v>
      </c>
      <c r="X83" s="88">
        <f t="shared" si="7"/>
        <v>606660.1189</v>
      </c>
      <c r="Y83" s="88">
        <f t="shared" si="7"/>
        <v>606660.1189</v>
      </c>
      <c r="Z83" s="88">
        <f t="shared" si="7"/>
        <v>606660.1189</v>
      </c>
      <c r="AA83" s="88">
        <f t="shared" si="7"/>
        <v>606660.1189</v>
      </c>
      <c r="AB83" s="88">
        <f t="shared" si="7"/>
        <v>606660.1189</v>
      </c>
      <c r="AC83" s="88">
        <f t="shared" si="7"/>
        <v>606660.1189</v>
      </c>
      <c r="AD83" s="88">
        <f t="shared" si="7"/>
        <v>606660.1189</v>
      </c>
      <c r="AE83" s="88">
        <f t="shared" si="7"/>
        <v>606660.1189</v>
      </c>
      <c r="AF83" s="88">
        <f t="shared" si="7"/>
        <v>606660.1189</v>
      </c>
      <c r="AG83" s="88">
        <f t="shared" si="7"/>
        <v>606660.1189</v>
      </c>
      <c r="AH83" s="88">
        <f t="shared" si="7"/>
        <v>606660.1189</v>
      </c>
      <c r="AI83" s="88">
        <f t="shared" si="7"/>
        <v>606660.1189</v>
      </c>
      <c r="AJ83" s="88">
        <f t="shared" si="7"/>
        <v>606660.1189</v>
      </c>
      <c r="AK83" s="88">
        <f t="shared" si="7"/>
        <v>606660.1189</v>
      </c>
      <c r="AL83" s="88">
        <f t="shared" si="7"/>
        <v>606660.1189</v>
      </c>
      <c r="AM83" s="88"/>
    </row>
    <row r="84">
      <c r="A84" s="89" t="s">
        <v>117</v>
      </c>
      <c r="B84" s="90">
        <f t="shared" ref="B84:AL84" si="8">B83*$B$78</f>
        <v>0</v>
      </c>
      <c r="C84" s="90">
        <f t="shared" si="8"/>
        <v>757327.5175</v>
      </c>
      <c r="D84" s="90">
        <f t="shared" si="8"/>
        <v>5395958.562</v>
      </c>
      <c r="E84" s="90">
        <f t="shared" si="8"/>
        <v>10034589.61</v>
      </c>
      <c r="F84" s="90">
        <f t="shared" si="8"/>
        <v>14673220.65</v>
      </c>
      <c r="G84" s="90">
        <f t="shared" si="8"/>
        <v>19311851.7</v>
      </c>
      <c r="H84" s="90">
        <f t="shared" si="8"/>
        <v>23950482.74</v>
      </c>
      <c r="I84" s="90">
        <f t="shared" si="8"/>
        <v>28589113.79</v>
      </c>
      <c r="J84" s="90">
        <f t="shared" si="8"/>
        <v>33227744.83</v>
      </c>
      <c r="K84" s="90">
        <f t="shared" si="8"/>
        <v>37866375.88</v>
      </c>
      <c r="L84" s="90">
        <f t="shared" si="8"/>
        <v>37866375.88</v>
      </c>
      <c r="M84" s="90">
        <f t="shared" si="8"/>
        <v>37866375.88</v>
      </c>
      <c r="N84" s="90">
        <f t="shared" si="8"/>
        <v>37866375.88</v>
      </c>
      <c r="O84" s="90">
        <f t="shared" si="8"/>
        <v>37866375.88</v>
      </c>
      <c r="P84" s="90">
        <f t="shared" si="8"/>
        <v>37866375.88</v>
      </c>
      <c r="Q84" s="90">
        <f t="shared" si="8"/>
        <v>37866375.88</v>
      </c>
      <c r="R84" s="90">
        <f t="shared" si="8"/>
        <v>37866375.88</v>
      </c>
      <c r="S84" s="90">
        <f t="shared" si="8"/>
        <v>37866375.88</v>
      </c>
      <c r="T84" s="90">
        <f t="shared" si="8"/>
        <v>37866375.88</v>
      </c>
      <c r="U84" s="90">
        <f t="shared" si="8"/>
        <v>37866375.88</v>
      </c>
      <c r="V84" s="90">
        <f t="shared" si="8"/>
        <v>37866375.88</v>
      </c>
      <c r="W84" s="90">
        <f t="shared" si="8"/>
        <v>37866375.88</v>
      </c>
      <c r="X84" s="90">
        <f t="shared" si="8"/>
        <v>37866375.88</v>
      </c>
      <c r="Y84" s="90">
        <f t="shared" si="8"/>
        <v>37866375.88</v>
      </c>
      <c r="Z84" s="90">
        <f t="shared" si="8"/>
        <v>37866375.88</v>
      </c>
      <c r="AA84" s="90">
        <f t="shared" si="8"/>
        <v>37866375.88</v>
      </c>
      <c r="AB84" s="90">
        <f t="shared" si="8"/>
        <v>37866375.88</v>
      </c>
      <c r="AC84" s="90">
        <f t="shared" si="8"/>
        <v>37866375.88</v>
      </c>
      <c r="AD84" s="90">
        <f t="shared" si="8"/>
        <v>37866375.88</v>
      </c>
      <c r="AE84" s="90">
        <f t="shared" si="8"/>
        <v>37866375.88</v>
      </c>
      <c r="AF84" s="90">
        <f t="shared" si="8"/>
        <v>37866375.88</v>
      </c>
      <c r="AG84" s="90">
        <f t="shared" si="8"/>
        <v>37866375.88</v>
      </c>
      <c r="AH84" s="90">
        <f t="shared" si="8"/>
        <v>37866375.88</v>
      </c>
      <c r="AI84" s="90">
        <f t="shared" si="8"/>
        <v>37866375.88</v>
      </c>
      <c r="AJ84" s="90">
        <f t="shared" si="8"/>
        <v>37866375.88</v>
      </c>
      <c r="AK84" s="90">
        <f t="shared" si="8"/>
        <v>37866375.88</v>
      </c>
      <c r="AL84" s="90">
        <f t="shared" si="8"/>
        <v>37866375.88</v>
      </c>
      <c r="AM84" s="90"/>
    </row>
    <row r="85">
      <c r="B85" s="90"/>
    </row>
    <row r="86">
      <c r="A86" s="80" t="s">
        <v>118</v>
      </c>
    </row>
    <row r="87">
      <c r="A87" s="17" t="s">
        <v>119</v>
      </c>
      <c r="B87" s="91">
        <f t="array" ref="B87">NPV($B$58,82:82)</f>
        <v>23155995.14</v>
      </c>
      <c r="D87" s="4">
        <f>B87/B44</f>
        <v>18.43288972</v>
      </c>
      <c r="F87" s="92"/>
    </row>
    <row r="88">
      <c r="A88" s="17" t="s">
        <v>120</v>
      </c>
      <c r="B88" s="91">
        <f>SUM(B84:AL84)</f>
        <v>1196198814</v>
      </c>
      <c r="F88" s="92"/>
    </row>
    <row r="89">
      <c r="A89" s="93" t="s">
        <v>121</v>
      </c>
      <c r="B89" s="94">
        <f>B88/B87</f>
        <v>51.65827712</v>
      </c>
      <c r="C89" s="1"/>
      <c r="D89" s="1"/>
      <c r="E89" s="1"/>
      <c r="F89" s="95"/>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1">
      <c r="A91" s="79" t="s">
        <v>122</v>
      </c>
      <c r="B91" s="79"/>
      <c r="C91" s="79"/>
      <c r="D91" s="79"/>
      <c r="E91" s="79"/>
      <c r="F91" s="79"/>
      <c r="G91" s="79"/>
      <c r="H91" s="79"/>
      <c r="I91" s="79"/>
      <c r="J91" s="79"/>
      <c r="K91" s="79"/>
      <c r="L91" s="79"/>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row>
    <row r="92">
      <c r="A92" s="96"/>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c r="AF92" s="97"/>
      <c r="AG92" s="97"/>
      <c r="AH92" s="97"/>
      <c r="AI92" s="97"/>
      <c r="AJ92" s="97"/>
      <c r="AK92" s="97"/>
      <c r="AL92" s="97"/>
      <c r="AM92" s="97"/>
    </row>
    <row r="93">
      <c r="A93" s="98" t="s">
        <v>123</v>
      </c>
      <c r="B93" s="99">
        <f>($B$54*$B$56*$B$57)</f>
        <v>0.4829202547</v>
      </c>
      <c r="C93" s="52" t="s">
        <v>82</v>
      </c>
      <c r="D93" s="97"/>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c r="AF93" s="97"/>
      <c r="AG93" s="97"/>
      <c r="AH93" s="97"/>
      <c r="AI93" s="97"/>
      <c r="AJ93" s="97"/>
      <c r="AK93" s="97"/>
      <c r="AL93" s="97"/>
      <c r="AM93" s="97"/>
    </row>
    <row r="94">
      <c r="A94" s="98" t="s">
        <v>124</v>
      </c>
      <c r="B94" s="100">
        <f>B63*B62</f>
        <v>11069710502</v>
      </c>
      <c r="C94" s="52" t="s">
        <v>82</v>
      </c>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c r="AF94" s="97"/>
      <c r="AG94" s="97"/>
      <c r="AH94" s="97"/>
      <c r="AI94" s="97"/>
      <c r="AJ94" s="97"/>
      <c r="AK94" s="97"/>
      <c r="AL94" s="97"/>
      <c r="AM94" s="97"/>
    </row>
    <row r="95">
      <c r="A95" s="101" t="s">
        <v>125</v>
      </c>
      <c r="B95" s="102">
        <f>ROUNDUP(B14/2,0)</f>
        <v>4</v>
      </c>
      <c r="C95" s="5" t="s">
        <v>126</v>
      </c>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97"/>
      <c r="AH95" s="97"/>
      <c r="AI95" s="97"/>
      <c r="AJ95" s="97"/>
      <c r="AK95" s="97"/>
      <c r="AL95" s="97"/>
      <c r="AM95" s="97"/>
    </row>
    <row r="96">
      <c r="A96" s="98" t="s">
        <v>127</v>
      </c>
      <c r="B96" s="103">
        <f>Calculations!D98</f>
        <v>0.0005010811993</v>
      </c>
      <c r="C96" s="52" t="s">
        <v>31</v>
      </c>
      <c r="D96" s="97"/>
      <c r="E96" s="104"/>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c r="AF96" s="97"/>
      <c r="AG96" s="97"/>
      <c r="AH96" s="97"/>
      <c r="AI96" s="97"/>
      <c r="AJ96" s="97"/>
      <c r="AK96" s="97"/>
      <c r="AL96" s="97"/>
      <c r="AM96" s="97"/>
    </row>
    <row r="97">
      <c r="A97" s="96"/>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c r="AF97" s="97"/>
      <c r="AG97" s="97"/>
      <c r="AH97" s="97"/>
      <c r="AI97" s="97"/>
      <c r="AJ97" s="97"/>
      <c r="AK97" s="97"/>
      <c r="AL97" s="97"/>
      <c r="AM97" s="97"/>
    </row>
    <row r="98">
      <c r="A98" s="80" t="s">
        <v>128</v>
      </c>
    </row>
    <row r="99">
      <c r="A99" s="52" t="s">
        <v>109</v>
      </c>
      <c r="B99" s="52">
        <v>1.0</v>
      </c>
      <c r="C99" s="52">
        <v>2.0</v>
      </c>
      <c r="D99" s="52">
        <v>3.0</v>
      </c>
      <c r="E99" s="52">
        <v>4.0</v>
      </c>
      <c r="F99" s="52">
        <v>5.0</v>
      </c>
      <c r="G99" s="52">
        <v>6.0</v>
      </c>
      <c r="H99" s="52">
        <v>7.0</v>
      </c>
      <c r="I99" s="52">
        <v>8.0</v>
      </c>
      <c r="J99" s="52">
        <v>9.0</v>
      </c>
      <c r="K99" s="52">
        <v>10.0</v>
      </c>
      <c r="L99" s="52">
        <v>11.0</v>
      </c>
      <c r="M99" s="52">
        <v>12.0</v>
      </c>
      <c r="N99" s="52">
        <v>13.0</v>
      </c>
      <c r="O99" s="52">
        <v>14.0</v>
      </c>
      <c r="P99" s="52">
        <v>15.0</v>
      </c>
      <c r="Q99" s="52">
        <v>16.0</v>
      </c>
      <c r="R99" s="52">
        <v>17.0</v>
      </c>
      <c r="S99" s="52">
        <v>18.0</v>
      </c>
      <c r="T99" s="52">
        <v>19.0</v>
      </c>
      <c r="U99" s="52">
        <v>20.0</v>
      </c>
      <c r="V99" s="52">
        <v>21.0</v>
      </c>
      <c r="W99" s="52">
        <v>22.0</v>
      </c>
      <c r="X99" s="52">
        <v>23.0</v>
      </c>
      <c r="Y99" s="52">
        <v>24.0</v>
      </c>
      <c r="Z99" s="52">
        <v>25.0</v>
      </c>
      <c r="AA99" s="52">
        <v>26.0</v>
      </c>
      <c r="AB99" s="52">
        <v>27.0</v>
      </c>
      <c r="AC99" s="52">
        <v>28.0</v>
      </c>
      <c r="AD99" s="52">
        <v>29.0</v>
      </c>
      <c r="AE99" s="52">
        <v>30.0</v>
      </c>
      <c r="AF99" s="52">
        <v>31.0</v>
      </c>
      <c r="AG99" s="52">
        <v>32.0</v>
      </c>
      <c r="AH99" s="52">
        <v>33.0</v>
      </c>
      <c r="AI99" s="52">
        <v>34.0</v>
      </c>
      <c r="AJ99" s="52">
        <v>35.0</v>
      </c>
      <c r="AK99" s="52">
        <v>36.0</v>
      </c>
      <c r="AL99" s="52">
        <v>37.0</v>
      </c>
      <c r="AM99" s="52"/>
    </row>
    <row r="100">
      <c r="A100" s="52" t="s">
        <v>129</v>
      </c>
      <c r="B100" s="105">
        <v>0.0</v>
      </c>
      <c r="C100" s="105">
        <f>$B27/$B$20</f>
        <v>0.01</v>
      </c>
      <c r="D100" s="105">
        <f>$B28/$B$20</f>
        <v>0.07125</v>
      </c>
      <c r="E100" s="105">
        <f>$B29/$B$20</f>
        <v>0.1325</v>
      </c>
      <c r="F100" s="105">
        <f>$B30/$B$20</f>
        <v>0.19375</v>
      </c>
      <c r="G100" s="105">
        <f>$B31/$B$20</f>
        <v>0.255</v>
      </c>
      <c r="H100" s="105">
        <f>$B32/$B$20</f>
        <v>0.31625</v>
      </c>
      <c r="I100" s="105">
        <f>$B33/$B$20</f>
        <v>0.3775</v>
      </c>
      <c r="J100" s="105">
        <f>$B34/$B$20</f>
        <v>0.43875</v>
      </c>
      <c r="K100" s="105">
        <f>$B35/$B$20</f>
        <v>0.5</v>
      </c>
      <c r="L100" s="105">
        <f t="shared" ref="L100:AL100" si="9">$B$26</f>
        <v>0.5</v>
      </c>
      <c r="M100" s="105">
        <f t="shared" si="9"/>
        <v>0.5</v>
      </c>
      <c r="N100" s="105">
        <f t="shared" si="9"/>
        <v>0.5</v>
      </c>
      <c r="O100" s="105">
        <f t="shared" si="9"/>
        <v>0.5</v>
      </c>
      <c r="P100" s="105">
        <f t="shared" si="9"/>
        <v>0.5</v>
      </c>
      <c r="Q100" s="105">
        <f t="shared" si="9"/>
        <v>0.5</v>
      </c>
      <c r="R100" s="105">
        <f t="shared" si="9"/>
        <v>0.5</v>
      </c>
      <c r="S100" s="105">
        <f t="shared" si="9"/>
        <v>0.5</v>
      </c>
      <c r="T100" s="105">
        <f t="shared" si="9"/>
        <v>0.5</v>
      </c>
      <c r="U100" s="105">
        <f t="shared" si="9"/>
        <v>0.5</v>
      </c>
      <c r="V100" s="105">
        <f t="shared" si="9"/>
        <v>0.5</v>
      </c>
      <c r="W100" s="105">
        <f t="shared" si="9"/>
        <v>0.5</v>
      </c>
      <c r="X100" s="105">
        <f t="shared" si="9"/>
        <v>0.5</v>
      </c>
      <c r="Y100" s="105">
        <f t="shared" si="9"/>
        <v>0.5</v>
      </c>
      <c r="Z100" s="105">
        <f t="shared" si="9"/>
        <v>0.5</v>
      </c>
      <c r="AA100" s="105">
        <f t="shared" si="9"/>
        <v>0.5</v>
      </c>
      <c r="AB100" s="105">
        <f t="shared" si="9"/>
        <v>0.5</v>
      </c>
      <c r="AC100" s="105">
        <f t="shared" si="9"/>
        <v>0.5</v>
      </c>
      <c r="AD100" s="105">
        <f t="shared" si="9"/>
        <v>0.5</v>
      </c>
      <c r="AE100" s="105">
        <f t="shared" si="9"/>
        <v>0.5</v>
      </c>
      <c r="AF100" s="105">
        <f t="shared" si="9"/>
        <v>0.5</v>
      </c>
      <c r="AG100" s="105">
        <f t="shared" si="9"/>
        <v>0.5</v>
      </c>
      <c r="AH100" s="105">
        <f t="shared" si="9"/>
        <v>0.5</v>
      </c>
      <c r="AI100" s="105">
        <f t="shared" si="9"/>
        <v>0.5</v>
      </c>
      <c r="AJ100" s="105">
        <f t="shared" si="9"/>
        <v>0.5</v>
      </c>
      <c r="AK100" s="105">
        <f t="shared" si="9"/>
        <v>0.5</v>
      </c>
      <c r="AL100" s="105">
        <f t="shared" si="9"/>
        <v>0.5</v>
      </c>
      <c r="AM100" s="105"/>
    </row>
    <row r="101">
      <c r="A101" s="86" t="s">
        <v>130</v>
      </c>
      <c r="B101" s="90">
        <f t="shared" ref="B101:D101" si="10">IFERROR(A101*(1+$B96*#REF!),$B$94)</f>
        <v>11069710502</v>
      </c>
      <c r="C101" s="90">
        <f t="shared" si="10"/>
        <v>11069710502</v>
      </c>
      <c r="D101" s="90">
        <f t="shared" si="10"/>
        <v>11069710502</v>
      </c>
      <c r="E101" s="90">
        <f>IFERROR(D101*(1+$B96*A100),$B$94)</f>
        <v>11069710502</v>
      </c>
      <c r="F101" s="90">
        <f t="shared" ref="F101:AL101" si="11">IFERROR(E101*(1+$B96*$B93*B100),$B$94)</f>
        <v>11069710502</v>
      </c>
      <c r="G101" s="90">
        <f t="shared" si="11"/>
        <v>11069737289</v>
      </c>
      <c r="H101" s="90">
        <f t="shared" si="11"/>
        <v>11069928145</v>
      </c>
      <c r="I101" s="90">
        <f t="shared" si="11"/>
        <v>11070283076</v>
      </c>
      <c r="J101" s="90">
        <f t="shared" si="11"/>
        <v>11070802096</v>
      </c>
      <c r="K101" s="90">
        <f t="shared" si="11"/>
        <v>11071485225</v>
      </c>
      <c r="L101" s="90">
        <f t="shared" si="11"/>
        <v>11072332492</v>
      </c>
      <c r="M101" s="90">
        <f t="shared" si="11"/>
        <v>11073343930</v>
      </c>
      <c r="N101" s="90">
        <f t="shared" si="11"/>
        <v>11074519584</v>
      </c>
      <c r="O101" s="90">
        <f t="shared" si="11"/>
        <v>11075859503</v>
      </c>
      <c r="P101" s="90">
        <f t="shared" si="11"/>
        <v>11077199584</v>
      </c>
      <c r="Q101" s="90">
        <f t="shared" si="11"/>
        <v>11078539826</v>
      </c>
      <c r="R101" s="90">
        <f t="shared" si="11"/>
        <v>11079880232</v>
      </c>
      <c r="S101" s="90">
        <f t="shared" si="11"/>
        <v>11081220799</v>
      </c>
      <c r="T101" s="90">
        <f t="shared" si="11"/>
        <v>11082561528</v>
      </c>
      <c r="U101" s="90">
        <f t="shared" si="11"/>
        <v>11083902420</v>
      </c>
      <c r="V101" s="90">
        <f t="shared" si="11"/>
        <v>11085243474</v>
      </c>
      <c r="W101" s="90">
        <f t="shared" si="11"/>
        <v>11086584690</v>
      </c>
      <c r="X101" s="90">
        <f t="shared" si="11"/>
        <v>11087926068</v>
      </c>
      <c r="Y101" s="90">
        <f t="shared" si="11"/>
        <v>11089267609</v>
      </c>
      <c r="Z101" s="90">
        <f t="shared" si="11"/>
        <v>11090609312</v>
      </c>
      <c r="AA101" s="90">
        <f t="shared" si="11"/>
        <v>11091951177</v>
      </c>
      <c r="AB101" s="90">
        <f t="shared" si="11"/>
        <v>11093293205</v>
      </c>
      <c r="AC101" s="90">
        <f t="shared" si="11"/>
        <v>11094635395</v>
      </c>
      <c r="AD101" s="90">
        <f t="shared" si="11"/>
        <v>11095977748</v>
      </c>
      <c r="AE101" s="90">
        <f t="shared" si="11"/>
        <v>11097320263</v>
      </c>
      <c r="AF101" s="90">
        <f t="shared" si="11"/>
        <v>11098662940</v>
      </c>
      <c r="AG101" s="90">
        <f t="shared" si="11"/>
        <v>11100005780</v>
      </c>
      <c r="AH101" s="90">
        <f t="shared" si="11"/>
        <v>11101348782</v>
      </c>
      <c r="AI101" s="90">
        <f t="shared" si="11"/>
        <v>11102691947</v>
      </c>
      <c r="AJ101" s="90">
        <f t="shared" si="11"/>
        <v>11104035274</v>
      </c>
      <c r="AK101" s="90">
        <f t="shared" si="11"/>
        <v>11105378764</v>
      </c>
      <c r="AL101" s="90">
        <f t="shared" si="11"/>
        <v>11106722416</v>
      </c>
      <c r="AM101" s="90"/>
    </row>
    <row r="102">
      <c r="A102" s="86" t="s">
        <v>131</v>
      </c>
      <c r="B102" s="106"/>
      <c r="C102" s="106"/>
      <c r="D102" s="106"/>
      <c r="E102" s="106"/>
      <c r="F102" s="90">
        <f t="shared" ref="F102:AL102" si="12">F101-$B94</f>
        <v>0</v>
      </c>
      <c r="G102" s="90">
        <f t="shared" si="12"/>
        <v>26786.73569</v>
      </c>
      <c r="H102" s="90">
        <f t="shared" si="12"/>
        <v>217642.6893</v>
      </c>
      <c r="I102" s="90">
        <f t="shared" si="12"/>
        <v>572573.9155</v>
      </c>
      <c r="J102" s="90">
        <f t="shared" si="12"/>
        <v>1091593.764</v>
      </c>
      <c r="K102" s="90">
        <f t="shared" si="12"/>
        <v>1774722.882</v>
      </c>
      <c r="L102" s="90">
        <f t="shared" si="12"/>
        <v>2621989.212</v>
      </c>
      <c r="M102" s="90">
        <f t="shared" si="12"/>
        <v>3633427.999</v>
      </c>
      <c r="N102" s="90">
        <f t="shared" si="12"/>
        <v>4809081.787</v>
      </c>
      <c r="O102" s="90">
        <f t="shared" si="12"/>
        <v>6149000.428</v>
      </c>
      <c r="P102" s="90">
        <f t="shared" si="12"/>
        <v>7489081.187</v>
      </c>
      <c r="Q102" s="90">
        <f t="shared" si="12"/>
        <v>8829324.084</v>
      </c>
      <c r="R102" s="90">
        <f t="shared" si="12"/>
        <v>10169729.14</v>
      </c>
      <c r="S102" s="90">
        <f t="shared" si="12"/>
        <v>11510296.37</v>
      </c>
      <c r="T102" s="90">
        <f t="shared" si="12"/>
        <v>12851025.8</v>
      </c>
      <c r="U102" s="90">
        <f t="shared" si="12"/>
        <v>14191917.44</v>
      </c>
      <c r="V102" s="90">
        <f t="shared" si="12"/>
        <v>15532971.32</v>
      </c>
      <c r="W102" s="90">
        <f t="shared" si="12"/>
        <v>16874187.46</v>
      </c>
      <c r="X102" s="90">
        <f t="shared" si="12"/>
        <v>18215565.87</v>
      </c>
      <c r="Y102" s="90">
        <f t="shared" si="12"/>
        <v>19557106.58</v>
      </c>
      <c r="Z102" s="90">
        <f t="shared" si="12"/>
        <v>20898809.6</v>
      </c>
      <c r="AA102" s="90">
        <f t="shared" si="12"/>
        <v>22240674.96</v>
      </c>
      <c r="AB102" s="90">
        <f t="shared" si="12"/>
        <v>23582702.66</v>
      </c>
      <c r="AC102" s="90">
        <f t="shared" si="12"/>
        <v>24924892.75</v>
      </c>
      <c r="AD102" s="90">
        <f t="shared" si="12"/>
        <v>26267245.22</v>
      </c>
      <c r="AE102" s="90">
        <f t="shared" si="12"/>
        <v>27609760.11</v>
      </c>
      <c r="AF102" s="90">
        <f t="shared" si="12"/>
        <v>28952437.43</v>
      </c>
      <c r="AG102" s="90">
        <f t="shared" si="12"/>
        <v>30295277.2</v>
      </c>
      <c r="AH102" s="90">
        <f t="shared" si="12"/>
        <v>31638279.45</v>
      </c>
      <c r="AI102" s="90">
        <f t="shared" si="12"/>
        <v>32981444.19</v>
      </c>
      <c r="AJ102" s="90">
        <f t="shared" si="12"/>
        <v>34324771.43</v>
      </c>
      <c r="AK102" s="90">
        <f t="shared" si="12"/>
        <v>35668261.21</v>
      </c>
      <c r="AL102" s="90">
        <f t="shared" si="12"/>
        <v>37011913.54</v>
      </c>
      <c r="AM102" s="90"/>
    </row>
    <row r="103">
      <c r="A103" s="107"/>
      <c r="B103" s="108"/>
      <c r="C103" s="108"/>
      <c r="D103" s="108"/>
      <c r="E103" s="108"/>
    </row>
    <row r="104">
      <c r="A104" s="80" t="s">
        <v>132</v>
      </c>
    </row>
    <row r="105">
      <c r="A105" s="22" t="s">
        <v>119</v>
      </c>
      <c r="B105" s="109">
        <f>B87</f>
        <v>23155995.14</v>
      </c>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c r="AA105" s="110"/>
      <c r="AB105" s="110"/>
      <c r="AC105" s="110"/>
      <c r="AD105" s="110"/>
      <c r="AE105" s="110"/>
      <c r="AF105" s="110"/>
      <c r="AG105" s="110"/>
      <c r="AH105" s="110"/>
      <c r="AI105" s="110"/>
      <c r="AJ105" s="110"/>
      <c r="AK105" s="110"/>
      <c r="AL105" s="110"/>
      <c r="AM105" s="110"/>
    </row>
    <row r="106">
      <c r="A106" s="52" t="s">
        <v>120</v>
      </c>
      <c r="B106" s="109">
        <f t="array" ref="B106">NPV($B$58,102:102)</f>
        <v>215515221.1</v>
      </c>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H106" s="110"/>
      <c r="AI106" s="110"/>
      <c r="AJ106" s="110"/>
      <c r="AK106" s="110"/>
      <c r="AL106" s="110"/>
      <c r="AM106" s="110"/>
    </row>
    <row r="107">
      <c r="A107" s="111" t="s">
        <v>121</v>
      </c>
      <c r="B107" s="112">
        <f>B106/B105</f>
        <v>9.307102538</v>
      </c>
      <c r="C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row>
    <row r="108">
      <c r="A108" s="5"/>
      <c r="B108" s="6"/>
    </row>
    <row r="109">
      <c r="A109" s="7" t="s">
        <v>133</v>
      </c>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row>
    <row r="110">
      <c r="A110" s="3" t="s">
        <v>134</v>
      </c>
      <c r="B110" s="5" t="s">
        <v>135</v>
      </c>
      <c r="C110" s="5" t="s">
        <v>136</v>
      </c>
      <c r="D110" s="5" t="s">
        <v>137</v>
      </c>
      <c r="F110" s="114" t="s">
        <v>138</v>
      </c>
    </row>
    <row r="111">
      <c r="A111" s="5" t="s">
        <v>139</v>
      </c>
      <c r="B111" s="64">
        <v>0.4</v>
      </c>
      <c r="C111" s="64">
        <v>0.35</v>
      </c>
      <c r="D111" s="83">
        <f t="shared" ref="D111:D112" si="13">AVERAGE(B111:C111)</f>
        <v>0.375</v>
      </c>
      <c r="F111" s="115">
        <v>0.2</v>
      </c>
    </row>
    <row r="112">
      <c r="A112" s="5" t="s">
        <v>140</v>
      </c>
      <c r="B112" s="64">
        <v>0.6</v>
      </c>
      <c r="C112" s="64">
        <v>0.65</v>
      </c>
      <c r="D112" s="83">
        <f t="shared" si="13"/>
        <v>0.625</v>
      </c>
      <c r="F112" s="115">
        <v>0.8</v>
      </c>
      <c r="H112" s="5" t="s">
        <v>141</v>
      </c>
    </row>
    <row r="113">
      <c r="F113" s="116"/>
    </row>
    <row r="114">
      <c r="A114" s="5" t="s">
        <v>142</v>
      </c>
      <c r="B114" s="117">
        <f>B107/B89</f>
        <v>0.1801667236</v>
      </c>
      <c r="F114" s="116"/>
    </row>
    <row r="115">
      <c r="F115" s="116"/>
    </row>
    <row r="116">
      <c r="A116" s="22" t="s">
        <v>119</v>
      </c>
      <c r="B116" s="90">
        <f>B87</f>
        <v>23155995.14</v>
      </c>
      <c r="F116" s="118">
        <f>B116</f>
        <v>23155995.14</v>
      </c>
    </row>
    <row r="117">
      <c r="A117" s="5" t="s">
        <v>143</v>
      </c>
      <c r="B117" s="82">
        <f>(B88*D$111)+(B106*D$112)</f>
        <v>583271568.4</v>
      </c>
      <c r="F117" s="119">
        <f>(B88*F$111)+(B106*F$112)</f>
        <v>411651939.7</v>
      </c>
    </row>
    <row r="118">
      <c r="A118" s="3" t="s">
        <v>144</v>
      </c>
      <c r="B118" s="120">
        <f>B117/B116</f>
        <v>25.18879301</v>
      </c>
      <c r="F118" s="121">
        <f>F117/F116</f>
        <v>17.77733746</v>
      </c>
    </row>
    <row r="119">
      <c r="F119" s="116"/>
    </row>
    <row r="120">
      <c r="A120" s="5" t="s">
        <v>145</v>
      </c>
      <c r="B120" s="122">
        <f>B70*B49*(B118/B89)</f>
        <v>0.0124238724</v>
      </c>
      <c r="F120" s="123">
        <f>B70*B49*(F118/B89)</f>
        <v>0.008768318997</v>
      </c>
    </row>
    <row r="121">
      <c r="A121" s="5" t="s">
        <v>146</v>
      </c>
      <c r="B121" s="124">
        <f>B120*B62</f>
        <v>10.21615028</v>
      </c>
      <c r="F121" s="125">
        <f>F120*B62</f>
        <v>7.210188711</v>
      </c>
    </row>
    <row r="122">
      <c r="A122" s="5" t="s">
        <v>147</v>
      </c>
      <c r="B122" s="126">
        <f>B117/B121</f>
        <v>57093088.15</v>
      </c>
      <c r="F122" s="127">
        <f>F117/F121</f>
        <v>57093088.15</v>
      </c>
    </row>
    <row r="123">
      <c r="A123" s="5" t="str">
        <f>CONCATENATE("GiveWell moral weight for a ",ROUND(100*B120,2),"% increase in income")</f>
        <v>GiveWell moral weight for a 1.24% increase in income</v>
      </c>
      <c r="B123" s="124">
        <f>B66*(ln(1+B120)/ln(2))</f>
        <v>0.007744969969</v>
      </c>
      <c r="F123" s="125">
        <f>B66*(ln(1+F120)/ln(2))</f>
        <v>0.005476031629</v>
      </c>
    </row>
    <row r="124">
      <c r="A124" s="5" t="s">
        <v>148</v>
      </c>
      <c r="B124" s="128">
        <f>B123*B122</f>
        <v>442184.2531</v>
      </c>
      <c r="F124" s="129">
        <f>F123*F122</f>
        <v>312643.5565</v>
      </c>
    </row>
    <row r="125">
      <c r="A125" s="3" t="s">
        <v>9</v>
      </c>
      <c r="B125" s="130">
        <f>B116/B124</f>
        <v>52.36729932</v>
      </c>
      <c r="F125" s="131">
        <f>F116/F124</f>
        <v>74.06516033</v>
      </c>
    </row>
    <row r="126">
      <c r="A126" s="3" t="s">
        <v>149</v>
      </c>
      <c r="B126" s="132">
        <f>B124/(B116/1000)</f>
        <v>19.09588642</v>
      </c>
    </row>
    <row r="127">
      <c r="B127" s="40"/>
    </row>
    <row r="128">
      <c r="B128" s="40"/>
    </row>
    <row r="139">
      <c r="B139" s="77"/>
    </row>
    <row r="140">
      <c r="B140" s="77"/>
    </row>
    <row r="141">
      <c r="B141" s="77"/>
    </row>
  </sheetData>
  <mergeCells count="1">
    <mergeCell ref="A1:M1"/>
  </mergeCells>
  <hyperlinks>
    <hyperlink r:id="rId4" ref="C12"/>
    <hyperlink r:id="rId5" ref="C20"/>
    <hyperlink r:id="rId6" ref="C21"/>
    <hyperlink r:id="rId7" ref="C23"/>
    <hyperlink r:id="rId8" ref="C25"/>
    <hyperlink r:id="rId9" ref="C56"/>
    <hyperlink r:id="rId10" ref="C62"/>
    <hyperlink r:id="rId11" ref="C63"/>
    <hyperlink r:id="rId12" location="gid=171561146" ref="C66"/>
    <hyperlink r:id="rId13" ref="C70"/>
  </hyperlinks>
  <drawing r:id="rId14"/>
  <legacy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88"/>
    <col customWidth="1" min="2" max="2" width="15.88"/>
  </cols>
  <sheetData>
    <row r="1">
      <c r="A1" s="7" t="s">
        <v>150</v>
      </c>
      <c r="N1" s="8"/>
      <c r="O1" s="8"/>
      <c r="P1" s="8"/>
      <c r="Q1" s="8"/>
      <c r="R1" s="8"/>
      <c r="S1" s="8"/>
      <c r="T1" s="8"/>
      <c r="U1" s="8"/>
      <c r="V1" s="8"/>
      <c r="W1" s="8"/>
      <c r="X1" s="8"/>
      <c r="Y1" s="8"/>
      <c r="Z1" s="8"/>
      <c r="AA1" s="8"/>
      <c r="AB1" s="8"/>
      <c r="AC1" s="8"/>
      <c r="AD1" s="8"/>
      <c r="AE1" s="8"/>
      <c r="AF1" s="8"/>
      <c r="AG1" s="8"/>
      <c r="AH1" s="8"/>
      <c r="AI1" s="8"/>
      <c r="AJ1" s="8"/>
      <c r="AK1" s="8"/>
      <c r="AL1" s="8"/>
      <c r="AM1" s="8"/>
    </row>
    <row r="2">
      <c r="A2" s="9" t="s">
        <v>11</v>
      </c>
      <c r="B2" s="7" t="s">
        <v>12</v>
      </c>
      <c r="C2" s="9" t="s">
        <v>13</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row>
    <row r="3">
      <c r="A3" s="10" t="s">
        <v>4</v>
      </c>
      <c r="B3" s="11"/>
      <c r="C3" s="12"/>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row>
    <row r="4">
      <c r="A4" s="14" t="s">
        <v>14</v>
      </c>
      <c r="B4" s="15"/>
      <c r="C4" s="16"/>
    </row>
    <row r="5">
      <c r="A5" s="17" t="s">
        <v>15</v>
      </c>
      <c r="B5" s="18">
        <v>1.0</v>
      </c>
      <c r="C5" s="16"/>
      <c r="F5" s="19" t="s">
        <v>16</v>
      </c>
    </row>
    <row r="6">
      <c r="A6" s="20" t="s">
        <v>17</v>
      </c>
      <c r="B6" s="21">
        <v>125000.0</v>
      </c>
      <c r="C6" s="16" t="s">
        <v>18</v>
      </c>
      <c r="F6" s="5" t="s">
        <v>19</v>
      </c>
    </row>
    <row r="7">
      <c r="A7" s="17"/>
      <c r="B7" s="15"/>
      <c r="C7" s="16"/>
      <c r="F7" s="5" t="s">
        <v>20</v>
      </c>
    </row>
    <row r="8">
      <c r="A8" s="14" t="s">
        <v>21</v>
      </c>
      <c r="B8" s="15"/>
      <c r="C8" s="16"/>
      <c r="H8" s="77"/>
    </row>
    <row r="9">
      <c r="A9" s="22" t="s">
        <v>22</v>
      </c>
      <c r="B9" s="23">
        <v>1.0</v>
      </c>
      <c r="C9" s="24" t="s">
        <v>18</v>
      </c>
      <c r="F9" s="25"/>
      <c r="G9" s="26"/>
      <c r="H9" s="77"/>
    </row>
    <row r="10">
      <c r="A10" s="17" t="s">
        <v>23</v>
      </c>
      <c r="B10" s="27">
        <v>8.0</v>
      </c>
      <c r="C10" s="16" t="s">
        <v>18</v>
      </c>
      <c r="F10" s="25"/>
      <c r="G10" s="26"/>
      <c r="H10" s="77"/>
    </row>
    <row r="11">
      <c r="A11" s="17" t="s">
        <v>24</v>
      </c>
      <c r="B11" s="28">
        <v>225000.0</v>
      </c>
      <c r="C11" s="16" t="s">
        <v>25</v>
      </c>
      <c r="F11" s="25"/>
      <c r="G11" s="26"/>
      <c r="H11" s="77"/>
    </row>
    <row r="12">
      <c r="A12" s="17" t="s">
        <v>26</v>
      </c>
      <c r="B12" s="29">
        <v>0.16</v>
      </c>
      <c r="C12" s="30" t="s">
        <v>27</v>
      </c>
      <c r="F12" s="25"/>
      <c r="G12" s="26"/>
      <c r="H12" s="77"/>
    </row>
    <row r="13">
      <c r="A13" s="17" t="s">
        <v>28</v>
      </c>
      <c r="B13" s="31">
        <v>25.0</v>
      </c>
      <c r="C13" s="16" t="s">
        <v>29</v>
      </c>
      <c r="F13" s="25"/>
      <c r="G13" s="26"/>
      <c r="H13" s="77"/>
    </row>
    <row r="14">
      <c r="A14" s="17" t="s">
        <v>30</v>
      </c>
      <c r="B14" s="32">
        <f>AVERAGE(Calculations!$A$136:$A$138)</f>
        <v>6.666666667</v>
      </c>
      <c r="C14" s="33" t="s">
        <v>31</v>
      </c>
      <c r="F14" s="34"/>
      <c r="G14" s="26"/>
      <c r="H14" s="77"/>
    </row>
    <row r="15">
      <c r="A15" s="35" t="s">
        <v>32</v>
      </c>
      <c r="B15" s="36">
        <v>30.0</v>
      </c>
      <c r="C15" s="33" t="s">
        <v>33</v>
      </c>
      <c r="F15" s="37"/>
      <c r="G15" s="26"/>
      <c r="H15" s="77"/>
    </row>
    <row r="16">
      <c r="A16" s="17" t="s">
        <v>34</v>
      </c>
      <c r="B16" s="38">
        <f>roundup(AVERAGE(Calculations!A128:A132),0)</f>
        <v>30</v>
      </c>
      <c r="C16" s="33" t="s">
        <v>31</v>
      </c>
      <c r="F16" s="37"/>
      <c r="G16" s="26"/>
      <c r="H16" s="77"/>
    </row>
    <row r="17">
      <c r="A17" s="39" t="s">
        <v>35</v>
      </c>
      <c r="B17" s="32">
        <v>8.0</v>
      </c>
      <c r="C17" s="33" t="s">
        <v>36</v>
      </c>
      <c r="F17" s="34"/>
      <c r="G17" s="26"/>
      <c r="H17" s="77"/>
    </row>
    <row r="18">
      <c r="A18" s="17"/>
      <c r="B18" s="40"/>
      <c r="C18" s="33"/>
      <c r="F18" s="34"/>
      <c r="G18" s="26"/>
      <c r="H18" s="77"/>
    </row>
    <row r="19">
      <c r="A19" s="14" t="s">
        <v>37</v>
      </c>
      <c r="B19" s="40"/>
      <c r="C19" s="33"/>
      <c r="F19" s="34"/>
      <c r="G19" s="26"/>
    </row>
    <row r="20">
      <c r="A20" s="20" t="s">
        <v>151</v>
      </c>
      <c r="B20" s="18">
        <v>12225.0</v>
      </c>
      <c r="C20" s="133"/>
      <c r="F20" s="34"/>
      <c r="G20" s="26"/>
    </row>
    <row r="21">
      <c r="A21" s="20" t="s">
        <v>152</v>
      </c>
      <c r="B21" s="134">
        <v>265188.0</v>
      </c>
      <c r="C21" s="135"/>
      <c r="F21" s="42"/>
      <c r="G21" s="26"/>
    </row>
    <row r="22">
      <c r="A22" s="20" t="s">
        <v>153</v>
      </c>
      <c r="B22" s="136">
        <v>0.06</v>
      </c>
      <c r="C22" s="20"/>
      <c r="F22" s="42"/>
      <c r="G22" s="26"/>
    </row>
    <row r="23">
      <c r="A23" s="137" t="s">
        <v>154</v>
      </c>
      <c r="B23" s="138">
        <f>B21/B22</f>
        <v>4419800</v>
      </c>
      <c r="C23" s="16" t="s">
        <v>155</v>
      </c>
      <c r="F23" s="42"/>
      <c r="G23" s="26"/>
    </row>
    <row r="24">
      <c r="A24" s="17" t="s">
        <v>42</v>
      </c>
      <c r="B24" s="43">
        <f>B23/B20</f>
        <v>361.5378323</v>
      </c>
      <c r="C24" s="33" t="s">
        <v>43</v>
      </c>
      <c r="F24" s="34"/>
      <c r="G24" s="26"/>
    </row>
    <row r="25">
      <c r="A25" s="17" t="s">
        <v>44</v>
      </c>
      <c r="B25" s="139">
        <v>41.67</v>
      </c>
      <c r="C25" s="140" t="s">
        <v>156</v>
      </c>
      <c r="F25" s="34"/>
      <c r="G25" s="26"/>
    </row>
    <row r="26">
      <c r="A26" s="17" t="s">
        <v>46</v>
      </c>
      <c r="B26" s="43">
        <f>B24/B25</f>
        <v>8.676213878</v>
      </c>
      <c r="C26" s="33" t="s">
        <v>47</v>
      </c>
      <c r="F26" s="34"/>
      <c r="G26" s="26"/>
    </row>
    <row r="27">
      <c r="A27" s="17" t="s">
        <v>48</v>
      </c>
      <c r="B27" s="45">
        <v>0.01</v>
      </c>
      <c r="C27" s="41" t="s">
        <v>157</v>
      </c>
      <c r="F27" s="34"/>
      <c r="G27" s="26"/>
    </row>
    <row r="28">
      <c r="A28" s="17" t="s">
        <v>50</v>
      </c>
      <c r="B28" s="45">
        <v>0.5</v>
      </c>
      <c r="C28" s="33" t="s">
        <v>158</v>
      </c>
      <c r="F28" s="34"/>
      <c r="G28" s="46" t="s">
        <v>52</v>
      </c>
    </row>
    <row r="29">
      <c r="A29" s="17" t="s">
        <v>53</v>
      </c>
      <c r="B29" s="43">
        <f>B20*B27</f>
        <v>122.25</v>
      </c>
      <c r="C29" s="33" t="s">
        <v>54</v>
      </c>
      <c r="F29" s="34"/>
      <c r="G29" s="26"/>
    </row>
    <row r="30" hidden="1">
      <c r="A30" s="17" t="s">
        <v>55</v>
      </c>
      <c r="B30" s="47">
        <f>$B$29+(($B$37-$B$29)/$B$10)</f>
        <v>871.03125</v>
      </c>
      <c r="C30" s="33"/>
      <c r="F30" s="34"/>
      <c r="G30" s="48"/>
      <c r="J30" s="49"/>
    </row>
    <row r="31" hidden="1">
      <c r="A31" s="17" t="s">
        <v>56</v>
      </c>
      <c r="B31" s="50">
        <f t="shared" ref="B31:B36" si="1">B30+(($B$37-$B$29)/$B$10)</f>
        <v>1619.8125</v>
      </c>
      <c r="C31" s="33"/>
      <c r="F31" s="34"/>
      <c r="G31" s="48"/>
      <c r="J31" s="49"/>
    </row>
    <row r="32" hidden="1">
      <c r="A32" s="17" t="s">
        <v>57</v>
      </c>
      <c r="B32" s="50">
        <f t="shared" si="1"/>
        <v>2368.59375</v>
      </c>
      <c r="C32" s="33"/>
      <c r="F32" s="34"/>
      <c r="G32" s="48"/>
      <c r="J32" s="49"/>
    </row>
    <row r="33" hidden="1">
      <c r="A33" s="17" t="s">
        <v>58</v>
      </c>
      <c r="B33" s="50">
        <f t="shared" si="1"/>
        <v>3117.375</v>
      </c>
      <c r="C33" s="33"/>
      <c r="F33" s="34"/>
      <c r="G33" s="48"/>
      <c r="J33" s="49"/>
    </row>
    <row r="34" hidden="1">
      <c r="A34" s="17" t="s">
        <v>59</v>
      </c>
      <c r="B34" s="50">
        <f t="shared" si="1"/>
        <v>3866.15625</v>
      </c>
      <c r="C34" s="33"/>
      <c r="F34" s="34"/>
      <c r="G34" s="48"/>
      <c r="J34" s="49"/>
    </row>
    <row r="35" hidden="1">
      <c r="A35" s="17" t="s">
        <v>60</v>
      </c>
      <c r="B35" s="50">
        <f t="shared" si="1"/>
        <v>4614.9375</v>
      </c>
      <c r="C35" s="33"/>
      <c r="F35" s="34"/>
      <c r="G35" s="48"/>
      <c r="J35" s="49"/>
    </row>
    <row r="36" hidden="1">
      <c r="A36" s="17" t="s">
        <v>61</v>
      </c>
      <c r="B36" s="50">
        <f t="shared" si="1"/>
        <v>5363.71875</v>
      </c>
      <c r="C36" s="33"/>
      <c r="F36" s="34"/>
      <c r="G36" s="48"/>
      <c r="J36" s="49"/>
    </row>
    <row r="37">
      <c r="A37" s="17" t="s">
        <v>62</v>
      </c>
      <c r="B37" s="43">
        <f>B20*B28</f>
        <v>6112.5</v>
      </c>
      <c r="C37" s="33" t="s">
        <v>54</v>
      </c>
      <c r="F37" s="34"/>
    </row>
    <row r="38">
      <c r="A38" s="5" t="s">
        <v>63</v>
      </c>
      <c r="B38" s="43">
        <f>B29*B24</f>
        <v>44198</v>
      </c>
      <c r="C38" s="51" t="s">
        <v>64</v>
      </c>
    </row>
    <row r="39">
      <c r="A39" s="5" t="s">
        <v>65</v>
      </c>
      <c r="B39" s="43">
        <f t="shared" ref="B39:B45" si="2">B38+(($B$46-$B$38)/$B$10)</f>
        <v>314910.75</v>
      </c>
      <c r="C39" s="51"/>
    </row>
    <row r="40">
      <c r="A40" s="5" t="s">
        <v>66</v>
      </c>
      <c r="B40" s="43">
        <f t="shared" si="2"/>
        <v>585623.5</v>
      </c>
      <c r="C40" s="51"/>
    </row>
    <row r="41">
      <c r="A41" s="5" t="s">
        <v>67</v>
      </c>
      <c r="B41" s="43">
        <f t="shared" si="2"/>
        <v>856336.25</v>
      </c>
      <c r="C41" s="51"/>
    </row>
    <row r="42">
      <c r="A42" s="5" t="s">
        <v>68</v>
      </c>
      <c r="B42" s="43">
        <f t="shared" si="2"/>
        <v>1127049</v>
      </c>
      <c r="C42" s="51"/>
    </row>
    <row r="43">
      <c r="A43" s="5" t="s">
        <v>69</v>
      </c>
      <c r="B43" s="43">
        <f t="shared" si="2"/>
        <v>1397761.75</v>
      </c>
      <c r="C43" s="51"/>
    </row>
    <row r="44">
      <c r="A44" s="5" t="s">
        <v>70</v>
      </c>
      <c r="B44" s="43">
        <f t="shared" si="2"/>
        <v>1668474.5</v>
      </c>
      <c r="C44" s="51"/>
    </row>
    <row r="45">
      <c r="A45" s="5" t="s">
        <v>71</v>
      </c>
      <c r="B45" s="43">
        <f t="shared" si="2"/>
        <v>1939187.25</v>
      </c>
      <c r="C45" s="51"/>
    </row>
    <row r="46">
      <c r="A46" s="5" t="s">
        <v>72</v>
      </c>
      <c r="B46" s="43">
        <f>B24*B37</f>
        <v>2209900</v>
      </c>
      <c r="C46" s="51" t="s">
        <v>73</v>
      </c>
    </row>
    <row r="47">
      <c r="A47" s="5" t="s">
        <v>74</v>
      </c>
      <c r="B47" s="43">
        <f>B26*B29</f>
        <v>1060.667147</v>
      </c>
      <c r="C47" s="51" t="s">
        <v>75</v>
      </c>
    </row>
    <row r="48">
      <c r="A48" s="5" t="s">
        <v>76</v>
      </c>
      <c r="B48" s="43">
        <f>B26*B37</f>
        <v>53033.35733</v>
      </c>
      <c r="C48" s="51" t="s">
        <v>77</v>
      </c>
    </row>
    <row r="49">
      <c r="A49" s="52" t="s">
        <v>78</v>
      </c>
      <c r="B49" s="53">
        <f>AVERAGE(0.38,0.3,0.5/6.9,0.3,0.54)</f>
        <v>0.3184927536</v>
      </c>
      <c r="C49" s="51" t="s">
        <v>79</v>
      </c>
    </row>
    <row r="50">
      <c r="A50" s="52" t="s">
        <v>80</v>
      </c>
      <c r="B50" s="54">
        <v>0.8</v>
      </c>
      <c r="C50" s="51" t="s">
        <v>18</v>
      </c>
      <c r="J50" s="49"/>
    </row>
    <row r="51">
      <c r="A51" s="52" t="s">
        <v>81</v>
      </c>
      <c r="B51" s="53">
        <f>B49*B50</f>
        <v>0.2547942029</v>
      </c>
      <c r="C51" s="51" t="s">
        <v>82</v>
      </c>
      <c r="J51" s="49"/>
    </row>
    <row r="52">
      <c r="A52" s="5"/>
      <c r="B52" s="56"/>
      <c r="C52" s="51"/>
      <c r="J52" s="49"/>
    </row>
    <row r="53">
      <c r="A53" s="3" t="s">
        <v>83</v>
      </c>
      <c r="B53" s="57">
        <f>B6+(B38*B12)+(B13*B47)</f>
        <v>158588.3587</v>
      </c>
      <c r="C53" s="51"/>
    </row>
    <row r="54">
      <c r="A54" s="3" t="s">
        <v>84</v>
      </c>
      <c r="B54" s="57">
        <f>(B11*B10)+(B12*B46)+(B13*B48)</f>
        <v>3479417.933</v>
      </c>
      <c r="C54" s="51"/>
    </row>
    <row r="55">
      <c r="A55" s="17"/>
      <c r="B55" s="40"/>
      <c r="C55" s="33"/>
      <c r="F55" s="34"/>
      <c r="G55" s="26"/>
    </row>
    <row r="56">
      <c r="A56" s="5" t="s">
        <v>85</v>
      </c>
      <c r="B56" s="45">
        <v>0.8</v>
      </c>
      <c r="C56" s="51" t="s">
        <v>86</v>
      </c>
      <c r="E56" s="58"/>
    </row>
    <row r="57">
      <c r="A57" s="59" t="s">
        <v>87</v>
      </c>
      <c r="B57" s="60">
        <v>0.9281</v>
      </c>
      <c r="C57" s="61" t="s">
        <v>88</v>
      </c>
      <c r="D57" s="62"/>
      <c r="E57" s="63"/>
      <c r="F57" s="62"/>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2"/>
      <c r="AL57" s="62"/>
      <c r="AM57" s="62"/>
    </row>
    <row r="58">
      <c r="A58" s="5" t="s">
        <v>89</v>
      </c>
      <c r="B58" s="136">
        <f>1-((AVERAGE(0.155*1.5/5,0.157*1.5/5,0.147*1.5/5,0.145*1.5/5,0.422,0.56,0.29,0.336,0.379,0.217,0.53,0.467,0.525)))</f>
        <v>0.6994461538</v>
      </c>
      <c r="C58" s="140" t="s">
        <v>159</v>
      </c>
      <c r="E58" s="58"/>
      <c r="G58" s="5"/>
    </row>
    <row r="59">
      <c r="A59" s="5" t="s">
        <v>91</v>
      </c>
      <c r="B59" s="45">
        <v>0.8</v>
      </c>
      <c r="C59" s="51" t="s">
        <v>18</v>
      </c>
      <c r="G59" s="46" t="s">
        <v>52</v>
      </c>
    </row>
    <row r="60">
      <c r="A60" s="22" t="s">
        <v>92</v>
      </c>
      <c r="B60" s="66">
        <v>0.04</v>
      </c>
      <c r="C60" s="24" t="s">
        <v>93</v>
      </c>
      <c r="D60" s="62"/>
      <c r="E60" s="62"/>
      <c r="F60" s="67"/>
      <c r="G60" s="68"/>
      <c r="H60" s="62"/>
      <c r="I60" s="62"/>
      <c r="J60" s="62"/>
      <c r="K60" s="62"/>
      <c r="L60" s="62"/>
      <c r="M60" s="62"/>
      <c r="N60" s="62"/>
      <c r="O60" s="62"/>
      <c r="P60" s="62"/>
      <c r="Q60" s="62"/>
      <c r="R60" s="62"/>
      <c r="S60" s="62"/>
      <c r="T60" s="62"/>
      <c r="U60" s="62"/>
      <c r="V60" s="62"/>
      <c r="W60" s="62"/>
      <c r="X60" s="62"/>
      <c r="Y60" s="62"/>
      <c r="Z60" s="62"/>
      <c r="AA60" s="62"/>
      <c r="AB60" s="62"/>
      <c r="AC60" s="62"/>
      <c r="AD60" s="62"/>
      <c r="AE60" s="62"/>
      <c r="AF60" s="62"/>
      <c r="AG60" s="62"/>
      <c r="AH60" s="62"/>
      <c r="AI60" s="62"/>
      <c r="AJ60" s="62"/>
      <c r="AK60" s="62"/>
      <c r="AL60" s="62"/>
      <c r="AM60" s="62"/>
    </row>
    <row r="61">
      <c r="A61" s="39" t="s">
        <v>94</v>
      </c>
      <c r="B61" s="64">
        <v>0.01</v>
      </c>
      <c r="C61" s="16" t="s">
        <v>95</v>
      </c>
      <c r="F61" s="69"/>
      <c r="G61" s="26"/>
    </row>
    <row r="62">
      <c r="A62" s="17"/>
      <c r="B62" s="70"/>
      <c r="C62" s="71"/>
      <c r="F62" s="72"/>
      <c r="G62" s="35"/>
    </row>
    <row r="63">
      <c r="A63" s="73" t="s">
        <v>96</v>
      </c>
      <c r="B63" s="74"/>
      <c r="C63" s="74"/>
      <c r="D63" s="74"/>
      <c r="E63" s="74"/>
      <c r="F63" s="74"/>
      <c r="G63" s="74"/>
      <c r="H63" s="74"/>
      <c r="I63" s="74"/>
      <c r="J63" s="74"/>
      <c r="K63" s="75"/>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row>
    <row r="64">
      <c r="A64" s="5" t="s">
        <v>160</v>
      </c>
      <c r="B64" s="139">
        <v>1645.5</v>
      </c>
      <c r="C64" s="133" t="s">
        <v>98</v>
      </c>
      <c r="F64" s="77"/>
      <c r="K64" s="56"/>
    </row>
    <row r="65">
      <c r="A65" s="39" t="s">
        <v>161</v>
      </c>
      <c r="B65" s="134">
        <f>Calculations!B190</f>
        <v>24607557.06</v>
      </c>
      <c r="C65" s="71" t="s">
        <v>31</v>
      </c>
    </row>
    <row r="67">
      <c r="A67" s="73" t="s">
        <v>101</v>
      </c>
    </row>
    <row r="68">
      <c r="A68" s="5" t="s">
        <v>102</v>
      </c>
      <c r="B68" s="78">
        <f>1/2.3</f>
        <v>0.4347826087</v>
      </c>
      <c r="C68" s="41" t="s">
        <v>103</v>
      </c>
      <c r="D68" s="5" t="s">
        <v>162</v>
      </c>
    </row>
    <row r="69">
      <c r="A69" s="5"/>
      <c r="B69" s="5"/>
      <c r="C69" s="33"/>
    </row>
    <row r="70">
      <c r="D70" s="56"/>
      <c r="E70" s="56"/>
    </row>
    <row r="71">
      <c r="A71" s="79" t="s">
        <v>105</v>
      </c>
      <c r="B71" s="79"/>
      <c r="C71" s="79"/>
      <c r="D71" s="79"/>
      <c r="E71" s="79"/>
      <c r="F71" s="79"/>
      <c r="G71" s="79"/>
      <c r="H71" s="79"/>
      <c r="I71" s="79"/>
      <c r="J71" s="79"/>
      <c r="K71" s="79"/>
      <c r="L71" s="79"/>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row>
    <row r="72">
      <c r="A72" s="5" t="s">
        <v>106</v>
      </c>
      <c r="B72" s="64">
        <v>0.1</v>
      </c>
      <c r="C72" s="41" t="s">
        <v>163</v>
      </c>
    </row>
    <row r="74">
      <c r="A74" s="80" t="s">
        <v>108</v>
      </c>
    </row>
    <row r="75">
      <c r="A75" s="5" t="s">
        <v>109</v>
      </c>
      <c r="B75" s="5">
        <v>1.0</v>
      </c>
      <c r="C75" s="5">
        <v>2.0</v>
      </c>
      <c r="D75" s="5">
        <v>3.0</v>
      </c>
      <c r="E75" s="5">
        <v>4.0</v>
      </c>
      <c r="F75" s="5">
        <v>5.0</v>
      </c>
      <c r="G75" s="5">
        <v>6.0</v>
      </c>
      <c r="H75" s="5">
        <v>7.0</v>
      </c>
      <c r="I75" s="5">
        <v>8.0</v>
      </c>
      <c r="J75" s="5">
        <v>9.0</v>
      </c>
      <c r="K75" s="5">
        <v>10.0</v>
      </c>
      <c r="L75" s="5">
        <v>11.0</v>
      </c>
      <c r="M75" s="5">
        <v>12.0</v>
      </c>
      <c r="N75" s="5">
        <v>13.0</v>
      </c>
      <c r="O75" s="5">
        <v>14.0</v>
      </c>
      <c r="P75" s="5">
        <v>15.0</v>
      </c>
      <c r="Q75" s="5">
        <v>16.0</v>
      </c>
      <c r="R75" s="5">
        <v>17.0</v>
      </c>
      <c r="S75" s="5">
        <v>18.0</v>
      </c>
      <c r="T75" s="5">
        <v>19.0</v>
      </c>
      <c r="U75" s="5">
        <v>20.0</v>
      </c>
      <c r="V75" s="5">
        <v>21.0</v>
      </c>
      <c r="W75" s="5">
        <v>22.0</v>
      </c>
      <c r="X75" s="5">
        <v>23.0</v>
      </c>
      <c r="Y75" s="5">
        <v>24.0</v>
      </c>
      <c r="Z75" s="5">
        <v>25.0</v>
      </c>
      <c r="AA75" s="5">
        <v>26.0</v>
      </c>
      <c r="AB75" s="5">
        <v>27.0</v>
      </c>
      <c r="AC75" s="5">
        <v>28.0</v>
      </c>
      <c r="AD75" s="5">
        <v>29.0</v>
      </c>
      <c r="AE75" s="5">
        <v>30.0</v>
      </c>
      <c r="AF75" s="5">
        <v>31.0</v>
      </c>
      <c r="AG75" s="5">
        <v>32.0</v>
      </c>
      <c r="AH75" s="5">
        <v>33.0</v>
      </c>
      <c r="AI75" s="5">
        <v>34.0</v>
      </c>
      <c r="AJ75" s="5">
        <v>35.0</v>
      </c>
      <c r="AK75" s="5">
        <v>36.0</v>
      </c>
      <c r="AL75" s="5">
        <v>37.0</v>
      </c>
      <c r="AM75" s="5">
        <v>38.0</v>
      </c>
    </row>
    <row r="76">
      <c r="A76" s="22" t="s">
        <v>164</v>
      </c>
      <c r="B76" s="81">
        <v>0.0</v>
      </c>
      <c r="C76" s="81">
        <v>0.0</v>
      </c>
      <c r="D76" s="81">
        <v>0.0</v>
      </c>
      <c r="E76" s="81">
        <v>0.0</v>
      </c>
      <c r="F76" s="81">
        <v>0.0</v>
      </c>
      <c r="G76" s="81">
        <v>0.0</v>
      </c>
      <c r="H76" s="81">
        <v>0.0</v>
      </c>
      <c r="I76" s="81">
        <v>0.0</v>
      </c>
      <c r="J76" s="82">
        <f t="shared" ref="J76:AM76" si="3">$B$64*($B$72)*$B$51</f>
        <v>41.92638609</v>
      </c>
      <c r="K76" s="82">
        <f t="shared" si="3"/>
        <v>41.92638609</v>
      </c>
      <c r="L76" s="82">
        <f t="shared" si="3"/>
        <v>41.92638609</v>
      </c>
      <c r="M76" s="82">
        <f t="shared" si="3"/>
        <v>41.92638609</v>
      </c>
      <c r="N76" s="82">
        <f t="shared" si="3"/>
        <v>41.92638609</v>
      </c>
      <c r="O76" s="82">
        <f t="shared" si="3"/>
        <v>41.92638609</v>
      </c>
      <c r="P76" s="82">
        <f t="shared" si="3"/>
        <v>41.92638609</v>
      </c>
      <c r="Q76" s="82">
        <f t="shared" si="3"/>
        <v>41.92638609</v>
      </c>
      <c r="R76" s="82">
        <f t="shared" si="3"/>
        <v>41.92638609</v>
      </c>
      <c r="S76" s="82">
        <f t="shared" si="3"/>
        <v>41.92638609</v>
      </c>
      <c r="T76" s="82">
        <f t="shared" si="3"/>
        <v>41.92638609</v>
      </c>
      <c r="U76" s="82">
        <f t="shared" si="3"/>
        <v>41.92638609</v>
      </c>
      <c r="V76" s="82">
        <f t="shared" si="3"/>
        <v>41.92638609</v>
      </c>
      <c r="W76" s="82">
        <f t="shared" si="3"/>
        <v>41.92638609</v>
      </c>
      <c r="X76" s="82">
        <f t="shared" si="3"/>
        <v>41.92638609</v>
      </c>
      <c r="Y76" s="82">
        <f t="shared" si="3"/>
        <v>41.92638609</v>
      </c>
      <c r="Z76" s="82">
        <f t="shared" si="3"/>
        <v>41.92638609</v>
      </c>
      <c r="AA76" s="82">
        <f t="shared" si="3"/>
        <v>41.92638609</v>
      </c>
      <c r="AB76" s="82">
        <f t="shared" si="3"/>
        <v>41.92638609</v>
      </c>
      <c r="AC76" s="82">
        <f t="shared" si="3"/>
        <v>41.92638609</v>
      </c>
      <c r="AD76" s="82">
        <f t="shared" si="3"/>
        <v>41.92638609</v>
      </c>
      <c r="AE76" s="82">
        <f t="shared" si="3"/>
        <v>41.92638609</v>
      </c>
      <c r="AF76" s="82">
        <f t="shared" si="3"/>
        <v>41.92638609</v>
      </c>
      <c r="AG76" s="82">
        <f t="shared" si="3"/>
        <v>41.92638609</v>
      </c>
      <c r="AH76" s="82">
        <f t="shared" si="3"/>
        <v>41.92638609</v>
      </c>
      <c r="AI76" s="82">
        <f t="shared" si="3"/>
        <v>41.92638609</v>
      </c>
      <c r="AJ76" s="82">
        <f t="shared" si="3"/>
        <v>41.92638609</v>
      </c>
      <c r="AK76" s="82">
        <f t="shared" si="3"/>
        <v>41.92638609</v>
      </c>
      <c r="AL76" s="82">
        <f t="shared" si="3"/>
        <v>41.92638609</v>
      </c>
      <c r="AM76" s="82">
        <f t="shared" si="3"/>
        <v>41.92638609</v>
      </c>
    </row>
    <row r="77">
      <c r="A77" s="5" t="s">
        <v>111</v>
      </c>
      <c r="B77" s="83">
        <f t="shared" ref="B77:AM77" si="4">B76/$B64</f>
        <v>0</v>
      </c>
      <c r="C77" s="83">
        <f t="shared" si="4"/>
        <v>0</v>
      </c>
      <c r="D77" s="83">
        <f t="shared" si="4"/>
        <v>0</v>
      </c>
      <c r="E77" s="83">
        <f t="shared" si="4"/>
        <v>0</v>
      </c>
      <c r="F77" s="83">
        <f t="shared" si="4"/>
        <v>0</v>
      </c>
      <c r="G77" s="83">
        <f t="shared" si="4"/>
        <v>0</v>
      </c>
      <c r="H77" s="83">
        <f t="shared" si="4"/>
        <v>0</v>
      </c>
      <c r="I77" s="83">
        <f t="shared" si="4"/>
        <v>0</v>
      </c>
      <c r="J77" s="83">
        <f t="shared" si="4"/>
        <v>0.02547942029</v>
      </c>
      <c r="K77" s="83">
        <f t="shared" si="4"/>
        <v>0.02547942029</v>
      </c>
      <c r="L77" s="83">
        <f t="shared" si="4"/>
        <v>0.02547942029</v>
      </c>
      <c r="M77" s="83">
        <f t="shared" si="4"/>
        <v>0.02547942029</v>
      </c>
      <c r="N77" s="83">
        <f t="shared" si="4"/>
        <v>0.02547942029</v>
      </c>
      <c r="O77" s="83">
        <f t="shared" si="4"/>
        <v>0.02547942029</v>
      </c>
      <c r="P77" s="83">
        <f t="shared" si="4"/>
        <v>0.02547942029</v>
      </c>
      <c r="Q77" s="83">
        <f t="shared" si="4"/>
        <v>0.02547942029</v>
      </c>
      <c r="R77" s="83">
        <f t="shared" si="4"/>
        <v>0.02547942029</v>
      </c>
      <c r="S77" s="83">
        <f t="shared" si="4"/>
        <v>0.02547942029</v>
      </c>
      <c r="T77" s="83">
        <f t="shared" si="4"/>
        <v>0.02547942029</v>
      </c>
      <c r="U77" s="83">
        <f t="shared" si="4"/>
        <v>0.02547942029</v>
      </c>
      <c r="V77" s="83">
        <f t="shared" si="4"/>
        <v>0.02547942029</v>
      </c>
      <c r="W77" s="83">
        <f t="shared" si="4"/>
        <v>0.02547942029</v>
      </c>
      <c r="X77" s="83">
        <f t="shared" si="4"/>
        <v>0.02547942029</v>
      </c>
      <c r="Y77" s="83">
        <f t="shared" si="4"/>
        <v>0.02547942029</v>
      </c>
      <c r="Z77" s="83">
        <f t="shared" si="4"/>
        <v>0.02547942029</v>
      </c>
      <c r="AA77" s="83">
        <f t="shared" si="4"/>
        <v>0.02547942029</v>
      </c>
      <c r="AB77" s="83">
        <f t="shared" si="4"/>
        <v>0.02547942029</v>
      </c>
      <c r="AC77" s="83">
        <f t="shared" si="4"/>
        <v>0.02547942029</v>
      </c>
      <c r="AD77" s="83">
        <f t="shared" si="4"/>
        <v>0.02547942029</v>
      </c>
      <c r="AE77" s="83">
        <f t="shared" si="4"/>
        <v>0.02547942029</v>
      </c>
      <c r="AF77" s="83">
        <f t="shared" si="4"/>
        <v>0.02547942029</v>
      </c>
      <c r="AG77" s="83">
        <f t="shared" si="4"/>
        <v>0.02547942029</v>
      </c>
      <c r="AH77" s="83">
        <f t="shared" si="4"/>
        <v>0.02547942029</v>
      </c>
      <c r="AI77" s="83">
        <f t="shared" si="4"/>
        <v>0.02547942029</v>
      </c>
      <c r="AJ77" s="83">
        <f t="shared" si="4"/>
        <v>0.02547942029</v>
      </c>
      <c r="AK77" s="83">
        <f t="shared" si="4"/>
        <v>0.02547942029</v>
      </c>
      <c r="AL77" s="83">
        <f t="shared" si="4"/>
        <v>0.02547942029</v>
      </c>
      <c r="AM77" s="83">
        <f t="shared" si="4"/>
        <v>0.02547942029</v>
      </c>
    </row>
    <row r="79">
      <c r="A79" s="5" t="s">
        <v>112</v>
      </c>
      <c r="B79" s="84">
        <f t="array" ref="B79">NPV($B$61,$76:76)</f>
        <v>999.2309539</v>
      </c>
      <c r="D79" s="56"/>
      <c r="E79" s="56"/>
    </row>
    <row r="80">
      <c r="A80" s="5" t="s">
        <v>113</v>
      </c>
      <c r="B80" s="84">
        <f>B79/B17</f>
        <v>124.9038692</v>
      </c>
      <c r="E80" s="56"/>
    </row>
    <row r="82">
      <c r="A82" s="80" t="s">
        <v>114</v>
      </c>
    </row>
    <row r="83">
      <c r="A83" s="5" t="s">
        <v>109</v>
      </c>
      <c r="B83" s="5">
        <v>1.0</v>
      </c>
      <c r="C83" s="5">
        <v>2.0</v>
      </c>
      <c r="D83" s="5">
        <v>3.0</v>
      </c>
      <c r="E83" s="5">
        <v>4.0</v>
      </c>
      <c r="F83" s="5">
        <v>5.0</v>
      </c>
      <c r="G83" s="5">
        <v>6.0</v>
      </c>
      <c r="H83" s="5">
        <v>7.0</v>
      </c>
      <c r="I83" s="5">
        <v>8.0</v>
      </c>
      <c r="J83" s="5">
        <v>9.0</v>
      </c>
      <c r="K83" s="5">
        <v>10.0</v>
      </c>
      <c r="L83" s="5">
        <v>11.0</v>
      </c>
      <c r="M83" s="5">
        <v>12.0</v>
      </c>
      <c r="N83" s="5">
        <v>13.0</v>
      </c>
      <c r="O83" s="5">
        <v>14.0</v>
      </c>
      <c r="P83" s="5">
        <v>15.0</v>
      </c>
      <c r="Q83" s="5">
        <v>16.0</v>
      </c>
      <c r="R83" s="5">
        <v>17.0</v>
      </c>
      <c r="S83" s="5">
        <v>18.0</v>
      </c>
      <c r="T83" s="5">
        <v>19.0</v>
      </c>
      <c r="U83" s="5">
        <v>20.0</v>
      </c>
      <c r="V83" s="5">
        <v>21.0</v>
      </c>
      <c r="W83" s="5">
        <v>22.0</v>
      </c>
      <c r="X83" s="5">
        <v>23.0</v>
      </c>
      <c r="Y83" s="5">
        <v>24.0</v>
      </c>
      <c r="Z83" s="5">
        <v>25.0</v>
      </c>
      <c r="AA83" s="5">
        <v>26.0</v>
      </c>
      <c r="AB83" s="5">
        <v>27.0</v>
      </c>
      <c r="AC83" s="5">
        <v>28.0</v>
      </c>
      <c r="AD83" s="5">
        <v>29.0</v>
      </c>
      <c r="AE83" s="5">
        <v>30.0</v>
      </c>
      <c r="AF83" s="5">
        <v>31.0</v>
      </c>
      <c r="AG83" s="5">
        <v>32.0</v>
      </c>
      <c r="AH83" s="5">
        <v>33.0</v>
      </c>
      <c r="AI83" s="5">
        <v>34.0</v>
      </c>
      <c r="AJ83" s="5">
        <v>35.0</v>
      </c>
      <c r="AK83" s="5">
        <v>36.0</v>
      </c>
      <c r="AL83" s="5">
        <v>37.0</v>
      </c>
      <c r="AM83" s="5">
        <v>38.0</v>
      </c>
    </row>
    <row r="84">
      <c r="A84" s="35" t="s">
        <v>115</v>
      </c>
      <c r="B84" s="4">
        <f>B53</f>
        <v>158588.3587</v>
      </c>
      <c r="C84" s="85">
        <f>($B$11+($B$12*$B29*$B$24)+($B$13*$B29))*B56</f>
        <v>188102.344</v>
      </c>
      <c r="D84" s="85">
        <f>(($B$11*(D83-1))+($B$12*$B30*$B$24)+($B$13*$B3))*B56</f>
        <v>400308.576</v>
      </c>
      <c r="E84" s="85">
        <f>(($B$11*(E83-1))+($B$12*$B31*$B$24)+($B$13*$B31))*B56</f>
        <v>647356.058</v>
      </c>
      <c r="F84" s="85">
        <f>(($B$11*(F83-1))+($B$12*$B32*$B$24)+($B$13*$B32))*B56</f>
        <v>876982.915</v>
      </c>
      <c r="G84" s="85">
        <f>(($B$11*(G83-1))+($B$12*$B33*$B$24)+($B$13*$B33))*B56</f>
        <v>1106609.772</v>
      </c>
      <c r="H84" s="85">
        <f>(($B$11*(H83-1))+($B$12*$B34*$B$24)+($B$13*$B34))*B56</f>
        <v>1336236.629</v>
      </c>
      <c r="I84" s="85">
        <f>(($B$11*(I83-1))+($B$12*$B35*$B$24)+($B$13*$B35))*$B$56</f>
        <v>1565863.486</v>
      </c>
      <c r="J84" s="85">
        <f>(($B$11*(J83-1))+($B$12*$B36*$B$24)+($B$13*$B36))*$B$56</f>
        <v>1795490.343</v>
      </c>
      <c r="K84" s="4">
        <f t="shared" ref="K84:AE84" si="5">$B$54*$B$56</f>
        <v>2783534.347</v>
      </c>
      <c r="L84" s="4">
        <f t="shared" si="5"/>
        <v>2783534.347</v>
      </c>
      <c r="M84" s="4">
        <f t="shared" si="5"/>
        <v>2783534.347</v>
      </c>
      <c r="N84" s="4">
        <f t="shared" si="5"/>
        <v>2783534.347</v>
      </c>
      <c r="O84" s="4">
        <f t="shared" si="5"/>
        <v>2783534.347</v>
      </c>
      <c r="P84" s="4">
        <f t="shared" si="5"/>
        <v>2783534.347</v>
      </c>
      <c r="Q84" s="4">
        <f t="shared" si="5"/>
        <v>2783534.347</v>
      </c>
      <c r="R84" s="4">
        <f t="shared" si="5"/>
        <v>2783534.347</v>
      </c>
      <c r="S84" s="4">
        <f t="shared" si="5"/>
        <v>2783534.347</v>
      </c>
      <c r="T84" s="4">
        <f t="shared" si="5"/>
        <v>2783534.347</v>
      </c>
      <c r="U84" s="4">
        <f t="shared" si="5"/>
        <v>2783534.347</v>
      </c>
      <c r="V84" s="4">
        <f t="shared" si="5"/>
        <v>2783534.347</v>
      </c>
      <c r="W84" s="4">
        <f t="shared" si="5"/>
        <v>2783534.347</v>
      </c>
      <c r="X84" s="4">
        <f t="shared" si="5"/>
        <v>2783534.347</v>
      </c>
      <c r="Y84" s="4">
        <f t="shared" si="5"/>
        <v>2783534.347</v>
      </c>
      <c r="Z84" s="4">
        <f t="shared" si="5"/>
        <v>2783534.347</v>
      </c>
      <c r="AA84" s="4">
        <f t="shared" si="5"/>
        <v>2783534.347</v>
      </c>
      <c r="AB84" s="4">
        <f t="shared" si="5"/>
        <v>2783534.347</v>
      </c>
      <c r="AC84" s="4">
        <f t="shared" si="5"/>
        <v>2783534.347</v>
      </c>
      <c r="AD84" s="4">
        <f t="shared" si="5"/>
        <v>2783534.347</v>
      </c>
      <c r="AE84" s="4">
        <f t="shared" si="5"/>
        <v>2783534.347</v>
      </c>
      <c r="AF84" s="81">
        <v>0.0</v>
      </c>
      <c r="AG84" s="81">
        <v>0.0</v>
      </c>
      <c r="AH84" s="81">
        <v>0.0</v>
      </c>
      <c r="AI84" s="81">
        <v>0.0</v>
      </c>
      <c r="AJ84" s="81">
        <v>0.0</v>
      </c>
      <c r="AK84" s="81">
        <v>0.0</v>
      </c>
      <c r="AL84" s="81">
        <v>0.0</v>
      </c>
      <c r="AM84" s="81"/>
    </row>
    <row r="85">
      <c r="A85" s="86" t="s">
        <v>116</v>
      </c>
      <c r="B85" s="87">
        <v>0.0</v>
      </c>
      <c r="C85" s="88">
        <f>($B$38*$B$56*$B$58*$B$59)</f>
        <v>19785.03751</v>
      </c>
      <c r="D85" s="88">
        <f>($B$39*$B$56*$B$58*$B$59)</f>
        <v>140968.3923</v>
      </c>
      <c r="E85" s="88">
        <f>($B$40*$B$56*$B$58*$B$59)</f>
        <v>262151.747</v>
      </c>
      <c r="F85" s="88">
        <f>($B$41*$B$56*$B$58*$B$59)</f>
        <v>383335.1017</v>
      </c>
      <c r="G85" s="88">
        <f>($B$42*$B$56*$B$58*$B$59)</f>
        <v>504518.4565</v>
      </c>
      <c r="H85" s="88">
        <f>($B$43*$B$56*$B$58*$B$59)</f>
        <v>625701.8112</v>
      </c>
      <c r="I85" s="88">
        <f>($B$44*$B$56*$B$58*$B$59)</f>
        <v>746885.166</v>
      </c>
      <c r="J85" s="88">
        <f>($B$45*$B$56*$B$58*$B$59)</f>
        <v>868068.5207</v>
      </c>
      <c r="K85" s="88">
        <f t="shared" ref="K85:AL85" si="6">($B$46*$B$56*$B$58*$B$59)</f>
        <v>989251.8754</v>
      </c>
      <c r="L85" s="88">
        <f t="shared" si="6"/>
        <v>989251.8754</v>
      </c>
      <c r="M85" s="88">
        <f t="shared" si="6"/>
        <v>989251.8754</v>
      </c>
      <c r="N85" s="88">
        <f t="shared" si="6"/>
        <v>989251.8754</v>
      </c>
      <c r="O85" s="88">
        <f t="shared" si="6"/>
        <v>989251.8754</v>
      </c>
      <c r="P85" s="88">
        <f t="shared" si="6"/>
        <v>989251.8754</v>
      </c>
      <c r="Q85" s="88">
        <f t="shared" si="6"/>
        <v>989251.8754</v>
      </c>
      <c r="R85" s="88">
        <f t="shared" si="6"/>
        <v>989251.8754</v>
      </c>
      <c r="S85" s="88">
        <f t="shared" si="6"/>
        <v>989251.8754</v>
      </c>
      <c r="T85" s="88">
        <f t="shared" si="6"/>
        <v>989251.8754</v>
      </c>
      <c r="U85" s="88">
        <f t="shared" si="6"/>
        <v>989251.8754</v>
      </c>
      <c r="V85" s="88">
        <f t="shared" si="6"/>
        <v>989251.8754</v>
      </c>
      <c r="W85" s="88">
        <f t="shared" si="6"/>
        <v>989251.8754</v>
      </c>
      <c r="X85" s="88">
        <f t="shared" si="6"/>
        <v>989251.8754</v>
      </c>
      <c r="Y85" s="88">
        <f t="shared" si="6"/>
        <v>989251.8754</v>
      </c>
      <c r="Z85" s="88">
        <f t="shared" si="6"/>
        <v>989251.8754</v>
      </c>
      <c r="AA85" s="88">
        <f t="shared" si="6"/>
        <v>989251.8754</v>
      </c>
      <c r="AB85" s="88">
        <f t="shared" si="6"/>
        <v>989251.8754</v>
      </c>
      <c r="AC85" s="88">
        <f t="shared" si="6"/>
        <v>989251.8754</v>
      </c>
      <c r="AD85" s="88">
        <f t="shared" si="6"/>
        <v>989251.8754</v>
      </c>
      <c r="AE85" s="88">
        <f t="shared" si="6"/>
        <v>989251.8754</v>
      </c>
      <c r="AF85" s="88">
        <f t="shared" si="6"/>
        <v>989251.8754</v>
      </c>
      <c r="AG85" s="88">
        <f t="shared" si="6"/>
        <v>989251.8754</v>
      </c>
      <c r="AH85" s="88">
        <f t="shared" si="6"/>
        <v>989251.8754</v>
      </c>
      <c r="AI85" s="88">
        <f t="shared" si="6"/>
        <v>989251.8754</v>
      </c>
      <c r="AJ85" s="88">
        <f t="shared" si="6"/>
        <v>989251.8754</v>
      </c>
      <c r="AK85" s="88">
        <f t="shared" si="6"/>
        <v>989251.8754</v>
      </c>
      <c r="AL85" s="88">
        <f t="shared" si="6"/>
        <v>989251.8754</v>
      </c>
      <c r="AM85" s="88"/>
    </row>
    <row r="86">
      <c r="A86" s="89" t="s">
        <v>117</v>
      </c>
      <c r="B86" s="90">
        <f t="shared" ref="B86:AL86" si="7">B85*$B$80</f>
        <v>0</v>
      </c>
      <c r="C86" s="90">
        <f t="shared" si="7"/>
        <v>2471227.738</v>
      </c>
      <c r="D86" s="90">
        <f t="shared" si="7"/>
        <v>17607497.63</v>
      </c>
      <c r="E86" s="90">
        <f t="shared" si="7"/>
        <v>32743767.53</v>
      </c>
      <c r="F86" s="90">
        <f t="shared" si="7"/>
        <v>47880037.42</v>
      </c>
      <c r="G86" s="90">
        <f t="shared" si="7"/>
        <v>63016307.32</v>
      </c>
      <c r="H86" s="90">
        <f t="shared" si="7"/>
        <v>78152577.21</v>
      </c>
      <c r="I86" s="90">
        <f t="shared" si="7"/>
        <v>93288847.11</v>
      </c>
      <c r="J86" s="90">
        <f t="shared" si="7"/>
        <v>108425117</v>
      </c>
      <c r="K86" s="90">
        <f t="shared" si="7"/>
        <v>123561386.9</v>
      </c>
      <c r="L86" s="90">
        <f t="shared" si="7"/>
        <v>123561386.9</v>
      </c>
      <c r="M86" s="90">
        <f t="shared" si="7"/>
        <v>123561386.9</v>
      </c>
      <c r="N86" s="90">
        <f t="shared" si="7"/>
        <v>123561386.9</v>
      </c>
      <c r="O86" s="90">
        <f t="shared" si="7"/>
        <v>123561386.9</v>
      </c>
      <c r="P86" s="90">
        <f t="shared" si="7"/>
        <v>123561386.9</v>
      </c>
      <c r="Q86" s="90">
        <f t="shared" si="7"/>
        <v>123561386.9</v>
      </c>
      <c r="R86" s="90">
        <f t="shared" si="7"/>
        <v>123561386.9</v>
      </c>
      <c r="S86" s="90">
        <f t="shared" si="7"/>
        <v>123561386.9</v>
      </c>
      <c r="T86" s="90">
        <f t="shared" si="7"/>
        <v>123561386.9</v>
      </c>
      <c r="U86" s="90">
        <f t="shared" si="7"/>
        <v>123561386.9</v>
      </c>
      <c r="V86" s="90">
        <f t="shared" si="7"/>
        <v>123561386.9</v>
      </c>
      <c r="W86" s="90">
        <f t="shared" si="7"/>
        <v>123561386.9</v>
      </c>
      <c r="X86" s="90">
        <f t="shared" si="7"/>
        <v>123561386.9</v>
      </c>
      <c r="Y86" s="90">
        <f t="shared" si="7"/>
        <v>123561386.9</v>
      </c>
      <c r="Z86" s="90">
        <f t="shared" si="7"/>
        <v>123561386.9</v>
      </c>
      <c r="AA86" s="90">
        <f t="shared" si="7"/>
        <v>123561386.9</v>
      </c>
      <c r="AB86" s="90">
        <f t="shared" si="7"/>
        <v>123561386.9</v>
      </c>
      <c r="AC86" s="90">
        <f t="shared" si="7"/>
        <v>123561386.9</v>
      </c>
      <c r="AD86" s="90">
        <f t="shared" si="7"/>
        <v>123561386.9</v>
      </c>
      <c r="AE86" s="90">
        <f t="shared" si="7"/>
        <v>123561386.9</v>
      </c>
      <c r="AF86" s="90">
        <f t="shared" si="7"/>
        <v>123561386.9</v>
      </c>
      <c r="AG86" s="90">
        <f t="shared" si="7"/>
        <v>123561386.9</v>
      </c>
      <c r="AH86" s="90">
        <f t="shared" si="7"/>
        <v>123561386.9</v>
      </c>
      <c r="AI86" s="90">
        <f t="shared" si="7"/>
        <v>123561386.9</v>
      </c>
      <c r="AJ86" s="90">
        <f t="shared" si="7"/>
        <v>123561386.9</v>
      </c>
      <c r="AK86" s="90">
        <f t="shared" si="7"/>
        <v>123561386.9</v>
      </c>
      <c r="AL86" s="90">
        <f t="shared" si="7"/>
        <v>123561386.9</v>
      </c>
      <c r="AM86" s="90"/>
    </row>
    <row r="87">
      <c r="B87" s="90"/>
    </row>
    <row r="88">
      <c r="A88" s="80" t="s">
        <v>118</v>
      </c>
    </row>
    <row r="89">
      <c r="A89" s="17" t="s">
        <v>119</v>
      </c>
      <c r="B89" s="4">
        <f t="array" ref="B89">NPV($B$60,84:84)</f>
        <v>33688567.87</v>
      </c>
      <c r="F89" s="92"/>
    </row>
    <row r="90">
      <c r="A90" s="17" t="s">
        <v>120</v>
      </c>
      <c r="B90" s="4">
        <f>SUM(B86:AL86)</f>
        <v>3903304212</v>
      </c>
      <c r="F90" s="92"/>
    </row>
    <row r="91">
      <c r="A91" s="93" t="s">
        <v>121</v>
      </c>
      <c r="B91" s="141">
        <f>B90/B89</f>
        <v>115.8643557</v>
      </c>
      <c r="C91" s="1"/>
      <c r="D91" s="1"/>
      <c r="E91" s="1"/>
      <c r="F91" s="95"/>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3">
      <c r="A93" s="79" t="s">
        <v>122</v>
      </c>
      <c r="B93" s="79"/>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row>
    <row r="94">
      <c r="A94" s="96"/>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c r="AF94" s="97"/>
      <c r="AG94" s="97"/>
      <c r="AH94" s="97"/>
      <c r="AI94" s="97"/>
      <c r="AJ94" s="97"/>
      <c r="AK94" s="97"/>
      <c r="AL94" s="97"/>
      <c r="AM94" s="97"/>
    </row>
    <row r="95">
      <c r="A95" s="98" t="s">
        <v>165</v>
      </c>
      <c r="B95" s="99">
        <f>($B$56*$B$58*$B$59)</f>
        <v>0.4476455385</v>
      </c>
      <c r="C95" s="52" t="s">
        <v>166</v>
      </c>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97"/>
      <c r="AH95" s="97"/>
      <c r="AI95" s="97"/>
      <c r="AJ95" s="97"/>
      <c r="AK95" s="97"/>
      <c r="AL95" s="97"/>
      <c r="AM95" s="97"/>
    </row>
    <row r="96">
      <c r="A96" s="98" t="s">
        <v>124</v>
      </c>
      <c r="B96" s="100">
        <f>B65*B64</f>
        <v>40491735146</v>
      </c>
      <c r="C96" s="52" t="s">
        <v>166</v>
      </c>
      <c r="D96" s="97"/>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c r="AF96" s="97"/>
      <c r="AG96" s="97"/>
      <c r="AH96" s="97"/>
      <c r="AI96" s="97"/>
      <c r="AJ96" s="97"/>
      <c r="AK96" s="97"/>
      <c r="AL96" s="97"/>
      <c r="AM96" s="97"/>
    </row>
    <row r="97">
      <c r="A97" s="101" t="s">
        <v>125</v>
      </c>
      <c r="B97" s="102">
        <f>ROUNDUP(B14/2,0)</f>
        <v>4</v>
      </c>
      <c r="C97" s="5" t="s">
        <v>126</v>
      </c>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c r="AF97" s="97"/>
      <c r="AG97" s="97"/>
      <c r="AH97" s="97"/>
      <c r="AI97" s="97"/>
      <c r="AJ97" s="97"/>
      <c r="AK97" s="97"/>
      <c r="AL97" s="97"/>
      <c r="AM97" s="97"/>
    </row>
    <row r="98">
      <c r="A98" s="98" t="s">
        <v>127</v>
      </c>
      <c r="B98" s="103">
        <f>Calculations!D98</f>
        <v>0.0005010811993</v>
      </c>
      <c r="C98" s="52" t="s">
        <v>31</v>
      </c>
      <c r="D98" s="97"/>
      <c r="E98" s="104"/>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c r="AF98" s="97"/>
      <c r="AG98" s="97"/>
      <c r="AH98" s="97"/>
      <c r="AI98" s="97"/>
      <c r="AJ98" s="97"/>
      <c r="AK98" s="97"/>
      <c r="AL98" s="97"/>
      <c r="AM98" s="97"/>
    </row>
    <row r="99">
      <c r="A99" s="96"/>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c r="AE99" s="97"/>
      <c r="AF99" s="97"/>
      <c r="AG99" s="97"/>
      <c r="AH99" s="97"/>
      <c r="AI99" s="97"/>
      <c r="AJ99" s="97"/>
      <c r="AK99" s="97"/>
      <c r="AL99" s="97"/>
      <c r="AM99" s="97"/>
    </row>
    <row r="100">
      <c r="A100" s="80" t="s">
        <v>128</v>
      </c>
    </row>
    <row r="101">
      <c r="A101" s="52" t="s">
        <v>109</v>
      </c>
      <c r="B101" s="52">
        <v>1.0</v>
      </c>
      <c r="C101" s="52">
        <v>2.0</v>
      </c>
      <c r="D101" s="52">
        <v>3.0</v>
      </c>
      <c r="E101" s="52">
        <v>4.0</v>
      </c>
      <c r="F101" s="52">
        <v>5.0</v>
      </c>
      <c r="G101" s="52">
        <v>6.0</v>
      </c>
      <c r="H101" s="52">
        <v>7.0</v>
      </c>
      <c r="I101" s="52">
        <v>8.0</v>
      </c>
      <c r="J101" s="52">
        <v>9.0</v>
      </c>
      <c r="K101" s="52">
        <v>10.0</v>
      </c>
      <c r="L101" s="52">
        <v>11.0</v>
      </c>
      <c r="M101" s="52">
        <v>12.0</v>
      </c>
      <c r="N101" s="52">
        <v>13.0</v>
      </c>
      <c r="O101" s="52">
        <v>14.0</v>
      </c>
      <c r="P101" s="52">
        <v>15.0</v>
      </c>
      <c r="Q101" s="52">
        <v>16.0</v>
      </c>
      <c r="R101" s="52">
        <v>17.0</v>
      </c>
      <c r="S101" s="52">
        <v>18.0</v>
      </c>
      <c r="T101" s="52">
        <v>19.0</v>
      </c>
      <c r="U101" s="52">
        <v>20.0</v>
      </c>
      <c r="V101" s="52">
        <v>21.0</v>
      </c>
      <c r="W101" s="52">
        <v>22.0</v>
      </c>
      <c r="X101" s="52">
        <v>23.0</v>
      </c>
      <c r="Y101" s="52">
        <v>24.0</v>
      </c>
      <c r="Z101" s="52">
        <v>25.0</v>
      </c>
      <c r="AA101" s="52">
        <v>26.0</v>
      </c>
      <c r="AB101" s="52">
        <v>27.0</v>
      </c>
      <c r="AC101" s="52">
        <v>28.0</v>
      </c>
      <c r="AD101" s="52">
        <v>29.0</v>
      </c>
      <c r="AE101" s="52">
        <v>30.0</v>
      </c>
      <c r="AF101" s="52">
        <v>31.0</v>
      </c>
      <c r="AG101" s="52">
        <v>32.0</v>
      </c>
      <c r="AH101" s="52">
        <v>33.0</v>
      </c>
      <c r="AI101" s="52">
        <v>34.0</v>
      </c>
      <c r="AJ101" s="52">
        <v>35.0</v>
      </c>
      <c r="AK101" s="52">
        <v>36.0</v>
      </c>
      <c r="AL101" s="52">
        <v>37.0</v>
      </c>
      <c r="AM101" s="52"/>
    </row>
    <row r="102">
      <c r="A102" s="52" t="s">
        <v>129</v>
      </c>
      <c r="B102" s="105">
        <v>0.0</v>
      </c>
      <c r="C102" s="105">
        <f>$B29/$B$20</f>
        <v>0.01</v>
      </c>
      <c r="D102" s="105">
        <f>$B30/$B$20</f>
        <v>0.07125</v>
      </c>
      <c r="E102" s="105">
        <f>$B31/$B$20</f>
        <v>0.1325</v>
      </c>
      <c r="F102" s="105">
        <f>$B32/$B$20</f>
        <v>0.19375</v>
      </c>
      <c r="G102" s="105">
        <f>$B33/$B$20</f>
        <v>0.255</v>
      </c>
      <c r="H102" s="105">
        <f>$B34/$B$20</f>
        <v>0.31625</v>
      </c>
      <c r="I102" s="105">
        <f>$B35/$B$20</f>
        <v>0.3775</v>
      </c>
      <c r="J102" s="105">
        <f>$B36/$B$20</f>
        <v>0.43875</v>
      </c>
      <c r="K102" s="105">
        <f>$B37/$B$20</f>
        <v>0.5</v>
      </c>
      <c r="L102" s="105">
        <f t="shared" ref="L102:AL102" si="8">$B$28</f>
        <v>0.5</v>
      </c>
      <c r="M102" s="105">
        <f t="shared" si="8"/>
        <v>0.5</v>
      </c>
      <c r="N102" s="105">
        <f t="shared" si="8"/>
        <v>0.5</v>
      </c>
      <c r="O102" s="105">
        <f t="shared" si="8"/>
        <v>0.5</v>
      </c>
      <c r="P102" s="105">
        <f t="shared" si="8"/>
        <v>0.5</v>
      </c>
      <c r="Q102" s="105">
        <f t="shared" si="8"/>
        <v>0.5</v>
      </c>
      <c r="R102" s="105">
        <f t="shared" si="8"/>
        <v>0.5</v>
      </c>
      <c r="S102" s="105">
        <f t="shared" si="8"/>
        <v>0.5</v>
      </c>
      <c r="T102" s="105">
        <f t="shared" si="8"/>
        <v>0.5</v>
      </c>
      <c r="U102" s="105">
        <f t="shared" si="8"/>
        <v>0.5</v>
      </c>
      <c r="V102" s="105">
        <f t="shared" si="8"/>
        <v>0.5</v>
      </c>
      <c r="W102" s="105">
        <f t="shared" si="8"/>
        <v>0.5</v>
      </c>
      <c r="X102" s="105">
        <f t="shared" si="8"/>
        <v>0.5</v>
      </c>
      <c r="Y102" s="105">
        <f t="shared" si="8"/>
        <v>0.5</v>
      </c>
      <c r="Z102" s="105">
        <f t="shared" si="8"/>
        <v>0.5</v>
      </c>
      <c r="AA102" s="105">
        <f t="shared" si="8"/>
        <v>0.5</v>
      </c>
      <c r="AB102" s="105">
        <f t="shared" si="8"/>
        <v>0.5</v>
      </c>
      <c r="AC102" s="105">
        <f t="shared" si="8"/>
        <v>0.5</v>
      </c>
      <c r="AD102" s="105">
        <f t="shared" si="8"/>
        <v>0.5</v>
      </c>
      <c r="AE102" s="105">
        <f t="shared" si="8"/>
        <v>0.5</v>
      </c>
      <c r="AF102" s="105">
        <f t="shared" si="8"/>
        <v>0.5</v>
      </c>
      <c r="AG102" s="105">
        <f t="shared" si="8"/>
        <v>0.5</v>
      </c>
      <c r="AH102" s="105">
        <f t="shared" si="8"/>
        <v>0.5</v>
      </c>
      <c r="AI102" s="105">
        <f t="shared" si="8"/>
        <v>0.5</v>
      </c>
      <c r="AJ102" s="105">
        <f t="shared" si="8"/>
        <v>0.5</v>
      </c>
      <c r="AK102" s="105">
        <f t="shared" si="8"/>
        <v>0.5</v>
      </c>
      <c r="AL102" s="105">
        <f t="shared" si="8"/>
        <v>0.5</v>
      </c>
      <c r="AM102" s="105"/>
    </row>
    <row r="103">
      <c r="A103" s="86" t="s">
        <v>130</v>
      </c>
      <c r="B103" s="90">
        <f t="shared" ref="B103:D103" si="9">IFERROR(A103*(1+$B98*#REF!),$B$96)</f>
        <v>40491735146</v>
      </c>
      <c r="C103" s="90">
        <f t="shared" si="9"/>
        <v>40491735146</v>
      </c>
      <c r="D103" s="90">
        <f t="shared" si="9"/>
        <v>40491735146</v>
      </c>
      <c r="E103" s="90">
        <f>IFERROR(D103*(1+$B98*A102),$B$96)</f>
        <v>40491735146</v>
      </c>
      <c r="F103" s="90">
        <f t="shared" ref="F103:AL103" si="10">IFERROR(E103*(1+$B98*$B95*B102),$B$96)</f>
        <v>40491735146</v>
      </c>
      <c r="G103" s="90">
        <f t="shared" si="10"/>
        <v>40491825972</v>
      </c>
      <c r="H103" s="90">
        <f t="shared" si="10"/>
        <v>40492473107</v>
      </c>
      <c r="I103" s="90">
        <f t="shared" si="10"/>
        <v>40493676569</v>
      </c>
      <c r="J103" s="90">
        <f t="shared" si="10"/>
        <v>40495436401</v>
      </c>
      <c r="K103" s="90">
        <f t="shared" si="10"/>
        <v>40497752668</v>
      </c>
      <c r="L103" s="90">
        <f t="shared" si="10"/>
        <v>40500625458</v>
      </c>
      <c r="M103" s="90">
        <f t="shared" si="10"/>
        <v>40504054881</v>
      </c>
      <c r="N103" s="90">
        <f t="shared" si="10"/>
        <v>40508041071</v>
      </c>
      <c r="O103" s="90">
        <f t="shared" si="10"/>
        <v>40512584185</v>
      </c>
      <c r="P103" s="90">
        <f t="shared" si="10"/>
        <v>40517127808</v>
      </c>
      <c r="Q103" s="90">
        <f t="shared" si="10"/>
        <v>40521671941</v>
      </c>
      <c r="R103" s="90">
        <f t="shared" si="10"/>
        <v>40526216584</v>
      </c>
      <c r="S103" s="90">
        <f t="shared" si="10"/>
        <v>40530761736</v>
      </c>
      <c r="T103" s="90">
        <f t="shared" si="10"/>
        <v>40535307398</v>
      </c>
      <c r="U103" s="90">
        <f t="shared" si="10"/>
        <v>40539853570</v>
      </c>
      <c r="V103" s="90">
        <f t="shared" si="10"/>
        <v>40544400251</v>
      </c>
      <c r="W103" s="90">
        <f t="shared" si="10"/>
        <v>40548947443</v>
      </c>
      <c r="X103" s="90">
        <f t="shared" si="10"/>
        <v>40553495145</v>
      </c>
      <c r="Y103" s="90">
        <f t="shared" si="10"/>
        <v>40558043356</v>
      </c>
      <c r="Z103" s="90">
        <f t="shared" si="10"/>
        <v>40562592078</v>
      </c>
      <c r="AA103" s="90">
        <f t="shared" si="10"/>
        <v>40567141310</v>
      </c>
      <c r="AB103" s="90">
        <f t="shared" si="10"/>
        <v>40571691052</v>
      </c>
      <c r="AC103" s="90">
        <f t="shared" si="10"/>
        <v>40576241304</v>
      </c>
      <c r="AD103" s="90">
        <f t="shared" si="10"/>
        <v>40580792067</v>
      </c>
      <c r="AE103" s="90">
        <f t="shared" si="10"/>
        <v>40585343340</v>
      </c>
      <c r="AF103" s="90">
        <f t="shared" si="10"/>
        <v>40589895123</v>
      </c>
      <c r="AG103" s="90">
        <f t="shared" si="10"/>
        <v>40594447417</v>
      </c>
      <c r="AH103" s="90">
        <f t="shared" si="10"/>
        <v>40599000222</v>
      </c>
      <c r="AI103" s="90">
        <f t="shared" si="10"/>
        <v>40603553537</v>
      </c>
      <c r="AJ103" s="90">
        <f t="shared" si="10"/>
        <v>40608107363</v>
      </c>
      <c r="AK103" s="90">
        <f t="shared" si="10"/>
        <v>40612661700</v>
      </c>
      <c r="AL103" s="90">
        <f t="shared" si="10"/>
        <v>40617216547</v>
      </c>
      <c r="AM103" s="90"/>
    </row>
    <row r="104">
      <c r="A104" s="86" t="s">
        <v>131</v>
      </c>
      <c r="B104" s="106"/>
      <c r="C104" s="106"/>
      <c r="D104" s="106"/>
      <c r="E104" s="106"/>
      <c r="F104" s="90">
        <f t="shared" ref="F104:AL104" si="11">F103-$B96</f>
        <v>0</v>
      </c>
      <c r="G104" s="90">
        <f t="shared" si="11"/>
        <v>90825.7005</v>
      </c>
      <c r="H104" s="90">
        <f t="shared" si="11"/>
        <v>737960.2681</v>
      </c>
      <c r="I104" s="90">
        <f t="shared" si="11"/>
        <v>1941422.732</v>
      </c>
      <c r="J104" s="90">
        <f t="shared" si="11"/>
        <v>3701255.053</v>
      </c>
      <c r="K104" s="90">
        <f t="shared" si="11"/>
        <v>6017522.121</v>
      </c>
      <c r="L104" s="90">
        <f t="shared" si="11"/>
        <v>8890311.764</v>
      </c>
      <c r="M104" s="90">
        <f t="shared" si="11"/>
        <v>12319734.75</v>
      </c>
      <c r="N104" s="90">
        <f t="shared" si="11"/>
        <v>16305924.8</v>
      </c>
      <c r="O104" s="90">
        <f t="shared" si="11"/>
        <v>20849038.59</v>
      </c>
      <c r="P104" s="90">
        <f t="shared" si="11"/>
        <v>25392661.91</v>
      </c>
      <c r="Q104" s="90">
        <f t="shared" si="11"/>
        <v>29936794.81</v>
      </c>
      <c r="R104" s="90">
        <f t="shared" si="11"/>
        <v>34481437.34</v>
      </c>
      <c r="S104" s="90">
        <f t="shared" si="11"/>
        <v>39026589.58</v>
      </c>
      <c r="T104" s="90">
        <f t="shared" si="11"/>
        <v>43572251.57</v>
      </c>
      <c r="U104" s="90">
        <f t="shared" si="11"/>
        <v>48118423.37</v>
      </c>
      <c r="V104" s="90">
        <f t="shared" si="11"/>
        <v>52665105.04</v>
      </c>
      <c r="W104" s="90">
        <f t="shared" si="11"/>
        <v>57212296.63</v>
      </c>
      <c r="X104" s="90">
        <f t="shared" si="11"/>
        <v>61759998.21</v>
      </c>
      <c r="Y104" s="90">
        <f t="shared" si="11"/>
        <v>66308209.83</v>
      </c>
      <c r="Z104" s="90">
        <f t="shared" si="11"/>
        <v>70856931.54</v>
      </c>
      <c r="AA104" s="90">
        <f t="shared" si="11"/>
        <v>75406163.41</v>
      </c>
      <c r="AB104" s="90">
        <f t="shared" si="11"/>
        <v>79955905.49</v>
      </c>
      <c r="AC104" s="90">
        <f t="shared" si="11"/>
        <v>84506157.84</v>
      </c>
      <c r="AD104" s="90">
        <f t="shared" si="11"/>
        <v>89056920.52</v>
      </c>
      <c r="AE104" s="90">
        <f t="shared" si="11"/>
        <v>93608193.58</v>
      </c>
      <c r="AF104" s="90">
        <f t="shared" si="11"/>
        <v>98159977.08</v>
      </c>
      <c r="AG104" s="90">
        <f t="shared" si="11"/>
        <v>102712271.1</v>
      </c>
      <c r="AH104" s="90">
        <f t="shared" si="11"/>
        <v>107265075.6</v>
      </c>
      <c r="AI104" s="90">
        <f t="shared" si="11"/>
        <v>111818390.8</v>
      </c>
      <c r="AJ104" s="90">
        <f t="shared" si="11"/>
        <v>116372216.6</v>
      </c>
      <c r="AK104" s="90">
        <f t="shared" si="11"/>
        <v>120926553.2</v>
      </c>
      <c r="AL104" s="90">
        <f t="shared" si="11"/>
        <v>125481400.5</v>
      </c>
      <c r="AM104" s="90"/>
    </row>
    <row r="105">
      <c r="A105" s="107"/>
      <c r="B105" s="108"/>
      <c r="C105" s="108"/>
      <c r="D105" s="108"/>
      <c r="E105" s="108"/>
    </row>
    <row r="106">
      <c r="A106" s="80" t="s">
        <v>132</v>
      </c>
    </row>
    <row r="107">
      <c r="A107" s="22" t="s">
        <v>119</v>
      </c>
      <c r="B107" s="90">
        <f>B89</f>
        <v>33688567.87</v>
      </c>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c r="AA107" s="110"/>
      <c r="AB107" s="110"/>
      <c r="AC107" s="110"/>
      <c r="AD107" s="110"/>
      <c r="AE107" s="110"/>
      <c r="AF107" s="110"/>
      <c r="AG107" s="110"/>
      <c r="AH107" s="110"/>
      <c r="AI107" s="110"/>
      <c r="AJ107" s="110"/>
      <c r="AK107" s="110"/>
      <c r="AL107" s="110"/>
      <c r="AM107" s="110"/>
    </row>
    <row r="108">
      <c r="A108" s="52" t="s">
        <v>120</v>
      </c>
      <c r="B108" s="90">
        <f t="array" ref="B108">NPV($B$60,104:104)</f>
        <v>730695735.3</v>
      </c>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c r="AA108" s="110"/>
      <c r="AB108" s="110"/>
      <c r="AC108" s="110"/>
      <c r="AD108" s="110"/>
      <c r="AE108" s="110"/>
      <c r="AF108" s="110"/>
      <c r="AG108" s="110"/>
      <c r="AH108" s="110"/>
      <c r="AI108" s="110"/>
      <c r="AJ108" s="110"/>
      <c r="AK108" s="110"/>
      <c r="AL108" s="110"/>
      <c r="AM108" s="110"/>
    </row>
    <row r="109">
      <c r="A109" s="111" t="s">
        <v>121</v>
      </c>
      <c r="B109" s="120">
        <f>B108/B107</f>
        <v>21.68972389</v>
      </c>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row>
    <row r="110">
      <c r="A110" s="5"/>
      <c r="B110" s="6"/>
    </row>
    <row r="111">
      <c r="A111" s="7" t="s">
        <v>133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row>
    <row r="112">
      <c r="A112" s="3" t="s">
        <v>134</v>
      </c>
      <c r="B112" s="5" t="s">
        <v>135</v>
      </c>
      <c r="C112" s="5" t="s">
        <v>136</v>
      </c>
      <c r="D112" s="5" t="s">
        <v>137</v>
      </c>
    </row>
    <row r="113">
      <c r="A113" s="5" t="s">
        <v>139</v>
      </c>
      <c r="B113" s="142">
        <f>'CEA (Rwanda)'!B111</f>
        <v>0.4</v>
      </c>
      <c r="C113" s="142">
        <f>'CEA (Rwanda)'!C111</f>
        <v>0.35</v>
      </c>
      <c r="D113" s="83">
        <f t="shared" ref="D113:D114" si="12">AVERAGE(B113:C113)</f>
        <v>0.375</v>
      </c>
      <c r="F113" s="5" t="s">
        <v>167</v>
      </c>
    </row>
    <row r="114">
      <c r="A114" s="5" t="s">
        <v>140</v>
      </c>
      <c r="B114" s="142">
        <f>'CEA (Rwanda)'!B112</f>
        <v>0.6</v>
      </c>
      <c r="C114" s="142">
        <f>'CEA (Rwanda)'!C112</f>
        <v>0.65</v>
      </c>
      <c r="D114" s="83">
        <f t="shared" si="12"/>
        <v>0.625</v>
      </c>
    </row>
    <row r="116">
      <c r="A116" s="22" t="s">
        <v>119</v>
      </c>
      <c r="B116" s="90">
        <f>B89</f>
        <v>33688567.87</v>
      </c>
    </row>
    <row r="117">
      <c r="A117" s="5" t="s">
        <v>143</v>
      </c>
      <c r="B117" s="82">
        <f>(B90*D$113)+(B108*D$114)</f>
        <v>1920423914</v>
      </c>
    </row>
    <row r="118">
      <c r="A118" s="3" t="s">
        <v>144</v>
      </c>
      <c r="B118" s="120">
        <f>B117/B116</f>
        <v>57.00521083</v>
      </c>
    </row>
    <row r="120">
      <c r="A120" s="5" t="s">
        <v>145</v>
      </c>
      <c r="B120" s="122">
        <f>B72*B51*(B118/B91)</f>
        <v>0.01253586331</v>
      </c>
    </row>
    <row r="121">
      <c r="A121" s="5" t="s">
        <v>146</v>
      </c>
      <c r="B121" s="124">
        <f>B120*B64</f>
        <v>20.62776307</v>
      </c>
    </row>
    <row r="122">
      <c r="A122" s="5" t="s">
        <v>147</v>
      </c>
      <c r="B122" s="126">
        <f>B117/B121</f>
        <v>93098990.31</v>
      </c>
    </row>
    <row r="123">
      <c r="A123" s="5" t="str">
        <f>CONCATENATE("GiveWell moral weight for a ",ROUND(100*B120,2),"% increase in income")</f>
        <v>GiveWell moral weight for a 1.25% increase in income</v>
      </c>
      <c r="B123" s="124">
        <f>B68*(ln(1+B120)/ln(2))</f>
        <v>0.007814351366</v>
      </c>
    </row>
    <row r="124">
      <c r="A124" s="5" t="s">
        <v>148</v>
      </c>
      <c r="B124" s="128">
        <f>B123*B122</f>
        <v>727508.2221</v>
      </c>
    </row>
    <row r="125">
      <c r="A125" s="3" t="s">
        <v>9</v>
      </c>
      <c r="B125" s="130">
        <f>B116/B124</f>
        <v>46.30678643</v>
      </c>
    </row>
    <row r="126">
      <c r="A126" s="3" t="s">
        <v>149</v>
      </c>
      <c r="B126" s="132">
        <f>B124/(B116/1000)</f>
        <v>21.59510683</v>
      </c>
    </row>
    <row r="127">
      <c r="B127" s="40"/>
    </row>
    <row r="128">
      <c r="B128" s="40"/>
    </row>
    <row r="139">
      <c r="B139" s="77"/>
    </row>
    <row r="140">
      <c r="B140" s="77"/>
    </row>
    <row r="141">
      <c r="B141" s="77"/>
    </row>
  </sheetData>
  <mergeCells count="1">
    <mergeCell ref="A1:M1"/>
  </mergeCells>
  <hyperlinks>
    <hyperlink r:id="rId1" ref="C12"/>
    <hyperlink r:id="rId2" ref="C25"/>
    <hyperlink r:id="rId3" ref="C27"/>
    <hyperlink r:id="rId4" ref="C58"/>
    <hyperlink r:id="rId5" ref="C64"/>
    <hyperlink r:id="rId6" location="gid=171561146" ref="C68"/>
    <hyperlink r:id="rId7" ref="C72"/>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33.75"/>
    <col customWidth="1" min="4" max="4" width="15.38"/>
    <col customWidth="1" min="5" max="5" width="25.63"/>
    <col customWidth="1" min="10" max="10" width="15.38"/>
  </cols>
  <sheetData>
    <row r="1">
      <c r="A1" s="79" t="s">
        <v>105</v>
      </c>
      <c r="B1" s="143"/>
      <c r="C1" s="144"/>
      <c r="D1" s="143"/>
      <c r="E1" s="143"/>
      <c r="F1" s="143"/>
      <c r="G1" s="143"/>
      <c r="H1" s="143"/>
      <c r="I1" s="143"/>
      <c r="J1" s="143"/>
      <c r="K1" s="143"/>
      <c r="L1" s="143"/>
      <c r="M1" s="143"/>
      <c r="N1" s="143"/>
      <c r="O1" s="143"/>
      <c r="P1" s="143"/>
      <c r="Q1" s="143"/>
      <c r="R1" s="143"/>
      <c r="S1" s="143"/>
      <c r="T1" s="143"/>
      <c r="U1" s="143"/>
      <c r="V1" s="143"/>
      <c r="W1" s="143"/>
      <c r="X1" s="143"/>
      <c r="Y1" s="143"/>
      <c r="Z1" s="143"/>
    </row>
    <row r="2">
      <c r="A2" s="79" t="s">
        <v>168</v>
      </c>
      <c r="B2" s="143"/>
      <c r="C2" s="144"/>
      <c r="D2" s="143"/>
      <c r="E2" s="143"/>
      <c r="F2" s="143"/>
      <c r="G2" s="143"/>
      <c r="H2" s="143"/>
      <c r="I2" s="143"/>
      <c r="J2" s="143"/>
      <c r="K2" s="143"/>
      <c r="L2" s="143"/>
      <c r="M2" s="143"/>
      <c r="N2" s="143"/>
      <c r="O2" s="143"/>
      <c r="P2" s="143"/>
      <c r="Q2" s="143"/>
      <c r="R2" s="143"/>
      <c r="S2" s="143"/>
      <c r="T2" s="143"/>
      <c r="U2" s="143"/>
      <c r="V2" s="143"/>
      <c r="W2" s="143"/>
      <c r="X2" s="143"/>
      <c r="Y2" s="143"/>
      <c r="Z2" s="143"/>
    </row>
    <row r="3">
      <c r="A3" s="145" t="s">
        <v>169</v>
      </c>
      <c r="F3" s="146" t="s">
        <v>170</v>
      </c>
      <c r="G3" s="5" t="s">
        <v>171</v>
      </c>
    </row>
    <row r="4">
      <c r="A4" s="5">
        <v>1.0</v>
      </c>
      <c r="B4" s="5" t="s">
        <v>172</v>
      </c>
      <c r="C4" s="145" t="s">
        <v>173</v>
      </c>
      <c r="D4" s="70">
        <v>0.1</v>
      </c>
      <c r="E4" s="5" t="s">
        <v>174</v>
      </c>
      <c r="F4" s="147" t="s">
        <v>175</v>
      </c>
    </row>
    <row r="5">
      <c r="A5" s="5">
        <v>1.0</v>
      </c>
      <c r="B5" s="5" t="s">
        <v>172</v>
      </c>
      <c r="C5" s="145" t="s">
        <v>173</v>
      </c>
      <c r="D5" s="148">
        <v>0.1904761905</v>
      </c>
      <c r="E5" s="5" t="s">
        <v>174</v>
      </c>
      <c r="F5" s="147" t="s">
        <v>176</v>
      </c>
    </row>
    <row r="6">
      <c r="A6" s="5">
        <v>1.0</v>
      </c>
      <c r="B6" s="5" t="s">
        <v>172</v>
      </c>
      <c r="C6" s="145" t="s">
        <v>173</v>
      </c>
      <c r="D6" s="149">
        <v>0.088</v>
      </c>
      <c r="E6" s="5" t="s">
        <v>177</v>
      </c>
      <c r="F6" s="41" t="s">
        <v>178</v>
      </c>
    </row>
    <row r="7">
      <c r="A7" s="5">
        <v>1.0</v>
      </c>
      <c r="B7" s="5" t="s">
        <v>172</v>
      </c>
      <c r="C7" s="145" t="s">
        <v>173</v>
      </c>
      <c r="D7" s="149">
        <v>0.105</v>
      </c>
      <c r="E7" s="5" t="s">
        <v>179</v>
      </c>
      <c r="F7" s="41" t="s">
        <v>178</v>
      </c>
    </row>
    <row r="8">
      <c r="A8" s="5">
        <v>1.0</v>
      </c>
      <c r="B8" s="5" t="s">
        <v>180</v>
      </c>
      <c r="C8" s="145" t="s">
        <v>173</v>
      </c>
      <c r="D8" s="149">
        <v>0.254</v>
      </c>
      <c r="E8" s="5" t="s">
        <v>174</v>
      </c>
      <c r="F8" s="41" t="s">
        <v>178</v>
      </c>
    </row>
    <row r="9">
      <c r="A9" s="5">
        <v>1.0</v>
      </c>
      <c r="B9" s="5" t="s">
        <v>172</v>
      </c>
      <c r="C9" s="145" t="s">
        <v>173</v>
      </c>
      <c r="D9" s="149">
        <v>0.097</v>
      </c>
      <c r="E9" s="5" t="s">
        <v>177</v>
      </c>
      <c r="F9" s="41" t="s">
        <v>181</v>
      </c>
    </row>
    <row r="10">
      <c r="A10" s="5">
        <v>1.0</v>
      </c>
      <c r="B10" s="5" t="s">
        <v>172</v>
      </c>
      <c r="C10" s="145" t="s">
        <v>173</v>
      </c>
      <c r="D10" s="149">
        <v>0.101</v>
      </c>
      <c r="E10" s="5" t="s">
        <v>177</v>
      </c>
      <c r="F10" s="41" t="s">
        <v>181</v>
      </c>
    </row>
    <row r="11">
      <c r="A11" s="5">
        <v>1.0</v>
      </c>
      <c r="B11" s="5" t="s">
        <v>172</v>
      </c>
      <c r="C11" s="145" t="s">
        <v>173</v>
      </c>
      <c r="D11" s="149">
        <v>0.124</v>
      </c>
      <c r="E11" s="5" t="s">
        <v>179</v>
      </c>
      <c r="F11" s="41" t="s">
        <v>181</v>
      </c>
      <c r="I11" s="83"/>
      <c r="L11" s="83"/>
    </row>
    <row r="12">
      <c r="A12" s="5">
        <v>1.0</v>
      </c>
      <c r="B12" s="5" t="s">
        <v>180</v>
      </c>
      <c r="C12" s="145" t="s">
        <v>173</v>
      </c>
      <c r="D12" s="149">
        <v>0.106</v>
      </c>
      <c r="E12" s="5" t="s">
        <v>174</v>
      </c>
      <c r="F12" s="41" t="s">
        <v>181</v>
      </c>
      <c r="I12" s="83"/>
    </row>
    <row r="13">
      <c r="A13" s="5">
        <v>1.0</v>
      </c>
      <c r="B13" s="5" t="s">
        <v>180</v>
      </c>
      <c r="C13" s="145" t="s">
        <v>173</v>
      </c>
      <c r="D13" s="149">
        <v>0.115</v>
      </c>
      <c r="E13" s="5" t="s">
        <v>174</v>
      </c>
      <c r="F13" s="41" t="s">
        <v>181</v>
      </c>
    </row>
    <row r="14">
      <c r="A14" s="5">
        <v>1.0</v>
      </c>
      <c r="B14" s="5" t="s">
        <v>180</v>
      </c>
      <c r="C14" s="145" t="s">
        <v>173</v>
      </c>
      <c r="D14" s="149">
        <v>0.144</v>
      </c>
      <c r="E14" s="5" t="s">
        <v>179</v>
      </c>
      <c r="F14" s="41" t="s">
        <v>181</v>
      </c>
    </row>
    <row r="15">
      <c r="A15" s="5">
        <v>1.0</v>
      </c>
      <c r="B15" s="5" t="s">
        <v>172</v>
      </c>
      <c r="C15" s="145" t="s">
        <v>173</v>
      </c>
      <c r="D15" s="70">
        <v>0.0</v>
      </c>
      <c r="E15" s="5" t="s">
        <v>174</v>
      </c>
      <c r="F15" s="41" t="s">
        <v>182</v>
      </c>
    </row>
    <row r="16">
      <c r="A16" s="77"/>
      <c r="B16" s="77"/>
      <c r="C16" s="77" t="s">
        <v>183</v>
      </c>
      <c r="D16" s="150">
        <f>AVERAGE(D4:D15)</f>
        <v>0.1187063492</v>
      </c>
    </row>
    <row r="17">
      <c r="C17" s="151"/>
    </row>
    <row r="18">
      <c r="A18" s="79" t="s">
        <v>184</v>
      </c>
      <c r="B18" s="143"/>
      <c r="C18" s="144"/>
      <c r="D18" s="143"/>
      <c r="E18" s="143"/>
      <c r="F18" s="143"/>
      <c r="G18" s="143"/>
      <c r="H18" s="143"/>
      <c r="I18" s="143"/>
      <c r="J18" s="143"/>
      <c r="K18" s="143"/>
      <c r="L18" s="143"/>
      <c r="M18" s="143"/>
      <c r="N18" s="143"/>
      <c r="O18" s="143"/>
      <c r="P18" s="143"/>
      <c r="Q18" s="143"/>
      <c r="R18" s="143"/>
      <c r="S18" s="143"/>
      <c r="T18" s="143"/>
      <c r="U18" s="143"/>
      <c r="V18" s="143"/>
      <c r="W18" s="143"/>
      <c r="X18" s="143"/>
      <c r="Y18" s="143"/>
      <c r="Z18" s="143"/>
    </row>
    <row r="19">
      <c r="A19" s="145" t="s">
        <v>169</v>
      </c>
      <c r="F19" s="146" t="s">
        <v>170</v>
      </c>
      <c r="G19" s="5" t="s">
        <v>171</v>
      </c>
    </row>
    <row r="20">
      <c r="A20" s="5">
        <v>1.0</v>
      </c>
      <c r="B20" s="5" t="s">
        <v>185</v>
      </c>
      <c r="C20" s="145" t="s">
        <v>186</v>
      </c>
      <c r="D20" s="152">
        <f>AVERAGE(1.666666667,6.9)</f>
        <v>4.283333334</v>
      </c>
      <c r="E20" s="5" t="s">
        <v>187</v>
      </c>
      <c r="F20" s="41" t="s">
        <v>188</v>
      </c>
      <c r="G20" s="153" t="s">
        <v>189</v>
      </c>
    </row>
    <row r="21">
      <c r="A21" s="154">
        <v>1.0</v>
      </c>
      <c r="B21" s="35" t="s">
        <v>185</v>
      </c>
      <c r="C21" s="155" t="s">
        <v>186</v>
      </c>
      <c r="D21" s="152">
        <f>AVERAGE(8.4,10.5)</f>
        <v>9.45</v>
      </c>
      <c r="E21" s="35" t="s">
        <v>187</v>
      </c>
      <c r="F21" s="147" t="s">
        <v>190</v>
      </c>
      <c r="G21" s="5" t="s">
        <v>191</v>
      </c>
    </row>
    <row r="22">
      <c r="A22" s="5">
        <v>1.0</v>
      </c>
      <c r="B22" s="35" t="s">
        <v>185</v>
      </c>
      <c r="C22" s="155" t="s">
        <v>186</v>
      </c>
      <c r="D22" s="152">
        <f>AVERAGE(1,4.5)</f>
        <v>2.75</v>
      </c>
      <c r="E22" s="35" t="s">
        <v>187</v>
      </c>
      <c r="F22" s="147" t="s">
        <v>192</v>
      </c>
      <c r="G22" s="5" t="s">
        <v>193</v>
      </c>
    </row>
    <row r="23">
      <c r="C23" s="77" t="s">
        <v>183</v>
      </c>
      <c r="D23" s="110">
        <f>AVERAGE(D20:D22)</f>
        <v>5.494444445</v>
      </c>
    </row>
    <row r="24">
      <c r="C24" s="151"/>
    </row>
    <row r="25">
      <c r="A25" s="79" t="s">
        <v>194</v>
      </c>
      <c r="B25" s="143"/>
      <c r="C25" s="144"/>
      <c r="D25" s="143"/>
      <c r="E25" s="143"/>
      <c r="F25" s="143"/>
      <c r="G25" s="143"/>
      <c r="H25" s="143"/>
      <c r="I25" s="143"/>
      <c r="J25" s="143"/>
      <c r="K25" s="143"/>
      <c r="L25" s="143"/>
      <c r="M25" s="143"/>
      <c r="N25" s="143"/>
      <c r="O25" s="143"/>
      <c r="P25" s="143"/>
      <c r="Q25" s="143"/>
      <c r="R25" s="143"/>
      <c r="S25" s="143"/>
      <c r="T25" s="143"/>
      <c r="U25" s="143"/>
      <c r="V25" s="143"/>
      <c r="W25" s="143"/>
      <c r="X25" s="143"/>
      <c r="Y25" s="143"/>
      <c r="Z25" s="143"/>
    </row>
    <row r="26">
      <c r="A26" s="145" t="s">
        <v>169</v>
      </c>
      <c r="F26" s="146" t="s">
        <v>170</v>
      </c>
      <c r="G26" s="5" t="s">
        <v>171</v>
      </c>
    </row>
    <row r="27">
      <c r="A27" s="5">
        <v>1.0</v>
      </c>
      <c r="B27" s="5" t="s">
        <v>185</v>
      </c>
      <c r="C27" s="145" t="s">
        <v>186</v>
      </c>
      <c r="D27" s="156">
        <f>AVERAGE(0.12,0.25)</f>
        <v>0.185</v>
      </c>
      <c r="E27" s="5" t="s">
        <v>174</v>
      </c>
      <c r="F27" s="41" t="s">
        <v>195</v>
      </c>
      <c r="G27" s="152" t="s">
        <v>196</v>
      </c>
      <c r="K27" s="148"/>
    </row>
    <row r="28">
      <c r="A28" s="5">
        <v>1.0</v>
      </c>
      <c r="B28" s="5" t="s">
        <v>185</v>
      </c>
      <c r="C28" s="145" t="s">
        <v>186</v>
      </c>
      <c r="D28" s="156">
        <f>AVERAGE(0.1,0.45)</f>
        <v>0.275</v>
      </c>
      <c r="E28" s="5" t="s">
        <v>174</v>
      </c>
      <c r="F28" s="41" t="s">
        <v>197</v>
      </c>
      <c r="G28" s="152" t="s">
        <v>198</v>
      </c>
    </row>
    <row r="29">
      <c r="A29" s="5">
        <v>1.0</v>
      </c>
      <c r="B29" s="5" t="s">
        <v>185</v>
      </c>
      <c r="C29" s="145" t="s">
        <v>186</v>
      </c>
      <c r="D29" s="156">
        <f>AVERAGE(0.01,0.25)</f>
        <v>0.13</v>
      </c>
      <c r="E29" s="5" t="s">
        <v>174</v>
      </c>
      <c r="F29" s="41" t="s">
        <v>199</v>
      </c>
      <c r="G29" s="152" t="s">
        <v>200</v>
      </c>
    </row>
    <row r="30">
      <c r="A30" s="154">
        <v>1.0</v>
      </c>
      <c r="B30" s="35" t="s">
        <v>185</v>
      </c>
      <c r="C30" s="155" t="s">
        <v>186</v>
      </c>
      <c r="D30" s="70">
        <v>0.4</v>
      </c>
      <c r="E30" s="5" t="s">
        <v>174</v>
      </c>
      <c r="F30" s="147" t="s">
        <v>201</v>
      </c>
    </row>
    <row r="31" hidden="1">
      <c r="A31" s="5">
        <v>1.0</v>
      </c>
      <c r="B31" s="5" t="s">
        <v>185</v>
      </c>
      <c r="C31" s="145" t="s">
        <v>186</v>
      </c>
      <c r="D31" s="83">
        <f t="shared" ref="D31:D42" si="1">$D$20*D4</f>
        <v>0.4283333334</v>
      </c>
      <c r="E31" s="5" t="s">
        <v>174</v>
      </c>
      <c r="F31" s="5" t="s">
        <v>82</v>
      </c>
      <c r="G31" s="5" t="s">
        <v>202</v>
      </c>
    </row>
    <row r="32" hidden="1">
      <c r="A32" s="154">
        <v>1.0</v>
      </c>
      <c r="B32" s="35" t="s">
        <v>185</v>
      </c>
      <c r="C32" s="155" t="s">
        <v>186</v>
      </c>
      <c r="D32" s="83">
        <f t="shared" si="1"/>
        <v>0.815873016</v>
      </c>
      <c r="E32" s="5" t="s">
        <v>174</v>
      </c>
      <c r="F32" s="5" t="s">
        <v>82</v>
      </c>
      <c r="G32" s="5" t="s">
        <v>203</v>
      </c>
    </row>
    <row r="33" hidden="1">
      <c r="A33" s="5">
        <v>1.0</v>
      </c>
      <c r="B33" s="5" t="s">
        <v>185</v>
      </c>
      <c r="C33" s="145" t="s">
        <v>186</v>
      </c>
      <c r="D33" s="83">
        <f t="shared" si="1"/>
        <v>0.3769333333</v>
      </c>
      <c r="E33" s="5" t="s">
        <v>174</v>
      </c>
      <c r="F33" s="5" t="s">
        <v>82</v>
      </c>
      <c r="G33" s="5" t="s">
        <v>204</v>
      </c>
    </row>
    <row r="34" hidden="1">
      <c r="A34" s="154">
        <v>1.0</v>
      </c>
      <c r="B34" s="35" t="s">
        <v>185</v>
      </c>
      <c r="C34" s="155" t="s">
        <v>186</v>
      </c>
      <c r="D34" s="83">
        <f t="shared" si="1"/>
        <v>0.44975</v>
      </c>
      <c r="E34" s="5" t="s">
        <v>174</v>
      </c>
      <c r="F34" s="5" t="s">
        <v>82</v>
      </c>
      <c r="G34" s="5" t="s">
        <v>205</v>
      </c>
    </row>
    <row r="35" hidden="1">
      <c r="A35" s="5">
        <v>1.0</v>
      </c>
      <c r="B35" s="5" t="s">
        <v>185</v>
      </c>
      <c r="C35" s="145" t="s">
        <v>186</v>
      </c>
      <c r="D35" s="83">
        <f t="shared" si="1"/>
        <v>1.087966667</v>
      </c>
      <c r="E35" s="5" t="s">
        <v>174</v>
      </c>
      <c r="F35" s="5" t="s">
        <v>82</v>
      </c>
      <c r="G35" s="5" t="s">
        <v>206</v>
      </c>
    </row>
    <row r="36" hidden="1">
      <c r="A36" s="154">
        <v>1.0</v>
      </c>
      <c r="B36" s="35" t="s">
        <v>185</v>
      </c>
      <c r="C36" s="155" t="s">
        <v>186</v>
      </c>
      <c r="D36" s="83">
        <f t="shared" si="1"/>
        <v>0.4154833333</v>
      </c>
      <c r="E36" s="5" t="s">
        <v>174</v>
      </c>
      <c r="F36" s="5" t="s">
        <v>82</v>
      </c>
      <c r="G36" s="5" t="s">
        <v>207</v>
      </c>
    </row>
    <row r="37" hidden="1">
      <c r="A37" s="5">
        <v>1.0</v>
      </c>
      <c r="B37" s="5" t="s">
        <v>185</v>
      </c>
      <c r="C37" s="145" t="s">
        <v>186</v>
      </c>
      <c r="D37" s="83">
        <f t="shared" si="1"/>
        <v>0.4326166667</v>
      </c>
      <c r="E37" s="5" t="s">
        <v>174</v>
      </c>
      <c r="F37" s="5" t="s">
        <v>82</v>
      </c>
      <c r="G37" s="5" t="s">
        <v>208</v>
      </c>
    </row>
    <row r="38" hidden="1">
      <c r="A38" s="154">
        <v>1.0</v>
      </c>
      <c r="B38" s="35" t="s">
        <v>185</v>
      </c>
      <c r="C38" s="155" t="s">
        <v>186</v>
      </c>
      <c r="D38" s="83">
        <f t="shared" si="1"/>
        <v>0.5311333334</v>
      </c>
      <c r="E38" s="5" t="s">
        <v>174</v>
      </c>
      <c r="F38" s="5" t="s">
        <v>82</v>
      </c>
      <c r="G38" s="5" t="s">
        <v>209</v>
      </c>
    </row>
    <row r="39" hidden="1">
      <c r="A39" s="5">
        <v>1.0</v>
      </c>
      <c r="B39" s="5" t="s">
        <v>185</v>
      </c>
      <c r="C39" s="145" t="s">
        <v>186</v>
      </c>
      <c r="D39" s="83">
        <f t="shared" si="1"/>
        <v>0.4540333334</v>
      </c>
      <c r="E39" s="5" t="s">
        <v>174</v>
      </c>
      <c r="F39" s="5" t="s">
        <v>82</v>
      </c>
      <c r="G39" s="5" t="s">
        <v>210</v>
      </c>
    </row>
    <row r="40" hidden="1">
      <c r="A40" s="154">
        <v>1.0</v>
      </c>
      <c r="B40" s="35" t="s">
        <v>185</v>
      </c>
      <c r="C40" s="155" t="s">
        <v>186</v>
      </c>
      <c r="D40" s="83">
        <f t="shared" si="1"/>
        <v>0.4925833334</v>
      </c>
      <c r="E40" s="5" t="s">
        <v>174</v>
      </c>
      <c r="F40" s="5" t="s">
        <v>82</v>
      </c>
      <c r="G40" s="5" t="s">
        <v>211</v>
      </c>
    </row>
    <row r="41" hidden="1">
      <c r="A41" s="5">
        <v>1.0</v>
      </c>
      <c r="B41" s="5" t="s">
        <v>185</v>
      </c>
      <c r="C41" s="145" t="s">
        <v>186</v>
      </c>
      <c r="D41" s="83">
        <f t="shared" si="1"/>
        <v>0.6168</v>
      </c>
      <c r="E41" s="5" t="s">
        <v>174</v>
      </c>
      <c r="F41" s="5" t="s">
        <v>82</v>
      </c>
      <c r="G41" s="5" t="s">
        <v>212</v>
      </c>
    </row>
    <row r="42" hidden="1">
      <c r="A42" s="5">
        <v>1.0</v>
      </c>
      <c r="B42" s="5" t="s">
        <v>185</v>
      </c>
      <c r="C42" s="145" t="s">
        <v>186</v>
      </c>
      <c r="D42" s="83">
        <f t="shared" si="1"/>
        <v>0</v>
      </c>
      <c r="E42" s="5" t="s">
        <v>174</v>
      </c>
      <c r="F42" s="5" t="s">
        <v>82</v>
      </c>
      <c r="G42" s="5" t="s">
        <v>213</v>
      </c>
    </row>
    <row r="43" hidden="1">
      <c r="A43" s="154">
        <v>1.0</v>
      </c>
      <c r="B43" s="35" t="s">
        <v>185</v>
      </c>
      <c r="C43" s="155" t="s">
        <v>186</v>
      </c>
      <c r="D43" s="83">
        <f t="shared" ref="D43:D54" si="2">$D$21*D4</f>
        <v>0.945</v>
      </c>
      <c r="E43" s="5" t="s">
        <v>174</v>
      </c>
      <c r="F43" s="5" t="s">
        <v>82</v>
      </c>
      <c r="G43" s="5" t="s">
        <v>214</v>
      </c>
    </row>
    <row r="44" hidden="1">
      <c r="A44" s="5">
        <v>1.0</v>
      </c>
      <c r="B44" s="5" t="s">
        <v>185</v>
      </c>
      <c r="C44" s="145" t="s">
        <v>186</v>
      </c>
      <c r="D44" s="83">
        <f t="shared" si="2"/>
        <v>1.8</v>
      </c>
      <c r="E44" s="5" t="s">
        <v>174</v>
      </c>
      <c r="F44" s="5" t="s">
        <v>82</v>
      </c>
      <c r="G44" s="5" t="s">
        <v>215</v>
      </c>
    </row>
    <row r="45" hidden="1">
      <c r="A45" s="154">
        <v>1.0</v>
      </c>
      <c r="B45" s="35" t="s">
        <v>185</v>
      </c>
      <c r="C45" s="155" t="s">
        <v>186</v>
      </c>
      <c r="D45" s="83">
        <f t="shared" si="2"/>
        <v>0.8316</v>
      </c>
      <c r="E45" s="5" t="s">
        <v>174</v>
      </c>
      <c r="F45" s="5" t="s">
        <v>82</v>
      </c>
      <c r="G45" s="5" t="s">
        <v>216</v>
      </c>
    </row>
    <row r="46" hidden="1">
      <c r="A46" s="5">
        <v>1.0</v>
      </c>
      <c r="B46" s="5" t="s">
        <v>185</v>
      </c>
      <c r="C46" s="145" t="s">
        <v>186</v>
      </c>
      <c r="D46" s="83">
        <f t="shared" si="2"/>
        <v>0.99225</v>
      </c>
      <c r="E46" s="5" t="s">
        <v>174</v>
      </c>
      <c r="F46" s="5" t="s">
        <v>82</v>
      </c>
      <c r="G46" s="5" t="s">
        <v>217</v>
      </c>
    </row>
    <row r="47" hidden="1">
      <c r="A47" s="154">
        <v>1.0</v>
      </c>
      <c r="B47" s="35" t="s">
        <v>185</v>
      </c>
      <c r="C47" s="155" t="s">
        <v>186</v>
      </c>
      <c r="D47" s="83">
        <f t="shared" si="2"/>
        <v>2.4003</v>
      </c>
      <c r="E47" s="5" t="s">
        <v>174</v>
      </c>
      <c r="F47" s="5" t="s">
        <v>82</v>
      </c>
      <c r="G47" s="5" t="s">
        <v>218</v>
      </c>
    </row>
    <row r="48" hidden="1">
      <c r="A48" s="5">
        <v>1.0</v>
      </c>
      <c r="B48" s="5" t="s">
        <v>185</v>
      </c>
      <c r="C48" s="145" t="s">
        <v>186</v>
      </c>
      <c r="D48" s="83">
        <f t="shared" si="2"/>
        <v>0.91665</v>
      </c>
      <c r="E48" s="5" t="s">
        <v>174</v>
      </c>
      <c r="F48" s="5" t="s">
        <v>82</v>
      </c>
      <c r="G48" s="5" t="s">
        <v>219</v>
      </c>
    </row>
    <row r="49" hidden="1">
      <c r="A49" s="154">
        <v>1.0</v>
      </c>
      <c r="B49" s="35" t="s">
        <v>185</v>
      </c>
      <c r="C49" s="155" t="s">
        <v>186</v>
      </c>
      <c r="D49" s="83">
        <f t="shared" si="2"/>
        <v>0.95445</v>
      </c>
      <c r="E49" s="5" t="s">
        <v>174</v>
      </c>
      <c r="F49" s="5" t="s">
        <v>82</v>
      </c>
      <c r="G49" s="5" t="s">
        <v>220</v>
      </c>
    </row>
    <row r="50" hidden="1">
      <c r="A50" s="5">
        <v>1.0</v>
      </c>
      <c r="B50" s="5" t="s">
        <v>185</v>
      </c>
      <c r="C50" s="145" t="s">
        <v>186</v>
      </c>
      <c r="D50" s="83">
        <f t="shared" si="2"/>
        <v>1.1718</v>
      </c>
      <c r="E50" s="5" t="s">
        <v>174</v>
      </c>
      <c r="F50" s="5" t="s">
        <v>82</v>
      </c>
      <c r="G50" s="5" t="s">
        <v>221</v>
      </c>
    </row>
    <row r="51" hidden="1">
      <c r="A51" s="154">
        <v>1.0</v>
      </c>
      <c r="B51" s="35" t="s">
        <v>185</v>
      </c>
      <c r="C51" s="155" t="s">
        <v>186</v>
      </c>
      <c r="D51" s="83">
        <f t="shared" si="2"/>
        <v>1.0017</v>
      </c>
      <c r="E51" s="5" t="s">
        <v>174</v>
      </c>
      <c r="F51" s="5" t="s">
        <v>82</v>
      </c>
      <c r="G51" s="5" t="s">
        <v>222</v>
      </c>
    </row>
    <row r="52" hidden="1">
      <c r="A52" s="5">
        <v>1.0</v>
      </c>
      <c r="B52" s="5" t="s">
        <v>185</v>
      </c>
      <c r="C52" s="145" t="s">
        <v>186</v>
      </c>
      <c r="D52" s="83">
        <f t="shared" si="2"/>
        <v>1.08675</v>
      </c>
      <c r="E52" s="5" t="s">
        <v>174</v>
      </c>
      <c r="F52" s="5" t="s">
        <v>82</v>
      </c>
      <c r="G52" s="5" t="s">
        <v>223</v>
      </c>
    </row>
    <row r="53" hidden="1">
      <c r="A53" s="154">
        <v>1.0</v>
      </c>
      <c r="B53" s="35" t="s">
        <v>185</v>
      </c>
      <c r="C53" s="155" t="s">
        <v>186</v>
      </c>
      <c r="D53" s="83">
        <f t="shared" si="2"/>
        <v>1.3608</v>
      </c>
      <c r="E53" s="5" t="s">
        <v>174</v>
      </c>
      <c r="F53" s="5" t="s">
        <v>82</v>
      </c>
      <c r="G53" s="5" t="s">
        <v>224</v>
      </c>
    </row>
    <row r="54" hidden="1">
      <c r="A54" s="154">
        <v>1.0</v>
      </c>
      <c r="B54" s="35" t="s">
        <v>185</v>
      </c>
      <c r="C54" s="155" t="s">
        <v>186</v>
      </c>
      <c r="D54" s="83">
        <f t="shared" si="2"/>
        <v>0</v>
      </c>
      <c r="E54" s="5" t="s">
        <v>174</v>
      </c>
      <c r="F54" s="5" t="s">
        <v>82</v>
      </c>
      <c r="G54" s="5" t="s">
        <v>225</v>
      </c>
    </row>
    <row r="55" hidden="1">
      <c r="A55" s="5">
        <v>1.0</v>
      </c>
      <c r="B55" s="5" t="s">
        <v>185</v>
      </c>
      <c r="C55" s="145" t="s">
        <v>186</v>
      </c>
      <c r="D55" s="83">
        <f t="shared" ref="D55:D66" si="3">$D$22*D4</f>
        <v>0.275</v>
      </c>
      <c r="E55" s="5" t="s">
        <v>174</v>
      </c>
      <c r="F55" s="5" t="s">
        <v>82</v>
      </c>
      <c r="G55" s="5" t="s">
        <v>226</v>
      </c>
    </row>
    <row r="56" hidden="1">
      <c r="A56" s="154">
        <v>1.0</v>
      </c>
      <c r="B56" s="35" t="s">
        <v>185</v>
      </c>
      <c r="C56" s="155" t="s">
        <v>186</v>
      </c>
      <c r="D56" s="83">
        <f t="shared" si="3"/>
        <v>0.5238095239</v>
      </c>
      <c r="E56" s="5" t="s">
        <v>174</v>
      </c>
      <c r="F56" s="5" t="s">
        <v>82</v>
      </c>
      <c r="G56" s="5" t="s">
        <v>227</v>
      </c>
    </row>
    <row r="57" hidden="1">
      <c r="A57" s="5">
        <v>1.0</v>
      </c>
      <c r="B57" s="5" t="s">
        <v>185</v>
      </c>
      <c r="C57" s="145" t="s">
        <v>186</v>
      </c>
      <c r="D57" s="83">
        <f t="shared" si="3"/>
        <v>0.242</v>
      </c>
      <c r="E57" s="5" t="s">
        <v>174</v>
      </c>
      <c r="F57" s="5" t="s">
        <v>82</v>
      </c>
      <c r="G57" s="5" t="s">
        <v>228</v>
      </c>
    </row>
    <row r="58" hidden="1">
      <c r="A58" s="154">
        <v>1.0</v>
      </c>
      <c r="B58" s="35" t="s">
        <v>185</v>
      </c>
      <c r="C58" s="155" t="s">
        <v>186</v>
      </c>
      <c r="D58" s="83">
        <f t="shared" si="3"/>
        <v>0.28875</v>
      </c>
      <c r="E58" s="5" t="s">
        <v>174</v>
      </c>
      <c r="F58" s="5" t="s">
        <v>82</v>
      </c>
      <c r="G58" s="5" t="s">
        <v>229</v>
      </c>
    </row>
    <row r="59" hidden="1">
      <c r="A59" s="5">
        <v>1.0</v>
      </c>
      <c r="B59" s="5" t="s">
        <v>185</v>
      </c>
      <c r="C59" s="145" t="s">
        <v>186</v>
      </c>
      <c r="D59" s="83">
        <f t="shared" si="3"/>
        <v>0.6985</v>
      </c>
      <c r="E59" s="5" t="s">
        <v>174</v>
      </c>
      <c r="F59" s="5" t="s">
        <v>82</v>
      </c>
      <c r="G59" s="5" t="s">
        <v>230</v>
      </c>
    </row>
    <row r="60" hidden="1">
      <c r="A60" s="154">
        <v>1.0</v>
      </c>
      <c r="B60" s="35" t="s">
        <v>185</v>
      </c>
      <c r="C60" s="155" t="s">
        <v>186</v>
      </c>
      <c r="D60" s="83">
        <f t="shared" si="3"/>
        <v>0.26675</v>
      </c>
      <c r="E60" s="5" t="s">
        <v>174</v>
      </c>
      <c r="F60" s="5" t="s">
        <v>82</v>
      </c>
      <c r="G60" s="5" t="s">
        <v>231</v>
      </c>
    </row>
    <row r="61" hidden="1">
      <c r="A61" s="5">
        <v>1.0</v>
      </c>
      <c r="B61" s="5" t="s">
        <v>185</v>
      </c>
      <c r="C61" s="145" t="s">
        <v>186</v>
      </c>
      <c r="D61" s="83">
        <f t="shared" si="3"/>
        <v>0.27775</v>
      </c>
      <c r="E61" s="5" t="s">
        <v>174</v>
      </c>
      <c r="F61" s="5" t="s">
        <v>82</v>
      </c>
      <c r="G61" s="5" t="s">
        <v>232</v>
      </c>
    </row>
    <row r="62" hidden="1">
      <c r="A62" s="154">
        <v>1.0</v>
      </c>
      <c r="B62" s="35" t="s">
        <v>185</v>
      </c>
      <c r="C62" s="155" t="s">
        <v>186</v>
      </c>
      <c r="D62" s="83">
        <f t="shared" si="3"/>
        <v>0.341</v>
      </c>
      <c r="E62" s="5" t="s">
        <v>174</v>
      </c>
      <c r="F62" s="5" t="s">
        <v>82</v>
      </c>
      <c r="G62" s="5" t="s">
        <v>233</v>
      </c>
    </row>
    <row r="63" hidden="1">
      <c r="A63" s="5">
        <v>1.0</v>
      </c>
      <c r="B63" s="5" t="s">
        <v>185</v>
      </c>
      <c r="C63" s="145" t="s">
        <v>186</v>
      </c>
      <c r="D63" s="83">
        <f t="shared" si="3"/>
        <v>0.2915</v>
      </c>
      <c r="E63" s="5" t="s">
        <v>174</v>
      </c>
      <c r="F63" s="5" t="s">
        <v>82</v>
      </c>
      <c r="G63" s="5" t="s">
        <v>234</v>
      </c>
    </row>
    <row r="64" hidden="1">
      <c r="A64" s="154">
        <v>1.0</v>
      </c>
      <c r="B64" s="35" t="s">
        <v>185</v>
      </c>
      <c r="C64" s="155" t="s">
        <v>186</v>
      </c>
      <c r="D64" s="83">
        <f t="shared" si="3"/>
        <v>0.31625</v>
      </c>
      <c r="E64" s="5" t="s">
        <v>174</v>
      </c>
      <c r="F64" s="5" t="s">
        <v>82</v>
      </c>
      <c r="G64" s="5" t="s">
        <v>235</v>
      </c>
    </row>
    <row r="65" hidden="1">
      <c r="A65" s="5">
        <v>1.0</v>
      </c>
      <c r="B65" s="5" t="s">
        <v>185</v>
      </c>
      <c r="C65" s="145" t="s">
        <v>186</v>
      </c>
      <c r="D65" s="83">
        <f t="shared" si="3"/>
        <v>0.396</v>
      </c>
      <c r="E65" s="5" t="s">
        <v>174</v>
      </c>
      <c r="F65" s="5" t="s">
        <v>82</v>
      </c>
      <c r="G65" s="5" t="s">
        <v>236</v>
      </c>
    </row>
    <row r="66" hidden="1">
      <c r="A66" s="5">
        <v>1.0</v>
      </c>
      <c r="B66" s="5" t="s">
        <v>185</v>
      </c>
      <c r="C66" s="145" t="s">
        <v>186</v>
      </c>
      <c r="D66" s="83">
        <f t="shared" si="3"/>
        <v>0</v>
      </c>
      <c r="E66" s="5" t="s">
        <v>174</v>
      </c>
      <c r="F66" s="5" t="s">
        <v>82</v>
      </c>
      <c r="G66" s="5" t="s">
        <v>237</v>
      </c>
    </row>
    <row r="67">
      <c r="A67" s="154"/>
      <c r="B67" s="35"/>
      <c r="C67" s="157" t="s">
        <v>183</v>
      </c>
      <c r="D67" s="158">
        <f>AVERAGE(D27:D30)</f>
        <v>0.2475</v>
      </c>
    </row>
    <row r="68">
      <c r="A68" s="79" t="s">
        <v>238</v>
      </c>
      <c r="B68" s="143"/>
      <c r="C68" s="144"/>
      <c r="D68" s="143"/>
      <c r="E68" s="143"/>
      <c r="F68" s="143"/>
      <c r="G68" s="143"/>
      <c r="H68" s="143"/>
      <c r="I68" s="143"/>
      <c r="J68" s="143"/>
      <c r="K68" s="143"/>
      <c r="L68" s="143"/>
      <c r="M68" s="143"/>
      <c r="N68" s="143"/>
      <c r="O68" s="143"/>
      <c r="P68" s="143"/>
      <c r="Q68" s="143"/>
      <c r="R68" s="143"/>
      <c r="S68" s="143"/>
      <c r="T68" s="143"/>
      <c r="U68" s="143"/>
      <c r="V68" s="143"/>
      <c r="W68" s="143"/>
      <c r="X68" s="143"/>
      <c r="Y68" s="143"/>
      <c r="Z68" s="143"/>
    </row>
    <row r="69">
      <c r="A69" s="79" t="s">
        <v>239</v>
      </c>
      <c r="B69" s="143"/>
      <c r="C69" s="144"/>
      <c r="D69" s="143"/>
      <c r="E69" s="143"/>
      <c r="F69" s="143"/>
      <c r="G69" s="143"/>
      <c r="H69" s="143"/>
      <c r="I69" s="143"/>
      <c r="J69" s="143"/>
      <c r="K69" s="143"/>
      <c r="L69" s="143"/>
      <c r="M69" s="143"/>
      <c r="N69" s="143"/>
      <c r="O69" s="143"/>
      <c r="P69" s="143"/>
      <c r="Q69" s="143"/>
      <c r="R69" s="143"/>
      <c r="S69" s="143"/>
      <c r="T69" s="143"/>
      <c r="U69" s="143"/>
      <c r="V69" s="143"/>
      <c r="W69" s="143"/>
      <c r="X69" s="143"/>
      <c r="Y69" s="143"/>
      <c r="Z69" s="143"/>
    </row>
    <row r="70">
      <c r="A70" s="145" t="s">
        <v>169</v>
      </c>
      <c r="F70" s="146" t="s">
        <v>240</v>
      </c>
      <c r="G70" s="5" t="s">
        <v>170</v>
      </c>
      <c r="K70" s="5" t="s">
        <v>171</v>
      </c>
    </row>
    <row r="71">
      <c r="A71" s="159">
        <v>0.25</v>
      </c>
      <c r="B71" s="17" t="s">
        <v>185</v>
      </c>
      <c r="C71" s="155" t="s">
        <v>186</v>
      </c>
      <c r="D71" s="149">
        <v>0.062</v>
      </c>
      <c r="E71" s="5" t="s">
        <v>241</v>
      </c>
      <c r="F71" s="5">
        <v>80.0</v>
      </c>
      <c r="G71" s="41" t="s">
        <v>242</v>
      </c>
      <c r="K71" s="160" t="s">
        <v>243</v>
      </c>
    </row>
    <row r="72">
      <c r="A72" s="159">
        <v>0.25</v>
      </c>
      <c r="B72" s="17" t="s">
        <v>185</v>
      </c>
      <c r="C72" s="155" t="s">
        <v>186</v>
      </c>
      <c r="D72" s="70">
        <v>0.12</v>
      </c>
      <c r="E72" s="5" t="s">
        <v>244</v>
      </c>
      <c r="F72" s="5">
        <v>80.0</v>
      </c>
      <c r="G72" s="41" t="s">
        <v>245</v>
      </c>
      <c r="K72" s="160" t="s">
        <v>243</v>
      </c>
    </row>
    <row r="73">
      <c r="A73" s="159">
        <v>0.25</v>
      </c>
      <c r="B73" s="17" t="s">
        <v>185</v>
      </c>
      <c r="C73" s="155" t="s">
        <v>186</v>
      </c>
      <c r="D73" s="149">
        <v>0.043</v>
      </c>
      <c r="E73" s="5" t="s">
        <v>241</v>
      </c>
      <c r="F73" s="5">
        <v>80.0</v>
      </c>
      <c r="G73" s="41" t="s">
        <v>246</v>
      </c>
      <c r="H73" s="5"/>
    </row>
    <row r="74">
      <c r="A74" s="159">
        <v>0.25</v>
      </c>
      <c r="B74" s="17" t="s">
        <v>185</v>
      </c>
      <c r="C74" s="155" t="s">
        <v>186</v>
      </c>
      <c r="D74" s="83">
        <f>D75*D23/4</f>
        <v>0.005082361111</v>
      </c>
      <c r="E74" s="52" t="s">
        <v>247</v>
      </c>
      <c r="F74" s="146">
        <v>40.0</v>
      </c>
      <c r="G74" s="5" t="s">
        <v>248</v>
      </c>
    </row>
    <row r="75">
      <c r="A75" s="159">
        <v>1.0</v>
      </c>
      <c r="B75" s="5" t="s">
        <v>172</v>
      </c>
      <c r="C75" s="155" t="s">
        <v>186</v>
      </c>
      <c r="D75" s="148">
        <v>0.0037</v>
      </c>
      <c r="E75" s="52" t="s">
        <v>249</v>
      </c>
      <c r="F75" s="5">
        <v>40.0</v>
      </c>
      <c r="G75" s="41" t="s">
        <v>250</v>
      </c>
      <c r="H75" s="5"/>
    </row>
    <row r="76">
      <c r="A76" s="159"/>
      <c r="B76" s="17"/>
      <c r="C76" s="155"/>
      <c r="D76" s="83"/>
      <c r="F76" s="146"/>
      <c r="G76" s="5"/>
    </row>
    <row r="77">
      <c r="A77" s="153" t="s">
        <v>251</v>
      </c>
      <c r="B77" s="145"/>
      <c r="D77" s="161">
        <f>'CEA (Rwanda)'!B49</f>
        <v>0.2547942029</v>
      </c>
      <c r="F77" s="146"/>
      <c r="G77" s="5" t="s">
        <v>252</v>
      </c>
    </row>
    <row r="78">
      <c r="A78" s="162" t="s">
        <v>253</v>
      </c>
      <c r="B78" s="17"/>
      <c r="D78" s="163">
        <v>0.5</v>
      </c>
      <c r="G78" s="5" t="s">
        <v>254</v>
      </c>
    </row>
    <row r="79">
      <c r="A79" s="159"/>
      <c r="B79" s="17"/>
      <c r="D79" s="155"/>
      <c r="F79" s="146"/>
      <c r="G79" s="5"/>
    </row>
    <row r="80">
      <c r="A80" s="164">
        <f t="shared" ref="A80:A83" si="4">D$77</f>
        <v>0.2547942029</v>
      </c>
      <c r="B80" s="17" t="s">
        <v>185</v>
      </c>
      <c r="C80" s="155" t="s">
        <v>186</v>
      </c>
      <c r="D80" s="148">
        <f t="shared" ref="D80:D83" si="5">D71+D71*D$78*(A80-A71)/A71</f>
        <v>0.06259448116</v>
      </c>
      <c r="E80" s="5" t="s">
        <v>241</v>
      </c>
      <c r="F80" s="5">
        <v>80.0</v>
      </c>
      <c r="G80" s="5" t="s">
        <v>82</v>
      </c>
    </row>
    <row r="81">
      <c r="A81" s="164">
        <f t="shared" si="4"/>
        <v>0.2547942029</v>
      </c>
      <c r="B81" s="17" t="s">
        <v>185</v>
      </c>
      <c r="C81" s="155" t="s">
        <v>186</v>
      </c>
      <c r="D81" s="148">
        <f t="shared" si="5"/>
        <v>0.1211506087</v>
      </c>
      <c r="E81" s="5" t="s">
        <v>244</v>
      </c>
      <c r="F81" s="5">
        <v>80.0</v>
      </c>
      <c r="G81" s="5" t="s">
        <v>82</v>
      </c>
    </row>
    <row r="82">
      <c r="A82" s="164">
        <f t="shared" si="4"/>
        <v>0.2547942029</v>
      </c>
      <c r="B82" s="17" t="s">
        <v>185</v>
      </c>
      <c r="C82" s="155" t="s">
        <v>186</v>
      </c>
      <c r="D82" s="148">
        <f t="shared" si="5"/>
        <v>0.04341230145</v>
      </c>
      <c r="E82" s="5" t="s">
        <v>241</v>
      </c>
      <c r="F82" s="5">
        <v>80.0</v>
      </c>
      <c r="G82" s="5" t="s">
        <v>82</v>
      </c>
    </row>
    <row r="83">
      <c r="A83" s="164">
        <f t="shared" si="4"/>
        <v>0.2547942029</v>
      </c>
      <c r="B83" s="17" t="s">
        <v>185</v>
      </c>
      <c r="C83" s="155" t="s">
        <v>186</v>
      </c>
      <c r="D83" s="148">
        <f t="shared" si="5"/>
        <v>0.005131092852</v>
      </c>
      <c r="E83" s="52" t="s">
        <v>255</v>
      </c>
      <c r="F83" s="146">
        <v>40.0</v>
      </c>
      <c r="G83" s="5" t="s">
        <v>82</v>
      </c>
    </row>
    <row r="84">
      <c r="A84" s="159"/>
      <c r="B84" s="17"/>
      <c r="C84" s="155"/>
      <c r="D84" s="148"/>
      <c r="E84" s="145"/>
      <c r="F84" s="146"/>
      <c r="G84" s="5"/>
    </row>
    <row r="85">
      <c r="E85" s="145"/>
      <c r="F85" s="146"/>
      <c r="G85" s="5"/>
    </row>
    <row r="86">
      <c r="A86" s="153" t="s">
        <v>256</v>
      </c>
      <c r="B86" s="145"/>
      <c r="D86" s="145">
        <f>ROUNDUP('CEA (Rwanda)'!B14/2,0)</f>
        <v>4</v>
      </c>
      <c r="G86" s="5" t="s">
        <v>126</v>
      </c>
    </row>
    <row r="87">
      <c r="E87" s="145"/>
      <c r="F87" s="146"/>
      <c r="G87" s="5"/>
    </row>
    <row r="88">
      <c r="A88" s="164">
        <f t="shared" ref="A88:A91" si="6">A80</f>
        <v>0.2547942029</v>
      </c>
      <c r="B88" s="17" t="s">
        <v>185</v>
      </c>
      <c r="C88" s="155" t="s">
        <v>186</v>
      </c>
      <c r="D88" s="165">
        <f t="shared" ref="D88:D91" si="7">(1+D80)^(1/(F71-D$86))-1</f>
        <v>0.0007991815612</v>
      </c>
      <c r="E88" s="153" t="s">
        <v>257</v>
      </c>
      <c r="F88" s="146"/>
      <c r="G88" s="5" t="s">
        <v>82</v>
      </c>
    </row>
    <row r="89">
      <c r="A89" s="164">
        <f t="shared" si="6"/>
        <v>0.2547942029</v>
      </c>
      <c r="B89" s="17" t="s">
        <v>185</v>
      </c>
      <c r="C89" s="155" t="s">
        <v>186</v>
      </c>
      <c r="D89" s="165">
        <f t="shared" si="7"/>
        <v>0.001505810058</v>
      </c>
      <c r="E89" s="153" t="s">
        <v>257</v>
      </c>
      <c r="F89" s="146"/>
      <c r="G89" s="5" t="s">
        <v>82</v>
      </c>
    </row>
    <row r="90">
      <c r="A90" s="164">
        <f t="shared" si="6"/>
        <v>0.2547942029</v>
      </c>
      <c r="B90" s="17" t="s">
        <v>185</v>
      </c>
      <c r="C90" s="155" t="s">
        <v>186</v>
      </c>
      <c r="D90" s="165">
        <f t="shared" si="7"/>
        <v>0.000559319536</v>
      </c>
      <c r="E90" s="153" t="s">
        <v>257</v>
      </c>
      <c r="F90" s="146"/>
      <c r="G90" s="5" t="s">
        <v>82</v>
      </c>
    </row>
    <row r="91">
      <c r="A91" s="164">
        <f t="shared" si="6"/>
        <v>0.2547942029</v>
      </c>
      <c r="B91" s="17" t="s">
        <v>185</v>
      </c>
      <c r="C91" s="155" t="s">
        <v>186</v>
      </c>
      <c r="D91" s="165">
        <f t="shared" si="7"/>
        <v>0.0001421760409</v>
      </c>
      <c r="E91" s="153" t="s">
        <v>257</v>
      </c>
      <c r="F91" s="146"/>
      <c r="G91" s="5" t="s">
        <v>82</v>
      </c>
    </row>
    <row r="92">
      <c r="A92" s="145"/>
      <c r="B92" s="145"/>
      <c r="C92" s="145"/>
      <c r="D92" s="145"/>
      <c r="E92" s="145"/>
      <c r="F92" s="146"/>
      <c r="G92" s="5"/>
    </row>
    <row r="93">
      <c r="C93" s="5" t="s">
        <v>183</v>
      </c>
      <c r="D93" s="166">
        <f>AVERAGE(D88:D91)</f>
        <v>0.0007516217989</v>
      </c>
      <c r="E93" s="145"/>
      <c r="F93" s="146"/>
      <c r="G93" s="5"/>
    </row>
    <row r="94">
      <c r="A94" s="145"/>
      <c r="B94" s="145"/>
      <c r="C94" s="145"/>
      <c r="D94" s="145"/>
      <c r="E94" s="145"/>
      <c r="F94" s="146"/>
      <c r="G94" s="5"/>
    </row>
    <row r="95">
      <c r="A95" s="153" t="s">
        <v>258</v>
      </c>
      <c r="B95" s="145"/>
      <c r="C95" s="145"/>
      <c r="D95" s="145">
        <v>8.0</v>
      </c>
      <c r="E95" s="145"/>
      <c r="F95" s="146"/>
      <c r="G95" s="5"/>
    </row>
    <row r="96">
      <c r="A96" s="153" t="s">
        <v>259</v>
      </c>
      <c r="B96" s="145"/>
      <c r="C96" s="145"/>
      <c r="D96" s="145">
        <v>4.0</v>
      </c>
      <c r="E96" s="145"/>
      <c r="F96" s="146"/>
      <c r="G96" s="5"/>
    </row>
    <row r="97">
      <c r="A97" s="145"/>
      <c r="B97" s="145"/>
      <c r="C97" s="145"/>
      <c r="D97" s="145"/>
      <c r="E97" s="145"/>
      <c r="F97" s="146"/>
      <c r="G97" s="5"/>
    </row>
    <row r="98">
      <c r="A98" s="145"/>
      <c r="B98" s="145"/>
      <c r="C98" s="152" t="s">
        <v>260</v>
      </c>
      <c r="D98" s="166">
        <f>D93*(D95/(D95+D96))</f>
        <v>0.0005010811993</v>
      </c>
      <c r="E98" s="145"/>
      <c r="F98" s="146"/>
      <c r="G98" s="5"/>
    </row>
    <row r="99">
      <c r="A99" s="145"/>
      <c r="B99" s="145"/>
      <c r="C99" s="145"/>
      <c r="D99" s="145"/>
      <c r="E99" s="145"/>
      <c r="F99" s="146"/>
      <c r="G99" s="5"/>
    </row>
    <row r="100" hidden="1">
      <c r="A100" s="167"/>
      <c r="B100" s="167"/>
      <c r="C100" s="167"/>
      <c r="D100" s="167"/>
      <c r="E100" s="167"/>
      <c r="F100" s="168"/>
      <c r="G100" s="169"/>
      <c r="H100" s="170"/>
      <c r="I100" s="170"/>
      <c r="J100" s="170"/>
      <c r="K100" s="170"/>
      <c r="L100" s="170"/>
      <c r="M100" s="170"/>
      <c r="N100" s="170"/>
      <c r="O100" s="170"/>
      <c r="P100" s="170"/>
      <c r="Q100" s="170"/>
      <c r="R100" s="170"/>
      <c r="S100" s="170"/>
      <c r="T100" s="170"/>
      <c r="U100" s="170"/>
      <c r="V100" s="170"/>
      <c r="W100" s="170"/>
      <c r="X100" s="170"/>
      <c r="Y100" s="170"/>
      <c r="Z100" s="170"/>
    </row>
    <row r="101" hidden="1">
      <c r="A101" s="171" t="s">
        <v>261</v>
      </c>
      <c r="B101" s="167"/>
      <c r="C101" s="167"/>
      <c r="D101" s="167"/>
      <c r="E101" s="167"/>
      <c r="F101" s="168"/>
      <c r="G101" s="169"/>
      <c r="H101" s="170"/>
      <c r="I101" s="170"/>
      <c r="J101" s="170"/>
      <c r="K101" s="170"/>
      <c r="L101" s="170"/>
      <c r="M101" s="170"/>
      <c r="N101" s="170"/>
      <c r="O101" s="170"/>
      <c r="P101" s="170"/>
      <c r="Q101" s="170"/>
      <c r="R101" s="170"/>
      <c r="S101" s="170"/>
      <c r="T101" s="170"/>
      <c r="U101" s="170"/>
      <c r="V101" s="170"/>
      <c r="W101" s="170"/>
      <c r="X101" s="170"/>
      <c r="Y101" s="170"/>
      <c r="Z101" s="170"/>
    </row>
    <row r="102" hidden="1">
      <c r="A102" s="167"/>
      <c r="B102" s="167"/>
      <c r="C102" s="167"/>
      <c r="D102" s="167"/>
      <c r="E102" s="167"/>
      <c r="F102" s="168"/>
      <c r="G102" s="169"/>
      <c r="H102" s="170"/>
      <c r="I102" s="170"/>
      <c r="J102" s="170"/>
      <c r="K102" s="170"/>
      <c r="L102" s="170"/>
      <c r="M102" s="170"/>
      <c r="N102" s="170"/>
      <c r="O102" s="170"/>
      <c r="P102" s="170"/>
      <c r="Q102" s="170"/>
      <c r="R102" s="170"/>
      <c r="S102" s="170"/>
      <c r="T102" s="170"/>
      <c r="U102" s="170"/>
      <c r="V102" s="170"/>
      <c r="W102" s="170"/>
      <c r="X102" s="170"/>
      <c r="Y102" s="170"/>
      <c r="Z102" s="170"/>
    </row>
    <row r="103" hidden="1">
      <c r="A103" s="167" t="s">
        <v>169</v>
      </c>
      <c r="F103" s="168" t="s">
        <v>170</v>
      </c>
      <c r="G103" s="169" t="s">
        <v>171</v>
      </c>
      <c r="H103" s="170"/>
      <c r="I103" s="170"/>
      <c r="J103" s="170"/>
      <c r="K103" s="170"/>
      <c r="L103" s="170"/>
      <c r="M103" s="170"/>
      <c r="N103" s="170"/>
      <c r="O103" s="170"/>
      <c r="P103" s="170"/>
      <c r="Q103" s="170"/>
      <c r="R103" s="170"/>
      <c r="S103" s="170"/>
      <c r="T103" s="170"/>
      <c r="U103" s="170"/>
      <c r="V103" s="170"/>
      <c r="W103" s="170"/>
      <c r="X103" s="170"/>
      <c r="Y103" s="170"/>
      <c r="Z103" s="170"/>
    </row>
    <row r="104" hidden="1">
      <c r="A104" s="172">
        <v>0.25</v>
      </c>
      <c r="B104" s="173" t="s">
        <v>185</v>
      </c>
      <c r="C104" s="174" t="s">
        <v>186</v>
      </c>
      <c r="D104" s="175">
        <v>0.062</v>
      </c>
      <c r="E104" s="169" t="s">
        <v>241</v>
      </c>
      <c r="F104" s="176" t="s">
        <v>262</v>
      </c>
      <c r="G104" s="170"/>
      <c r="H104" s="170"/>
      <c r="I104" s="177" t="s">
        <v>243</v>
      </c>
      <c r="J104" s="170"/>
      <c r="K104" s="170"/>
      <c r="L104" s="170"/>
      <c r="M104" s="170"/>
      <c r="N104" s="170"/>
      <c r="O104" s="170"/>
      <c r="P104" s="170"/>
      <c r="Q104" s="170"/>
      <c r="R104" s="170"/>
      <c r="S104" s="170"/>
      <c r="T104" s="170"/>
      <c r="U104" s="170"/>
      <c r="V104" s="170"/>
      <c r="W104" s="170"/>
      <c r="X104" s="170"/>
      <c r="Y104" s="170"/>
      <c r="Z104" s="170"/>
    </row>
    <row r="105" hidden="1">
      <c r="A105" s="172">
        <v>1.0</v>
      </c>
      <c r="B105" s="173" t="s">
        <v>185</v>
      </c>
      <c r="C105" s="174" t="s">
        <v>186</v>
      </c>
      <c r="D105" s="178">
        <f>(1+0.062)^(1/80)-1</f>
        <v>0.000752206801</v>
      </c>
      <c r="E105" s="169" t="s">
        <v>263</v>
      </c>
      <c r="F105" s="179" t="s">
        <v>82</v>
      </c>
      <c r="G105" s="180" t="s">
        <v>264</v>
      </c>
      <c r="H105" s="181">
        <f>(1+0.062)^(1/80)-1</f>
        <v>0.000752206801</v>
      </c>
      <c r="I105" s="170"/>
      <c r="J105" s="170"/>
      <c r="K105" s="180" t="s">
        <v>265</v>
      </c>
      <c r="L105" s="182">
        <f t="shared" ref="L105:L106" si="8">(-PV(-$H105,40,1)+1)/40-1</f>
        <v>0.0405839502</v>
      </c>
      <c r="M105" s="180" t="s">
        <v>266</v>
      </c>
      <c r="N105" s="180" t="s">
        <v>267</v>
      </c>
      <c r="O105" s="182">
        <f t="shared" ref="O105:O108" si="9">(-PV(0.04-$H105,40,1)+1)/(-PV(0.04,40,1)+1)-1</f>
        <v>0.01074904924</v>
      </c>
      <c r="P105" s="170"/>
      <c r="Q105" s="170"/>
      <c r="R105" s="170"/>
      <c r="S105" s="170"/>
      <c r="T105" s="170"/>
      <c r="U105" s="170"/>
      <c r="V105" s="170"/>
      <c r="W105" s="170"/>
      <c r="X105" s="170"/>
      <c r="Y105" s="170"/>
      <c r="Z105" s="170"/>
    </row>
    <row r="106" hidden="1">
      <c r="A106" s="172">
        <v>0.25</v>
      </c>
      <c r="B106" s="173" t="s">
        <v>185</v>
      </c>
      <c r="C106" s="174" t="s">
        <v>186</v>
      </c>
      <c r="D106" s="175">
        <v>0.043</v>
      </c>
      <c r="E106" s="169" t="s">
        <v>241</v>
      </c>
      <c r="F106" s="176" t="s">
        <v>246</v>
      </c>
      <c r="G106" s="170"/>
      <c r="H106" s="181">
        <f>(1+0.12)^(1/80)-1</f>
        <v>0.00141761243</v>
      </c>
      <c r="I106" s="181" t="s">
        <v>268</v>
      </c>
      <c r="J106" s="170"/>
      <c r="K106" s="180" t="s">
        <v>265</v>
      </c>
      <c r="L106" s="182">
        <f t="shared" si="8"/>
        <v>0.05464671749</v>
      </c>
      <c r="M106" s="180" t="s">
        <v>266</v>
      </c>
      <c r="N106" s="170"/>
      <c r="O106" s="182">
        <f t="shared" si="9"/>
        <v>0.0204158849</v>
      </c>
      <c r="P106" s="170"/>
      <c r="Q106" s="170"/>
      <c r="R106" s="170"/>
      <c r="S106" s="170"/>
      <c r="T106" s="170"/>
      <c r="U106" s="170"/>
      <c r="V106" s="170"/>
      <c r="W106" s="170"/>
      <c r="X106" s="170"/>
      <c r="Y106" s="170"/>
      <c r="Z106" s="170"/>
    </row>
    <row r="107" hidden="1">
      <c r="A107" s="172">
        <v>1.0</v>
      </c>
      <c r="B107" s="173" t="s">
        <v>185</v>
      </c>
      <c r="C107" s="174" t="s">
        <v>186</v>
      </c>
      <c r="D107" s="183">
        <f>(D106/80)*4</f>
        <v>0.00215</v>
      </c>
      <c r="E107" s="169" t="s">
        <v>263</v>
      </c>
      <c r="F107" s="169" t="s">
        <v>82</v>
      </c>
      <c r="G107" s="180" t="s">
        <v>264</v>
      </c>
      <c r="H107" s="181">
        <f>(1+D106)^(1/80)-1</f>
        <v>0.0005264032018</v>
      </c>
      <c r="I107" s="170"/>
      <c r="J107" s="170"/>
      <c r="K107" s="180" t="s">
        <v>269</v>
      </c>
      <c r="L107" s="182">
        <f>(-PV(-H107,40,1)+1)/40-1</f>
        <v>0.03587124556</v>
      </c>
      <c r="M107" s="180" t="s">
        <v>266</v>
      </c>
      <c r="N107" s="180" t="s">
        <v>267</v>
      </c>
      <c r="O107" s="182">
        <f t="shared" si="9"/>
        <v>0.007502547593</v>
      </c>
      <c r="P107" s="170"/>
      <c r="Q107" s="170"/>
      <c r="R107" s="170"/>
      <c r="S107" s="170"/>
      <c r="T107" s="170"/>
      <c r="U107" s="170"/>
      <c r="V107" s="170"/>
      <c r="W107" s="170"/>
      <c r="X107" s="170"/>
      <c r="Y107" s="170"/>
      <c r="Z107" s="170"/>
    </row>
    <row r="108" hidden="1">
      <c r="A108" s="172">
        <v>1.0</v>
      </c>
      <c r="B108" s="169" t="s">
        <v>172</v>
      </c>
      <c r="C108" s="174" t="s">
        <v>186</v>
      </c>
      <c r="D108" s="183">
        <v>0.0037</v>
      </c>
      <c r="E108" s="169" t="s">
        <v>270</v>
      </c>
      <c r="F108" s="176" t="s">
        <v>250</v>
      </c>
      <c r="G108" s="180" t="s">
        <v>271</v>
      </c>
      <c r="H108" s="181">
        <f>(1+D108)^(1/40)-1</f>
        <v>0.00009233355842</v>
      </c>
      <c r="I108" s="180" t="s">
        <v>272</v>
      </c>
      <c r="J108" s="181">
        <f>H108*D23/4</f>
        <v>0.0001268304018</v>
      </c>
      <c r="K108" s="180" t="s">
        <v>269</v>
      </c>
      <c r="L108" s="182">
        <f>(-PV(J108,40,1)+1)/40-1</f>
        <v>0.02240458714</v>
      </c>
      <c r="M108" s="180" t="s">
        <v>266</v>
      </c>
      <c r="N108" s="180" t="s">
        <v>267</v>
      </c>
      <c r="O108" s="182">
        <f t="shared" si="9"/>
        <v>0.001309358908</v>
      </c>
      <c r="P108" s="170"/>
      <c r="Q108" s="170"/>
      <c r="R108" s="170"/>
      <c r="S108" s="170"/>
      <c r="T108" s="170"/>
      <c r="U108" s="170"/>
      <c r="V108" s="170"/>
      <c r="W108" s="170"/>
      <c r="X108" s="170"/>
      <c r="Y108" s="170"/>
      <c r="Z108" s="170"/>
    </row>
    <row r="109" hidden="1">
      <c r="A109" s="172">
        <v>1.0</v>
      </c>
      <c r="B109" s="173" t="s">
        <v>185</v>
      </c>
      <c r="C109" s="174" t="s">
        <v>186</v>
      </c>
      <c r="D109" s="184">
        <f>D108*D20</f>
        <v>0.01584833333</v>
      </c>
      <c r="E109" s="169" t="s">
        <v>263</v>
      </c>
      <c r="F109" s="169" t="s">
        <v>82</v>
      </c>
      <c r="G109" s="170"/>
      <c r="H109" s="170"/>
      <c r="I109" s="170"/>
      <c r="J109" s="170"/>
      <c r="K109" s="170"/>
      <c r="L109" s="170"/>
      <c r="M109" s="170"/>
      <c r="N109" s="170"/>
      <c r="O109" s="170"/>
      <c r="P109" s="170"/>
      <c r="Q109" s="170"/>
      <c r="R109" s="170"/>
      <c r="S109" s="170"/>
      <c r="T109" s="170"/>
      <c r="U109" s="170"/>
      <c r="V109" s="170"/>
      <c r="W109" s="170"/>
      <c r="X109" s="170"/>
      <c r="Y109" s="170"/>
      <c r="Z109" s="170"/>
    </row>
    <row r="110" hidden="1">
      <c r="A110" s="172">
        <v>1.0</v>
      </c>
      <c r="B110" s="173" t="s">
        <v>273</v>
      </c>
      <c r="C110" s="174" t="s">
        <v>186</v>
      </c>
      <c r="D110" s="169">
        <v>-0.049</v>
      </c>
      <c r="E110" s="169" t="s">
        <v>274</v>
      </c>
      <c r="F110" s="169"/>
      <c r="G110" s="170"/>
      <c r="H110" s="170"/>
      <c r="I110" s="170"/>
      <c r="J110" s="170"/>
      <c r="K110" s="170"/>
      <c r="L110" s="170"/>
      <c r="M110" s="170"/>
      <c r="N110" s="170"/>
      <c r="O110" s="170"/>
      <c r="P110" s="170"/>
      <c r="Q110" s="170"/>
      <c r="R110" s="170"/>
      <c r="S110" s="170"/>
      <c r="T110" s="170"/>
      <c r="U110" s="170"/>
      <c r="V110" s="170"/>
      <c r="W110" s="170"/>
      <c r="X110" s="170"/>
      <c r="Y110" s="170"/>
      <c r="Z110" s="170"/>
    </row>
    <row r="111" hidden="1">
      <c r="A111" s="154"/>
      <c r="B111" s="35"/>
      <c r="C111" s="155"/>
      <c r="H111" s="83"/>
    </row>
    <row r="112" hidden="1">
      <c r="A112" s="154"/>
      <c r="B112" s="35"/>
      <c r="C112" s="155"/>
      <c r="H112" s="83">
        <f>AVERAGE(H104:H109)</f>
        <v>0.0006971389979</v>
      </c>
    </row>
    <row r="113">
      <c r="A113" s="185" t="s">
        <v>275</v>
      </c>
      <c r="B113" s="186"/>
      <c r="C113" s="187"/>
      <c r="D113" s="186"/>
      <c r="E113" s="186"/>
      <c r="F113" s="186"/>
      <c r="G113" s="186"/>
      <c r="H113" s="186"/>
      <c r="I113" s="186"/>
      <c r="J113" s="186"/>
      <c r="K113" s="186"/>
      <c r="L113" s="186"/>
      <c r="M113" s="186"/>
      <c r="N113" s="186"/>
      <c r="O113" s="186"/>
      <c r="P113" s="186"/>
      <c r="Q113" s="186"/>
      <c r="R113" s="186"/>
      <c r="S113" s="186"/>
      <c r="T113" s="186"/>
      <c r="U113" s="186"/>
      <c r="V113" s="186"/>
      <c r="W113" s="186"/>
      <c r="X113" s="186"/>
      <c r="Y113" s="186"/>
      <c r="Z113" s="186"/>
    </row>
    <row r="114">
      <c r="A114" s="185" t="s">
        <v>276</v>
      </c>
      <c r="B114" s="186"/>
      <c r="C114" s="187"/>
      <c r="D114" s="186"/>
      <c r="E114" s="186"/>
      <c r="F114" s="186"/>
      <c r="G114" s="186"/>
      <c r="H114" s="186"/>
      <c r="I114" s="186"/>
      <c r="J114" s="186"/>
      <c r="K114" s="186"/>
      <c r="L114" s="186"/>
      <c r="M114" s="186"/>
      <c r="N114" s="186"/>
      <c r="O114" s="186"/>
      <c r="P114" s="186"/>
      <c r="Q114" s="186"/>
      <c r="R114" s="186"/>
      <c r="S114" s="186"/>
      <c r="T114" s="186"/>
      <c r="U114" s="186"/>
      <c r="V114" s="186"/>
      <c r="W114" s="186"/>
      <c r="X114" s="186"/>
      <c r="Y114" s="186"/>
      <c r="Z114" s="186"/>
    </row>
    <row r="115">
      <c r="A115" s="188" t="s">
        <v>277</v>
      </c>
      <c r="B115" s="188" t="s">
        <v>278</v>
      </c>
      <c r="C115" s="189" t="s">
        <v>279</v>
      </c>
      <c r="D115" s="188" t="s">
        <v>280</v>
      </c>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row>
    <row r="116">
      <c r="A116" s="188" t="s">
        <v>281</v>
      </c>
      <c r="B116" s="191">
        <f>0.09*1.5/5</f>
        <v>0.027</v>
      </c>
      <c r="C116" s="192">
        <v>0.422</v>
      </c>
      <c r="D116" s="193">
        <f t="shared" ref="D116:D123" si="10">C116/B116</f>
        <v>15.62962963</v>
      </c>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row>
    <row r="117">
      <c r="A117" s="188" t="s">
        <v>282</v>
      </c>
      <c r="B117" s="191">
        <f>AVERAGE(0.11*1.5/5,0.09*1.5/5)</f>
        <v>0.03</v>
      </c>
      <c r="C117" s="192">
        <v>0.56</v>
      </c>
      <c r="D117" s="193">
        <f t="shared" si="10"/>
        <v>18.66666667</v>
      </c>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row>
    <row r="118">
      <c r="A118" s="188" t="s">
        <v>283</v>
      </c>
      <c r="B118" s="191">
        <f t="shared" ref="B118:B119" si="11">AVERAGE(0.145*1.5/5,0.147*1.5/5)</f>
        <v>0.0438</v>
      </c>
      <c r="C118" s="192">
        <v>0.29</v>
      </c>
      <c r="D118" s="193">
        <f t="shared" si="10"/>
        <v>6.621004566</v>
      </c>
      <c r="E118" s="190"/>
      <c r="F118" s="190"/>
      <c r="G118" s="190"/>
      <c r="H118" s="190"/>
      <c r="I118" s="190"/>
      <c r="J118" s="190"/>
      <c r="K118" s="190"/>
      <c r="L118" s="190"/>
      <c r="M118" s="190"/>
      <c r="N118" s="190"/>
      <c r="O118" s="190"/>
      <c r="P118" s="190"/>
      <c r="Q118" s="190"/>
      <c r="R118" s="190"/>
      <c r="S118" s="190"/>
      <c r="T118" s="190"/>
      <c r="U118" s="190"/>
      <c r="V118" s="190"/>
      <c r="W118" s="190"/>
      <c r="X118" s="190"/>
      <c r="Y118" s="190"/>
      <c r="Z118" s="190"/>
    </row>
    <row r="119">
      <c r="A119" s="188" t="s">
        <v>284</v>
      </c>
      <c r="B119" s="191">
        <f t="shared" si="11"/>
        <v>0.0438</v>
      </c>
      <c r="C119" s="192">
        <v>0.336</v>
      </c>
      <c r="D119" s="193">
        <f t="shared" si="10"/>
        <v>7.671232877</v>
      </c>
      <c r="E119" s="190"/>
      <c r="F119" s="190"/>
      <c r="G119" s="190"/>
      <c r="H119" s="190"/>
      <c r="I119" s="190"/>
      <c r="J119" s="190"/>
      <c r="K119" s="190"/>
      <c r="L119" s="190"/>
      <c r="M119" s="190"/>
      <c r="N119" s="190"/>
      <c r="O119" s="190"/>
      <c r="P119" s="190"/>
      <c r="Q119" s="190"/>
      <c r="R119" s="190"/>
      <c r="S119" s="190"/>
      <c r="T119" s="190"/>
      <c r="U119" s="190"/>
      <c r="V119" s="190"/>
      <c r="W119" s="190"/>
      <c r="X119" s="190"/>
      <c r="Y119" s="190"/>
      <c r="Z119" s="190"/>
    </row>
    <row r="120">
      <c r="A120" s="188" t="s">
        <v>285</v>
      </c>
      <c r="B120" s="191">
        <f>AVERAGE(0.155*1.5/5,0.157*1.5/5)</f>
        <v>0.0468</v>
      </c>
      <c r="C120" s="192">
        <v>0.379</v>
      </c>
      <c r="D120" s="193">
        <f t="shared" si="10"/>
        <v>8.098290598</v>
      </c>
      <c r="E120" s="190"/>
      <c r="F120" s="190"/>
      <c r="G120" s="190"/>
      <c r="H120" s="190"/>
      <c r="I120" s="190"/>
      <c r="J120" s="190"/>
      <c r="K120" s="190"/>
      <c r="L120" s="190"/>
      <c r="M120" s="190"/>
      <c r="N120" s="190"/>
      <c r="O120" s="190"/>
      <c r="P120" s="190"/>
      <c r="Q120" s="190"/>
      <c r="R120" s="190"/>
      <c r="S120" s="190"/>
      <c r="T120" s="190"/>
      <c r="U120" s="190"/>
      <c r="V120" s="190"/>
      <c r="W120" s="190"/>
      <c r="X120" s="190"/>
      <c r="Y120" s="190"/>
      <c r="Z120" s="190"/>
    </row>
    <row r="121">
      <c r="A121" s="188" t="s">
        <v>286</v>
      </c>
      <c r="B121" s="191">
        <f>AVERAGE(0.148*1.5/5,0.19*1.5/5)</f>
        <v>0.0507</v>
      </c>
      <c r="C121" s="192">
        <v>0.217</v>
      </c>
      <c r="D121" s="193">
        <f t="shared" si="10"/>
        <v>4.280078895</v>
      </c>
      <c r="E121" s="190"/>
      <c r="F121" s="190"/>
      <c r="G121" s="190"/>
      <c r="H121" s="190"/>
      <c r="I121" s="190"/>
      <c r="J121" s="190"/>
      <c r="K121" s="190"/>
      <c r="L121" s="190"/>
      <c r="M121" s="190"/>
      <c r="N121" s="190"/>
      <c r="O121" s="190"/>
      <c r="P121" s="190"/>
      <c r="Q121" s="190"/>
      <c r="R121" s="190"/>
      <c r="S121" s="190"/>
      <c r="T121" s="190"/>
      <c r="U121" s="190"/>
      <c r="V121" s="190"/>
      <c r="W121" s="190"/>
      <c r="X121" s="190"/>
      <c r="Y121" s="190"/>
      <c r="Z121" s="190"/>
    </row>
    <row r="122">
      <c r="A122" s="188" t="s">
        <v>287</v>
      </c>
      <c r="B122" s="191">
        <f>AVERAGE(0.144*1.5/5,0.467*1.5/5)</f>
        <v>0.09165</v>
      </c>
      <c r="C122" s="192">
        <v>0.467</v>
      </c>
      <c r="D122" s="193">
        <f t="shared" si="10"/>
        <v>5.095471904</v>
      </c>
      <c r="E122" s="190"/>
      <c r="F122" s="190"/>
      <c r="G122" s="190"/>
      <c r="H122" s="190"/>
      <c r="I122" s="190"/>
      <c r="J122" s="190"/>
      <c r="K122" s="190"/>
      <c r="L122" s="190"/>
      <c r="M122" s="190"/>
      <c r="N122" s="190"/>
      <c r="O122" s="190"/>
      <c r="P122" s="190"/>
      <c r="Q122" s="190"/>
      <c r="R122" s="190"/>
      <c r="S122" s="190"/>
      <c r="T122" s="190"/>
      <c r="U122" s="190"/>
      <c r="V122" s="190"/>
      <c r="W122" s="190"/>
      <c r="X122" s="190"/>
      <c r="Y122" s="190"/>
      <c r="Z122" s="190"/>
    </row>
    <row r="123">
      <c r="A123" s="188" t="s">
        <v>288</v>
      </c>
      <c r="B123" s="191">
        <f>AVERAGE(0.13*1.5/5,0.19*1.5/5)</f>
        <v>0.048</v>
      </c>
      <c r="C123" s="192">
        <v>0.525</v>
      </c>
      <c r="D123" s="193">
        <f t="shared" si="10"/>
        <v>10.9375</v>
      </c>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row>
    <row r="124">
      <c r="A124" s="188"/>
      <c r="B124" s="191"/>
      <c r="C124" s="188" t="s">
        <v>2</v>
      </c>
      <c r="D124" s="194">
        <f>AVERAGE(D116:D123)</f>
        <v>9.624984392</v>
      </c>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row>
    <row r="125">
      <c r="A125" s="188"/>
      <c r="B125" s="195"/>
      <c r="C125" s="188"/>
      <c r="D125" s="195"/>
      <c r="E125" s="190"/>
      <c r="F125" s="190"/>
      <c r="G125" s="190"/>
      <c r="H125" s="190"/>
      <c r="I125" s="190"/>
      <c r="J125" s="190"/>
      <c r="K125" s="190"/>
      <c r="L125" s="190"/>
      <c r="M125" s="190"/>
      <c r="N125" s="190"/>
      <c r="O125" s="190"/>
      <c r="P125" s="190"/>
      <c r="Q125" s="190"/>
      <c r="R125" s="190"/>
      <c r="S125" s="190"/>
      <c r="T125" s="190"/>
      <c r="U125" s="190"/>
      <c r="V125" s="190"/>
      <c r="W125" s="190"/>
      <c r="X125" s="190"/>
      <c r="Y125" s="190"/>
      <c r="Z125" s="190"/>
    </row>
    <row r="126">
      <c r="A126" s="185" t="s">
        <v>289</v>
      </c>
      <c r="B126" s="186"/>
      <c r="C126" s="187"/>
      <c r="D126" s="186"/>
      <c r="E126" s="186"/>
      <c r="F126" s="186"/>
      <c r="G126" s="186"/>
      <c r="H126" s="186"/>
      <c r="I126" s="186"/>
      <c r="J126" s="186"/>
      <c r="K126" s="186"/>
      <c r="L126" s="186"/>
      <c r="M126" s="186"/>
      <c r="N126" s="186"/>
      <c r="O126" s="186"/>
      <c r="P126" s="186"/>
      <c r="Q126" s="186"/>
      <c r="R126" s="186"/>
      <c r="S126" s="186"/>
      <c r="T126" s="186"/>
      <c r="U126" s="186"/>
      <c r="V126" s="186"/>
      <c r="W126" s="186"/>
      <c r="X126" s="186"/>
      <c r="Y126" s="186"/>
      <c r="Z126" s="186"/>
    </row>
    <row r="127">
      <c r="A127" s="196" t="s">
        <v>290</v>
      </c>
      <c r="B127" s="17" t="s">
        <v>170</v>
      </c>
      <c r="C127" s="162" t="s">
        <v>171</v>
      </c>
    </row>
    <row r="128">
      <c r="A128" s="5">
        <v>25.0</v>
      </c>
      <c r="B128" s="41" t="s">
        <v>291</v>
      </c>
      <c r="C128" s="153"/>
    </row>
    <row r="129">
      <c r="A129" s="159">
        <f>AVERAGE(2,20)</f>
        <v>11</v>
      </c>
      <c r="B129" s="197" t="s">
        <v>199</v>
      </c>
      <c r="C129" s="162" t="s">
        <v>292</v>
      </c>
    </row>
    <row r="130">
      <c r="A130" s="152">
        <f t="shared" ref="A130:A131" si="12">AVERAGE(20,40)</f>
        <v>30</v>
      </c>
      <c r="B130" s="41" t="s">
        <v>293</v>
      </c>
      <c r="C130" s="153" t="s">
        <v>294</v>
      </c>
    </row>
    <row r="131">
      <c r="A131" s="152">
        <f t="shared" si="12"/>
        <v>30</v>
      </c>
      <c r="B131" s="197" t="s">
        <v>295</v>
      </c>
      <c r="C131" s="153" t="s">
        <v>294</v>
      </c>
    </row>
    <row r="132">
      <c r="A132" s="152">
        <v>50.0</v>
      </c>
      <c r="B132" s="198" t="s">
        <v>296</v>
      </c>
      <c r="C132" s="153"/>
    </row>
    <row r="133">
      <c r="C133" s="153"/>
    </row>
    <row r="134">
      <c r="A134" s="185" t="s">
        <v>297</v>
      </c>
      <c r="B134" s="186"/>
      <c r="C134" s="199"/>
      <c r="D134" s="186"/>
      <c r="E134" s="186"/>
      <c r="F134" s="186"/>
      <c r="G134" s="186"/>
      <c r="H134" s="186"/>
      <c r="I134" s="186"/>
      <c r="J134" s="186"/>
      <c r="K134" s="186"/>
      <c r="L134" s="186"/>
      <c r="M134" s="186"/>
      <c r="N134" s="186"/>
      <c r="O134" s="186"/>
      <c r="P134" s="186"/>
      <c r="Q134" s="186"/>
      <c r="R134" s="186"/>
      <c r="S134" s="186"/>
      <c r="T134" s="186"/>
      <c r="U134" s="186"/>
      <c r="V134" s="186"/>
      <c r="W134" s="186"/>
      <c r="X134" s="186"/>
      <c r="Y134" s="186"/>
      <c r="Z134" s="186"/>
    </row>
    <row r="135">
      <c r="A135" s="196" t="s">
        <v>290</v>
      </c>
      <c r="B135" s="17" t="s">
        <v>170</v>
      </c>
      <c r="C135" s="153" t="s">
        <v>171</v>
      </c>
    </row>
    <row r="136">
      <c r="A136" s="159">
        <v>8.0</v>
      </c>
      <c r="B136" s="198" t="s">
        <v>298</v>
      </c>
      <c r="C136" s="162" t="s">
        <v>299</v>
      </c>
    </row>
    <row r="137">
      <c r="A137" s="159">
        <v>8.0</v>
      </c>
      <c r="B137" s="197" t="s">
        <v>199</v>
      </c>
      <c r="C137" s="200"/>
    </row>
    <row r="138">
      <c r="A138" s="152">
        <f>AVERAGE(3,5)</f>
        <v>4</v>
      </c>
      <c r="B138" s="41" t="s">
        <v>293</v>
      </c>
      <c r="C138" s="153" t="s">
        <v>300</v>
      </c>
    </row>
    <row r="139">
      <c r="A139" s="154"/>
      <c r="B139" s="35"/>
      <c r="C139" s="155"/>
    </row>
    <row r="140">
      <c r="A140" s="201" t="s">
        <v>301</v>
      </c>
      <c r="B140" s="202"/>
      <c r="C140" s="202"/>
      <c r="D140" s="202"/>
      <c r="E140" s="202"/>
      <c r="F140" s="202"/>
      <c r="G140" s="202"/>
      <c r="H140" s="202"/>
      <c r="I140" s="202"/>
      <c r="J140" s="202"/>
      <c r="K140" s="202"/>
      <c r="L140" s="202"/>
      <c r="M140" s="202"/>
      <c r="N140" s="202"/>
      <c r="O140" s="202"/>
      <c r="P140" s="202"/>
      <c r="Q140" s="202"/>
      <c r="R140" s="202"/>
      <c r="S140" s="202"/>
      <c r="T140" s="202"/>
      <c r="U140" s="202"/>
      <c r="V140" s="202"/>
      <c r="W140" s="202"/>
      <c r="X140" s="202"/>
      <c r="Y140" s="202"/>
      <c r="Z140" s="202"/>
    </row>
    <row r="141">
      <c r="A141" s="5" t="s">
        <v>277</v>
      </c>
      <c r="B141" s="5" t="s">
        <v>301</v>
      </c>
      <c r="C141" s="151"/>
    </row>
    <row r="142">
      <c r="A142" s="5" t="s">
        <v>302</v>
      </c>
      <c r="B142" s="203">
        <v>3.4503774E7</v>
      </c>
    </row>
    <row r="143">
      <c r="A143" s="5" t="s">
        <v>303</v>
      </c>
      <c r="B143" s="203">
        <v>1.2996895E7</v>
      </c>
      <c r="C143" s="145"/>
    </row>
    <row r="144">
      <c r="A144" s="5" t="s">
        <v>304</v>
      </c>
      <c r="B144" s="203">
        <v>2588423.0</v>
      </c>
      <c r="C144" s="145"/>
    </row>
    <row r="145">
      <c r="A145" s="5" t="s">
        <v>305</v>
      </c>
      <c r="B145" s="203">
        <v>2.2100683E7</v>
      </c>
      <c r="C145" s="145"/>
    </row>
    <row r="146">
      <c r="A146" s="5" t="s">
        <v>306</v>
      </c>
      <c r="B146" s="203">
        <v>1.2551213E7</v>
      </c>
      <c r="C146" s="145"/>
    </row>
    <row r="147">
      <c r="A147" s="5" t="s">
        <v>307</v>
      </c>
      <c r="B147" s="203">
        <v>587925.0</v>
      </c>
      <c r="C147" s="145"/>
    </row>
    <row r="148">
      <c r="A148" s="5" t="s">
        <v>308</v>
      </c>
      <c r="B148" s="203">
        <v>2.7198628E7</v>
      </c>
      <c r="C148" s="145"/>
    </row>
    <row r="149">
      <c r="A149" s="5" t="s">
        <v>309</v>
      </c>
      <c r="B149" s="203">
        <v>5457154.0</v>
      </c>
      <c r="C149" s="145"/>
    </row>
    <row r="150">
      <c r="A150" s="5" t="s">
        <v>310</v>
      </c>
      <c r="B150" s="203">
        <v>1.717974E7</v>
      </c>
      <c r="C150" s="145"/>
    </row>
    <row r="151">
      <c r="A151" s="5" t="s">
        <v>311</v>
      </c>
      <c r="B151" s="203">
        <v>821625.0</v>
      </c>
      <c r="C151" s="145"/>
    </row>
    <row r="152">
      <c r="A152" s="5" t="s">
        <v>312</v>
      </c>
      <c r="B152" s="203">
        <v>9.5894118E7</v>
      </c>
      <c r="C152" s="145"/>
    </row>
    <row r="153">
      <c r="A153" s="5" t="s">
        <v>313</v>
      </c>
      <c r="B153" s="203">
        <v>5835806.0</v>
      </c>
      <c r="C153" s="145"/>
    </row>
    <row r="154">
      <c r="A154" s="5" t="s">
        <v>314</v>
      </c>
      <c r="B154" s="203">
        <v>2.7478249E7</v>
      </c>
      <c r="C154" s="145"/>
    </row>
    <row r="155">
      <c r="A155" s="5" t="s">
        <v>315</v>
      </c>
      <c r="B155" s="203">
        <v>1634466.0</v>
      </c>
      <c r="C155" s="145"/>
    </row>
    <row r="156">
      <c r="A156" s="5" t="s">
        <v>316</v>
      </c>
      <c r="B156" s="203">
        <v>3620312.0</v>
      </c>
      <c r="C156" s="145"/>
    </row>
    <row r="157">
      <c r="A157" s="5" t="s">
        <v>317</v>
      </c>
      <c r="B157" s="203">
        <v>1192271.0</v>
      </c>
      <c r="C157" s="145"/>
    </row>
    <row r="158">
      <c r="A158" s="5" t="s">
        <v>318</v>
      </c>
      <c r="B158" s="203">
        <v>1.20283026E8</v>
      </c>
      <c r="C158" s="145"/>
    </row>
    <row r="159">
      <c r="A159" s="5" t="s">
        <v>319</v>
      </c>
      <c r="B159" s="203">
        <v>2341179.0</v>
      </c>
      <c r="C159" s="145"/>
    </row>
    <row r="160">
      <c r="A160" s="5" t="s">
        <v>320</v>
      </c>
      <c r="B160" s="203">
        <v>2639916.0</v>
      </c>
      <c r="C160" s="145"/>
    </row>
    <row r="161">
      <c r="A161" s="5" t="s">
        <v>321</v>
      </c>
      <c r="B161" s="203">
        <v>3.2833031E7</v>
      </c>
      <c r="C161" s="145"/>
    </row>
    <row r="162">
      <c r="A162" s="5" t="s">
        <v>322</v>
      </c>
      <c r="B162" s="203">
        <v>1.3531906E7</v>
      </c>
      <c r="C162" s="145"/>
    </row>
    <row r="163">
      <c r="A163" s="5" t="s">
        <v>323</v>
      </c>
      <c r="B163" s="203">
        <v>2060721.0</v>
      </c>
      <c r="C163" s="145"/>
    </row>
    <row r="164">
      <c r="A164" s="5" t="s">
        <v>281</v>
      </c>
      <c r="B164" s="203">
        <v>5.3005614E7</v>
      </c>
      <c r="C164" s="145"/>
    </row>
    <row r="165">
      <c r="A165" s="5" t="s">
        <v>324</v>
      </c>
      <c r="B165" s="203">
        <v>2281454.0</v>
      </c>
      <c r="C165" s="145"/>
    </row>
    <row r="166">
      <c r="A166" s="5" t="s">
        <v>325</v>
      </c>
      <c r="B166" s="203">
        <v>5193416.0</v>
      </c>
      <c r="C166" s="145"/>
    </row>
    <row r="167">
      <c r="A167" s="5" t="s">
        <v>285</v>
      </c>
      <c r="B167" s="203">
        <v>2.8915653E7</v>
      </c>
      <c r="C167" s="145"/>
    </row>
    <row r="168">
      <c r="A168" s="5" t="s">
        <v>326</v>
      </c>
      <c r="B168" s="203">
        <v>1.9889742E7</v>
      </c>
      <c r="C168" s="145"/>
    </row>
    <row r="169">
      <c r="A169" s="5" t="s">
        <v>327</v>
      </c>
      <c r="B169" s="203">
        <v>2.1904983E7</v>
      </c>
      <c r="C169" s="145"/>
    </row>
    <row r="170">
      <c r="A170" s="5" t="s">
        <v>328</v>
      </c>
      <c r="B170" s="203">
        <v>4614974.0</v>
      </c>
      <c r="C170" s="145"/>
    </row>
    <row r="171">
      <c r="A171" s="5" t="s">
        <v>329</v>
      </c>
      <c r="B171" s="203">
        <v>1266060.0</v>
      </c>
      <c r="C171" s="145"/>
    </row>
    <row r="172">
      <c r="A172" s="5" t="s">
        <v>282</v>
      </c>
      <c r="B172" s="203">
        <v>3.2077072E7</v>
      </c>
      <c r="C172" s="145"/>
    </row>
    <row r="173">
      <c r="A173" s="5" t="s">
        <v>330</v>
      </c>
      <c r="B173" s="203">
        <v>2530151.0</v>
      </c>
      <c r="C173" s="145"/>
    </row>
    <row r="174">
      <c r="A174" s="5" t="s">
        <v>331</v>
      </c>
      <c r="B174" s="203">
        <v>2.5252722E7</v>
      </c>
      <c r="C174" s="145"/>
    </row>
    <row r="175">
      <c r="A175" s="5" t="s">
        <v>286</v>
      </c>
      <c r="B175" s="203">
        <v>2.13401323E8</v>
      </c>
      <c r="C175" s="145"/>
    </row>
    <row r="176">
      <c r="A176" s="5" t="s">
        <v>0</v>
      </c>
      <c r="B176" s="203">
        <v>1.3461888E7</v>
      </c>
      <c r="C176" s="145"/>
    </row>
    <row r="177">
      <c r="A177" s="5" t="s">
        <v>332</v>
      </c>
      <c r="B177" s="203">
        <v>223107.0</v>
      </c>
      <c r="C177" s="145"/>
    </row>
    <row r="178">
      <c r="A178" s="5" t="s">
        <v>283</v>
      </c>
      <c r="B178" s="203">
        <v>1.687672E7</v>
      </c>
      <c r="C178" s="145"/>
    </row>
    <row r="179">
      <c r="A179" s="5" t="s">
        <v>333</v>
      </c>
      <c r="B179" s="203">
        <v>99258.0</v>
      </c>
      <c r="C179" s="145"/>
    </row>
    <row r="180">
      <c r="A180" s="5" t="s">
        <v>334</v>
      </c>
      <c r="B180" s="203">
        <v>8420641.0</v>
      </c>
      <c r="C180" s="145"/>
    </row>
    <row r="181">
      <c r="A181" s="5" t="s">
        <v>335</v>
      </c>
      <c r="B181" s="203">
        <v>1.7065581E7</v>
      </c>
      <c r="C181" s="145"/>
    </row>
    <row r="182">
      <c r="A182" s="5" t="s">
        <v>336</v>
      </c>
      <c r="B182" s="203">
        <v>5.9392255E7</v>
      </c>
      <c r="C182" s="145"/>
    </row>
    <row r="183">
      <c r="A183" s="5" t="s">
        <v>337</v>
      </c>
      <c r="B183" s="203">
        <v>1.0748272E7</v>
      </c>
      <c r="C183" s="145"/>
    </row>
    <row r="184">
      <c r="A184" s="5" t="s">
        <v>338</v>
      </c>
      <c r="B184" s="203">
        <v>4.5657202E7</v>
      </c>
      <c r="C184" s="145"/>
    </row>
    <row r="185">
      <c r="A185" s="5" t="s">
        <v>287</v>
      </c>
      <c r="B185" s="203">
        <v>6.3588334E7</v>
      </c>
      <c r="C185" s="145"/>
    </row>
    <row r="186">
      <c r="A186" s="5" t="s">
        <v>284</v>
      </c>
      <c r="B186" s="203">
        <v>8644829.0</v>
      </c>
      <c r="C186" s="145"/>
    </row>
    <row r="187">
      <c r="A187" s="5" t="s">
        <v>288</v>
      </c>
      <c r="B187" s="203">
        <v>4.5853778E7</v>
      </c>
      <c r="C187" s="145"/>
    </row>
    <row r="188">
      <c r="A188" s="5" t="s">
        <v>339</v>
      </c>
      <c r="B188" s="203">
        <v>1.9473125E7</v>
      </c>
      <c r="C188" s="145"/>
    </row>
    <row r="189">
      <c r="A189" s="5" t="s">
        <v>340</v>
      </c>
      <c r="B189" s="203">
        <v>1.5993524E7</v>
      </c>
      <c r="C189" s="145"/>
    </row>
    <row r="190">
      <c r="A190" s="204" t="s">
        <v>2</v>
      </c>
      <c r="B190" s="205">
        <f>AVERAGE(B142:B189)</f>
        <v>24607557.06</v>
      </c>
      <c r="C190" s="151"/>
    </row>
    <row r="191">
      <c r="C191" s="151"/>
    </row>
    <row r="192">
      <c r="C192" s="151"/>
    </row>
    <row r="193">
      <c r="C193" s="151"/>
    </row>
    <row r="194">
      <c r="C194" s="151"/>
    </row>
    <row r="195">
      <c r="C195" s="151"/>
    </row>
    <row r="196">
      <c r="C196" s="151"/>
    </row>
    <row r="197">
      <c r="C197" s="151"/>
    </row>
    <row r="198">
      <c r="C198" s="151"/>
    </row>
    <row r="199">
      <c r="C199" s="151"/>
    </row>
    <row r="200">
      <c r="C200" s="151"/>
    </row>
    <row r="201">
      <c r="C201" s="151"/>
    </row>
    <row r="202">
      <c r="C202" s="151"/>
    </row>
    <row r="203">
      <c r="C203" s="151"/>
    </row>
    <row r="204">
      <c r="C204" s="151"/>
    </row>
    <row r="205">
      <c r="C205" s="151"/>
    </row>
    <row r="206">
      <c r="C206" s="151"/>
    </row>
    <row r="207">
      <c r="C207" s="151"/>
    </row>
    <row r="208">
      <c r="C208" s="151"/>
    </row>
    <row r="209">
      <c r="C209" s="151"/>
    </row>
    <row r="210">
      <c r="C210" s="151"/>
    </row>
    <row r="211">
      <c r="C211" s="151"/>
    </row>
    <row r="212">
      <c r="C212" s="151"/>
    </row>
    <row r="213">
      <c r="C213" s="151"/>
    </row>
    <row r="214">
      <c r="C214" s="151"/>
    </row>
    <row r="215">
      <c r="C215" s="151"/>
    </row>
    <row r="216">
      <c r="C216" s="151"/>
    </row>
    <row r="217">
      <c r="C217" s="151"/>
    </row>
    <row r="218">
      <c r="C218" s="151"/>
    </row>
    <row r="219">
      <c r="C219" s="151"/>
    </row>
    <row r="220">
      <c r="C220" s="151"/>
    </row>
    <row r="221">
      <c r="C221" s="151"/>
    </row>
    <row r="222">
      <c r="C222" s="151"/>
    </row>
    <row r="223">
      <c r="C223" s="151"/>
    </row>
    <row r="224">
      <c r="C224" s="151"/>
    </row>
    <row r="225">
      <c r="C225" s="151"/>
    </row>
    <row r="226">
      <c r="C226" s="151"/>
    </row>
    <row r="227">
      <c r="C227" s="151"/>
    </row>
    <row r="228">
      <c r="C228" s="151"/>
    </row>
    <row r="229">
      <c r="C229" s="151"/>
    </row>
    <row r="230">
      <c r="C230" s="151"/>
    </row>
    <row r="231">
      <c r="C231" s="151"/>
    </row>
    <row r="232">
      <c r="C232" s="151"/>
    </row>
    <row r="233">
      <c r="C233" s="151"/>
    </row>
    <row r="234">
      <c r="C234" s="151"/>
    </row>
    <row r="235">
      <c r="C235" s="151"/>
    </row>
    <row r="236">
      <c r="C236" s="151"/>
    </row>
    <row r="237">
      <c r="C237" s="151"/>
    </row>
    <row r="238">
      <c r="C238" s="151"/>
    </row>
    <row r="239">
      <c r="C239" s="151"/>
    </row>
    <row r="240">
      <c r="C240" s="151"/>
    </row>
    <row r="241">
      <c r="C241" s="151"/>
    </row>
    <row r="242">
      <c r="C242" s="151"/>
    </row>
    <row r="243">
      <c r="C243" s="151"/>
    </row>
    <row r="244">
      <c r="C244" s="151"/>
    </row>
    <row r="245">
      <c r="C245" s="151"/>
    </row>
    <row r="246">
      <c r="C246" s="151"/>
    </row>
    <row r="247">
      <c r="C247" s="151"/>
    </row>
    <row r="248">
      <c r="C248" s="151"/>
    </row>
    <row r="249">
      <c r="C249" s="151"/>
    </row>
    <row r="250">
      <c r="C250" s="151"/>
    </row>
    <row r="251">
      <c r="C251" s="151"/>
    </row>
    <row r="252">
      <c r="C252" s="151"/>
    </row>
    <row r="253">
      <c r="C253" s="151"/>
    </row>
    <row r="254">
      <c r="C254" s="151"/>
    </row>
    <row r="255">
      <c r="C255" s="151"/>
    </row>
    <row r="256">
      <c r="C256" s="151"/>
    </row>
    <row r="257">
      <c r="C257" s="151"/>
    </row>
    <row r="258">
      <c r="C258" s="151"/>
    </row>
    <row r="259">
      <c r="C259" s="151"/>
    </row>
    <row r="260">
      <c r="C260" s="151"/>
    </row>
    <row r="261">
      <c r="C261" s="151"/>
    </row>
    <row r="262">
      <c r="C262" s="151"/>
    </row>
    <row r="263">
      <c r="C263" s="151"/>
    </row>
    <row r="264">
      <c r="C264" s="151"/>
    </row>
    <row r="265">
      <c r="C265" s="151"/>
    </row>
    <row r="266">
      <c r="C266" s="151"/>
    </row>
    <row r="267">
      <c r="C267" s="151"/>
    </row>
    <row r="268">
      <c r="C268" s="151"/>
    </row>
    <row r="269">
      <c r="C269" s="151"/>
    </row>
    <row r="270">
      <c r="C270" s="151"/>
    </row>
    <row r="271">
      <c r="C271" s="151"/>
    </row>
    <row r="272">
      <c r="C272" s="151"/>
    </row>
    <row r="273">
      <c r="C273" s="151"/>
    </row>
    <row r="274">
      <c r="C274" s="151"/>
    </row>
    <row r="275">
      <c r="C275" s="151"/>
    </row>
    <row r="276">
      <c r="C276" s="151"/>
    </row>
    <row r="277">
      <c r="C277" s="151"/>
    </row>
    <row r="278">
      <c r="C278" s="151"/>
    </row>
    <row r="279">
      <c r="C279" s="151"/>
    </row>
    <row r="280">
      <c r="C280" s="151"/>
    </row>
    <row r="281">
      <c r="C281" s="151"/>
    </row>
    <row r="282">
      <c r="C282" s="151"/>
    </row>
    <row r="283">
      <c r="C283" s="151"/>
    </row>
    <row r="284">
      <c r="C284" s="151"/>
    </row>
    <row r="285">
      <c r="C285" s="151"/>
    </row>
    <row r="286">
      <c r="C286" s="151"/>
    </row>
    <row r="287">
      <c r="C287" s="151"/>
    </row>
    <row r="288">
      <c r="C288" s="151"/>
    </row>
    <row r="289">
      <c r="C289" s="151"/>
    </row>
    <row r="290">
      <c r="C290" s="151"/>
    </row>
    <row r="291">
      <c r="C291" s="151"/>
    </row>
    <row r="292">
      <c r="C292" s="151"/>
    </row>
    <row r="293">
      <c r="C293" s="151"/>
    </row>
    <row r="294">
      <c r="C294" s="151"/>
    </row>
    <row r="295">
      <c r="C295" s="151"/>
    </row>
    <row r="296">
      <c r="C296" s="151"/>
    </row>
    <row r="297">
      <c r="C297" s="151"/>
    </row>
    <row r="298">
      <c r="C298" s="151"/>
    </row>
    <row r="299">
      <c r="C299" s="151"/>
    </row>
    <row r="300">
      <c r="C300" s="151"/>
    </row>
    <row r="301">
      <c r="C301" s="151"/>
    </row>
    <row r="302">
      <c r="C302" s="151"/>
    </row>
    <row r="303">
      <c r="C303" s="151"/>
    </row>
    <row r="304">
      <c r="C304" s="151"/>
    </row>
    <row r="305">
      <c r="C305" s="151"/>
    </row>
    <row r="306">
      <c r="C306" s="151"/>
    </row>
    <row r="307">
      <c r="C307" s="151"/>
    </row>
    <row r="308">
      <c r="C308" s="151"/>
    </row>
    <row r="309">
      <c r="C309" s="151"/>
    </row>
    <row r="310">
      <c r="C310" s="151"/>
    </row>
    <row r="311">
      <c r="C311" s="151"/>
    </row>
    <row r="312">
      <c r="C312" s="151"/>
    </row>
    <row r="313">
      <c r="C313" s="151"/>
    </row>
    <row r="314">
      <c r="C314" s="151"/>
    </row>
    <row r="315">
      <c r="C315" s="151"/>
    </row>
    <row r="316">
      <c r="C316" s="151"/>
    </row>
    <row r="317">
      <c r="C317" s="151"/>
    </row>
    <row r="318">
      <c r="C318" s="151"/>
    </row>
    <row r="319">
      <c r="C319" s="151"/>
    </row>
    <row r="320">
      <c r="C320" s="151"/>
    </row>
    <row r="321">
      <c r="C321" s="151"/>
    </row>
    <row r="322">
      <c r="C322" s="151"/>
    </row>
    <row r="323">
      <c r="C323" s="151"/>
    </row>
    <row r="324">
      <c r="C324" s="151"/>
    </row>
    <row r="325">
      <c r="C325" s="151"/>
    </row>
    <row r="326">
      <c r="C326" s="151"/>
    </row>
    <row r="327">
      <c r="C327" s="151"/>
    </row>
    <row r="328">
      <c r="C328" s="151"/>
    </row>
    <row r="329">
      <c r="C329" s="151"/>
    </row>
    <row r="330">
      <c r="C330" s="151"/>
    </row>
    <row r="331">
      <c r="C331" s="151"/>
    </row>
    <row r="332">
      <c r="C332" s="151"/>
    </row>
    <row r="333">
      <c r="C333" s="151"/>
    </row>
    <row r="334">
      <c r="C334" s="151"/>
    </row>
    <row r="335">
      <c r="C335" s="151"/>
    </row>
    <row r="336">
      <c r="C336" s="151"/>
    </row>
    <row r="337">
      <c r="C337" s="151"/>
    </row>
    <row r="338">
      <c r="C338" s="151"/>
    </row>
    <row r="339">
      <c r="C339" s="151"/>
    </row>
    <row r="340">
      <c r="C340" s="151"/>
    </row>
    <row r="341">
      <c r="C341" s="151"/>
    </row>
    <row r="342">
      <c r="C342" s="151"/>
    </row>
    <row r="343">
      <c r="C343" s="151"/>
    </row>
    <row r="344">
      <c r="C344" s="151"/>
    </row>
    <row r="345">
      <c r="C345" s="151"/>
    </row>
    <row r="346">
      <c r="C346" s="151"/>
    </row>
    <row r="347">
      <c r="C347" s="151"/>
    </row>
    <row r="348">
      <c r="C348" s="151"/>
    </row>
    <row r="349">
      <c r="C349" s="151"/>
    </row>
    <row r="350">
      <c r="C350" s="151"/>
    </row>
    <row r="351">
      <c r="C351" s="151"/>
    </row>
    <row r="352">
      <c r="C352" s="151"/>
    </row>
    <row r="353">
      <c r="C353" s="151"/>
    </row>
    <row r="354">
      <c r="C354" s="151"/>
    </row>
    <row r="355">
      <c r="C355" s="151"/>
    </row>
    <row r="356">
      <c r="C356" s="151"/>
    </row>
    <row r="357">
      <c r="C357" s="151"/>
    </row>
    <row r="358">
      <c r="C358" s="151"/>
    </row>
    <row r="359">
      <c r="C359" s="151"/>
    </row>
    <row r="360">
      <c r="C360" s="151"/>
    </row>
    <row r="361">
      <c r="C361" s="151"/>
    </row>
    <row r="362">
      <c r="C362" s="151"/>
    </row>
    <row r="363">
      <c r="C363" s="151"/>
    </row>
    <row r="364">
      <c r="C364" s="151"/>
    </row>
    <row r="365">
      <c r="C365" s="151"/>
    </row>
    <row r="366">
      <c r="C366" s="151"/>
    </row>
    <row r="367">
      <c r="C367" s="151"/>
    </row>
    <row r="368">
      <c r="C368" s="151"/>
    </row>
    <row r="369">
      <c r="C369" s="151"/>
    </row>
    <row r="370">
      <c r="C370" s="151"/>
    </row>
    <row r="371">
      <c r="C371" s="151"/>
    </row>
    <row r="372">
      <c r="C372" s="151"/>
    </row>
    <row r="373">
      <c r="C373" s="151"/>
    </row>
    <row r="374">
      <c r="C374" s="151"/>
    </row>
    <row r="375">
      <c r="C375" s="151"/>
    </row>
    <row r="376">
      <c r="C376" s="151"/>
    </row>
    <row r="377">
      <c r="C377" s="151"/>
    </row>
    <row r="378">
      <c r="C378" s="151"/>
    </row>
    <row r="379">
      <c r="C379" s="151"/>
    </row>
    <row r="380">
      <c r="C380" s="151"/>
    </row>
    <row r="381">
      <c r="C381" s="151"/>
    </row>
    <row r="382">
      <c r="C382" s="151"/>
    </row>
    <row r="383">
      <c r="C383" s="151"/>
    </row>
    <row r="384">
      <c r="C384" s="151"/>
    </row>
    <row r="385">
      <c r="C385" s="151"/>
    </row>
    <row r="386">
      <c r="C386" s="151"/>
    </row>
    <row r="387">
      <c r="C387" s="151"/>
    </row>
    <row r="388">
      <c r="C388" s="151"/>
    </row>
    <row r="389">
      <c r="C389" s="151"/>
    </row>
    <row r="390">
      <c r="C390" s="151"/>
    </row>
    <row r="391">
      <c r="C391" s="151"/>
    </row>
    <row r="392">
      <c r="C392" s="151"/>
    </row>
    <row r="393">
      <c r="C393" s="151"/>
    </row>
    <row r="394">
      <c r="C394" s="151"/>
    </row>
    <row r="395">
      <c r="C395" s="151"/>
    </row>
    <row r="396">
      <c r="C396" s="151"/>
    </row>
    <row r="397">
      <c r="C397" s="151"/>
    </row>
    <row r="398">
      <c r="C398" s="151"/>
    </row>
    <row r="399">
      <c r="C399" s="151"/>
    </row>
    <row r="400">
      <c r="C400" s="151"/>
    </row>
    <row r="401">
      <c r="C401" s="151"/>
    </row>
    <row r="402">
      <c r="C402" s="151"/>
    </row>
    <row r="403">
      <c r="C403" s="151"/>
    </row>
    <row r="404">
      <c r="C404" s="151"/>
    </row>
    <row r="405">
      <c r="C405" s="151"/>
    </row>
    <row r="406">
      <c r="C406" s="151"/>
    </row>
    <row r="407">
      <c r="C407" s="151"/>
    </row>
    <row r="408">
      <c r="C408" s="151"/>
    </row>
    <row r="409">
      <c r="C409" s="151"/>
    </row>
    <row r="410">
      <c r="C410" s="151"/>
    </row>
    <row r="411">
      <c r="C411" s="151"/>
    </row>
    <row r="412">
      <c r="C412" s="151"/>
    </row>
    <row r="413">
      <c r="C413" s="151"/>
    </row>
    <row r="414">
      <c r="C414" s="151"/>
    </row>
    <row r="415">
      <c r="C415" s="151"/>
    </row>
    <row r="416">
      <c r="C416" s="151"/>
    </row>
    <row r="417">
      <c r="C417" s="151"/>
    </row>
    <row r="418">
      <c r="C418" s="151"/>
    </row>
    <row r="419">
      <c r="C419" s="151"/>
    </row>
    <row r="420">
      <c r="C420" s="151"/>
    </row>
    <row r="421">
      <c r="C421" s="151"/>
    </row>
    <row r="422">
      <c r="C422" s="151"/>
    </row>
    <row r="423">
      <c r="C423" s="151"/>
    </row>
    <row r="424">
      <c r="C424" s="151"/>
    </row>
    <row r="425">
      <c r="C425" s="151"/>
    </row>
    <row r="426">
      <c r="C426" s="151"/>
    </row>
    <row r="427">
      <c r="C427" s="151"/>
    </row>
    <row r="428">
      <c r="C428" s="151"/>
    </row>
    <row r="429">
      <c r="C429" s="151"/>
    </row>
    <row r="430">
      <c r="C430" s="151"/>
    </row>
    <row r="431">
      <c r="C431" s="151"/>
    </row>
    <row r="432">
      <c r="C432" s="151"/>
    </row>
    <row r="433">
      <c r="C433" s="151"/>
    </row>
    <row r="434">
      <c r="C434" s="151"/>
    </row>
    <row r="435">
      <c r="C435" s="151"/>
    </row>
    <row r="436">
      <c r="C436" s="151"/>
    </row>
    <row r="437">
      <c r="C437" s="151"/>
    </row>
    <row r="438">
      <c r="C438" s="151"/>
    </row>
    <row r="439">
      <c r="C439" s="151"/>
    </row>
    <row r="440">
      <c r="C440" s="151"/>
    </row>
    <row r="441">
      <c r="C441" s="151"/>
    </row>
    <row r="442">
      <c r="C442" s="151"/>
    </row>
    <row r="443">
      <c r="C443" s="151"/>
    </row>
    <row r="444">
      <c r="C444" s="151"/>
    </row>
    <row r="445">
      <c r="C445" s="151"/>
    </row>
    <row r="446">
      <c r="C446" s="151"/>
    </row>
    <row r="447">
      <c r="C447" s="151"/>
    </row>
    <row r="448">
      <c r="C448" s="151"/>
    </row>
    <row r="449">
      <c r="C449" s="151"/>
    </row>
    <row r="450">
      <c r="C450" s="151"/>
    </row>
    <row r="451">
      <c r="C451" s="151"/>
    </row>
    <row r="452">
      <c r="C452" s="151"/>
    </row>
    <row r="453">
      <c r="C453" s="151"/>
    </row>
    <row r="454">
      <c r="C454" s="151"/>
    </row>
    <row r="455">
      <c r="C455" s="151"/>
    </row>
    <row r="456">
      <c r="C456" s="151"/>
    </row>
    <row r="457">
      <c r="C457" s="151"/>
    </row>
    <row r="458">
      <c r="C458" s="151"/>
    </row>
    <row r="459">
      <c r="C459" s="151"/>
    </row>
    <row r="460">
      <c r="C460" s="151"/>
    </row>
    <row r="461">
      <c r="C461" s="151"/>
    </row>
    <row r="462">
      <c r="C462" s="151"/>
    </row>
    <row r="463">
      <c r="C463" s="151"/>
    </row>
    <row r="464">
      <c r="C464" s="151"/>
    </row>
    <row r="465">
      <c r="C465" s="151"/>
    </row>
    <row r="466">
      <c r="C466" s="151"/>
    </row>
    <row r="467">
      <c r="C467" s="151"/>
    </row>
    <row r="468">
      <c r="C468" s="151"/>
    </row>
    <row r="469">
      <c r="C469" s="151"/>
    </row>
    <row r="470">
      <c r="C470" s="151"/>
    </row>
    <row r="471">
      <c r="C471" s="151"/>
    </row>
    <row r="472">
      <c r="C472" s="151"/>
    </row>
    <row r="473">
      <c r="C473" s="151"/>
    </row>
    <row r="474">
      <c r="C474" s="151"/>
    </row>
    <row r="475">
      <c r="C475" s="151"/>
    </row>
    <row r="476">
      <c r="C476" s="151"/>
    </row>
    <row r="477">
      <c r="C477" s="151"/>
    </row>
    <row r="478">
      <c r="C478" s="151"/>
    </row>
    <row r="479">
      <c r="C479" s="151"/>
    </row>
    <row r="480">
      <c r="C480" s="151"/>
    </row>
    <row r="481">
      <c r="C481" s="151"/>
    </row>
    <row r="482">
      <c r="C482" s="151"/>
    </row>
    <row r="483">
      <c r="C483" s="151"/>
    </row>
    <row r="484">
      <c r="C484" s="151"/>
    </row>
    <row r="485">
      <c r="C485" s="151"/>
    </row>
    <row r="486">
      <c r="C486" s="151"/>
    </row>
    <row r="487">
      <c r="C487" s="151"/>
    </row>
    <row r="488">
      <c r="C488" s="151"/>
    </row>
    <row r="489">
      <c r="C489" s="151"/>
    </row>
    <row r="490">
      <c r="C490" s="151"/>
    </row>
    <row r="491">
      <c r="C491" s="151"/>
    </row>
    <row r="492">
      <c r="C492" s="151"/>
    </row>
    <row r="493">
      <c r="C493" s="151"/>
    </row>
    <row r="494">
      <c r="C494" s="151"/>
    </row>
    <row r="495">
      <c r="C495" s="151"/>
    </row>
    <row r="496">
      <c r="C496" s="151"/>
    </row>
    <row r="497">
      <c r="C497" s="151"/>
    </row>
    <row r="498">
      <c r="C498" s="151"/>
    </row>
    <row r="499">
      <c r="C499" s="151"/>
    </row>
    <row r="500">
      <c r="C500" s="151"/>
    </row>
    <row r="501">
      <c r="C501" s="151"/>
    </row>
    <row r="502">
      <c r="C502" s="151"/>
    </row>
    <row r="503">
      <c r="C503" s="151"/>
    </row>
    <row r="504">
      <c r="C504" s="151"/>
    </row>
    <row r="505">
      <c r="C505" s="151"/>
    </row>
    <row r="506">
      <c r="C506" s="151"/>
    </row>
    <row r="507">
      <c r="C507" s="151"/>
    </row>
    <row r="508">
      <c r="C508" s="151"/>
    </row>
    <row r="509">
      <c r="C509" s="151"/>
    </row>
    <row r="510">
      <c r="C510" s="151"/>
    </row>
    <row r="511">
      <c r="C511" s="151"/>
    </row>
    <row r="512">
      <c r="C512" s="151"/>
    </row>
    <row r="513">
      <c r="C513" s="151"/>
    </row>
    <row r="514">
      <c r="C514" s="151"/>
    </row>
    <row r="515">
      <c r="C515" s="151"/>
    </row>
    <row r="516">
      <c r="C516" s="151"/>
    </row>
    <row r="517">
      <c r="C517" s="151"/>
    </row>
    <row r="518">
      <c r="C518" s="151"/>
    </row>
    <row r="519">
      <c r="C519" s="151"/>
    </row>
    <row r="520">
      <c r="C520" s="151"/>
    </row>
    <row r="521">
      <c r="C521" s="151"/>
    </row>
    <row r="522">
      <c r="C522" s="151"/>
    </row>
    <row r="523">
      <c r="C523" s="151"/>
    </row>
    <row r="524">
      <c r="C524" s="151"/>
    </row>
    <row r="525">
      <c r="C525" s="151"/>
    </row>
    <row r="526">
      <c r="C526" s="151"/>
    </row>
    <row r="527">
      <c r="C527" s="151"/>
    </row>
    <row r="528">
      <c r="C528" s="151"/>
    </row>
    <row r="529">
      <c r="C529" s="151"/>
    </row>
    <row r="530">
      <c r="C530" s="151"/>
    </row>
    <row r="531">
      <c r="C531" s="151"/>
    </row>
    <row r="532">
      <c r="C532" s="151"/>
    </row>
    <row r="533">
      <c r="C533" s="151"/>
    </row>
    <row r="534">
      <c r="C534" s="151"/>
    </row>
    <row r="535">
      <c r="C535" s="151"/>
    </row>
    <row r="536">
      <c r="C536" s="151"/>
    </row>
    <row r="537">
      <c r="C537" s="151"/>
    </row>
    <row r="538">
      <c r="C538" s="151"/>
    </row>
    <row r="539">
      <c r="C539" s="151"/>
    </row>
    <row r="540">
      <c r="C540" s="151"/>
    </row>
    <row r="541">
      <c r="C541" s="151"/>
    </row>
    <row r="542">
      <c r="C542" s="151"/>
    </row>
    <row r="543">
      <c r="C543" s="151"/>
    </row>
    <row r="544">
      <c r="C544" s="151"/>
    </row>
    <row r="545">
      <c r="C545" s="151"/>
    </row>
    <row r="546">
      <c r="C546" s="151"/>
    </row>
    <row r="547">
      <c r="C547" s="151"/>
    </row>
    <row r="548">
      <c r="C548" s="151"/>
    </row>
    <row r="549">
      <c r="C549" s="151"/>
    </row>
    <row r="550">
      <c r="C550" s="151"/>
    </row>
    <row r="551">
      <c r="C551" s="151"/>
    </row>
    <row r="552">
      <c r="C552" s="151"/>
    </row>
    <row r="553">
      <c r="C553" s="151"/>
    </row>
    <row r="554">
      <c r="C554" s="151"/>
    </row>
    <row r="555">
      <c r="C555" s="151"/>
    </row>
    <row r="556">
      <c r="C556" s="151"/>
    </row>
    <row r="557">
      <c r="C557" s="151"/>
    </row>
    <row r="558">
      <c r="C558" s="151"/>
    </row>
    <row r="559">
      <c r="C559" s="151"/>
    </row>
    <row r="560">
      <c r="C560" s="151"/>
    </row>
    <row r="561">
      <c r="C561" s="151"/>
    </row>
    <row r="562">
      <c r="C562" s="151"/>
    </row>
    <row r="563">
      <c r="C563" s="151"/>
    </row>
    <row r="564">
      <c r="C564" s="151"/>
    </row>
    <row r="565">
      <c r="C565" s="151"/>
    </row>
    <row r="566">
      <c r="C566" s="151"/>
    </row>
    <row r="567">
      <c r="C567" s="151"/>
    </row>
    <row r="568">
      <c r="C568" s="151"/>
    </row>
    <row r="569">
      <c r="C569" s="151"/>
    </row>
    <row r="570">
      <c r="C570" s="151"/>
    </row>
    <row r="571">
      <c r="C571" s="151"/>
    </row>
    <row r="572">
      <c r="C572" s="151"/>
    </row>
    <row r="573">
      <c r="C573" s="151"/>
    </row>
    <row r="574">
      <c r="C574" s="151"/>
    </row>
    <row r="575">
      <c r="C575" s="151"/>
    </row>
    <row r="576">
      <c r="C576" s="151"/>
    </row>
    <row r="577">
      <c r="C577" s="151"/>
    </row>
    <row r="578">
      <c r="C578" s="151"/>
    </row>
    <row r="579">
      <c r="C579" s="151"/>
    </row>
    <row r="580">
      <c r="C580" s="151"/>
    </row>
    <row r="581">
      <c r="C581" s="151"/>
    </row>
    <row r="582">
      <c r="C582" s="151"/>
    </row>
    <row r="583">
      <c r="C583" s="151"/>
    </row>
    <row r="584">
      <c r="C584" s="151"/>
    </row>
    <row r="585">
      <c r="C585" s="151"/>
    </row>
    <row r="586">
      <c r="C586" s="151"/>
    </row>
    <row r="587">
      <c r="C587" s="151"/>
    </row>
    <row r="588">
      <c r="C588" s="151"/>
    </row>
    <row r="589">
      <c r="C589" s="151"/>
    </row>
    <row r="590">
      <c r="C590" s="151"/>
    </row>
    <row r="591">
      <c r="C591" s="151"/>
    </row>
    <row r="592">
      <c r="C592" s="151"/>
    </row>
    <row r="593">
      <c r="C593" s="151"/>
    </row>
    <row r="594">
      <c r="C594" s="151"/>
    </row>
    <row r="595">
      <c r="C595" s="151"/>
    </row>
    <row r="596">
      <c r="C596" s="151"/>
    </row>
    <row r="597">
      <c r="C597" s="151"/>
    </row>
    <row r="598">
      <c r="C598" s="151"/>
    </row>
    <row r="599">
      <c r="C599" s="151"/>
    </row>
    <row r="600">
      <c r="C600" s="151"/>
    </row>
    <row r="601">
      <c r="C601" s="151"/>
    </row>
    <row r="602">
      <c r="C602" s="151"/>
    </row>
    <row r="603">
      <c r="C603" s="151"/>
    </row>
    <row r="604">
      <c r="C604" s="151"/>
    </row>
    <row r="605">
      <c r="C605" s="151"/>
    </row>
    <row r="606">
      <c r="C606" s="151"/>
    </row>
    <row r="607">
      <c r="C607" s="151"/>
    </row>
    <row r="608">
      <c r="C608" s="151"/>
    </row>
    <row r="609">
      <c r="C609" s="151"/>
    </row>
    <row r="610">
      <c r="C610" s="151"/>
    </row>
    <row r="611">
      <c r="C611" s="151"/>
    </row>
    <row r="612">
      <c r="C612" s="151"/>
    </row>
    <row r="613">
      <c r="C613" s="151"/>
    </row>
    <row r="614">
      <c r="C614" s="151"/>
    </row>
    <row r="615">
      <c r="C615" s="151"/>
    </row>
    <row r="616">
      <c r="C616" s="151"/>
    </row>
    <row r="617">
      <c r="C617" s="151"/>
    </row>
    <row r="618">
      <c r="C618" s="151"/>
    </row>
    <row r="619">
      <c r="C619" s="151"/>
    </row>
    <row r="620">
      <c r="C620" s="151"/>
    </row>
    <row r="621">
      <c r="C621" s="151"/>
    </row>
    <row r="622">
      <c r="C622" s="151"/>
    </row>
    <row r="623">
      <c r="C623" s="151"/>
    </row>
    <row r="624">
      <c r="C624" s="151"/>
    </row>
    <row r="625">
      <c r="C625" s="151"/>
    </row>
    <row r="626">
      <c r="C626" s="151"/>
    </row>
    <row r="627">
      <c r="C627" s="151"/>
    </row>
    <row r="628">
      <c r="C628" s="151"/>
    </row>
    <row r="629">
      <c r="C629" s="151"/>
    </row>
    <row r="630">
      <c r="C630" s="151"/>
    </row>
    <row r="631">
      <c r="C631" s="151"/>
    </row>
    <row r="632">
      <c r="C632" s="151"/>
    </row>
    <row r="633">
      <c r="C633" s="151"/>
    </row>
    <row r="634">
      <c r="C634" s="151"/>
    </row>
    <row r="635">
      <c r="C635" s="151"/>
    </row>
    <row r="636">
      <c r="C636" s="151"/>
    </row>
    <row r="637">
      <c r="C637" s="151"/>
    </row>
    <row r="638">
      <c r="C638" s="151"/>
    </row>
    <row r="639">
      <c r="C639" s="151"/>
    </row>
    <row r="640">
      <c r="C640" s="151"/>
    </row>
    <row r="641">
      <c r="C641" s="151"/>
    </row>
    <row r="642">
      <c r="C642" s="151"/>
    </row>
    <row r="643">
      <c r="C643" s="151"/>
    </row>
    <row r="644">
      <c r="C644" s="151"/>
    </row>
    <row r="645">
      <c r="C645" s="151"/>
    </row>
    <row r="646">
      <c r="C646" s="151"/>
    </row>
    <row r="647">
      <c r="C647" s="151"/>
    </row>
    <row r="648">
      <c r="C648" s="151"/>
    </row>
    <row r="649">
      <c r="C649" s="151"/>
    </row>
    <row r="650">
      <c r="C650" s="151"/>
    </row>
    <row r="651">
      <c r="C651" s="151"/>
    </row>
    <row r="652">
      <c r="C652" s="151"/>
    </row>
    <row r="653">
      <c r="C653" s="151"/>
    </row>
    <row r="654">
      <c r="C654" s="151"/>
    </row>
    <row r="655">
      <c r="C655" s="151"/>
    </row>
    <row r="656">
      <c r="C656" s="151"/>
    </row>
    <row r="657">
      <c r="C657" s="151"/>
    </row>
    <row r="658">
      <c r="C658" s="151"/>
    </row>
    <row r="659">
      <c r="C659" s="151"/>
    </row>
    <row r="660">
      <c r="C660" s="151"/>
    </row>
    <row r="661">
      <c r="C661" s="151"/>
    </row>
    <row r="662">
      <c r="C662" s="151"/>
    </row>
    <row r="663">
      <c r="C663" s="151"/>
    </row>
    <row r="664">
      <c r="C664" s="151"/>
    </row>
    <row r="665">
      <c r="C665" s="151"/>
    </row>
    <row r="666">
      <c r="C666" s="151"/>
    </row>
    <row r="667">
      <c r="C667" s="151"/>
    </row>
    <row r="668">
      <c r="C668" s="151"/>
    </row>
    <row r="669">
      <c r="C669" s="151"/>
    </row>
    <row r="670">
      <c r="C670" s="151"/>
    </row>
    <row r="671">
      <c r="C671" s="151"/>
    </row>
    <row r="672">
      <c r="C672" s="151"/>
    </row>
    <row r="673">
      <c r="C673" s="151"/>
    </row>
    <row r="674">
      <c r="C674" s="151"/>
    </row>
    <row r="675">
      <c r="C675" s="151"/>
    </row>
    <row r="676">
      <c r="C676" s="151"/>
    </row>
    <row r="677">
      <c r="C677" s="151"/>
    </row>
    <row r="678">
      <c r="C678" s="151"/>
    </row>
    <row r="679">
      <c r="C679" s="151"/>
    </row>
    <row r="680">
      <c r="C680" s="151"/>
    </row>
    <row r="681">
      <c r="C681" s="151"/>
    </row>
    <row r="682">
      <c r="C682" s="151"/>
    </row>
    <row r="683">
      <c r="C683" s="151"/>
    </row>
    <row r="684">
      <c r="C684" s="151"/>
    </row>
    <row r="685">
      <c r="C685" s="151"/>
    </row>
    <row r="686">
      <c r="C686" s="151"/>
    </row>
    <row r="687">
      <c r="C687" s="151"/>
    </row>
    <row r="688">
      <c r="C688" s="151"/>
    </row>
    <row r="689">
      <c r="C689" s="151"/>
    </row>
    <row r="690">
      <c r="C690" s="151"/>
    </row>
    <row r="691">
      <c r="C691" s="151"/>
    </row>
    <row r="692">
      <c r="C692" s="151"/>
    </row>
    <row r="693">
      <c r="C693" s="151"/>
    </row>
    <row r="694">
      <c r="C694" s="151"/>
    </row>
    <row r="695">
      <c r="C695" s="151"/>
    </row>
    <row r="696">
      <c r="C696" s="151"/>
    </row>
    <row r="697">
      <c r="C697" s="151"/>
    </row>
    <row r="698">
      <c r="C698" s="151"/>
    </row>
    <row r="699">
      <c r="C699" s="151"/>
    </row>
    <row r="700">
      <c r="C700" s="151"/>
    </row>
    <row r="701">
      <c r="C701" s="151"/>
    </row>
    <row r="702">
      <c r="C702" s="151"/>
    </row>
    <row r="703">
      <c r="C703" s="151"/>
    </row>
    <row r="704">
      <c r="C704" s="151"/>
    </row>
    <row r="705">
      <c r="C705" s="151"/>
    </row>
    <row r="706">
      <c r="C706" s="151"/>
    </row>
    <row r="707">
      <c r="C707" s="151"/>
    </row>
    <row r="708">
      <c r="C708" s="151"/>
    </row>
    <row r="709">
      <c r="C709" s="151"/>
    </row>
    <row r="710">
      <c r="C710" s="151"/>
    </row>
    <row r="711">
      <c r="C711" s="151"/>
    </row>
    <row r="712">
      <c r="C712" s="151"/>
    </row>
    <row r="713">
      <c r="C713" s="151"/>
    </row>
    <row r="714">
      <c r="C714" s="151"/>
    </row>
    <row r="715">
      <c r="C715" s="151"/>
    </row>
    <row r="716">
      <c r="C716" s="151"/>
    </row>
    <row r="717">
      <c r="C717" s="151"/>
    </row>
    <row r="718">
      <c r="C718" s="151"/>
    </row>
    <row r="719">
      <c r="C719" s="151"/>
    </row>
    <row r="720">
      <c r="C720" s="151"/>
    </row>
    <row r="721">
      <c r="C721" s="151"/>
    </row>
    <row r="722">
      <c r="C722" s="151"/>
    </row>
    <row r="723">
      <c r="C723" s="151"/>
    </row>
    <row r="724">
      <c r="C724" s="151"/>
    </row>
    <row r="725">
      <c r="C725" s="151"/>
    </row>
    <row r="726">
      <c r="C726" s="151"/>
    </row>
    <row r="727">
      <c r="C727" s="151"/>
    </row>
    <row r="728">
      <c r="C728" s="151"/>
    </row>
    <row r="729">
      <c r="C729" s="151"/>
    </row>
    <row r="730">
      <c r="C730" s="151"/>
    </row>
    <row r="731">
      <c r="C731" s="151"/>
    </row>
    <row r="732">
      <c r="C732" s="151"/>
    </row>
    <row r="733">
      <c r="C733" s="151"/>
    </row>
    <row r="734">
      <c r="C734" s="151"/>
    </row>
    <row r="735">
      <c r="C735" s="151"/>
    </row>
    <row r="736">
      <c r="C736" s="151"/>
    </row>
    <row r="737">
      <c r="C737" s="151"/>
    </row>
    <row r="738">
      <c r="C738" s="151"/>
    </row>
    <row r="739">
      <c r="C739" s="151"/>
    </row>
    <row r="740">
      <c r="C740" s="151"/>
    </row>
    <row r="741">
      <c r="C741" s="151"/>
    </row>
    <row r="742">
      <c r="C742" s="151"/>
    </row>
    <row r="743">
      <c r="C743" s="151"/>
    </row>
    <row r="744">
      <c r="C744" s="151"/>
    </row>
    <row r="745">
      <c r="C745" s="151"/>
    </row>
    <row r="746">
      <c r="C746" s="151"/>
    </row>
    <row r="747">
      <c r="C747" s="151"/>
    </row>
    <row r="748">
      <c r="C748" s="151"/>
    </row>
    <row r="749">
      <c r="C749" s="151"/>
    </row>
    <row r="750">
      <c r="C750" s="151"/>
    </row>
    <row r="751">
      <c r="C751" s="151"/>
    </row>
    <row r="752">
      <c r="C752" s="151"/>
    </row>
    <row r="753">
      <c r="C753" s="151"/>
    </row>
    <row r="754">
      <c r="C754" s="151"/>
    </row>
    <row r="755">
      <c r="C755" s="151"/>
    </row>
    <row r="756">
      <c r="C756" s="151"/>
    </row>
    <row r="757">
      <c r="C757" s="151"/>
    </row>
    <row r="758">
      <c r="C758" s="151"/>
    </row>
    <row r="759">
      <c r="C759" s="151"/>
    </row>
    <row r="760">
      <c r="C760" s="151"/>
    </row>
    <row r="761">
      <c r="C761" s="151"/>
    </row>
    <row r="762">
      <c r="C762" s="151"/>
    </row>
    <row r="763">
      <c r="C763" s="151"/>
    </row>
    <row r="764">
      <c r="C764" s="151"/>
    </row>
    <row r="765">
      <c r="C765" s="151"/>
    </row>
    <row r="766">
      <c r="C766" s="151"/>
    </row>
    <row r="767">
      <c r="C767" s="151"/>
    </row>
    <row r="768">
      <c r="C768" s="151"/>
    </row>
    <row r="769">
      <c r="C769" s="151"/>
    </row>
    <row r="770">
      <c r="C770" s="151"/>
    </row>
    <row r="771">
      <c r="C771" s="151"/>
    </row>
    <row r="772">
      <c r="C772" s="151"/>
    </row>
    <row r="773">
      <c r="C773" s="151"/>
    </row>
    <row r="774">
      <c r="C774" s="151"/>
    </row>
    <row r="775">
      <c r="C775" s="151"/>
    </row>
    <row r="776">
      <c r="C776" s="151"/>
    </row>
    <row r="777">
      <c r="C777" s="151"/>
    </row>
    <row r="778">
      <c r="C778" s="151"/>
    </row>
    <row r="779">
      <c r="C779" s="151"/>
    </row>
    <row r="780">
      <c r="C780" s="151"/>
    </row>
    <row r="781">
      <c r="C781" s="151"/>
    </row>
    <row r="782">
      <c r="C782" s="151"/>
    </row>
    <row r="783">
      <c r="C783" s="151"/>
    </row>
    <row r="784">
      <c r="C784" s="151"/>
    </row>
    <row r="785">
      <c r="C785" s="151"/>
    </row>
    <row r="786">
      <c r="C786" s="151"/>
    </row>
    <row r="787">
      <c r="C787" s="151"/>
    </row>
    <row r="788">
      <c r="C788" s="151"/>
    </row>
    <row r="789">
      <c r="C789" s="151"/>
    </row>
    <row r="790">
      <c r="C790" s="151"/>
    </row>
    <row r="791">
      <c r="C791" s="151"/>
    </row>
    <row r="792">
      <c r="C792" s="151"/>
    </row>
    <row r="793">
      <c r="C793" s="151"/>
    </row>
    <row r="794">
      <c r="C794" s="151"/>
    </row>
    <row r="795">
      <c r="C795" s="151"/>
    </row>
    <row r="796">
      <c r="C796" s="151"/>
    </row>
    <row r="797">
      <c r="C797" s="151"/>
    </row>
    <row r="798">
      <c r="C798" s="151"/>
    </row>
    <row r="799">
      <c r="C799" s="151"/>
    </row>
    <row r="800">
      <c r="C800" s="151"/>
    </row>
    <row r="801">
      <c r="C801" s="151"/>
    </row>
    <row r="802">
      <c r="C802" s="151"/>
    </row>
    <row r="803">
      <c r="C803" s="151"/>
    </row>
    <row r="804">
      <c r="C804" s="151"/>
    </row>
    <row r="805">
      <c r="C805" s="151"/>
    </row>
    <row r="806">
      <c r="C806" s="151"/>
    </row>
    <row r="807">
      <c r="C807" s="151"/>
    </row>
    <row r="808">
      <c r="C808" s="151"/>
    </row>
    <row r="809">
      <c r="C809" s="151"/>
    </row>
    <row r="810">
      <c r="C810" s="151"/>
    </row>
    <row r="811">
      <c r="C811" s="151"/>
    </row>
    <row r="812">
      <c r="C812" s="151"/>
    </row>
    <row r="813">
      <c r="C813" s="151"/>
    </row>
    <row r="814">
      <c r="C814" s="151"/>
    </row>
    <row r="815">
      <c r="C815" s="151"/>
    </row>
    <row r="816">
      <c r="C816" s="151"/>
    </row>
    <row r="817">
      <c r="C817" s="151"/>
    </row>
    <row r="818">
      <c r="C818" s="151"/>
    </row>
    <row r="819">
      <c r="C819" s="151"/>
    </row>
    <row r="820">
      <c r="C820" s="151"/>
    </row>
    <row r="821">
      <c r="C821" s="151"/>
    </row>
    <row r="822">
      <c r="C822" s="151"/>
    </row>
    <row r="823">
      <c r="C823" s="151"/>
    </row>
    <row r="824">
      <c r="C824" s="151"/>
    </row>
    <row r="825">
      <c r="C825" s="151"/>
    </row>
    <row r="826">
      <c r="C826" s="151"/>
    </row>
    <row r="827">
      <c r="C827" s="151"/>
    </row>
    <row r="828">
      <c r="C828" s="151"/>
    </row>
    <row r="829">
      <c r="C829" s="151"/>
    </row>
    <row r="830">
      <c r="C830" s="151"/>
    </row>
    <row r="831">
      <c r="C831" s="151"/>
    </row>
    <row r="832">
      <c r="C832" s="151"/>
    </row>
    <row r="833">
      <c r="C833" s="151"/>
    </row>
    <row r="834">
      <c r="C834" s="151"/>
    </row>
    <row r="835">
      <c r="C835" s="151"/>
    </row>
    <row r="836">
      <c r="C836" s="151"/>
    </row>
    <row r="837">
      <c r="C837" s="151"/>
    </row>
    <row r="838">
      <c r="C838" s="151"/>
    </row>
    <row r="839">
      <c r="C839" s="151"/>
    </row>
    <row r="840">
      <c r="C840" s="151"/>
    </row>
    <row r="841">
      <c r="C841" s="151"/>
    </row>
    <row r="842">
      <c r="C842" s="151"/>
    </row>
    <row r="843">
      <c r="C843" s="151"/>
    </row>
    <row r="844">
      <c r="C844" s="151"/>
    </row>
    <row r="845">
      <c r="C845" s="151"/>
    </row>
    <row r="846">
      <c r="C846" s="151"/>
    </row>
    <row r="847">
      <c r="C847" s="151"/>
    </row>
    <row r="848">
      <c r="C848" s="151"/>
    </row>
    <row r="849">
      <c r="C849" s="151"/>
    </row>
    <row r="850">
      <c r="C850" s="151"/>
    </row>
    <row r="851">
      <c r="C851" s="151"/>
    </row>
    <row r="852">
      <c r="C852" s="151"/>
    </row>
    <row r="853">
      <c r="C853" s="151"/>
    </row>
    <row r="854">
      <c r="C854" s="151"/>
    </row>
    <row r="855">
      <c r="C855" s="151"/>
    </row>
    <row r="856">
      <c r="C856" s="151"/>
    </row>
    <row r="857">
      <c r="C857" s="151"/>
    </row>
    <row r="858">
      <c r="C858" s="151"/>
    </row>
    <row r="859">
      <c r="C859" s="151"/>
    </row>
    <row r="860">
      <c r="C860" s="151"/>
    </row>
    <row r="861">
      <c r="C861" s="151"/>
    </row>
    <row r="862">
      <c r="C862" s="151"/>
    </row>
    <row r="863">
      <c r="C863" s="151"/>
    </row>
    <row r="864">
      <c r="C864" s="151"/>
    </row>
    <row r="865">
      <c r="C865" s="151"/>
    </row>
    <row r="866">
      <c r="C866" s="151"/>
    </row>
    <row r="867">
      <c r="C867" s="151"/>
    </row>
    <row r="868">
      <c r="C868" s="151"/>
    </row>
    <row r="869">
      <c r="C869" s="151"/>
    </row>
    <row r="870">
      <c r="C870" s="151"/>
    </row>
    <row r="871">
      <c r="C871" s="151"/>
    </row>
    <row r="872">
      <c r="C872" s="151"/>
    </row>
    <row r="873">
      <c r="C873" s="151"/>
    </row>
    <row r="874">
      <c r="C874" s="151"/>
    </row>
    <row r="875">
      <c r="C875" s="151"/>
    </row>
    <row r="876">
      <c r="C876" s="151"/>
    </row>
    <row r="877">
      <c r="C877" s="151"/>
    </row>
    <row r="878">
      <c r="C878" s="151"/>
    </row>
    <row r="879">
      <c r="C879" s="151"/>
    </row>
    <row r="880">
      <c r="C880" s="151"/>
    </row>
    <row r="881">
      <c r="C881" s="151"/>
    </row>
    <row r="882">
      <c r="C882" s="151"/>
    </row>
    <row r="883">
      <c r="C883" s="151"/>
    </row>
    <row r="884">
      <c r="C884" s="151"/>
    </row>
    <row r="885">
      <c r="C885" s="151"/>
    </row>
    <row r="886">
      <c r="C886" s="151"/>
    </row>
    <row r="887">
      <c r="C887" s="151"/>
    </row>
    <row r="888">
      <c r="C888" s="151"/>
    </row>
    <row r="889">
      <c r="C889" s="151"/>
    </row>
    <row r="890">
      <c r="C890" s="151"/>
    </row>
    <row r="891">
      <c r="C891" s="151"/>
    </row>
    <row r="892">
      <c r="C892" s="151"/>
    </row>
    <row r="893">
      <c r="C893" s="151"/>
    </row>
    <row r="894">
      <c r="C894" s="151"/>
    </row>
    <row r="895">
      <c r="C895" s="151"/>
    </row>
    <row r="896">
      <c r="C896" s="151"/>
    </row>
    <row r="897">
      <c r="C897" s="151"/>
    </row>
    <row r="898">
      <c r="C898" s="151"/>
    </row>
    <row r="899">
      <c r="C899" s="151"/>
    </row>
    <row r="900">
      <c r="C900" s="151"/>
    </row>
    <row r="901">
      <c r="C901" s="151"/>
    </row>
    <row r="902">
      <c r="C902" s="151"/>
    </row>
    <row r="903">
      <c r="C903" s="151"/>
    </row>
    <row r="904">
      <c r="C904" s="151"/>
    </row>
    <row r="905">
      <c r="C905" s="151"/>
    </row>
    <row r="906">
      <c r="C906" s="151"/>
    </row>
    <row r="907">
      <c r="C907" s="151"/>
    </row>
    <row r="908">
      <c r="C908" s="151"/>
    </row>
    <row r="909">
      <c r="C909" s="151"/>
    </row>
    <row r="910">
      <c r="C910" s="151"/>
    </row>
    <row r="911">
      <c r="C911" s="151"/>
    </row>
    <row r="912">
      <c r="C912" s="151"/>
    </row>
    <row r="913">
      <c r="C913" s="151"/>
    </row>
    <row r="914">
      <c r="C914" s="151"/>
    </row>
    <row r="915">
      <c r="C915" s="151"/>
    </row>
    <row r="916">
      <c r="C916" s="151"/>
    </row>
    <row r="917">
      <c r="C917" s="151"/>
    </row>
    <row r="918">
      <c r="C918" s="151"/>
    </row>
    <row r="919">
      <c r="C919" s="151"/>
    </row>
    <row r="920">
      <c r="C920" s="151"/>
    </row>
    <row r="921">
      <c r="C921" s="151"/>
    </row>
    <row r="922">
      <c r="C922" s="151"/>
    </row>
    <row r="923">
      <c r="C923" s="151"/>
    </row>
    <row r="924">
      <c r="C924" s="151"/>
    </row>
    <row r="925">
      <c r="C925" s="151"/>
    </row>
    <row r="926">
      <c r="C926" s="151"/>
    </row>
    <row r="927">
      <c r="C927" s="151"/>
    </row>
    <row r="928">
      <c r="C928" s="151"/>
    </row>
    <row r="929">
      <c r="C929" s="151"/>
    </row>
    <row r="930">
      <c r="C930" s="151"/>
    </row>
    <row r="931">
      <c r="C931" s="151"/>
    </row>
    <row r="932">
      <c r="C932" s="151"/>
    </row>
    <row r="933">
      <c r="C933" s="151"/>
    </row>
    <row r="934">
      <c r="C934" s="151"/>
    </row>
    <row r="935">
      <c r="C935" s="151"/>
    </row>
    <row r="936">
      <c r="C936" s="151"/>
    </row>
    <row r="937">
      <c r="C937" s="151"/>
    </row>
    <row r="938">
      <c r="C938" s="151"/>
    </row>
    <row r="939">
      <c r="C939" s="151"/>
    </row>
    <row r="940">
      <c r="C940" s="151"/>
    </row>
    <row r="941">
      <c r="C941" s="151"/>
    </row>
    <row r="942">
      <c r="C942" s="151"/>
    </row>
    <row r="943">
      <c r="C943" s="151"/>
    </row>
    <row r="944">
      <c r="C944" s="151"/>
    </row>
    <row r="945">
      <c r="C945" s="151"/>
    </row>
    <row r="946">
      <c r="C946" s="151"/>
    </row>
    <row r="947">
      <c r="C947" s="151"/>
    </row>
    <row r="948">
      <c r="C948" s="151"/>
    </row>
    <row r="949">
      <c r="C949" s="151"/>
    </row>
    <row r="950">
      <c r="C950" s="151"/>
    </row>
    <row r="951">
      <c r="C951" s="151"/>
    </row>
    <row r="952">
      <c r="C952" s="151"/>
    </row>
    <row r="953">
      <c r="C953" s="151"/>
    </row>
    <row r="954">
      <c r="C954" s="151"/>
    </row>
    <row r="955">
      <c r="C955" s="151"/>
    </row>
    <row r="956">
      <c r="C956" s="151"/>
    </row>
    <row r="957">
      <c r="C957" s="151"/>
    </row>
    <row r="958">
      <c r="C958" s="151"/>
    </row>
    <row r="959">
      <c r="C959" s="151"/>
    </row>
    <row r="960">
      <c r="C960" s="151"/>
    </row>
    <row r="961">
      <c r="C961" s="151"/>
    </row>
    <row r="962">
      <c r="C962" s="151"/>
    </row>
    <row r="963">
      <c r="C963" s="151"/>
    </row>
    <row r="964">
      <c r="C964" s="151"/>
    </row>
    <row r="965">
      <c r="C965" s="151"/>
    </row>
    <row r="966">
      <c r="C966" s="151"/>
    </row>
    <row r="967">
      <c r="C967" s="151"/>
    </row>
    <row r="968">
      <c r="C968" s="151"/>
    </row>
    <row r="969">
      <c r="C969" s="151"/>
    </row>
    <row r="970">
      <c r="C970" s="151"/>
    </row>
    <row r="971">
      <c r="C971" s="151"/>
    </row>
    <row r="972">
      <c r="C972" s="151"/>
    </row>
    <row r="973">
      <c r="C973" s="151"/>
    </row>
    <row r="974">
      <c r="C974" s="151"/>
    </row>
    <row r="975">
      <c r="C975" s="151"/>
    </row>
    <row r="976">
      <c r="C976" s="151"/>
    </row>
    <row r="977">
      <c r="C977" s="151"/>
    </row>
    <row r="978">
      <c r="C978" s="151"/>
    </row>
    <row r="979">
      <c r="C979" s="151"/>
    </row>
    <row r="980">
      <c r="C980" s="151"/>
    </row>
    <row r="981">
      <c r="C981" s="151"/>
    </row>
    <row r="982">
      <c r="C982" s="151"/>
    </row>
    <row r="983">
      <c r="C983" s="151"/>
    </row>
  </sheetData>
  <mergeCells count="5">
    <mergeCell ref="A3:E3"/>
    <mergeCell ref="A19:E19"/>
    <mergeCell ref="A26:E26"/>
    <mergeCell ref="A70:E70"/>
    <mergeCell ref="A103:E103"/>
  </mergeCells>
  <hyperlinks>
    <hyperlink r:id="rId4" location="heading=h.ituszj42dvh9" ref="F4"/>
    <hyperlink r:id="rId5" location="gid=1823453752" ref="F5"/>
    <hyperlink r:id="rId6" ref="F6"/>
    <hyperlink r:id="rId7" ref="F7"/>
    <hyperlink r:id="rId8" ref="F8"/>
    <hyperlink r:id="rId9" ref="F9"/>
    <hyperlink r:id="rId10" ref="F10"/>
    <hyperlink r:id="rId11" ref="F11"/>
    <hyperlink r:id="rId12" ref="F12"/>
    <hyperlink r:id="rId13" ref="F13"/>
    <hyperlink r:id="rId14" ref="F14"/>
    <hyperlink r:id="rId15" ref="F15"/>
    <hyperlink r:id="rId16" ref="F20"/>
    <hyperlink r:id="rId17" location="gid=1823453752" ref="F21"/>
    <hyperlink r:id="rId18" location="gid=1823453752" ref="F22"/>
    <hyperlink r:id="rId19" ref="F27"/>
    <hyperlink r:id="rId20" ref="F28"/>
    <hyperlink r:id="rId21" location="gid=1844752997" ref="F29"/>
    <hyperlink r:id="rId22" location="gid=1823453752" ref="F30"/>
    <hyperlink r:id="rId23" ref="G71"/>
    <hyperlink r:id="rId24" ref="G72"/>
    <hyperlink r:id="rId25" ref="G73"/>
    <hyperlink r:id="rId26" ref="G75"/>
    <hyperlink r:id="rId27" ref="F104"/>
    <hyperlink r:id="rId28" ref="F106"/>
    <hyperlink r:id="rId29" ref="F108"/>
    <hyperlink r:id="rId30" ref="C115"/>
    <hyperlink r:id="rId31" location="heading=h.ituszj42dvh9" ref="B128"/>
    <hyperlink r:id="rId32" location="gid=1844752997" ref="B129"/>
    <hyperlink r:id="rId33" location="gid=254178766" ref="B130"/>
    <hyperlink r:id="rId34" location="gid=1038074939" ref="B131"/>
    <hyperlink r:id="rId35" location="gid=1844752997" ref="B137"/>
    <hyperlink r:id="rId36" location="gid=254178766" ref="B138"/>
  </hyperlinks>
  <drawing r:id="rId37"/>
  <legacyDrawing r:id="rId38"/>
</worksheet>
</file>