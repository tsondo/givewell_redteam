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KAT Germany" sheetId="2" r:id="rId6"/>
    <sheet state="visible" name="KAT Germany - 35%" sheetId="3" r:id="rId7"/>
    <sheet state="visible" name="RSPCA UK" sheetId="4" r:id="rId8"/>
    <sheet state="visible" name="UEP USA" sheetId="5" r:id="rId9"/>
  </sheets>
  <definedNames/>
  <calcPr/>
</workbook>
</file>

<file path=xl/sharedStrings.xml><?xml version="1.0" encoding="utf-8"?>
<sst xmlns="http://schemas.openxmlformats.org/spreadsheetml/2006/main" count="437" uniqueCount="120">
  <si>
    <t>KAT Germany</t>
  </si>
  <si>
    <t>RSPCA UK</t>
  </si>
  <si>
    <t>UEP USA</t>
  </si>
  <si>
    <t>AVG</t>
  </si>
  <si>
    <t>Discounted costs</t>
  </si>
  <si>
    <t>Discounted benefits</t>
  </si>
  <si>
    <t>SADs averted/$</t>
  </si>
  <si>
    <t>Inputs</t>
  </si>
  <si>
    <t>Expected</t>
  </si>
  <si>
    <t>Description</t>
  </si>
  <si>
    <t>Source</t>
  </si>
  <si>
    <t>Costs</t>
  </si>
  <si>
    <t>Fixed costs (Year 1)</t>
  </si>
  <si>
    <t>Held constant across all CEAs</t>
  </si>
  <si>
    <t>-</t>
  </si>
  <si>
    <t>Fixed costs (At scale)</t>
  </si>
  <si>
    <t>Variable costs - Cost of working with certifiers</t>
  </si>
  <si>
    <t>How much ALI has spent on their certifier campaigns over the last 18 months. Adjusted to reflect costs over 1 year.
+ How much OP has given to certifiers on average to get them to update their standards.</t>
  </si>
  <si>
    <r>
      <rPr>
        <color rgb="FF1155CC"/>
        <u/>
      </rPr>
      <t>https://animalcharityevaluators.org/charity-review/ciftlik-hayvanlarini-koruma-dernegi/#c2</t>
    </r>
    <r>
      <rPr/>
      <t xml:space="preserve"> 
</t>
    </r>
    <r>
      <rPr>
        <color rgb="FF1155CC"/>
        <u/>
      </rPr>
      <t>https://animalcharityevaluators.org/charity-review/shrimp-welfare-project/#c2</t>
    </r>
    <r>
      <rPr/>
      <t xml:space="preserve"> 
</t>
    </r>
    <r>
      <rPr>
        <color rgb="FF1155CC"/>
        <u/>
      </rPr>
      <t>https://animalcharityevaluators.org/charity-review/sinergia-animal/#c2</t>
    </r>
    <r>
      <rPr/>
      <t xml:space="preserve"> 
</t>
    </r>
    <r>
      <rPr>
        <color rgb="FF1155CC"/>
        <u/>
      </rPr>
      <t>https://animalcharityevaluators.org/charity-review/the-humane-league/#c2</t>
    </r>
    <r>
      <rPr/>
      <t xml:space="preserve"> 
</t>
    </r>
    <r>
      <rPr>
        <color rgb="FF1155CC"/>
        <u/>
      </rPr>
      <t>https://docs.google.com/document/d/1UHLMl1avIl7Sfxm-svVLbN_QCUdmDHzgsonIqKzN3bc/edit#heading=h.6783mx40fots</t>
    </r>
    <r>
      <rPr/>
      <t xml:space="preserve"> </t>
    </r>
  </si>
  <si>
    <t>Charity years operating</t>
  </si>
  <si>
    <t>Assume charity gives up on KAT after 3 years if not successful
If successful then runs at Year 1 levels to perform audits and undercover investigations of KAT farms</t>
  </si>
  <si>
    <t>Years until implementation</t>
  </si>
  <si>
    <t>KAT updates their certification standards every ~2 years and it was last updated in 2024. So the next round of updates would be published in 2026. This would only be 1 year after the new charity launches, so we assume that they don't impact standards until 2028 which is 3 years after the beginning of the charity.</t>
  </si>
  <si>
    <t>Benefits</t>
  </si>
  <si>
    <t>Number of layers certified by KAT (2019)</t>
  </si>
  <si>
    <t>"In 2019, around 82 million hens in barn, free-range and organic production were registered"</t>
  </si>
  <si>
    <t>https://www.was-steht-auf-dem-ei.de/en/kat-association/index.php</t>
  </si>
  <si>
    <t>Of which free range or organic</t>
  </si>
  <si>
    <t>18% free range and 10% organic</t>
  </si>
  <si>
    <t>https://www.thuenen.de/en/thuenen-topics/long-term-policy-concepts/nationale-nutztierstrategie/the-egg-of-columbus#:~:text=Most%20eggs%20are%20now%20barn,floor%20or%20free%2Drange%20husbandry.</t>
  </si>
  <si>
    <t>Likelihood of affecting all hens</t>
  </si>
  <si>
    <t>Best guess</t>
  </si>
  <si>
    <t>Likelihood just free range or organic</t>
  </si>
  <si>
    <t>Estimated number of layers affected through KAT (2019)</t>
  </si>
  <si>
    <t>Calculation</t>
  </si>
  <si>
    <t>Growth rate of egg industry</t>
  </si>
  <si>
    <t>"The Federal Statistical Office (Destatis) also reports that production increased by 1.4% compared with the previous year [2021-22]". Asusming growth rate holds.</t>
  </si>
  <si>
    <t>https://www.destatis.de/EN/Press/2023/03/PE23_104_413.html#:~:text=Increase%20in%20organic%20eggs%20of,compared%20with%20the%20previous%20year.</t>
  </si>
  <si>
    <t>Estimated number of layers affected through KAT (2025)</t>
  </si>
  <si>
    <t>Calculation of number of animals certified using growth rate of egg production in Germany</t>
  </si>
  <si>
    <t>SADs attributed to KBF in aviaries currently</t>
  </si>
  <si>
    <t>This is using Welfare Footprint's data including a prevalence of 30-100%.</t>
  </si>
  <si>
    <t>https://docs.google.com/spreadsheets/d/1DssnYoZKFSE3w_-E2PLuOImLUd56JK3JNoO6JHkmTPk/edit?gid=289821833#gid=289821833</t>
  </si>
  <si>
    <t>KBF prevelence before intervention</t>
  </si>
  <si>
    <t>KBF prevalence is 30-100%</t>
  </si>
  <si>
    <t>https://cp.pain-track.org/hens</t>
  </si>
  <si>
    <t>KBF prevelence after intervention</t>
  </si>
  <si>
    <t>Best guess on what enforcement will actually be with a target of 25%</t>
  </si>
  <si>
    <t>SADs averted per animal</t>
  </si>
  <si>
    <t>Probability of success</t>
  </si>
  <si>
    <t>We use an average of estimates here:
1. ALI's success rate
2. OpenPhil's success rate
3. Koushik's best guess of 10-15%
4. Vicky's best guess of 10%</t>
  </si>
  <si>
    <r>
      <rPr>
        <color rgb="FF000000"/>
      </rPr>
      <t xml:space="preserve">1. ALI's success rate: </t>
    </r>
    <r>
      <rPr>
        <color rgb="FF1155CC"/>
        <u/>
      </rPr>
      <t>https://docs.google.com/document/d/1cu4DKdrwczszdyVvTeC_jUgI3eXAF4Dk1ZXUSBsTYac/edit?tab=t.0#heading=h.ujzm6p1i0pzg</t>
    </r>
    <r>
      <rPr>
        <color rgb="FF000000"/>
      </rPr>
      <t xml:space="preserve"> 
2. OP's success rate: </t>
    </r>
    <r>
      <rPr>
        <color rgb="FF1155CC"/>
        <u/>
      </rPr>
      <t>https://docs.google.com/document/d/1cu4DKdrwczszdyVvTeC_jUgI3eXAF4Dk1ZXUSBsTYac/edit?tab=t.0#heading=h.6783mx40fots</t>
    </r>
    <r>
      <rPr>
        <color rgb="FF000000"/>
      </rPr>
      <t xml:space="preserve"> 
3-4. Informed best guess</t>
    </r>
  </si>
  <si>
    <t>Expected enforcement rate</t>
  </si>
  <si>
    <t>Best guess enforcement rate of 55%-70% in the UK and Germany</t>
  </si>
  <si>
    <t>https://docs.google.com/document/d/1UHLMl1avIl7Sfxm-svVLbN_QCUdmDHzgsonIqKzN3bc/edit#bookmark=id.312v09ueelbp</t>
  </si>
  <si>
    <t>Farms that drop or swap certifier instead of implementing interventions to reduce KBF</t>
  </si>
  <si>
    <t>Discount rate (Costs)</t>
  </si>
  <si>
    <t>Baseline discount rate (Benefits)</t>
  </si>
  <si>
    <t>Annual chance that this would happen without our intervention</t>
  </si>
  <si>
    <t>Best guess - I think this is quite unlikely as no one else is campaigning about KBF, but KAT standards seem quite strong so could see them adding this and there is at least one case study of a certifier having this requirement (GAP in the US)</t>
  </si>
  <si>
    <t>Total discount rate (Benefits)</t>
  </si>
  <si>
    <t>Calculation - Sum of all discount rates</t>
  </si>
  <si>
    <t>Potential negative externalities</t>
  </si>
  <si>
    <t xml:space="preserve">One potential intervention that could be implemented to reduce KBF is delaying the age at first egg (AFE) by 4-6 weeks to give the keel bone more time to fully ossify. It is unclear whether this will be good for hen welfare as it is likely that farmers will increase the length of the production cycle if delaying the age at first egg, which will mean that these animals will spend more time on farms. We assume that the production cycle will be lengthened by 4-6 weeks (the same amount of time that the age at first egg is delayed by). </t>
  </si>
  <si>
    <t>11.45472588 SADs per animal in aviary system, where 8.655792412 SADs are caused by 65% prevalence of KBF. If we reduce KBF prevalence to 25%, then total SADs will be ~6.12 SADs per animal</t>
  </si>
  <si>
    <t>Number of weeks farmed (without delayed AFE)</t>
  </si>
  <si>
    <t>Laying hens are farmed for 72 weeks</t>
  </si>
  <si>
    <t>https://www.ciwf.org.uk/media/5235024/The-life-of-laying-hens.pdf</t>
  </si>
  <si>
    <t>Number of weeks AFE is delayed</t>
  </si>
  <si>
    <t>AFE delayed by 4-6 weeks</t>
  </si>
  <si>
    <t>https://docs.google.com/document/d/1VRx3rD4-6A7Jwc3Inqn6LuAiCoPgxy2rKeocioIg5DU/edit</t>
  </si>
  <si>
    <t>% increase in production length</t>
  </si>
  <si>
    <t>Calculation: 5/72</t>
  </si>
  <si>
    <t>SADs per bird with 25% prevalence of KBF with delayed AFE</t>
  </si>
  <si>
    <t>Calculation: SADs per bird accounting for increased production length</t>
  </si>
  <si>
    <t>Additional SADs caused per bird</t>
  </si>
  <si>
    <t>Likelihood that farmers will implement this intervention</t>
  </si>
  <si>
    <t>Best guess: 5-20%</t>
  </si>
  <si>
    <t>Calculations</t>
  </si>
  <si>
    <t>Year</t>
  </si>
  <si>
    <t>Total Costs</t>
  </si>
  <si>
    <t>Total number of laying hens certified</t>
  </si>
  <si>
    <t>Total number of laying hens affected that have delayed AFE</t>
  </si>
  <si>
    <t>Additional SADs caused by delayed AFE</t>
  </si>
  <si>
    <t>Total number of SADs averted</t>
  </si>
  <si>
    <t>Results</t>
  </si>
  <si>
    <r>
      <rPr>
        <color rgb="FF1155CC"/>
        <u/>
      </rPr>
      <t>https://animalcharityevaluators.org/charity-review/ciftlik-hayvanlarini-koruma-dernegi/#c2</t>
    </r>
    <r>
      <rPr/>
      <t xml:space="preserve"> 
</t>
    </r>
    <r>
      <rPr>
        <color rgb="FF1155CC"/>
        <u/>
      </rPr>
      <t>https://animalcharityevaluators.org/charity-review/shrimp-welfare-project/#c2</t>
    </r>
    <r>
      <rPr/>
      <t xml:space="preserve"> 
</t>
    </r>
    <r>
      <rPr>
        <color rgb="FF1155CC"/>
        <u/>
      </rPr>
      <t>https://animalcharityevaluators.org/charity-review/sinergia-animal/#c2</t>
    </r>
    <r>
      <rPr/>
      <t xml:space="preserve"> 
</t>
    </r>
    <r>
      <rPr>
        <color rgb="FF1155CC"/>
        <u/>
      </rPr>
      <t>https://animalcharityevaluators.org/charity-review/the-humane-league/#c2</t>
    </r>
    <r>
      <rPr/>
      <t xml:space="preserve"> 
</t>
    </r>
    <r>
      <rPr>
        <color rgb="FF1155CC"/>
        <u/>
      </rPr>
      <t>https://docs.google.com/document/d/1UHLMl1avIl7Sfxm-svVLbN_QCUdmDHzgsonIqKzN3bc/edit#heading=h.6783mx40fots</t>
    </r>
    <r>
      <rPr/>
      <t xml:space="preserve"> </t>
    </r>
  </si>
  <si>
    <r>
      <rPr>
        <color rgb="FF000000"/>
      </rPr>
      <t xml:space="preserve">1. ALI's success rate: </t>
    </r>
    <r>
      <rPr>
        <color rgb="FF1155CC"/>
        <u/>
      </rPr>
      <t>https://docs.google.com/document/d/1cu4DKdrwczszdyVvTeC_jUgI3eXAF4Dk1ZXUSBsTYac/edit?tab=t.0#heading=h.ujzm6p1i0pzg</t>
    </r>
    <r>
      <rPr>
        <color rgb="FF000000"/>
      </rPr>
      <t xml:space="preserve"> 
2. OP's success rate: </t>
    </r>
    <r>
      <rPr>
        <color rgb="FF1155CC"/>
        <u/>
      </rPr>
      <t>https://docs.google.com/document/d/1cu4DKdrwczszdyVvTeC_jUgI3eXAF4Dk1ZXUSBsTYac/edit?tab=t.0#heading=h.6783mx40fots</t>
    </r>
    <r>
      <rPr>
        <color rgb="FF000000"/>
      </rPr>
      <t xml:space="preserve"> 
3-4. Informed best guess</t>
    </r>
  </si>
  <si>
    <r>
      <rPr>
        <color rgb="FF1155CC"/>
        <u/>
      </rPr>
      <t>https://animalcharityevaluators.org/charity-review/ciftlik-hayvanlarini-koruma-dernegi/#c2</t>
    </r>
    <r>
      <rPr/>
      <t xml:space="preserve"> 
</t>
    </r>
    <r>
      <rPr>
        <color rgb="FF1155CC"/>
        <u/>
      </rPr>
      <t>https://animalcharityevaluators.org/charity-review/shrimp-welfare-project/#c2</t>
    </r>
    <r>
      <rPr/>
      <t xml:space="preserve"> 
</t>
    </r>
    <r>
      <rPr>
        <color rgb="FF1155CC"/>
        <u/>
      </rPr>
      <t>https://animalcharityevaluators.org/charity-review/sinergia-animal/#c2</t>
    </r>
    <r>
      <rPr/>
      <t xml:space="preserve"> 
</t>
    </r>
    <r>
      <rPr>
        <color rgb="FF1155CC"/>
        <u/>
      </rPr>
      <t>https://animalcharityevaluators.org/charity-review/the-humane-league/#c2</t>
    </r>
    <r>
      <rPr/>
      <t xml:space="preserve"> 
</t>
    </r>
    <r>
      <rPr>
        <color rgb="FF1155CC"/>
        <u/>
      </rPr>
      <t>https://docs.google.com/document/d/1UHLMl1avIl7Sfxm-svVLbN_QCUdmDHzgsonIqKzN3bc/edit#heading=h.6783mx40fots</t>
    </r>
    <r>
      <rPr/>
      <t xml:space="preserve"> </t>
    </r>
  </si>
  <si>
    <t>Number of layers farmed in the UK</t>
  </si>
  <si>
    <t>"Every year in the UK, we consume over 13 billion eggs. The majority of these come from the 40.5 million egg-laying hens farmed in the UK each year."</t>
  </si>
  <si>
    <t>https://www.rspcaassured.org.uk/farmed-animal-welfare/egg-laying-hens/</t>
  </si>
  <si>
    <t>% of layers certified by RSPCA</t>
  </si>
  <si>
    <t>"51% of laying hens in the UK are RSPCA Assured"
(All RSPCA assured eggs are cage-free)</t>
  </si>
  <si>
    <t>https://www.rspcaassured.org.uk/media/plndbb1e/rspcaass_a5_annualreview22_v13d.pdf</t>
  </si>
  <si>
    <t>62% free range and 4% organic (based on Q3 2022 data)</t>
  </si>
  <si>
    <t>https://www.gov.uk/government/statistics/historical-statistic-notices-on-uk-egg-production-and-prices-2022/united-kingdom-egg-statistics-quarter-3-2022</t>
  </si>
  <si>
    <t>Estimated number of layers affected through RSPCA</t>
  </si>
  <si>
    <t>Based on growth rate of sales volume for eggs in the UK</t>
  </si>
  <si>
    <t>https://www.egginfo.co.uk/egg-facts-and-figures/industry-information/data</t>
  </si>
  <si>
    <r>
      <rPr>
        <color rgb="FF000000"/>
      </rPr>
      <t xml:space="preserve">1. ALI's success rate: </t>
    </r>
    <r>
      <rPr>
        <color rgb="FF1155CC"/>
        <u/>
      </rPr>
      <t>https://docs.google.com/document/d/1cu4DKdrwczszdyVvTeC_jUgI3eXAF4Dk1ZXUSBsTYac/edit?tab=t.0#heading=h.ujzm6p1i0pzg</t>
    </r>
    <r>
      <rPr>
        <color rgb="FF000000"/>
      </rPr>
      <t xml:space="preserve"> 
2. OP's success rate: </t>
    </r>
    <r>
      <rPr>
        <color rgb="FF1155CC"/>
        <u/>
      </rPr>
      <t>https://docs.google.com/document/d/1cu4DKdrwczszdyVvTeC_jUgI3eXAF4Dk1ZXUSBsTYac/edit?tab=t.0#heading=h.6783mx40fots</t>
    </r>
    <r>
      <rPr>
        <color rgb="FF000000"/>
      </rPr>
      <t xml:space="preserve"> 
3-4. Informed best guess</t>
    </r>
  </si>
  <si>
    <t>Best guess - I think this is quite unlikely as no one else is campaigning about KBF, and expect RSPCA standards to be less good than KAT</t>
  </si>
  <si>
    <r>
      <rPr>
        <color rgb="FF1155CC"/>
        <u/>
      </rPr>
      <t>https://animalcharityevaluators.org/charity-review/ciftlik-hayvanlarini-koruma-dernegi/#c2</t>
    </r>
    <r>
      <rPr/>
      <t xml:space="preserve"> 
</t>
    </r>
    <r>
      <rPr>
        <color rgb="FF1155CC"/>
        <u/>
      </rPr>
      <t>https://animalcharityevaluators.org/charity-review/shrimp-welfare-project/#c2</t>
    </r>
    <r>
      <rPr/>
      <t xml:space="preserve"> 
</t>
    </r>
    <r>
      <rPr>
        <color rgb="FF1155CC"/>
        <u/>
      </rPr>
      <t>https://animalcharityevaluators.org/charity-review/sinergia-animal/#c2</t>
    </r>
    <r>
      <rPr/>
      <t xml:space="preserve"> 
</t>
    </r>
    <r>
      <rPr>
        <color rgb="FF1155CC"/>
        <u/>
      </rPr>
      <t>https://animalcharityevaluators.org/charity-review/the-humane-league/#c2</t>
    </r>
    <r>
      <rPr/>
      <t xml:space="preserve"> 
</t>
    </r>
    <r>
      <rPr>
        <color rgb="FF1155CC"/>
        <u/>
      </rPr>
      <t>https://docs.google.com/document/d/1UHLMl1avIl7Sfxm-svVLbN_QCUdmDHzgsonIqKzN3bc/edit#heading=h.6783mx40fots</t>
    </r>
    <r>
      <rPr/>
      <t xml:space="preserve"> </t>
    </r>
  </si>
  <si>
    <t>Number of layers farmed in the US (2022)</t>
  </si>
  <si>
    <t>"The U.S. had 308 million commercial laying hens at the end of 2022"</t>
  </si>
  <si>
    <t>https://unitedegg.com/facts-stats/</t>
  </si>
  <si>
    <t>% cage-free in the US</t>
  </si>
  <si>
    <t>"39% of American hens... are now cage-free"</t>
  </si>
  <si>
    <t>https://farmanimalwelfare.substack.com/p/a-year-of-wins-for-farmed-animals</t>
  </si>
  <si>
    <t>% of eggs certified by UEP</t>
  </si>
  <si>
    <t>"More than 90 percent of eggs produced in the U.S. come from farms that voluntarily participate in UEP Certified, choosing to open their farms to independent auditors."</t>
  </si>
  <si>
    <t>https://www.uepcertified.com/#:~:text=UEP%20Certified%20established%20guidelines%20for,their%20farms%20to%20independent%20auditors.</t>
  </si>
  <si>
    <t>5% free range and 5.8% organic</t>
  </si>
  <si>
    <r>
      <rPr>
        <color rgb="FF1155CC"/>
        <u/>
      </rPr>
      <t>https://unitedegg.com/facts-stats/
https://www.wattagnet.com/egg/article/15676848/questions-answered-about-the-us-freerange-egg-market</t>
    </r>
    <r>
      <rPr>
        <color rgb="FF000000"/>
      </rPr>
      <t xml:space="preserve"> </t>
    </r>
  </si>
  <si>
    <t>Number of layers affected through UEP (2022)</t>
  </si>
  <si>
    <t>"U.S. table egg production totaled 92.6 billion in 2022, a 3% decrease from 2021"</t>
  </si>
  <si>
    <t>Number of layers affected through UEP (2025)</t>
  </si>
  <si>
    <r>
      <rPr>
        <color rgb="FF000000"/>
      </rPr>
      <t xml:space="preserve">1. ALI's success rate: </t>
    </r>
    <r>
      <rPr>
        <color rgb="FF1155CC"/>
        <u/>
      </rPr>
      <t>https://docs.google.com/document/d/1cu4DKdrwczszdyVvTeC_jUgI3eXAF4Dk1ZXUSBsTYac/edit?tab=t.0#heading=h.ujzm6p1i0pzg</t>
    </r>
    <r>
      <rPr>
        <color rgb="FF000000"/>
      </rPr>
      <t xml:space="preserve"> 
2. OP's success rate: </t>
    </r>
    <r>
      <rPr>
        <color rgb="FF1155CC"/>
        <u/>
      </rPr>
      <t>https://docs.google.com/document/d/1cu4DKdrwczszdyVvTeC_jUgI3eXAF4Dk1ZXUSBsTYac/edit?tab=t.0#heading=h.6783mx40fots</t>
    </r>
    <r>
      <rPr>
        <color rgb="FF000000"/>
      </rPr>
      <t xml:space="preserve"> 
3-4. Informed best guess</t>
    </r>
  </si>
  <si>
    <t>Best guess enforcement rate of 45-55% in the US</t>
  </si>
  <si>
    <t>Best guess - I think this is quite unlikely as no one else is campaigning about KBF, and expect UEP standards to be less good than KAT and RSPCA in general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</si>
</sst>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
    <numFmt numFmtId="165" formatCode="[$$]#,##0.00"/>
  </numFmts>
  <fonts count="17">
    <font>
      <sz val="10.0"/>
      <color rgb="FF000000"/>
      <name val="Arial"/>
      <scheme val="minor"/>
    </font>
    <font>
      <color theme="1"/>
      <name val="Arial"/>
      <scheme val="minor"/>
    </font>
    <font>
      <b/>
      <color theme="1"/>
      <name val="Arial"/>
      <scheme val="minor"/>
    </font>
    <font>
      <b/>
      <sz val="11.0"/>
      <color rgb="FFFFFFFF"/>
      <name val="Arial"/>
    </font>
    <font>
      <b/>
      <sz val="11.0"/>
      <color theme="1"/>
      <name val="Arial"/>
    </font>
    <font>
      <b/>
      <sz val="11.0"/>
      <color rgb="FFFF0000"/>
      <name val="Arial"/>
    </font>
    <font>
      <u/>
      <color rgb="FF0000FF"/>
    </font>
    <font>
      <color theme="1"/>
      <name val="Arial"/>
    </font>
    <font>
      <color rgb="FF000000"/>
      <name val="Arial"/>
      <scheme val="minor"/>
    </font>
    <font>
      <b/>
      <color rgb="FFFF0000"/>
      <name val="Arial"/>
      <scheme val="minor"/>
    </font>
    <font>
      <color rgb="FF000000"/>
    </font>
    <font>
      <u/>
      <color rgb="FF0000FF"/>
    </font>
    <font>
      <sz val="11.0"/>
      <color rgb="FFFF0000"/>
      <name val="Arial"/>
    </font>
    <font>
      <strike/>
      <color rgb="FFFF0000"/>
      <name val="Arial"/>
      <scheme val="minor"/>
    </font>
    <font>
      <strike/>
      <color theme="1"/>
      <name val="Arial"/>
      <scheme val="minor"/>
    </font>
    <font>
      <color rgb="FFFF0000"/>
      <name val="Arial"/>
      <scheme val="minor"/>
    </font>
    <font>
      <u/>
      <color rgb="FF1155CC"/>
      <name val="Arial"/>
    </font>
  </fonts>
  <fills count="8">
    <fill>
      <patternFill patternType="none"/>
    </fill>
    <fill>
      <patternFill patternType="lightGray"/>
    </fill>
    <fill>
      <patternFill patternType="solid">
        <fgColor rgb="FF0B5394"/>
        <bgColor rgb="FF0B5394"/>
      </patternFill>
    </fill>
    <fill>
      <patternFill patternType="solid">
        <fgColor rgb="FFEAD1DC"/>
        <bgColor rgb="FFEAD1DC"/>
      </patternFill>
    </fill>
    <fill>
      <patternFill patternType="solid">
        <fgColor rgb="FFFCE5CD"/>
        <bgColor rgb="FFFCE5CD"/>
      </patternFill>
    </fill>
    <fill>
      <patternFill patternType="solid">
        <fgColor rgb="FFFFD966"/>
        <bgColor rgb="FFFFD966"/>
      </patternFill>
    </fill>
    <fill>
      <patternFill patternType="solid">
        <fgColor rgb="FFCFE2F3"/>
        <bgColor rgb="FFCFE2F3"/>
      </patternFill>
    </fill>
    <fill>
      <patternFill patternType="solid">
        <fgColor rgb="FFC9DAF8"/>
        <bgColor rgb="FFC9DAF8"/>
      </patternFill>
    </fill>
  </fills>
  <borders count="1">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readingOrder="0"/>
    </xf>
    <xf borderId="0" fillId="0" fontId="1" numFmtId="4" xfId="0" applyFont="1" applyNumberFormat="1"/>
    <xf borderId="0" fillId="0" fontId="2" numFmtId="4" xfId="0" applyFont="1" applyNumberFormat="1"/>
    <xf borderId="0" fillId="0" fontId="2" numFmtId="0" xfId="0" applyFont="1"/>
    <xf borderId="0" fillId="2" fontId="3" numFmtId="0" xfId="0" applyAlignment="1" applyFill="1" applyFont="1">
      <alignment shrinkToFit="0" vertical="bottom" wrapText="1"/>
    </xf>
    <xf borderId="0" fillId="2" fontId="3" numFmtId="0" xfId="0" applyAlignment="1" applyFont="1">
      <alignment shrinkToFit="0" vertical="bottom" wrapText="0"/>
    </xf>
    <xf borderId="0" fillId="3" fontId="4" numFmtId="0" xfId="0" applyAlignment="1" applyFill="1" applyFont="1">
      <alignment readingOrder="0" vertical="bottom"/>
    </xf>
    <xf borderId="0" fillId="3" fontId="4" numFmtId="0" xfId="0" applyAlignment="1" applyFont="1">
      <alignment readingOrder="0" shrinkToFit="0" vertical="bottom" wrapText="0"/>
    </xf>
    <xf borderId="0" fillId="3" fontId="5" numFmtId="0" xfId="0" applyAlignment="1" applyFont="1">
      <alignment readingOrder="0" vertical="bottom"/>
    </xf>
    <xf borderId="0" fillId="4" fontId="1" numFmtId="164" xfId="0" applyAlignment="1" applyFill="1" applyFont="1" applyNumberFormat="1">
      <alignment readingOrder="0"/>
    </xf>
    <xf borderId="0" fillId="0" fontId="1" numFmtId="0" xfId="0" applyAlignment="1" applyFont="1">
      <alignment readingOrder="0" shrinkToFit="0" wrapText="0"/>
    </xf>
    <xf borderId="0" fillId="0" fontId="6" numFmtId="0" xfId="0" applyAlignment="1" applyFont="1">
      <alignment readingOrder="0" shrinkToFit="0" wrapText="0"/>
    </xf>
    <xf borderId="0" fillId="5" fontId="1" numFmtId="4" xfId="0" applyAlignment="1" applyFill="1" applyFont="1" applyNumberFormat="1">
      <alignment readingOrder="0"/>
    </xf>
    <xf borderId="0" fillId="0" fontId="1" numFmtId="0" xfId="0" applyAlignment="1" applyFont="1">
      <alignment readingOrder="0" shrinkToFit="0" wrapText="0"/>
    </xf>
    <xf borderId="0" fillId="0" fontId="7" numFmtId="0" xfId="0" applyAlignment="1" applyFont="1">
      <alignment vertical="bottom"/>
    </xf>
    <xf borderId="0" fillId="0" fontId="8" numFmtId="0" xfId="0" applyAlignment="1" applyFont="1">
      <alignment readingOrder="0" shrinkToFit="0" wrapText="0"/>
    </xf>
    <xf borderId="0" fillId="0" fontId="1" numFmtId="165" xfId="0" applyFont="1" applyNumberFormat="1"/>
    <xf borderId="0" fillId="4" fontId="1" numFmtId="3" xfId="0" applyAlignment="1" applyFont="1" applyNumberFormat="1">
      <alignment readingOrder="0"/>
    </xf>
    <xf borderId="0" fillId="0" fontId="9" numFmtId="0" xfId="0" applyAlignment="1" applyFont="1">
      <alignment readingOrder="0"/>
    </xf>
    <xf borderId="0" fillId="4" fontId="1" numFmtId="9" xfId="0" applyAlignment="1" applyFont="1" applyNumberFormat="1">
      <alignment readingOrder="0"/>
    </xf>
    <xf borderId="0" fillId="5" fontId="1" numFmtId="9" xfId="0" applyAlignment="1" applyFont="1" applyNumberFormat="1">
      <alignment readingOrder="0"/>
    </xf>
    <xf borderId="0" fillId="6" fontId="1" numFmtId="3" xfId="0" applyAlignment="1" applyFill="1" applyFont="1" applyNumberFormat="1">
      <alignment readingOrder="0"/>
    </xf>
    <xf borderId="0" fillId="4" fontId="1" numFmtId="10" xfId="0" applyAlignment="1" applyFont="1" applyNumberFormat="1">
      <alignment readingOrder="0"/>
    </xf>
    <xf borderId="0" fillId="7" fontId="1" numFmtId="3" xfId="0" applyAlignment="1" applyFill="1" applyFont="1" applyNumberFormat="1">
      <alignment readingOrder="0"/>
    </xf>
    <xf borderId="0" fillId="4" fontId="8" numFmtId="4" xfId="0" applyAlignment="1" applyFont="1" applyNumberFormat="1">
      <alignment readingOrder="0"/>
    </xf>
    <xf borderId="0" fillId="4" fontId="8" numFmtId="9" xfId="0" applyAlignment="1" applyFont="1" applyNumberFormat="1">
      <alignment readingOrder="0"/>
    </xf>
    <xf borderId="0" fillId="5" fontId="8" numFmtId="9" xfId="0" applyAlignment="1" applyFont="1" applyNumberFormat="1">
      <alignment readingOrder="0"/>
    </xf>
    <xf borderId="0" fillId="7" fontId="8" numFmtId="4" xfId="0" applyAlignment="1" applyFont="1" applyNumberFormat="1">
      <alignment readingOrder="0"/>
    </xf>
    <xf borderId="0" fillId="5" fontId="1" numFmtId="9" xfId="0" applyFont="1" applyNumberFormat="1"/>
    <xf borderId="0" fillId="0" fontId="10" numFmtId="0" xfId="0" applyAlignment="1" applyFont="1">
      <alignment readingOrder="0" shrinkToFit="0" wrapText="0"/>
    </xf>
    <xf borderId="0" fillId="5" fontId="1" numFmtId="10" xfId="0" applyAlignment="1" applyFont="1" applyNumberFormat="1">
      <alignment readingOrder="0"/>
    </xf>
    <xf borderId="0" fillId="0" fontId="1" numFmtId="0" xfId="0" applyAlignment="1" applyFont="1">
      <alignment readingOrder="0" shrinkToFit="0" wrapText="1"/>
    </xf>
    <xf borderId="0" fillId="5" fontId="8" numFmtId="10" xfId="0" applyAlignment="1" applyFont="1" applyNumberFormat="1">
      <alignment readingOrder="0"/>
    </xf>
    <xf borderId="0" fillId="7" fontId="1" numFmtId="10" xfId="0" applyAlignment="1" applyFont="1" applyNumberFormat="1">
      <alignment readingOrder="0"/>
    </xf>
    <xf borderId="0" fillId="0" fontId="1" numFmtId="10" xfId="0" applyAlignment="1" applyFont="1" applyNumberFormat="1">
      <alignment readingOrder="0"/>
    </xf>
    <xf borderId="0" fillId="4" fontId="1" numFmtId="2" xfId="0" applyAlignment="1" applyFont="1" applyNumberFormat="1">
      <alignment readingOrder="0"/>
    </xf>
    <xf borderId="0" fillId="4" fontId="1" numFmtId="4" xfId="0" applyAlignment="1" applyFont="1" applyNumberFormat="1">
      <alignment readingOrder="0"/>
    </xf>
    <xf borderId="0" fillId="0" fontId="11" numFmtId="0" xfId="0" applyAlignment="1" applyFont="1">
      <alignment readingOrder="0" shrinkToFit="0" wrapText="0"/>
    </xf>
    <xf borderId="0" fillId="7" fontId="1" numFmtId="4" xfId="0" applyAlignment="1" applyFont="1" applyNumberFormat="1">
      <alignment readingOrder="0"/>
    </xf>
    <xf borderId="0" fillId="3" fontId="12" numFmtId="0" xfId="0" applyAlignment="1" applyFont="1">
      <alignment readingOrder="0" vertical="bottom"/>
    </xf>
    <xf borderId="0" fillId="3" fontId="5" numFmtId="0" xfId="0" applyAlignment="1" applyFont="1">
      <alignment readingOrder="0" vertical="bottom"/>
    </xf>
    <xf borderId="0" fillId="3" fontId="5" numFmtId="0" xfId="0" applyAlignment="1" applyFont="1">
      <alignment horizontal="right" readingOrder="0" vertical="bottom"/>
    </xf>
    <xf borderId="0" fillId="0" fontId="8" numFmtId="0" xfId="0" applyAlignment="1" applyFont="1">
      <alignment readingOrder="0"/>
    </xf>
    <xf borderId="0" fillId="0" fontId="8" numFmtId="165" xfId="0" applyFont="1" applyNumberFormat="1"/>
    <xf borderId="0" fillId="0" fontId="8" numFmtId="165" xfId="0" applyAlignment="1" applyFont="1" applyNumberFormat="1">
      <alignment readingOrder="0"/>
    </xf>
    <xf borderId="0" fillId="0" fontId="1" numFmtId="3" xfId="0" applyAlignment="1" applyFont="1" applyNumberFormat="1">
      <alignment readingOrder="0"/>
    </xf>
    <xf borderId="0" fillId="0" fontId="1" numFmtId="3" xfId="0" applyFont="1" applyNumberFormat="1"/>
    <xf borderId="0" fillId="0" fontId="1" numFmtId="4" xfId="0" applyAlignment="1" applyFont="1" applyNumberFormat="1">
      <alignment shrinkToFit="0" wrapText="0"/>
    </xf>
    <xf borderId="0" fillId="0" fontId="1" numFmtId="0" xfId="0" applyAlignment="1" applyFont="1">
      <alignment shrinkToFit="0" wrapText="0"/>
    </xf>
    <xf borderId="0" fillId="0" fontId="13" numFmtId="0" xfId="0" applyAlignment="1" applyFont="1">
      <alignment readingOrder="0"/>
    </xf>
    <xf borderId="0" fillId="0" fontId="14" numFmtId="0" xfId="0" applyAlignment="1" applyFont="1">
      <alignment readingOrder="0"/>
    </xf>
    <xf borderId="0" fillId="4" fontId="15" numFmtId="9" xfId="0" applyAlignment="1" applyFont="1" applyNumberFormat="1">
      <alignment readingOrder="0"/>
    </xf>
    <xf borderId="0" fillId="5" fontId="15" numFmtId="9" xfId="0" applyAlignment="1" applyFont="1" applyNumberFormat="1">
      <alignment readingOrder="0"/>
    </xf>
    <xf borderId="0" fillId="0" fontId="7" numFmtId="0" xfId="0" applyAlignment="1" applyFont="1">
      <alignment vertical="bottom"/>
    </xf>
    <xf borderId="0" fillId="4" fontId="7" numFmtId="3" xfId="0" applyAlignment="1" applyFont="1" applyNumberFormat="1">
      <alignment horizontal="right" vertical="bottom"/>
    </xf>
    <xf borderId="0" fillId="0" fontId="7" numFmtId="0" xfId="0" applyAlignment="1" applyFont="1">
      <alignment shrinkToFit="0" vertical="bottom" wrapText="0"/>
    </xf>
    <xf borderId="0" fillId="0" fontId="16" numFmtId="0" xfId="0" applyAlignment="1" applyFont="1">
      <alignment vertical="bottom"/>
    </xf>
    <xf borderId="0" fillId="4" fontId="7" numFmtId="9" xfId="0" applyAlignment="1" applyFont="1" applyNumberFormat="1">
      <alignment horizontal="right" vertical="bottom"/>
    </xf>
    <xf borderId="0" fillId="4" fontId="7" numFmtId="10" xfId="0" applyAlignment="1" applyFont="1" applyNumberFormat="1">
      <alignment horizontal="right" vertical="bottom"/>
    </xf>
    <xf borderId="0" fillId="0" fontId="7" numFmtId="0" xfId="0" applyAlignment="1" applyFont="1">
      <alignment shrinkToFit="0" vertical="bottom" wrapText="1"/>
    </xf>
    <xf borderId="0" fillId="5" fontId="7" numFmtId="9" xfId="0" applyAlignment="1" applyFont="1" applyNumberFormat="1">
      <alignment horizontal="right" vertical="bottom"/>
    </xf>
    <xf borderId="0" fillId="5" fontId="7"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nimalcharityevaluators.org/charity-review/ciftlik-hayvanlarini-koruma-dernegi/" TargetMode="External"/><Relationship Id="rId2" Type="http://schemas.openxmlformats.org/officeDocument/2006/relationships/hyperlink" Target="https://www.was-steht-auf-dem-ei.de/en/kat-association/index.php" TargetMode="External"/><Relationship Id="rId3" Type="http://schemas.openxmlformats.org/officeDocument/2006/relationships/hyperlink" Target="https://www.thuenen.de/en/thuenen-topics/long-term-policy-concepts/nationale-nutztierstrategie/the-egg-of-columbus" TargetMode="External"/><Relationship Id="rId4" Type="http://schemas.openxmlformats.org/officeDocument/2006/relationships/hyperlink" Target="https://www.destatis.de/EN/Press/2023/03/PE23_104_413.html" TargetMode="External"/><Relationship Id="rId11" Type="http://schemas.openxmlformats.org/officeDocument/2006/relationships/drawing" Target="../drawings/drawing2.xml"/><Relationship Id="rId10" Type="http://schemas.openxmlformats.org/officeDocument/2006/relationships/hyperlink" Target="https://docs.google.com/document/d/1VRx3rD4-6A7Jwc3Inqn6LuAiCoPgxy2rKeocioIg5DU/edit" TargetMode="External"/><Relationship Id="rId9" Type="http://schemas.openxmlformats.org/officeDocument/2006/relationships/hyperlink" Target="https://www.ciwf.org.uk/media/5235024/The-life-of-laying-hens.pdf" TargetMode="External"/><Relationship Id="rId5" Type="http://schemas.openxmlformats.org/officeDocument/2006/relationships/hyperlink" Target="https://docs.google.com/spreadsheets/d/1DssnYoZKFSE3w_-E2PLuOImLUd56JK3JNoO6JHkmTPk/edit?gid=289821833" TargetMode="External"/><Relationship Id="rId6" Type="http://schemas.openxmlformats.org/officeDocument/2006/relationships/hyperlink" Target="https://cp.pain-track.org/hens" TargetMode="External"/><Relationship Id="rId7" Type="http://schemas.openxmlformats.org/officeDocument/2006/relationships/hyperlink" Target="https://docs.google.com/document/d/1cu4DKdrwczszdyVvTeC_jUgI3eXAF4Dk1ZXUSBsTYac/edit?tab=t.0" TargetMode="External"/><Relationship Id="rId8" Type="http://schemas.openxmlformats.org/officeDocument/2006/relationships/hyperlink" Target="https://docs.google.com/document/d/1UHLMl1avIl7Sfxm-svVLbN_QCUdmDHzgsonIqKzN3bc/edi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nimalcharityevaluators.org/charity-review/ciftlik-hayvanlarini-koruma-dernegi/" TargetMode="External"/><Relationship Id="rId2" Type="http://schemas.openxmlformats.org/officeDocument/2006/relationships/hyperlink" Target="https://www.was-steht-auf-dem-ei.de/en/kat-association/index.php" TargetMode="External"/><Relationship Id="rId3" Type="http://schemas.openxmlformats.org/officeDocument/2006/relationships/hyperlink" Target="https://www.thuenen.de/en/thuenen-topics/long-term-policy-concepts/nationale-nutztierstrategie/the-egg-of-columbus" TargetMode="External"/><Relationship Id="rId4" Type="http://schemas.openxmlformats.org/officeDocument/2006/relationships/hyperlink" Target="https://www.destatis.de/EN/Press/2023/03/PE23_104_413.html" TargetMode="External"/><Relationship Id="rId10" Type="http://schemas.openxmlformats.org/officeDocument/2006/relationships/drawing" Target="../drawings/drawing3.xml"/><Relationship Id="rId9" Type="http://schemas.openxmlformats.org/officeDocument/2006/relationships/hyperlink" Target="https://docs.google.com/document/d/1VRx3rD4-6A7Jwc3Inqn6LuAiCoPgxy2rKeocioIg5DU/edit" TargetMode="External"/><Relationship Id="rId5" Type="http://schemas.openxmlformats.org/officeDocument/2006/relationships/hyperlink" Target="https://docs.google.com/spreadsheets/d/1DssnYoZKFSE3w_-E2PLuOImLUd56JK3JNoO6JHkmTPk/edit?gid=289821833" TargetMode="External"/><Relationship Id="rId6" Type="http://schemas.openxmlformats.org/officeDocument/2006/relationships/hyperlink" Target="https://docs.google.com/document/d/1cu4DKdrwczszdyVvTeC_jUgI3eXAF4Dk1ZXUSBsTYac/edit?tab=t.0" TargetMode="External"/><Relationship Id="rId7" Type="http://schemas.openxmlformats.org/officeDocument/2006/relationships/hyperlink" Target="https://docs.google.com/document/d/1UHLMl1avIl7Sfxm-svVLbN_QCUdmDHzgsonIqKzN3bc/edit" TargetMode="External"/><Relationship Id="rId8" Type="http://schemas.openxmlformats.org/officeDocument/2006/relationships/hyperlink" Target="https://www.ciwf.org.uk/media/5235024/The-life-of-laying-hens.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nimalcharityevaluators.org/charity-review/ciftlik-hayvanlarini-koruma-dernegi/" TargetMode="External"/><Relationship Id="rId2" Type="http://schemas.openxmlformats.org/officeDocument/2006/relationships/hyperlink" Target="https://www.rspcaassured.org.uk/farmed-animal-welfare/egg-laying-hens/" TargetMode="External"/><Relationship Id="rId3" Type="http://schemas.openxmlformats.org/officeDocument/2006/relationships/hyperlink" Target="https://www.rspcaassured.org.uk/media/plndbb1e/rspcaass_a5_annualreview22_v13d.pdf" TargetMode="External"/><Relationship Id="rId4" Type="http://schemas.openxmlformats.org/officeDocument/2006/relationships/hyperlink" Target="https://www.gov.uk/government/statistics/historical-statistic-notices-on-uk-egg-production-and-prices-2022/united-kingdom-egg-statistics-quarter-3-2022" TargetMode="External"/><Relationship Id="rId11" Type="http://schemas.openxmlformats.org/officeDocument/2006/relationships/hyperlink" Target="https://docs.google.com/document/d/1VRx3rD4-6A7Jwc3Inqn6LuAiCoPgxy2rKeocioIg5DU/edit" TargetMode="External"/><Relationship Id="rId10" Type="http://schemas.openxmlformats.org/officeDocument/2006/relationships/hyperlink" Target="https://www.ciwf.org.uk/media/5235024/The-life-of-laying-hens.pdf" TargetMode="External"/><Relationship Id="rId12" Type="http://schemas.openxmlformats.org/officeDocument/2006/relationships/drawing" Target="../drawings/drawing4.xml"/><Relationship Id="rId9" Type="http://schemas.openxmlformats.org/officeDocument/2006/relationships/hyperlink" Target="https://docs.google.com/document/d/1UHLMl1avIl7Sfxm-svVLbN_QCUdmDHzgsonIqKzN3bc/edit" TargetMode="External"/><Relationship Id="rId5" Type="http://schemas.openxmlformats.org/officeDocument/2006/relationships/hyperlink" Target="https://www.egginfo.co.uk/egg-facts-and-figures/industry-information/data" TargetMode="External"/><Relationship Id="rId6" Type="http://schemas.openxmlformats.org/officeDocument/2006/relationships/hyperlink" Target="https://docs.google.com/spreadsheets/d/1DssnYoZKFSE3w_-E2PLuOImLUd56JK3JNoO6JHkmTPk/edit?gid=289821833" TargetMode="External"/><Relationship Id="rId7" Type="http://schemas.openxmlformats.org/officeDocument/2006/relationships/hyperlink" Target="https://cp.pain-track.org/hens" TargetMode="External"/><Relationship Id="rId8" Type="http://schemas.openxmlformats.org/officeDocument/2006/relationships/hyperlink" Target="https://docs.google.com/document/d/1cu4DKdrwczszdyVvTeC_jUgI3eXAF4Dk1ZXUSBsTYac/edit?tab=t.0"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www.ciwf.org.uk/media/5235024/The-life-of-laying-hens.pdf" TargetMode="External"/><Relationship Id="rId10" Type="http://schemas.openxmlformats.org/officeDocument/2006/relationships/hyperlink" Target="https://docs.google.com/document/d/1UHLMl1avIl7Sfxm-svVLbN_QCUdmDHzgsonIqKzN3bc/edit" TargetMode="External"/><Relationship Id="rId13" Type="http://schemas.openxmlformats.org/officeDocument/2006/relationships/drawing" Target="../drawings/drawing5.xml"/><Relationship Id="rId12" Type="http://schemas.openxmlformats.org/officeDocument/2006/relationships/hyperlink" Target="https://docs.google.com/document/d/1VRx3rD4-6A7Jwc3Inqn6LuAiCoPgxy2rKeocioIg5DU/edit" TargetMode="External"/><Relationship Id="rId1" Type="http://schemas.openxmlformats.org/officeDocument/2006/relationships/hyperlink" Target="https://animalcharityevaluators.org/charity-review/ciftlik-hayvanlarini-koruma-dernegi/" TargetMode="External"/><Relationship Id="rId2" Type="http://schemas.openxmlformats.org/officeDocument/2006/relationships/hyperlink" Target="https://unitedegg.com/facts-stats/" TargetMode="External"/><Relationship Id="rId3" Type="http://schemas.openxmlformats.org/officeDocument/2006/relationships/hyperlink" Target="https://farmanimalwelfare.substack.com/p/a-year-of-wins-for-farmed-animals" TargetMode="External"/><Relationship Id="rId4" Type="http://schemas.openxmlformats.org/officeDocument/2006/relationships/hyperlink" Target="https://www.uepcertified.com/" TargetMode="External"/><Relationship Id="rId9" Type="http://schemas.openxmlformats.org/officeDocument/2006/relationships/hyperlink" Target="https://docs.google.com/document/d/1cu4DKdrwczszdyVvTeC_jUgI3eXAF4Dk1ZXUSBsTYac/edit?tab=t.0" TargetMode="External"/><Relationship Id="rId5" Type="http://schemas.openxmlformats.org/officeDocument/2006/relationships/hyperlink" Target="https://unitedegg.com/facts-stats/" TargetMode="External"/><Relationship Id="rId6" Type="http://schemas.openxmlformats.org/officeDocument/2006/relationships/hyperlink" Target="https://unitedegg.com/facts-stats/" TargetMode="External"/><Relationship Id="rId7" Type="http://schemas.openxmlformats.org/officeDocument/2006/relationships/hyperlink" Target="https://docs.google.com/spreadsheets/d/1DssnYoZKFSE3w_-E2PLuOImLUd56JK3JNoO6JHkmTPk/edit?gid=289821833" TargetMode="External"/><Relationship Id="rId8" Type="http://schemas.openxmlformats.org/officeDocument/2006/relationships/hyperlink" Target="https://cp.pain-track.org/hen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0</v>
      </c>
      <c r="C2" s="1" t="s">
        <v>1</v>
      </c>
      <c r="D2" s="1" t="s">
        <v>2</v>
      </c>
      <c r="E2" s="1" t="s">
        <v>3</v>
      </c>
    </row>
    <row r="3">
      <c r="A3" s="1" t="s">
        <v>4</v>
      </c>
      <c r="B3" s="2">
        <f>'KAT Germany'!B48</f>
        <v>2242439.53</v>
      </c>
      <c r="C3" s="2">
        <f>'RSPCA UK'!B48</f>
        <v>2242439.53</v>
      </c>
      <c r="D3" s="2">
        <f>'UEP USA'!B50</f>
        <v>2242439.53</v>
      </c>
    </row>
    <row r="4">
      <c r="A4" s="1" t="s">
        <v>5</v>
      </c>
      <c r="B4" s="2">
        <f>'KAT Germany'!B49</f>
        <v>233124538.9</v>
      </c>
      <c r="C4" s="2">
        <f>'RSPCA UK'!B49</f>
        <v>81545894.17</v>
      </c>
      <c r="D4" s="2">
        <f>'UEP USA'!B51</f>
        <v>208134485.3</v>
      </c>
      <c r="E4" s="3">
        <f t="shared" ref="E4:E5" si="1">AVERAGE(B4:D4)</f>
        <v>174268306.1</v>
      </c>
    </row>
    <row r="5">
      <c r="A5" s="1" t="s">
        <v>6</v>
      </c>
      <c r="B5" s="2">
        <f>'KAT Germany'!B50</f>
        <v>103.9602343</v>
      </c>
      <c r="C5" s="2">
        <f>'RSPCA UK'!B50</f>
        <v>36.364813</v>
      </c>
      <c r="D5" s="2">
        <f>'UEP USA'!B52</f>
        <v>92.81609715</v>
      </c>
      <c r="E5" s="3">
        <f t="shared" si="1"/>
        <v>77.71371482</v>
      </c>
    </row>
    <row r="10">
      <c r="E1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0"/>
    <col customWidth="1" min="2" max="2" width="13.0"/>
    <col customWidth="1" min="3" max="4" width="14.75"/>
    <col customWidth="1" min="7" max="7" width="19.25"/>
  </cols>
  <sheetData>
    <row r="1">
      <c r="A1" s="5" t="s">
        <v>7</v>
      </c>
      <c r="B1" s="5" t="s">
        <v>8</v>
      </c>
      <c r="C1" s="5" t="s">
        <v>9</v>
      </c>
      <c r="D1" s="5"/>
      <c r="E1" s="5"/>
      <c r="F1" s="5"/>
      <c r="G1" s="6" t="s">
        <v>10</v>
      </c>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row>
    <row r="2">
      <c r="A2" s="7" t="s">
        <v>11</v>
      </c>
      <c r="B2" s="7"/>
      <c r="C2" s="7"/>
      <c r="D2" s="7"/>
      <c r="E2" s="7"/>
      <c r="F2" s="7"/>
      <c r="G2" s="8"/>
      <c r="H2" s="9"/>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row>
    <row r="3">
      <c r="A3" s="1" t="s">
        <v>12</v>
      </c>
      <c r="B3" s="10">
        <v>130000.0</v>
      </c>
      <c r="C3" s="1" t="s">
        <v>13</v>
      </c>
      <c r="G3" s="11" t="s">
        <v>14</v>
      </c>
    </row>
    <row r="4">
      <c r="A4" s="1" t="s">
        <v>15</v>
      </c>
      <c r="B4" s="10">
        <v>280000.0</v>
      </c>
      <c r="C4" s="1" t="s">
        <v>13</v>
      </c>
      <c r="G4" s="11" t="s">
        <v>14</v>
      </c>
    </row>
    <row r="5">
      <c r="A5" s="1" t="s">
        <v>16</v>
      </c>
      <c r="B5" s="10">
        <f>(89931*2/3)+AVERAGE(357000,498000,285000,435000,90554,213500,237043,300000)</f>
        <v>361966.125</v>
      </c>
      <c r="C5" s="1" t="s">
        <v>17</v>
      </c>
      <c r="G5" s="12" t="s">
        <v>18</v>
      </c>
    </row>
    <row r="6">
      <c r="A6" s="1" t="s">
        <v>19</v>
      </c>
      <c r="B6" s="13">
        <v>3.0</v>
      </c>
      <c r="C6" s="1" t="s">
        <v>20</v>
      </c>
      <c r="G6" s="14" t="s">
        <v>14</v>
      </c>
      <c r="I6" s="15"/>
    </row>
    <row r="7">
      <c r="A7" s="1" t="s">
        <v>21</v>
      </c>
      <c r="B7" s="13">
        <v>3.0</v>
      </c>
      <c r="C7" s="1" t="s">
        <v>22</v>
      </c>
      <c r="G7" s="16" t="s">
        <v>14</v>
      </c>
      <c r="I7" s="15"/>
    </row>
    <row r="8">
      <c r="A8" s="1"/>
      <c r="B8" s="17"/>
      <c r="C8" s="1"/>
      <c r="G8" s="11"/>
    </row>
    <row r="9">
      <c r="A9" s="7" t="s">
        <v>23</v>
      </c>
      <c r="B9" s="7"/>
      <c r="C9" s="7"/>
      <c r="D9" s="7"/>
      <c r="E9" s="7"/>
      <c r="F9" s="7"/>
      <c r="G9" s="8"/>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row>
    <row r="10">
      <c r="A10" s="1" t="s">
        <v>24</v>
      </c>
      <c r="B10" s="18">
        <f>82000000</f>
        <v>82000000</v>
      </c>
      <c r="C10" s="1" t="s">
        <v>25</v>
      </c>
      <c r="G10" s="12" t="s">
        <v>26</v>
      </c>
      <c r="H10" s="19"/>
    </row>
    <row r="11">
      <c r="A11" s="1" t="s">
        <v>27</v>
      </c>
      <c r="B11" s="20">
        <v>0.28</v>
      </c>
      <c r="C11" s="1" t="s">
        <v>28</v>
      </c>
      <c r="G11" s="12" t="s">
        <v>29</v>
      </c>
      <c r="H11" s="19"/>
    </row>
    <row r="12">
      <c r="A12" s="1" t="s">
        <v>30</v>
      </c>
      <c r="B12" s="21">
        <v>0.33</v>
      </c>
      <c r="C12" s="1" t="s">
        <v>31</v>
      </c>
      <c r="G12" s="14" t="s">
        <v>14</v>
      </c>
      <c r="H12" s="19"/>
    </row>
    <row r="13">
      <c r="A13" s="1" t="s">
        <v>32</v>
      </c>
      <c r="B13" s="21">
        <v>0.67</v>
      </c>
      <c r="C13" s="1" t="s">
        <v>31</v>
      </c>
      <c r="G13" s="14" t="s">
        <v>14</v>
      </c>
      <c r="H13" s="19"/>
    </row>
    <row r="14">
      <c r="A14" s="1" t="s">
        <v>33</v>
      </c>
      <c r="B14" s="22">
        <f>B10*B13*B11+B10*B12</f>
        <v>42443200</v>
      </c>
      <c r="C14" s="1" t="s">
        <v>34</v>
      </c>
      <c r="G14" s="14" t="s">
        <v>14</v>
      </c>
      <c r="H14" s="19"/>
    </row>
    <row r="15">
      <c r="A15" s="1" t="s">
        <v>35</v>
      </c>
      <c r="B15" s="23">
        <v>0.014</v>
      </c>
      <c r="C15" s="1" t="s">
        <v>36</v>
      </c>
      <c r="G15" s="12" t="s">
        <v>37</v>
      </c>
    </row>
    <row r="16">
      <c r="A16" s="1" t="s">
        <v>38</v>
      </c>
      <c r="B16" s="24">
        <f>B14*(1+B15)^6</f>
        <v>46135565.69</v>
      </c>
      <c r="C16" s="1" t="s">
        <v>39</v>
      </c>
      <c r="G16" s="14" t="s">
        <v>14</v>
      </c>
    </row>
    <row r="17">
      <c r="A17" s="1" t="s">
        <v>40</v>
      </c>
      <c r="B17" s="25">
        <v>8.655</v>
      </c>
      <c r="C17" s="1" t="s">
        <v>41</v>
      </c>
      <c r="G17" s="12" t="s">
        <v>42</v>
      </c>
      <c r="H17" s="19"/>
    </row>
    <row r="18">
      <c r="A18" s="1" t="s">
        <v>43</v>
      </c>
      <c r="B18" s="26">
        <v>0.65</v>
      </c>
      <c r="C18" s="1" t="s">
        <v>44</v>
      </c>
      <c r="G18" s="12" t="s">
        <v>45</v>
      </c>
      <c r="H18" s="19"/>
    </row>
    <row r="19">
      <c r="A19" s="1" t="s">
        <v>46</v>
      </c>
      <c r="B19" s="27">
        <v>0.4</v>
      </c>
      <c r="C19" s="1" t="s">
        <v>47</v>
      </c>
      <c r="G19" s="14" t="s">
        <v>14</v>
      </c>
      <c r="H19" s="19"/>
    </row>
    <row r="20">
      <c r="A20" s="1" t="s">
        <v>48</v>
      </c>
      <c r="B20" s="28">
        <f>B17-(B17/B18)*B19</f>
        <v>3.328846154</v>
      </c>
      <c r="C20" s="1" t="s">
        <v>34</v>
      </c>
      <c r="G20" s="14" t="s">
        <v>14</v>
      </c>
      <c r="H20" s="19"/>
    </row>
    <row r="21">
      <c r="A21" s="1" t="s">
        <v>49</v>
      </c>
      <c r="B21" s="29">
        <f>AVERAGE(5/27,7/10,10/28,3/10,3/28,2/5,2/8,2/10,0.1,0.15,0.1)</f>
        <v>0.259042809</v>
      </c>
      <c r="C21" s="1" t="s">
        <v>50</v>
      </c>
      <c r="G21" s="30" t="s">
        <v>51</v>
      </c>
    </row>
    <row r="22">
      <c r="A22" s="1" t="s">
        <v>52</v>
      </c>
      <c r="B22" s="31">
        <f>AVERAGE(55%,70%)</f>
        <v>0.625</v>
      </c>
      <c r="C22" s="1" t="s">
        <v>53</v>
      </c>
      <c r="G22" s="12" t="s">
        <v>54</v>
      </c>
    </row>
    <row r="23">
      <c r="A23" s="1" t="s">
        <v>55</v>
      </c>
      <c r="B23" s="31">
        <v>0.15</v>
      </c>
      <c r="C23" s="1" t="s">
        <v>31</v>
      </c>
      <c r="G23" s="11" t="s">
        <v>14</v>
      </c>
    </row>
    <row r="24">
      <c r="A24" s="1" t="s">
        <v>56</v>
      </c>
      <c r="B24" s="20">
        <v>0.04</v>
      </c>
      <c r="C24" s="1" t="s">
        <v>13</v>
      </c>
      <c r="G24" s="11" t="s">
        <v>14</v>
      </c>
    </row>
    <row r="25">
      <c r="A25" s="1" t="s">
        <v>57</v>
      </c>
      <c r="B25" s="23">
        <v>0.014</v>
      </c>
      <c r="C25" s="1" t="s">
        <v>13</v>
      </c>
      <c r="G25" s="11" t="s">
        <v>14</v>
      </c>
    </row>
    <row r="26">
      <c r="A26" s="32" t="s">
        <v>58</v>
      </c>
      <c r="B26" s="33">
        <v>0.07</v>
      </c>
      <c r="C26" s="1" t="s">
        <v>59</v>
      </c>
      <c r="G26" s="11" t="s">
        <v>14</v>
      </c>
      <c r="H26" s="19"/>
    </row>
    <row r="27">
      <c r="A27" s="1" t="s">
        <v>60</v>
      </c>
      <c r="B27" s="34">
        <f>SUM(B25:B26)</f>
        <v>0.084</v>
      </c>
      <c r="C27" s="1" t="s">
        <v>61</v>
      </c>
      <c r="G27" s="11" t="s">
        <v>14</v>
      </c>
    </row>
    <row r="28">
      <c r="A28" s="1"/>
      <c r="B28" s="35"/>
      <c r="C28" s="1"/>
      <c r="G28" s="11"/>
    </row>
    <row r="29">
      <c r="A29" s="7" t="s">
        <v>62</v>
      </c>
      <c r="B29" s="7"/>
      <c r="C29" s="7"/>
      <c r="D29" s="7"/>
      <c r="E29" s="7"/>
      <c r="F29" s="7"/>
      <c r="G29" s="8"/>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row>
    <row r="30">
      <c r="A30" s="32" t="s">
        <v>63</v>
      </c>
    </row>
    <row r="31">
      <c r="A31" s="1" t="str">
        <f>"SADs per bird with "&amp;B19&amp;" prevalence of KBF"</f>
        <v>SADs per bird with 0.4 prevalence of KBF</v>
      </c>
      <c r="B31" s="36">
        <f>(B17/B18)*B19</f>
        <v>5.326153846</v>
      </c>
      <c r="C31" s="1" t="s">
        <v>64</v>
      </c>
      <c r="G31" s="11"/>
    </row>
    <row r="32">
      <c r="A32" s="1" t="s">
        <v>65</v>
      </c>
      <c r="B32" s="37">
        <v>72.0</v>
      </c>
      <c r="C32" s="1" t="s">
        <v>66</v>
      </c>
      <c r="G32" s="38" t="s">
        <v>67</v>
      </c>
    </row>
    <row r="33">
      <c r="A33" s="1" t="s">
        <v>68</v>
      </c>
      <c r="B33" s="37">
        <f>AVERAGE(4,6)</f>
        <v>5</v>
      </c>
      <c r="C33" s="1" t="s">
        <v>69</v>
      </c>
      <c r="G33" s="38" t="s">
        <v>70</v>
      </c>
    </row>
    <row r="34">
      <c r="A34" s="1" t="s">
        <v>71</v>
      </c>
      <c r="B34" s="34">
        <f>B33/B32</f>
        <v>0.06944444444</v>
      </c>
      <c r="C34" s="1" t="s">
        <v>72</v>
      </c>
      <c r="G34" s="11" t="s">
        <v>14</v>
      </c>
    </row>
    <row r="35">
      <c r="A35" s="32" t="s">
        <v>73</v>
      </c>
      <c r="B35" s="39">
        <f>B31+(B31*B34)</f>
        <v>5.696025641</v>
      </c>
      <c r="C35" s="1" t="s">
        <v>74</v>
      </c>
      <c r="G35" s="11" t="s">
        <v>14</v>
      </c>
    </row>
    <row r="36">
      <c r="A36" s="1" t="s">
        <v>75</v>
      </c>
      <c r="B36" s="39">
        <f>B35-B31</f>
        <v>0.3698717949</v>
      </c>
      <c r="C36" s="1" t="s">
        <v>34</v>
      </c>
      <c r="G36" s="11" t="s">
        <v>14</v>
      </c>
    </row>
    <row r="37">
      <c r="A37" s="1" t="s">
        <v>76</v>
      </c>
      <c r="B37" s="31">
        <f>AVERAGE(5%,20%)</f>
        <v>0.125</v>
      </c>
      <c r="C37" s="1" t="s">
        <v>77</v>
      </c>
      <c r="G37" s="11" t="s">
        <v>14</v>
      </c>
      <c r="H37" s="19"/>
    </row>
    <row r="38">
      <c r="A38" s="1"/>
      <c r="B38" s="35"/>
      <c r="C38" s="1"/>
      <c r="G38" s="11"/>
    </row>
    <row r="39">
      <c r="A39" s="7" t="s">
        <v>78</v>
      </c>
      <c r="B39" s="7"/>
      <c r="C39" s="7"/>
      <c r="D39" s="7"/>
      <c r="E39" s="40"/>
      <c r="F39" s="7"/>
      <c r="G39" s="8"/>
      <c r="H39" s="9"/>
      <c r="I39" s="7"/>
      <c r="J39" s="41"/>
      <c r="K39" s="7"/>
      <c r="L39" s="7"/>
      <c r="M39" s="7"/>
      <c r="N39" s="7"/>
      <c r="O39" s="7"/>
      <c r="P39" s="42"/>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row>
    <row r="40">
      <c r="A40" s="1" t="s">
        <v>79</v>
      </c>
      <c r="B40" s="1">
        <v>1.0</v>
      </c>
      <c r="C40" s="1">
        <v>2.0</v>
      </c>
      <c r="D40" s="1">
        <v>3.0</v>
      </c>
      <c r="E40" s="1">
        <v>4.0</v>
      </c>
      <c r="F40" s="1">
        <v>5.0</v>
      </c>
      <c r="G40" s="11">
        <v>6.0</v>
      </c>
      <c r="H40" s="1">
        <v>7.0</v>
      </c>
      <c r="I40" s="1">
        <v>8.0</v>
      </c>
      <c r="J40" s="1">
        <v>9.0</v>
      </c>
      <c r="K40" s="1">
        <v>10.0</v>
      </c>
      <c r="L40" s="1">
        <v>11.0</v>
      </c>
      <c r="M40" s="1">
        <v>12.0</v>
      </c>
      <c r="N40" s="1">
        <v>13.0</v>
      </c>
      <c r="O40" s="1">
        <v>14.0</v>
      </c>
      <c r="P40" s="1">
        <v>15.0</v>
      </c>
      <c r="Q40" s="1">
        <v>16.0</v>
      </c>
      <c r="R40" s="1">
        <v>17.0</v>
      </c>
      <c r="S40" s="1">
        <v>18.0</v>
      </c>
      <c r="T40" s="1">
        <v>19.0</v>
      </c>
      <c r="U40" s="1">
        <v>20.0</v>
      </c>
      <c r="V40" s="1">
        <v>21.0</v>
      </c>
      <c r="W40" s="1">
        <v>22.0</v>
      </c>
      <c r="X40" s="1">
        <v>23.0</v>
      </c>
      <c r="Y40" s="1">
        <v>24.0</v>
      </c>
      <c r="Z40" s="1">
        <v>25.0</v>
      </c>
      <c r="AA40" s="1">
        <v>26.0</v>
      </c>
      <c r="AB40" s="1">
        <v>27.0</v>
      </c>
      <c r="AC40" s="1">
        <v>28.0</v>
      </c>
      <c r="AD40" s="1">
        <v>29.0</v>
      </c>
      <c r="AE40" s="1">
        <v>30.0</v>
      </c>
      <c r="AF40" s="1">
        <v>31.0</v>
      </c>
      <c r="AG40" s="1">
        <v>32.0</v>
      </c>
      <c r="AH40" s="1">
        <v>33.0</v>
      </c>
      <c r="AI40" s="1">
        <v>34.0</v>
      </c>
      <c r="AJ40" s="1">
        <v>35.0</v>
      </c>
      <c r="AK40" s="1">
        <v>36.0</v>
      </c>
      <c r="AL40" s="1">
        <v>37.0</v>
      </c>
      <c r="AM40" s="1">
        <v>38.0</v>
      </c>
      <c r="AN40" s="1">
        <v>39.0</v>
      </c>
      <c r="AO40" s="1">
        <v>40.0</v>
      </c>
      <c r="AP40" s="1">
        <v>41.0</v>
      </c>
      <c r="AQ40" s="1">
        <v>42.0</v>
      </c>
      <c r="AR40" s="1">
        <v>43.0</v>
      </c>
      <c r="AS40" s="1">
        <v>44.0</v>
      </c>
      <c r="AT40" s="1">
        <v>45.0</v>
      </c>
      <c r="AU40" s="1">
        <v>46.0</v>
      </c>
      <c r="AV40" s="1">
        <v>47.0</v>
      </c>
      <c r="AW40" s="1">
        <v>48.0</v>
      </c>
      <c r="AX40" s="1">
        <v>49.0</v>
      </c>
      <c r="AY40" s="1">
        <v>50.0</v>
      </c>
    </row>
    <row r="41">
      <c r="A41" s="43" t="s">
        <v>80</v>
      </c>
      <c r="B41" s="44">
        <f>B3+B5</f>
        <v>491966.125</v>
      </c>
      <c r="C41" s="44">
        <f t="shared" ref="C41:D41" si="1">$B$4+$B$5</f>
        <v>641966.125</v>
      </c>
      <c r="D41" s="44">
        <f t="shared" si="1"/>
        <v>641966.125</v>
      </c>
      <c r="E41" s="45">
        <f t="shared" ref="E41:P41" si="2">$B$4*$B$21</f>
        <v>72531.98653</v>
      </c>
      <c r="F41" s="45">
        <f t="shared" si="2"/>
        <v>72531.98653</v>
      </c>
      <c r="G41" s="45">
        <f t="shared" si="2"/>
        <v>72531.98653</v>
      </c>
      <c r="H41" s="45">
        <f t="shared" si="2"/>
        <v>72531.98653</v>
      </c>
      <c r="I41" s="45">
        <f t="shared" si="2"/>
        <v>72531.98653</v>
      </c>
      <c r="J41" s="45">
        <f t="shared" si="2"/>
        <v>72531.98653</v>
      </c>
      <c r="K41" s="45">
        <f t="shared" si="2"/>
        <v>72531.98653</v>
      </c>
      <c r="L41" s="45">
        <f t="shared" si="2"/>
        <v>72531.98653</v>
      </c>
      <c r="M41" s="45">
        <f t="shared" si="2"/>
        <v>72531.98653</v>
      </c>
      <c r="N41" s="45">
        <f t="shared" si="2"/>
        <v>72531.98653</v>
      </c>
      <c r="O41" s="45">
        <f t="shared" si="2"/>
        <v>72531.98653</v>
      </c>
      <c r="P41" s="45">
        <f t="shared" si="2"/>
        <v>72531.98653</v>
      </c>
      <c r="Q41" s="45">
        <v>0.0</v>
      </c>
      <c r="R41" s="45">
        <v>0.0</v>
      </c>
      <c r="S41" s="45">
        <v>0.0</v>
      </c>
      <c r="T41" s="45">
        <v>0.0</v>
      </c>
      <c r="U41" s="45">
        <v>0.0</v>
      </c>
      <c r="V41" s="45">
        <v>0.0</v>
      </c>
      <c r="W41" s="45">
        <v>0.0</v>
      </c>
      <c r="X41" s="45">
        <v>0.0</v>
      </c>
      <c r="Y41" s="45">
        <v>0.0</v>
      </c>
      <c r="Z41" s="45">
        <v>0.0</v>
      </c>
      <c r="AA41" s="45">
        <v>0.0</v>
      </c>
      <c r="AB41" s="45">
        <v>0.0</v>
      </c>
      <c r="AC41" s="45">
        <v>0.0</v>
      </c>
      <c r="AD41" s="45">
        <v>0.0</v>
      </c>
      <c r="AE41" s="45">
        <v>0.0</v>
      </c>
      <c r="AF41" s="45">
        <v>0.0</v>
      </c>
      <c r="AG41" s="45">
        <v>0.0</v>
      </c>
      <c r="AH41" s="45">
        <v>0.0</v>
      </c>
      <c r="AI41" s="45">
        <v>0.0</v>
      </c>
      <c r="AJ41" s="45">
        <v>0.0</v>
      </c>
      <c r="AK41" s="45">
        <v>0.0</v>
      </c>
      <c r="AL41" s="45">
        <v>0.0</v>
      </c>
      <c r="AM41" s="45">
        <v>0.0</v>
      </c>
      <c r="AN41" s="45">
        <v>0.0</v>
      </c>
      <c r="AO41" s="45">
        <v>0.0</v>
      </c>
      <c r="AP41" s="45">
        <v>0.0</v>
      </c>
      <c r="AQ41" s="45">
        <v>0.0</v>
      </c>
      <c r="AR41" s="45">
        <v>0.0</v>
      </c>
      <c r="AS41" s="45">
        <v>0.0</v>
      </c>
      <c r="AT41" s="45">
        <v>0.0</v>
      </c>
      <c r="AU41" s="45">
        <v>0.0</v>
      </c>
      <c r="AV41" s="45">
        <v>0.0</v>
      </c>
      <c r="AW41" s="45">
        <v>0.0</v>
      </c>
      <c r="AX41" s="45">
        <v>0.0</v>
      </c>
      <c r="AY41" s="45">
        <v>0.0</v>
      </c>
    </row>
    <row r="42">
      <c r="A42" s="32" t="s">
        <v>81</v>
      </c>
      <c r="B42" s="46">
        <f>B16</f>
        <v>46135565.69</v>
      </c>
      <c r="C42" s="46">
        <f t="shared" ref="C42:AY42" si="3">B42*(1+$B$15)</f>
        <v>46781463.61</v>
      </c>
      <c r="D42" s="46">
        <f t="shared" si="3"/>
        <v>47436404.1</v>
      </c>
      <c r="E42" s="46">
        <f t="shared" si="3"/>
        <v>48100513.75</v>
      </c>
      <c r="F42" s="46">
        <f t="shared" si="3"/>
        <v>48773920.95</v>
      </c>
      <c r="G42" s="46">
        <f t="shared" si="3"/>
        <v>49456755.84</v>
      </c>
      <c r="H42" s="46">
        <f t="shared" si="3"/>
        <v>50149150.42</v>
      </c>
      <c r="I42" s="46">
        <f t="shared" si="3"/>
        <v>50851238.53</v>
      </c>
      <c r="J42" s="46">
        <f t="shared" si="3"/>
        <v>51563155.87</v>
      </c>
      <c r="K42" s="46">
        <f t="shared" si="3"/>
        <v>52285040.05</v>
      </c>
      <c r="L42" s="46">
        <f t="shared" si="3"/>
        <v>53017030.61</v>
      </c>
      <c r="M42" s="46">
        <f t="shared" si="3"/>
        <v>53759269.04</v>
      </c>
      <c r="N42" s="46">
        <f t="shared" si="3"/>
        <v>54511898.8</v>
      </c>
      <c r="O42" s="46">
        <f t="shared" si="3"/>
        <v>55275065.39</v>
      </c>
      <c r="P42" s="46">
        <f t="shared" si="3"/>
        <v>56048916.3</v>
      </c>
      <c r="Q42" s="46">
        <f t="shared" si="3"/>
        <v>56833601.13</v>
      </c>
      <c r="R42" s="46">
        <f t="shared" si="3"/>
        <v>57629271.55</v>
      </c>
      <c r="S42" s="46">
        <f t="shared" si="3"/>
        <v>58436081.35</v>
      </c>
      <c r="T42" s="46">
        <f t="shared" si="3"/>
        <v>59254186.49</v>
      </c>
      <c r="U42" s="46">
        <f t="shared" si="3"/>
        <v>60083745.1</v>
      </c>
      <c r="V42" s="46">
        <f t="shared" si="3"/>
        <v>60924917.53</v>
      </c>
      <c r="W42" s="46">
        <f t="shared" si="3"/>
        <v>61777866.37</v>
      </c>
      <c r="X42" s="46">
        <f t="shared" si="3"/>
        <v>62642756.5</v>
      </c>
      <c r="Y42" s="46">
        <f t="shared" si="3"/>
        <v>63519755.09</v>
      </c>
      <c r="Z42" s="46">
        <f t="shared" si="3"/>
        <v>64409031.67</v>
      </c>
      <c r="AA42" s="46">
        <f t="shared" si="3"/>
        <v>65310758.11</v>
      </c>
      <c r="AB42" s="46">
        <f t="shared" si="3"/>
        <v>66225108.72</v>
      </c>
      <c r="AC42" s="46">
        <f t="shared" si="3"/>
        <v>67152260.25</v>
      </c>
      <c r="AD42" s="46">
        <f t="shared" si="3"/>
        <v>68092391.89</v>
      </c>
      <c r="AE42" s="46">
        <f t="shared" si="3"/>
        <v>69045685.37</v>
      </c>
      <c r="AF42" s="46">
        <f t="shared" si="3"/>
        <v>70012324.97</v>
      </c>
      <c r="AG42" s="46">
        <f t="shared" si="3"/>
        <v>70992497.52</v>
      </c>
      <c r="AH42" s="46">
        <f t="shared" si="3"/>
        <v>71986392.48</v>
      </c>
      <c r="AI42" s="46">
        <f t="shared" si="3"/>
        <v>72994201.98</v>
      </c>
      <c r="AJ42" s="46">
        <f t="shared" si="3"/>
        <v>74016120.81</v>
      </c>
      <c r="AK42" s="46">
        <f t="shared" si="3"/>
        <v>75052346.5</v>
      </c>
      <c r="AL42" s="46">
        <f t="shared" si="3"/>
        <v>76103079.35</v>
      </c>
      <c r="AM42" s="46">
        <f t="shared" si="3"/>
        <v>77168522.46</v>
      </c>
      <c r="AN42" s="46">
        <f t="shared" si="3"/>
        <v>78248881.78</v>
      </c>
      <c r="AO42" s="46">
        <f t="shared" si="3"/>
        <v>79344366.12</v>
      </c>
      <c r="AP42" s="46">
        <f t="shared" si="3"/>
        <v>80455187.25</v>
      </c>
      <c r="AQ42" s="46">
        <f t="shared" si="3"/>
        <v>81581559.87</v>
      </c>
      <c r="AR42" s="46">
        <f t="shared" si="3"/>
        <v>82723701.71</v>
      </c>
      <c r="AS42" s="46">
        <f t="shared" si="3"/>
        <v>83881833.53</v>
      </c>
      <c r="AT42" s="46">
        <f t="shared" si="3"/>
        <v>85056179.2</v>
      </c>
      <c r="AU42" s="46">
        <f t="shared" si="3"/>
        <v>86246965.71</v>
      </c>
      <c r="AV42" s="46">
        <f t="shared" si="3"/>
        <v>87454423.23</v>
      </c>
      <c r="AW42" s="46">
        <f t="shared" si="3"/>
        <v>88678785.15</v>
      </c>
      <c r="AX42" s="46">
        <f t="shared" si="3"/>
        <v>89920288.14</v>
      </c>
      <c r="AY42" s="46">
        <f t="shared" si="3"/>
        <v>91179172.18</v>
      </c>
    </row>
    <row r="43">
      <c r="A43" s="32" t="s">
        <v>82</v>
      </c>
      <c r="B43" s="46">
        <f t="shared" ref="B43:AY43" si="4">B42*$B$21*$B$22*$B$37*(1-$B$23)</f>
        <v>793626.84</v>
      </c>
      <c r="C43" s="46">
        <f t="shared" si="4"/>
        <v>804737.6158</v>
      </c>
      <c r="D43" s="46">
        <f t="shared" si="4"/>
        <v>816003.9424</v>
      </c>
      <c r="E43" s="46">
        <f t="shared" si="4"/>
        <v>827427.9976</v>
      </c>
      <c r="F43" s="46">
        <f t="shared" si="4"/>
        <v>839011.9896</v>
      </c>
      <c r="G43" s="46">
        <f t="shared" si="4"/>
        <v>850758.1574</v>
      </c>
      <c r="H43" s="46">
        <f t="shared" si="4"/>
        <v>862668.7716</v>
      </c>
      <c r="I43" s="46">
        <f t="shared" si="4"/>
        <v>874746.1344</v>
      </c>
      <c r="J43" s="46">
        <f t="shared" si="4"/>
        <v>886992.5803</v>
      </c>
      <c r="K43" s="46">
        <f t="shared" si="4"/>
        <v>899410.4764</v>
      </c>
      <c r="L43" s="46">
        <f t="shared" si="4"/>
        <v>912002.2231</v>
      </c>
      <c r="M43" s="46">
        <f t="shared" si="4"/>
        <v>924770.2542</v>
      </c>
      <c r="N43" s="46">
        <f t="shared" si="4"/>
        <v>937717.0378</v>
      </c>
      <c r="O43" s="46">
        <f t="shared" si="4"/>
        <v>950845.0763</v>
      </c>
      <c r="P43" s="46">
        <f t="shared" si="4"/>
        <v>964156.9074</v>
      </c>
      <c r="Q43" s="46">
        <f t="shared" si="4"/>
        <v>977655.1041</v>
      </c>
      <c r="R43" s="46">
        <f t="shared" si="4"/>
        <v>991342.2755</v>
      </c>
      <c r="S43" s="46">
        <f t="shared" si="4"/>
        <v>1005221.067</v>
      </c>
      <c r="T43" s="46">
        <f t="shared" si="4"/>
        <v>1019294.162</v>
      </c>
      <c r="U43" s="46">
        <f t="shared" si="4"/>
        <v>1033564.281</v>
      </c>
      <c r="V43" s="46">
        <f t="shared" si="4"/>
        <v>1048034.181</v>
      </c>
      <c r="W43" s="46">
        <f t="shared" si="4"/>
        <v>1062706.659</v>
      </c>
      <c r="X43" s="46">
        <f t="shared" si="4"/>
        <v>1077584.552</v>
      </c>
      <c r="Y43" s="46">
        <f t="shared" si="4"/>
        <v>1092670.736</v>
      </c>
      <c r="Z43" s="46">
        <f t="shared" si="4"/>
        <v>1107968.126</v>
      </c>
      <c r="AA43" s="46">
        <f t="shared" si="4"/>
        <v>1123479.68</v>
      </c>
      <c r="AB43" s="46">
        <f t="shared" si="4"/>
        <v>1139208.396</v>
      </c>
      <c r="AC43" s="46">
        <f t="shared" si="4"/>
        <v>1155157.313</v>
      </c>
      <c r="AD43" s="46">
        <f t="shared" si="4"/>
        <v>1171329.516</v>
      </c>
      <c r="AE43" s="46">
        <f t="shared" si="4"/>
        <v>1187728.129</v>
      </c>
      <c r="AF43" s="46">
        <f t="shared" si="4"/>
        <v>1204356.323</v>
      </c>
      <c r="AG43" s="46">
        <f t="shared" si="4"/>
        <v>1221217.311</v>
      </c>
      <c r="AH43" s="46">
        <f t="shared" si="4"/>
        <v>1238314.353</v>
      </c>
      <c r="AI43" s="46">
        <f t="shared" si="4"/>
        <v>1255650.754</v>
      </c>
      <c r="AJ43" s="46">
        <f t="shared" si="4"/>
        <v>1273229.865</v>
      </c>
      <c r="AK43" s="46">
        <f t="shared" si="4"/>
        <v>1291055.083</v>
      </c>
      <c r="AL43" s="46">
        <f t="shared" si="4"/>
        <v>1309129.854</v>
      </c>
      <c r="AM43" s="46">
        <f t="shared" si="4"/>
        <v>1327457.672</v>
      </c>
      <c r="AN43" s="46">
        <f t="shared" si="4"/>
        <v>1346042.08</v>
      </c>
      <c r="AO43" s="46">
        <f t="shared" si="4"/>
        <v>1364886.669</v>
      </c>
      <c r="AP43" s="46">
        <f t="shared" si="4"/>
        <v>1383995.082</v>
      </c>
      <c r="AQ43" s="46">
        <f t="shared" si="4"/>
        <v>1403371.013</v>
      </c>
      <c r="AR43" s="46">
        <f t="shared" si="4"/>
        <v>1423018.207</v>
      </c>
      <c r="AS43" s="46">
        <f t="shared" si="4"/>
        <v>1442940.462</v>
      </c>
      <c r="AT43" s="46">
        <f t="shared" si="4"/>
        <v>1463141.629</v>
      </c>
      <c r="AU43" s="46">
        <f t="shared" si="4"/>
        <v>1483625.612</v>
      </c>
      <c r="AV43" s="46">
        <f t="shared" si="4"/>
        <v>1504396.37</v>
      </c>
      <c r="AW43" s="46">
        <f t="shared" si="4"/>
        <v>1525457.919</v>
      </c>
      <c r="AX43" s="46">
        <f t="shared" si="4"/>
        <v>1546814.33</v>
      </c>
      <c r="AY43" s="46">
        <f t="shared" si="4"/>
        <v>1568469.731</v>
      </c>
    </row>
    <row r="44">
      <c r="A44" s="32" t="s">
        <v>83</v>
      </c>
      <c r="B44" s="46">
        <f t="shared" ref="B44:AY44" si="5">B43*$B$36</f>
        <v>293540.1838</v>
      </c>
      <c r="C44" s="46">
        <f t="shared" si="5"/>
        <v>297649.7463</v>
      </c>
      <c r="D44" s="46">
        <f t="shared" si="5"/>
        <v>301816.8428</v>
      </c>
      <c r="E44" s="46">
        <f t="shared" si="5"/>
        <v>306042.2786</v>
      </c>
      <c r="F44" s="46">
        <f t="shared" si="5"/>
        <v>310326.8705</v>
      </c>
      <c r="G44" s="46">
        <f t="shared" si="5"/>
        <v>314671.4467</v>
      </c>
      <c r="H44" s="46">
        <f t="shared" si="5"/>
        <v>319076.8469</v>
      </c>
      <c r="I44" s="46">
        <f t="shared" si="5"/>
        <v>323543.9228</v>
      </c>
      <c r="J44" s="46">
        <f t="shared" si="5"/>
        <v>328073.5377</v>
      </c>
      <c r="K44" s="46">
        <f t="shared" si="5"/>
        <v>332666.5672</v>
      </c>
      <c r="L44" s="46">
        <f t="shared" si="5"/>
        <v>337323.8992</v>
      </c>
      <c r="M44" s="46">
        <f t="shared" si="5"/>
        <v>342046.4338</v>
      </c>
      <c r="N44" s="46">
        <f t="shared" si="5"/>
        <v>346835.0838</v>
      </c>
      <c r="O44" s="46">
        <f t="shared" si="5"/>
        <v>351690.775</v>
      </c>
      <c r="P44" s="46">
        <f t="shared" si="5"/>
        <v>356614.4459</v>
      </c>
      <c r="Q44" s="46">
        <f t="shared" si="5"/>
        <v>361607.0481</v>
      </c>
      <c r="R44" s="46">
        <f t="shared" si="5"/>
        <v>366669.5468</v>
      </c>
      <c r="S44" s="46">
        <f t="shared" si="5"/>
        <v>371802.9204</v>
      </c>
      <c r="T44" s="46">
        <f t="shared" si="5"/>
        <v>377008.1613</v>
      </c>
      <c r="U44" s="46">
        <f t="shared" si="5"/>
        <v>382286.2756</v>
      </c>
      <c r="V44" s="46">
        <f t="shared" si="5"/>
        <v>387638.2834</v>
      </c>
      <c r="W44" s="46">
        <f t="shared" si="5"/>
        <v>393065.2194</v>
      </c>
      <c r="X44" s="46">
        <f t="shared" si="5"/>
        <v>398568.1325</v>
      </c>
      <c r="Y44" s="46">
        <f t="shared" si="5"/>
        <v>404148.0863</v>
      </c>
      <c r="Z44" s="46">
        <f t="shared" si="5"/>
        <v>409806.1595</v>
      </c>
      <c r="AA44" s="46">
        <f t="shared" si="5"/>
        <v>415543.4458</v>
      </c>
      <c r="AB44" s="46">
        <f t="shared" si="5"/>
        <v>421361.054</v>
      </c>
      <c r="AC44" s="46">
        <f t="shared" si="5"/>
        <v>427260.1088</v>
      </c>
      <c r="AD44" s="46">
        <f t="shared" si="5"/>
        <v>433241.7503</v>
      </c>
      <c r="AE44" s="46">
        <f t="shared" si="5"/>
        <v>439307.1348</v>
      </c>
      <c r="AF44" s="46">
        <f t="shared" si="5"/>
        <v>445457.4347</v>
      </c>
      <c r="AG44" s="46">
        <f t="shared" si="5"/>
        <v>451693.8388</v>
      </c>
      <c r="AH44" s="46">
        <f t="shared" si="5"/>
        <v>458017.5525</v>
      </c>
      <c r="AI44" s="46">
        <f t="shared" si="5"/>
        <v>464429.7983</v>
      </c>
      <c r="AJ44" s="46">
        <f t="shared" si="5"/>
        <v>470931.8154</v>
      </c>
      <c r="AK44" s="46">
        <f t="shared" si="5"/>
        <v>477524.8608</v>
      </c>
      <c r="AL44" s="46">
        <f t="shared" si="5"/>
        <v>484210.2089</v>
      </c>
      <c r="AM44" s="46">
        <f t="shared" si="5"/>
        <v>490989.1518</v>
      </c>
      <c r="AN44" s="46">
        <f t="shared" si="5"/>
        <v>497862.9999</v>
      </c>
      <c r="AO44" s="46">
        <f t="shared" si="5"/>
        <v>504833.0819</v>
      </c>
      <c r="AP44" s="46">
        <f t="shared" si="5"/>
        <v>511900.7451</v>
      </c>
      <c r="AQ44" s="46">
        <f t="shared" si="5"/>
        <v>519067.3555</v>
      </c>
      <c r="AR44" s="46">
        <f t="shared" si="5"/>
        <v>526334.2985</v>
      </c>
      <c r="AS44" s="46">
        <f t="shared" si="5"/>
        <v>533702.9787</v>
      </c>
      <c r="AT44" s="46">
        <f t="shared" si="5"/>
        <v>541174.8204</v>
      </c>
      <c r="AU44" s="46">
        <f t="shared" si="5"/>
        <v>548751.2679</v>
      </c>
      <c r="AV44" s="46">
        <f t="shared" si="5"/>
        <v>556433.7856</v>
      </c>
      <c r="AW44" s="46">
        <f t="shared" si="5"/>
        <v>564223.8586</v>
      </c>
      <c r="AX44" s="46">
        <f t="shared" si="5"/>
        <v>572122.9926</v>
      </c>
      <c r="AY44" s="46">
        <f t="shared" si="5"/>
        <v>580132.7145</v>
      </c>
    </row>
    <row r="45">
      <c r="A45" s="1" t="s">
        <v>84</v>
      </c>
      <c r="B45" s="46">
        <v>0.0</v>
      </c>
      <c r="C45" s="46">
        <v>0.0</v>
      </c>
      <c r="D45" s="46">
        <v>0.0</v>
      </c>
      <c r="E45" s="47">
        <f t="shared" ref="E45:AY45" si="6">(E42*$B$20*$B$21*$B$22)*(1-$B$23)-E44</f>
        <v>21729001.78</v>
      </c>
      <c r="F45" s="47">
        <f t="shared" si="6"/>
        <v>22033207.81</v>
      </c>
      <c r="G45" s="47">
        <f t="shared" si="6"/>
        <v>22341672.71</v>
      </c>
      <c r="H45" s="47">
        <f t="shared" si="6"/>
        <v>22654456.13</v>
      </c>
      <c r="I45" s="47">
        <f t="shared" si="6"/>
        <v>22971618.52</v>
      </c>
      <c r="J45" s="47">
        <f t="shared" si="6"/>
        <v>23293221.18</v>
      </c>
      <c r="K45" s="47">
        <f t="shared" si="6"/>
        <v>23619326.27</v>
      </c>
      <c r="L45" s="47">
        <f t="shared" si="6"/>
        <v>23949996.84</v>
      </c>
      <c r="M45" s="47">
        <f t="shared" si="6"/>
        <v>24285296.8</v>
      </c>
      <c r="N45" s="47">
        <f t="shared" si="6"/>
        <v>24625290.95</v>
      </c>
      <c r="O45" s="47">
        <f t="shared" si="6"/>
        <v>24970045.03</v>
      </c>
      <c r="P45" s="47">
        <f t="shared" si="6"/>
        <v>25319625.66</v>
      </c>
      <c r="Q45" s="47">
        <f t="shared" si="6"/>
        <v>25674100.42</v>
      </c>
      <c r="R45" s="47">
        <f t="shared" si="6"/>
        <v>26033537.82</v>
      </c>
      <c r="S45" s="47">
        <f t="shared" si="6"/>
        <v>26398007.35</v>
      </c>
      <c r="T45" s="47">
        <f t="shared" si="6"/>
        <v>26767579.45</v>
      </c>
      <c r="U45" s="47">
        <f t="shared" si="6"/>
        <v>27142325.57</v>
      </c>
      <c r="V45" s="47">
        <f t="shared" si="6"/>
        <v>27522318.12</v>
      </c>
      <c r="W45" s="47">
        <f t="shared" si="6"/>
        <v>27907630.58</v>
      </c>
      <c r="X45" s="47">
        <f t="shared" si="6"/>
        <v>28298337.41</v>
      </c>
      <c r="Y45" s="47">
        <f t="shared" si="6"/>
        <v>28694514.13</v>
      </c>
      <c r="Z45" s="47">
        <f t="shared" si="6"/>
        <v>29096237.33</v>
      </c>
      <c r="AA45" s="47">
        <f t="shared" si="6"/>
        <v>29503584.65</v>
      </c>
      <c r="AB45" s="47">
        <f t="shared" si="6"/>
        <v>29916634.84</v>
      </c>
      <c r="AC45" s="47">
        <f t="shared" si="6"/>
        <v>30335467.72</v>
      </c>
      <c r="AD45" s="47">
        <f t="shared" si="6"/>
        <v>30760164.27</v>
      </c>
      <c r="AE45" s="47">
        <f t="shared" si="6"/>
        <v>31190806.57</v>
      </c>
      <c r="AF45" s="47">
        <f t="shared" si="6"/>
        <v>31627477.86</v>
      </c>
      <c r="AG45" s="47">
        <f t="shared" si="6"/>
        <v>32070262.55</v>
      </c>
      <c r="AH45" s="47">
        <f t="shared" si="6"/>
        <v>32519246.23</v>
      </c>
      <c r="AI45" s="47">
        <f t="shared" si="6"/>
        <v>32974515.68</v>
      </c>
      <c r="AJ45" s="47">
        <f t="shared" si="6"/>
        <v>33436158.9</v>
      </c>
      <c r="AK45" s="47">
        <f t="shared" si="6"/>
        <v>33904265.12</v>
      </c>
      <c r="AL45" s="47">
        <f t="shared" si="6"/>
        <v>34378924.83</v>
      </c>
      <c r="AM45" s="47">
        <f t="shared" si="6"/>
        <v>34860229.78</v>
      </c>
      <c r="AN45" s="47">
        <f t="shared" si="6"/>
        <v>35348273</v>
      </c>
      <c r="AO45" s="47">
        <f t="shared" si="6"/>
        <v>35843148.82</v>
      </c>
      <c r="AP45" s="47">
        <f t="shared" si="6"/>
        <v>36344952.9</v>
      </c>
      <c r="AQ45" s="47">
        <f t="shared" si="6"/>
        <v>36853782.24</v>
      </c>
      <c r="AR45" s="47">
        <f t="shared" si="6"/>
        <v>37369735.19</v>
      </c>
      <c r="AS45" s="47">
        <f t="shared" si="6"/>
        <v>37892911.49</v>
      </c>
      <c r="AT45" s="47">
        <f t="shared" si="6"/>
        <v>38423412.25</v>
      </c>
      <c r="AU45" s="47">
        <f t="shared" si="6"/>
        <v>38961340.02</v>
      </c>
      <c r="AV45" s="47">
        <f t="shared" si="6"/>
        <v>39506798.78</v>
      </c>
      <c r="AW45" s="47">
        <f t="shared" si="6"/>
        <v>40059893.96</v>
      </c>
      <c r="AX45" s="47">
        <f t="shared" si="6"/>
        <v>40620732.48</v>
      </c>
      <c r="AY45" s="47">
        <f t="shared" si="6"/>
        <v>41189422.73</v>
      </c>
    </row>
    <row r="46">
      <c r="A46" s="1"/>
      <c r="B46" s="2"/>
      <c r="C46" s="2"/>
      <c r="D46" s="2"/>
      <c r="E46" s="2"/>
      <c r="F46" s="2"/>
      <c r="G46" s="48"/>
      <c r="H46" s="2"/>
      <c r="I46" s="2"/>
      <c r="J46" s="2"/>
      <c r="K46" s="2"/>
    </row>
    <row r="47">
      <c r="A47" s="7" t="s">
        <v>85</v>
      </c>
      <c r="B47" s="7"/>
      <c r="C47" s="7"/>
      <c r="D47" s="7"/>
      <c r="E47" s="7"/>
      <c r="F47" s="7"/>
      <c r="G47" s="8"/>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row>
    <row r="48">
      <c r="A48" s="1" t="s">
        <v>4</v>
      </c>
      <c r="B48" s="2">
        <f t="array" ref="B48">NPV(B24,41:41)</f>
        <v>2242439.53</v>
      </c>
      <c r="G48" s="49"/>
      <c r="J48" s="50"/>
      <c r="K48" s="51"/>
    </row>
    <row r="49">
      <c r="A49" s="1" t="s">
        <v>5</v>
      </c>
      <c r="B49" s="2">
        <f t="array" ref="B49">NPV(B27,45:45)</f>
        <v>233124538.9</v>
      </c>
      <c r="G49" s="49"/>
    </row>
    <row r="50">
      <c r="A50" s="1" t="s">
        <v>6</v>
      </c>
      <c r="B50" s="2">
        <f>B49/B48</f>
        <v>103.9602343</v>
      </c>
      <c r="G50" s="49"/>
    </row>
    <row r="51">
      <c r="G51" s="49"/>
    </row>
    <row r="52">
      <c r="G52" s="49"/>
    </row>
    <row r="53">
      <c r="G53" s="49"/>
    </row>
    <row r="54">
      <c r="G54" s="49"/>
    </row>
    <row r="55">
      <c r="G55" s="49"/>
    </row>
    <row r="56">
      <c r="G56" s="49"/>
    </row>
    <row r="57">
      <c r="G57" s="49"/>
    </row>
    <row r="58">
      <c r="G58" s="49"/>
    </row>
    <row r="59">
      <c r="G59" s="49"/>
    </row>
    <row r="60">
      <c r="G60" s="49"/>
    </row>
    <row r="61">
      <c r="G61" s="49"/>
    </row>
    <row r="62">
      <c r="G62" s="49"/>
    </row>
    <row r="63">
      <c r="G63" s="49"/>
    </row>
    <row r="64">
      <c r="G64" s="49"/>
    </row>
    <row r="65">
      <c r="G65" s="49"/>
    </row>
    <row r="66">
      <c r="G66" s="49"/>
    </row>
    <row r="67">
      <c r="G67" s="49"/>
    </row>
    <row r="68">
      <c r="G68" s="49"/>
    </row>
    <row r="69">
      <c r="G69" s="49"/>
    </row>
    <row r="70">
      <c r="G70" s="49"/>
    </row>
    <row r="71">
      <c r="G71" s="49"/>
    </row>
    <row r="72">
      <c r="G72" s="49"/>
    </row>
    <row r="73">
      <c r="G73" s="49"/>
    </row>
    <row r="74">
      <c r="G74" s="49"/>
    </row>
    <row r="75">
      <c r="G75" s="49"/>
    </row>
    <row r="76">
      <c r="G76" s="49"/>
    </row>
    <row r="77">
      <c r="G77" s="49"/>
    </row>
    <row r="78">
      <c r="G78" s="49"/>
    </row>
    <row r="79">
      <c r="G79" s="49"/>
    </row>
    <row r="80">
      <c r="G80" s="49"/>
    </row>
    <row r="81">
      <c r="G81" s="49"/>
    </row>
    <row r="82">
      <c r="G82" s="49"/>
    </row>
    <row r="83">
      <c r="G83" s="49"/>
    </row>
    <row r="84">
      <c r="G84" s="49"/>
    </row>
    <row r="85">
      <c r="G85" s="49"/>
    </row>
    <row r="86">
      <c r="G86" s="49"/>
    </row>
    <row r="87">
      <c r="G87" s="49"/>
    </row>
    <row r="88">
      <c r="G88" s="49"/>
    </row>
    <row r="89">
      <c r="G89" s="49"/>
    </row>
    <row r="90">
      <c r="G90" s="49"/>
    </row>
    <row r="91">
      <c r="G91" s="49"/>
    </row>
    <row r="92">
      <c r="G92" s="49"/>
    </row>
    <row r="93">
      <c r="G93" s="49"/>
    </row>
    <row r="94">
      <c r="G94" s="49"/>
    </row>
    <row r="95">
      <c r="G95" s="49"/>
    </row>
    <row r="96">
      <c r="G96" s="49"/>
    </row>
    <row r="97">
      <c r="G97" s="49"/>
    </row>
    <row r="98">
      <c r="G98" s="49"/>
    </row>
    <row r="99">
      <c r="G99" s="49"/>
    </row>
    <row r="100">
      <c r="G100" s="49"/>
    </row>
    <row r="101">
      <c r="G101" s="49"/>
    </row>
    <row r="102">
      <c r="G102" s="49"/>
    </row>
    <row r="103">
      <c r="G103" s="49"/>
    </row>
    <row r="104">
      <c r="G104" s="49"/>
    </row>
    <row r="105">
      <c r="G105" s="49"/>
    </row>
    <row r="106">
      <c r="G106" s="49"/>
    </row>
    <row r="107">
      <c r="G107" s="49"/>
    </row>
    <row r="108">
      <c r="G108" s="49"/>
    </row>
    <row r="109">
      <c r="G109" s="49"/>
    </row>
    <row r="110">
      <c r="G110" s="49"/>
    </row>
    <row r="111">
      <c r="G111" s="49"/>
    </row>
    <row r="112">
      <c r="G112" s="49"/>
    </row>
    <row r="113">
      <c r="G113" s="49"/>
    </row>
    <row r="114">
      <c r="G114" s="49"/>
    </row>
    <row r="115">
      <c r="G115" s="49"/>
    </row>
    <row r="116">
      <c r="G116" s="49"/>
    </row>
    <row r="117">
      <c r="G117" s="49"/>
    </row>
    <row r="118">
      <c r="G118" s="49"/>
    </row>
    <row r="119">
      <c r="G119" s="49"/>
    </row>
    <row r="120">
      <c r="G120" s="49"/>
    </row>
    <row r="121">
      <c r="G121" s="49"/>
    </row>
    <row r="122">
      <c r="G122" s="49"/>
    </row>
    <row r="123">
      <c r="G123" s="49"/>
    </row>
    <row r="124">
      <c r="G124" s="49"/>
    </row>
    <row r="125">
      <c r="G125" s="49"/>
    </row>
    <row r="126">
      <c r="G126" s="49"/>
    </row>
    <row r="127">
      <c r="G127" s="49"/>
    </row>
    <row r="128">
      <c r="G128" s="49"/>
    </row>
    <row r="129">
      <c r="G129" s="49"/>
    </row>
    <row r="130">
      <c r="G130" s="49"/>
    </row>
    <row r="131">
      <c r="G131" s="49"/>
    </row>
    <row r="132">
      <c r="G132" s="49"/>
    </row>
    <row r="133">
      <c r="G133" s="49"/>
    </row>
    <row r="134">
      <c r="G134" s="49"/>
    </row>
    <row r="135">
      <c r="G135" s="49"/>
    </row>
    <row r="136">
      <c r="G136" s="49"/>
    </row>
    <row r="137">
      <c r="G137" s="49"/>
    </row>
    <row r="138">
      <c r="G138" s="49"/>
    </row>
    <row r="139">
      <c r="G139" s="49"/>
    </row>
    <row r="140">
      <c r="G140" s="49"/>
    </row>
    <row r="141">
      <c r="G141" s="49"/>
    </row>
    <row r="142">
      <c r="G142" s="49"/>
    </row>
    <row r="143">
      <c r="G143" s="49"/>
    </row>
    <row r="144">
      <c r="G144" s="49"/>
    </row>
    <row r="145">
      <c r="G145" s="49"/>
    </row>
    <row r="146">
      <c r="G146" s="49"/>
    </row>
    <row r="147">
      <c r="G147" s="49"/>
    </row>
    <row r="148">
      <c r="G148" s="49"/>
    </row>
    <row r="149">
      <c r="G149" s="49"/>
    </row>
    <row r="150">
      <c r="G150" s="49"/>
    </row>
    <row r="151">
      <c r="G151" s="49"/>
    </row>
    <row r="152">
      <c r="G152" s="49"/>
    </row>
    <row r="153">
      <c r="G153" s="49"/>
    </row>
    <row r="154">
      <c r="G154" s="49"/>
    </row>
    <row r="155">
      <c r="G155" s="49"/>
    </row>
    <row r="156">
      <c r="G156" s="49"/>
    </row>
    <row r="157">
      <c r="G157" s="49"/>
    </row>
    <row r="158">
      <c r="G158" s="49"/>
    </row>
    <row r="159">
      <c r="G159" s="49"/>
    </row>
    <row r="160">
      <c r="G160" s="49"/>
    </row>
    <row r="161">
      <c r="G161" s="49"/>
    </row>
    <row r="162">
      <c r="G162" s="49"/>
    </row>
    <row r="163">
      <c r="G163" s="49"/>
    </row>
    <row r="164">
      <c r="G164" s="49"/>
    </row>
    <row r="165">
      <c r="G165" s="49"/>
    </row>
    <row r="166">
      <c r="G166" s="49"/>
    </row>
    <row r="167">
      <c r="G167" s="49"/>
    </row>
    <row r="168">
      <c r="G168" s="49"/>
    </row>
    <row r="169">
      <c r="G169" s="49"/>
    </row>
    <row r="170">
      <c r="G170" s="49"/>
    </row>
    <row r="171">
      <c r="G171" s="49"/>
    </row>
    <row r="172">
      <c r="G172" s="49"/>
    </row>
    <row r="173">
      <c r="G173" s="49"/>
    </row>
    <row r="174">
      <c r="G174" s="49"/>
    </row>
    <row r="175">
      <c r="G175" s="49"/>
    </row>
    <row r="176">
      <c r="G176" s="49"/>
    </row>
    <row r="177">
      <c r="G177" s="49"/>
    </row>
    <row r="178">
      <c r="G178" s="49"/>
    </row>
    <row r="179">
      <c r="G179" s="49"/>
    </row>
    <row r="180">
      <c r="G180" s="49"/>
    </row>
    <row r="181">
      <c r="G181" s="49"/>
    </row>
    <row r="182">
      <c r="G182" s="49"/>
    </row>
    <row r="183">
      <c r="G183" s="49"/>
    </row>
    <row r="184">
      <c r="G184" s="49"/>
    </row>
    <row r="185">
      <c r="G185" s="49"/>
    </row>
    <row r="186">
      <c r="G186" s="49"/>
    </row>
    <row r="187">
      <c r="G187" s="49"/>
    </row>
    <row r="188">
      <c r="G188" s="49"/>
    </row>
    <row r="189">
      <c r="G189" s="49"/>
    </row>
    <row r="190">
      <c r="G190" s="49"/>
    </row>
    <row r="191">
      <c r="G191" s="49"/>
    </row>
    <row r="192">
      <c r="G192" s="49"/>
    </row>
    <row r="193">
      <c r="G193" s="49"/>
    </row>
    <row r="194">
      <c r="G194" s="49"/>
    </row>
    <row r="195">
      <c r="G195" s="49"/>
    </row>
    <row r="196">
      <c r="G196" s="49"/>
    </row>
    <row r="197">
      <c r="G197" s="49"/>
    </row>
    <row r="198">
      <c r="G198" s="49"/>
    </row>
    <row r="199">
      <c r="G199" s="49"/>
    </row>
    <row r="200">
      <c r="G200" s="49"/>
    </row>
    <row r="201">
      <c r="G201" s="49"/>
    </row>
    <row r="202">
      <c r="G202" s="49"/>
    </row>
    <row r="203">
      <c r="G203" s="49"/>
    </row>
    <row r="204">
      <c r="G204" s="49"/>
    </row>
    <row r="205">
      <c r="G205" s="49"/>
    </row>
    <row r="206">
      <c r="G206" s="49"/>
    </row>
    <row r="207">
      <c r="G207" s="49"/>
    </row>
    <row r="208">
      <c r="G208" s="49"/>
    </row>
    <row r="209">
      <c r="G209" s="49"/>
    </row>
    <row r="210">
      <c r="G210" s="49"/>
    </row>
    <row r="211">
      <c r="G211" s="49"/>
    </row>
    <row r="212">
      <c r="G212" s="49"/>
    </row>
    <row r="213">
      <c r="G213" s="49"/>
    </row>
    <row r="214">
      <c r="G214" s="49"/>
    </row>
    <row r="215">
      <c r="G215" s="49"/>
    </row>
    <row r="216">
      <c r="G216" s="49"/>
    </row>
    <row r="217">
      <c r="G217" s="49"/>
    </row>
    <row r="218">
      <c r="G218" s="49"/>
    </row>
    <row r="219">
      <c r="G219" s="49"/>
    </row>
    <row r="220">
      <c r="G220" s="49"/>
    </row>
    <row r="221">
      <c r="G221" s="49"/>
    </row>
    <row r="222">
      <c r="G222" s="49"/>
    </row>
    <row r="223">
      <c r="G223" s="49"/>
    </row>
    <row r="224">
      <c r="G224" s="49"/>
    </row>
    <row r="225">
      <c r="G225" s="49"/>
    </row>
    <row r="226">
      <c r="G226" s="49"/>
    </row>
    <row r="227">
      <c r="G227" s="49"/>
    </row>
    <row r="228">
      <c r="G228" s="49"/>
    </row>
    <row r="229">
      <c r="G229" s="49"/>
    </row>
    <row r="230">
      <c r="G230" s="49"/>
    </row>
    <row r="231">
      <c r="G231" s="49"/>
    </row>
    <row r="232">
      <c r="G232" s="49"/>
    </row>
    <row r="233">
      <c r="G233" s="49"/>
    </row>
    <row r="234">
      <c r="G234" s="49"/>
    </row>
    <row r="235">
      <c r="G235" s="49"/>
    </row>
    <row r="236">
      <c r="G236" s="49"/>
    </row>
    <row r="237">
      <c r="G237" s="49"/>
    </row>
    <row r="238">
      <c r="G238" s="49"/>
    </row>
    <row r="239">
      <c r="G239" s="49"/>
    </row>
    <row r="240">
      <c r="G240" s="49"/>
    </row>
    <row r="241">
      <c r="G241" s="49"/>
    </row>
    <row r="242">
      <c r="G242" s="49"/>
    </row>
    <row r="243">
      <c r="G243" s="49"/>
    </row>
    <row r="244">
      <c r="G244" s="49"/>
    </row>
    <row r="245">
      <c r="G245" s="49"/>
    </row>
    <row r="246">
      <c r="G246" s="49"/>
    </row>
    <row r="247">
      <c r="G247" s="49"/>
    </row>
    <row r="248">
      <c r="G248" s="49"/>
    </row>
    <row r="249">
      <c r="G249" s="49"/>
    </row>
    <row r="250">
      <c r="G250" s="49"/>
    </row>
    <row r="251">
      <c r="G251" s="49"/>
    </row>
    <row r="252">
      <c r="G252" s="49"/>
    </row>
    <row r="253">
      <c r="G253" s="49"/>
    </row>
    <row r="254">
      <c r="G254" s="49"/>
    </row>
    <row r="255">
      <c r="G255" s="49"/>
    </row>
    <row r="256">
      <c r="G256" s="49"/>
    </row>
    <row r="257">
      <c r="G257" s="49"/>
    </row>
    <row r="258">
      <c r="G258" s="49"/>
    </row>
    <row r="259">
      <c r="G259" s="49"/>
    </row>
    <row r="260">
      <c r="G260" s="49"/>
    </row>
    <row r="261">
      <c r="G261" s="49"/>
    </row>
    <row r="262">
      <c r="G262" s="49"/>
    </row>
    <row r="263">
      <c r="G263" s="49"/>
    </row>
    <row r="264">
      <c r="G264" s="49"/>
    </row>
    <row r="265">
      <c r="G265" s="49"/>
    </row>
    <row r="266">
      <c r="G266" s="49"/>
    </row>
    <row r="267">
      <c r="G267" s="49"/>
    </row>
    <row r="268">
      <c r="G268" s="49"/>
    </row>
    <row r="269">
      <c r="G269" s="49"/>
    </row>
    <row r="270">
      <c r="G270" s="49"/>
    </row>
    <row r="271">
      <c r="G271" s="49"/>
    </row>
    <row r="272">
      <c r="G272" s="49"/>
    </row>
    <row r="273">
      <c r="G273" s="49"/>
    </row>
    <row r="274">
      <c r="G274" s="49"/>
    </row>
    <row r="275">
      <c r="G275" s="49"/>
    </row>
    <row r="276">
      <c r="G276" s="49"/>
    </row>
    <row r="277">
      <c r="G277" s="49"/>
    </row>
    <row r="278">
      <c r="G278" s="49"/>
    </row>
    <row r="279">
      <c r="G279" s="49"/>
    </row>
    <row r="280">
      <c r="G280" s="49"/>
    </row>
    <row r="281">
      <c r="G281" s="49"/>
    </row>
    <row r="282">
      <c r="G282" s="49"/>
    </row>
    <row r="283">
      <c r="G283" s="49"/>
    </row>
    <row r="284">
      <c r="G284" s="49"/>
    </row>
    <row r="285">
      <c r="G285" s="49"/>
    </row>
    <row r="286">
      <c r="G286" s="49"/>
    </row>
    <row r="287">
      <c r="G287" s="49"/>
    </row>
    <row r="288">
      <c r="G288" s="49"/>
    </row>
    <row r="289">
      <c r="G289" s="49"/>
    </row>
    <row r="290">
      <c r="G290" s="49"/>
    </row>
    <row r="291">
      <c r="G291" s="49"/>
    </row>
    <row r="292">
      <c r="G292" s="49"/>
    </row>
    <row r="293">
      <c r="G293" s="49"/>
    </row>
    <row r="294">
      <c r="G294" s="49"/>
    </row>
    <row r="295">
      <c r="G295" s="49"/>
    </row>
    <row r="296">
      <c r="G296" s="49"/>
    </row>
    <row r="297">
      <c r="G297" s="49"/>
    </row>
    <row r="298">
      <c r="G298" s="49"/>
    </row>
    <row r="299">
      <c r="G299" s="49"/>
    </row>
    <row r="300">
      <c r="G300" s="49"/>
    </row>
    <row r="301">
      <c r="G301" s="49"/>
    </row>
    <row r="302">
      <c r="G302" s="49"/>
    </row>
    <row r="303">
      <c r="G303" s="49"/>
    </row>
    <row r="304">
      <c r="G304" s="49"/>
    </row>
    <row r="305">
      <c r="G305" s="49"/>
    </row>
    <row r="306">
      <c r="G306" s="49"/>
    </row>
    <row r="307">
      <c r="G307" s="49"/>
    </row>
    <row r="308">
      <c r="G308" s="49"/>
    </row>
    <row r="309">
      <c r="G309" s="49"/>
    </row>
    <row r="310">
      <c r="G310" s="49"/>
    </row>
    <row r="311">
      <c r="G311" s="49"/>
    </row>
    <row r="312">
      <c r="G312" s="49"/>
    </row>
    <row r="313">
      <c r="G313" s="49"/>
    </row>
    <row r="314">
      <c r="G314" s="49"/>
    </row>
    <row r="315">
      <c r="G315" s="49"/>
    </row>
    <row r="316">
      <c r="G316" s="49"/>
    </row>
    <row r="317">
      <c r="G317" s="49"/>
    </row>
    <row r="318">
      <c r="G318" s="49"/>
    </row>
    <row r="319">
      <c r="G319" s="49"/>
    </row>
    <row r="320">
      <c r="G320" s="49"/>
    </row>
    <row r="321">
      <c r="G321" s="49"/>
    </row>
    <row r="322">
      <c r="G322" s="49"/>
    </row>
    <row r="323">
      <c r="G323" s="49"/>
    </row>
    <row r="324">
      <c r="G324" s="49"/>
    </row>
    <row r="325">
      <c r="G325" s="49"/>
    </row>
    <row r="326">
      <c r="G326" s="49"/>
    </row>
    <row r="327">
      <c r="G327" s="49"/>
    </row>
    <row r="328">
      <c r="G328" s="49"/>
    </row>
    <row r="329">
      <c r="G329" s="49"/>
    </row>
    <row r="330">
      <c r="G330" s="49"/>
    </row>
    <row r="331">
      <c r="G331" s="49"/>
    </row>
    <row r="332">
      <c r="G332" s="49"/>
    </row>
    <row r="333">
      <c r="G333" s="49"/>
    </row>
    <row r="334">
      <c r="G334" s="49"/>
    </row>
    <row r="335">
      <c r="G335" s="49"/>
    </row>
    <row r="336">
      <c r="G336" s="49"/>
    </row>
    <row r="337">
      <c r="G337" s="49"/>
    </row>
    <row r="338">
      <c r="G338" s="49"/>
    </row>
    <row r="339">
      <c r="G339" s="49"/>
    </row>
    <row r="340">
      <c r="G340" s="49"/>
    </row>
    <row r="341">
      <c r="G341" s="49"/>
    </row>
    <row r="342">
      <c r="G342" s="49"/>
    </row>
    <row r="343">
      <c r="G343" s="49"/>
    </row>
    <row r="344">
      <c r="G344" s="49"/>
    </row>
    <row r="345">
      <c r="G345" s="49"/>
    </row>
    <row r="346">
      <c r="G346" s="49"/>
    </row>
    <row r="347">
      <c r="G347" s="49"/>
    </row>
    <row r="348">
      <c r="G348" s="49"/>
    </row>
    <row r="349">
      <c r="G349" s="49"/>
    </row>
    <row r="350">
      <c r="G350" s="49"/>
    </row>
    <row r="351">
      <c r="G351" s="49"/>
    </row>
    <row r="352">
      <c r="G352" s="49"/>
    </row>
    <row r="353">
      <c r="G353" s="49"/>
    </row>
    <row r="354">
      <c r="G354" s="49"/>
    </row>
    <row r="355">
      <c r="G355" s="49"/>
    </row>
    <row r="356">
      <c r="G356" s="49"/>
    </row>
    <row r="357">
      <c r="G357" s="49"/>
    </row>
    <row r="358">
      <c r="G358" s="49"/>
    </row>
    <row r="359">
      <c r="G359" s="49"/>
    </row>
    <row r="360">
      <c r="G360" s="49"/>
    </row>
    <row r="361">
      <c r="G361" s="49"/>
    </row>
    <row r="362">
      <c r="G362" s="49"/>
    </row>
    <row r="363">
      <c r="G363" s="49"/>
    </row>
    <row r="364">
      <c r="G364" s="49"/>
    </row>
    <row r="365">
      <c r="G365" s="49"/>
    </row>
    <row r="366">
      <c r="G366" s="49"/>
    </row>
    <row r="367">
      <c r="G367" s="49"/>
    </row>
    <row r="368">
      <c r="G368" s="49"/>
    </row>
    <row r="369">
      <c r="G369" s="49"/>
    </row>
    <row r="370">
      <c r="G370" s="49"/>
    </row>
    <row r="371">
      <c r="G371" s="49"/>
    </row>
    <row r="372">
      <c r="G372" s="49"/>
    </row>
    <row r="373">
      <c r="G373" s="49"/>
    </row>
    <row r="374">
      <c r="G374" s="49"/>
    </row>
    <row r="375">
      <c r="G375" s="49"/>
    </row>
    <row r="376">
      <c r="G376" s="49"/>
    </row>
    <row r="377">
      <c r="G377" s="49"/>
    </row>
    <row r="378">
      <c r="G378" s="49"/>
    </row>
    <row r="379">
      <c r="G379" s="49"/>
    </row>
    <row r="380">
      <c r="G380" s="49"/>
    </row>
    <row r="381">
      <c r="G381" s="49"/>
    </row>
    <row r="382">
      <c r="G382" s="49"/>
    </row>
    <row r="383">
      <c r="G383" s="49"/>
    </row>
    <row r="384">
      <c r="G384" s="49"/>
    </row>
    <row r="385">
      <c r="G385" s="49"/>
    </row>
    <row r="386">
      <c r="G386" s="49"/>
    </row>
    <row r="387">
      <c r="G387" s="49"/>
    </row>
    <row r="388">
      <c r="G388" s="49"/>
    </row>
    <row r="389">
      <c r="G389" s="49"/>
    </row>
    <row r="390">
      <c r="G390" s="49"/>
    </row>
    <row r="391">
      <c r="G391" s="49"/>
    </row>
    <row r="392">
      <c r="G392" s="49"/>
    </row>
    <row r="393">
      <c r="G393" s="49"/>
    </row>
    <row r="394">
      <c r="G394" s="49"/>
    </row>
    <row r="395">
      <c r="G395" s="49"/>
    </row>
    <row r="396">
      <c r="G396" s="49"/>
    </row>
    <row r="397">
      <c r="G397" s="49"/>
    </row>
    <row r="398">
      <c r="G398" s="49"/>
    </row>
    <row r="399">
      <c r="G399" s="49"/>
    </row>
    <row r="400">
      <c r="G400" s="49"/>
    </row>
    <row r="401">
      <c r="G401" s="49"/>
    </row>
    <row r="402">
      <c r="G402" s="49"/>
    </row>
    <row r="403">
      <c r="G403" s="49"/>
    </row>
    <row r="404">
      <c r="G404" s="49"/>
    </row>
    <row r="405">
      <c r="G405" s="49"/>
    </row>
    <row r="406">
      <c r="G406" s="49"/>
    </row>
    <row r="407">
      <c r="G407" s="49"/>
    </row>
    <row r="408">
      <c r="G408" s="49"/>
    </row>
    <row r="409">
      <c r="G409" s="49"/>
    </row>
    <row r="410">
      <c r="G410" s="49"/>
    </row>
    <row r="411">
      <c r="G411" s="49"/>
    </row>
    <row r="412">
      <c r="G412" s="49"/>
    </row>
    <row r="413">
      <c r="G413" s="49"/>
    </row>
    <row r="414">
      <c r="G414" s="49"/>
    </row>
    <row r="415">
      <c r="G415" s="49"/>
    </row>
    <row r="416">
      <c r="G416" s="49"/>
    </row>
    <row r="417">
      <c r="G417" s="49"/>
    </row>
    <row r="418">
      <c r="G418" s="49"/>
    </row>
    <row r="419">
      <c r="G419" s="49"/>
    </row>
    <row r="420">
      <c r="G420" s="49"/>
    </row>
    <row r="421">
      <c r="G421" s="49"/>
    </row>
    <row r="422">
      <c r="G422" s="49"/>
    </row>
    <row r="423">
      <c r="G423" s="49"/>
    </row>
    <row r="424">
      <c r="G424" s="49"/>
    </row>
    <row r="425">
      <c r="G425" s="49"/>
    </row>
    <row r="426">
      <c r="G426" s="49"/>
    </row>
    <row r="427">
      <c r="G427" s="49"/>
    </row>
    <row r="428">
      <c r="G428" s="49"/>
    </row>
    <row r="429">
      <c r="G429" s="49"/>
    </row>
    <row r="430">
      <c r="G430" s="49"/>
    </row>
    <row r="431">
      <c r="G431" s="49"/>
    </row>
    <row r="432">
      <c r="G432" s="49"/>
    </row>
    <row r="433">
      <c r="G433" s="49"/>
    </row>
    <row r="434">
      <c r="G434" s="49"/>
    </row>
    <row r="435">
      <c r="G435" s="49"/>
    </row>
    <row r="436">
      <c r="G436" s="49"/>
    </row>
    <row r="437">
      <c r="G437" s="49"/>
    </row>
    <row r="438">
      <c r="G438" s="49"/>
    </row>
    <row r="439">
      <c r="G439" s="49"/>
    </row>
    <row r="440">
      <c r="G440" s="49"/>
    </row>
    <row r="441">
      <c r="G441" s="49"/>
    </row>
    <row r="442">
      <c r="G442" s="49"/>
    </row>
    <row r="443">
      <c r="G443" s="49"/>
    </row>
    <row r="444">
      <c r="G444" s="49"/>
    </row>
    <row r="445">
      <c r="G445" s="49"/>
    </row>
    <row r="446">
      <c r="G446" s="49"/>
    </row>
    <row r="447">
      <c r="G447" s="49"/>
    </row>
    <row r="448">
      <c r="G448" s="49"/>
    </row>
    <row r="449">
      <c r="G449" s="49"/>
    </row>
    <row r="450">
      <c r="G450" s="49"/>
    </row>
    <row r="451">
      <c r="G451" s="49"/>
    </row>
    <row r="452">
      <c r="G452" s="49"/>
    </row>
    <row r="453">
      <c r="G453" s="49"/>
    </row>
    <row r="454">
      <c r="G454" s="49"/>
    </row>
    <row r="455">
      <c r="G455" s="49"/>
    </row>
    <row r="456">
      <c r="G456" s="49"/>
    </row>
    <row r="457">
      <c r="G457" s="49"/>
    </row>
    <row r="458">
      <c r="G458" s="49"/>
    </row>
    <row r="459">
      <c r="G459" s="49"/>
    </row>
    <row r="460">
      <c r="G460" s="49"/>
    </row>
    <row r="461">
      <c r="G461" s="49"/>
    </row>
    <row r="462">
      <c r="G462" s="49"/>
    </row>
    <row r="463">
      <c r="G463" s="49"/>
    </row>
    <row r="464">
      <c r="G464" s="49"/>
    </row>
    <row r="465">
      <c r="G465" s="49"/>
    </row>
    <row r="466">
      <c r="G466" s="49"/>
    </row>
    <row r="467">
      <c r="G467" s="49"/>
    </row>
    <row r="468">
      <c r="G468" s="49"/>
    </row>
    <row r="469">
      <c r="G469" s="49"/>
    </row>
    <row r="470">
      <c r="G470" s="49"/>
    </row>
    <row r="471">
      <c r="G471" s="49"/>
    </row>
    <row r="472">
      <c r="G472" s="49"/>
    </row>
    <row r="473">
      <c r="G473" s="49"/>
    </row>
    <row r="474">
      <c r="G474" s="49"/>
    </row>
    <row r="475">
      <c r="G475" s="49"/>
    </row>
    <row r="476">
      <c r="G476" s="49"/>
    </row>
    <row r="477">
      <c r="G477" s="49"/>
    </row>
    <row r="478">
      <c r="G478" s="49"/>
    </row>
    <row r="479">
      <c r="G479" s="49"/>
    </row>
    <row r="480">
      <c r="G480" s="49"/>
    </row>
    <row r="481">
      <c r="G481" s="49"/>
    </row>
    <row r="482">
      <c r="G482" s="49"/>
    </row>
    <row r="483">
      <c r="G483" s="49"/>
    </row>
    <row r="484">
      <c r="G484" s="49"/>
    </row>
    <row r="485">
      <c r="G485" s="49"/>
    </row>
    <row r="486">
      <c r="G486" s="49"/>
    </row>
    <row r="487">
      <c r="G487" s="49"/>
    </row>
    <row r="488">
      <c r="G488" s="49"/>
    </row>
    <row r="489">
      <c r="G489" s="49"/>
    </row>
    <row r="490">
      <c r="G490" s="49"/>
    </row>
    <row r="491">
      <c r="G491" s="49"/>
    </row>
    <row r="492">
      <c r="G492" s="49"/>
    </row>
    <row r="493">
      <c r="G493" s="49"/>
    </row>
    <row r="494">
      <c r="G494" s="49"/>
    </row>
    <row r="495">
      <c r="G495" s="49"/>
    </row>
    <row r="496">
      <c r="G496" s="49"/>
    </row>
    <row r="497">
      <c r="G497" s="49"/>
    </row>
    <row r="498">
      <c r="G498" s="49"/>
    </row>
    <row r="499">
      <c r="G499" s="49"/>
    </row>
    <row r="500">
      <c r="G500" s="49"/>
    </row>
    <row r="501">
      <c r="G501" s="49"/>
    </row>
    <row r="502">
      <c r="G502" s="49"/>
    </row>
    <row r="503">
      <c r="G503" s="49"/>
    </row>
    <row r="504">
      <c r="G504" s="49"/>
    </row>
    <row r="505">
      <c r="G505" s="49"/>
    </row>
    <row r="506">
      <c r="G506" s="49"/>
    </row>
    <row r="507">
      <c r="G507" s="49"/>
    </row>
    <row r="508">
      <c r="G508" s="49"/>
    </row>
    <row r="509">
      <c r="G509" s="49"/>
    </row>
    <row r="510">
      <c r="G510" s="49"/>
    </row>
    <row r="511">
      <c r="G511" s="49"/>
    </row>
    <row r="512">
      <c r="G512" s="49"/>
    </row>
    <row r="513">
      <c r="G513" s="49"/>
    </row>
    <row r="514">
      <c r="G514" s="49"/>
    </row>
    <row r="515">
      <c r="G515" s="49"/>
    </row>
    <row r="516">
      <c r="G516" s="49"/>
    </row>
    <row r="517">
      <c r="G517" s="49"/>
    </row>
    <row r="518">
      <c r="G518" s="49"/>
    </row>
    <row r="519">
      <c r="G519" s="49"/>
    </row>
    <row r="520">
      <c r="G520" s="49"/>
    </row>
    <row r="521">
      <c r="G521" s="49"/>
    </row>
    <row r="522">
      <c r="G522" s="49"/>
    </row>
    <row r="523">
      <c r="G523" s="49"/>
    </row>
    <row r="524">
      <c r="G524" s="49"/>
    </row>
    <row r="525">
      <c r="G525" s="49"/>
    </row>
    <row r="526">
      <c r="G526" s="49"/>
    </row>
    <row r="527">
      <c r="G527" s="49"/>
    </row>
    <row r="528">
      <c r="G528" s="49"/>
    </row>
    <row r="529">
      <c r="G529" s="49"/>
    </row>
    <row r="530">
      <c r="G530" s="49"/>
    </row>
    <row r="531">
      <c r="G531" s="49"/>
    </row>
    <row r="532">
      <c r="G532" s="49"/>
    </row>
    <row r="533">
      <c r="G533" s="49"/>
    </row>
    <row r="534">
      <c r="G534" s="49"/>
    </row>
    <row r="535">
      <c r="G535" s="49"/>
    </row>
    <row r="536">
      <c r="G536" s="49"/>
    </row>
    <row r="537">
      <c r="G537" s="49"/>
    </row>
    <row r="538">
      <c r="G538" s="49"/>
    </row>
    <row r="539">
      <c r="G539" s="49"/>
    </row>
    <row r="540">
      <c r="G540" s="49"/>
    </row>
    <row r="541">
      <c r="G541" s="49"/>
    </row>
    <row r="542">
      <c r="G542" s="49"/>
    </row>
    <row r="543">
      <c r="G543" s="49"/>
    </row>
    <row r="544">
      <c r="G544" s="49"/>
    </row>
    <row r="545">
      <c r="G545" s="49"/>
    </row>
    <row r="546">
      <c r="G546" s="49"/>
    </row>
    <row r="547">
      <c r="G547" s="49"/>
    </row>
    <row r="548">
      <c r="G548" s="49"/>
    </row>
    <row r="549">
      <c r="G549" s="49"/>
    </row>
    <row r="550">
      <c r="G550" s="49"/>
    </row>
    <row r="551">
      <c r="G551" s="49"/>
    </row>
    <row r="552">
      <c r="G552" s="49"/>
    </row>
    <row r="553">
      <c r="G553" s="49"/>
    </row>
    <row r="554">
      <c r="G554" s="49"/>
    </row>
    <row r="555">
      <c r="G555" s="49"/>
    </row>
    <row r="556">
      <c r="G556" s="49"/>
    </row>
    <row r="557">
      <c r="G557" s="49"/>
    </row>
    <row r="558">
      <c r="G558" s="49"/>
    </row>
    <row r="559">
      <c r="G559" s="49"/>
    </row>
    <row r="560">
      <c r="G560" s="49"/>
    </row>
    <row r="561">
      <c r="G561" s="49"/>
    </row>
    <row r="562">
      <c r="G562" s="49"/>
    </row>
    <row r="563">
      <c r="G563" s="49"/>
    </row>
    <row r="564">
      <c r="G564" s="49"/>
    </row>
    <row r="565">
      <c r="G565" s="49"/>
    </row>
    <row r="566">
      <c r="G566" s="49"/>
    </row>
    <row r="567">
      <c r="G567" s="49"/>
    </row>
    <row r="568">
      <c r="G568" s="49"/>
    </row>
    <row r="569">
      <c r="G569" s="49"/>
    </row>
    <row r="570">
      <c r="G570" s="49"/>
    </row>
    <row r="571">
      <c r="G571" s="49"/>
    </row>
    <row r="572">
      <c r="G572" s="49"/>
    </row>
    <row r="573">
      <c r="G573" s="49"/>
    </row>
    <row r="574">
      <c r="G574" s="49"/>
    </row>
    <row r="575">
      <c r="G575" s="49"/>
    </row>
    <row r="576">
      <c r="G576" s="49"/>
    </row>
    <row r="577">
      <c r="G577" s="49"/>
    </row>
    <row r="578">
      <c r="G578" s="49"/>
    </row>
    <row r="579">
      <c r="G579" s="49"/>
    </row>
    <row r="580">
      <c r="G580" s="49"/>
    </row>
    <row r="581">
      <c r="G581" s="49"/>
    </row>
    <row r="582">
      <c r="G582" s="49"/>
    </row>
    <row r="583">
      <c r="G583" s="49"/>
    </row>
    <row r="584">
      <c r="G584" s="49"/>
    </row>
    <row r="585">
      <c r="G585" s="49"/>
    </row>
    <row r="586">
      <c r="G586" s="49"/>
    </row>
    <row r="587">
      <c r="G587" s="49"/>
    </row>
    <row r="588">
      <c r="G588" s="49"/>
    </row>
    <row r="589">
      <c r="G589" s="49"/>
    </row>
    <row r="590">
      <c r="G590" s="49"/>
    </row>
    <row r="591">
      <c r="G591" s="49"/>
    </row>
    <row r="592">
      <c r="G592" s="49"/>
    </row>
    <row r="593">
      <c r="G593" s="49"/>
    </row>
    <row r="594">
      <c r="G594" s="49"/>
    </row>
    <row r="595">
      <c r="G595" s="49"/>
    </row>
    <row r="596">
      <c r="G596" s="49"/>
    </row>
    <row r="597">
      <c r="G597" s="49"/>
    </row>
    <row r="598">
      <c r="G598" s="49"/>
    </row>
    <row r="599">
      <c r="G599" s="49"/>
    </row>
    <row r="600">
      <c r="G600" s="49"/>
    </row>
    <row r="601">
      <c r="G601" s="49"/>
    </row>
    <row r="602">
      <c r="G602" s="49"/>
    </row>
    <row r="603">
      <c r="G603" s="49"/>
    </row>
    <row r="604">
      <c r="G604" s="49"/>
    </row>
    <row r="605">
      <c r="G605" s="49"/>
    </row>
    <row r="606">
      <c r="G606" s="49"/>
    </row>
    <row r="607">
      <c r="G607" s="49"/>
    </row>
    <row r="608">
      <c r="G608" s="49"/>
    </row>
    <row r="609">
      <c r="G609" s="49"/>
    </row>
    <row r="610">
      <c r="G610" s="49"/>
    </row>
    <row r="611">
      <c r="G611" s="49"/>
    </row>
    <row r="612">
      <c r="G612" s="49"/>
    </row>
    <row r="613">
      <c r="G613" s="49"/>
    </row>
    <row r="614">
      <c r="G614" s="49"/>
    </row>
    <row r="615">
      <c r="G615" s="49"/>
    </row>
    <row r="616">
      <c r="G616" s="49"/>
    </row>
    <row r="617">
      <c r="G617" s="49"/>
    </row>
    <row r="618">
      <c r="G618" s="49"/>
    </row>
    <row r="619">
      <c r="G619" s="49"/>
    </row>
    <row r="620">
      <c r="G620" s="49"/>
    </row>
    <row r="621">
      <c r="G621" s="49"/>
    </row>
    <row r="622">
      <c r="G622" s="49"/>
    </row>
    <row r="623">
      <c r="G623" s="49"/>
    </row>
    <row r="624">
      <c r="G624" s="49"/>
    </row>
    <row r="625">
      <c r="G625" s="49"/>
    </row>
    <row r="626">
      <c r="G626" s="49"/>
    </row>
    <row r="627">
      <c r="G627" s="49"/>
    </row>
    <row r="628">
      <c r="G628" s="49"/>
    </row>
    <row r="629">
      <c r="G629" s="49"/>
    </row>
    <row r="630">
      <c r="G630" s="49"/>
    </row>
    <row r="631">
      <c r="G631" s="49"/>
    </row>
    <row r="632">
      <c r="G632" s="49"/>
    </row>
    <row r="633">
      <c r="G633" s="49"/>
    </row>
    <row r="634">
      <c r="G634" s="49"/>
    </row>
    <row r="635">
      <c r="G635" s="49"/>
    </row>
    <row r="636">
      <c r="G636" s="49"/>
    </row>
    <row r="637">
      <c r="G637" s="49"/>
    </row>
    <row r="638">
      <c r="G638" s="49"/>
    </row>
    <row r="639">
      <c r="G639" s="49"/>
    </row>
    <row r="640">
      <c r="G640" s="49"/>
    </row>
    <row r="641">
      <c r="G641" s="49"/>
    </row>
    <row r="642">
      <c r="G642" s="49"/>
    </row>
    <row r="643">
      <c r="G643" s="49"/>
    </row>
    <row r="644">
      <c r="G644" s="49"/>
    </row>
    <row r="645">
      <c r="G645" s="49"/>
    </row>
    <row r="646">
      <c r="G646" s="49"/>
    </row>
    <row r="647">
      <c r="G647" s="49"/>
    </row>
    <row r="648">
      <c r="G648" s="49"/>
    </row>
    <row r="649">
      <c r="G649" s="49"/>
    </row>
    <row r="650">
      <c r="G650" s="49"/>
    </row>
    <row r="651">
      <c r="G651" s="49"/>
    </row>
    <row r="652">
      <c r="G652" s="49"/>
    </row>
    <row r="653">
      <c r="G653" s="49"/>
    </row>
    <row r="654">
      <c r="G654" s="49"/>
    </row>
    <row r="655">
      <c r="G655" s="49"/>
    </row>
    <row r="656">
      <c r="G656" s="49"/>
    </row>
    <row r="657">
      <c r="G657" s="49"/>
    </row>
    <row r="658">
      <c r="G658" s="49"/>
    </row>
    <row r="659">
      <c r="G659" s="49"/>
    </row>
    <row r="660">
      <c r="G660" s="49"/>
    </row>
    <row r="661">
      <c r="G661" s="49"/>
    </row>
    <row r="662">
      <c r="G662" s="49"/>
    </row>
    <row r="663">
      <c r="G663" s="49"/>
    </row>
    <row r="664">
      <c r="G664" s="49"/>
    </row>
    <row r="665">
      <c r="G665" s="49"/>
    </row>
    <row r="666">
      <c r="G666" s="49"/>
    </row>
    <row r="667">
      <c r="G667" s="49"/>
    </row>
    <row r="668">
      <c r="G668" s="49"/>
    </row>
    <row r="669">
      <c r="G669" s="49"/>
    </row>
    <row r="670">
      <c r="G670" s="49"/>
    </row>
    <row r="671">
      <c r="G671" s="49"/>
    </row>
    <row r="672">
      <c r="G672" s="49"/>
    </row>
    <row r="673">
      <c r="G673" s="49"/>
    </row>
    <row r="674">
      <c r="G674" s="49"/>
    </row>
    <row r="675">
      <c r="G675" s="49"/>
    </row>
    <row r="676">
      <c r="G676" s="49"/>
    </row>
    <row r="677">
      <c r="G677" s="49"/>
    </row>
    <row r="678">
      <c r="G678" s="49"/>
    </row>
    <row r="679">
      <c r="G679" s="49"/>
    </row>
    <row r="680">
      <c r="G680" s="49"/>
    </row>
    <row r="681">
      <c r="G681" s="49"/>
    </row>
    <row r="682">
      <c r="G682" s="49"/>
    </row>
    <row r="683">
      <c r="G683" s="49"/>
    </row>
    <row r="684">
      <c r="G684" s="49"/>
    </row>
    <row r="685">
      <c r="G685" s="49"/>
    </row>
    <row r="686">
      <c r="G686" s="49"/>
    </row>
    <row r="687">
      <c r="G687" s="49"/>
    </row>
    <row r="688">
      <c r="G688" s="49"/>
    </row>
    <row r="689">
      <c r="G689" s="49"/>
    </row>
    <row r="690">
      <c r="G690" s="49"/>
    </row>
    <row r="691">
      <c r="G691" s="49"/>
    </row>
    <row r="692">
      <c r="G692" s="49"/>
    </row>
    <row r="693">
      <c r="G693" s="49"/>
    </row>
    <row r="694">
      <c r="G694" s="49"/>
    </row>
    <row r="695">
      <c r="G695" s="49"/>
    </row>
    <row r="696">
      <c r="G696" s="49"/>
    </row>
    <row r="697">
      <c r="G697" s="49"/>
    </row>
    <row r="698">
      <c r="G698" s="49"/>
    </row>
    <row r="699">
      <c r="G699" s="49"/>
    </row>
    <row r="700">
      <c r="G700" s="49"/>
    </row>
    <row r="701">
      <c r="G701" s="49"/>
    </row>
    <row r="702">
      <c r="G702" s="49"/>
    </row>
    <row r="703">
      <c r="G703" s="49"/>
    </row>
    <row r="704">
      <c r="G704" s="49"/>
    </row>
    <row r="705">
      <c r="G705" s="49"/>
    </row>
    <row r="706">
      <c r="G706" s="49"/>
    </row>
    <row r="707">
      <c r="G707" s="49"/>
    </row>
    <row r="708">
      <c r="G708" s="49"/>
    </row>
    <row r="709">
      <c r="G709" s="49"/>
    </row>
    <row r="710">
      <c r="G710" s="49"/>
    </row>
    <row r="711">
      <c r="G711" s="49"/>
    </row>
    <row r="712">
      <c r="G712" s="49"/>
    </row>
    <row r="713">
      <c r="G713" s="49"/>
    </row>
    <row r="714">
      <c r="G714" s="49"/>
    </row>
    <row r="715">
      <c r="G715" s="49"/>
    </row>
    <row r="716">
      <c r="G716" s="49"/>
    </row>
    <row r="717">
      <c r="G717" s="49"/>
    </row>
    <row r="718">
      <c r="G718" s="49"/>
    </row>
    <row r="719">
      <c r="G719" s="49"/>
    </row>
    <row r="720">
      <c r="G720" s="49"/>
    </row>
    <row r="721">
      <c r="G721" s="49"/>
    </row>
    <row r="722">
      <c r="G722" s="49"/>
    </row>
    <row r="723">
      <c r="G723" s="49"/>
    </row>
    <row r="724">
      <c r="G724" s="49"/>
    </row>
    <row r="725">
      <c r="G725" s="49"/>
    </row>
    <row r="726">
      <c r="G726" s="49"/>
    </row>
    <row r="727">
      <c r="G727" s="49"/>
    </row>
    <row r="728">
      <c r="G728" s="49"/>
    </row>
    <row r="729">
      <c r="G729" s="49"/>
    </row>
    <row r="730">
      <c r="G730" s="49"/>
    </row>
    <row r="731">
      <c r="G731" s="49"/>
    </row>
    <row r="732">
      <c r="G732" s="49"/>
    </row>
    <row r="733">
      <c r="G733" s="49"/>
    </row>
    <row r="734">
      <c r="G734" s="49"/>
    </row>
    <row r="735">
      <c r="G735" s="49"/>
    </row>
    <row r="736">
      <c r="G736" s="49"/>
    </row>
    <row r="737">
      <c r="G737" s="49"/>
    </row>
    <row r="738">
      <c r="G738" s="49"/>
    </row>
    <row r="739">
      <c r="G739" s="49"/>
    </row>
    <row r="740">
      <c r="G740" s="49"/>
    </row>
    <row r="741">
      <c r="G741" s="49"/>
    </row>
    <row r="742">
      <c r="G742" s="49"/>
    </row>
    <row r="743">
      <c r="G743" s="49"/>
    </row>
    <row r="744">
      <c r="G744" s="49"/>
    </row>
    <row r="745">
      <c r="G745" s="49"/>
    </row>
    <row r="746">
      <c r="G746" s="49"/>
    </row>
    <row r="747">
      <c r="G747" s="49"/>
    </row>
    <row r="748">
      <c r="G748" s="49"/>
    </row>
    <row r="749">
      <c r="G749" s="49"/>
    </row>
    <row r="750">
      <c r="G750" s="49"/>
    </row>
    <row r="751">
      <c r="G751" s="49"/>
    </row>
    <row r="752">
      <c r="G752" s="49"/>
    </row>
    <row r="753">
      <c r="G753" s="49"/>
    </row>
    <row r="754">
      <c r="G754" s="49"/>
    </row>
    <row r="755">
      <c r="G755" s="49"/>
    </row>
    <row r="756">
      <c r="G756" s="49"/>
    </row>
    <row r="757">
      <c r="G757" s="49"/>
    </row>
    <row r="758">
      <c r="G758" s="49"/>
    </row>
    <row r="759">
      <c r="G759" s="49"/>
    </row>
    <row r="760">
      <c r="G760" s="49"/>
    </row>
    <row r="761">
      <c r="G761" s="49"/>
    </row>
    <row r="762">
      <c r="G762" s="49"/>
    </row>
    <row r="763">
      <c r="G763" s="49"/>
    </row>
    <row r="764">
      <c r="G764" s="49"/>
    </row>
    <row r="765">
      <c r="G765" s="49"/>
    </row>
    <row r="766">
      <c r="G766" s="49"/>
    </row>
    <row r="767">
      <c r="G767" s="49"/>
    </row>
    <row r="768">
      <c r="G768" s="49"/>
    </row>
    <row r="769">
      <c r="G769" s="49"/>
    </row>
    <row r="770">
      <c r="G770" s="49"/>
    </row>
    <row r="771">
      <c r="G771" s="49"/>
    </row>
    <row r="772">
      <c r="G772" s="49"/>
    </row>
    <row r="773">
      <c r="G773" s="49"/>
    </row>
    <row r="774">
      <c r="G774" s="49"/>
    </row>
    <row r="775">
      <c r="G775" s="49"/>
    </row>
    <row r="776">
      <c r="G776" s="49"/>
    </row>
    <row r="777">
      <c r="G777" s="49"/>
    </row>
    <row r="778">
      <c r="G778" s="49"/>
    </row>
    <row r="779">
      <c r="G779" s="49"/>
    </row>
    <row r="780">
      <c r="G780" s="49"/>
    </row>
    <row r="781">
      <c r="G781" s="49"/>
    </row>
    <row r="782">
      <c r="G782" s="49"/>
    </row>
    <row r="783">
      <c r="G783" s="49"/>
    </row>
    <row r="784">
      <c r="G784" s="49"/>
    </row>
    <row r="785">
      <c r="G785" s="49"/>
    </row>
    <row r="786">
      <c r="G786" s="49"/>
    </row>
    <row r="787">
      <c r="G787" s="49"/>
    </row>
    <row r="788">
      <c r="G788" s="49"/>
    </row>
    <row r="789">
      <c r="G789" s="49"/>
    </row>
    <row r="790">
      <c r="G790" s="49"/>
    </row>
    <row r="791">
      <c r="G791" s="49"/>
    </row>
    <row r="792">
      <c r="G792" s="49"/>
    </row>
    <row r="793">
      <c r="G793" s="49"/>
    </row>
    <row r="794">
      <c r="G794" s="49"/>
    </row>
    <row r="795">
      <c r="G795" s="49"/>
    </row>
    <row r="796">
      <c r="G796" s="49"/>
    </row>
    <row r="797">
      <c r="G797" s="49"/>
    </row>
    <row r="798">
      <c r="G798" s="49"/>
    </row>
    <row r="799">
      <c r="G799" s="49"/>
    </row>
    <row r="800">
      <c r="G800" s="49"/>
    </row>
    <row r="801">
      <c r="G801" s="49"/>
    </row>
    <row r="802">
      <c r="G802" s="49"/>
    </row>
    <row r="803">
      <c r="G803" s="49"/>
    </row>
    <row r="804">
      <c r="G804" s="49"/>
    </row>
    <row r="805">
      <c r="G805" s="49"/>
    </row>
    <row r="806">
      <c r="G806" s="49"/>
    </row>
    <row r="807">
      <c r="G807" s="49"/>
    </row>
    <row r="808">
      <c r="G808" s="49"/>
    </row>
    <row r="809">
      <c r="G809" s="49"/>
    </row>
    <row r="810">
      <c r="G810" s="49"/>
    </row>
    <row r="811">
      <c r="G811" s="49"/>
    </row>
    <row r="812">
      <c r="G812" s="49"/>
    </row>
    <row r="813">
      <c r="G813" s="49"/>
    </row>
    <row r="814">
      <c r="G814" s="49"/>
    </row>
    <row r="815">
      <c r="G815" s="49"/>
    </row>
    <row r="816">
      <c r="G816" s="49"/>
    </row>
    <row r="817">
      <c r="G817" s="49"/>
    </row>
    <row r="818">
      <c r="G818" s="49"/>
    </row>
    <row r="819">
      <c r="G819" s="49"/>
    </row>
    <row r="820">
      <c r="G820" s="49"/>
    </row>
    <row r="821">
      <c r="G821" s="49"/>
    </row>
    <row r="822">
      <c r="G822" s="49"/>
    </row>
    <row r="823">
      <c r="G823" s="49"/>
    </row>
    <row r="824">
      <c r="G824" s="49"/>
    </row>
    <row r="825">
      <c r="G825" s="49"/>
    </row>
    <row r="826">
      <c r="G826" s="49"/>
    </row>
    <row r="827">
      <c r="G827" s="49"/>
    </row>
    <row r="828">
      <c r="G828" s="49"/>
    </row>
    <row r="829">
      <c r="G829" s="49"/>
    </row>
    <row r="830">
      <c r="G830" s="49"/>
    </row>
    <row r="831">
      <c r="G831" s="49"/>
    </row>
    <row r="832">
      <c r="G832" s="49"/>
    </row>
    <row r="833">
      <c r="G833" s="49"/>
    </row>
    <row r="834">
      <c r="G834" s="49"/>
    </row>
    <row r="835">
      <c r="G835" s="49"/>
    </row>
    <row r="836">
      <c r="G836" s="49"/>
    </row>
    <row r="837">
      <c r="G837" s="49"/>
    </row>
    <row r="838">
      <c r="G838" s="49"/>
    </row>
    <row r="839">
      <c r="G839" s="49"/>
    </row>
    <row r="840">
      <c r="G840" s="49"/>
    </row>
    <row r="841">
      <c r="G841" s="49"/>
    </row>
    <row r="842">
      <c r="G842" s="49"/>
    </row>
    <row r="843">
      <c r="G843" s="49"/>
    </row>
    <row r="844">
      <c r="G844" s="49"/>
    </row>
    <row r="845">
      <c r="G845" s="49"/>
    </row>
    <row r="846">
      <c r="G846" s="49"/>
    </row>
    <row r="847">
      <c r="G847" s="49"/>
    </row>
    <row r="848">
      <c r="G848" s="49"/>
    </row>
    <row r="849">
      <c r="G849" s="49"/>
    </row>
    <row r="850">
      <c r="G850" s="49"/>
    </row>
    <row r="851">
      <c r="G851" s="49"/>
    </row>
    <row r="852">
      <c r="G852" s="49"/>
    </row>
    <row r="853">
      <c r="G853" s="49"/>
    </row>
    <row r="854">
      <c r="G854" s="49"/>
    </row>
    <row r="855">
      <c r="G855" s="49"/>
    </row>
    <row r="856">
      <c r="G856" s="49"/>
    </row>
    <row r="857">
      <c r="G857" s="49"/>
    </row>
    <row r="858">
      <c r="G858" s="49"/>
    </row>
    <row r="859">
      <c r="G859" s="49"/>
    </row>
    <row r="860">
      <c r="G860" s="49"/>
    </row>
    <row r="861">
      <c r="G861" s="49"/>
    </row>
    <row r="862">
      <c r="G862" s="49"/>
    </row>
    <row r="863">
      <c r="G863" s="49"/>
    </row>
    <row r="864">
      <c r="G864" s="49"/>
    </row>
    <row r="865">
      <c r="G865" s="49"/>
    </row>
    <row r="866">
      <c r="G866" s="49"/>
    </row>
    <row r="867">
      <c r="G867" s="49"/>
    </row>
    <row r="868">
      <c r="G868" s="49"/>
    </row>
    <row r="869">
      <c r="G869" s="49"/>
    </row>
    <row r="870">
      <c r="G870" s="49"/>
    </row>
    <row r="871">
      <c r="G871" s="49"/>
    </row>
    <row r="872">
      <c r="G872" s="49"/>
    </row>
    <row r="873">
      <c r="G873" s="49"/>
    </row>
    <row r="874">
      <c r="G874" s="49"/>
    </row>
    <row r="875">
      <c r="G875" s="49"/>
    </row>
    <row r="876">
      <c r="G876" s="49"/>
    </row>
    <row r="877">
      <c r="G877" s="49"/>
    </row>
    <row r="878">
      <c r="G878" s="49"/>
    </row>
    <row r="879">
      <c r="G879" s="49"/>
    </row>
    <row r="880">
      <c r="G880" s="49"/>
    </row>
    <row r="881">
      <c r="G881" s="49"/>
    </row>
    <row r="882">
      <c r="G882" s="49"/>
    </row>
    <row r="883">
      <c r="G883" s="49"/>
    </row>
    <row r="884">
      <c r="G884" s="49"/>
    </row>
    <row r="885">
      <c r="G885" s="49"/>
    </row>
    <row r="886">
      <c r="G886" s="49"/>
    </row>
    <row r="887">
      <c r="G887" s="49"/>
    </row>
    <row r="888">
      <c r="G888" s="49"/>
    </row>
    <row r="889">
      <c r="G889" s="49"/>
    </row>
    <row r="890">
      <c r="G890" s="49"/>
    </row>
    <row r="891">
      <c r="G891" s="49"/>
    </row>
    <row r="892">
      <c r="G892" s="49"/>
    </row>
    <row r="893">
      <c r="G893" s="49"/>
    </row>
    <row r="894">
      <c r="G894" s="49"/>
    </row>
    <row r="895">
      <c r="G895" s="49"/>
    </row>
    <row r="896">
      <c r="G896" s="49"/>
    </row>
    <row r="897">
      <c r="G897" s="49"/>
    </row>
    <row r="898">
      <c r="G898" s="49"/>
    </row>
    <row r="899">
      <c r="G899" s="49"/>
    </row>
    <row r="900">
      <c r="G900" s="49"/>
    </row>
    <row r="901">
      <c r="G901" s="49"/>
    </row>
    <row r="902">
      <c r="G902" s="49"/>
    </row>
    <row r="903">
      <c r="G903" s="49"/>
    </row>
    <row r="904">
      <c r="G904" s="49"/>
    </row>
    <row r="905">
      <c r="G905" s="49"/>
    </row>
    <row r="906">
      <c r="G906" s="49"/>
    </row>
    <row r="907">
      <c r="G907" s="49"/>
    </row>
    <row r="908">
      <c r="G908" s="49"/>
    </row>
    <row r="909">
      <c r="G909" s="49"/>
    </row>
    <row r="910">
      <c r="G910" s="49"/>
    </row>
    <row r="911">
      <c r="G911" s="49"/>
    </row>
    <row r="912">
      <c r="G912" s="49"/>
    </row>
    <row r="913">
      <c r="G913" s="49"/>
    </row>
    <row r="914">
      <c r="G914" s="49"/>
    </row>
    <row r="915">
      <c r="G915" s="49"/>
    </row>
    <row r="916">
      <c r="G916" s="49"/>
    </row>
    <row r="917">
      <c r="G917" s="49"/>
    </row>
    <row r="918">
      <c r="G918" s="49"/>
    </row>
    <row r="919">
      <c r="G919" s="49"/>
    </row>
    <row r="920">
      <c r="G920" s="49"/>
    </row>
    <row r="921">
      <c r="G921" s="49"/>
    </row>
    <row r="922">
      <c r="G922" s="49"/>
    </row>
    <row r="923">
      <c r="G923" s="49"/>
    </row>
    <row r="924">
      <c r="G924" s="49"/>
    </row>
    <row r="925">
      <c r="G925" s="49"/>
    </row>
    <row r="926">
      <c r="G926" s="49"/>
    </row>
    <row r="927">
      <c r="G927" s="49"/>
    </row>
    <row r="928">
      <c r="G928" s="49"/>
    </row>
    <row r="929">
      <c r="G929" s="49"/>
    </row>
    <row r="930">
      <c r="G930" s="49"/>
    </row>
    <row r="931">
      <c r="G931" s="49"/>
    </row>
    <row r="932">
      <c r="G932" s="49"/>
    </row>
    <row r="933">
      <c r="G933" s="49"/>
    </row>
    <row r="934">
      <c r="G934" s="49"/>
    </row>
    <row r="935">
      <c r="G935" s="49"/>
    </row>
    <row r="936">
      <c r="G936" s="49"/>
    </row>
    <row r="937">
      <c r="G937" s="49"/>
    </row>
    <row r="938">
      <c r="G938" s="49"/>
    </row>
    <row r="939">
      <c r="G939" s="49"/>
    </row>
    <row r="940">
      <c r="G940" s="49"/>
    </row>
    <row r="941">
      <c r="G941" s="49"/>
    </row>
    <row r="942">
      <c r="G942" s="49"/>
    </row>
    <row r="943">
      <c r="G943" s="49"/>
    </row>
    <row r="944">
      <c r="G944" s="49"/>
    </row>
    <row r="945">
      <c r="G945" s="49"/>
    </row>
    <row r="946">
      <c r="G946" s="49"/>
    </row>
    <row r="947">
      <c r="G947" s="49"/>
    </row>
    <row r="948">
      <c r="G948" s="49"/>
    </row>
    <row r="949">
      <c r="G949" s="49"/>
    </row>
    <row r="950">
      <c r="G950" s="49"/>
    </row>
    <row r="951">
      <c r="G951" s="49"/>
    </row>
    <row r="952">
      <c r="G952" s="49"/>
    </row>
    <row r="953">
      <c r="G953" s="49"/>
    </row>
    <row r="954">
      <c r="G954" s="49"/>
    </row>
    <row r="955">
      <c r="G955" s="49"/>
    </row>
    <row r="956">
      <c r="G956" s="49"/>
    </row>
    <row r="957">
      <c r="G957" s="49"/>
    </row>
    <row r="958">
      <c r="G958" s="49"/>
    </row>
    <row r="959">
      <c r="G959" s="49"/>
    </row>
    <row r="960">
      <c r="G960" s="49"/>
    </row>
    <row r="961">
      <c r="G961" s="49"/>
    </row>
    <row r="962">
      <c r="G962" s="49"/>
    </row>
    <row r="963">
      <c r="G963" s="49"/>
    </row>
    <row r="964">
      <c r="G964" s="49"/>
    </row>
    <row r="965">
      <c r="G965" s="49"/>
    </row>
    <row r="966">
      <c r="G966" s="49"/>
    </row>
    <row r="967">
      <c r="G967" s="49"/>
    </row>
    <row r="968">
      <c r="G968" s="49"/>
    </row>
    <row r="969">
      <c r="G969" s="49"/>
    </row>
    <row r="970">
      <c r="G970" s="49"/>
    </row>
    <row r="971">
      <c r="G971" s="49"/>
    </row>
    <row r="972">
      <c r="G972" s="49"/>
    </row>
    <row r="973">
      <c r="G973" s="49"/>
    </row>
    <row r="974">
      <c r="G974" s="49"/>
    </row>
    <row r="975">
      <c r="G975" s="49"/>
    </row>
    <row r="976">
      <c r="G976" s="49"/>
    </row>
    <row r="977">
      <c r="G977" s="49"/>
    </row>
    <row r="978">
      <c r="G978" s="49"/>
    </row>
    <row r="979">
      <c r="G979" s="49"/>
    </row>
    <row r="980">
      <c r="G980" s="49"/>
    </row>
    <row r="981">
      <c r="G981" s="49"/>
    </row>
    <row r="982">
      <c r="G982" s="49"/>
    </row>
    <row r="983">
      <c r="G983" s="49"/>
    </row>
    <row r="984">
      <c r="G984" s="49"/>
    </row>
    <row r="985">
      <c r="G985" s="49"/>
    </row>
    <row r="986">
      <c r="G986" s="49"/>
    </row>
    <row r="987">
      <c r="G987" s="49"/>
    </row>
    <row r="988">
      <c r="G988" s="49"/>
    </row>
    <row r="989">
      <c r="G989" s="49"/>
    </row>
    <row r="990">
      <c r="G990" s="49"/>
    </row>
    <row r="991">
      <c r="G991" s="49"/>
    </row>
    <row r="992">
      <c r="G992" s="49"/>
    </row>
    <row r="993">
      <c r="G993" s="49"/>
    </row>
    <row r="994">
      <c r="G994" s="49"/>
    </row>
    <row r="995">
      <c r="G995" s="49"/>
    </row>
    <row r="996">
      <c r="G996" s="49"/>
    </row>
    <row r="997">
      <c r="G997" s="49"/>
    </row>
    <row r="998">
      <c r="G998" s="49"/>
    </row>
    <row r="999">
      <c r="G999" s="49"/>
    </row>
  </sheetData>
  <mergeCells count="1">
    <mergeCell ref="A30:G30"/>
  </mergeCells>
  <hyperlinks>
    <hyperlink r:id="rId1" location="c2" ref="G5"/>
    <hyperlink r:id="rId2" ref="G10"/>
    <hyperlink r:id="rId3" location=":~:text=Most%20eggs%20are%20now%20barn,floor%20or%20free%2Drange%20husbandry." ref="G11"/>
    <hyperlink r:id="rId4" location=":~:text=Increase%20in%20organic%20eggs%20of,compared%20with%20the%20previous%20year." ref="G15"/>
    <hyperlink r:id="rId5" location="gid=289821833" ref="G17"/>
    <hyperlink r:id="rId6" ref="G18"/>
    <hyperlink r:id="rId7" location="heading=h.ujzm6p1i0pzg" ref="G21"/>
    <hyperlink r:id="rId8" location="bookmark=id.312v09ueelbp" ref="G22"/>
    <hyperlink r:id="rId9" ref="G32"/>
    <hyperlink r:id="rId10" ref="G33"/>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0"/>
    <col customWidth="1" min="2" max="2" width="13.0"/>
    <col customWidth="1" min="3" max="4" width="14.75"/>
    <col customWidth="1" min="7" max="7" width="19.25"/>
  </cols>
  <sheetData>
    <row r="1">
      <c r="A1" s="5" t="s">
        <v>7</v>
      </c>
      <c r="B1" s="5" t="s">
        <v>8</v>
      </c>
      <c r="C1" s="5" t="s">
        <v>9</v>
      </c>
      <c r="D1" s="5"/>
      <c r="E1" s="5"/>
      <c r="F1" s="5"/>
      <c r="G1" s="6" t="s">
        <v>10</v>
      </c>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row>
    <row r="2">
      <c r="A2" s="7" t="s">
        <v>11</v>
      </c>
      <c r="B2" s="7"/>
      <c r="C2" s="7"/>
      <c r="D2" s="7"/>
      <c r="E2" s="7"/>
      <c r="F2" s="7"/>
      <c r="G2" s="8"/>
      <c r="H2" s="9"/>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row>
    <row r="3">
      <c r="A3" s="1" t="s">
        <v>12</v>
      </c>
      <c r="B3" s="10">
        <v>130000.0</v>
      </c>
      <c r="C3" s="1" t="s">
        <v>13</v>
      </c>
      <c r="G3" s="11" t="s">
        <v>14</v>
      </c>
    </row>
    <row r="4">
      <c r="A4" s="1" t="s">
        <v>15</v>
      </c>
      <c r="B4" s="10">
        <v>280000.0</v>
      </c>
      <c r="C4" s="1" t="s">
        <v>13</v>
      </c>
      <c r="G4" s="11" t="s">
        <v>14</v>
      </c>
    </row>
    <row r="5">
      <c r="A5" s="1" t="s">
        <v>16</v>
      </c>
      <c r="B5" s="10">
        <f>(89931*2/3)+AVERAGE(357000,498000,285000,435000,90554,213500,237043,300000)</f>
        <v>361966.125</v>
      </c>
      <c r="C5" s="1" t="s">
        <v>17</v>
      </c>
      <c r="G5" s="12" t="s">
        <v>86</v>
      </c>
    </row>
    <row r="6">
      <c r="A6" s="1" t="s">
        <v>19</v>
      </c>
      <c r="B6" s="13">
        <v>3.0</v>
      </c>
      <c r="C6" s="1" t="s">
        <v>20</v>
      </c>
      <c r="G6" s="14" t="s">
        <v>14</v>
      </c>
      <c r="I6" s="15"/>
    </row>
    <row r="7">
      <c r="A7" s="1" t="s">
        <v>21</v>
      </c>
      <c r="B7" s="13">
        <v>3.0</v>
      </c>
      <c r="C7" s="1" t="s">
        <v>22</v>
      </c>
      <c r="G7" s="16" t="s">
        <v>14</v>
      </c>
      <c r="I7" s="15"/>
    </row>
    <row r="8">
      <c r="A8" s="1"/>
      <c r="B8" s="17"/>
      <c r="C8" s="1"/>
      <c r="G8" s="11"/>
    </row>
    <row r="9">
      <c r="A9" s="7" t="s">
        <v>23</v>
      </c>
      <c r="B9" s="7"/>
      <c r="C9" s="7"/>
      <c r="D9" s="7"/>
      <c r="E9" s="7"/>
      <c r="F9" s="7"/>
      <c r="G9" s="8"/>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row>
    <row r="10">
      <c r="A10" s="1" t="s">
        <v>24</v>
      </c>
      <c r="B10" s="18">
        <f>82000000</f>
        <v>82000000</v>
      </c>
      <c r="C10" s="1" t="s">
        <v>25</v>
      </c>
      <c r="G10" s="12" t="s">
        <v>26</v>
      </c>
      <c r="H10" s="19"/>
    </row>
    <row r="11">
      <c r="A11" s="1" t="s">
        <v>27</v>
      </c>
      <c r="B11" s="20">
        <v>0.28</v>
      </c>
      <c r="C11" s="1" t="s">
        <v>28</v>
      </c>
      <c r="G11" s="12" t="s">
        <v>29</v>
      </c>
      <c r="H11" s="19"/>
    </row>
    <row r="12">
      <c r="A12" s="1" t="s">
        <v>30</v>
      </c>
      <c r="B12" s="21">
        <v>0.33</v>
      </c>
      <c r="C12" s="1" t="s">
        <v>31</v>
      </c>
      <c r="G12" s="14" t="s">
        <v>14</v>
      </c>
      <c r="H12" s="19"/>
    </row>
    <row r="13">
      <c r="A13" s="1" t="s">
        <v>32</v>
      </c>
      <c r="B13" s="21">
        <v>0.67</v>
      </c>
      <c r="C13" s="1" t="s">
        <v>31</v>
      </c>
      <c r="G13" s="14" t="s">
        <v>14</v>
      </c>
      <c r="H13" s="19"/>
    </row>
    <row r="14">
      <c r="A14" s="1" t="s">
        <v>33</v>
      </c>
      <c r="B14" s="22">
        <f>B10*B13*B11+B10*B12</f>
        <v>42443200</v>
      </c>
      <c r="C14" s="1" t="s">
        <v>34</v>
      </c>
      <c r="G14" s="14" t="s">
        <v>14</v>
      </c>
      <c r="H14" s="19"/>
    </row>
    <row r="15">
      <c r="A15" s="1" t="s">
        <v>35</v>
      </c>
      <c r="B15" s="23">
        <v>0.014</v>
      </c>
      <c r="C15" s="1" t="s">
        <v>36</v>
      </c>
      <c r="G15" s="12" t="s">
        <v>37</v>
      </c>
    </row>
    <row r="16">
      <c r="A16" s="1" t="s">
        <v>38</v>
      </c>
      <c r="B16" s="24">
        <f>B14*(1+B15)^6</f>
        <v>46135565.69</v>
      </c>
      <c r="C16" s="1" t="s">
        <v>39</v>
      </c>
      <c r="G16" s="14" t="s">
        <v>14</v>
      </c>
    </row>
    <row r="17">
      <c r="A17" s="1" t="s">
        <v>40</v>
      </c>
      <c r="B17" s="25">
        <v>8.655</v>
      </c>
      <c r="C17" s="1" t="s">
        <v>41</v>
      </c>
      <c r="G17" s="12" t="s">
        <v>42</v>
      </c>
      <c r="H17" s="19"/>
    </row>
    <row r="18">
      <c r="A18" s="1" t="s">
        <v>43</v>
      </c>
      <c r="B18" s="52">
        <v>0.35</v>
      </c>
      <c r="G18" s="14"/>
      <c r="H18" s="19"/>
    </row>
    <row r="19">
      <c r="A19" s="1" t="s">
        <v>46</v>
      </c>
      <c r="B19" s="53">
        <v>0.25</v>
      </c>
      <c r="G19" s="14"/>
      <c r="H19" s="19"/>
    </row>
    <row r="20">
      <c r="A20" s="1" t="s">
        <v>48</v>
      </c>
      <c r="B20" s="28">
        <f>B17-(B17/B18)*B19</f>
        <v>2.472857143</v>
      </c>
      <c r="C20" s="1" t="s">
        <v>34</v>
      </c>
      <c r="G20" s="14" t="s">
        <v>14</v>
      </c>
      <c r="H20" s="19"/>
    </row>
    <row r="21">
      <c r="A21" s="1" t="s">
        <v>49</v>
      </c>
      <c r="B21" s="29">
        <f>AVERAGE(5/27,7/10,10/28,3/10,3/28,2/5,2/8,2/10,0.1,0.15,0.1)</f>
        <v>0.259042809</v>
      </c>
      <c r="C21" s="1" t="s">
        <v>50</v>
      </c>
      <c r="G21" s="30" t="s">
        <v>87</v>
      </c>
    </row>
    <row r="22">
      <c r="A22" s="1" t="s">
        <v>52</v>
      </c>
      <c r="B22" s="31">
        <f>AVERAGE(55%,70%)</f>
        <v>0.625</v>
      </c>
      <c r="C22" s="1" t="s">
        <v>53</v>
      </c>
      <c r="G22" s="12" t="s">
        <v>54</v>
      </c>
    </row>
    <row r="23">
      <c r="A23" s="1" t="s">
        <v>55</v>
      </c>
      <c r="B23" s="31">
        <v>0.15</v>
      </c>
      <c r="C23" s="1" t="s">
        <v>31</v>
      </c>
      <c r="G23" s="11" t="s">
        <v>14</v>
      </c>
    </row>
    <row r="24">
      <c r="A24" s="1" t="s">
        <v>56</v>
      </c>
      <c r="B24" s="20">
        <v>0.04</v>
      </c>
      <c r="C24" s="1" t="s">
        <v>13</v>
      </c>
      <c r="G24" s="11" t="s">
        <v>14</v>
      </c>
    </row>
    <row r="25">
      <c r="A25" s="1" t="s">
        <v>57</v>
      </c>
      <c r="B25" s="23">
        <v>0.014</v>
      </c>
      <c r="C25" s="1" t="s">
        <v>13</v>
      </c>
      <c r="G25" s="11" t="s">
        <v>14</v>
      </c>
    </row>
    <row r="26">
      <c r="A26" s="32" t="s">
        <v>58</v>
      </c>
      <c r="B26" s="33">
        <v>0.07</v>
      </c>
      <c r="C26" s="1" t="s">
        <v>59</v>
      </c>
      <c r="G26" s="11" t="s">
        <v>14</v>
      </c>
      <c r="H26" s="19"/>
    </row>
    <row r="27">
      <c r="A27" s="1" t="s">
        <v>60</v>
      </c>
      <c r="B27" s="34">
        <f>SUM(B25:B26)</f>
        <v>0.084</v>
      </c>
      <c r="C27" s="1" t="s">
        <v>61</v>
      </c>
      <c r="G27" s="11" t="s">
        <v>14</v>
      </c>
    </row>
    <row r="28">
      <c r="A28" s="1"/>
      <c r="B28" s="35"/>
      <c r="C28" s="1"/>
      <c r="G28" s="11"/>
    </row>
    <row r="29">
      <c r="A29" s="7" t="s">
        <v>62</v>
      </c>
      <c r="B29" s="7"/>
      <c r="C29" s="7"/>
      <c r="D29" s="7"/>
      <c r="E29" s="7"/>
      <c r="F29" s="7"/>
      <c r="G29" s="8"/>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row>
    <row r="30">
      <c r="A30" s="32" t="s">
        <v>63</v>
      </c>
    </row>
    <row r="31">
      <c r="A31" s="1" t="str">
        <f>"SADs per bird with "&amp;B19&amp;" prevalence of KBF"</f>
        <v>SADs per bird with 0.25 prevalence of KBF</v>
      </c>
      <c r="B31" s="36">
        <f>(B17/B18)*B19</f>
        <v>6.182142857</v>
      </c>
      <c r="C31" s="1" t="s">
        <v>64</v>
      </c>
      <c r="G31" s="11"/>
    </row>
    <row r="32">
      <c r="A32" s="1" t="s">
        <v>65</v>
      </c>
      <c r="B32" s="37">
        <v>72.0</v>
      </c>
      <c r="C32" s="1" t="s">
        <v>66</v>
      </c>
      <c r="G32" s="38" t="s">
        <v>67</v>
      </c>
    </row>
    <row r="33">
      <c r="A33" s="1" t="s">
        <v>68</v>
      </c>
      <c r="B33" s="37">
        <f>AVERAGE(4,6)</f>
        <v>5</v>
      </c>
      <c r="C33" s="1" t="s">
        <v>69</v>
      </c>
      <c r="G33" s="38" t="s">
        <v>70</v>
      </c>
    </row>
    <row r="34">
      <c r="A34" s="1" t="s">
        <v>71</v>
      </c>
      <c r="B34" s="34">
        <f>B33/B32</f>
        <v>0.06944444444</v>
      </c>
      <c r="C34" s="1" t="s">
        <v>72</v>
      </c>
      <c r="G34" s="11" t="s">
        <v>14</v>
      </c>
    </row>
    <row r="35">
      <c r="A35" s="32" t="s">
        <v>73</v>
      </c>
      <c r="B35" s="39">
        <f>B31+(B31*B34)</f>
        <v>6.611458333</v>
      </c>
      <c r="C35" s="1" t="s">
        <v>74</v>
      </c>
      <c r="G35" s="11" t="s">
        <v>14</v>
      </c>
    </row>
    <row r="36">
      <c r="A36" s="1" t="s">
        <v>75</v>
      </c>
      <c r="B36" s="39">
        <f>B35-B31</f>
        <v>0.4293154762</v>
      </c>
      <c r="C36" s="1" t="s">
        <v>34</v>
      </c>
      <c r="G36" s="11" t="s">
        <v>14</v>
      </c>
    </row>
    <row r="37">
      <c r="A37" s="1" t="s">
        <v>76</v>
      </c>
      <c r="B37" s="31">
        <f>AVERAGE(5%,20%)</f>
        <v>0.125</v>
      </c>
      <c r="C37" s="1" t="s">
        <v>77</v>
      </c>
      <c r="G37" s="11" t="s">
        <v>14</v>
      </c>
      <c r="H37" s="19"/>
    </row>
    <row r="38">
      <c r="A38" s="1"/>
      <c r="B38" s="35"/>
      <c r="C38" s="1"/>
      <c r="G38" s="11"/>
    </row>
    <row r="39">
      <c r="A39" s="7" t="s">
        <v>78</v>
      </c>
      <c r="B39" s="7"/>
      <c r="C39" s="7"/>
      <c r="D39" s="7"/>
      <c r="E39" s="40"/>
      <c r="F39" s="7"/>
      <c r="G39" s="8"/>
      <c r="H39" s="9"/>
      <c r="I39" s="7"/>
      <c r="J39" s="41"/>
      <c r="K39" s="7"/>
      <c r="L39" s="7"/>
      <c r="M39" s="7"/>
      <c r="N39" s="7"/>
      <c r="O39" s="7"/>
      <c r="P39" s="42"/>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row>
    <row r="40">
      <c r="A40" s="1" t="s">
        <v>79</v>
      </c>
      <c r="B40" s="1">
        <v>1.0</v>
      </c>
      <c r="C40" s="1">
        <v>2.0</v>
      </c>
      <c r="D40" s="1">
        <v>3.0</v>
      </c>
      <c r="E40" s="1">
        <v>4.0</v>
      </c>
      <c r="F40" s="1">
        <v>5.0</v>
      </c>
      <c r="G40" s="11">
        <v>6.0</v>
      </c>
      <c r="H40" s="1">
        <v>7.0</v>
      </c>
      <c r="I40" s="1">
        <v>8.0</v>
      </c>
      <c r="J40" s="1">
        <v>9.0</v>
      </c>
      <c r="K40" s="1">
        <v>10.0</v>
      </c>
      <c r="L40" s="1">
        <v>11.0</v>
      </c>
      <c r="M40" s="1">
        <v>12.0</v>
      </c>
      <c r="N40" s="1">
        <v>13.0</v>
      </c>
      <c r="O40" s="1">
        <v>14.0</v>
      </c>
      <c r="P40" s="1">
        <v>15.0</v>
      </c>
      <c r="Q40" s="1">
        <v>16.0</v>
      </c>
      <c r="R40" s="1">
        <v>17.0</v>
      </c>
      <c r="S40" s="1">
        <v>18.0</v>
      </c>
      <c r="T40" s="1">
        <v>19.0</v>
      </c>
      <c r="U40" s="1">
        <v>20.0</v>
      </c>
      <c r="V40" s="1">
        <v>21.0</v>
      </c>
      <c r="W40" s="1">
        <v>22.0</v>
      </c>
      <c r="X40" s="1">
        <v>23.0</v>
      </c>
      <c r="Y40" s="1">
        <v>24.0</v>
      </c>
      <c r="Z40" s="1">
        <v>25.0</v>
      </c>
      <c r="AA40" s="1">
        <v>26.0</v>
      </c>
      <c r="AB40" s="1">
        <v>27.0</v>
      </c>
      <c r="AC40" s="1">
        <v>28.0</v>
      </c>
      <c r="AD40" s="1">
        <v>29.0</v>
      </c>
      <c r="AE40" s="1">
        <v>30.0</v>
      </c>
      <c r="AF40" s="1">
        <v>31.0</v>
      </c>
      <c r="AG40" s="1">
        <v>32.0</v>
      </c>
      <c r="AH40" s="1">
        <v>33.0</v>
      </c>
      <c r="AI40" s="1">
        <v>34.0</v>
      </c>
      <c r="AJ40" s="1">
        <v>35.0</v>
      </c>
      <c r="AK40" s="1">
        <v>36.0</v>
      </c>
      <c r="AL40" s="1">
        <v>37.0</v>
      </c>
      <c r="AM40" s="1">
        <v>38.0</v>
      </c>
      <c r="AN40" s="1">
        <v>39.0</v>
      </c>
      <c r="AO40" s="1">
        <v>40.0</v>
      </c>
      <c r="AP40" s="1">
        <v>41.0</v>
      </c>
      <c r="AQ40" s="1">
        <v>42.0</v>
      </c>
      <c r="AR40" s="1">
        <v>43.0</v>
      </c>
      <c r="AS40" s="1">
        <v>44.0</v>
      </c>
      <c r="AT40" s="1">
        <v>45.0</v>
      </c>
      <c r="AU40" s="1">
        <v>46.0</v>
      </c>
      <c r="AV40" s="1">
        <v>47.0</v>
      </c>
      <c r="AW40" s="1">
        <v>48.0</v>
      </c>
      <c r="AX40" s="1">
        <v>49.0</v>
      </c>
      <c r="AY40" s="1">
        <v>50.0</v>
      </c>
    </row>
    <row r="41">
      <c r="A41" s="43" t="s">
        <v>80</v>
      </c>
      <c r="B41" s="44">
        <f>B3+B5</f>
        <v>491966.125</v>
      </c>
      <c r="C41" s="44">
        <f t="shared" ref="C41:D41" si="1">$B$4+$B$5</f>
        <v>641966.125</v>
      </c>
      <c r="D41" s="44">
        <f t="shared" si="1"/>
        <v>641966.125</v>
      </c>
      <c r="E41" s="45">
        <f t="shared" ref="E41:P41" si="2">$B$4*$B$21</f>
        <v>72531.98653</v>
      </c>
      <c r="F41" s="45">
        <f t="shared" si="2"/>
        <v>72531.98653</v>
      </c>
      <c r="G41" s="45">
        <f t="shared" si="2"/>
        <v>72531.98653</v>
      </c>
      <c r="H41" s="45">
        <f t="shared" si="2"/>
        <v>72531.98653</v>
      </c>
      <c r="I41" s="45">
        <f t="shared" si="2"/>
        <v>72531.98653</v>
      </c>
      <c r="J41" s="45">
        <f t="shared" si="2"/>
        <v>72531.98653</v>
      </c>
      <c r="K41" s="45">
        <f t="shared" si="2"/>
        <v>72531.98653</v>
      </c>
      <c r="L41" s="45">
        <f t="shared" si="2"/>
        <v>72531.98653</v>
      </c>
      <c r="M41" s="45">
        <f t="shared" si="2"/>
        <v>72531.98653</v>
      </c>
      <c r="N41" s="45">
        <f t="shared" si="2"/>
        <v>72531.98653</v>
      </c>
      <c r="O41" s="45">
        <f t="shared" si="2"/>
        <v>72531.98653</v>
      </c>
      <c r="P41" s="45">
        <f t="shared" si="2"/>
        <v>72531.98653</v>
      </c>
      <c r="Q41" s="45">
        <v>0.0</v>
      </c>
      <c r="R41" s="45">
        <v>0.0</v>
      </c>
      <c r="S41" s="45">
        <v>0.0</v>
      </c>
      <c r="T41" s="45">
        <v>0.0</v>
      </c>
      <c r="U41" s="45">
        <v>0.0</v>
      </c>
      <c r="V41" s="45">
        <v>0.0</v>
      </c>
      <c r="W41" s="45">
        <v>0.0</v>
      </c>
      <c r="X41" s="45">
        <v>0.0</v>
      </c>
      <c r="Y41" s="45">
        <v>0.0</v>
      </c>
      <c r="Z41" s="45">
        <v>0.0</v>
      </c>
      <c r="AA41" s="45">
        <v>0.0</v>
      </c>
      <c r="AB41" s="45">
        <v>0.0</v>
      </c>
      <c r="AC41" s="45">
        <v>0.0</v>
      </c>
      <c r="AD41" s="45">
        <v>0.0</v>
      </c>
      <c r="AE41" s="45">
        <v>0.0</v>
      </c>
      <c r="AF41" s="45">
        <v>0.0</v>
      </c>
      <c r="AG41" s="45">
        <v>0.0</v>
      </c>
      <c r="AH41" s="45">
        <v>0.0</v>
      </c>
      <c r="AI41" s="45">
        <v>0.0</v>
      </c>
      <c r="AJ41" s="45">
        <v>0.0</v>
      </c>
      <c r="AK41" s="45">
        <v>0.0</v>
      </c>
      <c r="AL41" s="45">
        <v>0.0</v>
      </c>
      <c r="AM41" s="45">
        <v>0.0</v>
      </c>
      <c r="AN41" s="45">
        <v>0.0</v>
      </c>
      <c r="AO41" s="45">
        <v>0.0</v>
      </c>
      <c r="AP41" s="45">
        <v>0.0</v>
      </c>
      <c r="AQ41" s="45">
        <v>0.0</v>
      </c>
      <c r="AR41" s="45">
        <v>0.0</v>
      </c>
      <c r="AS41" s="45">
        <v>0.0</v>
      </c>
      <c r="AT41" s="45">
        <v>0.0</v>
      </c>
      <c r="AU41" s="45">
        <v>0.0</v>
      </c>
      <c r="AV41" s="45">
        <v>0.0</v>
      </c>
      <c r="AW41" s="45">
        <v>0.0</v>
      </c>
      <c r="AX41" s="45">
        <v>0.0</v>
      </c>
      <c r="AY41" s="45">
        <v>0.0</v>
      </c>
    </row>
    <row r="42">
      <c r="A42" s="32" t="s">
        <v>81</v>
      </c>
      <c r="B42" s="46">
        <f>B16</f>
        <v>46135565.69</v>
      </c>
      <c r="C42" s="46">
        <f t="shared" ref="C42:AY42" si="3">B42*(1+$B$15)</f>
        <v>46781463.61</v>
      </c>
      <c r="D42" s="46">
        <f t="shared" si="3"/>
        <v>47436404.1</v>
      </c>
      <c r="E42" s="46">
        <f t="shared" si="3"/>
        <v>48100513.75</v>
      </c>
      <c r="F42" s="46">
        <f t="shared" si="3"/>
        <v>48773920.95</v>
      </c>
      <c r="G42" s="46">
        <f t="shared" si="3"/>
        <v>49456755.84</v>
      </c>
      <c r="H42" s="46">
        <f t="shared" si="3"/>
        <v>50149150.42</v>
      </c>
      <c r="I42" s="46">
        <f t="shared" si="3"/>
        <v>50851238.53</v>
      </c>
      <c r="J42" s="46">
        <f t="shared" si="3"/>
        <v>51563155.87</v>
      </c>
      <c r="K42" s="46">
        <f t="shared" si="3"/>
        <v>52285040.05</v>
      </c>
      <c r="L42" s="46">
        <f t="shared" si="3"/>
        <v>53017030.61</v>
      </c>
      <c r="M42" s="46">
        <f t="shared" si="3"/>
        <v>53759269.04</v>
      </c>
      <c r="N42" s="46">
        <f t="shared" si="3"/>
        <v>54511898.8</v>
      </c>
      <c r="O42" s="46">
        <f t="shared" si="3"/>
        <v>55275065.39</v>
      </c>
      <c r="P42" s="46">
        <f t="shared" si="3"/>
        <v>56048916.3</v>
      </c>
      <c r="Q42" s="46">
        <f t="shared" si="3"/>
        <v>56833601.13</v>
      </c>
      <c r="R42" s="46">
        <f t="shared" si="3"/>
        <v>57629271.55</v>
      </c>
      <c r="S42" s="46">
        <f t="shared" si="3"/>
        <v>58436081.35</v>
      </c>
      <c r="T42" s="46">
        <f t="shared" si="3"/>
        <v>59254186.49</v>
      </c>
      <c r="U42" s="46">
        <f t="shared" si="3"/>
        <v>60083745.1</v>
      </c>
      <c r="V42" s="46">
        <f t="shared" si="3"/>
        <v>60924917.53</v>
      </c>
      <c r="W42" s="46">
        <f t="shared" si="3"/>
        <v>61777866.37</v>
      </c>
      <c r="X42" s="46">
        <f t="shared" si="3"/>
        <v>62642756.5</v>
      </c>
      <c r="Y42" s="46">
        <f t="shared" si="3"/>
        <v>63519755.09</v>
      </c>
      <c r="Z42" s="46">
        <f t="shared" si="3"/>
        <v>64409031.67</v>
      </c>
      <c r="AA42" s="46">
        <f t="shared" si="3"/>
        <v>65310758.11</v>
      </c>
      <c r="AB42" s="46">
        <f t="shared" si="3"/>
        <v>66225108.72</v>
      </c>
      <c r="AC42" s="46">
        <f t="shared" si="3"/>
        <v>67152260.25</v>
      </c>
      <c r="AD42" s="46">
        <f t="shared" si="3"/>
        <v>68092391.89</v>
      </c>
      <c r="AE42" s="46">
        <f t="shared" si="3"/>
        <v>69045685.37</v>
      </c>
      <c r="AF42" s="46">
        <f t="shared" si="3"/>
        <v>70012324.97</v>
      </c>
      <c r="AG42" s="46">
        <f t="shared" si="3"/>
        <v>70992497.52</v>
      </c>
      <c r="AH42" s="46">
        <f t="shared" si="3"/>
        <v>71986392.48</v>
      </c>
      <c r="AI42" s="46">
        <f t="shared" si="3"/>
        <v>72994201.98</v>
      </c>
      <c r="AJ42" s="46">
        <f t="shared" si="3"/>
        <v>74016120.81</v>
      </c>
      <c r="AK42" s="46">
        <f t="shared" si="3"/>
        <v>75052346.5</v>
      </c>
      <c r="AL42" s="46">
        <f t="shared" si="3"/>
        <v>76103079.35</v>
      </c>
      <c r="AM42" s="46">
        <f t="shared" si="3"/>
        <v>77168522.46</v>
      </c>
      <c r="AN42" s="46">
        <f t="shared" si="3"/>
        <v>78248881.78</v>
      </c>
      <c r="AO42" s="46">
        <f t="shared" si="3"/>
        <v>79344366.12</v>
      </c>
      <c r="AP42" s="46">
        <f t="shared" si="3"/>
        <v>80455187.25</v>
      </c>
      <c r="AQ42" s="46">
        <f t="shared" si="3"/>
        <v>81581559.87</v>
      </c>
      <c r="AR42" s="46">
        <f t="shared" si="3"/>
        <v>82723701.71</v>
      </c>
      <c r="AS42" s="46">
        <f t="shared" si="3"/>
        <v>83881833.53</v>
      </c>
      <c r="AT42" s="46">
        <f t="shared" si="3"/>
        <v>85056179.2</v>
      </c>
      <c r="AU42" s="46">
        <f t="shared" si="3"/>
        <v>86246965.71</v>
      </c>
      <c r="AV42" s="46">
        <f t="shared" si="3"/>
        <v>87454423.23</v>
      </c>
      <c r="AW42" s="46">
        <f t="shared" si="3"/>
        <v>88678785.15</v>
      </c>
      <c r="AX42" s="46">
        <f t="shared" si="3"/>
        <v>89920288.14</v>
      </c>
      <c r="AY42" s="46">
        <f t="shared" si="3"/>
        <v>91179172.18</v>
      </c>
    </row>
    <row r="43">
      <c r="A43" s="32" t="s">
        <v>82</v>
      </c>
      <c r="B43" s="46">
        <f t="shared" ref="B43:AY43" si="4">B42*$B$21*$B$22*$B$37*(1-$B$23)</f>
        <v>793626.84</v>
      </c>
      <c r="C43" s="46">
        <f t="shared" si="4"/>
        <v>804737.6158</v>
      </c>
      <c r="D43" s="46">
        <f t="shared" si="4"/>
        <v>816003.9424</v>
      </c>
      <c r="E43" s="46">
        <f t="shared" si="4"/>
        <v>827427.9976</v>
      </c>
      <c r="F43" s="46">
        <f t="shared" si="4"/>
        <v>839011.9896</v>
      </c>
      <c r="G43" s="46">
        <f t="shared" si="4"/>
        <v>850758.1574</v>
      </c>
      <c r="H43" s="46">
        <f t="shared" si="4"/>
        <v>862668.7716</v>
      </c>
      <c r="I43" s="46">
        <f t="shared" si="4"/>
        <v>874746.1344</v>
      </c>
      <c r="J43" s="46">
        <f t="shared" si="4"/>
        <v>886992.5803</v>
      </c>
      <c r="K43" s="46">
        <f t="shared" si="4"/>
        <v>899410.4764</v>
      </c>
      <c r="L43" s="46">
        <f t="shared" si="4"/>
        <v>912002.2231</v>
      </c>
      <c r="M43" s="46">
        <f t="shared" si="4"/>
        <v>924770.2542</v>
      </c>
      <c r="N43" s="46">
        <f t="shared" si="4"/>
        <v>937717.0378</v>
      </c>
      <c r="O43" s="46">
        <f t="shared" si="4"/>
        <v>950845.0763</v>
      </c>
      <c r="P43" s="46">
        <f t="shared" si="4"/>
        <v>964156.9074</v>
      </c>
      <c r="Q43" s="46">
        <f t="shared" si="4"/>
        <v>977655.1041</v>
      </c>
      <c r="R43" s="46">
        <f t="shared" si="4"/>
        <v>991342.2755</v>
      </c>
      <c r="S43" s="46">
        <f t="shared" si="4"/>
        <v>1005221.067</v>
      </c>
      <c r="T43" s="46">
        <f t="shared" si="4"/>
        <v>1019294.162</v>
      </c>
      <c r="U43" s="46">
        <f t="shared" si="4"/>
        <v>1033564.281</v>
      </c>
      <c r="V43" s="46">
        <f t="shared" si="4"/>
        <v>1048034.181</v>
      </c>
      <c r="W43" s="46">
        <f t="shared" si="4"/>
        <v>1062706.659</v>
      </c>
      <c r="X43" s="46">
        <f t="shared" si="4"/>
        <v>1077584.552</v>
      </c>
      <c r="Y43" s="46">
        <f t="shared" si="4"/>
        <v>1092670.736</v>
      </c>
      <c r="Z43" s="46">
        <f t="shared" si="4"/>
        <v>1107968.126</v>
      </c>
      <c r="AA43" s="46">
        <f t="shared" si="4"/>
        <v>1123479.68</v>
      </c>
      <c r="AB43" s="46">
        <f t="shared" si="4"/>
        <v>1139208.396</v>
      </c>
      <c r="AC43" s="46">
        <f t="shared" si="4"/>
        <v>1155157.313</v>
      </c>
      <c r="AD43" s="46">
        <f t="shared" si="4"/>
        <v>1171329.516</v>
      </c>
      <c r="AE43" s="46">
        <f t="shared" si="4"/>
        <v>1187728.129</v>
      </c>
      <c r="AF43" s="46">
        <f t="shared" si="4"/>
        <v>1204356.323</v>
      </c>
      <c r="AG43" s="46">
        <f t="shared" si="4"/>
        <v>1221217.311</v>
      </c>
      <c r="AH43" s="46">
        <f t="shared" si="4"/>
        <v>1238314.353</v>
      </c>
      <c r="AI43" s="46">
        <f t="shared" si="4"/>
        <v>1255650.754</v>
      </c>
      <c r="AJ43" s="46">
        <f t="shared" si="4"/>
        <v>1273229.865</v>
      </c>
      <c r="AK43" s="46">
        <f t="shared" si="4"/>
        <v>1291055.083</v>
      </c>
      <c r="AL43" s="46">
        <f t="shared" si="4"/>
        <v>1309129.854</v>
      </c>
      <c r="AM43" s="46">
        <f t="shared" si="4"/>
        <v>1327457.672</v>
      </c>
      <c r="AN43" s="46">
        <f t="shared" si="4"/>
        <v>1346042.08</v>
      </c>
      <c r="AO43" s="46">
        <f t="shared" si="4"/>
        <v>1364886.669</v>
      </c>
      <c r="AP43" s="46">
        <f t="shared" si="4"/>
        <v>1383995.082</v>
      </c>
      <c r="AQ43" s="46">
        <f t="shared" si="4"/>
        <v>1403371.013</v>
      </c>
      <c r="AR43" s="46">
        <f t="shared" si="4"/>
        <v>1423018.207</v>
      </c>
      <c r="AS43" s="46">
        <f t="shared" si="4"/>
        <v>1442940.462</v>
      </c>
      <c r="AT43" s="46">
        <f t="shared" si="4"/>
        <v>1463141.629</v>
      </c>
      <c r="AU43" s="46">
        <f t="shared" si="4"/>
        <v>1483625.612</v>
      </c>
      <c r="AV43" s="46">
        <f t="shared" si="4"/>
        <v>1504396.37</v>
      </c>
      <c r="AW43" s="46">
        <f t="shared" si="4"/>
        <v>1525457.919</v>
      </c>
      <c r="AX43" s="46">
        <f t="shared" si="4"/>
        <v>1546814.33</v>
      </c>
      <c r="AY43" s="46">
        <f t="shared" si="4"/>
        <v>1568469.731</v>
      </c>
    </row>
    <row r="44">
      <c r="A44" s="32" t="s">
        <v>83</v>
      </c>
      <c r="B44" s="46">
        <f t="shared" ref="B44:AY44" si="5">B43*$B$36</f>
        <v>340716.2847</v>
      </c>
      <c r="C44" s="46">
        <f t="shared" si="5"/>
        <v>345486.3127</v>
      </c>
      <c r="D44" s="46">
        <f t="shared" si="5"/>
        <v>350323.1211</v>
      </c>
      <c r="E44" s="46">
        <f t="shared" si="5"/>
        <v>355227.6448</v>
      </c>
      <c r="F44" s="46">
        <f t="shared" si="5"/>
        <v>360200.8318</v>
      </c>
      <c r="G44" s="46">
        <f t="shared" si="5"/>
        <v>365243.6435</v>
      </c>
      <c r="H44" s="46">
        <f t="shared" si="5"/>
        <v>370357.0545</v>
      </c>
      <c r="I44" s="46">
        <f t="shared" si="5"/>
        <v>375542.0532</v>
      </c>
      <c r="J44" s="46">
        <f t="shared" si="5"/>
        <v>380799.642</v>
      </c>
      <c r="K44" s="46">
        <f t="shared" si="5"/>
        <v>386130.837</v>
      </c>
      <c r="L44" s="46">
        <f t="shared" si="5"/>
        <v>391536.6687</v>
      </c>
      <c r="M44" s="46">
        <f t="shared" si="5"/>
        <v>397018.1821</v>
      </c>
      <c r="N44" s="46">
        <f t="shared" si="5"/>
        <v>402576.4366</v>
      </c>
      <c r="O44" s="46">
        <f t="shared" si="5"/>
        <v>408212.5067</v>
      </c>
      <c r="P44" s="46">
        <f t="shared" si="5"/>
        <v>413927.4818</v>
      </c>
      <c r="Q44" s="46">
        <f t="shared" si="5"/>
        <v>419722.4666</v>
      </c>
      <c r="R44" s="46">
        <f t="shared" si="5"/>
        <v>425598.5811</v>
      </c>
      <c r="S44" s="46">
        <f t="shared" si="5"/>
        <v>431556.9612</v>
      </c>
      <c r="T44" s="46">
        <f t="shared" si="5"/>
        <v>437598.7587</v>
      </c>
      <c r="U44" s="46">
        <f t="shared" si="5"/>
        <v>443725.1413</v>
      </c>
      <c r="V44" s="46">
        <f t="shared" si="5"/>
        <v>449937.2933</v>
      </c>
      <c r="W44" s="46">
        <f t="shared" si="5"/>
        <v>456236.4154</v>
      </c>
      <c r="X44" s="46">
        <f t="shared" si="5"/>
        <v>462623.7252</v>
      </c>
      <c r="Y44" s="46">
        <f t="shared" si="5"/>
        <v>469100.4574</v>
      </c>
      <c r="Z44" s="46">
        <f t="shared" si="5"/>
        <v>475667.8638</v>
      </c>
      <c r="AA44" s="46">
        <f t="shared" si="5"/>
        <v>482327.2138</v>
      </c>
      <c r="AB44" s="46">
        <f t="shared" si="5"/>
        <v>489079.7948</v>
      </c>
      <c r="AC44" s="46">
        <f t="shared" si="5"/>
        <v>495926.912</v>
      </c>
      <c r="AD44" s="46">
        <f t="shared" si="5"/>
        <v>502869.8887</v>
      </c>
      <c r="AE44" s="46">
        <f t="shared" si="5"/>
        <v>509910.0672</v>
      </c>
      <c r="AF44" s="46">
        <f t="shared" si="5"/>
        <v>517048.8081</v>
      </c>
      <c r="AG44" s="46">
        <f t="shared" si="5"/>
        <v>524287.4914</v>
      </c>
      <c r="AH44" s="46">
        <f t="shared" si="5"/>
        <v>531627.5163</v>
      </c>
      <c r="AI44" s="46">
        <f t="shared" si="5"/>
        <v>539070.3015</v>
      </c>
      <c r="AJ44" s="46">
        <f t="shared" si="5"/>
        <v>546617.2858</v>
      </c>
      <c r="AK44" s="46">
        <f t="shared" si="5"/>
        <v>554269.9278</v>
      </c>
      <c r="AL44" s="46">
        <f t="shared" si="5"/>
        <v>562029.7068</v>
      </c>
      <c r="AM44" s="46">
        <f t="shared" si="5"/>
        <v>569898.1226</v>
      </c>
      <c r="AN44" s="46">
        <f t="shared" si="5"/>
        <v>577876.6964</v>
      </c>
      <c r="AO44" s="46">
        <f t="shared" si="5"/>
        <v>585966.9701</v>
      </c>
      <c r="AP44" s="46">
        <f t="shared" si="5"/>
        <v>594170.5077</v>
      </c>
      <c r="AQ44" s="46">
        <f t="shared" si="5"/>
        <v>602488.8948</v>
      </c>
      <c r="AR44" s="46">
        <f t="shared" si="5"/>
        <v>610923.7393</v>
      </c>
      <c r="AS44" s="46">
        <f t="shared" si="5"/>
        <v>619476.6717</v>
      </c>
      <c r="AT44" s="46">
        <f t="shared" si="5"/>
        <v>628149.3451</v>
      </c>
      <c r="AU44" s="46">
        <f t="shared" si="5"/>
        <v>636943.4359</v>
      </c>
      <c r="AV44" s="46">
        <f t="shared" si="5"/>
        <v>645860.644</v>
      </c>
      <c r="AW44" s="46">
        <f t="shared" si="5"/>
        <v>654902.693</v>
      </c>
      <c r="AX44" s="46">
        <f t="shared" si="5"/>
        <v>664071.3307</v>
      </c>
      <c r="AY44" s="46">
        <f t="shared" si="5"/>
        <v>673368.3294</v>
      </c>
    </row>
    <row r="45">
      <c r="A45" s="1" t="s">
        <v>84</v>
      </c>
      <c r="B45" s="46">
        <v>0.0</v>
      </c>
      <c r="C45" s="46">
        <v>0.0</v>
      </c>
      <c r="D45" s="46">
        <v>0.0</v>
      </c>
      <c r="E45" s="47">
        <f t="shared" ref="E45:AY45" si="6">(E42*$B$20*$B$21*$B$22)*(1-$B$23)-E44</f>
        <v>16013662.23</v>
      </c>
      <c r="F45" s="47">
        <f t="shared" si="6"/>
        <v>16237853.5</v>
      </c>
      <c r="G45" s="47">
        <f t="shared" si="6"/>
        <v>16465183.45</v>
      </c>
      <c r="H45" s="47">
        <f t="shared" si="6"/>
        <v>16695696.02</v>
      </c>
      <c r="I45" s="47">
        <f t="shared" si="6"/>
        <v>16929435.76</v>
      </c>
      <c r="J45" s="47">
        <f t="shared" si="6"/>
        <v>17166447.86</v>
      </c>
      <c r="K45" s="47">
        <f t="shared" si="6"/>
        <v>17406778.13</v>
      </c>
      <c r="L45" s="47">
        <f t="shared" si="6"/>
        <v>17650473.02</v>
      </c>
      <c r="M45" s="47">
        <f t="shared" si="6"/>
        <v>17897579.65</v>
      </c>
      <c r="N45" s="47">
        <f t="shared" si="6"/>
        <v>18148145.76</v>
      </c>
      <c r="O45" s="47">
        <f t="shared" si="6"/>
        <v>18402219.8</v>
      </c>
      <c r="P45" s="47">
        <f t="shared" si="6"/>
        <v>18659850.88</v>
      </c>
      <c r="Q45" s="47">
        <f t="shared" si="6"/>
        <v>18921088.79</v>
      </c>
      <c r="R45" s="47">
        <f t="shared" si="6"/>
        <v>19185984.04</v>
      </c>
      <c r="S45" s="47">
        <f t="shared" si="6"/>
        <v>19454587.81</v>
      </c>
      <c r="T45" s="47">
        <f t="shared" si="6"/>
        <v>19726952.04</v>
      </c>
      <c r="U45" s="47">
        <f t="shared" si="6"/>
        <v>20003129.37</v>
      </c>
      <c r="V45" s="47">
        <f t="shared" si="6"/>
        <v>20283173.18</v>
      </c>
      <c r="W45" s="47">
        <f t="shared" si="6"/>
        <v>20567137.61</v>
      </c>
      <c r="X45" s="47">
        <f t="shared" si="6"/>
        <v>20855077.53</v>
      </c>
      <c r="Y45" s="47">
        <f t="shared" si="6"/>
        <v>21147048.62</v>
      </c>
      <c r="Z45" s="47">
        <f t="shared" si="6"/>
        <v>21443107.3</v>
      </c>
      <c r="AA45" s="47">
        <f t="shared" si="6"/>
        <v>21743310.8</v>
      </c>
      <c r="AB45" s="47">
        <f t="shared" si="6"/>
        <v>22047717.15</v>
      </c>
      <c r="AC45" s="47">
        <f t="shared" si="6"/>
        <v>22356385.19</v>
      </c>
      <c r="AD45" s="47">
        <f t="shared" si="6"/>
        <v>22669374.58</v>
      </c>
      <c r="AE45" s="47">
        <f t="shared" si="6"/>
        <v>22986745.83</v>
      </c>
      <c r="AF45" s="47">
        <f t="shared" si="6"/>
        <v>23308560.27</v>
      </c>
      <c r="AG45" s="47">
        <f t="shared" si="6"/>
        <v>23634880.11</v>
      </c>
      <c r="AH45" s="47">
        <f t="shared" si="6"/>
        <v>23965768.44</v>
      </c>
      <c r="AI45" s="47">
        <f t="shared" si="6"/>
        <v>24301289.19</v>
      </c>
      <c r="AJ45" s="47">
        <f t="shared" si="6"/>
        <v>24641507.24</v>
      </c>
      <c r="AK45" s="47">
        <f t="shared" si="6"/>
        <v>24986488.34</v>
      </c>
      <c r="AL45" s="47">
        <f t="shared" si="6"/>
        <v>25336299.18</v>
      </c>
      <c r="AM45" s="47">
        <f t="shared" si="6"/>
        <v>25691007.37</v>
      </c>
      <c r="AN45" s="47">
        <f t="shared" si="6"/>
        <v>26050681.47</v>
      </c>
      <c r="AO45" s="47">
        <f t="shared" si="6"/>
        <v>26415391.01</v>
      </c>
      <c r="AP45" s="47">
        <f t="shared" si="6"/>
        <v>26785206.49</v>
      </c>
      <c r="AQ45" s="47">
        <f t="shared" si="6"/>
        <v>27160199.38</v>
      </c>
      <c r="AR45" s="47">
        <f t="shared" si="6"/>
        <v>27540442.17</v>
      </c>
      <c r="AS45" s="47">
        <f t="shared" si="6"/>
        <v>27926008.36</v>
      </c>
      <c r="AT45" s="47">
        <f t="shared" si="6"/>
        <v>28316972.48</v>
      </c>
      <c r="AU45" s="47">
        <f t="shared" si="6"/>
        <v>28713410.09</v>
      </c>
      <c r="AV45" s="47">
        <f t="shared" si="6"/>
        <v>29115397.83</v>
      </c>
      <c r="AW45" s="47">
        <f t="shared" si="6"/>
        <v>29523013.4</v>
      </c>
      <c r="AX45" s="47">
        <f t="shared" si="6"/>
        <v>29936335.59</v>
      </c>
      <c r="AY45" s="47">
        <f t="shared" si="6"/>
        <v>30355444.29</v>
      </c>
    </row>
    <row r="46">
      <c r="A46" s="1"/>
      <c r="B46" s="2"/>
      <c r="C46" s="2"/>
      <c r="D46" s="2"/>
      <c r="E46" s="2"/>
      <c r="F46" s="2"/>
      <c r="G46" s="48"/>
      <c r="H46" s="2"/>
      <c r="I46" s="2"/>
      <c r="J46" s="2"/>
      <c r="K46" s="2"/>
    </row>
    <row r="47">
      <c r="A47" s="7" t="s">
        <v>85</v>
      </c>
      <c r="B47" s="7"/>
      <c r="C47" s="7"/>
      <c r="D47" s="7"/>
      <c r="E47" s="7"/>
      <c r="F47" s="7"/>
      <c r="G47" s="8"/>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row>
    <row r="48">
      <c r="A48" s="1" t="s">
        <v>4</v>
      </c>
      <c r="B48" s="2">
        <f t="array" ref="B48">NPV(B24,41:41)</f>
        <v>2242439.53</v>
      </c>
      <c r="G48" s="49"/>
      <c r="J48" s="50"/>
      <c r="K48" s="51"/>
    </row>
    <row r="49">
      <c r="A49" s="1" t="s">
        <v>5</v>
      </c>
      <c r="B49" s="2">
        <f t="array" ref="B49">NPV(B27,45:45)</f>
        <v>171806218.3</v>
      </c>
      <c r="G49" s="49"/>
    </row>
    <row r="50">
      <c r="A50" s="1" t="s">
        <v>6</v>
      </c>
      <c r="B50" s="2">
        <f>B49/B48</f>
        <v>76.61576422</v>
      </c>
      <c r="G50" s="49"/>
    </row>
    <row r="51">
      <c r="G51" s="49"/>
    </row>
    <row r="52">
      <c r="G52" s="49"/>
    </row>
    <row r="53">
      <c r="G53" s="49"/>
    </row>
    <row r="54">
      <c r="G54" s="49"/>
    </row>
    <row r="55">
      <c r="G55" s="49"/>
    </row>
    <row r="56">
      <c r="G56" s="49"/>
    </row>
    <row r="57">
      <c r="G57" s="49"/>
    </row>
    <row r="58">
      <c r="G58" s="49"/>
    </row>
    <row r="59">
      <c r="G59" s="49"/>
    </row>
    <row r="60">
      <c r="G60" s="49"/>
    </row>
    <row r="61">
      <c r="G61" s="49"/>
    </row>
    <row r="62">
      <c r="G62" s="49"/>
    </row>
    <row r="63">
      <c r="G63" s="49"/>
    </row>
    <row r="64">
      <c r="G64" s="49"/>
    </row>
    <row r="65">
      <c r="G65" s="49"/>
    </row>
    <row r="66">
      <c r="G66" s="49"/>
    </row>
    <row r="67">
      <c r="G67" s="49"/>
    </row>
    <row r="68">
      <c r="G68" s="49"/>
    </row>
    <row r="69">
      <c r="G69" s="49"/>
    </row>
    <row r="70">
      <c r="G70" s="49"/>
    </row>
    <row r="71">
      <c r="G71" s="49"/>
    </row>
    <row r="72">
      <c r="G72" s="49"/>
    </row>
    <row r="73">
      <c r="G73" s="49"/>
    </row>
    <row r="74">
      <c r="G74" s="49"/>
    </row>
    <row r="75">
      <c r="G75" s="49"/>
    </row>
    <row r="76">
      <c r="G76" s="49"/>
    </row>
    <row r="77">
      <c r="G77" s="49"/>
    </row>
    <row r="78">
      <c r="G78" s="49"/>
    </row>
    <row r="79">
      <c r="G79" s="49"/>
    </row>
    <row r="80">
      <c r="G80" s="49"/>
    </row>
    <row r="81">
      <c r="G81" s="49"/>
    </row>
    <row r="82">
      <c r="G82" s="49"/>
    </row>
    <row r="83">
      <c r="G83" s="49"/>
    </row>
    <row r="84">
      <c r="G84" s="49"/>
    </row>
    <row r="85">
      <c r="G85" s="49"/>
    </row>
    <row r="86">
      <c r="G86" s="49"/>
    </row>
    <row r="87">
      <c r="G87" s="49"/>
    </row>
    <row r="88">
      <c r="G88" s="49"/>
    </row>
    <row r="89">
      <c r="G89" s="49"/>
    </row>
    <row r="90">
      <c r="G90" s="49"/>
    </row>
    <row r="91">
      <c r="G91" s="49"/>
    </row>
    <row r="92">
      <c r="G92" s="49"/>
    </row>
    <row r="93">
      <c r="G93" s="49"/>
    </row>
    <row r="94">
      <c r="G94" s="49"/>
    </row>
    <row r="95">
      <c r="G95" s="49"/>
    </row>
    <row r="96">
      <c r="G96" s="49"/>
    </row>
    <row r="97">
      <c r="G97" s="49"/>
    </row>
    <row r="98">
      <c r="G98" s="49"/>
    </row>
    <row r="99">
      <c r="G99" s="49"/>
    </row>
    <row r="100">
      <c r="G100" s="49"/>
    </row>
    <row r="101">
      <c r="G101" s="49"/>
    </row>
    <row r="102">
      <c r="G102" s="49"/>
    </row>
    <row r="103">
      <c r="G103" s="49"/>
    </row>
    <row r="104">
      <c r="G104" s="49"/>
    </row>
    <row r="105">
      <c r="G105" s="49"/>
    </row>
    <row r="106">
      <c r="G106" s="49"/>
    </row>
    <row r="107">
      <c r="G107" s="49"/>
    </row>
    <row r="108">
      <c r="G108" s="49"/>
    </row>
    <row r="109">
      <c r="G109" s="49"/>
    </row>
    <row r="110">
      <c r="G110" s="49"/>
    </row>
    <row r="111">
      <c r="G111" s="49"/>
    </row>
    <row r="112">
      <c r="G112" s="49"/>
    </row>
    <row r="113">
      <c r="G113" s="49"/>
    </row>
    <row r="114">
      <c r="G114" s="49"/>
    </row>
    <row r="115">
      <c r="G115" s="49"/>
    </row>
    <row r="116">
      <c r="G116" s="49"/>
    </row>
    <row r="117">
      <c r="G117" s="49"/>
    </row>
    <row r="118">
      <c r="G118" s="49"/>
    </row>
    <row r="119">
      <c r="G119" s="49"/>
    </row>
    <row r="120">
      <c r="G120" s="49"/>
    </row>
    <row r="121">
      <c r="G121" s="49"/>
    </row>
    <row r="122">
      <c r="G122" s="49"/>
    </row>
    <row r="123">
      <c r="G123" s="49"/>
    </row>
    <row r="124">
      <c r="G124" s="49"/>
    </row>
    <row r="125">
      <c r="G125" s="49"/>
    </row>
    <row r="126">
      <c r="G126" s="49"/>
    </row>
    <row r="127">
      <c r="G127" s="49"/>
    </row>
    <row r="128">
      <c r="G128" s="49"/>
    </row>
    <row r="129">
      <c r="G129" s="49"/>
    </row>
    <row r="130">
      <c r="G130" s="49"/>
    </row>
    <row r="131">
      <c r="G131" s="49"/>
    </row>
    <row r="132">
      <c r="G132" s="49"/>
    </row>
    <row r="133">
      <c r="G133" s="49"/>
    </row>
    <row r="134">
      <c r="G134" s="49"/>
    </row>
    <row r="135">
      <c r="G135" s="49"/>
    </row>
    <row r="136">
      <c r="G136" s="49"/>
    </row>
    <row r="137">
      <c r="G137" s="49"/>
    </row>
    <row r="138">
      <c r="G138" s="49"/>
    </row>
    <row r="139">
      <c r="G139" s="49"/>
    </row>
    <row r="140">
      <c r="G140" s="49"/>
    </row>
    <row r="141">
      <c r="G141" s="49"/>
    </row>
    <row r="142">
      <c r="G142" s="49"/>
    </row>
    <row r="143">
      <c r="G143" s="49"/>
    </row>
    <row r="144">
      <c r="G144" s="49"/>
    </row>
    <row r="145">
      <c r="G145" s="49"/>
    </row>
    <row r="146">
      <c r="G146" s="49"/>
    </row>
    <row r="147">
      <c r="G147" s="49"/>
    </row>
    <row r="148">
      <c r="G148" s="49"/>
    </row>
    <row r="149">
      <c r="G149" s="49"/>
    </row>
    <row r="150">
      <c r="G150" s="49"/>
    </row>
    <row r="151">
      <c r="G151" s="49"/>
    </row>
    <row r="152">
      <c r="G152" s="49"/>
    </row>
    <row r="153">
      <c r="G153" s="49"/>
    </row>
    <row r="154">
      <c r="G154" s="49"/>
    </row>
    <row r="155">
      <c r="G155" s="49"/>
    </row>
    <row r="156">
      <c r="G156" s="49"/>
    </row>
    <row r="157">
      <c r="G157" s="49"/>
    </row>
    <row r="158">
      <c r="G158" s="49"/>
    </row>
    <row r="159">
      <c r="G159" s="49"/>
    </row>
    <row r="160">
      <c r="G160" s="49"/>
    </row>
    <row r="161">
      <c r="G161" s="49"/>
    </row>
    <row r="162">
      <c r="G162" s="49"/>
    </row>
    <row r="163">
      <c r="G163" s="49"/>
    </row>
    <row r="164">
      <c r="G164" s="49"/>
    </row>
    <row r="165">
      <c r="G165" s="49"/>
    </row>
    <row r="166">
      <c r="G166" s="49"/>
    </row>
    <row r="167">
      <c r="G167" s="49"/>
    </row>
    <row r="168">
      <c r="G168" s="49"/>
    </row>
    <row r="169">
      <c r="G169" s="49"/>
    </row>
    <row r="170">
      <c r="G170" s="49"/>
    </row>
    <row r="171">
      <c r="G171" s="49"/>
    </row>
    <row r="172">
      <c r="G172" s="49"/>
    </row>
    <row r="173">
      <c r="G173" s="49"/>
    </row>
    <row r="174">
      <c r="G174" s="49"/>
    </row>
    <row r="175">
      <c r="G175" s="49"/>
    </row>
    <row r="176">
      <c r="G176" s="49"/>
    </row>
    <row r="177">
      <c r="G177" s="49"/>
    </row>
    <row r="178">
      <c r="G178" s="49"/>
    </row>
    <row r="179">
      <c r="G179" s="49"/>
    </row>
    <row r="180">
      <c r="G180" s="49"/>
    </row>
    <row r="181">
      <c r="G181" s="49"/>
    </row>
    <row r="182">
      <c r="G182" s="49"/>
    </row>
    <row r="183">
      <c r="G183" s="49"/>
    </row>
    <row r="184">
      <c r="G184" s="49"/>
    </row>
    <row r="185">
      <c r="G185" s="49"/>
    </row>
    <row r="186">
      <c r="G186" s="49"/>
    </row>
    <row r="187">
      <c r="G187" s="49"/>
    </row>
    <row r="188">
      <c r="G188" s="49"/>
    </row>
    <row r="189">
      <c r="G189" s="49"/>
    </row>
    <row r="190">
      <c r="G190" s="49"/>
    </row>
    <row r="191">
      <c r="G191" s="49"/>
    </row>
    <row r="192">
      <c r="G192" s="49"/>
    </row>
    <row r="193">
      <c r="G193" s="49"/>
    </row>
    <row r="194">
      <c r="G194" s="49"/>
    </row>
    <row r="195">
      <c r="G195" s="49"/>
    </row>
    <row r="196">
      <c r="G196" s="49"/>
    </row>
    <row r="197">
      <c r="G197" s="49"/>
    </row>
    <row r="198">
      <c r="G198" s="49"/>
    </row>
    <row r="199">
      <c r="G199" s="49"/>
    </row>
    <row r="200">
      <c r="G200" s="49"/>
    </row>
    <row r="201">
      <c r="G201" s="49"/>
    </row>
    <row r="202">
      <c r="G202" s="49"/>
    </row>
    <row r="203">
      <c r="G203" s="49"/>
    </row>
    <row r="204">
      <c r="G204" s="49"/>
    </row>
    <row r="205">
      <c r="G205" s="49"/>
    </row>
    <row r="206">
      <c r="G206" s="49"/>
    </row>
    <row r="207">
      <c r="G207" s="49"/>
    </row>
    <row r="208">
      <c r="G208" s="49"/>
    </row>
    <row r="209">
      <c r="G209" s="49"/>
    </row>
    <row r="210">
      <c r="G210" s="49"/>
    </row>
    <row r="211">
      <c r="G211" s="49"/>
    </row>
    <row r="212">
      <c r="G212" s="49"/>
    </row>
    <row r="213">
      <c r="G213" s="49"/>
    </row>
    <row r="214">
      <c r="G214" s="49"/>
    </row>
    <row r="215">
      <c r="G215" s="49"/>
    </row>
    <row r="216">
      <c r="G216" s="49"/>
    </row>
    <row r="217">
      <c r="G217" s="49"/>
    </row>
    <row r="218">
      <c r="G218" s="49"/>
    </row>
    <row r="219">
      <c r="G219" s="49"/>
    </row>
    <row r="220">
      <c r="G220" s="49"/>
    </row>
    <row r="221">
      <c r="G221" s="49"/>
    </row>
    <row r="222">
      <c r="G222" s="49"/>
    </row>
    <row r="223">
      <c r="G223" s="49"/>
    </row>
    <row r="224">
      <c r="G224" s="49"/>
    </row>
    <row r="225">
      <c r="G225" s="49"/>
    </row>
    <row r="226">
      <c r="G226" s="49"/>
    </row>
    <row r="227">
      <c r="G227" s="49"/>
    </row>
    <row r="228">
      <c r="G228" s="49"/>
    </row>
    <row r="229">
      <c r="G229" s="49"/>
    </row>
    <row r="230">
      <c r="G230" s="49"/>
    </row>
    <row r="231">
      <c r="G231" s="49"/>
    </row>
    <row r="232">
      <c r="G232" s="49"/>
    </row>
    <row r="233">
      <c r="G233" s="49"/>
    </row>
    <row r="234">
      <c r="G234" s="49"/>
    </row>
    <row r="235">
      <c r="G235" s="49"/>
    </row>
    <row r="236">
      <c r="G236" s="49"/>
    </row>
    <row r="237">
      <c r="G237" s="49"/>
    </row>
    <row r="238">
      <c r="G238" s="49"/>
    </row>
    <row r="239">
      <c r="G239" s="49"/>
    </row>
    <row r="240">
      <c r="G240" s="49"/>
    </row>
    <row r="241">
      <c r="G241" s="49"/>
    </row>
    <row r="242">
      <c r="G242" s="49"/>
    </row>
    <row r="243">
      <c r="G243" s="49"/>
    </row>
    <row r="244">
      <c r="G244" s="49"/>
    </row>
    <row r="245">
      <c r="G245" s="49"/>
    </row>
    <row r="246">
      <c r="G246" s="49"/>
    </row>
    <row r="247">
      <c r="G247" s="49"/>
    </row>
    <row r="248">
      <c r="G248" s="49"/>
    </row>
    <row r="249">
      <c r="G249" s="49"/>
    </row>
    <row r="250">
      <c r="G250" s="49"/>
    </row>
    <row r="251">
      <c r="G251" s="49"/>
    </row>
    <row r="252">
      <c r="G252" s="49"/>
    </row>
    <row r="253">
      <c r="G253" s="49"/>
    </row>
    <row r="254">
      <c r="G254" s="49"/>
    </row>
    <row r="255">
      <c r="G255" s="49"/>
    </row>
    <row r="256">
      <c r="G256" s="49"/>
    </row>
    <row r="257">
      <c r="G257" s="49"/>
    </row>
    <row r="258">
      <c r="G258" s="49"/>
    </row>
    <row r="259">
      <c r="G259" s="49"/>
    </row>
    <row r="260">
      <c r="G260" s="49"/>
    </row>
    <row r="261">
      <c r="G261" s="49"/>
    </row>
    <row r="262">
      <c r="G262" s="49"/>
    </row>
    <row r="263">
      <c r="G263" s="49"/>
    </row>
    <row r="264">
      <c r="G264" s="49"/>
    </row>
    <row r="265">
      <c r="G265" s="49"/>
    </row>
    <row r="266">
      <c r="G266" s="49"/>
    </row>
    <row r="267">
      <c r="G267" s="49"/>
    </row>
    <row r="268">
      <c r="G268" s="49"/>
    </row>
    <row r="269">
      <c r="G269" s="49"/>
    </row>
    <row r="270">
      <c r="G270" s="49"/>
    </row>
    <row r="271">
      <c r="G271" s="49"/>
    </row>
    <row r="272">
      <c r="G272" s="49"/>
    </row>
    <row r="273">
      <c r="G273" s="49"/>
    </row>
    <row r="274">
      <c r="G274" s="49"/>
    </row>
    <row r="275">
      <c r="G275" s="49"/>
    </row>
    <row r="276">
      <c r="G276" s="49"/>
    </row>
    <row r="277">
      <c r="G277" s="49"/>
    </row>
    <row r="278">
      <c r="G278" s="49"/>
    </row>
    <row r="279">
      <c r="G279" s="49"/>
    </row>
    <row r="280">
      <c r="G280" s="49"/>
    </row>
    <row r="281">
      <c r="G281" s="49"/>
    </row>
    <row r="282">
      <c r="G282" s="49"/>
    </row>
    <row r="283">
      <c r="G283" s="49"/>
    </row>
    <row r="284">
      <c r="G284" s="49"/>
    </row>
    <row r="285">
      <c r="G285" s="49"/>
    </row>
    <row r="286">
      <c r="G286" s="49"/>
    </row>
    <row r="287">
      <c r="G287" s="49"/>
    </row>
    <row r="288">
      <c r="G288" s="49"/>
    </row>
    <row r="289">
      <c r="G289" s="49"/>
    </row>
    <row r="290">
      <c r="G290" s="49"/>
    </row>
    <row r="291">
      <c r="G291" s="49"/>
    </row>
    <row r="292">
      <c r="G292" s="49"/>
    </row>
    <row r="293">
      <c r="G293" s="49"/>
    </row>
    <row r="294">
      <c r="G294" s="49"/>
    </row>
    <row r="295">
      <c r="G295" s="49"/>
    </row>
    <row r="296">
      <c r="G296" s="49"/>
    </row>
    <row r="297">
      <c r="G297" s="49"/>
    </row>
    <row r="298">
      <c r="G298" s="49"/>
    </row>
    <row r="299">
      <c r="G299" s="49"/>
    </row>
    <row r="300">
      <c r="G300" s="49"/>
    </row>
    <row r="301">
      <c r="G301" s="49"/>
    </row>
    <row r="302">
      <c r="G302" s="49"/>
    </row>
    <row r="303">
      <c r="G303" s="49"/>
    </row>
    <row r="304">
      <c r="G304" s="49"/>
    </row>
    <row r="305">
      <c r="G305" s="49"/>
    </row>
    <row r="306">
      <c r="G306" s="49"/>
    </row>
    <row r="307">
      <c r="G307" s="49"/>
    </row>
    <row r="308">
      <c r="G308" s="49"/>
    </row>
    <row r="309">
      <c r="G309" s="49"/>
    </row>
    <row r="310">
      <c r="G310" s="49"/>
    </row>
    <row r="311">
      <c r="G311" s="49"/>
    </row>
    <row r="312">
      <c r="G312" s="49"/>
    </row>
    <row r="313">
      <c r="G313" s="49"/>
    </row>
    <row r="314">
      <c r="G314" s="49"/>
    </row>
    <row r="315">
      <c r="G315" s="49"/>
    </row>
    <row r="316">
      <c r="G316" s="49"/>
    </row>
    <row r="317">
      <c r="G317" s="49"/>
    </row>
    <row r="318">
      <c r="G318" s="49"/>
    </row>
    <row r="319">
      <c r="G319" s="49"/>
    </row>
    <row r="320">
      <c r="G320" s="49"/>
    </row>
    <row r="321">
      <c r="G321" s="49"/>
    </row>
    <row r="322">
      <c r="G322" s="49"/>
    </row>
    <row r="323">
      <c r="G323" s="49"/>
    </row>
    <row r="324">
      <c r="G324" s="49"/>
    </row>
    <row r="325">
      <c r="G325" s="49"/>
    </row>
    <row r="326">
      <c r="G326" s="49"/>
    </row>
    <row r="327">
      <c r="G327" s="49"/>
    </row>
    <row r="328">
      <c r="G328" s="49"/>
    </row>
    <row r="329">
      <c r="G329" s="49"/>
    </row>
    <row r="330">
      <c r="G330" s="49"/>
    </row>
    <row r="331">
      <c r="G331" s="49"/>
    </row>
    <row r="332">
      <c r="G332" s="49"/>
    </row>
    <row r="333">
      <c r="G333" s="49"/>
    </row>
    <row r="334">
      <c r="G334" s="49"/>
    </row>
    <row r="335">
      <c r="G335" s="49"/>
    </row>
    <row r="336">
      <c r="G336" s="49"/>
    </row>
    <row r="337">
      <c r="G337" s="49"/>
    </row>
    <row r="338">
      <c r="G338" s="49"/>
    </row>
    <row r="339">
      <c r="G339" s="49"/>
    </row>
    <row r="340">
      <c r="G340" s="49"/>
    </row>
    <row r="341">
      <c r="G341" s="49"/>
    </row>
    <row r="342">
      <c r="G342" s="49"/>
    </row>
    <row r="343">
      <c r="G343" s="49"/>
    </row>
    <row r="344">
      <c r="G344" s="49"/>
    </row>
    <row r="345">
      <c r="G345" s="49"/>
    </row>
    <row r="346">
      <c r="G346" s="49"/>
    </row>
    <row r="347">
      <c r="G347" s="49"/>
    </row>
    <row r="348">
      <c r="G348" s="49"/>
    </row>
    <row r="349">
      <c r="G349" s="49"/>
    </row>
    <row r="350">
      <c r="G350" s="49"/>
    </row>
    <row r="351">
      <c r="G351" s="49"/>
    </row>
    <row r="352">
      <c r="G352" s="49"/>
    </row>
    <row r="353">
      <c r="G353" s="49"/>
    </row>
    <row r="354">
      <c r="G354" s="49"/>
    </row>
    <row r="355">
      <c r="G355" s="49"/>
    </row>
    <row r="356">
      <c r="G356" s="49"/>
    </row>
    <row r="357">
      <c r="G357" s="49"/>
    </row>
    <row r="358">
      <c r="G358" s="49"/>
    </row>
    <row r="359">
      <c r="G359" s="49"/>
    </row>
    <row r="360">
      <c r="G360" s="49"/>
    </row>
    <row r="361">
      <c r="G361" s="49"/>
    </row>
    <row r="362">
      <c r="G362" s="49"/>
    </row>
    <row r="363">
      <c r="G363" s="49"/>
    </row>
    <row r="364">
      <c r="G364" s="49"/>
    </row>
    <row r="365">
      <c r="G365" s="49"/>
    </row>
    <row r="366">
      <c r="G366" s="49"/>
    </row>
    <row r="367">
      <c r="G367" s="49"/>
    </row>
    <row r="368">
      <c r="G368" s="49"/>
    </row>
    <row r="369">
      <c r="G369" s="49"/>
    </row>
    <row r="370">
      <c r="G370" s="49"/>
    </row>
    <row r="371">
      <c r="G371" s="49"/>
    </row>
    <row r="372">
      <c r="G372" s="49"/>
    </row>
    <row r="373">
      <c r="G373" s="49"/>
    </row>
    <row r="374">
      <c r="G374" s="49"/>
    </row>
    <row r="375">
      <c r="G375" s="49"/>
    </row>
    <row r="376">
      <c r="G376" s="49"/>
    </row>
    <row r="377">
      <c r="G377" s="49"/>
    </row>
    <row r="378">
      <c r="G378" s="49"/>
    </row>
    <row r="379">
      <c r="G379" s="49"/>
    </row>
    <row r="380">
      <c r="G380" s="49"/>
    </row>
    <row r="381">
      <c r="G381" s="49"/>
    </row>
    <row r="382">
      <c r="G382" s="49"/>
    </row>
    <row r="383">
      <c r="G383" s="49"/>
    </row>
    <row r="384">
      <c r="G384" s="49"/>
    </row>
    <row r="385">
      <c r="G385" s="49"/>
    </row>
    <row r="386">
      <c r="G386" s="49"/>
    </row>
    <row r="387">
      <c r="G387" s="49"/>
    </row>
    <row r="388">
      <c r="G388" s="49"/>
    </row>
    <row r="389">
      <c r="G389" s="49"/>
    </row>
    <row r="390">
      <c r="G390" s="49"/>
    </row>
    <row r="391">
      <c r="G391" s="49"/>
    </row>
    <row r="392">
      <c r="G392" s="49"/>
    </row>
    <row r="393">
      <c r="G393" s="49"/>
    </row>
    <row r="394">
      <c r="G394" s="49"/>
    </row>
    <row r="395">
      <c r="G395" s="49"/>
    </row>
    <row r="396">
      <c r="G396" s="49"/>
    </row>
    <row r="397">
      <c r="G397" s="49"/>
    </row>
    <row r="398">
      <c r="G398" s="49"/>
    </row>
    <row r="399">
      <c r="G399" s="49"/>
    </row>
    <row r="400">
      <c r="G400" s="49"/>
    </row>
    <row r="401">
      <c r="G401" s="49"/>
    </row>
    <row r="402">
      <c r="G402" s="49"/>
    </row>
    <row r="403">
      <c r="G403" s="49"/>
    </row>
    <row r="404">
      <c r="G404" s="49"/>
    </row>
    <row r="405">
      <c r="G405" s="49"/>
    </row>
    <row r="406">
      <c r="G406" s="49"/>
    </row>
    <row r="407">
      <c r="G407" s="49"/>
    </row>
    <row r="408">
      <c r="G408" s="49"/>
    </row>
    <row r="409">
      <c r="G409" s="49"/>
    </row>
    <row r="410">
      <c r="G410" s="49"/>
    </row>
    <row r="411">
      <c r="G411" s="49"/>
    </row>
    <row r="412">
      <c r="G412" s="49"/>
    </row>
    <row r="413">
      <c r="G413" s="49"/>
    </row>
    <row r="414">
      <c r="G414" s="49"/>
    </row>
    <row r="415">
      <c r="G415" s="49"/>
    </row>
    <row r="416">
      <c r="G416" s="49"/>
    </row>
    <row r="417">
      <c r="G417" s="49"/>
    </row>
    <row r="418">
      <c r="G418" s="49"/>
    </row>
    <row r="419">
      <c r="G419" s="49"/>
    </row>
    <row r="420">
      <c r="G420" s="49"/>
    </row>
    <row r="421">
      <c r="G421" s="49"/>
    </row>
    <row r="422">
      <c r="G422" s="49"/>
    </row>
    <row r="423">
      <c r="G423" s="49"/>
    </row>
    <row r="424">
      <c r="G424" s="49"/>
    </row>
    <row r="425">
      <c r="G425" s="49"/>
    </row>
    <row r="426">
      <c r="G426" s="49"/>
    </row>
    <row r="427">
      <c r="G427" s="49"/>
    </row>
    <row r="428">
      <c r="G428" s="49"/>
    </row>
    <row r="429">
      <c r="G429" s="49"/>
    </row>
    <row r="430">
      <c r="G430" s="49"/>
    </row>
    <row r="431">
      <c r="G431" s="49"/>
    </row>
    <row r="432">
      <c r="G432" s="49"/>
    </row>
    <row r="433">
      <c r="G433" s="49"/>
    </row>
    <row r="434">
      <c r="G434" s="49"/>
    </row>
    <row r="435">
      <c r="G435" s="49"/>
    </row>
    <row r="436">
      <c r="G436" s="49"/>
    </row>
    <row r="437">
      <c r="G437" s="49"/>
    </row>
    <row r="438">
      <c r="G438" s="49"/>
    </row>
    <row r="439">
      <c r="G439" s="49"/>
    </row>
    <row r="440">
      <c r="G440" s="49"/>
    </row>
    <row r="441">
      <c r="G441" s="49"/>
    </row>
    <row r="442">
      <c r="G442" s="49"/>
    </row>
    <row r="443">
      <c r="G443" s="49"/>
    </row>
    <row r="444">
      <c r="G444" s="49"/>
    </row>
    <row r="445">
      <c r="G445" s="49"/>
    </row>
    <row r="446">
      <c r="G446" s="49"/>
    </row>
    <row r="447">
      <c r="G447" s="49"/>
    </row>
    <row r="448">
      <c r="G448" s="49"/>
    </row>
    <row r="449">
      <c r="G449" s="49"/>
    </row>
    <row r="450">
      <c r="G450" s="49"/>
    </row>
    <row r="451">
      <c r="G451" s="49"/>
    </row>
    <row r="452">
      <c r="G452" s="49"/>
    </row>
    <row r="453">
      <c r="G453" s="49"/>
    </row>
    <row r="454">
      <c r="G454" s="49"/>
    </row>
    <row r="455">
      <c r="G455" s="49"/>
    </row>
    <row r="456">
      <c r="G456" s="49"/>
    </row>
    <row r="457">
      <c r="G457" s="49"/>
    </row>
    <row r="458">
      <c r="G458" s="49"/>
    </row>
    <row r="459">
      <c r="G459" s="49"/>
    </row>
    <row r="460">
      <c r="G460" s="49"/>
    </row>
    <row r="461">
      <c r="G461" s="49"/>
    </row>
    <row r="462">
      <c r="G462" s="49"/>
    </row>
    <row r="463">
      <c r="G463" s="49"/>
    </row>
    <row r="464">
      <c r="G464" s="49"/>
    </row>
    <row r="465">
      <c r="G465" s="49"/>
    </row>
    <row r="466">
      <c r="G466" s="49"/>
    </row>
    <row r="467">
      <c r="G467" s="49"/>
    </row>
    <row r="468">
      <c r="G468" s="49"/>
    </row>
    <row r="469">
      <c r="G469" s="49"/>
    </row>
    <row r="470">
      <c r="G470" s="49"/>
    </row>
    <row r="471">
      <c r="G471" s="49"/>
    </row>
    <row r="472">
      <c r="G472" s="49"/>
    </row>
    <row r="473">
      <c r="G473" s="49"/>
    </row>
    <row r="474">
      <c r="G474" s="49"/>
    </row>
    <row r="475">
      <c r="G475" s="49"/>
    </row>
    <row r="476">
      <c r="G476" s="49"/>
    </row>
    <row r="477">
      <c r="G477" s="49"/>
    </row>
    <row r="478">
      <c r="G478" s="49"/>
    </row>
    <row r="479">
      <c r="G479" s="49"/>
    </row>
    <row r="480">
      <c r="G480" s="49"/>
    </row>
    <row r="481">
      <c r="G481" s="49"/>
    </row>
    <row r="482">
      <c r="G482" s="49"/>
    </row>
    <row r="483">
      <c r="G483" s="49"/>
    </row>
    <row r="484">
      <c r="G484" s="49"/>
    </row>
    <row r="485">
      <c r="G485" s="49"/>
    </row>
    <row r="486">
      <c r="G486" s="49"/>
    </row>
    <row r="487">
      <c r="G487" s="49"/>
    </row>
    <row r="488">
      <c r="G488" s="49"/>
    </row>
    <row r="489">
      <c r="G489" s="49"/>
    </row>
    <row r="490">
      <c r="G490" s="49"/>
    </row>
    <row r="491">
      <c r="G491" s="49"/>
    </row>
    <row r="492">
      <c r="G492" s="49"/>
    </row>
    <row r="493">
      <c r="G493" s="49"/>
    </row>
    <row r="494">
      <c r="G494" s="49"/>
    </row>
    <row r="495">
      <c r="G495" s="49"/>
    </row>
    <row r="496">
      <c r="G496" s="49"/>
    </row>
    <row r="497">
      <c r="G497" s="49"/>
    </row>
    <row r="498">
      <c r="G498" s="49"/>
    </row>
    <row r="499">
      <c r="G499" s="49"/>
    </row>
    <row r="500">
      <c r="G500" s="49"/>
    </row>
    <row r="501">
      <c r="G501" s="49"/>
    </row>
    <row r="502">
      <c r="G502" s="49"/>
    </row>
    <row r="503">
      <c r="G503" s="49"/>
    </row>
    <row r="504">
      <c r="G504" s="49"/>
    </row>
    <row r="505">
      <c r="G505" s="49"/>
    </row>
    <row r="506">
      <c r="G506" s="49"/>
    </row>
    <row r="507">
      <c r="G507" s="49"/>
    </row>
    <row r="508">
      <c r="G508" s="49"/>
    </row>
    <row r="509">
      <c r="G509" s="49"/>
    </row>
    <row r="510">
      <c r="G510" s="49"/>
    </row>
    <row r="511">
      <c r="G511" s="49"/>
    </row>
    <row r="512">
      <c r="G512" s="49"/>
    </row>
    <row r="513">
      <c r="G513" s="49"/>
    </row>
    <row r="514">
      <c r="G514" s="49"/>
    </row>
    <row r="515">
      <c r="G515" s="49"/>
    </row>
    <row r="516">
      <c r="G516" s="49"/>
    </row>
    <row r="517">
      <c r="G517" s="49"/>
    </row>
    <row r="518">
      <c r="G518" s="49"/>
    </row>
    <row r="519">
      <c r="G519" s="49"/>
    </row>
    <row r="520">
      <c r="G520" s="49"/>
    </row>
    <row r="521">
      <c r="G521" s="49"/>
    </row>
    <row r="522">
      <c r="G522" s="49"/>
    </row>
    <row r="523">
      <c r="G523" s="49"/>
    </row>
    <row r="524">
      <c r="G524" s="49"/>
    </row>
    <row r="525">
      <c r="G525" s="49"/>
    </row>
    <row r="526">
      <c r="G526" s="49"/>
    </row>
    <row r="527">
      <c r="G527" s="49"/>
    </row>
    <row r="528">
      <c r="G528" s="49"/>
    </row>
    <row r="529">
      <c r="G529" s="49"/>
    </row>
    <row r="530">
      <c r="G530" s="49"/>
    </row>
    <row r="531">
      <c r="G531" s="49"/>
    </row>
    <row r="532">
      <c r="G532" s="49"/>
    </row>
    <row r="533">
      <c r="G533" s="49"/>
    </row>
    <row r="534">
      <c r="G534" s="49"/>
    </row>
    <row r="535">
      <c r="G535" s="49"/>
    </row>
    <row r="536">
      <c r="G536" s="49"/>
    </row>
    <row r="537">
      <c r="G537" s="49"/>
    </row>
    <row r="538">
      <c r="G538" s="49"/>
    </row>
    <row r="539">
      <c r="G539" s="49"/>
    </row>
    <row r="540">
      <c r="G540" s="49"/>
    </row>
    <row r="541">
      <c r="G541" s="49"/>
    </row>
    <row r="542">
      <c r="G542" s="49"/>
    </row>
    <row r="543">
      <c r="G543" s="49"/>
    </row>
    <row r="544">
      <c r="G544" s="49"/>
    </row>
    <row r="545">
      <c r="G545" s="49"/>
    </row>
    <row r="546">
      <c r="G546" s="49"/>
    </row>
    <row r="547">
      <c r="G547" s="49"/>
    </row>
    <row r="548">
      <c r="G548" s="49"/>
    </row>
    <row r="549">
      <c r="G549" s="49"/>
    </row>
    <row r="550">
      <c r="G550" s="49"/>
    </row>
    <row r="551">
      <c r="G551" s="49"/>
    </row>
    <row r="552">
      <c r="G552" s="49"/>
    </row>
    <row r="553">
      <c r="G553" s="49"/>
    </row>
    <row r="554">
      <c r="G554" s="49"/>
    </row>
    <row r="555">
      <c r="G555" s="49"/>
    </row>
    <row r="556">
      <c r="G556" s="49"/>
    </row>
    <row r="557">
      <c r="G557" s="49"/>
    </row>
    <row r="558">
      <c r="G558" s="49"/>
    </row>
    <row r="559">
      <c r="G559" s="49"/>
    </row>
    <row r="560">
      <c r="G560" s="49"/>
    </row>
    <row r="561">
      <c r="G561" s="49"/>
    </row>
    <row r="562">
      <c r="G562" s="49"/>
    </row>
    <row r="563">
      <c r="G563" s="49"/>
    </row>
    <row r="564">
      <c r="G564" s="49"/>
    </row>
    <row r="565">
      <c r="G565" s="49"/>
    </row>
    <row r="566">
      <c r="G566" s="49"/>
    </row>
    <row r="567">
      <c r="G567" s="49"/>
    </row>
    <row r="568">
      <c r="G568" s="49"/>
    </row>
    <row r="569">
      <c r="G569" s="49"/>
    </row>
    <row r="570">
      <c r="G570" s="49"/>
    </row>
    <row r="571">
      <c r="G571" s="49"/>
    </row>
    <row r="572">
      <c r="G572" s="49"/>
    </row>
    <row r="573">
      <c r="G573" s="49"/>
    </row>
    <row r="574">
      <c r="G574" s="49"/>
    </row>
    <row r="575">
      <c r="G575" s="49"/>
    </row>
    <row r="576">
      <c r="G576" s="49"/>
    </row>
    <row r="577">
      <c r="G577" s="49"/>
    </row>
    <row r="578">
      <c r="G578" s="49"/>
    </row>
    <row r="579">
      <c r="G579" s="49"/>
    </row>
    <row r="580">
      <c r="G580" s="49"/>
    </row>
    <row r="581">
      <c r="G581" s="49"/>
    </row>
    <row r="582">
      <c r="G582" s="49"/>
    </row>
    <row r="583">
      <c r="G583" s="49"/>
    </row>
    <row r="584">
      <c r="G584" s="49"/>
    </row>
    <row r="585">
      <c r="G585" s="49"/>
    </row>
    <row r="586">
      <c r="G586" s="49"/>
    </row>
    <row r="587">
      <c r="G587" s="49"/>
    </row>
    <row r="588">
      <c r="G588" s="49"/>
    </row>
    <row r="589">
      <c r="G589" s="49"/>
    </row>
    <row r="590">
      <c r="G590" s="49"/>
    </row>
    <row r="591">
      <c r="G591" s="49"/>
    </row>
    <row r="592">
      <c r="G592" s="49"/>
    </row>
    <row r="593">
      <c r="G593" s="49"/>
    </row>
    <row r="594">
      <c r="G594" s="49"/>
    </row>
    <row r="595">
      <c r="G595" s="49"/>
    </row>
    <row r="596">
      <c r="G596" s="49"/>
    </row>
    <row r="597">
      <c r="G597" s="49"/>
    </row>
    <row r="598">
      <c r="G598" s="49"/>
    </row>
    <row r="599">
      <c r="G599" s="49"/>
    </row>
    <row r="600">
      <c r="G600" s="49"/>
    </row>
    <row r="601">
      <c r="G601" s="49"/>
    </row>
    <row r="602">
      <c r="G602" s="49"/>
    </row>
    <row r="603">
      <c r="G603" s="49"/>
    </row>
    <row r="604">
      <c r="G604" s="49"/>
    </row>
    <row r="605">
      <c r="G605" s="49"/>
    </row>
    <row r="606">
      <c r="G606" s="49"/>
    </row>
    <row r="607">
      <c r="G607" s="49"/>
    </row>
    <row r="608">
      <c r="G608" s="49"/>
    </row>
    <row r="609">
      <c r="G609" s="49"/>
    </row>
    <row r="610">
      <c r="G610" s="49"/>
    </row>
    <row r="611">
      <c r="G611" s="49"/>
    </row>
    <row r="612">
      <c r="G612" s="49"/>
    </row>
    <row r="613">
      <c r="G613" s="49"/>
    </row>
    <row r="614">
      <c r="G614" s="49"/>
    </row>
    <row r="615">
      <c r="G615" s="49"/>
    </row>
    <row r="616">
      <c r="G616" s="49"/>
    </row>
    <row r="617">
      <c r="G617" s="49"/>
    </row>
    <row r="618">
      <c r="G618" s="49"/>
    </row>
    <row r="619">
      <c r="G619" s="49"/>
    </row>
    <row r="620">
      <c r="G620" s="49"/>
    </row>
    <row r="621">
      <c r="G621" s="49"/>
    </row>
    <row r="622">
      <c r="G622" s="49"/>
    </row>
    <row r="623">
      <c r="G623" s="49"/>
    </row>
    <row r="624">
      <c r="G624" s="49"/>
    </row>
    <row r="625">
      <c r="G625" s="49"/>
    </row>
    <row r="626">
      <c r="G626" s="49"/>
    </row>
    <row r="627">
      <c r="G627" s="49"/>
    </row>
    <row r="628">
      <c r="G628" s="49"/>
    </row>
    <row r="629">
      <c r="G629" s="49"/>
    </row>
    <row r="630">
      <c r="G630" s="49"/>
    </row>
    <row r="631">
      <c r="G631" s="49"/>
    </row>
    <row r="632">
      <c r="G632" s="49"/>
    </row>
    <row r="633">
      <c r="G633" s="49"/>
    </row>
    <row r="634">
      <c r="G634" s="49"/>
    </row>
    <row r="635">
      <c r="G635" s="49"/>
    </row>
    <row r="636">
      <c r="G636" s="49"/>
    </row>
    <row r="637">
      <c r="G637" s="49"/>
    </row>
    <row r="638">
      <c r="G638" s="49"/>
    </row>
    <row r="639">
      <c r="G639" s="49"/>
    </row>
    <row r="640">
      <c r="G640" s="49"/>
    </row>
    <row r="641">
      <c r="G641" s="49"/>
    </row>
    <row r="642">
      <c r="G642" s="49"/>
    </row>
    <row r="643">
      <c r="G643" s="49"/>
    </row>
    <row r="644">
      <c r="G644" s="49"/>
    </row>
    <row r="645">
      <c r="G645" s="49"/>
    </row>
    <row r="646">
      <c r="G646" s="49"/>
    </row>
    <row r="647">
      <c r="G647" s="49"/>
    </row>
    <row r="648">
      <c r="G648" s="49"/>
    </row>
    <row r="649">
      <c r="G649" s="49"/>
    </row>
    <row r="650">
      <c r="G650" s="49"/>
    </row>
    <row r="651">
      <c r="G651" s="49"/>
    </row>
    <row r="652">
      <c r="G652" s="49"/>
    </row>
    <row r="653">
      <c r="G653" s="49"/>
    </row>
    <row r="654">
      <c r="G654" s="49"/>
    </row>
    <row r="655">
      <c r="G655" s="49"/>
    </row>
    <row r="656">
      <c r="G656" s="49"/>
    </row>
    <row r="657">
      <c r="G657" s="49"/>
    </row>
    <row r="658">
      <c r="G658" s="49"/>
    </row>
    <row r="659">
      <c r="G659" s="49"/>
    </row>
    <row r="660">
      <c r="G660" s="49"/>
    </row>
    <row r="661">
      <c r="G661" s="49"/>
    </row>
    <row r="662">
      <c r="G662" s="49"/>
    </row>
    <row r="663">
      <c r="G663" s="49"/>
    </row>
    <row r="664">
      <c r="G664" s="49"/>
    </row>
    <row r="665">
      <c r="G665" s="49"/>
    </row>
    <row r="666">
      <c r="G666" s="49"/>
    </row>
    <row r="667">
      <c r="G667" s="49"/>
    </row>
    <row r="668">
      <c r="G668" s="49"/>
    </row>
    <row r="669">
      <c r="G669" s="49"/>
    </row>
    <row r="670">
      <c r="G670" s="49"/>
    </row>
    <row r="671">
      <c r="G671" s="49"/>
    </row>
    <row r="672">
      <c r="G672" s="49"/>
    </row>
    <row r="673">
      <c r="G673" s="49"/>
    </row>
    <row r="674">
      <c r="G674" s="49"/>
    </row>
    <row r="675">
      <c r="G675" s="49"/>
    </row>
    <row r="676">
      <c r="G676" s="49"/>
    </row>
    <row r="677">
      <c r="G677" s="49"/>
    </row>
    <row r="678">
      <c r="G678" s="49"/>
    </row>
    <row r="679">
      <c r="G679" s="49"/>
    </row>
    <row r="680">
      <c r="G680" s="49"/>
    </row>
    <row r="681">
      <c r="G681" s="49"/>
    </row>
    <row r="682">
      <c r="G682" s="49"/>
    </row>
    <row r="683">
      <c r="G683" s="49"/>
    </row>
    <row r="684">
      <c r="G684" s="49"/>
    </row>
    <row r="685">
      <c r="G685" s="49"/>
    </row>
    <row r="686">
      <c r="G686" s="49"/>
    </row>
    <row r="687">
      <c r="G687" s="49"/>
    </row>
    <row r="688">
      <c r="G688" s="49"/>
    </row>
    <row r="689">
      <c r="G689" s="49"/>
    </row>
    <row r="690">
      <c r="G690" s="49"/>
    </row>
    <row r="691">
      <c r="G691" s="49"/>
    </row>
    <row r="692">
      <c r="G692" s="49"/>
    </row>
    <row r="693">
      <c r="G693" s="49"/>
    </row>
    <row r="694">
      <c r="G694" s="49"/>
    </row>
    <row r="695">
      <c r="G695" s="49"/>
    </row>
    <row r="696">
      <c r="G696" s="49"/>
    </row>
    <row r="697">
      <c r="G697" s="49"/>
    </row>
    <row r="698">
      <c r="G698" s="49"/>
    </row>
    <row r="699">
      <c r="G699" s="49"/>
    </row>
    <row r="700">
      <c r="G700" s="49"/>
    </row>
    <row r="701">
      <c r="G701" s="49"/>
    </row>
    <row r="702">
      <c r="G702" s="49"/>
    </row>
    <row r="703">
      <c r="G703" s="49"/>
    </row>
    <row r="704">
      <c r="G704" s="49"/>
    </row>
    <row r="705">
      <c r="G705" s="49"/>
    </row>
    <row r="706">
      <c r="G706" s="49"/>
    </row>
    <row r="707">
      <c r="G707" s="49"/>
    </row>
    <row r="708">
      <c r="G708" s="49"/>
    </row>
    <row r="709">
      <c r="G709" s="49"/>
    </row>
    <row r="710">
      <c r="G710" s="49"/>
    </row>
    <row r="711">
      <c r="G711" s="49"/>
    </row>
    <row r="712">
      <c r="G712" s="49"/>
    </row>
    <row r="713">
      <c r="G713" s="49"/>
    </row>
    <row r="714">
      <c r="G714" s="49"/>
    </row>
    <row r="715">
      <c r="G715" s="49"/>
    </row>
    <row r="716">
      <c r="G716" s="49"/>
    </row>
    <row r="717">
      <c r="G717" s="49"/>
    </row>
    <row r="718">
      <c r="G718" s="49"/>
    </row>
    <row r="719">
      <c r="G719" s="49"/>
    </row>
    <row r="720">
      <c r="G720" s="49"/>
    </row>
    <row r="721">
      <c r="G721" s="49"/>
    </row>
    <row r="722">
      <c r="G722" s="49"/>
    </row>
    <row r="723">
      <c r="G723" s="49"/>
    </row>
    <row r="724">
      <c r="G724" s="49"/>
    </row>
    <row r="725">
      <c r="G725" s="49"/>
    </row>
    <row r="726">
      <c r="G726" s="49"/>
    </row>
    <row r="727">
      <c r="G727" s="49"/>
    </row>
    <row r="728">
      <c r="G728" s="49"/>
    </row>
    <row r="729">
      <c r="G729" s="49"/>
    </row>
    <row r="730">
      <c r="G730" s="49"/>
    </row>
    <row r="731">
      <c r="G731" s="49"/>
    </row>
    <row r="732">
      <c r="G732" s="49"/>
    </row>
    <row r="733">
      <c r="G733" s="49"/>
    </row>
    <row r="734">
      <c r="G734" s="49"/>
    </row>
    <row r="735">
      <c r="G735" s="49"/>
    </row>
    <row r="736">
      <c r="G736" s="49"/>
    </row>
    <row r="737">
      <c r="G737" s="49"/>
    </row>
    <row r="738">
      <c r="G738" s="49"/>
    </row>
    <row r="739">
      <c r="G739" s="49"/>
    </row>
    <row r="740">
      <c r="G740" s="49"/>
    </row>
    <row r="741">
      <c r="G741" s="49"/>
    </row>
    <row r="742">
      <c r="G742" s="49"/>
    </row>
    <row r="743">
      <c r="G743" s="49"/>
    </row>
    <row r="744">
      <c r="G744" s="49"/>
    </row>
    <row r="745">
      <c r="G745" s="49"/>
    </row>
    <row r="746">
      <c r="G746" s="49"/>
    </row>
    <row r="747">
      <c r="G747" s="49"/>
    </row>
    <row r="748">
      <c r="G748" s="49"/>
    </row>
    <row r="749">
      <c r="G749" s="49"/>
    </row>
    <row r="750">
      <c r="G750" s="49"/>
    </row>
    <row r="751">
      <c r="G751" s="49"/>
    </row>
    <row r="752">
      <c r="G752" s="49"/>
    </row>
    <row r="753">
      <c r="G753" s="49"/>
    </row>
    <row r="754">
      <c r="G754" s="49"/>
    </row>
    <row r="755">
      <c r="G755" s="49"/>
    </row>
    <row r="756">
      <c r="G756" s="49"/>
    </row>
    <row r="757">
      <c r="G757" s="49"/>
    </row>
    <row r="758">
      <c r="G758" s="49"/>
    </row>
    <row r="759">
      <c r="G759" s="49"/>
    </row>
    <row r="760">
      <c r="G760" s="49"/>
    </row>
    <row r="761">
      <c r="G761" s="49"/>
    </row>
    <row r="762">
      <c r="G762" s="49"/>
    </row>
    <row r="763">
      <c r="G763" s="49"/>
    </row>
    <row r="764">
      <c r="G764" s="49"/>
    </row>
    <row r="765">
      <c r="G765" s="49"/>
    </row>
    <row r="766">
      <c r="G766" s="49"/>
    </row>
    <row r="767">
      <c r="G767" s="49"/>
    </row>
    <row r="768">
      <c r="G768" s="49"/>
    </row>
    <row r="769">
      <c r="G769" s="49"/>
    </row>
    <row r="770">
      <c r="G770" s="49"/>
    </row>
    <row r="771">
      <c r="G771" s="49"/>
    </row>
    <row r="772">
      <c r="G772" s="49"/>
    </row>
    <row r="773">
      <c r="G773" s="49"/>
    </row>
    <row r="774">
      <c r="G774" s="49"/>
    </row>
    <row r="775">
      <c r="G775" s="49"/>
    </row>
    <row r="776">
      <c r="G776" s="49"/>
    </row>
    <row r="777">
      <c r="G777" s="49"/>
    </row>
    <row r="778">
      <c r="G778" s="49"/>
    </row>
    <row r="779">
      <c r="G779" s="49"/>
    </row>
    <row r="780">
      <c r="G780" s="49"/>
    </row>
    <row r="781">
      <c r="G781" s="49"/>
    </row>
    <row r="782">
      <c r="G782" s="49"/>
    </row>
    <row r="783">
      <c r="G783" s="49"/>
    </row>
    <row r="784">
      <c r="G784" s="49"/>
    </row>
    <row r="785">
      <c r="G785" s="49"/>
    </row>
    <row r="786">
      <c r="G786" s="49"/>
    </row>
    <row r="787">
      <c r="G787" s="49"/>
    </row>
    <row r="788">
      <c r="G788" s="49"/>
    </row>
    <row r="789">
      <c r="G789" s="49"/>
    </row>
    <row r="790">
      <c r="G790" s="49"/>
    </row>
    <row r="791">
      <c r="G791" s="49"/>
    </row>
    <row r="792">
      <c r="G792" s="49"/>
    </row>
    <row r="793">
      <c r="G793" s="49"/>
    </row>
    <row r="794">
      <c r="G794" s="49"/>
    </row>
    <row r="795">
      <c r="G795" s="49"/>
    </row>
    <row r="796">
      <c r="G796" s="49"/>
    </row>
    <row r="797">
      <c r="G797" s="49"/>
    </row>
    <row r="798">
      <c r="G798" s="49"/>
    </row>
    <row r="799">
      <c r="G799" s="49"/>
    </row>
    <row r="800">
      <c r="G800" s="49"/>
    </row>
    <row r="801">
      <c r="G801" s="49"/>
    </row>
    <row r="802">
      <c r="G802" s="49"/>
    </row>
    <row r="803">
      <c r="G803" s="49"/>
    </row>
    <row r="804">
      <c r="G804" s="49"/>
    </row>
    <row r="805">
      <c r="G805" s="49"/>
    </row>
    <row r="806">
      <c r="G806" s="49"/>
    </row>
    <row r="807">
      <c r="G807" s="49"/>
    </row>
    <row r="808">
      <c r="G808" s="49"/>
    </row>
    <row r="809">
      <c r="G809" s="49"/>
    </row>
    <row r="810">
      <c r="G810" s="49"/>
    </row>
    <row r="811">
      <c r="G811" s="49"/>
    </row>
    <row r="812">
      <c r="G812" s="49"/>
    </row>
    <row r="813">
      <c r="G813" s="49"/>
    </row>
    <row r="814">
      <c r="G814" s="49"/>
    </row>
    <row r="815">
      <c r="G815" s="49"/>
    </row>
    <row r="816">
      <c r="G816" s="49"/>
    </row>
    <row r="817">
      <c r="G817" s="49"/>
    </row>
    <row r="818">
      <c r="G818" s="49"/>
    </row>
    <row r="819">
      <c r="G819" s="49"/>
    </row>
    <row r="820">
      <c r="G820" s="49"/>
    </row>
    <row r="821">
      <c r="G821" s="49"/>
    </row>
    <row r="822">
      <c r="G822" s="49"/>
    </row>
    <row r="823">
      <c r="G823" s="49"/>
    </row>
    <row r="824">
      <c r="G824" s="49"/>
    </row>
    <row r="825">
      <c r="G825" s="49"/>
    </row>
    <row r="826">
      <c r="G826" s="49"/>
    </row>
    <row r="827">
      <c r="G827" s="49"/>
    </row>
    <row r="828">
      <c r="G828" s="49"/>
    </row>
    <row r="829">
      <c r="G829" s="49"/>
    </row>
    <row r="830">
      <c r="G830" s="49"/>
    </row>
    <row r="831">
      <c r="G831" s="49"/>
    </row>
    <row r="832">
      <c r="G832" s="49"/>
    </row>
    <row r="833">
      <c r="G833" s="49"/>
    </row>
    <row r="834">
      <c r="G834" s="49"/>
    </row>
    <row r="835">
      <c r="G835" s="49"/>
    </row>
    <row r="836">
      <c r="G836" s="49"/>
    </row>
    <row r="837">
      <c r="G837" s="49"/>
    </row>
    <row r="838">
      <c r="G838" s="49"/>
    </row>
    <row r="839">
      <c r="G839" s="49"/>
    </row>
    <row r="840">
      <c r="G840" s="49"/>
    </row>
    <row r="841">
      <c r="G841" s="49"/>
    </row>
    <row r="842">
      <c r="G842" s="49"/>
    </row>
    <row r="843">
      <c r="G843" s="49"/>
    </row>
    <row r="844">
      <c r="G844" s="49"/>
    </row>
    <row r="845">
      <c r="G845" s="49"/>
    </row>
    <row r="846">
      <c r="G846" s="49"/>
    </row>
    <row r="847">
      <c r="G847" s="49"/>
    </row>
    <row r="848">
      <c r="G848" s="49"/>
    </row>
    <row r="849">
      <c r="G849" s="49"/>
    </row>
    <row r="850">
      <c r="G850" s="49"/>
    </row>
    <row r="851">
      <c r="G851" s="49"/>
    </row>
    <row r="852">
      <c r="G852" s="49"/>
    </row>
    <row r="853">
      <c r="G853" s="49"/>
    </row>
    <row r="854">
      <c r="G854" s="49"/>
    </row>
    <row r="855">
      <c r="G855" s="49"/>
    </row>
    <row r="856">
      <c r="G856" s="49"/>
    </row>
    <row r="857">
      <c r="G857" s="49"/>
    </row>
    <row r="858">
      <c r="G858" s="49"/>
    </row>
    <row r="859">
      <c r="G859" s="49"/>
    </row>
    <row r="860">
      <c r="G860" s="49"/>
    </row>
    <row r="861">
      <c r="G861" s="49"/>
    </row>
    <row r="862">
      <c r="G862" s="49"/>
    </row>
    <row r="863">
      <c r="G863" s="49"/>
    </row>
    <row r="864">
      <c r="G864" s="49"/>
    </row>
    <row r="865">
      <c r="G865" s="49"/>
    </row>
    <row r="866">
      <c r="G866" s="49"/>
    </row>
    <row r="867">
      <c r="G867" s="49"/>
    </row>
    <row r="868">
      <c r="G868" s="49"/>
    </row>
    <row r="869">
      <c r="G869" s="49"/>
    </row>
    <row r="870">
      <c r="G870" s="49"/>
    </row>
    <row r="871">
      <c r="G871" s="49"/>
    </row>
    <row r="872">
      <c r="G872" s="49"/>
    </row>
    <row r="873">
      <c r="G873" s="49"/>
    </row>
    <row r="874">
      <c r="G874" s="49"/>
    </row>
    <row r="875">
      <c r="G875" s="49"/>
    </row>
    <row r="876">
      <c r="G876" s="49"/>
    </row>
    <row r="877">
      <c r="G877" s="49"/>
    </row>
    <row r="878">
      <c r="G878" s="49"/>
    </row>
    <row r="879">
      <c r="G879" s="49"/>
    </row>
    <row r="880">
      <c r="G880" s="49"/>
    </row>
    <row r="881">
      <c r="G881" s="49"/>
    </row>
    <row r="882">
      <c r="G882" s="49"/>
    </row>
    <row r="883">
      <c r="G883" s="49"/>
    </row>
    <row r="884">
      <c r="G884" s="49"/>
    </row>
    <row r="885">
      <c r="G885" s="49"/>
    </row>
    <row r="886">
      <c r="G886" s="49"/>
    </row>
    <row r="887">
      <c r="G887" s="49"/>
    </row>
    <row r="888">
      <c r="G888" s="49"/>
    </row>
    <row r="889">
      <c r="G889" s="49"/>
    </row>
    <row r="890">
      <c r="G890" s="49"/>
    </row>
    <row r="891">
      <c r="G891" s="49"/>
    </row>
    <row r="892">
      <c r="G892" s="49"/>
    </row>
    <row r="893">
      <c r="G893" s="49"/>
    </row>
    <row r="894">
      <c r="G894" s="49"/>
    </row>
    <row r="895">
      <c r="G895" s="49"/>
    </row>
    <row r="896">
      <c r="G896" s="49"/>
    </row>
    <row r="897">
      <c r="G897" s="49"/>
    </row>
    <row r="898">
      <c r="G898" s="49"/>
    </row>
    <row r="899">
      <c r="G899" s="49"/>
    </row>
    <row r="900">
      <c r="G900" s="49"/>
    </row>
    <row r="901">
      <c r="G901" s="49"/>
    </row>
    <row r="902">
      <c r="G902" s="49"/>
    </row>
    <row r="903">
      <c r="G903" s="49"/>
    </row>
    <row r="904">
      <c r="G904" s="49"/>
    </row>
    <row r="905">
      <c r="G905" s="49"/>
    </row>
    <row r="906">
      <c r="G906" s="49"/>
    </row>
    <row r="907">
      <c r="G907" s="49"/>
    </row>
    <row r="908">
      <c r="G908" s="49"/>
    </row>
    <row r="909">
      <c r="G909" s="49"/>
    </row>
    <row r="910">
      <c r="G910" s="49"/>
    </row>
    <row r="911">
      <c r="G911" s="49"/>
    </row>
    <row r="912">
      <c r="G912" s="49"/>
    </row>
    <row r="913">
      <c r="G913" s="49"/>
    </row>
    <row r="914">
      <c r="G914" s="49"/>
    </row>
    <row r="915">
      <c r="G915" s="49"/>
    </row>
    <row r="916">
      <c r="G916" s="49"/>
    </row>
    <row r="917">
      <c r="G917" s="49"/>
    </row>
    <row r="918">
      <c r="G918" s="49"/>
    </row>
    <row r="919">
      <c r="G919" s="49"/>
    </row>
    <row r="920">
      <c r="G920" s="49"/>
    </row>
    <row r="921">
      <c r="G921" s="49"/>
    </row>
    <row r="922">
      <c r="G922" s="49"/>
    </row>
    <row r="923">
      <c r="G923" s="49"/>
    </row>
    <row r="924">
      <c r="G924" s="49"/>
    </row>
    <row r="925">
      <c r="G925" s="49"/>
    </row>
    <row r="926">
      <c r="G926" s="49"/>
    </row>
    <row r="927">
      <c r="G927" s="49"/>
    </row>
    <row r="928">
      <c r="G928" s="49"/>
    </row>
    <row r="929">
      <c r="G929" s="49"/>
    </row>
    <row r="930">
      <c r="G930" s="49"/>
    </row>
    <row r="931">
      <c r="G931" s="49"/>
    </row>
    <row r="932">
      <c r="G932" s="49"/>
    </row>
    <row r="933">
      <c r="G933" s="49"/>
    </row>
    <row r="934">
      <c r="G934" s="49"/>
    </row>
    <row r="935">
      <c r="G935" s="49"/>
    </row>
    <row r="936">
      <c r="G936" s="49"/>
    </row>
    <row r="937">
      <c r="G937" s="49"/>
    </row>
    <row r="938">
      <c r="G938" s="49"/>
    </row>
    <row r="939">
      <c r="G939" s="49"/>
    </row>
    <row r="940">
      <c r="G940" s="49"/>
    </row>
    <row r="941">
      <c r="G941" s="49"/>
    </row>
    <row r="942">
      <c r="G942" s="49"/>
    </row>
    <row r="943">
      <c r="G943" s="49"/>
    </row>
    <row r="944">
      <c r="G944" s="49"/>
    </row>
    <row r="945">
      <c r="G945" s="49"/>
    </row>
    <row r="946">
      <c r="G946" s="49"/>
    </row>
    <row r="947">
      <c r="G947" s="49"/>
    </row>
    <row r="948">
      <c r="G948" s="49"/>
    </row>
    <row r="949">
      <c r="G949" s="49"/>
    </row>
    <row r="950">
      <c r="G950" s="49"/>
    </row>
    <row r="951">
      <c r="G951" s="49"/>
    </row>
    <row r="952">
      <c r="G952" s="49"/>
    </row>
    <row r="953">
      <c r="G953" s="49"/>
    </row>
    <row r="954">
      <c r="G954" s="49"/>
    </row>
    <row r="955">
      <c r="G955" s="49"/>
    </row>
    <row r="956">
      <c r="G956" s="49"/>
    </row>
    <row r="957">
      <c r="G957" s="49"/>
    </row>
    <row r="958">
      <c r="G958" s="49"/>
    </row>
    <row r="959">
      <c r="G959" s="49"/>
    </row>
    <row r="960">
      <c r="G960" s="49"/>
    </row>
    <row r="961">
      <c r="G961" s="49"/>
    </row>
    <row r="962">
      <c r="G962" s="49"/>
    </row>
    <row r="963">
      <c r="G963" s="49"/>
    </row>
    <row r="964">
      <c r="G964" s="49"/>
    </row>
    <row r="965">
      <c r="G965" s="49"/>
    </row>
    <row r="966">
      <c r="G966" s="49"/>
    </row>
    <row r="967">
      <c r="G967" s="49"/>
    </row>
    <row r="968">
      <c r="G968" s="49"/>
    </row>
    <row r="969">
      <c r="G969" s="49"/>
    </row>
    <row r="970">
      <c r="G970" s="49"/>
    </row>
    <row r="971">
      <c r="G971" s="49"/>
    </row>
    <row r="972">
      <c r="G972" s="49"/>
    </row>
    <row r="973">
      <c r="G973" s="49"/>
    </row>
    <row r="974">
      <c r="G974" s="49"/>
    </row>
    <row r="975">
      <c r="G975" s="49"/>
    </row>
    <row r="976">
      <c r="G976" s="49"/>
    </row>
    <row r="977">
      <c r="G977" s="49"/>
    </row>
    <row r="978">
      <c r="G978" s="49"/>
    </row>
    <row r="979">
      <c r="G979" s="49"/>
    </row>
    <row r="980">
      <c r="G980" s="49"/>
    </row>
    <row r="981">
      <c r="G981" s="49"/>
    </row>
    <row r="982">
      <c r="G982" s="49"/>
    </row>
    <row r="983">
      <c r="G983" s="49"/>
    </row>
    <row r="984">
      <c r="G984" s="49"/>
    </row>
    <row r="985">
      <c r="G985" s="49"/>
    </row>
    <row r="986">
      <c r="G986" s="49"/>
    </row>
    <row r="987">
      <c r="G987" s="49"/>
    </row>
    <row r="988">
      <c r="G988" s="49"/>
    </row>
    <row r="989">
      <c r="G989" s="49"/>
    </row>
    <row r="990">
      <c r="G990" s="49"/>
    </row>
    <row r="991">
      <c r="G991" s="49"/>
    </row>
    <row r="992">
      <c r="G992" s="49"/>
    </row>
    <row r="993">
      <c r="G993" s="49"/>
    </row>
    <row r="994">
      <c r="G994" s="49"/>
    </row>
    <row r="995">
      <c r="G995" s="49"/>
    </row>
    <row r="996">
      <c r="G996" s="49"/>
    </row>
    <row r="997">
      <c r="G997" s="49"/>
    </row>
    <row r="998">
      <c r="G998" s="49"/>
    </row>
    <row r="999">
      <c r="G999" s="49"/>
    </row>
  </sheetData>
  <mergeCells count="1">
    <mergeCell ref="A30:G30"/>
  </mergeCells>
  <hyperlinks>
    <hyperlink r:id="rId1" location="c2" ref="G5"/>
    <hyperlink r:id="rId2" ref="G10"/>
    <hyperlink r:id="rId3" location=":~:text=Most%20eggs%20are%20now%20barn,floor%20or%20free%2Drange%20husbandry." ref="G11"/>
    <hyperlink r:id="rId4" location=":~:text=Increase%20in%20organic%20eggs%20of,compared%20with%20the%20previous%20year." ref="G15"/>
    <hyperlink r:id="rId5" location="gid=289821833" ref="G17"/>
    <hyperlink r:id="rId6" location="heading=h.ujzm6p1i0pzg" ref="G21"/>
    <hyperlink r:id="rId7" location="bookmark=id.312v09ueelbp" ref="G22"/>
    <hyperlink r:id="rId8" ref="G32"/>
    <hyperlink r:id="rId9" ref="G33"/>
  </hyperlinks>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0"/>
    <col customWidth="1" min="2" max="2" width="13.0"/>
    <col customWidth="1" min="3" max="4" width="14.75"/>
    <col customWidth="1" min="7" max="7" width="19.25"/>
  </cols>
  <sheetData>
    <row r="1">
      <c r="A1" s="5" t="s">
        <v>7</v>
      </c>
      <c r="B1" s="5" t="s">
        <v>8</v>
      </c>
      <c r="C1" s="5" t="s">
        <v>9</v>
      </c>
      <c r="D1" s="5"/>
      <c r="E1" s="5"/>
      <c r="F1" s="5"/>
      <c r="G1" s="6" t="s">
        <v>10</v>
      </c>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row>
    <row r="2">
      <c r="A2" s="7" t="s">
        <v>11</v>
      </c>
      <c r="B2" s="7"/>
      <c r="C2" s="7"/>
      <c r="D2" s="7"/>
      <c r="E2" s="7"/>
      <c r="F2" s="7"/>
      <c r="G2" s="8"/>
      <c r="H2" s="9"/>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row>
    <row r="3">
      <c r="A3" s="1" t="s">
        <v>12</v>
      </c>
      <c r="B3" s="10">
        <v>130000.0</v>
      </c>
      <c r="C3" s="1" t="s">
        <v>13</v>
      </c>
      <c r="G3" s="11" t="s">
        <v>14</v>
      </c>
    </row>
    <row r="4">
      <c r="A4" s="1" t="s">
        <v>15</v>
      </c>
      <c r="B4" s="10">
        <v>280000.0</v>
      </c>
      <c r="C4" s="1" t="s">
        <v>13</v>
      </c>
      <c r="G4" s="11" t="s">
        <v>14</v>
      </c>
    </row>
    <row r="5">
      <c r="A5" s="1" t="s">
        <v>16</v>
      </c>
      <c r="B5" s="10">
        <f>(89931*2/3)+AVERAGE(357000,498000,285000,435000,90554,213500,237043,300000)</f>
        <v>361966.125</v>
      </c>
      <c r="C5" s="1" t="s">
        <v>17</v>
      </c>
      <c r="G5" s="12" t="s">
        <v>88</v>
      </c>
    </row>
    <row r="6">
      <c r="A6" s="1" t="s">
        <v>19</v>
      </c>
      <c r="B6" s="13">
        <v>3.0</v>
      </c>
      <c r="C6" s="1" t="s">
        <v>20</v>
      </c>
      <c r="G6" s="14" t="s">
        <v>14</v>
      </c>
      <c r="I6" s="15"/>
    </row>
    <row r="7">
      <c r="A7" s="1" t="s">
        <v>21</v>
      </c>
      <c r="B7" s="13">
        <v>3.0</v>
      </c>
      <c r="C7" s="1" t="s">
        <v>22</v>
      </c>
      <c r="G7" s="16" t="s">
        <v>14</v>
      </c>
      <c r="I7" s="15"/>
    </row>
    <row r="8">
      <c r="A8" s="1"/>
      <c r="B8" s="17"/>
      <c r="C8" s="1"/>
      <c r="G8" s="11"/>
    </row>
    <row r="9">
      <c r="A9" s="7" t="s">
        <v>23</v>
      </c>
      <c r="B9" s="7"/>
      <c r="C9" s="7"/>
      <c r="D9" s="7"/>
      <c r="E9" s="7"/>
      <c r="F9" s="7"/>
      <c r="G9" s="8"/>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row>
    <row r="10">
      <c r="A10" s="54" t="s">
        <v>89</v>
      </c>
      <c r="B10" s="55">
        <f>40.5*1000000</f>
        <v>40500000</v>
      </c>
      <c r="C10" s="56" t="s">
        <v>90</v>
      </c>
      <c r="D10" s="15"/>
      <c r="E10" s="15"/>
      <c r="F10" s="15"/>
      <c r="G10" s="57" t="s">
        <v>91</v>
      </c>
      <c r="H10" s="19"/>
    </row>
    <row r="11">
      <c r="A11" s="54" t="s">
        <v>92</v>
      </c>
      <c r="B11" s="58">
        <v>0.51</v>
      </c>
      <c r="C11" s="56" t="s">
        <v>93</v>
      </c>
      <c r="D11" s="15"/>
      <c r="E11" s="15"/>
      <c r="F11" s="15"/>
      <c r="G11" s="57" t="s">
        <v>94</v>
      </c>
      <c r="H11" s="19"/>
    </row>
    <row r="12">
      <c r="A12" s="1" t="s">
        <v>27</v>
      </c>
      <c r="B12" s="20">
        <v>0.66</v>
      </c>
      <c r="C12" s="1" t="s">
        <v>95</v>
      </c>
      <c r="G12" s="12" t="s">
        <v>96</v>
      </c>
      <c r="H12" s="19"/>
    </row>
    <row r="13">
      <c r="A13" s="1" t="s">
        <v>30</v>
      </c>
      <c r="B13" s="21">
        <v>0.33</v>
      </c>
      <c r="C13" s="1" t="s">
        <v>31</v>
      </c>
      <c r="G13" s="14" t="s">
        <v>14</v>
      </c>
      <c r="H13" s="19"/>
      <c r="L13" s="47"/>
    </row>
    <row r="14">
      <c r="A14" s="1" t="s">
        <v>32</v>
      </c>
      <c r="B14" s="21">
        <v>0.67</v>
      </c>
      <c r="C14" s="1" t="s">
        <v>31</v>
      </c>
      <c r="G14" s="14" t="s">
        <v>14</v>
      </c>
      <c r="H14" s="19"/>
    </row>
    <row r="15">
      <c r="A15" s="1" t="s">
        <v>97</v>
      </c>
      <c r="B15" s="22">
        <f>B10*B11*B14*B12+B10*B11*B13</f>
        <v>15949791</v>
      </c>
      <c r="C15" s="1" t="s">
        <v>34</v>
      </c>
      <c r="G15" s="14" t="s">
        <v>14</v>
      </c>
      <c r="H15" s="19"/>
    </row>
    <row r="16">
      <c r="A16" s="54" t="s">
        <v>35</v>
      </c>
      <c r="B16" s="59">
        <v>-0.04</v>
      </c>
      <c r="C16" s="56" t="s">
        <v>98</v>
      </c>
      <c r="D16" s="15"/>
      <c r="E16" s="15"/>
      <c r="F16" s="15"/>
      <c r="G16" s="57" t="s">
        <v>99</v>
      </c>
    </row>
    <row r="17">
      <c r="A17" s="1" t="s">
        <v>40</v>
      </c>
      <c r="B17" s="25">
        <v>8.655</v>
      </c>
      <c r="C17" s="1" t="s">
        <v>41</v>
      </c>
      <c r="G17" s="12" t="s">
        <v>42</v>
      </c>
      <c r="H17" s="19"/>
    </row>
    <row r="18">
      <c r="A18" s="1" t="s">
        <v>43</v>
      </c>
      <c r="B18" s="26">
        <v>0.65</v>
      </c>
      <c r="C18" s="1" t="s">
        <v>44</v>
      </c>
      <c r="G18" s="12" t="s">
        <v>45</v>
      </c>
      <c r="H18" s="19"/>
    </row>
    <row r="19">
      <c r="A19" s="1" t="s">
        <v>46</v>
      </c>
      <c r="B19" s="27">
        <v>0.4</v>
      </c>
      <c r="C19" s="1" t="s">
        <v>47</v>
      </c>
      <c r="G19" s="14" t="s">
        <v>14</v>
      </c>
      <c r="H19" s="19"/>
    </row>
    <row r="20">
      <c r="A20" s="1" t="s">
        <v>48</v>
      </c>
      <c r="B20" s="28">
        <f>B17-(B17/B18)*B19</f>
        <v>3.328846154</v>
      </c>
      <c r="C20" s="1" t="s">
        <v>34</v>
      </c>
      <c r="G20" s="14" t="s">
        <v>14</v>
      </c>
      <c r="H20" s="19"/>
    </row>
    <row r="21">
      <c r="A21" s="1" t="s">
        <v>49</v>
      </c>
      <c r="B21" s="29">
        <f>AVERAGE(5/27,7/10,10/28,3/10,3/28,2/5,2/8,2/10,0.1,0.15,0.1)</f>
        <v>0.259042809</v>
      </c>
      <c r="C21" s="1" t="s">
        <v>50</v>
      </c>
      <c r="G21" s="30" t="s">
        <v>100</v>
      </c>
    </row>
    <row r="22">
      <c r="A22" s="1" t="s">
        <v>52</v>
      </c>
      <c r="B22" s="31">
        <f>AVERAGE(55%,70%)</f>
        <v>0.625</v>
      </c>
      <c r="C22" s="1" t="s">
        <v>53</v>
      </c>
      <c r="G22" s="12" t="s">
        <v>54</v>
      </c>
    </row>
    <row r="23">
      <c r="A23" s="1" t="s">
        <v>55</v>
      </c>
      <c r="B23" s="31">
        <v>0.15</v>
      </c>
      <c r="C23" s="1" t="s">
        <v>31</v>
      </c>
      <c r="G23" s="11" t="s">
        <v>14</v>
      </c>
    </row>
    <row r="24">
      <c r="A24" s="1" t="s">
        <v>56</v>
      </c>
      <c r="B24" s="20">
        <v>0.04</v>
      </c>
      <c r="C24" s="1" t="s">
        <v>13</v>
      </c>
      <c r="G24" s="11" t="s">
        <v>14</v>
      </c>
    </row>
    <row r="25">
      <c r="A25" s="1" t="s">
        <v>57</v>
      </c>
      <c r="B25" s="23">
        <v>0.014</v>
      </c>
      <c r="C25" s="1" t="s">
        <v>13</v>
      </c>
      <c r="G25" s="11" t="s">
        <v>14</v>
      </c>
    </row>
    <row r="26">
      <c r="A26" s="60" t="s">
        <v>58</v>
      </c>
      <c r="B26" s="61">
        <v>0.015</v>
      </c>
      <c r="C26" s="56" t="s">
        <v>101</v>
      </c>
      <c r="G26" s="11" t="s">
        <v>14</v>
      </c>
      <c r="H26" s="19"/>
    </row>
    <row r="27">
      <c r="A27" s="1" t="s">
        <v>60</v>
      </c>
      <c r="B27" s="34">
        <f>SUM(B25:B26)</f>
        <v>0.029</v>
      </c>
      <c r="C27" s="1" t="s">
        <v>61</v>
      </c>
      <c r="G27" s="11" t="s">
        <v>14</v>
      </c>
    </row>
    <row r="28">
      <c r="A28" s="1"/>
      <c r="B28" s="35"/>
      <c r="C28" s="1"/>
      <c r="G28" s="11"/>
    </row>
    <row r="29">
      <c r="A29" s="7" t="s">
        <v>62</v>
      </c>
      <c r="B29" s="7"/>
      <c r="C29" s="7"/>
      <c r="D29" s="7"/>
      <c r="E29" s="7"/>
      <c r="F29" s="7"/>
      <c r="G29" s="8"/>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row>
    <row r="30">
      <c r="A30" s="32" t="s">
        <v>63</v>
      </c>
    </row>
    <row r="31">
      <c r="A31" s="1" t="str">
        <f>"SADs per bird with "&amp;B19&amp;" prevalence of KBF"</f>
        <v>SADs per bird with 0.4 prevalence of KBF</v>
      </c>
      <c r="B31" s="36">
        <f>(B17/B18)*B19</f>
        <v>5.326153846</v>
      </c>
      <c r="C31" s="1" t="s">
        <v>64</v>
      </c>
      <c r="G31" s="11"/>
    </row>
    <row r="32">
      <c r="A32" s="1" t="s">
        <v>65</v>
      </c>
      <c r="B32" s="37">
        <v>72.0</v>
      </c>
      <c r="C32" s="1" t="s">
        <v>66</v>
      </c>
      <c r="G32" s="38" t="s">
        <v>67</v>
      </c>
    </row>
    <row r="33">
      <c r="A33" s="1" t="s">
        <v>68</v>
      </c>
      <c r="B33" s="37">
        <f>AVERAGE(4,6)</f>
        <v>5</v>
      </c>
      <c r="C33" s="1" t="s">
        <v>69</v>
      </c>
      <c r="G33" s="38" t="s">
        <v>70</v>
      </c>
    </row>
    <row r="34">
      <c r="A34" s="1" t="s">
        <v>71</v>
      </c>
      <c r="B34" s="34">
        <f>B33/B32</f>
        <v>0.06944444444</v>
      </c>
      <c r="C34" s="1" t="s">
        <v>72</v>
      </c>
      <c r="G34" s="11" t="s">
        <v>14</v>
      </c>
    </row>
    <row r="35">
      <c r="A35" s="32" t="s">
        <v>73</v>
      </c>
      <c r="B35" s="39">
        <f>B31+(B31*B34)</f>
        <v>5.696025641</v>
      </c>
      <c r="C35" s="1" t="s">
        <v>74</v>
      </c>
      <c r="G35" s="11" t="s">
        <v>14</v>
      </c>
    </row>
    <row r="36">
      <c r="A36" s="1" t="s">
        <v>75</v>
      </c>
      <c r="B36" s="39">
        <f>B35-B31</f>
        <v>0.3698717949</v>
      </c>
      <c r="C36" s="1" t="s">
        <v>34</v>
      </c>
      <c r="G36" s="11" t="s">
        <v>14</v>
      </c>
    </row>
    <row r="37">
      <c r="A37" s="1" t="s">
        <v>76</v>
      </c>
      <c r="B37" s="31">
        <f>AVERAGE(5%,20%)</f>
        <v>0.125</v>
      </c>
      <c r="C37" s="1" t="s">
        <v>77</v>
      </c>
      <c r="G37" s="11" t="s">
        <v>14</v>
      </c>
      <c r="H37" s="19"/>
    </row>
    <row r="38">
      <c r="A38" s="1"/>
      <c r="B38" s="35"/>
      <c r="C38" s="1"/>
      <c r="G38" s="11"/>
    </row>
    <row r="39">
      <c r="A39" s="7" t="s">
        <v>78</v>
      </c>
      <c r="B39" s="7"/>
      <c r="C39" s="7"/>
      <c r="D39" s="7"/>
      <c r="E39" s="40"/>
      <c r="F39" s="7"/>
      <c r="G39" s="8"/>
      <c r="H39" s="9"/>
      <c r="I39" s="7"/>
      <c r="J39" s="41"/>
      <c r="K39" s="7"/>
      <c r="L39" s="7"/>
      <c r="M39" s="7"/>
      <c r="N39" s="7"/>
      <c r="O39" s="7"/>
      <c r="P39" s="42"/>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row>
    <row r="40">
      <c r="A40" s="1" t="s">
        <v>79</v>
      </c>
      <c r="B40" s="1">
        <v>1.0</v>
      </c>
      <c r="C40" s="1">
        <v>2.0</v>
      </c>
      <c r="D40" s="1">
        <v>3.0</v>
      </c>
      <c r="E40" s="1">
        <v>4.0</v>
      </c>
      <c r="F40" s="1">
        <v>5.0</v>
      </c>
      <c r="G40" s="11">
        <v>6.0</v>
      </c>
      <c r="H40" s="1">
        <v>7.0</v>
      </c>
      <c r="I40" s="1">
        <v>8.0</v>
      </c>
      <c r="J40" s="1">
        <v>9.0</v>
      </c>
      <c r="K40" s="1">
        <v>10.0</v>
      </c>
      <c r="L40" s="1">
        <v>11.0</v>
      </c>
      <c r="M40" s="1">
        <v>12.0</v>
      </c>
      <c r="N40" s="1">
        <v>13.0</v>
      </c>
      <c r="O40" s="1">
        <v>14.0</v>
      </c>
      <c r="P40" s="1">
        <v>15.0</v>
      </c>
      <c r="Q40" s="1">
        <v>16.0</v>
      </c>
      <c r="R40" s="1">
        <v>17.0</v>
      </c>
      <c r="S40" s="1">
        <v>18.0</v>
      </c>
      <c r="T40" s="1">
        <v>19.0</v>
      </c>
      <c r="U40" s="1">
        <v>20.0</v>
      </c>
      <c r="V40" s="1">
        <v>21.0</v>
      </c>
      <c r="W40" s="1">
        <v>22.0</v>
      </c>
      <c r="X40" s="1">
        <v>23.0</v>
      </c>
      <c r="Y40" s="1">
        <v>24.0</v>
      </c>
      <c r="Z40" s="1">
        <v>25.0</v>
      </c>
      <c r="AA40" s="1">
        <v>26.0</v>
      </c>
      <c r="AB40" s="1">
        <v>27.0</v>
      </c>
      <c r="AC40" s="1">
        <v>28.0</v>
      </c>
      <c r="AD40" s="1">
        <v>29.0</v>
      </c>
      <c r="AE40" s="1">
        <v>30.0</v>
      </c>
      <c r="AF40" s="1">
        <v>31.0</v>
      </c>
      <c r="AG40" s="1">
        <v>32.0</v>
      </c>
      <c r="AH40" s="1">
        <v>33.0</v>
      </c>
      <c r="AI40" s="1">
        <v>34.0</v>
      </c>
      <c r="AJ40" s="1">
        <v>35.0</v>
      </c>
      <c r="AK40" s="1">
        <v>36.0</v>
      </c>
      <c r="AL40" s="1">
        <v>37.0</v>
      </c>
      <c r="AM40" s="1">
        <v>38.0</v>
      </c>
      <c r="AN40" s="1">
        <v>39.0</v>
      </c>
      <c r="AO40" s="1">
        <v>40.0</v>
      </c>
      <c r="AP40" s="1">
        <v>41.0</v>
      </c>
      <c r="AQ40" s="1">
        <v>42.0</v>
      </c>
      <c r="AR40" s="1">
        <v>43.0</v>
      </c>
      <c r="AS40" s="1">
        <v>44.0</v>
      </c>
      <c r="AT40" s="1">
        <v>45.0</v>
      </c>
      <c r="AU40" s="1">
        <v>46.0</v>
      </c>
      <c r="AV40" s="1">
        <v>47.0</v>
      </c>
      <c r="AW40" s="1">
        <v>48.0</v>
      </c>
      <c r="AX40" s="1">
        <v>49.0</v>
      </c>
      <c r="AY40" s="1">
        <v>50.0</v>
      </c>
    </row>
    <row r="41">
      <c r="A41" s="43" t="s">
        <v>80</v>
      </c>
      <c r="B41" s="44">
        <f>B3+B5</f>
        <v>491966.125</v>
      </c>
      <c r="C41" s="44">
        <f t="shared" ref="C41:D41" si="1">$B$4+$B$5</f>
        <v>641966.125</v>
      </c>
      <c r="D41" s="44">
        <f t="shared" si="1"/>
        <v>641966.125</v>
      </c>
      <c r="E41" s="45">
        <f t="shared" ref="E41:P41" si="2">$B$4*$B$21</f>
        <v>72531.98653</v>
      </c>
      <c r="F41" s="45">
        <f t="shared" si="2"/>
        <v>72531.98653</v>
      </c>
      <c r="G41" s="45">
        <f t="shared" si="2"/>
        <v>72531.98653</v>
      </c>
      <c r="H41" s="45">
        <f t="shared" si="2"/>
        <v>72531.98653</v>
      </c>
      <c r="I41" s="45">
        <f t="shared" si="2"/>
        <v>72531.98653</v>
      </c>
      <c r="J41" s="45">
        <f t="shared" si="2"/>
        <v>72531.98653</v>
      </c>
      <c r="K41" s="45">
        <f t="shared" si="2"/>
        <v>72531.98653</v>
      </c>
      <c r="L41" s="45">
        <f t="shared" si="2"/>
        <v>72531.98653</v>
      </c>
      <c r="M41" s="45">
        <f t="shared" si="2"/>
        <v>72531.98653</v>
      </c>
      <c r="N41" s="45">
        <f t="shared" si="2"/>
        <v>72531.98653</v>
      </c>
      <c r="O41" s="45">
        <f t="shared" si="2"/>
        <v>72531.98653</v>
      </c>
      <c r="P41" s="45">
        <f t="shared" si="2"/>
        <v>72531.98653</v>
      </c>
      <c r="Q41" s="45">
        <v>0.0</v>
      </c>
      <c r="R41" s="45">
        <v>0.0</v>
      </c>
      <c r="S41" s="45">
        <v>0.0</v>
      </c>
      <c r="T41" s="45">
        <v>0.0</v>
      </c>
      <c r="U41" s="45">
        <v>0.0</v>
      </c>
      <c r="V41" s="45">
        <v>0.0</v>
      </c>
      <c r="W41" s="45">
        <v>0.0</v>
      </c>
      <c r="X41" s="45">
        <v>0.0</v>
      </c>
      <c r="Y41" s="45">
        <v>0.0</v>
      </c>
      <c r="Z41" s="45">
        <v>0.0</v>
      </c>
      <c r="AA41" s="45">
        <v>0.0</v>
      </c>
      <c r="AB41" s="45">
        <v>0.0</v>
      </c>
      <c r="AC41" s="45">
        <v>0.0</v>
      </c>
      <c r="AD41" s="45">
        <v>0.0</v>
      </c>
      <c r="AE41" s="45">
        <v>0.0</v>
      </c>
      <c r="AF41" s="45">
        <v>0.0</v>
      </c>
      <c r="AG41" s="45">
        <v>0.0</v>
      </c>
      <c r="AH41" s="45">
        <v>0.0</v>
      </c>
      <c r="AI41" s="45">
        <v>0.0</v>
      </c>
      <c r="AJ41" s="45">
        <v>0.0</v>
      </c>
      <c r="AK41" s="45">
        <v>0.0</v>
      </c>
      <c r="AL41" s="45">
        <v>0.0</v>
      </c>
      <c r="AM41" s="45">
        <v>0.0</v>
      </c>
      <c r="AN41" s="45">
        <v>0.0</v>
      </c>
      <c r="AO41" s="45">
        <v>0.0</v>
      </c>
      <c r="AP41" s="45">
        <v>0.0</v>
      </c>
      <c r="AQ41" s="45">
        <v>0.0</v>
      </c>
      <c r="AR41" s="45">
        <v>0.0</v>
      </c>
      <c r="AS41" s="45">
        <v>0.0</v>
      </c>
      <c r="AT41" s="45">
        <v>0.0</v>
      </c>
      <c r="AU41" s="45">
        <v>0.0</v>
      </c>
      <c r="AV41" s="45">
        <v>0.0</v>
      </c>
      <c r="AW41" s="45">
        <v>0.0</v>
      </c>
      <c r="AX41" s="45">
        <v>0.0</v>
      </c>
      <c r="AY41" s="45">
        <v>0.0</v>
      </c>
    </row>
    <row r="42">
      <c r="A42" s="32" t="s">
        <v>81</v>
      </c>
      <c r="B42" s="46">
        <f>B15</f>
        <v>15949791</v>
      </c>
      <c r="C42" s="46">
        <f t="shared" ref="C42:AY42" si="3">B42*(1+$B$16)</f>
        <v>15311799.36</v>
      </c>
      <c r="D42" s="46">
        <f t="shared" si="3"/>
        <v>14699327.39</v>
      </c>
      <c r="E42" s="46">
        <f t="shared" si="3"/>
        <v>14111354.29</v>
      </c>
      <c r="F42" s="46">
        <f t="shared" si="3"/>
        <v>13546900.12</v>
      </c>
      <c r="G42" s="46">
        <f t="shared" si="3"/>
        <v>13005024.11</v>
      </c>
      <c r="H42" s="46">
        <f t="shared" si="3"/>
        <v>12484823.15</v>
      </c>
      <c r="I42" s="46">
        <f t="shared" si="3"/>
        <v>11985430.22</v>
      </c>
      <c r="J42" s="46">
        <f t="shared" si="3"/>
        <v>11506013.01</v>
      </c>
      <c r="K42" s="46">
        <f t="shared" si="3"/>
        <v>11045772.49</v>
      </c>
      <c r="L42" s="46">
        <f t="shared" si="3"/>
        <v>10603941.59</v>
      </c>
      <c r="M42" s="46">
        <f t="shared" si="3"/>
        <v>10179783.93</v>
      </c>
      <c r="N42" s="46">
        <f t="shared" si="3"/>
        <v>9772592.573</v>
      </c>
      <c r="O42" s="46">
        <f t="shared" si="3"/>
        <v>9381688.87</v>
      </c>
      <c r="P42" s="46">
        <f t="shared" si="3"/>
        <v>9006421.315</v>
      </c>
      <c r="Q42" s="46">
        <f t="shared" si="3"/>
        <v>8646164.463</v>
      </c>
      <c r="R42" s="46">
        <f t="shared" si="3"/>
        <v>8300317.884</v>
      </c>
      <c r="S42" s="46">
        <f t="shared" si="3"/>
        <v>7968305.169</v>
      </c>
      <c r="T42" s="46">
        <f t="shared" si="3"/>
        <v>7649572.962</v>
      </c>
      <c r="U42" s="46">
        <f t="shared" si="3"/>
        <v>7343590.044</v>
      </c>
      <c r="V42" s="46">
        <f t="shared" si="3"/>
        <v>7049846.442</v>
      </c>
      <c r="W42" s="46">
        <f t="shared" si="3"/>
        <v>6767852.584</v>
      </c>
      <c r="X42" s="46">
        <f t="shared" si="3"/>
        <v>6497138.481</v>
      </c>
      <c r="Y42" s="46">
        <f t="shared" si="3"/>
        <v>6237252.942</v>
      </c>
      <c r="Z42" s="46">
        <f t="shared" si="3"/>
        <v>5987762.824</v>
      </c>
      <c r="AA42" s="46">
        <f t="shared" si="3"/>
        <v>5748252.311</v>
      </c>
      <c r="AB42" s="46">
        <f t="shared" si="3"/>
        <v>5518322.219</v>
      </c>
      <c r="AC42" s="46">
        <f t="shared" si="3"/>
        <v>5297589.33</v>
      </c>
      <c r="AD42" s="46">
        <f t="shared" si="3"/>
        <v>5085685.757</v>
      </c>
      <c r="AE42" s="46">
        <f t="shared" si="3"/>
        <v>4882258.326</v>
      </c>
      <c r="AF42" s="46">
        <f t="shared" si="3"/>
        <v>4686967.993</v>
      </c>
      <c r="AG42" s="46">
        <f t="shared" si="3"/>
        <v>4499489.274</v>
      </c>
      <c r="AH42" s="46">
        <f t="shared" si="3"/>
        <v>4319509.703</v>
      </c>
      <c r="AI42" s="46">
        <f t="shared" si="3"/>
        <v>4146729.315</v>
      </c>
      <c r="AJ42" s="46">
        <f t="shared" si="3"/>
        <v>3980860.142</v>
      </c>
      <c r="AK42" s="46">
        <f t="shared" si="3"/>
        <v>3821625.736</v>
      </c>
      <c r="AL42" s="46">
        <f t="shared" si="3"/>
        <v>3668760.707</v>
      </c>
      <c r="AM42" s="46">
        <f t="shared" si="3"/>
        <v>3522010.279</v>
      </c>
      <c r="AN42" s="46">
        <f t="shared" si="3"/>
        <v>3381129.867</v>
      </c>
      <c r="AO42" s="46">
        <f t="shared" si="3"/>
        <v>3245884.673</v>
      </c>
      <c r="AP42" s="46">
        <f t="shared" si="3"/>
        <v>3116049.286</v>
      </c>
      <c r="AQ42" s="46">
        <f t="shared" si="3"/>
        <v>2991407.314</v>
      </c>
      <c r="AR42" s="46">
        <f t="shared" si="3"/>
        <v>2871751.022</v>
      </c>
      <c r="AS42" s="46">
        <f t="shared" si="3"/>
        <v>2756880.981</v>
      </c>
      <c r="AT42" s="46">
        <f t="shared" si="3"/>
        <v>2646605.742</v>
      </c>
      <c r="AU42" s="46">
        <f t="shared" si="3"/>
        <v>2540741.512</v>
      </c>
      <c r="AV42" s="46">
        <f t="shared" si="3"/>
        <v>2439111.852</v>
      </c>
      <c r="AW42" s="46">
        <f t="shared" si="3"/>
        <v>2341547.377</v>
      </c>
      <c r="AX42" s="46">
        <f t="shared" si="3"/>
        <v>2247885.482</v>
      </c>
      <c r="AY42" s="46">
        <f t="shared" si="3"/>
        <v>2157970.063</v>
      </c>
    </row>
    <row r="43">
      <c r="A43" s="32" t="s">
        <v>82</v>
      </c>
      <c r="B43" s="46">
        <f t="shared" ref="B43:AY43" si="4">B42*$B$21*$B$22*$B$37*(1-$B$23)</f>
        <v>274369.2863</v>
      </c>
      <c r="C43" s="46">
        <f t="shared" si="4"/>
        <v>263394.5148</v>
      </c>
      <c r="D43" s="46">
        <f t="shared" si="4"/>
        <v>252858.7343</v>
      </c>
      <c r="E43" s="46">
        <f t="shared" si="4"/>
        <v>242744.3849</v>
      </c>
      <c r="F43" s="46">
        <f t="shared" si="4"/>
        <v>233034.6095</v>
      </c>
      <c r="G43" s="46">
        <f t="shared" si="4"/>
        <v>223713.2251</v>
      </c>
      <c r="H43" s="46">
        <f t="shared" si="4"/>
        <v>214764.6961</v>
      </c>
      <c r="I43" s="46">
        <f t="shared" si="4"/>
        <v>206174.1083</v>
      </c>
      <c r="J43" s="46">
        <f t="shared" si="4"/>
        <v>197927.1439</v>
      </c>
      <c r="K43" s="46">
        <f t="shared" si="4"/>
        <v>190010.0582</v>
      </c>
      <c r="L43" s="46">
        <f t="shared" si="4"/>
        <v>182409.6558</v>
      </c>
      <c r="M43" s="46">
        <f t="shared" si="4"/>
        <v>175113.2696</v>
      </c>
      <c r="N43" s="46">
        <f t="shared" si="4"/>
        <v>168108.7388</v>
      </c>
      <c r="O43" s="46">
        <f t="shared" si="4"/>
        <v>161384.3893</v>
      </c>
      <c r="P43" s="46">
        <f t="shared" si="4"/>
        <v>154929.0137</v>
      </c>
      <c r="Q43" s="46">
        <f t="shared" si="4"/>
        <v>148731.8532</v>
      </c>
      <c r="R43" s="46">
        <f t="shared" si="4"/>
        <v>142782.579</v>
      </c>
      <c r="S43" s="46">
        <f t="shared" si="4"/>
        <v>137071.2759</v>
      </c>
      <c r="T43" s="46">
        <f t="shared" si="4"/>
        <v>131588.4248</v>
      </c>
      <c r="U43" s="46">
        <f t="shared" si="4"/>
        <v>126324.8878</v>
      </c>
      <c r="V43" s="46">
        <f t="shared" si="4"/>
        <v>121271.8923</v>
      </c>
      <c r="W43" s="46">
        <f t="shared" si="4"/>
        <v>116421.0166</v>
      </c>
      <c r="X43" s="46">
        <f t="shared" si="4"/>
        <v>111764.176</v>
      </c>
      <c r="Y43" s="46">
        <f t="shared" si="4"/>
        <v>107293.6089</v>
      </c>
      <c r="Z43" s="46">
        <f t="shared" si="4"/>
        <v>103001.8646</v>
      </c>
      <c r="AA43" s="46">
        <f t="shared" si="4"/>
        <v>98881.78999</v>
      </c>
      <c r="AB43" s="46">
        <f t="shared" si="4"/>
        <v>94926.51839</v>
      </c>
      <c r="AC43" s="46">
        <f t="shared" si="4"/>
        <v>91129.45765</v>
      </c>
      <c r="AD43" s="46">
        <f t="shared" si="4"/>
        <v>87484.27935</v>
      </c>
      <c r="AE43" s="46">
        <f t="shared" si="4"/>
        <v>83984.90817</v>
      </c>
      <c r="AF43" s="46">
        <f t="shared" si="4"/>
        <v>80625.51185</v>
      </c>
      <c r="AG43" s="46">
        <f t="shared" si="4"/>
        <v>77400.49137</v>
      </c>
      <c r="AH43" s="46">
        <f t="shared" si="4"/>
        <v>74304.47172</v>
      </c>
      <c r="AI43" s="46">
        <f t="shared" si="4"/>
        <v>71332.29285</v>
      </c>
      <c r="AJ43" s="46">
        <f t="shared" si="4"/>
        <v>68479.00114</v>
      </c>
      <c r="AK43" s="46">
        <f t="shared" si="4"/>
        <v>65739.84109</v>
      </c>
      <c r="AL43" s="46">
        <f t="shared" si="4"/>
        <v>63110.24745</v>
      </c>
      <c r="AM43" s="46">
        <f t="shared" si="4"/>
        <v>60585.83755</v>
      </c>
      <c r="AN43" s="46">
        <f t="shared" si="4"/>
        <v>58162.40405</v>
      </c>
      <c r="AO43" s="46">
        <f t="shared" si="4"/>
        <v>55835.90788</v>
      </c>
      <c r="AP43" s="46">
        <f t="shared" si="4"/>
        <v>53602.47157</v>
      </c>
      <c r="AQ43" s="46">
        <f t="shared" si="4"/>
        <v>51458.37271</v>
      </c>
      <c r="AR43" s="46">
        <f t="shared" si="4"/>
        <v>49400.0378</v>
      </c>
      <c r="AS43" s="46">
        <f t="shared" si="4"/>
        <v>47424.03629</v>
      </c>
      <c r="AT43" s="46">
        <f t="shared" si="4"/>
        <v>45527.07484</v>
      </c>
      <c r="AU43" s="46">
        <f t="shared" si="4"/>
        <v>43705.99184</v>
      </c>
      <c r="AV43" s="46">
        <f t="shared" si="4"/>
        <v>41957.75217</v>
      </c>
      <c r="AW43" s="46">
        <f t="shared" si="4"/>
        <v>40279.44208</v>
      </c>
      <c r="AX43" s="46">
        <f t="shared" si="4"/>
        <v>38668.2644</v>
      </c>
      <c r="AY43" s="46">
        <f t="shared" si="4"/>
        <v>37121.53382</v>
      </c>
    </row>
    <row r="44">
      <c r="A44" s="32" t="s">
        <v>83</v>
      </c>
      <c r="B44" s="46">
        <f t="shared" ref="B44:AY44" si="5">B43*$B$36</f>
        <v>101481.4604</v>
      </c>
      <c r="C44" s="46">
        <f t="shared" si="5"/>
        <v>97422.20197</v>
      </c>
      <c r="D44" s="46">
        <f t="shared" si="5"/>
        <v>93525.31389</v>
      </c>
      <c r="E44" s="46">
        <f t="shared" si="5"/>
        <v>89784.30133</v>
      </c>
      <c r="F44" s="46">
        <f t="shared" si="5"/>
        <v>86192.92928</v>
      </c>
      <c r="G44" s="46">
        <f t="shared" si="5"/>
        <v>82745.21211</v>
      </c>
      <c r="H44" s="46">
        <f t="shared" si="5"/>
        <v>79435.40362</v>
      </c>
      <c r="I44" s="46">
        <f t="shared" si="5"/>
        <v>76257.98748</v>
      </c>
      <c r="J44" s="46">
        <f t="shared" si="5"/>
        <v>73207.66798</v>
      </c>
      <c r="K44" s="46">
        <f t="shared" si="5"/>
        <v>70279.36126</v>
      </c>
      <c r="L44" s="46">
        <f t="shared" si="5"/>
        <v>67468.18681</v>
      </c>
      <c r="M44" s="46">
        <f t="shared" si="5"/>
        <v>64769.45934</v>
      </c>
      <c r="N44" s="46">
        <f t="shared" si="5"/>
        <v>62178.68096</v>
      </c>
      <c r="O44" s="46">
        <f t="shared" si="5"/>
        <v>59691.53373</v>
      </c>
      <c r="P44" s="46">
        <f t="shared" si="5"/>
        <v>57303.87238</v>
      </c>
      <c r="Q44" s="46">
        <f t="shared" si="5"/>
        <v>55011.71748</v>
      </c>
      <c r="R44" s="46">
        <f t="shared" si="5"/>
        <v>52811.24878</v>
      </c>
      <c r="S44" s="46">
        <f t="shared" si="5"/>
        <v>50698.79883</v>
      </c>
      <c r="T44" s="46">
        <f t="shared" si="5"/>
        <v>48670.84688</v>
      </c>
      <c r="U44" s="46">
        <f t="shared" si="5"/>
        <v>46724.013</v>
      </c>
      <c r="V44" s="46">
        <f t="shared" si="5"/>
        <v>44855.05248</v>
      </c>
      <c r="W44" s="46">
        <f t="shared" si="5"/>
        <v>43060.85038</v>
      </c>
      <c r="X44" s="46">
        <f t="shared" si="5"/>
        <v>41338.41637</v>
      </c>
      <c r="Y44" s="46">
        <f t="shared" si="5"/>
        <v>39684.87971</v>
      </c>
      <c r="Z44" s="46">
        <f t="shared" si="5"/>
        <v>38097.48452</v>
      </c>
      <c r="AA44" s="46">
        <f t="shared" si="5"/>
        <v>36573.58514</v>
      </c>
      <c r="AB44" s="46">
        <f t="shared" si="5"/>
        <v>35110.64174</v>
      </c>
      <c r="AC44" s="46">
        <f t="shared" si="5"/>
        <v>33706.21607</v>
      </c>
      <c r="AD44" s="46">
        <f t="shared" si="5"/>
        <v>32357.96743</v>
      </c>
      <c r="AE44" s="46">
        <f t="shared" si="5"/>
        <v>31063.64873</v>
      </c>
      <c r="AF44" s="46">
        <f t="shared" si="5"/>
        <v>29821.10278</v>
      </c>
      <c r="AG44" s="46">
        <f t="shared" si="5"/>
        <v>28628.25867</v>
      </c>
      <c r="AH44" s="46">
        <f t="shared" si="5"/>
        <v>27483.12832</v>
      </c>
      <c r="AI44" s="46">
        <f t="shared" si="5"/>
        <v>26383.80319</v>
      </c>
      <c r="AJ44" s="46">
        <f t="shared" si="5"/>
        <v>25328.45106</v>
      </c>
      <c r="AK44" s="46">
        <f t="shared" si="5"/>
        <v>24315.31302</v>
      </c>
      <c r="AL44" s="46">
        <f t="shared" si="5"/>
        <v>23342.7005</v>
      </c>
      <c r="AM44" s="46">
        <f t="shared" si="5"/>
        <v>22408.99248</v>
      </c>
      <c r="AN44" s="46">
        <f t="shared" si="5"/>
        <v>21512.63278</v>
      </c>
      <c r="AO44" s="46">
        <f t="shared" si="5"/>
        <v>20652.12747</v>
      </c>
      <c r="AP44" s="46">
        <f t="shared" si="5"/>
        <v>19826.04237</v>
      </c>
      <c r="AQ44" s="46">
        <f t="shared" si="5"/>
        <v>19033.00067</v>
      </c>
      <c r="AR44" s="46">
        <f t="shared" si="5"/>
        <v>18271.68065</v>
      </c>
      <c r="AS44" s="46">
        <f t="shared" si="5"/>
        <v>17540.81342</v>
      </c>
      <c r="AT44" s="46">
        <f t="shared" si="5"/>
        <v>16839.18088</v>
      </c>
      <c r="AU44" s="46">
        <f t="shared" si="5"/>
        <v>16165.61365</v>
      </c>
      <c r="AV44" s="46">
        <f t="shared" si="5"/>
        <v>15518.9891</v>
      </c>
      <c r="AW44" s="46">
        <f t="shared" si="5"/>
        <v>14898.22954</v>
      </c>
      <c r="AX44" s="46">
        <f t="shared" si="5"/>
        <v>14302.30036</v>
      </c>
      <c r="AY44" s="46">
        <f t="shared" si="5"/>
        <v>13730.20834</v>
      </c>
    </row>
    <row r="45">
      <c r="A45" s="1" t="s">
        <v>84</v>
      </c>
      <c r="B45" s="46">
        <v>0.0</v>
      </c>
      <c r="C45" s="46">
        <v>0.0</v>
      </c>
      <c r="D45" s="46">
        <v>0.0</v>
      </c>
      <c r="E45" s="47">
        <f t="shared" ref="E45:AY45" si="6">(E42*$B$20*$B$21*$B$22)*(1-$B$23)-E44</f>
        <v>6374685.395</v>
      </c>
      <c r="F45" s="47">
        <f t="shared" si="6"/>
        <v>6119697.979</v>
      </c>
      <c r="G45" s="47">
        <f t="shared" si="6"/>
        <v>5874910.06</v>
      </c>
      <c r="H45" s="47">
        <f t="shared" si="6"/>
        <v>5639913.657</v>
      </c>
      <c r="I45" s="47">
        <f t="shared" si="6"/>
        <v>5414317.111</v>
      </c>
      <c r="J45" s="47">
        <f t="shared" si="6"/>
        <v>5197744.427</v>
      </c>
      <c r="K45" s="47">
        <f t="shared" si="6"/>
        <v>4989834.649</v>
      </c>
      <c r="L45" s="47">
        <f t="shared" si="6"/>
        <v>4790241.263</v>
      </c>
      <c r="M45" s="47">
        <f t="shared" si="6"/>
        <v>4598631.613</v>
      </c>
      <c r="N45" s="47">
        <f t="shared" si="6"/>
        <v>4414686.348</v>
      </c>
      <c r="O45" s="47">
        <f t="shared" si="6"/>
        <v>4238098.894</v>
      </c>
      <c r="P45" s="47">
        <f t="shared" si="6"/>
        <v>4068574.939</v>
      </c>
      <c r="Q45" s="47">
        <f t="shared" si="6"/>
        <v>3905831.941</v>
      </c>
      <c r="R45" s="47">
        <f t="shared" si="6"/>
        <v>3749598.664</v>
      </c>
      <c r="S45" s="47">
        <f t="shared" si="6"/>
        <v>3599614.717</v>
      </c>
      <c r="T45" s="47">
        <f t="shared" si="6"/>
        <v>3455630.128</v>
      </c>
      <c r="U45" s="47">
        <f t="shared" si="6"/>
        <v>3317404.923</v>
      </c>
      <c r="V45" s="47">
        <f t="shared" si="6"/>
        <v>3184708.726</v>
      </c>
      <c r="W45" s="47">
        <f t="shared" si="6"/>
        <v>3057320.377</v>
      </c>
      <c r="X45" s="47">
        <f t="shared" si="6"/>
        <v>2935027.562</v>
      </c>
      <c r="Y45" s="47">
        <f t="shared" si="6"/>
        <v>2817626.46</v>
      </c>
      <c r="Z45" s="47">
        <f t="shared" si="6"/>
        <v>2704921.401</v>
      </c>
      <c r="AA45" s="47">
        <f t="shared" si="6"/>
        <v>2596724.545</v>
      </c>
      <c r="AB45" s="47">
        <f t="shared" si="6"/>
        <v>2492855.563</v>
      </c>
      <c r="AC45" s="47">
        <f t="shared" si="6"/>
        <v>2393141.341</v>
      </c>
      <c r="AD45" s="47">
        <f t="shared" si="6"/>
        <v>2297415.687</v>
      </c>
      <c r="AE45" s="47">
        <f t="shared" si="6"/>
        <v>2205519.06</v>
      </c>
      <c r="AF45" s="47">
        <f t="shared" si="6"/>
        <v>2117298.297</v>
      </c>
      <c r="AG45" s="47">
        <f t="shared" si="6"/>
        <v>2032606.365</v>
      </c>
      <c r="AH45" s="47">
        <f t="shared" si="6"/>
        <v>1951302.111</v>
      </c>
      <c r="AI45" s="47">
        <f t="shared" si="6"/>
        <v>1873250.026</v>
      </c>
      <c r="AJ45" s="47">
        <f t="shared" si="6"/>
        <v>1798320.025</v>
      </c>
      <c r="AK45" s="47">
        <f t="shared" si="6"/>
        <v>1726387.224</v>
      </c>
      <c r="AL45" s="47">
        <f t="shared" si="6"/>
        <v>1657331.735</v>
      </c>
      <c r="AM45" s="47">
        <f t="shared" si="6"/>
        <v>1591038.466</v>
      </c>
      <c r="AN45" s="47">
        <f t="shared" si="6"/>
        <v>1527396.927</v>
      </c>
      <c r="AO45" s="47">
        <f t="shared" si="6"/>
        <v>1466301.05</v>
      </c>
      <c r="AP45" s="47">
        <f t="shared" si="6"/>
        <v>1407649.008</v>
      </c>
      <c r="AQ45" s="47">
        <f t="shared" si="6"/>
        <v>1351343.048</v>
      </c>
      <c r="AR45" s="47">
        <f t="shared" si="6"/>
        <v>1297289.326</v>
      </c>
      <c r="AS45" s="47">
        <f t="shared" si="6"/>
        <v>1245397.753</v>
      </c>
      <c r="AT45" s="47">
        <f t="shared" si="6"/>
        <v>1195581.843</v>
      </c>
      <c r="AU45" s="47">
        <f t="shared" si="6"/>
        <v>1147758.569</v>
      </c>
      <c r="AV45" s="47">
        <f t="shared" si="6"/>
        <v>1101848.226</v>
      </c>
      <c r="AW45" s="47">
        <f t="shared" si="6"/>
        <v>1057774.297</v>
      </c>
      <c r="AX45" s="47">
        <f t="shared" si="6"/>
        <v>1015463.325</v>
      </c>
      <c r="AY45" s="47">
        <f t="shared" si="6"/>
        <v>974844.7924</v>
      </c>
    </row>
    <row r="46">
      <c r="A46" s="1"/>
      <c r="B46" s="2"/>
      <c r="C46" s="2"/>
      <c r="D46" s="2"/>
      <c r="E46" s="2"/>
      <c r="F46" s="2"/>
      <c r="G46" s="48"/>
      <c r="H46" s="2"/>
      <c r="I46" s="2"/>
      <c r="J46" s="2"/>
      <c r="K46" s="2"/>
    </row>
    <row r="47">
      <c r="A47" s="7" t="s">
        <v>85</v>
      </c>
      <c r="B47" s="7"/>
      <c r="C47" s="7"/>
      <c r="D47" s="7"/>
      <c r="E47" s="7"/>
      <c r="F47" s="7"/>
      <c r="G47" s="8"/>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row>
    <row r="48">
      <c r="A48" s="1" t="s">
        <v>4</v>
      </c>
      <c r="B48" s="2">
        <f t="array" ref="B48">NPV(B24,41:41)</f>
        <v>2242439.53</v>
      </c>
      <c r="G48" s="49"/>
      <c r="J48" s="50"/>
      <c r="K48" s="51"/>
    </row>
    <row r="49">
      <c r="A49" s="1" t="s">
        <v>5</v>
      </c>
      <c r="B49" s="2">
        <f t="array" ref="B49">NPV(B27,45:45)</f>
        <v>81545894.17</v>
      </c>
      <c r="G49" s="49"/>
    </row>
    <row r="50">
      <c r="A50" s="1" t="s">
        <v>6</v>
      </c>
      <c r="B50" s="2">
        <f>B49/B48</f>
        <v>36.364813</v>
      </c>
      <c r="G50" s="49"/>
    </row>
    <row r="51">
      <c r="G51" s="49"/>
    </row>
    <row r="52">
      <c r="G52" s="49"/>
    </row>
    <row r="53">
      <c r="G53" s="49"/>
    </row>
    <row r="54">
      <c r="G54" s="49"/>
    </row>
    <row r="55">
      <c r="G55" s="49"/>
    </row>
    <row r="56">
      <c r="G56" s="49"/>
    </row>
    <row r="57">
      <c r="G57" s="49"/>
    </row>
    <row r="58">
      <c r="G58" s="49"/>
    </row>
    <row r="59">
      <c r="G59" s="49"/>
    </row>
    <row r="60">
      <c r="G60" s="49"/>
    </row>
    <row r="61">
      <c r="G61" s="49"/>
    </row>
    <row r="62">
      <c r="G62" s="49"/>
    </row>
    <row r="63">
      <c r="G63" s="49"/>
    </row>
    <row r="64">
      <c r="G64" s="49"/>
    </row>
    <row r="65">
      <c r="G65" s="49"/>
    </row>
    <row r="66">
      <c r="G66" s="49"/>
    </row>
    <row r="67">
      <c r="G67" s="49"/>
    </row>
    <row r="68">
      <c r="G68" s="49"/>
    </row>
    <row r="69">
      <c r="G69" s="49"/>
    </row>
    <row r="70">
      <c r="G70" s="49"/>
    </row>
    <row r="71">
      <c r="G71" s="49"/>
    </row>
    <row r="72">
      <c r="G72" s="49"/>
    </row>
    <row r="73">
      <c r="G73" s="49"/>
    </row>
    <row r="74">
      <c r="G74" s="49"/>
    </row>
    <row r="75">
      <c r="G75" s="49"/>
    </row>
    <row r="76">
      <c r="G76" s="49"/>
    </row>
    <row r="77">
      <c r="G77" s="49"/>
    </row>
    <row r="78">
      <c r="G78" s="49"/>
    </row>
    <row r="79">
      <c r="G79" s="49"/>
    </row>
    <row r="80">
      <c r="G80" s="49"/>
    </row>
    <row r="81">
      <c r="G81" s="49"/>
    </row>
    <row r="82">
      <c r="G82" s="49"/>
    </row>
    <row r="83">
      <c r="G83" s="49"/>
    </row>
    <row r="84">
      <c r="G84" s="49"/>
    </row>
    <row r="85">
      <c r="G85" s="49"/>
    </row>
    <row r="86">
      <c r="G86" s="49"/>
    </row>
    <row r="87">
      <c r="G87" s="49"/>
    </row>
    <row r="88">
      <c r="G88" s="49"/>
    </row>
    <row r="89">
      <c r="G89" s="49"/>
    </row>
    <row r="90">
      <c r="G90" s="49"/>
    </row>
    <row r="91">
      <c r="G91" s="49"/>
    </row>
    <row r="92">
      <c r="G92" s="49"/>
    </row>
    <row r="93">
      <c r="G93" s="49"/>
    </row>
    <row r="94">
      <c r="G94" s="49"/>
    </row>
    <row r="95">
      <c r="G95" s="49"/>
    </row>
    <row r="96">
      <c r="G96" s="49"/>
    </row>
    <row r="97">
      <c r="G97" s="49"/>
    </row>
    <row r="98">
      <c r="G98" s="49"/>
    </row>
    <row r="99">
      <c r="G99" s="49"/>
    </row>
    <row r="100">
      <c r="G100" s="49"/>
    </row>
    <row r="101">
      <c r="G101" s="49"/>
    </row>
    <row r="102">
      <c r="G102" s="49"/>
    </row>
    <row r="103">
      <c r="G103" s="49"/>
    </row>
    <row r="104">
      <c r="G104" s="49"/>
    </row>
    <row r="105">
      <c r="G105" s="49"/>
    </row>
    <row r="106">
      <c r="G106" s="49"/>
    </row>
    <row r="107">
      <c r="G107" s="49"/>
    </row>
    <row r="108">
      <c r="G108" s="49"/>
    </row>
    <row r="109">
      <c r="G109" s="49"/>
    </row>
    <row r="110">
      <c r="G110" s="49"/>
    </row>
    <row r="111">
      <c r="G111" s="49"/>
    </row>
    <row r="112">
      <c r="G112" s="49"/>
    </row>
    <row r="113">
      <c r="G113" s="49"/>
    </row>
    <row r="114">
      <c r="G114" s="49"/>
    </row>
    <row r="115">
      <c r="G115" s="49"/>
    </row>
    <row r="116">
      <c r="G116" s="49"/>
    </row>
    <row r="117">
      <c r="G117" s="49"/>
    </row>
    <row r="118">
      <c r="G118" s="49"/>
    </row>
    <row r="119">
      <c r="G119" s="49"/>
    </row>
    <row r="120">
      <c r="G120" s="49"/>
    </row>
    <row r="121">
      <c r="G121" s="49"/>
    </row>
    <row r="122">
      <c r="G122" s="49"/>
    </row>
    <row r="123">
      <c r="G123" s="49"/>
    </row>
    <row r="124">
      <c r="G124" s="49"/>
    </row>
    <row r="125">
      <c r="G125" s="49"/>
    </row>
    <row r="126">
      <c r="G126" s="49"/>
    </row>
    <row r="127">
      <c r="G127" s="49"/>
    </row>
    <row r="128">
      <c r="G128" s="49"/>
    </row>
    <row r="129">
      <c r="G129" s="49"/>
    </row>
    <row r="130">
      <c r="G130" s="49"/>
    </row>
    <row r="131">
      <c r="G131" s="49"/>
    </row>
    <row r="132">
      <c r="G132" s="49"/>
    </row>
    <row r="133">
      <c r="G133" s="49"/>
    </row>
    <row r="134">
      <c r="G134" s="49"/>
    </row>
    <row r="135">
      <c r="G135" s="49"/>
    </row>
    <row r="136">
      <c r="G136" s="49"/>
    </row>
    <row r="137">
      <c r="G137" s="49"/>
    </row>
    <row r="138">
      <c r="G138" s="49"/>
    </row>
    <row r="139">
      <c r="G139" s="49"/>
    </row>
    <row r="140">
      <c r="G140" s="49"/>
    </row>
    <row r="141">
      <c r="G141" s="49"/>
    </row>
    <row r="142">
      <c r="G142" s="49"/>
    </row>
    <row r="143">
      <c r="G143" s="49"/>
    </row>
    <row r="144">
      <c r="G144" s="49"/>
    </row>
    <row r="145">
      <c r="G145" s="49"/>
    </row>
    <row r="146">
      <c r="G146" s="49"/>
    </row>
    <row r="147">
      <c r="G147" s="49"/>
    </row>
    <row r="148">
      <c r="G148" s="49"/>
    </row>
    <row r="149">
      <c r="G149" s="49"/>
    </row>
    <row r="150">
      <c r="G150" s="49"/>
    </row>
    <row r="151">
      <c r="G151" s="49"/>
    </row>
    <row r="152">
      <c r="G152" s="49"/>
    </row>
    <row r="153">
      <c r="G153" s="49"/>
    </row>
    <row r="154">
      <c r="G154" s="49"/>
    </row>
    <row r="155">
      <c r="G155" s="49"/>
    </row>
    <row r="156">
      <c r="G156" s="49"/>
    </row>
    <row r="157">
      <c r="G157" s="49"/>
    </row>
    <row r="158">
      <c r="G158" s="49"/>
    </row>
    <row r="159">
      <c r="G159" s="49"/>
    </row>
    <row r="160">
      <c r="G160" s="49"/>
    </row>
    <row r="161">
      <c r="G161" s="49"/>
    </row>
    <row r="162">
      <c r="G162" s="49"/>
    </row>
    <row r="163">
      <c r="G163" s="49"/>
    </row>
    <row r="164">
      <c r="G164" s="49"/>
    </row>
    <row r="165">
      <c r="G165" s="49"/>
    </row>
    <row r="166">
      <c r="G166" s="49"/>
    </row>
    <row r="167">
      <c r="G167" s="49"/>
    </row>
    <row r="168">
      <c r="G168" s="49"/>
    </row>
    <row r="169">
      <c r="G169" s="49"/>
    </row>
    <row r="170">
      <c r="G170" s="49"/>
    </row>
    <row r="171">
      <c r="G171" s="49"/>
    </row>
    <row r="172">
      <c r="G172" s="49"/>
    </row>
    <row r="173">
      <c r="G173" s="49"/>
    </row>
    <row r="174">
      <c r="G174" s="49"/>
    </row>
    <row r="175">
      <c r="G175" s="49"/>
    </row>
    <row r="176">
      <c r="G176" s="49"/>
    </row>
    <row r="177">
      <c r="G177" s="49"/>
    </row>
    <row r="178">
      <c r="G178" s="49"/>
    </row>
    <row r="179">
      <c r="G179" s="49"/>
    </row>
    <row r="180">
      <c r="G180" s="49"/>
    </row>
    <row r="181">
      <c r="G181" s="49"/>
    </row>
    <row r="182">
      <c r="G182" s="49"/>
    </row>
    <row r="183">
      <c r="G183" s="49"/>
    </row>
    <row r="184">
      <c r="G184" s="49"/>
    </row>
    <row r="185">
      <c r="G185" s="49"/>
    </row>
    <row r="186">
      <c r="G186" s="49"/>
    </row>
    <row r="187">
      <c r="G187" s="49"/>
    </row>
    <row r="188">
      <c r="G188" s="49"/>
    </row>
    <row r="189">
      <c r="G189" s="49"/>
    </row>
    <row r="190">
      <c r="G190" s="49"/>
    </row>
    <row r="191">
      <c r="G191" s="49"/>
    </row>
    <row r="192">
      <c r="G192" s="49"/>
    </row>
    <row r="193">
      <c r="G193" s="49"/>
    </row>
    <row r="194">
      <c r="G194" s="49"/>
    </row>
    <row r="195">
      <c r="G195" s="49"/>
    </row>
    <row r="196">
      <c r="G196" s="49"/>
    </row>
    <row r="197">
      <c r="G197" s="49"/>
    </row>
    <row r="198">
      <c r="G198" s="49"/>
    </row>
    <row r="199">
      <c r="G199" s="49"/>
    </row>
    <row r="200">
      <c r="G200" s="49"/>
    </row>
    <row r="201">
      <c r="G201" s="49"/>
    </row>
    <row r="202">
      <c r="G202" s="49"/>
    </row>
    <row r="203">
      <c r="G203" s="49"/>
    </row>
    <row r="204">
      <c r="G204" s="49"/>
    </row>
    <row r="205">
      <c r="G205" s="49"/>
    </row>
    <row r="206">
      <c r="G206" s="49"/>
    </row>
    <row r="207">
      <c r="G207" s="49"/>
    </row>
    <row r="208">
      <c r="G208" s="49"/>
    </row>
    <row r="209">
      <c r="G209" s="49"/>
    </row>
    <row r="210">
      <c r="G210" s="49"/>
    </row>
    <row r="211">
      <c r="G211" s="49"/>
    </row>
    <row r="212">
      <c r="G212" s="49"/>
    </row>
    <row r="213">
      <c r="G213" s="49"/>
    </row>
    <row r="214">
      <c r="G214" s="49"/>
    </row>
    <row r="215">
      <c r="G215" s="49"/>
    </row>
    <row r="216">
      <c r="G216" s="49"/>
    </row>
    <row r="217">
      <c r="G217" s="49"/>
    </row>
    <row r="218">
      <c r="G218" s="49"/>
    </row>
    <row r="219">
      <c r="G219" s="49"/>
    </row>
    <row r="220">
      <c r="G220" s="49"/>
    </row>
    <row r="221">
      <c r="G221" s="49"/>
    </row>
    <row r="222">
      <c r="G222" s="49"/>
    </row>
    <row r="223">
      <c r="G223" s="49"/>
    </row>
    <row r="224">
      <c r="G224" s="49"/>
    </row>
    <row r="225">
      <c r="G225" s="49"/>
    </row>
    <row r="226">
      <c r="G226" s="49"/>
    </row>
    <row r="227">
      <c r="G227" s="49"/>
    </row>
    <row r="228">
      <c r="G228" s="49"/>
    </row>
    <row r="229">
      <c r="G229" s="49"/>
    </row>
    <row r="230">
      <c r="G230" s="49"/>
    </row>
    <row r="231">
      <c r="G231" s="49"/>
    </row>
    <row r="232">
      <c r="G232" s="49"/>
    </row>
    <row r="233">
      <c r="G233" s="49"/>
    </row>
    <row r="234">
      <c r="G234" s="49"/>
    </row>
    <row r="235">
      <c r="G235" s="49"/>
    </row>
    <row r="236">
      <c r="G236" s="49"/>
    </row>
    <row r="237">
      <c r="G237" s="49"/>
    </row>
    <row r="238">
      <c r="G238" s="49"/>
    </row>
    <row r="239">
      <c r="G239" s="49"/>
    </row>
    <row r="240">
      <c r="G240" s="49"/>
    </row>
    <row r="241">
      <c r="G241" s="49"/>
    </row>
    <row r="242">
      <c r="G242" s="49"/>
    </row>
    <row r="243">
      <c r="G243" s="49"/>
    </row>
    <row r="244">
      <c r="G244" s="49"/>
    </row>
    <row r="245">
      <c r="G245" s="49"/>
    </row>
    <row r="246">
      <c r="G246" s="49"/>
    </row>
    <row r="247">
      <c r="G247" s="49"/>
    </row>
    <row r="248">
      <c r="G248" s="49"/>
    </row>
    <row r="249">
      <c r="G249" s="49"/>
    </row>
    <row r="250">
      <c r="G250" s="49"/>
    </row>
    <row r="251">
      <c r="G251" s="49"/>
    </row>
    <row r="252">
      <c r="G252" s="49"/>
    </row>
    <row r="253">
      <c r="G253" s="49"/>
    </row>
    <row r="254">
      <c r="G254" s="49"/>
    </row>
    <row r="255">
      <c r="G255" s="49"/>
    </row>
    <row r="256">
      <c r="G256" s="49"/>
    </row>
    <row r="257">
      <c r="G257" s="49"/>
    </row>
    <row r="258">
      <c r="G258" s="49"/>
    </row>
    <row r="259">
      <c r="G259" s="49"/>
    </row>
    <row r="260">
      <c r="G260" s="49"/>
    </row>
    <row r="261">
      <c r="G261" s="49"/>
    </row>
    <row r="262">
      <c r="G262" s="49"/>
    </row>
    <row r="263">
      <c r="G263" s="49"/>
    </row>
    <row r="264">
      <c r="G264" s="49"/>
    </row>
    <row r="265">
      <c r="G265" s="49"/>
    </row>
    <row r="266">
      <c r="G266" s="49"/>
    </row>
    <row r="267">
      <c r="G267" s="49"/>
    </row>
    <row r="268">
      <c r="G268" s="49"/>
    </row>
    <row r="269">
      <c r="G269" s="49"/>
    </row>
    <row r="270">
      <c r="G270" s="49"/>
    </row>
    <row r="271">
      <c r="G271" s="49"/>
    </row>
    <row r="272">
      <c r="G272" s="49"/>
    </row>
    <row r="273">
      <c r="G273" s="49"/>
    </row>
    <row r="274">
      <c r="G274" s="49"/>
    </row>
    <row r="275">
      <c r="G275" s="49"/>
    </row>
    <row r="276">
      <c r="G276" s="49"/>
    </row>
    <row r="277">
      <c r="G277" s="49"/>
    </row>
    <row r="278">
      <c r="G278" s="49"/>
    </row>
    <row r="279">
      <c r="G279" s="49"/>
    </row>
    <row r="280">
      <c r="G280" s="49"/>
    </row>
    <row r="281">
      <c r="G281" s="49"/>
    </row>
    <row r="282">
      <c r="G282" s="49"/>
    </row>
    <row r="283">
      <c r="G283" s="49"/>
    </row>
    <row r="284">
      <c r="G284" s="49"/>
    </row>
    <row r="285">
      <c r="G285" s="49"/>
    </row>
    <row r="286">
      <c r="G286" s="49"/>
    </row>
    <row r="287">
      <c r="G287" s="49"/>
    </row>
    <row r="288">
      <c r="G288" s="49"/>
    </row>
    <row r="289">
      <c r="G289" s="49"/>
    </row>
    <row r="290">
      <c r="G290" s="49"/>
    </row>
    <row r="291">
      <c r="G291" s="49"/>
    </row>
    <row r="292">
      <c r="G292" s="49"/>
    </row>
    <row r="293">
      <c r="G293" s="49"/>
    </row>
    <row r="294">
      <c r="G294" s="49"/>
    </row>
    <row r="295">
      <c r="G295" s="49"/>
    </row>
    <row r="296">
      <c r="G296" s="49"/>
    </row>
    <row r="297">
      <c r="G297" s="49"/>
    </row>
    <row r="298">
      <c r="G298" s="49"/>
    </row>
    <row r="299">
      <c r="G299" s="49"/>
    </row>
    <row r="300">
      <c r="G300" s="49"/>
    </row>
    <row r="301">
      <c r="G301" s="49"/>
    </row>
    <row r="302">
      <c r="G302" s="49"/>
    </row>
    <row r="303">
      <c r="G303" s="49"/>
    </row>
    <row r="304">
      <c r="G304" s="49"/>
    </row>
    <row r="305">
      <c r="G305" s="49"/>
    </row>
    <row r="306">
      <c r="G306" s="49"/>
    </row>
    <row r="307">
      <c r="G307" s="49"/>
    </row>
    <row r="308">
      <c r="G308" s="49"/>
    </row>
    <row r="309">
      <c r="G309" s="49"/>
    </row>
    <row r="310">
      <c r="G310" s="49"/>
    </row>
    <row r="311">
      <c r="G311" s="49"/>
    </row>
    <row r="312">
      <c r="G312" s="49"/>
    </row>
    <row r="313">
      <c r="G313" s="49"/>
    </row>
    <row r="314">
      <c r="G314" s="49"/>
    </row>
    <row r="315">
      <c r="G315" s="49"/>
    </row>
    <row r="316">
      <c r="G316" s="49"/>
    </row>
    <row r="317">
      <c r="G317" s="49"/>
    </row>
    <row r="318">
      <c r="G318" s="49"/>
    </row>
    <row r="319">
      <c r="G319" s="49"/>
    </row>
    <row r="320">
      <c r="G320" s="49"/>
    </row>
    <row r="321">
      <c r="G321" s="49"/>
    </row>
    <row r="322">
      <c r="G322" s="49"/>
    </row>
    <row r="323">
      <c r="G323" s="49"/>
    </row>
    <row r="324">
      <c r="G324" s="49"/>
    </row>
    <row r="325">
      <c r="G325" s="49"/>
    </row>
    <row r="326">
      <c r="G326" s="49"/>
    </row>
    <row r="327">
      <c r="G327" s="49"/>
    </row>
    <row r="328">
      <c r="G328" s="49"/>
    </row>
    <row r="329">
      <c r="G329" s="49"/>
    </row>
    <row r="330">
      <c r="G330" s="49"/>
    </row>
    <row r="331">
      <c r="G331" s="49"/>
    </row>
    <row r="332">
      <c r="G332" s="49"/>
    </row>
    <row r="333">
      <c r="G333" s="49"/>
    </row>
    <row r="334">
      <c r="G334" s="49"/>
    </row>
    <row r="335">
      <c r="G335" s="49"/>
    </row>
    <row r="336">
      <c r="G336" s="49"/>
    </row>
    <row r="337">
      <c r="G337" s="49"/>
    </row>
    <row r="338">
      <c r="G338" s="49"/>
    </row>
    <row r="339">
      <c r="G339" s="49"/>
    </row>
    <row r="340">
      <c r="G340" s="49"/>
    </row>
    <row r="341">
      <c r="G341" s="49"/>
    </row>
    <row r="342">
      <c r="G342" s="49"/>
    </row>
    <row r="343">
      <c r="G343" s="49"/>
    </row>
    <row r="344">
      <c r="G344" s="49"/>
    </row>
    <row r="345">
      <c r="G345" s="49"/>
    </row>
    <row r="346">
      <c r="G346" s="49"/>
    </row>
    <row r="347">
      <c r="G347" s="49"/>
    </row>
    <row r="348">
      <c r="G348" s="49"/>
    </row>
    <row r="349">
      <c r="G349" s="49"/>
    </row>
    <row r="350">
      <c r="G350" s="49"/>
    </row>
    <row r="351">
      <c r="G351" s="49"/>
    </row>
    <row r="352">
      <c r="G352" s="49"/>
    </row>
    <row r="353">
      <c r="G353" s="49"/>
    </row>
    <row r="354">
      <c r="G354" s="49"/>
    </row>
    <row r="355">
      <c r="G355" s="49"/>
    </row>
    <row r="356">
      <c r="G356" s="49"/>
    </row>
    <row r="357">
      <c r="G357" s="49"/>
    </row>
    <row r="358">
      <c r="G358" s="49"/>
    </row>
    <row r="359">
      <c r="G359" s="49"/>
    </row>
    <row r="360">
      <c r="G360" s="49"/>
    </row>
    <row r="361">
      <c r="G361" s="49"/>
    </row>
    <row r="362">
      <c r="G362" s="49"/>
    </row>
    <row r="363">
      <c r="G363" s="49"/>
    </row>
    <row r="364">
      <c r="G364" s="49"/>
    </row>
    <row r="365">
      <c r="G365" s="49"/>
    </row>
    <row r="366">
      <c r="G366" s="49"/>
    </row>
    <row r="367">
      <c r="G367" s="49"/>
    </row>
    <row r="368">
      <c r="G368" s="49"/>
    </row>
    <row r="369">
      <c r="G369" s="49"/>
    </row>
    <row r="370">
      <c r="G370" s="49"/>
    </row>
    <row r="371">
      <c r="G371" s="49"/>
    </row>
    <row r="372">
      <c r="G372" s="49"/>
    </row>
    <row r="373">
      <c r="G373" s="49"/>
    </row>
    <row r="374">
      <c r="G374" s="49"/>
    </row>
    <row r="375">
      <c r="G375" s="49"/>
    </row>
    <row r="376">
      <c r="G376" s="49"/>
    </row>
    <row r="377">
      <c r="G377" s="49"/>
    </row>
    <row r="378">
      <c r="G378" s="49"/>
    </row>
    <row r="379">
      <c r="G379" s="49"/>
    </row>
    <row r="380">
      <c r="G380" s="49"/>
    </row>
    <row r="381">
      <c r="G381" s="49"/>
    </row>
    <row r="382">
      <c r="G382" s="49"/>
    </row>
    <row r="383">
      <c r="G383" s="49"/>
    </row>
    <row r="384">
      <c r="G384" s="49"/>
    </row>
    <row r="385">
      <c r="G385" s="49"/>
    </row>
    <row r="386">
      <c r="G386" s="49"/>
    </row>
    <row r="387">
      <c r="G387" s="49"/>
    </row>
    <row r="388">
      <c r="G388" s="49"/>
    </row>
    <row r="389">
      <c r="G389" s="49"/>
    </row>
    <row r="390">
      <c r="G390" s="49"/>
    </row>
    <row r="391">
      <c r="G391" s="49"/>
    </row>
    <row r="392">
      <c r="G392" s="49"/>
    </row>
    <row r="393">
      <c r="G393" s="49"/>
    </row>
    <row r="394">
      <c r="G394" s="49"/>
    </row>
    <row r="395">
      <c r="G395" s="49"/>
    </row>
    <row r="396">
      <c r="G396" s="49"/>
    </row>
    <row r="397">
      <c r="G397" s="49"/>
    </row>
    <row r="398">
      <c r="G398" s="49"/>
    </row>
    <row r="399">
      <c r="G399" s="49"/>
    </row>
    <row r="400">
      <c r="G400" s="49"/>
    </row>
    <row r="401">
      <c r="G401" s="49"/>
    </row>
    <row r="402">
      <c r="G402" s="49"/>
    </row>
    <row r="403">
      <c r="G403" s="49"/>
    </row>
    <row r="404">
      <c r="G404" s="49"/>
    </row>
    <row r="405">
      <c r="G405" s="49"/>
    </row>
    <row r="406">
      <c r="G406" s="49"/>
    </row>
    <row r="407">
      <c r="G407" s="49"/>
    </row>
    <row r="408">
      <c r="G408" s="49"/>
    </row>
    <row r="409">
      <c r="G409" s="49"/>
    </row>
    <row r="410">
      <c r="G410" s="49"/>
    </row>
    <row r="411">
      <c r="G411" s="49"/>
    </row>
    <row r="412">
      <c r="G412" s="49"/>
    </row>
    <row r="413">
      <c r="G413" s="49"/>
    </row>
    <row r="414">
      <c r="G414" s="49"/>
    </row>
    <row r="415">
      <c r="G415" s="49"/>
    </row>
    <row r="416">
      <c r="G416" s="49"/>
    </row>
    <row r="417">
      <c r="G417" s="49"/>
    </row>
    <row r="418">
      <c r="G418" s="49"/>
    </row>
    <row r="419">
      <c r="G419" s="49"/>
    </row>
    <row r="420">
      <c r="G420" s="49"/>
    </row>
    <row r="421">
      <c r="G421" s="49"/>
    </row>
    <row r="422">
      <c r="G422" s="49"/>
    </row>
    <row r="423">
      <c r="G423" s="49"/>
    </row>
    <row r="424">
      <c r="G424" s="49"/>
    </row>
    <row r="425">
      <c r="G425" s="49"/>
    </row>
    <row r="426">
      <c r="G426" s="49"/>
    </row>
    <row r="427">
      <c r="G427" s="49"/>
    </row>
    <row r="428">
      <c r="G428" s="49"/>
    </row>
    <row r="429">
      <c r="G429" s="49"/>
    </row>
    <row r="430">
      <c r="G430" s="49"/>
    </row>
    <row r="431">
      <c r="G431" s="49"/>
    </row>
    <row r="432">
      <c r="G432" s="49"/>
    </row>
    <row r="433">
      <c r="G433" s="49"/>
    </row>
    <row r="434">
      <c r="G434" s="49"/>
    </row>
    <row r="435">
      <c r="G435" s="49"/>
    </row>
    <row r="436">
      <c r="G436" s="49"/>
    </row>
    <row r="437">
      <c r="G437" s="49"/>
    </row>
    <row r="438">
      <c r="G438" s="49"/>
    </row>
    <row r="439">
      <c r="G439" s="49"/>
    </row>
    <row r="440">
      <c r="G440" s="49"/>
    </row>
    <row r="441">
      <c r="G441" s="49"/>
    </row>
    <row r="442">
      <c r="G442" s="49"/>
    </row>
    <row r="443">
      <c r="G443" s="49"/>
    </row>
    <row r="444">
      <c r="G444" s="49"/>
    </row>
    <row r="445">
      <c r="G445" s="49"/>
    </row>
    <row r="446">
      <c r="G446" s="49"/>
    </row>
    <row r="447">
      <c r="G447" s="49"/>
    </row>
    <row r="448">
      <c r="G448" s="49"/>
    </row>
    <row r="449">
      <c r="G449" s="49"/>
    </row>
    <row r="450">
      <c r="G450" s="49"/>
    </row>
    <row r="451">
      <c r="G451" s="49"/>
    </row>
    <row r="452">
      <c r="G452" s="49"/>
    </row>
    <row r="453">
      <c r="G453" s="49"/>
    </row>
    <row r="454">
      <c r="G454" s="49"/>
    </row>
    <row r="455">
      <c r="G455" s="49"/>
    </row>
    <row r="456">
      <c r="G456" s="49"/>
    </row>
    <row r="457">
      <c r="G457" s="49"/>
    </row>
    <row r="458">
      <c r="G458" s="49"/>
    </row>
    <row r="459">
      <c r="G459" s="49"/>
    </row>
    <row r="460">
      <c r="G460" s="49"/>
    </row>
    <row r="461">
      <c r="G461" s="49"/>
    </row>
    <row r="462">
      <c r="G462" s="49"/>
    </row>
    <row r="463">
      <c r="G463" s="49"/>
    </row>
    <row r="464">
      <c r="G464" s="49"/>
    </row>
    <row r="465">
      <c r="G465" s="49"/>
    </row>
    <row r="466">
      <c r="G466" s="49"/>
    </row>
    <row r="467">
      <c r="G467" s="49"/>
    </row>
    <row r="468">
      <c r="G468" s="49"/>
    </row>
    <row r="469">
      <c r="G469" s="49"/>
    </row>
    <row r="470">
      <c r="G470" s="49"/>
    </row>
    <row r="471">
      <c r="G471" s="49"/>
    </row>
    <row r="472">
      <c r="G472" s="49"/>
    </row>
    <row r="473">
      <c r="G473" s="49"/>
    </row>
    <row r="474">
      <c r="G474" s="49"/>
    </row>
    <row r="475">
      <c r="G475" s="49"/>
    </row>
    <row r="476">
      <c r="G476" s="49"/>
    </row>
    <row r="477">
      <c r="G477" s="49"/>
    </row>
    <row r="478">
      <c r="G478" s="49"/>
    </row>
    <row r="479">
      <c r="G479" s="49"/>
    </row>
    <row r="480">
      <c r="G480" s="49"/>
    </row>
    <row r="481">
      <c r="G481" s="49"/>
    </row>
    <row r="482">
      <c r="G482" s="49"/>
    </row>
    <row r="483">
      <c r="G483" s="49"/>
    </row>
    <row r="484">
      <c r="G484" s="49"/>
    </row>
    <row r="485">
      <c r="G485" s="49"/>
    </row>
    <row r="486">
      <c r="G486" s="49"/>
    </row>
    <row r="487">
      <c r="G487" s="49"/>
    </row>
    <row r="488">
      <c r="G488" s="49"/>
    </row>
    <row r="489">
      <c r="G489" s="49"/>
    </row>
    <row r="490">
      <c r="G490" s="49"/>
    </row>
    <row r="491">
      <c r="G491" s="49"/>
    </row>
    <row r="492">
      <c r="G492" s="49"/>
    </row>
    <row r="493">
      <c r="G493" s="49"/>
    </row>
    <row r="494">
      <c r="G494" s="49"/>
    </row>
    <row r="495">
      <c r="G495" s="49"/>
    </row>
    <row r="496">
      <c r="G496" s="49"/>
    </row>
    <row r="497">
      <c r="G497" s="49"/>
    </row>
    <row r="498">
      <c r="G498" s="49"/>
    </row>
    <row r="499">
      <c r="G499" s="49"/>
    </row>
    <row r="500">
      <c r="G500" s="49"/>
    </row>
    <row r="501">
      <c r="G501" s="49"/>
    </row>
    <row r="502">
      <c r="G502" s="49"/>
    </row>
    <row r="503">
      <c r="G503" s="49"/>
    </row>
    <row r="504">
      <c r="G504" s="49"/>
    </row>
    <row r="505">
      <c r="G505" s="49"/>
    </row>
    <row r="506">
      <c r="G506" s="49"/>
    </row>
    <row r="507">
      <c r="G507" s="49"/>
    </row>
    <row r="508">
      <c r="G508" s="49"/>
    </row>
    <row r="509">
      <c r="G509" s="49"/>
    </row>
    <row r="510">
      <c r="G510" s="49"/>
    </row>
    <row r="511">
      <c r="G511" s="49"/>
    </row>
    <row r="512">
      <c r="G512" s="49"/>
    </row>
    <row r="513">
      <c r="G513" s="49"/>
    </row>
    <row r="514">
      <c r="G514" s="49"/>
    </row>
    <row r="515">
      <c r="G515" s="49"/>
    </row>
    <row r="516">
      <c r="G516" s="49"/>
    </row>
    <row r="517">
      <c r="G517" s="49"/>
    </row>
    <row r="518">
      <c r="G518" s="49"/>
    </row>
    <row r="519">
      <c r="G519" s="49"/>
    </row>
    <row r="520">
      <c r="G520" s="49"/>
    </row>
    <row r="521">
      <c r="G521" s="49"/>
    </row>
    <row r="522">
      <c r="G522" s="49"/>
    </row>
    <row r="523">
      <c r="G523" s="49"/>
    </row>
    <row r="524">
      <c r="G524" s="49"/>
    </row>
    <row r="525">
      <c r="G525" s="49"/>
    </row>
    <row r="526">
      <c r="G526" s="49"/>
    </row>
    <row r="527">
      <c r="G527" s="49"/>
    </row>
    <row r="528">
      <c r="G528" s="49"/>
    </row>
    <row r="529">
      <c r="G529" s="49"/>
    </row>
    <row r="530">
      <c r="G530" s="49"/>
    </row>
    <row r="531">
      <c r="G531" s="49"/>
    </row>
    <row r="532">
      <c r="G532" s="49"/>
    </row>
    <row r="533">
      <c r="G533" s="49"/>
    </row>
    <row r="534">
      <c r="G534" s="49"/>
    </row>
    <row r="535">
      <c r="G535" s="49"/>
    </row>
    <row r="536">
      <c r="G536" s="49"/>
    </row>
    <row r="537">
      <c r="G537" s="49"/>
    </row>
    <row r="538">
      <c r="G538" s="49"/>
    </row>
    <row r="539">
      <c r="G539" s="49"/>
    </row>
    <row r="540">
      <c r="G540" s="49"/>
    </row>
    <row r="541">
      <c r="G541" s="49"/>
    </row>
    <row r="542">
      <c r="G542" s="49"/>
    </row>
    <row r="543">
      <c r="G543" s="49"/>
    </row>
    <row r="544">
      <c r="G544" s="49"/>
    </row>
    <row r="545">
      <c r="G545" s="49"/>
    </row>
    <row r="546">
      <c r="G546" s="49"/>
    </row>
    <row r="547">
      <c r="G547" s="49"/>
    </row>
    <row r="548">
      <c r="G548" s="49"/>
    </row>
    <row r="549">
      <c r="G549" s="49"/>
    </row>
    <row r="550">
      <c r="G550" s="49"/>
    </row>
    <row r="551">
      <c r="G551" s="49"/>
    </row>
    <row r="552">
      <c r="G552" s="49"/>
    </row>
    <row r="553">
      <c r="G553" s="49"/>
    </row>
    <row r="554">
      <c r="G554" s="49"/>
    </row>
    <row r="555">
      <c r="G555" s="49"/>
    </row>
    <row r="556">
      <c r="G556" s="49"/>
    </row>
    <row r="557">
      <c r="G557" s="49"/>
    </row>
    <row r="558">
      <c r="G558" s="49"/>
    </row>
    <row r="559">
      <c r="G559" s="49"/>
    </row>
    <row r="560">
      <c r="G560" s="49"/>
    </row>
    <row r="561">
      <c r="G561" s="49"/>
    </row>
    <row r="562">
      <c r="G562" s="49"/>
    </row>
    <row r="563">
      <c r="G563" s="49"/>
    </row>
    <row r="564">
      <c r="G564" s="49"/>
    </row>
    <row r="565">
      <c r="G565" s="49"/>
    </row>
    <row r="566">
      <c r="G566" s="49"/>
    </row>
    <row r="567">
      <c r="G567" s="49"/>
    </row>
    <row r="568">
      <c r="G568" s="49"/>
    </row>
    <row r="569">
      <c r="G569" s="49"/>
    </row>
    <row r="570">
      <c r="G570" s="49"/>
    </row>
    <row r="571">
      <c r="G571" s="49"/>
    </row>
    <row r="572">
      <c r="G572" s="49"/>
    </row>
    <row r="573">
      <c r="G573" s="49"/>
    </row>
    <row r="574">
      <c r="G574" s="49"/>
    </row>
    <row r="575">
      <c r="G575" s="49"/>
    </row>
    <row r="576">
      <c r="G576" s="49"/>
    </row>
    <row r="577">
      <c r="G577" s="49"/>
    </row>
    <row r="578">
      <c r="G578" s="49"/>
    </row>
    <row r="579">
      <c r="G579" s="49"/>
    </row>
    <row r="580">
      <c r="G580" s="49"/>
    </row>
    <row r="581">
      <c r="G581" s="49"/>
    </row>
    <row r="582">
      <c r="G582" s="49"/>
    </row>
    <row r="583">
      <c r="G583" s="49"/>
    </row>
    <row r="584">
      <c r="G584" s="49"/>
    </row>
    <row r="585">
      <c r="G585" s="49"/>
    </row>
    <row r="586">
      <c r="G586" s="49"/>
    </row>
    <row r="587">
      <c r="G587" s="49"/>
    </row>
    <row r="588">
      <c r="G588" s="49"/>
    </row>
    <row r="589">
      <c r="G589" s="49"/>
    </row>
    <row r="590">
      <c r="G590" s="49"/>
    </row>
    <row r="591">
      <c r="G591" s="49"/>
    </row>
    <row r="592">
      <c r="G592" s="49"/>
    </row>
    <row r="593">
      <c r="G593" s="49"/>
    </row>
    <row r="594">
      <c r="G594" s="49"/>
    </row>
    <row r="595">
      <c r="G595" s="49"/>
    </row>
    <row r="596">
      <c r="G596" s="49"/>
    </row>
    <row r="597">
      <c r="G597" s="49"/>
    </row>
    <row r="598">
      <c r="G598" s="49"/>
    </row>
    <row r="599">
      <c r="G599" s="49"/>
    </row>
    <row r="600">
      <c r="G600" s="49"/>
    </row>
    <row r="601">
      <c r="G601" s="49"/>
    </row>
    <row r="602">
      <c r="G602" s="49"/>
    </row>
    <row r="603">
      <c r="G603" s="49"/>
    </row>
    <row r="604">
      <c r="G604" s="49"/>
    </row>
    <row r="605">
      <c r="G605" s="49"/>
    </row>
    <row r="606">
      <c r="G606" s="49"/>
    </row>
    <row r="607">
      <c r="G607" s="49"/>
    </row>
    <row r="608">
      <c r="G608" s="49"/>
    </row>
    <row r="609">
      <c r="G609" s="49"/>
    </row>
    <row r="610">
      <c r="G610" s="49"/>
    </row>
    <row r="611">
      <c r="G611" s="49"/>
    </row>
    <row r="612">
      <c r="G612" s="49"/>
    </row>
    <row r="613">
      <c r="G613" s="49"/>
    </row>
    <row r="614">
      <c r="G614" s="49"/>
    </row>
    <row r="615">
      <c r="G615" s="49"/>
    </row>
    <row r="616">
      <c r="G616" s="49"/>
    </row>
    <row r="617">
      <c r="G617" s="49"/>
    </row>
    <row r="618">
      <c r="G618" s="49"/>
    </row>
    <row r="619">
      <c r="G619" s="49"/>
    </row>
    <row r="620">
      <c r="G620" s="49"/>
    </row>
    <row r="621">
      <c r="G621" s="49"/>
    </row>
    <row r="622">
      <c r="G622" s="49"/>
    </row>
    <row r="623">
      <c r="G623" s="49"/>
    </row>
    <row r="624">
      <c r="G624" s="49"/>
    </row>
    <row r="625">
      <c r="G625" s="49"/>
    </row>
    <row r="626">
      <c r="G626" s="49"/>
    </row>
    <row r="627">
      <c r="G627" s="49"/>
    </row>
    <row r="628">
      <c r="G628" s="49"/>
    </row>
    <row r="629">
      <c r="G629" s="49"/>
    </row>
    <row r="630">
      <c r="G630" s="49"/>
    </row>
    <row r="631">
      <c r="G631" s="49"/>
    </row>
    <row r="632">
      <c r="G632" s="49"/>
    </row>
    <row r="633">
      <c r="G633" s="49"/>
    </row>
    <row r="634">
      <c r="G634" s="49"/>
    </row>
    <row r="635">
      <c r="G635" s="49"/>
    </row>
    <row r="636">
      <c r="G636" s="49"/>
    </row>
    <row r="637">
      <c r="G637" s="49"/>
    </row>
    <row r="638">
      <c r="G638" s="49"/>
    </row>
    <row r="639">
      <c r="G639" s="49"/>
    </row>
    <row r="640">
      <c r="G640" s="49"/>
    </row>
    <row r="641">
      <c r="G641" s="49"/>
    </row>
    <row r="642">
      <c r="G642" s="49"/>
    </row>
    <row r="643">
      <c r="G643" s="49"/>
    </row>
    <row r="644">
      <c r="G644" s="49"/>
    </row>
    <row r="645">
      <c r="G645" s="49"/>
    </row>
    <row r="646">
      <c r="G646" s="49"/>
    </row>
    <row r="647">
      <c r="G647" s="49"/>
    </row>
    <row r="648">
      <c r="G648" s="49"/>
    </row>
    <row r="649">
      <c r="G649" s="49"/>
    </row>
    <row r="650">
      <c r="G650" s="49"/>
    </row>
    <row r="651">
      <c r="G651" s="49"/>
    </row>
    <row r="652">
      <c r="G652" s="49"/>
    </row>
    <row r="653">
      <c r="G653" s="49"/>
    </row>
    <row r="654">
      <c r="G654" s="49"/>
    </row>
    <row r="655">
      <c r="G655" s="49"/>
    </row>
    <row r="656">
      <c r="G656" s="49"/>
    </row>
    <row r="657">
      <c r="G657" s="49"/>
    </row>
    <row r="658">
      <c r="G658" s="49"/>
    </row>
    <row r="659">
      <c r="G659" s="49"/>
    </row>
    <row r="660">
      <c r="G660" s="49"/>
    </row>
    <row r="661">
      <c r="G661" s="49"/>
    </row>
    <row r="662">
      <c r="G662" s="49"/>
    </row>
    <row r="663">
      <c r="G663" s="49"/>
    </row>
    <row r="664">
      <c r="G664" s="49"/>
    </row>
    <row r="665">
      <c r="G665" s="49"/>
    </row>
    <row r="666">
      <c r="G666" s="49"/>
    </row>
    <row r="667">
      <c r="G667" s="49"/>
    </row>
    <row r="668">
      <c r="G668" s="49"/>
    </row>
    <row r="669">
      <c r="G669" s="49"/>
    </row>
    <row r="670">
      <c r="G670" s="49"/>
    </row>
    <row r="671">
      <c r="G671" s="49"/>
    </row>
    <row r="672">
      <c r="G672" s="49"/>
    </row>
    <row r="673">
      <c r="G673" s="49"/>
    </row>
    <row r="674">
      <c r="G674" s="49"/>
    </row>
    <row r="675">
      <c r="G675" s="49"/>
    </row>
    <row r="676">
      <c r="G676" s="49"/>
    </row>
    <row r="677">
      <c r="G677" s="49"/>
    </row>
    <row r="678">
      <c r="G678" s="49"/>
    </row>
    <row r="679">
      <c r="G679" s="49"/>
    </row>
    <row r="680">
      <c r="G680" s="49"/>
    </row>
    <row r="681">
      <c r="G681" s="49"/>
    </row>
    <row r="682">
      <c r="G682" s="49"/>
    </row>
    <row r="683">
      <c r="G683" s="49"/>
    </row>
    <row r="684">
      <c r="G684" s="49"/>
    </row>
    <row r="685">
      <c r="G685" s="49"/>
    </row>
    <row r="686">
      <c r="G686" s="49"/>
    </row>
    <row r="687">
      <c r="G687" s="49"/>
    </row>
    <row r="688">
      <c r="G688" s="49"/>
    </row>
    <row r="689">
      <c r="G689" s="49"/>
    </row>
    <row r="690">
      <c r="G690" s="49"/>
    </row>
    <row r="691">
      <c r="G691" s="49"/>
    </row>
    <row r="692">
      <c r="G692" s="49"/>
    </row>
    <row r="693">
      <c r="G693" s="49"/>
    </row>
    <row r="694">
      <c r="G694" s="49"/>
    </row>
    <row r="695">
      <c r="G695" s="49"/>
    </row>
    <row r="696">
      <c r="G696" s="49"/>
    </row>
    <row r="697">
      <c r="G697" s="49"/>
    </row>
    <row r="698">
      <c r="G698" s="49"/>
    </row>
    <row r="699">
      <c r="G699" s="49"/>
    </row>
    <row r="700">
      <c r="G700" s="49"/>
    </row>
    <row r="701">
      <c r="G701" s="49"/>
    </row>
    <row r="702">
      <c r="G702" s="49"/>
    </row>
    <row r="703">
      <c r="G703" s="49"/>
    </row>
    <row r="704">
      <c r="G704" s="49"/>
    </row>
    <row r="705">
      <c r="G705" s="49"/>
    </row>
    <row r="706">
      <c r="G706" s="49"/>
    </row>
    <row r="707">
      <c r="G707" s="49"/>
    </row>
    <row r="708">
      <c r="G708" s="49"/>
    </row>
    <row r="709">
      <c r="G709" s="49"/>
    </row>
    <row r="710">
      <c r="G710" s="49"/>
    </row>
    <row r="711">
      <c r="G711" s="49"/>
    </row>
    <row r="712">
      <c r="G712" s="49"/>
    </row>
    <row r="713">
      <c r="G713" s="49"/>
    </row>
    <row r="714">
      <c r="G714" s="49"/>
    </row>
    <row r="715">
      <c r="G715" s="49"/>
    </row>
    <row r="716">
      <c r="G716" s="49"/>
    </row>
    <row r="717">
      <c r="G717" s="49"/>
    </row>
    <row r="718">
      <c r="G718" s="49"/>
    </row>
    <row r="719">
      <c r="G719" s="49"/>
    </row>
    <row r="720">
      <c r="G720" s="49"/>
    </row>
    <row r="721">
      <c r="G721" s="49"/>
    </row>
    <row r="722">
      <c r="G722" s="49"/>
    </row>
    <row r="723">
      <c r="G723" s="49"/>
    </row>
    <row r="724">
      <c r="G724" s="49"/>
    </row>
    <row r="725">
      <c r="G725" s="49"/>
    </row>
    <row r="726">
      <c r="G726" s="49"/>
    </row>
    <row r="727">
      <c r="G727" s="49"/>
    </row>
    <row r="728">
      <c r="G728" s="49"/>
    </row>
    <row r="729">
      <c r="G729" s="49"/>
    </row>
    <row r="730">
      <c r="G730" s="49"/>
    </row>
    <row r="731">
      <c r="G731" s="49"/>
    </row>
    <row r="732">
      <c r="G732" s="49"/>
    </row>
    <row r="733">
      <c r="G733" s="49"/>
    </row>
    <row r="734">
      <c r="G734" s="49"/>
    </row>
    <row r="735">
      <c r="G735" s="49"/>
    </row>
    <row r="736">
      <c r="G736" s="49"/>
    </row>
    <row r="737">
      <c r="G737" s="49"/>
    </row>
    <row r="738">
      <c r="G738" s="49"/>
    </row>
    <row r="739">
      <c r="G739" s="49"/>
    </row>
    <row r="740">
      <c r="G740" s="49"/>
    </row>
    <row r="741">
      <c r="G741" s="49"/>
    </row>
    <row r="742">
      <c r="G742" s="49"/>
    </row>
    <row r="743">
      <c r="G743" s="49"/>
    </row>
    <row r="744">
      <c r="G744" s="49"/>
    </row>
    <row r="745">
      <c r="G745" s="49"/>
    </row>
    <row r="746">
      <c r="G746" s="49"/>
    </row>
    <row r="747">
      <c r="G747" s="49"/>
    </row>
    <row r="748">
      <c r="G748" s="49"/>
    </row>
    <row r="749">
      <c r="G749" s="49"/>
    </row>
    <row r="750">
      <c r="G750" s="49"/>
    </row>
    <row r="751">
      <c r="G751" s="49"/>
    </row>
    <row r="752">
      <c r="G752" s="49"/>
    </row>
    <row r="753">
      <c r="G753" s="49"/>
    </row>
    <row r="754">
      <c r="G754" s="49"/>
    </row>
    <row r="755">
      <c r="G755" s="49"/>
    </row>
    <row r="756">
      <c r="G756" s="49"/>
    </row>
    <row r="757">
      <c r="G757" s="49"/>
    </row>
    <row r="758">
      <c r="G758" s="49"/>
    </row>
    <row r="759">
      <c r="G759" s="49"/>
    </row>
    <row r="760">
      <c r="G760" s="49"/>
    </row>
    <row r="761">
      <c r="G761" s="49"/>
    </row>
    <row r="762">
      <c r="G762" s="49"/>
    </row>
    <row r="763">
      <c r="G763" s="49"/>
    </row>
    <row r="764">
      <c r="G764" s="49"/>
    </row>
    <row r="765">
      <c r="G765" s="49"/>
    </row>
    <row r="766">
      <c r="G766" s="49"/>
    </row>
    <row r="767">
      <c r="G767" s="49"/>
    </row>
    <row r="768">
      <c r="G768" s="49"/>
    </row>
    <row r="769">
      <c r="G769" s="49"/>
    </row>
    <row r="770">
      <c r="G770" s="49"/>
    </row>
    <row r="771">
      <c r="G771" s="49"/>
    </row>
    <row r="772">
      <c r="G772" s="49"/>
    </row>
    <row r="773">
      <c r="G773" s="49"/>
    </row>
    <row r="774">
      <c r="G774" s="49"/>
    </row>
    <row r="775">
      <c r="G775" s="49"/>
    </row>
    <row r="776">
      <c r="G776" s="49"/>
    </row>
    <row r="777">
      <c r="G777" s="49"/>
    </row>
    <row r="778">
      <c r="G778" s="49"/>
    </row>
    <row r="779">
      <c r="G779" s="49"/>
    </row>
    <row r="780">
      <c r="G780" s="49"/>
    </row>
    <row r="781">
      <c r="G781" s="49"/>
    </row>
    <row r="782">
      <c r="G782" s="49"/>
    </row>
    <row r="783">
      <c r="G783" s="49"/>
    </row>
    <row r="784">
      <c r="G784" s="49"/>
    </row>
    <row r="785">
      <c r="G785" s="49"/>
    </row>
    <row r="786">
      <c r="G786" s="49"/>
    </row>
    <row r="787">
      <c r="G787" s="49"/>
    </row>
    <row r="788">
      <c r="G788" s="49"/>
    </row>
    <row r="789">
      <c r="G789" s="49"/>
    </row>
    <row r="790">
      <c r="G790" s="49"/>
    </row>
    <row r="791">
      <c r="G791" s="49"/>
    </row>
    <row r="792">
      <c r="G792" s="49"/>
    </row>
    <row r="793">
      <c r="G793" s="49"/>
    </row>
    <row r="794">
      <c r="G794" s="49"/>
    </row>
    <row r="795">
      <c r="G795" s="49"/>
    </row>
    <row r="796">
      <c r="G796" s="49"/>
    </row>
    <row r="797">
      <c r="G797" s="49"/>
    </row>
    <row r="798">
      <c r="G798" s="49"/>
    </row>
    <row r="799">
      <c r="G799" s="49"/>
    </row>
    <row r="800">
      <c r="G800" s="49"/>
    </row>
    <row r="801">
      <c r="G801" s="49"/>
    </row>
    <row r="802">
      <c r="G802" s="49"/>
    </row>
    <row r="803">
      <c r="G803" s="49"/>
    </row>
    <row r="804">
      <c r="G804" s="49"/>
    </row>
    <row r="805">
      <c r="G805" s="49"/>
    </row>
    <row r="806">
      <c r="G806" s="49"/>
    </row>
    <row r="807">
      <c r="G807" s="49"/>
    </row>
    <row r="808">
      <c r="G808" s="49"/>
    </row>
    <row r="809">
      <c r="G809" s="49"/>
    </row>
    <row r="810">
      <c r="G810" s="49"/>
    </row>
    <row r="811">
      <c r="G811" s="49"/>
    </row>
    <row r="812">
      <c r="G812" s="49"/>
    </row>
    <row r="813">
      <c r="G813" s="49"/>
    </row>
    <row r="814">
      <c r="G814" s="49"/>
    </row>
    <row r="815">
      <c r="G815" s="49"/>
    </row>
    <row r="816">
      <c r="G816" s="49"/>
    </row>
    <row r="817">
      <c r="G817" s="49"/>
    </row>
    <row r="818">
      <c r="G818" s="49"/>
    </row>
    <row r="819">
      <c r="G819" s="49"/>
    </row>
    <row r="820">
      <c r="G820" s="49"/>
    </row>
    <row r="821">
      <c r="G821" s="49"/>
    </row>
    <row r="822">
      <c r="G822" s="49"/>
    </row>
    <row r="823">
      <c r="G823" s="49"/>
    </row>
    <row r="824">
      <c r="G824" s="49"/>
    </row>
    <row r="825">
      <c r="G825" s="49"/>
    </row>
    <row r="826">
      <c r="G826" s="49"/>
    </row>
    <row r="827">
      <c r="G827" s="49"/>
    </row>
    <row r="828">
      <c r="G828" s="49"/>
    </row>
    <row r="829">
      <c r="G829" s="49"/>
    </row>
    <row r="830">
      <c r="G830" s="49"/>
    </row>
    <row r="831">
      <c r="G831" s="49"/>
    </row>
    <row r="832">
      <c r="G832" s="49"/>
    </row>
    <row r="833">
      <c r="G833" s="49"/>
    </row>
    <row r="834">
      <c r="G834" s="49"/>
    </row>
    <row r="835">
      <c r="G835" s="49"/>
    </row>
    <row r="836">
      <c r="G836" s="49"/>
    </row>
    <row r="837">
      <c r="G837" s="49"/>
    </row>
    <row r="838">
      <c r="G838" s="49"/>
    </row>
    <row r="839">
      <c r="G839" s="49"/>
    </row>
    <row r="840">
      <c r="G840" s="49"/>
    </row>
    <row r="841">
      <c r="G841" s="49"/>
    </row>
    <row r="842">
      <c r="G842" s="49"/>
    </row>
    <row r="843">
      <c r="G843" s="49"/>
    </row>
    <row r="844">
      <c r="G844" s="49"/>
    </row>
    <row r="845">
      <c r="G845" s="49"/>
    </row>
    <row r="846">
      <c r="G846" s="49"/>
    </row>
    <row r="847">
      <c r="G847" s="49"/>
    </row>
    <row r="848">
      <c r="G848" s="49"/>
    </row>
    <row r="849">
      <c r="G849" s="49"/>
    </row>
    <row r="850">
      <c r="G850" s="49"/>
    </row>
    <row r="851">
      <c r="G851" s="49"/>
    </row>
    <row r="852">
      <c r="G852" s="49"/>
    </row>
    <row r="853">
      <c r="G853" s="49"/>
    </row>
    <row r="854">
      <c r="G854" s="49"/>
    </row>
    <row r="855">
      <c r="G855" s="49"/>
    </row>
    <row r="856">
      <c r="G856" s="49"/>
    </row>
    <row r="857">
      <c r="G857" s="49"/>
    </row>
    <row r="858">
      <c r="G858" s="49"/>
    </row>
    <row r="859">
      <c r="G859" s="49"/>
    </row>
    <row r="860">
      <c r="G860" s="49"/>
    </row>
    <row r="861">
      <c r="G861" s="49"/>
    </row>
    <row r="862">
      <c r="G862" s="49"/>
    </row>
    <row r="863">
      <c r="G863" s="49"/>
    </row>
    <row r="864">
      <c r="G864" s="49"/>
    </row>
    <row r="865">
      <c r="G865" s="49"/>
    </row>
    <row r="866">
      <c r="G866" s="49"/>
    </row>
    <row r="867">
      <c r="G867" s="49"/>
    </row>
    <row r="868">
      <c r="G868" s="49"/>
    </row>
    <row r="869">
      <c r="G869" s="49"/>
    </row>
    <row r="870">
      <c r="G870" s="49"/>
    </row>
    <row r="871">
      <c r="G871" s="49"/>
    </row>
    <row r="872">
      <c r="G872" s="49"/>
    </row>
    <row r="873">
      <c r="G873" s="49"/>
    </row>
    <row r="874">
      <c r="G874" s="49"/>
    </row>
    <row r="875">
      <c r="G875" s="49"/>
    </row>
    <row r="876">
      <c r="G876" s="49"/>
    </row>
    <row r="877">
      <c r="G877" s="49"/>
    </row>
    <row r="878">
      <c r="G878" s="49"/>
    </row>
    <row r="879">
      <c r="G879" s="49"/>
    </row>
    <row r="880">
      <c r="G880" s="49"/>
    </row>
    <row r="881">
      <c r="G881" s="49"/>
    </row>
    <row r="882">
      <c r="G882" s="49"/>
    </row>
    <row r="883">
      <c r="G883" s="49"/>
    </row>
    <row r="884">
      <c r="G884" s="49"/>
    </row>
    <row r="885">
      <c r="G885" s="49"/>
    </row>
    <row r="886">
      <c r="G886" s="49"/>
    </row>
    <row r="887">
      <c r="G887" s="49"/>
    </row>
    <row r="888">
      <c r="G888" s="49"/>
    </row>
    <row r="889">
      <c r="G889" s="49"/>
    </row>
    <row r="890">
      <c r="G890" s="49"/>
    </row>
    <row r="891">
      <c r="G891" s="49"/>
    </row>
    <row r="892">
      <c r="G892" s="49"/>
    </row>
    <row r="893">
      <c r="G893" s="49"/>
    </row>
    <row r="894">
      <c r="G894" s="49"/>
    </row>
    <row r="895">
      <c r="G895" s="49"/>
    </row>
    <row r="896">
      <c r="G896" s="49"/>
    </row>
    <row r="897">
      <c r="G897" s="49"/>
    </row>
    <row r="898">
      <c r="G898" s="49"/>
    </row>
    <row r="899">
      <c r="G899" s="49"/>
    </row>
    <row r="900">
      <c r="G900" s="49"/>
    </row>
    <row r="901">
      <c r="G901" s="49"/>
    </row>
    <row r="902">
      <c r="G902" s="49"/>
    </row>
    <row r="903">
      <c r="G903" s="49"/>
    </row>
    <row r="904">
      <c r="G904" s="49"/>
    </row>
    <row r="905">
      <c r="G905" s="49"/>
    </row>
    <row r="906">
      <c r="G906" s="49"/>
    </row>
    <row r="907">
      <c r="G907" s="49"/>
    </row>
    <row r="908">
      <c r="G908" s="49"/>
    </row>
    <row r="909">
      <c r="G909" s="49"/>
    </row>
    <row r="910">
      <c r="G910" s="49"/>
    </row>
    <row r="911">
      <c r="G911" s="49"/>
    </row>
    <row r="912">
      <c r="G912" s="49"/>
    </row>
    <row r="913">
      <c r="G913" s="49"/>
    </row>
    <row r="914">
      <c r="G914" s="49"/>
    </row>
    <row r="915">
      <c r="G915" s="49"/>
    </row>
    <row r="916">
      <c r="G916" s="49"/>
    </row>
    <row r="917">
      <c r="G917" s="49"/>
    </row>
    <row r="918">
      <c r="G918" s="49"/>
    </row>
    <row r="919">
      <c r="G919" s="49"/>
    </row>
    <row r="920">
      <c r="G920" s="49"/>
    </row>
    <row r="921">
      <c r="G921" s="49"/>
    </row>
    <row r="922">
      <c r="G922" s="49"/>
    </row>
    <row r="923">
      <c r="G923" s="49"/>
    </row>
    <row r="924">
      <c r="G924" s="49"/>
    </row>
    <row r="925">
      <c r="G925" s="49"/>
    </row>
    <row r="926">
      <c r="G926" s="49"/>
    </row>
    <row r="927">
      <c r="G927" s="49"/>
    </row>
    <row r="928">
      <c r="G928" s="49"/>
    </row>
    <row r="929">
      <c r="G929" s="49"/>
    </row>
    <row r="930">
      <c r="G930" s="49"/>
    </row>
    <row r="931">
      <c r="G931" s="49"/>
    </row>
    <row r="932">
      <c r="G932" s="49"/>
    </row>
    <row r="933">
      <c r="G933" s="49"/>
    </row>
    <row r="934">
      <c r="G934" s="49"/>
    </row>
    <row r="935">
      <c r="G935" s="49"/>
    </row>
    <row r="936">
      <c r="G936" s="49"/>
    </row>
    <row r="937">
      <c r="G937" s="49"/>
    </row>
    <row r="938">
      <c r="G938" s="49"/>
    </row>
    <row r="939">
      <c r="G939" s="49"/>
    </row>
    <row r="940">
      <c r="G940" s="49"/>
    </row>
    <row r="941">
      <c r="G941" s="49"/>
    </row>
    <row r="942">
      <c r="G942" s="49"/>
    </row>
    <row r="943">
      <c r="G943" s="49"/>
    </row>
    <row r="944">
      <c r="G944" s="49"/>
    </row>
    <row r="945">
      <c r="G945" s="49"/>
    </row>
    <row r="946">
      <c r="G946" s="49"/>
    </row>
    <row r="947">
      <c r="G947" s="49"/>
    </row>
    <row r="948">
      <c r="G948" s="49"/>
    </row>
    <row r="949">
      <c r="G949" s="49"/>
    </row>
    <row r="950">
      <c r="G950" s="49"/>
    </row>
    <row r="951">
      <c r="G951" s="49"/>
    </row>
    <row r="952">
      <c r="G952" s="49"/>
    </row>
    <row r="953">
      <c r="G953" s="49"/>
    </row>
    <row r="954">
      <c r="G954" s="49"/>
    </row>
    <row r="955">
      <c r="G955" s="49"/>
    </row>
    <row r="956">
      <c r="G956" s="49"/>
    </row>
    <row r="957">
      <c r="G957" s="49"/>
    </row>
    <row r="958">
      <c r="G958" s="49"/>
    </row>
    <row r="959">
      <c r="G959" s="49"/>
    </row>
    <row r="960">
      <c r="G960" s="49"/>
    </row>
    <row r="961">
      <c r="G961" s="49"/>
    </row>
    <row r="962">
      <c r="G962" s="49"/>
    </row>
    <row r="963">
      <c r="G963" s="49"/>
    </row>
    <row r="964">
      <c r="G964" s="49"/>
    </row>
    <row r="965">
      <c r="G965" s="49"/>
    </row>
    <row r="966">
      <c r="G966" s="49"/>
    </row>
    <row r="967">
      <c r="G967" s="49"/>
    </row>
    <row r="968">
      <c r="G968" s="49"/>
    </row>
    <row r="969">
      <c r="G969" s="49"/>
    </row>
    <row r="970">
      <c r="G970" s="49"/>
    </row>
    <row r="971">
      <c r="G971" s="49"/>
    </row>
    <row r="972">
      <c r="G972" s="49"/>
    </row>
    <row r="973">
      <c r="G973" s="49"/>
    </row>
    <row r="974">
      <c r="G974" s="49"/>
    </row>
    <row r="975">
      <c r="G975" s="49"/>
    </row>
    <row r="976">
      <c r="G976" s="49"/>
    </row>
    <row r="977">
      <c r="G977" s="49"/>
    </row>
    <row r="978">
      <c r="G978" s="49"/>
    </row>
    <row r="979">
      <c r="G979" s="49"/>
    </row>
    <row r="980">
      <c r="G980" s="49"/>
    </row>
    <row r="981">
      <c r="G981" s="49"/>
    </row>
    <row r="982">
      <c r="G982" s="49"/>
    </row>
    <row r="983">
      <c r="G983" s="49"/>
    </row>
    <row r="984">
      <c r="G984" s="49"/>
    </row>
    <row r="985">
      <c r="G985" s="49"/>
    </row>
    <row r="986">
      <c r="G986" s="49"/>
    </row>
    <row r="987">
      <c r="G987" s="49"/>
    </row>
    <row r="988">
      <c r="G988" s="49"/>
    </row>
    <row r="989">
      <c r="G989" s="49"/>
    </row>
    <row r="990">
      <c r="G990" s="49"/>
    </row>
    <row r="991">
      <c r="G991" s="49"/>
    </row>
    <row r="992">
      <c r="G992" s="49"/>
    </row>
    <row r="993">
      <c r="G993" s="49"/>
    </row>
    <row r="994">
      <c r="G994" s="49"/>
    </row>
    <row r="995">
      <c r="G995" s="49"/>
    </row>
    <row r="996">
      <c r="G996" s="49"/>
    </row>
    <row r="997">
      <c r="G997" s="49"/>
    </row>
    <row r="998">
      <c r="G998" s="49"/>
    </row>
    <row r="999">
      <c r="G999" s="49"/>
    </row>
  </sheetData>
  <mergeCells count="1">
    <mergeCell ref="A30:G30"/>
  </mergeCells>
  <hyperlinks>
    <hyperlink r:id="rId1" location="c2" ref="G5"/>
    <hyperlink r:id="rId2" ref="G10"/>
    <hyperlink r:id="rId3" ref="G11"/>
    <hyperlink r:id="rId4" ref="G12"/>
    <hyperlink r:id="rId5" ref="G16"/>
    <hyperlink r:id="rId6" location="gid=289821833" ref="G17"/>
    <hyperlink r:id="rId7" ref="G18"/>
    <hyperlink r:id="rId8" location="heading=h.ujzm6p1i0pzg" ref="G21"/>
    <hyperlink r:id="rId9" location="bookmark=id.312v09ueelbp" ref="G22"/>
    <hyperlink r:id="rId10" ref="G32"/>
    <hyperlink r:id="rId11" ref="G33"/>
  </hyperlinks>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0"/>
    <col customWidth="1" min="2" max="2" width="13.0"/>
    <col customWidth="1" min="3" max="4" width="14.75"/>
    <col customWidth="1" min="7" max="7" width="19.25"/>
  </cols>
  <sheetData>
    <row r="1">
      <c r="A1" s="5" t="s">
        <v>7</v>
      </c>
      <c r="B1" s="5" t="s">
        <v>8</v>
      </c>
      <c r="C1" s="5" t="s">
        <v>9</v>
      </c>
      <c r="D1" s="5"/>
      <c r="E1" s="5"/>
      <c r="F1" s="5"/>
      <c r="G1" s="6" t="s">
        <v>10</v>
      </c>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row>
    <row r="2">
      <c r="A2" s="7" t="s">
        <v>11</v>
      </c>
      <c r="B2" s="7"/>
      <c r="C2" s="7"/>
      <c r="D2" s="7"/>
      <c r="E2" s="7"/>
      <c r="F2" s="7"/>
      <c r="G2" s="8"/>
      <c r="H2" s="9"/>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row>
    <row r="3">
      <c r="A3" s="1" t="s">
        <v>12</v>
      </c>
      <c r="B3" s="10">
        <v>130000.0</v>
      </c>
      <c r="C3" s="1" t="s">
        <v>13</v>
      </c>
      <c r="G3" s="11" t="s">
        <v>14</v>
      </c>
    </row>
    <row r="4">
      <c r="A4" s="1" t="s">
        <v>15</v>
      </c>
      <c r="B4" s="10">
        <v>280000.0</v>
      </c>
      <c r="C4" s="1" t="s">
        <v>13</v>
      </c>
      <c r="G4" s="11" t="s">
        <v>14</v>
      </c>
    </row>
    <row r="5">
      <c r="A5" s="1" t="s">
        <v>16</v>
      </c>
      <c r="B5" s="10">
        <f>(89931*2/3)+AVERAGE(357000,498000,285000,435000,90554,213500,237043,300000)</f>
        <v>361966.125</v>
      </c>
      <c r="C5" s="1" t="s">
        <v>17</v>
      </c>
      <c r="G5" s="12" t="s">
        <v>102</v>
      </c>
    </row>
    <row r="6">
      <c r="A6" s="1" t="s">
        <v>19</v>
      </c>
      <c r="B6" s="13">
        <v>3.0</v>
      </c>
      <c r="C6" s="1" t="s">
        <v>20</v>
      </c>
      <c r="G6" s="14" t="s">
        <v>14</v>
      </c>
      <c r="I6" s="15"/>
    </row>
    <row r="7">
      <c r="A7" s="1" t="s">
        <v>21</v>
      </c>
      <c r="B7" s="13">
        <v>3.0</v>
      </c>
      <c r="C7" s="1" t="s">
        <v>22</v>
      </c>
      <c r="G7" s="16" t="s">
        <v>14</v>
      </c>
      <c r="I7" s="15"/>
    </row>
    <row r="8">
      <c r="A8" s="1"/>
      <c r="B8" s="17"/>
      <c r="C8" s="1"/>
      <c r="G8" s="11"/>
    </row>
    <row r="9">
      <c r="A9" s="7" t="s">
        <v>23</v>
      </c>
      <c r="B9" s="7"/>
      <c r="C9" s="7"/>
      <c r="D9" s="7"/>
      <c r="E9" s="7"/>
      <c r="F9" s="7"/>
      <c r="G9" s="8"/>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row>
    <row r="10">
      <c r="A10" s="54" t="s">
        <v>103</v>
      </c>
      <c r="B10" s="55">
        <v>3.08E8</v>
      </c>
      <c r="C10" s="56" t="s">
        <v>104</v>
      </c>
      <c r="D10" s="15"/>
      <c r="E10" s="15"/>
      <c r="F10" s="15"/>
      <c r="G10" s="57" t="s">
        <v>105</v>
      </c>
      <c r="H10" s="19"/>
    </row>
    <row r="11">
      <c r="A11" s="54" t="s">
        <v>106</v>
      </c>
      <c r="B11" s="58">
        <v>0.39</v>
      </c>
      <c r="C11" s="56" t="s">
        <v>107</v>
      </c>
      <c r="D11" s="15"/>
      <c r="E11" s="15"/>
      <c r="F11" s="15"/>
      <c r="G11" s="57" t="s">
        <v>108</v>
      </c>
      <c r="H11" s="19"/>
    </row>
    <row r="12">
      <c r="A12" s="54" t="s">
        <v>109</v>
      </c>
      <c r="B12" s="58">
        <v>0.9</v>
      </c>
      <c r="C12" s="56" t="s">
        <v>110</v>
      </c>
      <c r="D12" s="15"/>
      <c r="E12" s="15"/>
      <c r="F12" s="15"/>
      <c r="G12" s="57" t="s">
        <v>111</v>
      </c>
      <c r="H12" s="19"/>
    </row>
    <row r="13">
      <c r="A13" s="1" t="s">
        <v>27</v>
      </c>
      <c r="B13" s="20">
        <v>0.108</v>
      </c>
      <c r="C13" s="1" t="s">
        <v>112</v>
      </c>
      <c r="G13" s="12" t="s">
        <v>113</v>
      </c>
      <c r="H13" s="19"/>
    </row>
    <row r="14">
      <c r="A14" s="1" t="s">
        <v>30</v>
      </c>
      <c r="B14" s="21">
        <v>0.33</v>
      </c>
      <c r="C14" s="1" t="s">
        <v>31</v>
      </c>
      <c r="G14" s="14" t="s">
        <v>14</v>
      </c>
      <c r="H14" s="19"/>
    </row>
    <row r="15">
      <c r="A15" s="1" t="s">
        <v>32</v>
      </c>
      <c r="B15" s="21">
        <v>0.67</v>
      </c>
      <c r="C15" s="1" t="s">
        <v>31</v>
      </c>
      <c r="G15" s="14" t="s">
        <v>14</v>
      </c>
      <c r="H15" s="19"/>
      <c r="I15" s="2"/>
    </row>
    <row r="16">
      <c r="A16" s="1" t="s">
        <v>114</v>
      </c>
      <c r="B16" s="22">
        <f>B10*B11*B12*B15*B13+B10*B11*B12*B14</f>
        <v>43498334.88</v>
      </c>
      <c r="C16" s="1" t="s">
        <v>34</v>
      </c>
      <c r="G16" s="14" t="s">
        <v>14</v>
      </c>
      <c r="H16" s="19"/>
    </row>
    <row r="17">
      <c r="A17" s="54" t="s">
        <v>35</v>
      </c>
      <c r="B17" s="59">
        <v>-0.03</v>
      </c>
      <c r="C17" s="56" t="s">
        <v>115</v>
      </c>
      <c r="D17" s="15"/>
      <c r="E17" s="15"/>
      <c r="F17" s="15"/>
      <c r="G17" s="57" t="s">
        <v>105</v>
      </c>
    </row>
    <row r="18">
      <c r="A18" s="1" t="s">
        <v>116</v>
      </c>
      <c r="B18" s="24">
        <f>B16*(1+B17)^3</f>
        <v>39699755.79</v>
      </c>
      <c r="C18" s="1" t="s">
        <v>39</v>
      </c>
      <c r="G18" s="14" t="s">
        <v>14</v>
      </c>
    </row>
    <row r="19">
      <c r="A19" s="1" t="s">
        <v>40</v>
      </c>
      <c r="B19" s="25">
        <v>8.655</v>
      </c>
      <c r="C19" s="1" t="s">
        <v>41</v>
      </c>
      <c r="G19" s="12" t="s">
        <v>42</v>
      </c>
      <c r="H19" s="19"/>
    </row>
    <row r="20">
      <c r="A20" s="1" t="s">
        <v>43</v>
      </c>
      <c r="B20" s="26">
        <v>0.65</v>
      </c>
      <c r="C20" s="1" t="s">
        <v>44</v>
      </c>
      <c r="G20" s="12" t="s">
        <v>45</v>
      </c>
      <c r="H20" s="19"/>
    </row>
    <row r="21">
      <c r="A21" s="1" t="s">
        <v>46</v>
      </c>
      <c r="B21" s="27">
        <v>0.4</v>
      </c>
      <c r="C21" s="1" t="s">
        <v>47</v>
      </c>
      <c r="G21" s="14" t="s">
        <v>14</v>
      </c>
      <c r="H21" s="19"/>
    </row>
    <row r="22">
      <c r="A22" s="1" t="s">
        <v>48</v>
      </c>
      <c r="B22" s="28">
        <f>B19-(B19/B20)*B21</f>
        <v>3.328846154</v>
      </c>
      <c r="C22" s="1" t="s">
        <v>34</v>
      </c>
      <c r="G22" s="14" t="s">
        <v>14</v>
      </c>
      <c r="H22" s="19"/>
    </row>
    <row r="23">
      <c r="A23" s="1" t="s">
        <v>49</v>
      </c>
      <c r="B23" s="29">
        <f>AVERAGE(5/27,7/10,10/28,3/10,3/28,2/5,2/8,2/10,0.1,0.15,0.1)</f>
        <v>0.259042809</v>
      </c>
      <c r="C23" s="1" t="s">
        <v>50</v>
      </c>
      <c r="G23" s="30" t="s">
        <v>117</v>
      </c>
    </row>
    <row r="24">
      <c r="A24" s="54" t="s">
        <v>52</v>
      </c>
      <c r="B24" s="62">
        <f>AVERAGE(45%,55%)</f>
        <v>0.5</v>
      </c>
      <c r="C24" s="56" t="s">
        <v>118</v>
      </c>
      <c r="D24" s="15"/>
      <c r="E24" s="15"/>
      <c r="F24" s="15"/>
      <c r="G24" s="57" t="s">
        <v>54</v>
      </c>
    </row>
    <row r="25">
      <c r="A25" s="1" t="s">
        <v>55</v>
      </c>
      <c r="B25" s="31">
        <v>0.15</v>
      </c>
      <c r="C25" s="1" t="s">
        <v>31</v>
      </c>
      <c r="G25" s="11" t="s">
        <v>14</v>
      </c>
    </row>
    <row r="26">
      <c r="A26" s="1" t="s">
        <v>56</v>
      </c>
      <c r="B26" s="20">
        <v>0.04</v>
      </c>
      <c r="C26" s="1" t="s">
        <v>13</v>
      </c>
      <c r="G26" s="11" t="s">
        <v>14</v>
      </c>
    </row>
    <row r="27">
      <c r="A27" s="1" t="s">
        <v>57</v>
      </c>
      <c r="B27" s="23">
        <v>0.014</v>
      </c>
      <c r="C27" s="1" t="s">
        <v>13</v>
      </c>
      <c r="G27" s="11" t="s">
        <v>14</v>
      </c>
    </row>
    <row r="28">
      <c r="A28" s="60" t="s">
        <v>58</v>
      </c>
      <c r="B28" s="61">
        <v>0.01</v>
      </c>
      <c r="C28" s="56" t="s">
        <v>119</v>
      </c>
      <c r="G28" s="11" t="s">
        <v>14</v>
      </c>
      <c r="H28" s="19"/>
    </row>
    <row r="29">
      <c r="A29" s="1" t="s">
        <v>60</v>
      </c>
      <c r="B29" s="34">
        <f>SUM(B27:B28)</f>
        <v>0.024</v>
      </c>
      <c r="C29" s="1" t="s">
        <v>61</v>
      </c>
      <c r="G29" s="11" t="s">
        <v>14</v>
      </c>
    </row>
    <row r="30">
      <c r="A30" s="1"/>
      <c r="B30" s="35"/>
      <c r="C30" s="1"/>
      <c r="G30" s="11"/>
    </row>
    <row r="31">
      <c r="A31" s="7" t="s">
        <v>62</v>
      </c>
      <c r="B31" s="7"/>
      <c r="C31" s="7"/>
      <c r="D31" s="7"/>
      <c r="E31" s="7"/>
      <c r="F31" s="7"/>
      <c r="G31" s="8"/>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row>
    <row r="32">
      <c r="A32" s="32" t="s">
        <v>63</v>
      </c>
    </row>
    <row r="33">
      <c r="A33" s="1" t="str">
        <f>"SADs per bird with "&amp;B21&amp;" prevalence of KBF"</f>
        <v>SADs per bird with 0.4 prevalence of KBF</v>
      </c>
      <c r="B33" s="36">
        <f>(B19/B20)*B21</f>
        <v>5.326153846</v>
      </c>
      <c r="C33" s="1" t="s">
        <v>64</v>
      </c>
      <c r="G33" s="11"/>
    </row>
    <row r="34">
      <c r="A34" s="1" t="s">
        <v>65</v>
      </c>
      <c r="B34" s="37">
        <v>72.0</v>
      </c>
      <c r="C34" s="1" t="s">
        <v>66</v>
      </c>
      <c r="G34" s="38" t="s">
        <v>67</v>
      </c>
    </row>
    <row r="35">
      <c r="A35" s="1" t="s">
        <v>68</v>
      </c>
      <c r="B35" s="37">
        <f>AVERAGE(4,6)</f>
        <v>5</v>
      </c>
      <c r="C35" s="1" t="s">
        <v>69</v>
      </c>
      <c r="G35" s="38" t="s">
        <v>70</v>
      </c>
    </row>
    <row r="36">
      <c r="A36" s="1" t="s">
        <v>71</v>
      </c>
      <c r="B36" s="34">
        <f>B35/B34</f>
        <v>0.06944444444</v>
      </c>
      <c r="C36" s="1" t="s">
        <v>72</v>
      </c>
      <c r="G36" s="11" t="s">
        <v>14</v>
      </c>
    </row>
    <row r="37">
      <c r="A37" s="32" t="s">
        <v>73</v>
      </c>
      <c r="B37" s="39">
        <f>B33+(B33*B36)</f>
        <v>5.696025641</v>
      </c>
      <c r="C37" s="1" t="s">
        <v>74</v>
      </c>
      <c r="G37" s="11" t="s">
        <v>14</v>
      </c>
    </row>
    <row r="38">
      <c r="A38" s="1" t="s">
        <v>75</v>
      </c>
      <c r="B38" s="39">
        <f>B37-B33</f>
        <v>0.3698717949</v>
      </c>
      <c r="C38" s="1" t="s">
        <v>34</v>
      </c>
      <c r="G38" s="11" t="s">
        <v>14</v>
      </c>
    </row>
    <row r="39">
      <c r="A39" s="1" t="s">
        <v>76</v>
      </c>
      <c r="B39" s="31">
        <f>AVERAGE(5%,20%)</f>
        <v>0.125</v>
      </c>
      <c r="C39" s="1" t="s">
        <v>77</v>
      </c>
      <c r="G39" s="11" t="s">
        <v>14</v>
      </c>
      <c r="H39" s="19"/>
    </row>
    <row r="40">
      <c r="A40" s="1"/>
      <c r="B40" s="35"/>
      <c r="C40" s="1"/>
      <c r="G40" s="11"/>
    </row>
    <row r="41">
      <c r="A41" s="7" t="s">
        <v>78</v>
      </c>
      <c r="B41" s="7"/>
      <c r="C41" s="7"/>
      <c r="D41" s="7"/>
      <c r="E41" s="40"/>
      <c r="F41" s="7"/>
      <c r="G41" s="8"/>
      <c r="H41" s="9"/>
      <c r="I41" s="7"/>
      <c r="J41" s="41"/>
      <c r="K41" s="7"/>
      <c r="L41" s="7"/>
      <c r="M41" s="7"/>
      <c r="N41" s="7"/>
      <c r="O41" s="7"/>
      <c r="P41" s="42"/>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row>
    <row r="42">
      <c r="A42" s="1" t="s">
        <v>79</v>
      </c>
      <c r="B42" s="1">
        <v>1.0</v>
      </c>
      <c r="C42" s="1">
        <v>2.0</v>
      </c>
      <c r="D42" s="1">
        <v>3.0</v>
      </c>
      <c r="E42" s="1">
        <v>4.0</v>
      </c>
      <c r="F42" s="1">
        <v>5.0</v>
      </c>
      <c r="G42" s="11">
        <v>6.0</v>
      </c>
      <c r="H42" s="1">
        <v>7.0</v>
      </c>
      <c r="I42" s="1">
        <v>8.0</v>
      </c>
      <c r="J42" s="1">
        <v>9.0</v>
      </c>
      <c r="K42" s="1">
        <v>10.0</v>
      </c>
      <c r="L42" s="1">
        <v>11.0</v>
      </c>
      <c r="M42" s="1">
        <v>12.0</v>
      </c>
      <c r="N42" s="1">
        <v>13.0</v>
      </c>
      <c r="O42" s="1">
        <v>14.0</v>
      </c>
      <c r="P42" s="1">
        <v>15.0</v>
      </c>
      <c r="Q42" s="1">
        <v>16.0</v>
      </c>
      <c r="R42" s="1">
        <v>17.0</v>
      </c>
      <c r="S42" s="1">
        <v>18.0</v>
      </c>
      <c r="T42" s="1">
        <v>19.0</v>
      </c>
      <c r="U42" s="1">
        <v>20.0</v>
      </c>
      <c r="V42" s="1">
        <v>21.0</v>
      </c>
      <c r="W42" s="1">
        <v>22.0</v>
      </c>
      <c r="X42" s="1">
        <v>23.0</v>
      </c>
      <c r="Y42" s="1">
        <v>24.0</v>
      </c>
      <c r="Z42" s="1">
        <v>25.0</v>
      </c>
      <c r="AA42" s="1">
        <v>26.0</v>
      </c>
      <c r="AB42" s="1">
        <v>27.0</v>
      </c>
      <c r="AC42" s="1">
        <v>28.0</v>
      </c>
      <c r="AD42" s="1">
        <v>29.0</v>
      </c>
      <c r="AE42" s="1">
        <v>30.0</v>
      </c>
      <c r="AF42" s="1">
        <v>31.0</v>
      </c>
      <c r="AG42" s="1">
        <v>32.0</v>
      </c>
      <c r="AH42" s="1">
        <v>33.0</v>
      </c>
      <c r="AI42" s="1">
        <v>34.0</v>
      </c>
      <c r="AJ42" s="1">
        <v>35.0</v>
      </c>
      <c r="AK42" s="1">
        <v>36.0</v>
      </c>
      <c r="AL42" s="1">
        <v>37.0</v>
      </c>
      <c r="AM42" s="1">
        <v>38.0</v>
      </c>
      <c r="AN42" s="1">
        <v>39.0</v>
      </c>
      <c r="AO42" s="1">
        <v>40.0</v>
      </c>
      <c r="AP42" s="1">
        <v>41.0</v>
      </c>
      <c r="AQ42" s="1">
        <v>42.0</v>
      </c>
      <c r="AR42" s="1">
        <v>43.0</v>
      </c>
      <c r="AS42" s="1">
        <v>44.0</v>
      </c>
      <c r="AT42" s="1">
        <v>45.0</v>
      </c>
      <c r="AU42" s="1">
        <v>46.0</v>
      </c>
      <c r="AV42" s="1">
        <v>47.0</v>
      </c>
      <c r="AW42" s="1">
        <v>48.0</v>
      </c>
      <c r="AX42" s="1">
        <v>49.0</v>
      </c>
      <c r="AY42" s="1">
        <v>50.0</v>
      </c>
    </row>
    <row r="43">
      <c r="A43" s="43" t="s">
        <v>80</v>
      </c>
      <c r="B43" s="44">
        <f>B3+B5</f>
        <v>491966.125</v>
      </c>
      <c r="C43" s="44">
        <f t="shared" ref="C43:D43" si="1">$B$4+$B$5</f>
        <v>641966.125</v>
      </c>
      <c r="D43" s="44">
        <f t="shared" si="1"/>
        <v>641966.125</v>
      </c>
      <c r="E43" s="45">
        <f t="shared" ref="E43:P43" si="2">$B$4*$B$23</f>
        <v>72531.98653</v>
      </c>
      <c r="F43" s="45">
        <f t="shared" si="2"/>
        <v>72531.98653</v>
      </c>
      <c r="G43" s="45">
        <f t="shared" si="2"/>
        <v>72531.98653</v>
      </c>
      <c r="H43" s="45">
        <f t="shared" si="2"/>
        <v>72531.98653</v>
      </c>
      <c r="I43" s="45">
        <f t="shared" si="2"/>
        <v>72531.98653</v>
      </c>
      <c r="J43" s="45">
        <f t="shared" si="2"/>
        <v>72531.98653</v>
      </c>
      <c r="K43" s="45">
        <f t="shared" si="2"/>
        <v>72531.98653</v>
      </c>
      <c r="L43" s="45">
        <f t="shared" si="2"/>
        <v>72531.98653</v>
      </c>
      <c r="M43" s="45">
        <f t="shared" si="2"/>
        <v>72531.98653</v>
      </c>
      <c r="N43" s="45">
        <f t="shared" si="2"/>
        <v>72531.98653</v>
      </c>
      <c r="O43" s="45">
        <f t="shared" si="2"/>
        <v>72531.98653</v>
      </c>
      <c r="P43" s="45">
        <f t="shared" si="2"/>
        <v>72531.98653</v>
      </c>
      <c r="Q43" s="45">
        <v>0.0</v>
      </c>
      <c r="R43" s="45">
        <v>0.0</v>
      </c>
      <c r="S43" s="45">
        <v>0.0</v>
      </c>
      <c r="T43" s="45">
        <v>0.0</v>
      </c>
      <c r="U43" s="45">
        <v>0.0</v>
      </c>
      <c r="V43" s="45">
        <v>0.0</v>
      </c>
      <c r="W43" s="45">
        <v>0.0</v>
      </c>
      <c r="X43" s="45">
        <v>0.0</v>
      </c>
      <c r="Y43" s="45">
        <v>0.0</v>
      </c>
      <c r="Z43" s="45">
        <v>0.0</v>
      </c>
      <c r="AA43" s="45">
        <v>0.0</v>
      </c>
      <c r="AB43" s="45">
        <v>0.0</v>
      </c>
      <c r="AC43" s="45">
        <v>0.0</v>
      </c>
      <c r="AD43" s="45">
        <v>0.0</v>
      </c>
      <c r="AE43" s="45">
        <v>0.0</v>
      </c>
      <c r="AF43" s="45">
        <v>0.0</v>
      </c>
      <c r="AG43" s="45">
        <v>0.0</v>
      </c>
      <c r="AH43" s="45">
        <v>0.0</v>
      </c>
      <c r="AI43" s="45">
        <v>0.0</v>
      </c>
      <c r="AJ43" s="45">
        <v>0.0</v>
      </c>
      <c r="AK43" s="45">
        <v>0.0</v>
      </c>
      <c r="AL43" s="45">
        <v>0.0</v>
      </c>
      <c r="AM43" s="45">
        <v>0.0</v>
      </c>
      <c r="AN43" s="45">
        <v>0.0</v>
      </c>
      <c r="AO43" s="45">
        <v>0.0</v>
      </c>
      <c r="AP43" s="45">
        <v>0.0</v>
      </c>
      <c r="AQ43" s="45">
        <v>0.0</v>
      </c>
      <c r="AR43" s="45">
        <v>0.0</v>
      </c>
      <c r="AS43" s="45">
        <v>0.0</v>
      </c>
      <c r="AT43" s="45">
        <v>0.0</v>
      </c>
      <c r="AU43" s="45">
        <v>0.0</v>
      </c>
      <c r="AV43" s="45">
        <v>0.0</v>
      </c>
      <c r="AW43" s="45">
        <v>0.0</v>
      </c>
      <c r="AX43" s="45">
        <v>0.0</v>
      </c>
      <c r="AY43" s="45">
        <v>0.0</v>
      </c>
    </row>
    <row r="44">
      <c r="A44" s="32" t="s">
        <v>81</v>
      </c>
      <c r="B44" s="46">
        <f>B18</f>
        <v>39699755.79</v>
      </c>
      <c r="C44" s="46">
        <f t="shared" ref="C44:AY44" si="3">B44*(1+$B$17)</f>
        <v>38508763.12</v>
      </c>
      <c r="D44" s="46">
        <f t="shared" si="3"/>
        <v>37353500.22</v>
      </c>
      <c r="E44" s="46">
        <f t="shared" si="3"/>
        <v>36232895.22</v>
      </c>
      <c r="F44" s="46">
        <f t="shared" si="3"/>
        <v>35145908.36</v>
      </c>
      <c r="G44" s="46">
        <f t="shared" si="3"/>
        <v>34091531.11</v>
      </c>
      <c r="H44" s="46">
        <f t="shared" si="3"/>
        <v>33068785.18</v>
      </c>
      <c r="I44" s="46">
        <f t="shared" si="3"/>
        <v>32076721.62</v>
      </c>
      <c r="J44" s="46">
        <f t="shared" si="3"/>
        <v>31114419.97</v>
      </c>
      <c r="K44" s="46">
        <f t="shared" si="3"/>
        <v>30180987.37</v>
      </c>
      <c r="L44" s="46">
        <f t="shared" si="3"/>
        <v>29275557.75</v>
      </c>
      <c r="M44" s="46">
        <f t="shared" si="3"/>
        <v>28397291.02</v>
      </c>
      <c r="N44" s="46">
        <f t="shared" si="3"/>
        <v>27545372.29</v>
      </c>
      <c r="O44" s="46">
        <f t="shared" si="3"/>
        <v>26719011.12</v>
      </c>
      <c r="P44" s="46">
        <f t="shared" si="3"/>
        <v>25917440.79</v>
      </c>
      <c r="Q44" s="46">
        <f t="shared" si="3"/>
        <v>25139917.56</v>
      </c>
      <c r="R44" s="46">
        <f t="shared" si="3"/>
        <v>24385720.04</v>
      </c>
      <c r="S44" s="46">
        <f t="shared" si="3"/>
        <v>23654148.43</v>
      </c>
      <c r="T44" s="46">
        <f t="shared" si="3"/>
        <v>22944523.98</v>
      </c>
      <c r="U44" s="46">
        <f t="shared" si="3"/>
        <v>22256188.26</v>
      </c>
      <c r="V44" s="46">
        <f t="shared" si="3"/>
        <v>21588502.61</v>
      </c>
      <c r="W44" s="46">
        <f t="shared" si="3"/>
        <v>20940847.54</v>
      </c>
      <c r="X44" s="46">
        <f t="shared" si="3"/>
        <v>20312622.11</v>
      </c>
      <c r="Y44" s="46">
        <f t="shared" si="3"/>
        <v>19703243.45</v>
      </c>
      <c r="Z44" s="46">
        <f t="shared" si="3"/>
        <v>19112146.14</v>
      </c>
      <c r="AA44" s="46">
        <f t="shared" si="3"/>
        <v>18538781.76</v>
      </c>
      <c r="AB44" s="46">
        <f t="shared" si="3"/>
        <v>17982618.31</v>
      </c>
      <c r="AC44" s="46">
        <f t="shared" si="3"/>
        <v>17443139.76</v>
      </c>
      <c r="AD44" s="46">
        <f t="shared" si="3"/>
        <v>16919845.56</v>
      </c>
      <c r="AE44" s="46">
        <f t="shared" si="3"/>
        <v>16412250.2</v>
      </c>
      <c r="AF44" s="46">
        <f t="shared" si="3"/>
        <v>15919882.69</v>
      </c>
      <c r="AG44" s="46">
        <f t="shared" si="3"/>
        <v>15442286.21</v>
      </c>
      <c r="AH44" s="46">
        <f t="shared" si="3"/>
        <v>14979017.62</v>
      </c>
      <c r="AI44" s="46">
        <f t="shared" si="3"/>
        <v>14529647.1</v>
      </c>
      <c r="AJ44" s="46">
        <f t="shared" si="3"/>
        <v>14093757.68</v>
      </c>
      <c r="AK44" s="46">
        <f t="shared" si="3"/>
        <v>13670944.95</v>
      </c>
      <c r="AL44" s="46">
        <f t="shared" si="3"/>
        <v>13260816.6</v>
      </c>
      <c r="AM44" s="46">
        <f t="shared" si="3"/>
        <v>12862992.11</v>
      </c>
      <c r="AN44" s="46">
        <f t="shared" si="3"/>
        <v>12477102.34</v>
      </c>
      <c r="AO44" s="46">
        <f t="shared" si="3"/>
        <v>12102789.27</v>
      </c>
      <c r="AP44" s="46">
        <f t="shared" si="3"/>
        <v>11739705.59</v>
      </c>
      <c r="AQ44" s="46">
        <f t="shared" si="3"/>
        <v>11387514.43</v>
      </c>
      <c r="AR44" s="46">
        <f t="shared" si="3"/>
        <v>11045888.99</v>
      </c>
      <c r="AS44" s="46">
        <f t="shared" si="3"/>
        <v>10714512.32</v>
      </c>
      <c r="AT44" s="46">
        <f t="shared" si="3"/>
        <v>10393076.95</v>
      </c>
      <c r="AU44" s="46">
        <f t="shared" si="3"/>
        <v>10081284.65</v>
      </c>
      <c r="AV44" s="46">
        <f t="shared" si="3"/>
        <v>9778846.106</v>
      </c>
      <c r="AW44" s="46">
        <f t="shared" si="3"/>
        <v>9485480.723</v>
      </c>
      <c r="AX44" s="46">
        <f t="shared" si="3"/>
        <v>9200916.301</v>
      </c>
      <c r="AY44" s="46">
        <f t="shared" si="3"/>
        <v>8924888.812</v>
      </c>
    </row>
    <row r="45">
      <c r="A45" s="32" t="s">
        <v>82</v>
      </c>
      <c r="B45" s="46">
        <f t="shared" ref="B45:AY45" si="4">B44*$B$23*$B$24*$B$39*(1-$B$25)</f>
        <v>546334.1137</v>
      </c>
      <c r="C45" s="46">
        <f t="shared" si="4"/>
        <v>529944.0903</v>
      </c>
      <c r="D45" s="46">
        <f t="shared" si="4"/>
        <v>514045.7676</v>
      </c>
      <c r="E45" s="46">
        <f t="shared" si="4"/>
        <v>498624.3946</v>
      </c>
      <c r="F45" s="46">
        <f t="shared" si="4"/>
        <v>483665.6627</v>
      </c>
      <c r="G45" s="46">
        <f t="shared" si="4"/>
        <v>469155.6928</v>
      </c>
      <c r="H45" s="46">
        <f t="shared" si="4"/>
        <v>455081.0221</v>
      </c>
      <c r="I45" s="46">
        <f t="shared" si="4"/>
        <v>441428.5914</v>
      </c>
      <c r="J45" s="46">
        <f t="shared" si="4"/>
        <v>428185.7337</v>
      </c>
      <c r="K45" s="46">
        <f t="shared" si="4"/>
        <v>415340.1616</v>
      </c>
      <c r="L45" s="46">
        <f t="shared" si="4"/>
        <v>402879.9568</v>
      </c>
      <c r="M45" s="46">
        <f t="shared" si="4"/>
        <v>390793.5581</v>
      </c>
      <c r="N45" s="46">
        <f t="shared" si="4"/>
        <v>379069.7514</v>
      </c>
      <c r="O45" s="46">
        <f t="shared" si="4"/>
        <v>367697.6588</v>
      </c>
      <c r="P45" s="46">
        <f t="shared" si="4"/>
        <v>356666.729</v>
      </c>
      <c r="Q45" s="46">
        <f t="shared" si="4"/>
        <v>345966.7272</v>
      </c>
      <c r="R45" s="46">
        <f t="shared" si="4"/>
        <v>335587.7254</v>
      </c>
      <c r="S45" s="46">
        <f t="shared" si="4"/>
        <v>325520.0936</v>
      </c>
      <c r="T45" s="46">
        <f t="shared" si="4"/>
        <v>315754.4908</v>
      </c>
      <c r="U45" s="46">
        <f t="shared" si="4"/>
        <v>306281.8561</v>
      </c>
      <c r="V45" s="46">
        <f t="shared" si="4"/>
        <v>297093.4004</v>
      </c>
      <c r="W45" s="46">
        <f t="shared" si="4"/>
        <v>288180.5984</v>
      </c>
      <c r="X45" s="46">
        <f t="shared" si="4"/>
        <v>279535.1804</v>
      </c>
      <c r="Y45" s="46">
        <f t="shared" si="4"/>
        <v>271149.125</v>
      </c>
      <c r="Z45" s="46">
        <f t="shared" si="4"/>
        <v>263014.6513</v>
      </c>
      <c r="AA45" s="46">
        <f t="shared" si="4"/>
        <v>255124.2117</v>
      </c>
      <c r="AB45" s="46">
        <f t="shared" si="4"/>
        <v>247470.4854</v>
      </c>
      <c r="AC45" s="46">
        <f t="shared" si="4"/>
        <v>240046.3708</v>
      </c>
      <c r="AD45" s="46">
        <f t="shared" si="4"/>
        <v>232844.9797</v>
      </c>
      <c r="AE45" s="46">
        <f t="shared" si="4"/>
        <v>225859.6303</v>
      </c>
      <c r="AF45" s="46">
        <f t="shared" si="4"/>
        <v>219083.8414</v>
      </c>
      <c r="AG45" s="46">
        <f t="shared" si="4"/>
        <v>212511.3261</v>
      </c>
      <c r="AH45" s="46">
        <f t="shared" si="4"/>
        <v>206135.9864</v>
      </c>
      <c r="AI45" s="46">
        <f t="shared" si="4"/>
        <v>199951.9068</v>
      </c>
      <c r="AJ45" s="46">
        <f t="shared" si="4"/>
        <v>193953.3496</v>
      </c>
      <c r="AK45" s="46">
        <f t="shared" si="4"/>
        <v>188134.7491</v>
      </c>
      <c r="AL45" s="46">
        <f t="shared" si="4"/>
        <v>182490.7066</v>
      </c>
      <c r="AM45" s="46">
        <f t="shared" si="4"/>
        <v>177015.9854</v>
      </c>
      <c r="AN45" s="46">
        <f t="shared" si="4"/>
        <v>171705.5058</v>
      </c>
      <c r="AO45" s="46">
        <f t="shared" si="4"/>
        <v>166554.3407</v>
      </c>
      <c r="AP45" s="46">
        <f t="shared" si="4"/>
        <v>161557.7105</v>
      </c>
      <c r="AQ45" s="46">
        <f t="shared" si="4"/>
        <v>156710.9791</v>
      </c>
      <c r="AR45" s="46">
        <f t="shared" si="4"/>
        <v>152009.6498</v>
      </c>
      <c r="AS45" s="46">
        <f t="shared" si="4"/>
        <v>147449.3603</v>
      </c>
      <c r="AT45" s="46">
        <f t="shared" si="4"/>
        <v>143025.8795</v>
      </c>
      <c r="AU45" s="46">
        <f t="shared" si="4"/>
        <v>138735.1031</v>
      </c>
      <c r="AV45" s="46">
        <f t="shared" si="4"/>
        <v>134573.05</v>
      </c>
      <c r="AW45" s="46">
        <f t="shared" si="4"/>
        <v>130535.8585</v>
      </c>
      <c r="AX45" s="46">
        <f t="shared" si="4"/>
        <v>126619.7827</v>
      </c>
      <c r="AY45" s="46">
        <f t="shared" si="4"/>
        <v>122821.1892</v>
      </c>
    </row>
    <row r="46">
      <c r="A46" s="32" t="s">
        <v>83</v>
      </c>
      <c r="B46" s="46">
        <f t="shared" ref="B46:AY46" si="5">B45*$B$38</f>
        <v>202073.5792</v>
      </c>
      <c r="C46" s="46">
        <f t="shared" si="5"/>
        <v>196011.3719</v>
      </c>
      <c r="D46" s="46">
        <f t="shared" si="5"/>
        <v>190131.0307</v>
      </c>
      <c r="E46" s="46">
        <f t="shared" si="5"/>
        <v>184427.0998</v>
      </c>
      <c r="F46" s="46">
        <f t="shared" si="5"/>
        <v>178894.2868</v>
      </c>
      <c r="G46" s="46">
        <f t="shared" si="5"/>
        <v>173527.4582</v>
      </c>
      <c r="H46" s="46">
        <f t="shared" si="5"/>
        <v>168321.6344</v>
      </c>
      <c r="I46" s="46">
        <f t="shared" si="5"/>
        <v>163271.9854</v>
      </c>
      <c r="J46" s="46">
        <f t="shared" si="5"/>
        <v>158373.8258</v>
      </c>
      <c r="K46" s="46">
        <f t="shared" si="5"/>
        <v>153622.6111</v>
      </c>
      <c r="L46" s="46">
        <f t="shared" si="5"/>
        <v>149013.9327</v>
      </c>
      <c r="M46" s="46">
        <f t="shared" si="5"/>
        <v>144543.5148</v>
      </c>
      <c r="N46" s="46">
        <f t="shared" si="5"/>
        <v>140207.2093</v>
      </c>
      <c r="O46" s="46">
        <f t="shared" si="5"/>
        <v>136000.993</v>
      </c>
      <c r="P46" s="46">
        <f t="shared" si="5"/>
        <v>131920.9632</v>
      </c>
      <c r="Q46" s="46">
        <f t="shared" si="5"/>
        <v>127963.3343</v>
      </c>
      <c r="R46" s="46">
        <f t="shared" si="5"/>
        <v>124124.4343</v>
      </c>
      <c r="S46" s="46">
        <f t="shared" si="5"/>
        <v>120400.7013</v>
      </c>
      <c r="T46" s="46">
        <f t="shared" si="5"/>
        <v>116788.6802</v>
      </c>
      <c r="U46" s="46">
        <f t="shared" si="5"/>
        <v>113285.0198</v>
      </c>
      <c r="V46" s="46">
        <f t="shared" si="5"/>
        <v>109886.4692</v>
      </c>
      <c r="W46" s="46">
        <f t="shared" si="5"/>
        <v>106589.8752</v>
      </c>
      <c r="X46" s="46">
        <f t="shared" si="5"/>
        <v>103392.1789</v>
      </c>
      <c r="Y46" s="46">
        <f t="shared" si="5"/>
        <v>100290.4135</v>
      </c>
      <c r="Z46" s="46">
        <f t="shared" si="5"/>
        <v>97281.70114</v>
      </c>
      <c r="AA46" s="46">
        <f t="shared" si="5"/>
        <v>94363.2501</v>
      </c>
      <c r="AB46" s="46">
        <f t="shared" si="5"/>
        <v>91532.3526</v>
      </c>
      <c r="AC46" s="46">
        <f t="shared" si="5"/>
        <v>88786.38202</v>
      </c>
      <c r="AD46" s="46">
        <f t="shared" si="5"/>
        <v>86122.79056</v>
      </c>
      <c r="AE46" s="46">
        <f t="shared" si="5"/>
        <v>83539.10685</v>
      </c>
      <c r="AF46" s="46">
        <f t="shared" si="5"/>
        <v>81032.93364</v>
      </c>
      <c r="AG46" s="46">
        <f t="shared" si="5"/>
        <v>78601.94563</v>
      </c>
      <c r="AH46" s="46">
        <f t="shared" si="5"/>
        <v>76243.88726</v>
      </c>
      <c r="AI46" s="46">
        <f t="shared" si="5"/>
        <v>73956.57064</v>
      </c>
      <c r="AJ46" s="46">
        <f t="shared" si="5"/>
        <v>71737.87353</v>
      </c>
      <c r="AK46" s="46">
        <f t="shared" si="5"/>
        <v>69585.73732</v>
      </c>
      <c r="AL46" s="46">
        <f t="shared" si="5"/>
        <v>67498.1652</v>
      </c>
      <c r="AM46" s="46">
        <f t="shared" si="5"/>
        <v>65473.22024</v>
      </c>
      <c r="AN46" s="46">
        <f t="shared" si="5"/>
        <v>63509.02364</v>
      </c>
      <c r="AO46" s="46">
        <f t="shared" si="5"/>
        <v>61603.75293</v>
      </c>
      <c r="AP46" s="46">
        <f t="shared" si="5"/>
        <v>59755.64034</v>
      </c>
      <c r="AQ46" s="46">
        <f t="shared" si="5"/>
        <v>57962.97113</v>
      </c>
      <c r="AR46" s="46">
        <f t="shared" si="5"/>
        <v>56224.082</v>
      </c>
      <c r="AS46" s="46">
        <f t="shared" si="5"/>
        <v>54537.35954</v>
      </c>
      <c r="AT46" s="46">
        <f t="shared" si="5"/>
        <v>52901.23875</v>
      </c>
      <c r="AU46" s="46">
        <f t="shared" si="5"/>
        <v>51314.20159</v>
      </c>
      <c r="AV46" s="46">
        <f t="shared" si="5"/>
        <v>49774.77554</v>
      </c>
      <c r="AW46" s="46">
        <f t="shared" si="5"/>
        <v>48281.53227</v>
      </c>
      <c r="AX46" s="46">
        <f t="shared" si="5"/>
        <v>46833.08631</v>
      </c>
      <c r="AY46" s="46">
        <f t="shared" si="5"/>
        <v>45428.09372</v>
      </c>
    </row>
    <row r="47">
      <c r="A47" s="1" t="s">
        <v>84</v>
      </c>
      <c r="B47" s="46">
        <v>0.0</v>
      </c>
      <c r="C47" s="46">
        <v>0.0</v>
      </c>
      <c r="D47" s="46">
        <v>0.0</v>
      </c>
      <c r="E47" s="47">
        <f t="shared" ref="E47:AY47" si="6">(E44*$B$22*$B$23*$B$24)*(1-$B$25)-E46</f>
        <v>13094324.08</v>
      </c>
      <c r="F47" s="47">
        <f t="shared" si="6"/>
        <v>12701494.36</v>
      </c>
      <c r="G47" s="47">
        <f t="shared" si="6"/>
        <v>12320449.53</v>
      </c>
      <c r="H47" s="47">
        <f t="shared" si="6"/>
        <v>11950836.05</v>
      </c>
      <c r="I47" s="47">
        <f t="shared" si="6"/>
        <v>11592310.96</v>
      </c>
      <c r="J47" s="47">
        <f t="shared" si="6"/>
        <v>11244541.64</v>
      </c>
      <c r="K47" s="47">
        <f t="shared" si="6"/>
        <v>10907205.39</v>
      </c>
      <c r="L47" s="47">
        <f t="shared" si="6"/>
        <v>10579989.22</v>
      </c>
      <c r="M47" s="47">
        <f t="shared" si="6"/>
        <v>10262589.55</v>
      </c>
      <c r="N47" s="47">
        <f t="shared" si="6"/>
        <v>9954711.861</v>
      </c>
      <c r="O47" s="47">
        <f t="shared" si="6"/>
        <v>9656070.505</v>
      </c>
      <c r="P47" s="47">
        <f t="shared" si="6"/>
        <v>9366388.39</v>
      </c>
      <c r="Q47" s="47">
        <f t="shared" si="6"/>
        <v>9085396.739</v>
      </c>
      <c r="R47" s="47">
        <f t="shared" si="6"/>
        <v>8812834.836</v>
      </c>
      <c r="S47" s="47">
        <f t="shared" si="6"/>
        <v>8548449.791</v>
      </c>
      <c r="T47" s="47">
        <f t="shared" si="6"/>
        <v>8291996.298</v>
      </c>
      <c r="U47" s="47">
        <f t="shared" si="6"/>
        <v>8043236.409</v>
      </c>
      <c r="V47" s="47">
        <f t="shared" si="6"/>
        <v>7801939.316</v>
      </c>
      <c r="W47" s="47">
        <f t="shared" si="6"/>
        <v>7567881.137</v>
      </c>
      <c r="X47" s="47">
        <f t="shared" si="6"/>
        <v>7340844.703</v>
      </c>
      <c r="Y47" s="47">
        <f t="shared" si="6"/>
        <v>7120619.362</v>
      </c>
      <c r="Z47" s="47">
        <f t="shared" si="6"/>
        <v>6907000.781</v>
      </c>
      <c r="AA47" s="47">
        <f t="shared" si="6"/>
        <v>6699790.757</v>
      </c>
      <c r="AB47" s="47">
        <f t="shared" si="6"/>
        <v>6498797.035</v>
      </c>
      <c r="AC47" s="47">
        <f t="shared" si="6"/>
        <v>6303833.124</v>
      </c>
      <c r="AD47" s="47">
        <f t="shared" si="6"/>
        <v>6114718.13</v>
      </c>
      <c r="AE47" s="47">
        <f t="shared" si="6"/>
        <v>5931276.586</v>
      </c>
      <c r="AF47" s="47">
        <f t="shared" si="6"/>
        <v>5753338.288</v>
      </c>
      <c r="AG47" s="47">
        <f t="shared" si="6"/>
        <v>5580738.14</v>
      </c>
      <c r="AH47" s="47">
        <f t="shared" si="6"/>
        <v>5413315.996</v>
      </c>
      <c r="AI47" s="47">
        <f t="shared" si="6"/>
        <v>5250916.516</v>
      </c>
      <c r="AJ47" s="47">
        <f t="shared" si="6"/>
        <v>5093389.02</v>
      </c>
      <c r="AK47" s="47">
        <f t="shared" si="6"/>
        <v>4940587.35</v>
      </c>
      <c r="AL47" s="47">
        <f t="shared" si="6"/>
        <v>4792369.729</v>
      </c>
      <c r="AM47" s="47">
        <f t="shared" si="6"/>
        <v>4648598.637</v>
      </c>
      <c r="AN47" s="47">
        <f t="shared" si="6"/>
        <v>4509140.678</v>
      </c>
      <c r="AO47" s="47">
        <f t="shared" si="6"/>
        <v>4373866.458</v>
      </c>
      <c r="AP47" s="47">
        <f t="shared" si="6"/>
        <v>4242650.464</v>
      </c>
      <c r="AQ47" s="47">
        <f t="shared" si="6"/>
        <v>4115370.95</v>
      </c>
      <c r="AR47" s="47">
        <f t="shared" si="6"/>
        <v>3991909.822</v>
      </c>
      <c r="AS47" s="47">
        <f t="shared" si="6"/>
        <v>3872152.527</v>
      </c>
      <c r="AT47" s="47">
        <f t="shared" si="6"/>
        <v>3755987.951</v>
      </c>
      <c r="AU47" s="47">
        <f t="shared" si="6"/>
        <v>3643308.313</v>
      </c>
      <c r="AV47" s="47">
        <f t="shared" si="6"/>
        <v>3534009.063</v>
      </c>
      <c r="AW47" s="47">
        <f t="shared" si="6"/>
        <v>3427988.791</v>
      </c>
      <c r="AX47" s="47">
        <f t="shared" si="6"/>
        <v>3325149.128</v>
      </c>
      <c r="AY47" s="47">
        <f t="shared" si="6"/>
        <v>3225394.654</v>
      </c>
    </row>
    <row r="48">
      <c r="A48" s="1"/>
      <c r="B48" s="2"/>
      <c r="C48" s="2"/>
      <c r="D48" s="2"/>
      <c r="E48" s="2"/>
      <c r="F48" s="2"/>
      <c r="G48" s="48"/>
      <c r="H48" s="2"/>
      <c r="I48" s="2"/>
      <c r="J48" s="2"/>
      <c r="K48" s="2"/>
    </row>
    <row r="49">
      <c r="A49" s="7" t="s">
        <v>85</v>
      </c>
      <c r="B49" s="7"/>
      <c r="C49" s="7"/>
      <c r="D49" s="7"/>
      <c r="E49" s="7"/>
      <c r="F49" s="7"/>
      <c r="G49" s="8"/>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row>
    <row r="50">
      <c r="A50" s="1" t="s">
        <v>4</v>
      </c>
      <c r="B50" s="2">
        <f t="array" ref="B50">NPV(B26,43:43)</f>
        <v>2242439.53</v>
      </c>
      <c r="G50" s="49"/>
      <c r="J50" s="50"/>
      <c r="K50" s="51"/>
    </row>
    <row r="51">
      <c r="A51" s="1" t="s">
        <v>5</v>
      </c>
      <c r="B51" s="2">
        <f t="array" ref="B51">NPV(B29,47:47)</f>
        <v>208134485.3</v>
      </c>
      <c r="G51" s="49"/>
    </row>
    <row r="52">
      <c r="A52" s="1" t="s">
        <v>6</v>
      </c>
      <c r="B52" s="2">
        <f>B51/B50</f>
        <v>92.81609715</v>
      </c>
      <c r="G52" s="49"/>
    </row>
    <row r="53">
      <c r="G53" s="49"/>
    </row>
    <row r="54">
      <c r="G54" s="49"/>
    </row>
    <row r="55">
      <c r="G55" s="49"/>
    </row>
    <row r="56">
      <c r="G56" s="49"/>
    </row>
    <row r="57">
      <c r="G57" s="49"/>
    </row>
    <row r="58">
      <c r="G58" s="49"/>
    </row>
    <row r="59">
      <c r="G59" s="49"/>
    </row>
    <row r="60">
      <c r="G60" s="49"/>
    </row>
    <row r="61">
      <c r="G61" s="49"/>
    </row>
    <row r="62">
      <c r="G62" s="49"/>
    </row>
    <row r="63">
      <c r="G63" s="49"/>
    </row>
    <row r="64">
      <c r="G64" s="49"/>
    </row>
    <row r="65">
      <c r="G65" s="49"/>
    </row>
    <row r="66">
      <c r="G66" s="49"/>
    </row>
    <row r="67">
      <c r="G67" s="49"/>
    </row>
    <row r="68">
      <c r="G68" s="49"/>
    </row>
    <row r="69">
      <c r="G69" s="49"/>
    </row>
    <row r="70">
      <c r="G70" s="49"/>
    </row>
    <row r="71">
      <c r="G71" s="49"/>
    </row>
    <row r="72">
      <c r="G72" s="49"/>
    </row>
    <row r="73">
      <c r="G73" s="49"/>
    </row>
    <row r="74">
      <c r="G74" s="49"/>
    </row>
    <row r="75">
      <c r="G75" s="49"/>
    </row>
    <row r="76">
      <c r="G76" s="49"/>
    </row>
    <row r="77">
      <c r="G77" s="49"/>
    </row>
    <row r="78">
      <c r="G78" s="49"/>
    </row>
    <row r="79">
      <c r="G79" s="49"/>
    </row>
    <row r="80">
      <c r="G80" s="49"/>
    </row>
    <row r="81">
      <c r="G81" s="49"/>
    </row>
    <row r="82">
      <c r="G82" s="49"/>
    </row>
    <row r="83">
      <c r="G83" s="49"/>
    </row>
    <row r="84">
      <c r="G84" s="49"/>
    </row>
    <row r="85">
      <c r="G85" s="49"/>
    </row>
    <row r="86">
      <c r="G86" s="49"/>
    </row>
    <row r="87">
      <c r="G87" s="49"/>
    </row>
    <row r="88">
      <c r="G88" s="49"/>
    </row>
    <row r="89">
      <c r="G89" s="49"/>
    </row>
    <row r="90">
      <c r="G90" s="49"/>
    </row>
    <row r="91">
      <c r="G91" s="49"/>
    </row>
    <row r="92">
      <c r="G92" s="49"/>
    </row>
    <row r="93">
      <c r="G93" s="49"/>
    </row>
    <row r="94">
      <c r="G94" s="49"/>
    </row>
    <row r="95">
      <c r="G95" s="49"/>
    </row>
    <row r="96">
      <c r="G96" s="49"/>
    </row>
    <row r="97">
      <c r="G97" s="49"/>
    </row>
    <row r="98">
      <c r="G98" s="49"/>
    </row>
    <row r="99">
      <c r="G99" s="49"/>
    </row>
    <row r="100">
      <c r="G100" s="49"/>
    </row>
    <row r="101">
      <c r="G101" s="49"/>
    </row>
    <row r="102">
      <c r="G102" s="49"/>
    </row>
    <row r="103">
      <c r="G103" s="49"/>
    </row>
    <row r="104">
      <c r="G104" s="49"/>
    </row>
    <row r="105">
      <c r="G105" s="49"/>
    </row>
    <row r="106">
      <c r="G106" s="49"/>
    </row>
    <row r="107">
      <c r="G107" s="49"/>
    </row>
    <row r="108">
      <c r="G108" s="49"/>
    </row>
    <row r="109">
      <c r="G109" s="49"/>
    </row>
    <row r="110">
      <c r="G110" s="49"/>
    </row>
    <row r="111">
      <c r="G111" s="49"/>
    </row>
    <row r="112">
      <c r="G112" s="49"/>
    </row>
    <row r="113">
      <c r="G113" s="49"/>
    </row>
    <row r="114">
      <c r="G114" s="49"/>
    </row>
    <row r="115">
      <c r="G115" s="49"/>
    </row>
    <row r="116">
      <c r="G116" s="49"/>
    </row>
    <row r="117">
      <c r="G117" s="49"/>
    </row>
    <row r="118">
      <c r="G118" s="49"/>
    </row>
    <row r="119">
      <c r="G119" s="49"/>
    </row>
    <row r="120">
      <c r="G120" s="49"/>
    </row>
    <row r="121">
      <c r="G121" s="49"/>
    </row>
    <row r="122">
      <c r="G122" s="49"/>
    </row>
    <row r="123">
      <c r="G123" s="49"/>
    </row>
    <row r="124">
      <c r="G124" s="49"/>
    </row>
    <row r="125">
      <c r="G125" s="49"/>
    </row>
    <row r="126">
      <c r="G126" s="49"/>
    </row>
    <row r="127">
      <c r="G127" s="49"/>
    </row>
    <row r="128">
      <c r="G128" s="49"/>
    </row>
    <row r="129">
      <c r="G129" s="49"/>
    </row>
    <row r="130">
      <c r="G130" s="49"/>
    </row>
    <row r="131">
      <c r="G131" s="49"/>
    </row>
    <row r="132">
      <c r="G132" s="49"/>
    </row>
    <row r="133">
      <c r="G133" s="49"/>
    </row>
    <row r="134">
      <c r="G134" s="49"/>
    </row>
    <row r="135">
      <c r="G135" s="49"/>
    </row>
    <row r="136">
      <c r="G136" s="49"/>
    </row>
    <row r="137">
      <c r="G137" s="49"/>
    </row>
    <row r="138">
      <c r="G138" s="49"/>
    </row>
    <row r="139">
      <c r="G139" s="49"/>
    </row>
    <row r="140">
      <c r="G140" s="49"/>
    </row>
    <row r="141">
      <c r="G141" s="49"/>
    </row>
    <row r="142">
      <c r="G142" s="49"/>
    </row>
    <row r="143">
      <c r="G143" s="49"/>
    </row>
    <row r="144">
      <c r="G144" s="49"/>
    </row>
    <row r="145">
      <c r="G145" s="49"/>
    </row>
    <row r="146">
      <c r="G146" s="49"/>
    </row>
    <row r="147">
      <c r="G147" s="49"/>
    </row>
    <row r="148">
      <c r="G148" s="49"/>
    </row>
    <row r="149">
      <c r="G149" s="49"/>
    </row>
    <row r="150">
      <c r="G150" s="49"/>
    </row>
    <row r="151">
      <c r="G151" s="49"/>
    </row>
    <row r="152">
      <c r="G152" s="49"/>
    </row>
    <row r="153">
      <c r="G153" s="49"/>
    </row>
    <row r="154">
      <c r="G154" s="49"/>
    </row>
    <row r="155">
      <c r="G155" s="49"/>
    </row>
    <row r="156">
      <c r="G156" s="49"/>
    </row>
    <row r="157">
      <c r="G157" s="49"/>
    </row>
    <row r="158">
      <c r="G158" s="49"/>
    </row>
    <row r="159">
      <c r="G159" s="49"/>
    </row>
    <row r="160">
      <c r="G160" s="49"/>
    </row>
    <row r="161">
      <c r="G161" s="49"/>
    </row>
    <row r="162">
      <c r="G162" s="49"/>
    </row>
    <row r="163">
      <c r="G163" s="49"/>
    </row>
    <row r="164">
      <c r="G164" s="49"/>
    </row>
    <row r="165">
      <c r="G165" s="49"/>
    </row>
    <row r="166">
      <c r="G166" s="49"/>
    </row>
    <row r="167">
      <c r="G167" s="49"/>
    </row>
    <row r="168">
      <c r="G168" s="49"/>
    </row>
    <row r="169">
      <c r="G169" s="49"/>
    </row>
    <row r="170">
      <c r="G170" s="49"/>
    </row>
    <row r="171">
      <c r="G171" s="49"/>
    </row>
    <row r="172">
      <c r="G172" s="49"/>
    </row>
    <row r="173">
      <c r="G173" s="49"/>
    </row>
    <row r="174">
      <c r="G174" s="49"/>
    </row>
    <row r="175">
      <c r="G175" s="49"/>
    </row>
    <row r="176">
      <c r="G176" s="49"/>
    </row>
    <row r="177">
      <c r="G177" s="49"/>
    </row>
    <row r="178">
      <c r="G178" s="49"/>
    </row>
    <row r="179">
      <c r="G179" s="49"/>
    </row>
    <row r="180">
      <c r="G180" s="49"/>
    </row>
    <row r="181">
      <c r="G181" s="49"/>
    </row>
    <row r="182">
      <c r="G182" s="49"/>
    </row>
    <row r="183">
      <c r="G183" s="49"/>
    </row>
    <row r="184">
      <c r="G184" s="49"/>
    </row>
    <row r="185">
      <c r="G185" s="49"/>
    </row>
    <row r="186">
      <c r="G186" s="49"/>
    </row>
    <row r="187">
      <c r="G187" s="49"/>
    </row>
    <row r="188">
      <c r="G188" s="49"/>
    </row>
    <row r="189">
      <c r="G189" s="49"/>
    </row>
    <row r="190">
      <c r="G190" s="49"/>
    </row>
    <row r="191">
      <c r="G191" s="49"/>
    </row>
    <row r="192">
      <c r="G192" s="49"/>
    </row>
    <row r="193">
      <c r="G193" s="49"/>
    </row>
    <row r="194">
      <c r="G194" s="49"/>
    </row>
    <row r="195">
      <c r="G195" s="49"/>
    </row>
    <row r="196">
      <c r="G196" s="49"/>
    </row>
    <row r="197">
      <c r="G197" s="49"/>
    </row>
    <row r="198">
      <c r="G198" s="49"/>
    </row>
    <row r="199">
      <c r="G199" s="49"/>
    </row>
    <row r="200">
      <c r="G200" s="49"/>
    </row>
    <row r="201">
      <c r="G201" s="49"/>
    </row>
    <row r="202">
      <c r="G202" s="49"/>
    </row>
    <row r="203">
      <c r="G203" s="49"/>
    </row>
    <row r="204">
      <c r="G204" s="49"/>
    </row>
    <row r="205">
      <c r="G205" s="49"/>
    </row>
    <row r="206">
      <c r="G206" s="49"/>
    </row>
    <row r="207">
      <c r="G207" s="49"/>
    </row>
    <row r="208">
      <c r="G208" s="49"/>
    </row>
    <row r="209">
      <c r="G209" s="49"/>
    </row>
    <row r="210">
      <c r="G210" s="49"/>
    </row>
    <row r="211">
      <c r="G211" s="49"/>
    </row>
    <row r="212">
      <c r="G212" s="49"/>
    </row>
    <row r="213">
      <c r="G213" s="49"/>
    </row>
    <row r="214">
      <c r="G214" s="49"/>
    </row>
    <row r="215">
      <c r="G215" s="49"/>
    </row>
    <row r="216">
      <c r="G216" s="49"/>
    </row>
    <row r="217">
      <c r="G217" s="49"/>
    </row>
    <row r="218">
      <c r="G218" s="49"/>
    </row>
    <row r="219">
      <c r="G219" s="49"/>
    </row>
    <row r="220">
      <c r="G220" s="49"/>
    </row>
    <row r="221">
      <c r="G221" s="49"/>
    </row>
    <row r="222">
      <c r="G222" s="49"/>
    </row>
    <row r="223">
      <c r="G223" s="49"/>
    </row>
    <row r="224">
      <c r="G224" s="49"/>
    </row>
    <row r="225">
      <c r="G225" s="49"/>
    </row>
    <row r="226">
      <c r="G226" s="49"/>
    </row>
    <row r="227">
      <c r="G227" s="49"/>
    </row>
    <row r="228">
      <c r="G228" s="49"/>
    </row>
    <row r="229">
      <c r="G229" s="49"/>
    </row>
    <row r="230">
      <c r="G230" s="49"/>
    </row>
    <row r="231">
      <c r="G231" s="49"/>
    </row>
    <row r="232">
      <c r="G232" s="49"/>
    </row>
    <row r="233">
      <c r="G233" s="49"/>
    </row>
    <row r="234">
      <c r="G234" s="49"/>
    </row>
    <row r="235">
      <c r="G235" s="49"/>
    </row>
    <row r="236">
      <c r="G236" s="49"/>
    </row>
    <row r="237">
      <c r="G237" s="49"/>
    </row>
    <row r="238">
      <c r="G238" s="49"/>
    </row>
    <row r="239">
      <c r="G239" s="49"/>
    </row>
    <row r="240">
      <c r="G240" s="49"/>
    </row>
    <row r="241">
      <c r="G241" s="49"/>
    </row>
    <row r="242">
      <c r="G242" s="49"/>
    </row>
    <row r="243">
      <c r="G243" s="49"/>
    </row>
    <row r="244">
      <c r="G244" s="49"/>
    </row>
    <row r="245">
      <c r="G245" s="49"/>
    </row>
    <row r="246">
      <c r="G246" s="49"/>
    </row>
    <row r="247">
      <c r="G247" s="49"/>
    </row>
    <row r="248">
      <c r="G248" s="49"/>
    </row>
    <row r="249">
      <c r="G249" s="49"/>
    </row>
    <row r="250">
      <c r="G250" s="49"/>
    </row>
    <row r="251">
      <c r="G251" s="49"/>
    </row>
    <row r="252">
      <c r="G252" s="49"/>
    </row>
    <row r="253">
      <c r="G253" s="49"/>
    </row>
    <row r="254">
      <c r="G254" s="49"/>
    </row>
    <row r="255">
      <c r="G255" s="49"/>
    </row>
    <row r="256">
      <c r="G256" s="49"/>
    </row>
    <row r="257">
      <c r="G257" s="49"/>
    </row>
    <row r="258">
      <c r="G258" s="49"/>
    </row>
    <row r="259">
      <c r="G259" s="49"/>
    </row>
    <row r="260">
      <c r="G260" s="49"/>
    </row>
    <row r="261">
      <c r="G261" s="49"/>
    </row>
    <row r="262">
      <c r="G262" s="49"/>
    </row>
    <row r="263">
      <c r="G263" s="49"/>
    </row>
    <row r="264">
      <c r="G264" s="49"/>
    </row>
    <row r="265">
      <c r="G265" s="49"/>
    </row>
    <row r="266">
      <c r="G266" s="49"/>
    </row>
    <row r="267">
      <c r="G267" s="49"/>
    </row>
    <row r="268">
      <c r="G268" s="49"/>
    </row>
    <row r="269">
      <c r="G269" s="49"/>
    </row>
    <row r="270">
      <c r="G270" s="49"/>
    </row>
    <row r="271">
      <c r="G271" s="49"/>
    </row>
    <row r="272">
      <c r="G272" s="49"/>
    </row>
    <row r="273">
      <c r="G273" s="49"/>
    </row>
    <row r="274">
      <c r="G274" s="49"/>
    </row>
    <row r="275">
      <c r="G275" s="49"/>
    </row>
    <row r="276">
      <c r="G276" s="49"/>
    </row>
    <row r="277">
      <c r="G277" s="49"/>
    </row>
    <row r="278">
      <c r="G278" s="49"/>
    </row>
    <row r="279">
      <c r="G279" s="49"/>
    </row>
    <row r="280">
      <c r="G280" s="49"/>
    </row>
    <row r="281">
      <c r="G281" s="49"/>
    </row>
    <row r="282">
      <c r="G282" s="49"/>
    </row>
    <row r="283">
      <c r="G283" s="49"/>
    </row>
    <row r="284">
      <c r="G284" s="49"/>
    </row>
    <row r="285">
      <c r="G285" s="49"/>
    </row>
    <row r="286">
      <c r="G286" s="49"/>
    </row>
    <row r="287">
      <c r="G287" s="49"/>
    </row>
    <row r="288">
      <c r="G288" s="49"/>
    </row>
    <row r="289">
      <c r="G289" s="49"/>
    </row>
    <row r="290">
      <c r="G290" s="49"/>
    </row>
    <row r="291">
      <c r="G291" s="49"/>
    </row>
    <row r="292">
      <c r="G292" s="49"/>
    </row>
    <row r="293">
      <c r="G293" s="49"/>
    </row>
    <row r="294">
      <c r="G294" s="49"/>
    </row>
    <row r="295">
      <c r="G295" s="49"/>
    </row>
    <row r="296">
      <c r="G296" s="49"/>
    </row>
    <row r="297">
      <c r="G297" s="49"/>
    </row>
    <row r="298">
      <c r="G298" s="49"/>
    </row>
    <row r="299">
      <c r="G299" s="49"/>
    </row>
    <row r="300">
      <c r="G300" s="49"/>
    </row>
    <row r="301">
      <c r="G301" s="49"/>
    </row>
    <row r="302">
      <c r="G302" s="49"/>
    </row>
    <row r="303">
      <c r="G303" s="49"/>
    </row>
    <row r="304">
      <c r="G304" s="49"/>
    </row>
    <row r="305">
      <c r="G305" s="49"/>
    </row>
    <row r="306">
      <c r="G306" s="49"/>
    </row>
    <row r="307">
      <c r="G307" s="49"/>
    </row>
    <row r="308">
      <c r="G308" s="49"/>
    </row>
    <row r="309">
      <c r="G309" s="49"/>
    </row>
    <row r="310">
      <c r="G310" s="49"/>
    </row>
    <row r="311">
      <c r="G311" s="49"/>
    </row>
    <row r="312">
      <c r="G312" s="49"/>
    </row>
    <row r="313">
      <c r="G313" s="49"/>
    </row>
    <row r="314">
      <c r="G314" s="49"/>
    </row>
    <row r="315">
      <c r="G315" s="49"/>
    </row>
    <row r="316">
      <c r="G316" s="49"/>
    </row>
    <row r="317">
      <c r="G317" s="49"/>
    </row>
    <row r="318">
      <c r="G318" s="49"/>
    </row>
    <row r="319">
      <c r="G319" s="49"/>
    </row>
    <row r="320">
      <c r="G320" s="49"/>
    </row>
    <row r="321">
      <c r="G321" s="49"/>
    </row>
    <row r="322">
      <c r="G322" s="49"/>
    </row>
    <row r="323">
      <c r="G323" s="49"/>
    </row>
    <row r="324">
      <c r="G324" s="49"/>
    </row>
    <row r="325">
      <c r="G325" s="49"/>
    </row>
    <row r="326">
      <c r="G326" s="49"/>
    </row>
    <row r="327">
      <c r="G327" s="49"/>
    </row>
    <row r="328">
      <c r="G328" s="49"/>
    </row>
    <row r="329">
      <c r="G329" s="49"/>
    </row>
    <row r="330">
      <c r="G330" s="49"/>
    </row>
    <row r="331">
      <c r="G331" s="49"/>
    </row>
    <row r="332">
      <c r="G332" s="49"/>
    </row>
    <row r="333">
      <c r="G333" s="49"/>
    </row>
    <row r="334">
      <c r="G334" s="49"/>
    </row>
    <row r="335">
      <c r="G335" s="49"/>
    </row>
    <row r="336">
      <c r="G336" s="49"/>
    </row>
    <row r="337">
      <c r="G337" s="49"/>
    </row>
    <row r="338">
      <c r="G338" s="49"/>
    </row>
    <row r="339">
      <c r="G339" s="49"/>
    </row>
    <row r="340">
      <c r="G340" s="49"/>
    </row>
    <row r="341">
      <c r="G341" s="49"/>
    </row>
    <row r="342">
      <c r="G342" s="49"/>
    </row>
    <row r="343">
      <c r="G343" s="49"/>
    </row>
    <row r="344">
      <c r="G344" s="49"/>
    </row>
    <row r="345">
      <c r="G345" s="49"/>
    </row>
    <row r="346">
      <c r="G346" s="49"/>
    </row>
    <row r="347">
      <c r="G347" s="49"/>
    </row>
    <row r="348">
      <c r="G348" s="49"/>
    </row>
    <row r="349">
      <c r="G349" s="49"/>
    </row>
    <row r="350">
      <c r="G350" s="49"/>
    </row>
    <row r="351">
      <c r="G351" s="49"/>
    </row>
    <row r="352">
      <c r="G352" s="49"/>
    </row>
    <row r="353">
      <c r="G353" s="49"/>
    </row>
    <row r="354">
      <c r="G354" s="49"/>
    </row>
    <row r="355">
      <c r="G355" s="49"/>
    </row>
    <row r="356">
      <c r="G356" s="49"/>
    </row>
    <row r="357">
      <c r="G357" s="49"/>
    </row>
    <row r="358">
      <c r="G358" s="49"/>
    </row>
    <row r="359">
      <c r="G359" s="49"/>
    </row>
    <row r="360">
      <c r="G360" s="49"/>
    </row>
    <row r="361">
      <c r="G361" s="49"/>
    </row>
    <row r="362">
      <c r="G362" s="49"/>
    </row>
    <row r="363">
      <c r="G363" s="49"/>
    </row>
    <row r="364">
      <c r="G364" s="49"/>
    </row>
    <row r="365">
      <c r="G365" s="49"/>
    </row>
    <row r="366">
      <c r="G366" s="49"/>
    </row>
    <row r="367">
      <c r="G367" s="49"/>
    </row>
    <row r="368">
      <c r="G368" s="49"/>
    </row>
    <row r="369">
      <c r="G369" s="49"/>
    </row>
    <row r="370">
      <c r="G370" s="49"/>
    </row>
    <row r="371">
      <c r="G371" s="49"/>
    </row>
    <row r="372">
      <c r="G372" s="49"/>
    </row>
    <row r="373">
      <c r="G373" s="49"/>
    </row>
    <row r="374">
      <c r="G374" s="49"/>
    </row>
    <row r="375">
      <c r="G375" s="49"/>
    </row>
    <row r="376">
      <c r="G376" s="49"/>
    </row>
    <row r="377">
      <c r="G377" s="49"/>
    </row>
    <row r="378">
      <c r="G378" s="49"/>
    </row>
    <row r="379">
      <c r="G379" s="49"/>
    </row>
    <row r="380">
      <c r="G380" s="49"/>
    </row>
    <row r="381">
      <c r="G381" s="49"/>
    </row>
    <row r="382">
      <c r="G382" s="49"/>
    </row>
    <row r="383">
      <c r="G383" s="49"/>
    </row>
    <row r="384">
      <c r="G384" s="49"/>
    </row>
    <row r="385">
      <c r="G385" s="49"/>
    </row>
    <row r="386">
      <c r="G386" s="49"/>
    </row>
    <row r="387">
      <c r="G387" s="49"/>
    </row>
    <row r="388">
      <c r="G388" s="49"/>
    </row>
    <row r="389">
      <c r="G389" s="49"/>
    </row>
    <row r="390">
      <c r="G390" s="49"/>
    </row>
    <row r="391">
      <c r="G391" s="49"/>
    </row>
    <row r="392">
      <c r="G392" s="49"/>
    </row>
    <row r="393">
      <c r="G393" s="49"/>
    </row>
    <row r="394">
      <c r="G394" s="49"/>
    </row>
    <row r="395">
      <c r="G395" s="49"/>
    </row>
    <row r="396">
      <c r="G396" s="49"/>
    </row>
    <row r="397">
      <c r="G397" s="49"/>
    </row>
    <row r="398">
      <c r="G398" s="49"/>
    </row>
    <row r="399">
      <c r="G399" s="49"/>
    </row>
    <row r="400">
      <c r="G400" s="49"/>
    </row>
    <row r="401">
      <c r="G401" s="49"/>
    </row>
    <row r="402">
      <c r="G402" s="49"/>
    </row>
    <row r="403">
      <c r="G403" s="49"/>
    </row>
    <row r="404">
      <c r="G404" s="49"/>
    </row>
    <row r="405">
      <c r="G405" s="49"/>
    </row>
    <row r="406">
      <c r="G406" s="49"/>
    </row>
    <row r="407">
      <c r="G407" s="49"/>
    </row>
    <row r="408">
      <c r="G408" s="49"/>
    </row>
    <row r="409">
      <c r="G409" s="49"/>
    </row>
    <row r="410">
      <c r="G410" s="49"/>
    </row>
    <row r="411">
      <c r="G411" s="49"/>
    </row>
    <row r="412">
      <c r="G412" s="49"/>
    </row>
    <row r="413">
      <c r="G413" s="49"/>
    </row>
    <row r="414">
      <c r="G414" s="49"/>
    </row>
    <row r="415">
      <c r="G415" s="49"/>
    </row>
    <row r="416">
      <c r="G416" s="49"/>
    </row>
    <row r="417">
      <c r="G417" s="49"/>
    </row>
    <row r="418">
      <c r="G418" s="49"/>
    </row>
    <row r="419">
      <c r="G419" s="49"/>
    </row>
    <row r="420">
      <c r="G420" s="49"/>
    </row>
    <row r="421">
      <c r="G421" s="49"/>
    </row>
    <row r="422">
      <c r="G422" s="49"/>
    </row>
    <row r="423">
      <c r="G423" s="49"/>
    </row>
    <row r="424">
      <c r="G424" s="49"/>
    </row>
    <row r="425">
      <c r="G425" s="49"/>
    </row>
    <row r="426">
      <c r="G426" s="49"/>
    </row>
    <row r="427">
      <c r="G427" s="49"/>
    </row>
    <row r="428">
      <c r="G428" s="49"/>
    </row>
    <row r="429">
      <c r="G429" s="49"/>
    </row>
    <row r="430">
      <c r="G430" s="49"/>
    </row>
    <row r="431">
      <c r="G431" s="49"/>
    </row>
    <row r="432">
      <c r="G432" s="49"/>
    </row>
    <row r="433">
      <c r="G433" s="49"/>
    </row>
    <row r="434">
      <c r="G434" s="49"/>
    </row>
    <row r="435">
      <c r="G435" s="49"/>
    </row>
    <row r="436">
      <c r="G436" s="49"/>
    </row>
    <row r="437">
      <c r="G437" s="49"/>
    </row>
    <row r="438">
      <c r="G438" s="49"/>
    </row>
    <row r="439">
      <c r="G439" s="49"/>
    </row>
    <row r="440">
      <c r="G440" s="49"/>
    </row>
    <row r="441">
      <c r="G441" s="49"/>
    </row>
    <row r="442">
      <c r="G442" s="49"/>
    </row>
    <row r="443">
      <c r="G443" s="49"/>
    </row>
    <row r="444">
      <c r="G444" s="49"/>
    </row>
    <row r="445">
      <c r="G445" s="49"/>
    </row>
    <row r="446">
      <c r="G446" s="49"/>
    </row>
    <row r="447">
      <c r="G447" s="49"/>
    </row>
    <row r="448">
      <c r="G448" s="49"/>
    </row>
    <row r="449">
      <c r="G449" s="49"/>
    </row>
    <row r="450">
      <c r="G450" s="49"/>
    </row>
    <row r="451">
      <c r="G451" s="49"/>
    </row>
    <row r="452">
      <c r="G452" s="49"/>
    </row>
    <row r="453">
      <c r="G453" s="49"/>
    </row>
    <row r="454">
      <c r="G454" s="49"/>
    </row>
    <row r="455">
      <c r="G455" s="49"/>
    </row>
    <row r="456">
      <c r="G456" s="49"/>
    </row>
    <row r="457">
      <c r="G457" s="49"/>
    </row>
    <row r="458">
      <c r="G458" s="49"/>
    </row>
    <row r="459">
      <c r="G459" s="49"/>
    </row>
    <row r="460">
      <c r="G460" s="49"/>
    </row>
    <row r="461">
      <c r="G461" s="49"/>
    </row>
    <row r="462">
      <c r="G462" s="49"/>
    </row>
    <row r="463">
      <c r="G463" s="49"/>
    </row>
    <row r="464">
      <c r="G464" s="49"/>
    </row>
    <row r="465">
      <c r="G465" s="49"/>
    </row>
    <row r="466">
      <c r="G466" s="49"/>
    </row>
    <row r="467">
      <c r="G467" s="49"/>
    </row>
    <row r="468">
      <c r="G468" s="49"/>
    </row>
    <row r="469">
      <c r="G469" s="49"/>
    </row>
    <row r="470">
      <c r="G470" s="49"/>
    </row>
    <row r="471">
      <c r="G471" s="49"/>
    </row>
    <row r="472">
      <c r="G472" s="49"/>
    </row>
    <row r="473">
      <c r="G473" s="49"/>
    </row>
    <row r="474">
      <c r="G474" s="49"/>
    </row>
    <row r="475">
      <c r="G475" s="49"/>
    </row>
    <row r="476">
      <c r="G476" s="49"/>
    </row>
    <row r="477">
      <c r="G477" s="49"/>
    </row>
    <row r="478">
      <c r="G478" s="49"/>
    </row>
    <row r="479">
      <c r="G479" s="49"/>
    </row>
    <row r="480">
      <c r="G480" s="49"/>
    </row>
    <row r="481">
      <c r="G481" s="49"/>
    </row>
    <row r="482">
      <c r="G482" s="49"/>
    </row>
    <row r="483">
      <c r="G483" s="49"/>
    </row>
    <row r="484">
      <c r="G484" s="49"/>
    </row>
    <row r="485">
      <c r="G485" s="49"/>
    </row>
    <row r="486">
      <c r="G486" s="49"/>
    </row>
    <row r="487">
      <c r="G487" s="49"/>
    </row>
    <row r="488">
      <c r="G488" s="49"/>
    </row>
    <row r="489">
      <c r="G489" s="49"/>
    </row>
    <row r="490">
      <c r="G490" s="49"/>
    </row>
    <row r="491">
      <c r="G491" s="49"/>
    </row>
    <row r="492">
      <c r="G492" s="49"/>
    </row>
    <row r="493">
      <c r="G493" s="49"/>
    </row>
    <row r="494">
      <c r="G494" s="49"/>
    </row>
    <row r="495">
      <c r="G495" s="49"/>
    </row>
    <row r="496">
      <c r="G496" s="49"/>
    </row>
    <row r="497">
      <c r="G497" s="49"/>
    </row>
    <row r="498">
      <c r="G498" s="49"/>
    </row>
    <row r="499">
      <c r="G499" s="49"/>
    </row>
    <row r="500">
      <c r="G500" s="49"/>
    </row>
    <row r="501">
      <c r="G501" s="49"/>
    </row>
    <row r="502">
      <c r="G502" s="49"/>
    </row>
    <row r="503">
      <c r="G503" s="49"/>
    </row>
    <row r="504">
      <c r="G504" s="49"/>
    </row>
    <row r="505">
      <c r="G505" s="49"/>
    </row>
    <row r="506">
      <c r="G506" s="49"/>
    </row>
    <row r="507">
      <c r="G507" s="49"/>
    </row>
    <row r="508">
      <c r="G508" s="49"/>
    </row>
    <row r="509">
      <c r="G509" s="49"/>
    </row>
    <row r="510">
      <c r="G510" s="49"/>
    </row>
    <row r="511">
      <c r="G511" s="49"/>
    </row>
    <row r="512">
      <c r="G512" s="49"/>
    </row>
    <row r="513">
      <c r="G513" s="49"/>
    </row>
    <row r="514">
      <c r="G514" s="49"/>
    </row>
    <row r="515">
      <c r="G515" s="49"/>
    </row>
    <row r="516">
      <c r="G516" s="49"/>
    </row>
    <row r="517">
      <c r="G517" s="49"/>
    </row>
    <row r="518">
      <c r="G518" s="49"/>
    </row>
    <row r="519">
      <c r="G519" s="49"/>
    </row>
    <row r="520">
      <c r="G520" s="49"/>
    </row>
    <row r="521">
      <c r="G521" s="49"/>
    </row>
    <row r="522">
      <c r="G522" s="49"/>
    </row>
    <row r="523">
      <c r="G523" s="49"/>
    </row>
    <row r="524">
      <c r="G524" s="49"/>
    </row>
    <row r="525">
      <c r="G525" s="49"/>
    </row>
    <row r="526">
      <c r="G526" s="49"/>
    </row>
    <row r="527">
      <c r="G527" s="49"/>
    </row>
    <row r="528">
      <c r="G528" s="49"/>
    </row>
    <row r="529">
      <c r="G529" s="49"/>
    </row>
    <row r="530">
      <c r="G530" s="49"/>
    </row>
    <row r="531">
      <c r="G531" s="49"/>
    </row>
    <row r="532">
      <c r="G532" s="49"/>
    </row>
    <row r="533">
      <c r="G533" s="49"/>
    </row>
    <row r="534">
      <c r="G534" s="49"/>
    </row>
    <row r="535">
      <c r="G535" s="49"/>
    </row>
    <row r="536">
      <c r="G536" s="49"/>
    </row>
    <row r="537">
      <c r="G537" s="49"/>
    </row>
    <row r="538">
      <c r="G538" s="49"/>
    </row>
    <row r="539">
      <c r="G539" s="49"/>
    </row>
    <row r="540">
      <c r="G540" s="49"/>
    </row>
    <row r="541">
      <c r="G541" s="49"/>
    </row>
    <row r="542">
      <c r="G542" s="49"/>
    </row>
    <row r="543">
      <c r="G543" s="49"/>
    </row>
    <row r="544">
      <c r="G544" s="49"/>
    </row>
    <row r="545">
      <c r="G545" s="49"/>
    </row>
    <row r="546">
      <c r="G546" s="49"/>
    </row>
    <row r="547">
      <c r="G547" s="49"/>
    </row>
    <row r="548">
      <c r="G548" s="49"/>
    </row>
    <row r="549">
      <c r="G549" s="49"/>
    </row>
    <row r="550">
      <c r="G550" s="49"/>
    </row>
    <row r="551">
      <c r="G551" s="49"/>
    </row>
    <row r="552">
      <c r="G552" s="49"/>
    </row>
    <row r="553">
      <c r="G553" s="49"/>
    </row>
    <row r="554">
      <c r="G554" s="49"/>
    </row>
    <row r="555">
      <c r="G555" s="49"/>
    </row>
    <row r="556">
      <c r="G556" s="49"/>
    </row>
    <row r="557">
      <c r="G557" s="49"/>
    </row>
    <row r="558">
      <c r="G558" s="49"/>
    </row>
    <row r="559">
      <c r="G559" s="49"/>
    </row>
    <row r="560">
      <c r="G560" s="49"/>
    </row>
    <row r="561">
      <c r="G561" s="49"/>
    </row>
    <row r="562">
      <c r="G562" s="49"/>
    </row>
    <row r="563">
      <c r="G563" s="49"/>
    </row>
    <row r="564">
      <c r="G564" s="49"/>
    </row>
    <row r="565">
      <c r="G565" s="49"/>
    </row>
    <row r="566">
      <c r="G566" s="49"/>
    </row>
    <row r="567">
      <c r="G567" s="49"/>
    </row>
    <row r="568">
      <c r="G568" s="49"/>
    </row>
    <row r="569">
      <c r="G569" s="49"/>
    </row>
    <row r="570">
      <c r="G570" s="49"/>
    </row>
    <row r="571">
      <c r="G571" s="49"/>
    </row>
    <row r="572">
      <c r="G572" s="49"/>
    </row>
    <row r="573">
      <c r="G573" s="49"/>
    </row>
    <row r="574">
      <c r="G574" s="49"/>
    </row>
    <row r="575">
      <c r="G575" s="49"/>
    </row>
    <row r="576">
      <c r="G576" s="49"/>
    </row>
    <row r="577">
      <c r="G577" s="49"/>
    </row>
    <row r="578">
      <c r="G578" s="49"/>
    </row>
    <row r="579">
      <c r="G579" s="49"/>
    </row>
    <row r="580">
      <c r="G580" s="49"/>
    </row>
    <row r="581">
      <c r="G581" s="49"/>
    </row>
    <row r="582">
      <c r="G582" s="49"/>
    </row>
    <row r="583">
      <c r="G583" s="49"/>
    </row>
    <row r="584">
      <c r="G584" s="49"/>
    </row>
    <row r="585">
      <c r="G585" s="49"/>
    </row>
    <row r="586">
      <c r="G586" s="49"/>
    </row>
    <row r="587">
      <c r="G587" s="49"/>
    </row>
    <row r="588">
      <c r="G588" s="49"/>
    </row>
    <row r="589">
      <c r="G589" s="49"/>
    </row>
    <row r="590">
      <c r="G590" s="49"/>
    </row>
    <row r="591">
      <c r="G591" s="49"/>
    </row>
    <row r="592">
      <c r="G592" s="49"/>
    </row>
    <row r="593">
      <c r="G593" s="49"/>
    </row>
    <row r="594">
      <c r="G594" s="49"/>
    </row>
    <row r="595">
      <c r="G595" s="49"/>
    </row>
    <row r="596">
      <c r="G596" s="49"/>
    </row>
    <row r="597">
      <c r="G597" s="49"/>
    </row>
    <row r="598">
      <c r="G598" s="49"/>
    </row>
    <row r="599">
      <c r="G599" s="49"/>
    </row>
    <row r="600">
      <c r="G600" s="49"/>
    </row>
    <row r="601">
      <c r="G601" s="49"/>
    </row>
    <row r="602">
      <c r="G602" s="49"/>
    </row>
    <row r="603">
      <c r="G603" s="49"/>
    </row>
    <row r="604">
      <c r="G604" s="49"/>
    </row>
    <row r="605">
      <c r="G605" s="49"/>
    </row>
    <row r="606">
      <c r="G606" s="49"/>
    </row>
    <row r="607">
      <c r="G607" s="49"/>
    </row>
    <row r="608">
      <c r="G608" s="49"/>
    </row>
    <row r="609">
      <c r="G609" s="49"/>
    </row>
    <row r="610">
      <c r="G610" s="49"/>
    </row>
    <row r="611">
      <c r="G611" s="49"/>
    </row>
    <row r="612">
      <c r="G612" s="49"/>
    </row>
    <row r="613">
      <c r="G613" s="49"/>
    </row>
    <row r="614">
      <c r="G614" s="49"/>
    </row>
    <row r="615">
      <c r="G615" s="49"/>
    </row>
    <row r="616">
      <c r="G616" s="49"/>
    </row>
    <row r="617">
      <c r="G617" s="49"/>
    </row>
    <row r="618">
      <c r="G618" s="49"/>
    </row>
    <row r="619">
      <c r="G619" s="49"/>
    </row>
    <row r="620">
      <c r="G620" s="49"/>
    </row>
    <row r="621">
      <c r="G621" s="49"/>
    </row>
    <row r="622">
      <c r="G622" s="49"/>
    </row>
    <row r="623">
      <c r="G623" s="49"/>
    </row>
    <row r="624">
      <c r="G624" s="49"/>
    </row>
    <row r="625">
      <c r="G625" s="49"/>
    </row>
    <row r="626">
      <c r="G626" s="49"/>
    </row>
    <row r="627">
      <c r="G627" s="49"/>
    </row>
    <row r="628">
      <c r="G628" s="49"/>
    </row>
    <row r="629">
      <c r="G629" s="49"/>
    </row>
    <row r="630">
      <c r="G630" s="49"/>
    </row>
    <row r="631">
      <c r="G631" s="49"/>
    </row>
    <row r="632">
      <c r="G632" s="49"/>
    </row>
    <row r="633">
      <c r="G633" s="49"/>
    </row>
    <row r="634">
      <c r="G634" s="49"/>
    </row>
    <row r="635">
      <c r="G635" s="49"/>
    </row>
    <row r="636">
      <c r="G636" s="49"/>
    </row>
    <row r="637">
      <c r="G637" s="49"/>
    </row>
    <row r="638">
      <c r="G638" s="49"/>
    </row>
    <row r="639">
      <c r="G639" s="49"/>
    </row>
    <row r="640">
      <c r="G640" s="49"/>
    </row>
    <row r="641">
      <c r="G641" s="49"/>
    </row>
    <row r="642">
      <c r="G642" s="49"/>
    </row>
    <row r="643">
      <c r="G643" s="49"/>
    </row>
    <row r="644">
      <c r="G644" s="49"/>
    </row>
    <row r="645">
      <c r="G645" s="49"/>
    </row>
    <row r="646">
      <c r="G646" s="49"/>
    </row>
    <row r="647">
      <c r="G647" s="49"/>
    </row>
    <row r="648">
      <c r="G648" s="49"/>
    </row>
    <row r="649">
      <c r="G649" s="49"/>
    </row>
    <row r="650">
      <c r="G650" s="49"/>
    </row>
    <row r="651">
      <c r="G651" s="49"/>
    </row>
    <row r="652">
      <c r="G652" s="49"/>
    </row>
    <row r="653">
      <c r="G653" s="49"/>
    </row>
    <row r="654">
      <c r="G654" s="49"/>
    </row>
    <row r="655">
      <c r="G655" s="49"/>
    </row>
    <row r="656">
      <c r="G656" s="49"/>
    </row>
    <row r="657">
      <c r="G657" s="49"/>
    </row>
    <row r="658">
      <c r="G658" s="49"/>
    </row>
    <row r="659">
      <c r="G659" s="49"/>
    </row>
    <row r="660">
      <c r="G660" s="49"/>
    </row>
    <row r="661">
      <c r="G661" s="49"/>
    </row>
    <row r="662">
      <c r="G662" s="49"/>
    </row>
    <row r="663">
      <c r="G663" s="49"/>
    </row>
    <row r="664">
      <c r="G664" s="49"/>
    </row>
    <row r="665">
      <c r="G665" s="49"/>
    </row>
    <row r="666">
      <c r="G666" s="49"/>
    </row>
    <row r="667">
      <c r="G667" s="49"/>
    </row>
    <row r="668">
      <c r="G668" s="49"/>
    </row>
    <row r="669">
      <c r="G669" s="49"/>
    </row>
    <row r="670">
      <c r="G670" s="49"/>
    </row>
    <row r="671">
      <c r="G671" s="49"/>
    </row>
    <row r="672">
      <c r="G672" s="49"/>
    </row>
    <row r="673">
      <c r="G673" s="49"/>
    </row>
    <row r="674">
      <c r="G674" s="49"/>
    </row>
    <row r="675">
      <c r="G675" s="49"/>
    </row>
    <row r="676">
      <c r="G676" s="49"/>
    </row>
    <row r="677">
      <c r="G677" s="49"/>
    </row>
    <row r="678">
      <c r="G678" s="49"/>
    </row>
    <row r="679">
      <c r="G679" s="49"/>
    </row>
    <row r="680">
      <c r="G680" s="49"/>
    </row>
    <row r="681">
      <c r="G681" s="49"/>
    </row>
    <row r="682">
      <c r="G682" s="49"/>
    </row>
    <row r="683">
      <c r="G683" s="49"/>
    </row>
    <row r="684">
      <c r="G684" s="49"/>
    </row>
    <row r="685">
      <c r="G685" s="49"/>
    </row>
    <row r="686">
      <c r="G686" s="49"/>
    </row>
    <row r="687">
      <c r="G687" s="49"/>
    </row>
    <row r="688">
      <c r="G688" s="49"/>
    </row>
    <row r="689">
      <c r="G689" s="49"/>
    </row>
    <row r="690">
      <c r="G690" s="49"/>
    </row>
    <row r="691">
      <c r="G691" s="49"/>
    </row>
    <row r="692">
      <c r="G692" s="49"/>
    </row>
    <row r="693">
      <c r="G693" s="49"/>
    </row>
    <row r="694">
      <c r="G694" s="49"/>
    </row>
    <row r="695">
      <c r="G695" s="49"/>
    </row>
    <row r="696">
      <c r="G696" s="49"/>
    </row>
    <row r="697">
      <c r="G697" s="49"/>
    </row>
    <row r="698">
      <c r="G698" s="49"/>
    </row>
    <row r="699">
      <c r="G699" s="49"/>
    </row>
    <row r="700">
      <c r="G700" s="49"/>
    </row>
    <row r="701">
      <c r="G701" s="49"/>
    </row>
    <row r="702">
      <c r="G702" s="49"/>
    </row>
    <row r="703">
      <c r="G703" s="49"/>
    </row>
    <row r="704">
      <c r="G704" s="49"/>
    </row>
    <row r="705">
      <c r="G705" s="49"/>
    </row>
    <row r="706">
      <c r="G706" s="49"/>
    </row>
    <row r="707">
      <c r="G707" s="49"/>
    </row>
    <row r="708">
      <c r="G708" s="49"/>
    </row>
    <row r="709">
      <c r="G709" s="49"/>
    </row>
    <row r="710">
      <c r="G710" s="49"/>
    </row>
    <row r="711">
      <c r="G711" s="49"/>
    </row>
    <row r="712">
      <c r="G712" s="49"/>
    </row>
    <row r="713">
      <c r="G713" s="49"/>
    </row>
    <row r="714">
      <c r="G714" s="49"/>
    </row>
    <row r="715">
      <c r="G715" s="49"/>
    </row>
    <row r="716">
      <c r="G716" s="49"/>
    </row>
    <row r="717">
      <c r="G717" s="49"/>
    </row>
    <row r="718">
      <c r="G718" s="49"/>
    </row>
    <row r="719">
      <c r="G719" s="49"/>
    </row>
    <row r="720">
      <c r="G720" s="49"/>
    </row>
    <row r="721">
      <c r="G721" s="49"/>
    </row>
    <row r="722">
      <c r="G722" s="49"/>
    </row>
    <row r="723">
      <c r="G723" s="49"/>
    </row>
    <row r="724">
      <c r="G724" s="49"/>
    </row>
    <row r="725">
      <c r="G725" s="49"/>
    </row>
    <row r="726">
      <c r="G726" s="49"/>
    </row>
    <row r="727">
      <c r="G727" s="49"/>
    </row>
    <row r="728">
      <c r="G728" s="49"/>
    </row>
    <row r="729">
      <c r="G729" s="49"/>
    </row>
    <row r="730">
      <c r="G730" s="49"/>
    </row>
    <row r="731">
      <c r="G731" s="49"/>
    </row>
    <row r="732">
      <c r="G732" s="49"/>
    </row>
    <row r="733">
      <c r="G733" s="49"/>
    </row>
    <row r="734">
      <c r="G734" s="49"/>
    </row>
    <row r="735">
      <c r="G735" s="49"/>
    </row>
    <row r="736">
      <c r="G736" s="49"/>
    </row>
    <row r="737">
      <c r="G737" s="49"/>
    </row>
    <row r="738">
      <c r="G738" s="49"/>
    </row>
    <row r="739">
      <c r="G739" s="49"/>
    </row>
    <row r="740">
      <c r="G740" s="49"/>
    </row>
    <row r="741">
      <c r="G741" s="49"/>
    </row>
    <row r="742">
      <c r="G742" s="49"/>
    </row>
    <row r="743">
      <c r="G743" s="49"/>
    </row>
    <row r="744">
      <c r="G744" s="49"/>
    </row>
    <row r="745">
      <c r="G745" s="49"/>
    </row>
    <row r="746">
      <c r="G746" s="49"/>
    </row>
    <row r="747">
      <c r="G747" s="49"/>
    </row>
    <row r="748">
      <c r="G748" s="49"/>
    </row>
    <row r="749">
      <c r="G749" s="49"/>
    </row>
    <row r="750">
      <c r="G750" s="49"/>
    </row>
    <row r="751">
      <c r="G751" s="49"/>
    </row>
    <row r="752">
      <c r="G752" s="49"/>
    </row>
    <row r="753">
      <c r="G753" s="49"/>
    </row>
    <row r="754">
      <c r="G754" s="49"/>
    </row>
    <row r="755">
      <c r="G755" s="49"/>
    </row>
    <row r="756">
      <c r="G756" s="49"/>
    </row>
    <row r="757">
      <c r="G757" s="49"/>
    </row>
    <row r="758">
      <c r="G758" s="49"/>
    </row>
    <row r="759">
      <c r="G759" s="49"/>
    </row>
    <row r="760">
      <c r="G760" s="49"/>
    </row>
    <row r="761">
      <c r="G761" s="49"/>
    </row>
    <row r="762">
      <c r="G762" s="49"/>
    </row>
    <row r="763">
      <c r="G763" s="49"/>
    </row>
    <row r="764">
      <c r="G764" s="49"/>
    </row>
    <row r="765">
      <c r="G765" s="49"/>
    </row>
    <row r="766">
      <c r="G766" s="49"/>
    </row>
    <row r="767">
      <c r="G767" s="49"/>
    </row>
    <row r="768">
      <c r="G768" s="49"/>
    </row>
    <row r="769">
      <c r="G769" s="49"/>
    </row>
    <row r="770">
      <c r="G770" s="49"/>
    </row>
    <row r="771">
      <c r="G771" s="49"/>
    </row>
    <row r="772">
      <c r="G772" s="49"/>
    </row>
    <row r="773">
      <c r="G773" s="49"/>
    </row>
    <row r="774">
      <c r="G774" s="49"/>
    </row>
    <row r="775">
      <c r="G775" s="49"/>
    </row>
    <row r="776">
      <c r="G776" s="49"/>
    </row>
    <row r="777">
      <c r="G777" s="49"/>
    </row>
    <row r="778">
      <c r="G778" s="49"/>
    </row>
    <row r="779">
      <c r="G779" s="49"/>
    </row>
    <row r="780">
      <c r="G780" s="49"/>
    </row>
    <row r="781">
      <c r="G781" s="49"/>
    </row>
    <row r="782">
      <c r="G782" s="49"/>
    </row>
    <row r="783">
      <c r="G783" s="49"/>
    </row>
    <row r="784">
      <c r="G784" s="49"/>
    </row>
    <row r="785">
      <c r="G785" s="49"/>
    </row>
    <row r="786">
      <c r="G786" s="49"/>
    </row>
    <row r="787">
      <c r="G787" s="49"/>
    </row>
    <row r="788">
      <c r="G788" s="49"/>
    </row>
    <row r="789">
      <c r="G789" s="49"/>
    </row>
    <row r="790">
      <c r="G790" s="49"/>
    </row>
    <row r="791">
      <c r="G791" s="49"/>
    </row>
    <row r="792">
      <c r="G792" s="49"/>
    </row>
    <row r="793">
      <c r="G793" s="49"/>
    </row>
    <row r="794">
      <c r="G794" s="49"/>
    </row>
    <row r="795">
      <c r="G795" s="49"/>
    </row>
    <row r="796">
      <c r="G796" s="49"/>
    </row>
    <row r="797">
      <c r="G797" s="49"/>
    </row>
    <row r="798">
      <c r="G798" s="49"/>
    </row>
    <row r="799">
      <c r="G799" s="49"/>
    </row>
    <row r="800">
      <c r="G800" s="49"/>
    </row>
    <row r="801">
      <c r="G801" s="49"/>
    </row>
    <row r="802">
      <c r="G802" s="49"/>
    </row>
    <row r="803">
      <c r="G803" s="49"/>
    </row>
    <row r="804">
      <c r="G804" s="49"/>
    </row>
    <row r="805">
      <c r="G805" s="49"/>
    </row>
    <row r="806">
      <c r="G806" s="49"/>
    </row>
    <row r="807">
      <c r="G807" s="49"/>
    </row>
    <row r="808">
      <c r="G808" s="49"/>
    </row>
    <row r="809">
      <c r="G809" s="49"/>
    </row>
    <row r="810">
      <c r="G810" s="49"/>
    </row>
    <row r="811">
      <c r="G811" s="49"/>
    </row>
    <row r="812">
      <c r="G812" s="49"/>
    </row>
    <row r="813">
      <c r="G813" s="49"/>
    </row>
    <row r="814">
      <c r="G814" s="49"/>
    </row>
    <row r="815">
      <c r="G815" s="49"/>
    </row>
    <row r="816">
      <c r="G816" s="49"/>
    </row>
    <row r="817">
      <c r="G817" s="49"/>
    </row>
    <row r="818">
      <c r="G818" s="49"/>
    </row>
    <row r="819">
      <c r="G819" s="49"/>
    </row>
    <row r="820">
      <c r="G820" s="49"/>
    </row>
    <row r="821">
      <c r="G821" s="49"/>
    </row>
    <row r="822">
      <c r="G822" s="49"/>
    </row>
    <row r="823">
      <c r="G823" s="49"/>
    </row>
    <row r="824">
      <c r="G824" s="49"/>
    </row>
    <row r="825">
      <c r="G825" s="49"/>
    </row>
    <row r="826">
      <c r="G826" s="49"/>
    </row>
    <row r="827">
      <c r="G827" s="49"/>
    </row>
    <row r="828">
      <c r="G828" s="49"/>
    </row>
    <row r="829">
      <c r="G829" s="49"/>
    </row>
    <row r="830">
      <c r="G830" s="49"/>
    </row>
    <row r="831">
      <c r="G831" s="49"/>
    </row>
    <row r="832">
      <c r="G832" s="49"/>
    </row>
    <row r="833">
      <c r="G833" s="49"/>
    </row>
    <row r="834">
      <c r="G834" s="49"/>
    </row>
    <row r="835">
      <c r="G835" s="49"/>
    </row>
    <row r="836">
      <c r="G836" s="49"/>
    </row>
    <row r="837">
      <c r="G837" s="49"/>
    </row>
    <row r="838">
      <c r="G838" s="49"/>
    </row>
    <row r="839">
      <c r="G839" s="49"/>
    </row>
    <row r="840">
      <c r="G840" s="49"/>
    </row>
    <row r="841">
      <c r="G841" s="49"/>
    </row>
    <row r="842">
      <c r="G842" s="49"/>
    </row>
    <row r="843">
      <c r="G843" s="49"/>
    </row>
    <row r="844">
      <c r="G844" s="49"/>
    </row>
    <row r="845">
      <c r="G845" s="49"/>
    </row>
    <row r="846">
      <c r="G846" s="49"/>
    </row>
    <row r="847">
      <c r="G847" s="49"/>
    </row>
    <row r="848">
      <c r="G848" s="49"/>
    </row>
    <row r="849">
      <c r="G849" s="49"/>
    </row>
    <row r="850">
      <c r="G850" s="49"/>
    </row>
    <row r="851">
      <c r="G851" s="49"/>
    </row>
    <row r="852">
      <c r="G852" s="49"/>
    </row>
    <row r="853">
      <c r="G853" s="49"/>
    </row>
    <row r="854">
      <c r="G854" s="49"/>
    </row>
    <row r="855">
      <c r="G855" s="49"/>
    </row>
    <row r="856">
      <c r="G856" s="49"/>
    </row>
    <row r="857">
      <c r="G857" s="49"/>
    </row>
    <row r="858">
      <c r="G858" s="49"/>
    </row>
    <row r="859">
      <c r="G859" s="49"/>
    </row>
    <row r="860">
      <c r="G860" s="49"/>
    </row>
    <row r="861">
      <c r="G861" s="49"/>
    </row>
    <row r="862">
      <c r="G862" s="49"/>
    </row>
    <row r="863">
      <c r="G863" s="49"/>
    </row>
    <row r="864">
      <c r="G864" s="49"/>
    </row>
    <row r="865">
      <c r="G865" s="49"/>
    </row>
    <row r="866">
      <c r="G866" s="49"/>
    </row>
    <row r="867">
      <c r="G867" s="49"/>
    </row>
    <row r="868">
      <c r="G868" s="49"/>
    </row>
    <row r="869">
      <c r="G869" s="49"/>
    </row>
    <row r="870">
      <c r="G870" s="49"/>
    </row>
    <row r="871">
      <c r="G871" s="49"/>
    </row>
    <row r="872">
      <c r="G872" s="49"/>
    </row>
    <row r="873">
      <c r="G873" s="49"/>
    </row>
    <row r="874">
      <c r="G874" s="49"/>
    </row>
    <row r="875">
      <c r="G875" s="49"/>
    </row>
    <row r="876">
      <c r="G876" s="49"/>
    </row>
    <row r="877">
      <c r="G877" s="49"/>
    </row>
    <row r="878">
      <c r="G878" s="49"/>
    </row>
    <row r="879">
      <c r="G879" s="49"/>
    </row>
    <row r="880">
      <c r="G880" s="49"/>
    </row>
    <row r="881">
      <c r="G881" s="49"/>
    </row>
    <row r="882">
      <c r="G882" s="49"/>
    </row>
    <row r="883">
      <c r="G883" s="49"/>
    </row>
    <row r="884">
      <c r="G884" s="49"/>
    </row>
    <row r="885">
      <c r="G885" s="49"/>
    </row>
    <row r="886">
      <c r="G886" s="49"/>
    </row>
    <row r="887">
      <c r="G887" s="49"/>
    </row>
    <row r="888">
      <c r="G888" s="49"/>
    </row>
    <row r="889">
      <c r="G889" s="49"/>
    </row>
    <row r="890">
      <c r="G890" s="49"/>
    </row>
    <row r="891">
      <c r="G891" s="49"/>
    </row>
    <row r="892">
      <c r="G892" s="49"/>
    </row>
    <row r="893">
      <c r="G893" s="49"/>
    </row>
    <row r="894">
      <c r="G894" s="49"/>
    </row>
    <row r="895">
      <c r="G895" s="49"/>
    </row>
    <row r="896">
      <c r="G896" s="49"/>
    </row>
    <row r="897">
      <c r="G897" s="49"/>
    </row>
    <row r="898">
      <c r="G898" s="49"/>
    </row>
    <row r="899">
      <c r="G899" s="49"/>
    </row>
    <row r="900">
      <c r="G900" s="49"/>
    </row>
    <row r="901">
      <c r="G901" s="49"/>
    </row>
    <row r="902">
      <c r="G902" s="49"/>
    </row>
    <row r="903">
      <c r="G903" s="49"/>
    </row>
    <row r="904">
      <c r="G904" s="49"/>
    </row>
    <row r="905">
      <c r="G905" s="49"/>
    </row>
    <row r="906">
      <c r="G906" s="49"/>
    </row>
    <row r="907">
      <c r="G907" s="49"/>
    </row>
    <row r="908">
      <c r="G908" s="49"/>
    </row>
    <row r="909">
      <c r="G909" s="49"/>
    </row>
    <row r="910">
      <c r="G910" s="49"/>
    </row>
    <row r="911">
      <c r="G911" s="49"/>
    </row>
    <row r="912">
      <c r="G912" s="49"/>
    </row>
    <row r="913">
      <c r="G913" s="49"/>
    </row>
    <row r="914">
      <c r="G914" s="49"/>
    </row>
    <row r="915">
      <c r="G915" s="49"/>
    </row>
    <row r="916">
      <c r="G916" s="49"/>
    </row>
    <row r="917">
      <c r="G917" s="49"/>
    </row>
    <row r="918">
      <c r="G918" s="49"/>
    </row>
    <row r="919">
      <c r="G919" s="49"/>
    </row>
    <row r="920">
      <c r="G920" s="49"/>
    </row>
    <row r="921">
      <c r="G921" s="49"/>
    </row>
    <row r="922">
      <c r="G922" s="49"/>
    </row>
    <row r="923">
      <c r="G923" s="49"/>
    </row>
    <row r="924">
      <c r="G924" s="49"/>
    </row>
    <row r="925">
      <c r="G925" s="49"/>
    </row>
    <row r="926">
      <c r="G926" s="49"/>
    </row>
    <row r="927">
      <c r="G927" s="49"/>
    </row>
    <row r="928">
      <c r="G928" s="49"/>
    </row>
    <row r="929">
      <c r="G929" s="49"/>
    </row>
    <row r="930">
      <c r="G930" s="49"/>
    </row>
    <row r="931">
      <c r="G931" s="49"/>
    </row>
    <row r="932">
      <c r="G932" s="49"/>
    </row>
    <row r="933">
      <c r="G933" s="49"/>
    </row>
    <row r="934">
      <c r="G934" s="49"/>
    </row>
    <row r="935">
      <c r="G935" s="49"/>
    </row>
    <row r="936">
      <c r="G936" s="49"/>
    </row>
    <row r="937">
      <c r="G937" s="49"/>
    </row>
    <row r="938">
      <c r="G938" s="49"/>
    </row>
    <row r="939">
      <c r="G939" s="49"/>
    </row>
    <row r="940">
      <c r="G940" s="49"/>
    </row>
    <row r="941">
      <c r="G941" s="49"/>
    </row>
    <row r="942">
      <c r="G942" s="49"/>
    </row>
    <row r="943">
      <c r="G943" s="49"/>
    </row>
    <row r="944">
      <c r="G944" s="49"/>
    </row>
    <row r="945">
      <c r="G945" s="49"/>
    </row>
    <row r="946">
      <c r="G946" s="49"/>
    </row>
    <row r="947">
      <c r="G947" s="49"/>
    </row>
    <row r="948">
      <c r="G948" s="49"/>
    </row>
    <row r="949">
      <c r="G949" s="49"/>
    </row>
    <row r="950">
      <c r="G950" s="49"/>
    </row>
    <row r="951">
      <c r="G951" s="49"/>
    </row>
    <row r="952">
      <c r="G952" s="49"/>
    </row>
    <row r="953">
      <c r="G953" s="49"/>
    </row>
    <row r="954">
      <c r="G954" s="49"/>
    </row>
    <row r="955">
      <c r="G955" s="49"/>
    </row>
    <row r="956">
      <c r="G956" s="49"/>
    </row>
    <row r="957">
      <c r="G957" s="49"/>
    </row>
    <row r="958">
      <c r="G958" s="49"/>
    </row>
    <row r="959">
      <c r="G959" s="49"/>
    </row>
    <row r="960">
      <c r="G960" s="49"/>
    </row>
    <row r="961">
      <c r="G961" s="49"/>
    </row>
    <row r="962">
      <c r="G962" s="49"/>
    </row>
    <row r="963">
      <c r="G963" s="49"/>
    </row>
    <row r="964">
      <c r="G964" s="49"/>
    </row>
    <row r="965">
      <c r="G965" s="49"/>
    </row>
    <row r="966">
      <c r="G966" s="49"/>
    </row>
    <row r="967">
      <c r="G967" s="49"/>
    </row>
    <row r="968">
      <c r="G968" s="49"/>
    </row>
    <row r="969">
      <c r="G969" s="49"/>
    </row>
    <row r="970">
      <c r="G970" s="49"/>
    </row>
    <row r="971">
      <c r="G971" s="49"/>
    </row>
    <row r="972">
      <c r="G972" s="49"/>
    </row>
    <row r="973">
      <c r="G973" s="49"/>
    </row>
    <row r="974">
      <c r="G974" s="49"/>
    </row>
    <row r="975">
      <c r="G975" s="49"/>
    </row>
    <row r="976">
      <c r="G976" s="49"/>
    </row>
    <row r="977">
      <c r="G977" s="49"/>
    </row>
    <row r="978">
      <c r="G978" s="49"/>
    </row>
    <row r="979">
      <c r="G979" s="49"/>
    </row>
    <row r="980">
      <c r="G980" s="49"/>
    </row>
    <row r="981">
      <c r="G981" s="49"/>
    </row>
    <row r="982">
      <c r="G982" s="49"/>
    </row>
    <row r="983">
      <c r="G983" s="49"/>
    </row>
    <row r="984">
      <c r="G984" s="49"/>
    </row>
    <row r="985">
      <c r="G985" s="49"/>
    </row>
    <row r="986">
      <c r="G986" s="49"/>
    </row>
    <row r="987">
      <c r="G987" s="49"/>
    </row>
    <row r="988">
      <c r="G988" s="49"/>
    </row>
    <row r="989">
      <c r="G989" s="49"/>
    </row>
    <row r="990">
      <c r="G990" s="49"/>
    </row>
    <row r="991">
      <c r="G991" s="49"/>
    </row>
    <row r="992">
      <c r="G992" s="49"/>
    </row>
    <row r="993">
      <c r="G993" s="49"/>
    </row>
    <row r="994">
      <c r="G994" s="49"/>
    </row>
    <row r="995">
      <c r="G995" s="49"/>
    </row>
    <row r="996">
      <c r="G996" s="49"/>
    </row>
    <row r="997">
      <c r="G997" s="49"/>
    </row>
    <row r="998">
      <c r="G998" s="49"/>
    </row>
    <row r="999">
      <c r="G999" s="49"/>
    </row>
    <row r="1000">
      <c r="G1000" s="49"/>
    </row>
    <row r="1001">
      <c r="G1001" s="49"/>
    </row>
  </sheetData>
  <mergeCells count="1">
    <mergeCell ref="A32:G32"/>
  </mergeCells>
  <hyperlinks>
    <hyperlink r:id="rId1" location="c2" ref="G5"/>
    <hyperlink r:id="rId2" ref="G10"/>
    <hyperlink r:id="rId3" ref="G11"/>
    <hyperlink r:id="rId4" location=":~:text=UEP%20Certified%20established%20guidelines%20for,their%20farms%20to%20independent%20auditors." ref="G12"/>
    <hyperlink r:id="rId5" ref="G13"/>
    <hyperlink r:id="rId6" ref="G17"/>
    <hyperlink r:id="rId7" location="gid=289821833" ref="G19"/>
    <hyperlink r:id="rId8" ref="G20"/>
    <hyperlink r:id="rId9" location="heading=h.ujzm6p1i0pzg" ref="G23"/>
    <hyperlink r:id="rId10" location="bookmark=id.312v09ueelbp" ref="G24"/>
    <hyperlink r:id="rId11" ref="G34"/>
    <hyperlink r:id="rId12" ref="G35"/>
  </hyperlinks>
  <drawing r:id="rId13"/>
</worksheet>
</file>