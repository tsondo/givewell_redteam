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P model"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This is calculated as:
The fixed charity cost in year 1
The charity ongoing cost if the year is less than that stopping point if the charity is unsuccessful or equal to the number of years the charity is operating
The ongoing charity costs in expectation if the year is greater than the stopping point if the charity is unsuccessful and less than the year at which the charity stops operating</t>
      </text>
    </comment>
  </commentList>
</comments>
</file>

<file path=xl/sharedStrings.xml><?xml version="1.0" encoding="utf-8"?>
<sst xmlns="http://schemas.openxmlformats.org/spreadsheetml/2006/main" count="47" uniqueCount="47">
  <si>
    <t>Like FWI but in the Philippines</t>
  </si>
  <si>
    <t>Inputs</t>
  </si>
  <si>
    <t>Expected</t>
  </si>
  <si>
    <t>Description</t>
  </si>
  <si>
    <t>Fixed charity costs</t>
  </si>
  <si>
    <t>Fixed costs of starting the charity. $100k set up costs assumed.</t>
  </si>
  <si>
    <t>At scale charity costs</t>
  </si>
  <si>
    <t>Costs roughly based on 4 staff members plus additional inputs eg. water quality monitoring done by the org, potential trainings done by the org. Assumes scale reached by year 3.</t>
  </si>
  <si>
    <t>Cost increase per year when at scale proportional to impact</t>
  </si>
  <si>
    <t>Stopping point if unsuccessful</t>
  </si>
  <si>
    <t>Charity years operating</t>
  </si>
  <si>
    <t>Scale reached in year</t>
  </si>
  <si>
    <t>Number of farms in year when scale reached</t>
  </si>
  <si>
    <t>Additional number of farms gained per year</t>
  </si>
  <si>
    <t>Annual diminshing marginal returns</t>
  </si>
  <si>
    <t>Total number of fish farmed in the Philippines</t>
  </si>
  <si>
    <t>Discount rate</t>
  </si>
  <si>
    <t>Discount rate for future costs and benefits.</t>
  </si>
  <si>
    <t>Average number of fish per farm worked with in early years</t>
  </si>
  <si>
    <r>
      <rPr/>
      <t xml:space="preserve">Assume that this organization works with semi-intensive farms (as FWI does)
2,000-3,000 fish/ha in 1-10 ha ponds </t>
    </r>
    <r>
      <rPr>
        <color rgb="FF000000"/>
      </rPr>
      <t>(</t>
    </r>
    <r>
      <rPr>
        <color rgb="FF1155CC"/>
        <u/>
      </rPr>
      <t xml:space="preserve">Source: AquaDocs - Milkfish grow-out culture in ponds)
</t>
    </r>
    <r>
      <rPr/>
      <t>Assumes 70% survival rate (</t>
    </r>
    <r>
      <rPr>
        <color rgb="FF1155CC"/>
        <u/>
      </rPr>
      <t>Source: Open Philanthropy</t>
    </r>
    <r>
      <rPr/>
      <t>)</t>
    </r>
  </si>
  <si>
    <t>Lifespan of a fish</t>
  </si>
  <si>
    <r>
      <rPr/>
      <t>The most common fish farmed in the Philippines is the milkfish (</t>
    </r>
    <r>
      <rPr>
        <color rgb="FF1155CC"/>
        <u/>
      </rPr>
      <t>Source: Fishcount</t>
    </r>
    <r>
      <rPr/>
      <t xml:space="preserve">)
The average harvest age of a milkfish is 0.5 years </t>
    </r>
    <r>
      <rPr>
        <color rgb="FF000000"/>
      </rPr>
      <t>(</t>
    </r>
    <r>
      <rPr>
        <color rgb="FF1155CC"/>
        <u/>
      </rPr>
      <t>Source: Open Philanthropy</t>
    </r>
    <r>
      <rPr/>
      <t>)</t>
    </r>
  </si>
  <si>
    <t>Number of farms worked with per year at scale</t>
  </si>
  <si>
    <t>Assumed the same as FWI. Assumes scale reached by year 3.</t>
  </si>
  <si>
    <t>WPs affected from improving dissolved oxygen</t>
  </si>
  <si>
    <r>
      <rPr/>
      <t>Source: Old WP estimate from CE's 2019 report "</t>
    </r>
    <r>
      <rPr>
        <color rgb="FF1155CC"/>
        <u/>
      </rPr>
      <t>Improving environmental conditions</t>
    </r>
    <r>
      <rPr/>
      <t>"</t>
    </r>
  </si>
  <si>
    <t>Probability of sentience</t>
  </si>
  <si>
    <t>Probability of success</t>
  </si>
  <si>
    <t>Assuming the same probability of success as modeled in Shrimp Welfare CEA</t>
  </si>
  <si>
    <t>Total annual WPs affected</t>
  </si>
  <si>
    <t>Calculations</t>
  </si>
  <si>
    <t>Year</t>
  </si>
  <si>
    <t>Charity costs</t>
  </si>
  <si>
    <t>WPs affected</t>
  </si>
  <si>
    <t>TOTAL</t>
  </si>
  <si>
    <t>AVG</t>
  </si>
  <si>
    <t>Fish affected</t>
  </si>
  <si>
    <t>Note this is brute forced so formulas do not map onto years</t>
  </si>
  <si>
    <t>Outputs</t>
  </si>
  <si>
    <t>Charity – Discounted costs</t>
  </si>
  <si>
    <t>Discounted WPs affected</t>
  </si>
  <si>
    <t>Total discounted benefits minus charity costs</t>
  </si>
  <si>
    <t>Total WPs affected (if campaign is successful)</t>
  </si>
  <si>
    <t>Total WPs affected (expected)</t>
  </si>
  <si>
    <t>WPs/$ (Charity costs)</t>
  </si>
  <si>
    <t>Discounted fish affected</t>
  </si>
  <si>
    <t>Fish/$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</si>
</sst>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0.00"/>
  </numFmts>
  <fonts count="14">
    <font>
      <sz val="10.0"/>
      <color rgb="FF000000"/>
      <name val="Arial"/>
      <scheme val="minor"/>
    </font>
    <font>
      <b/>
      <color rgb="FFFFFFFF"/>
      <name val="Arial"/>
    </font>
    <font>
      <color theme="1"/>
      <name val="Arial"/>
    </font>
    <font>
      <color theme="1"/>
      <name val="Arial"/>
      <scheme val="minor"/>
    </font>
    <font>
      <b/>
      <color theme="1"/>
      <name val="Arial"/>
    </font>
    <font>
      <color rgb="FF000000"/>
      <name val="Arial"/>
    </font>
    <font>
      <color rgb="FF34A853"/>
      <name val="Arial"/>
    </font>
    <font>
      <i/>
      <sz val="9.0"/>
      <color theme="1"/>
      <name val="Arial"/>
    </font>
    <font>
      <color rgb="FFD9D9D9"/>
      <name val="Arial"/>
    </font>
    <font>
      <color rgb="FFD9D9D9"/>
      <name val="Arial"/>
      <scheme val="minor"/>
    </font>
    <font>
      <u/>
      <color rgb="FF0000FF"/>
    </font>
    <font>
      <color rgb="FF000000"/>
      <name val="Arial"/>
      <scheme val="minor"/>
    </font>
    <font>
      <b/>
      <color rgb="FF000000"/>
      <name val="Arial"/>
      <scheme val="minor"/>
    </font>
    <font>
      <color rgb="FFFF0000"/>
      <name val="Arial"/>
      <scheme val="minor"/>
    </font>
  </fonts>
  <fills count="8">
    <fill>
      <patternFill patternType="none"/>
    </fill>
    <fill>
      <patternFill patternType="lightGray"/>
    </fill>
    <fill>
      <patternFill patternType="solid">
        <fgColor rgb="FF0B5394"/>
        <bgColor rgb="FF0B5394"/>
      </patternFill>
    </fill>
    <fill>
      <patternFill patternType="solid">
        <fgColor rgb="FFFCE5CD"/>
        <bgColor rgb="FFFCE5CD"/>
      </patternFill>
    </fill>
    <fill>
      <patternFill patternType="solid">
        <fgColor rgb="FFFFFFFF"/>
        <bgColor rgb="FFFFFFFF"/>
      </patternFill>
    </fill>
    <fill>
      <patternFill patternType="solid">
        <fgColor rgb="FFF9CB9C"/>
        <bgColor rgb="FFF9CB9C"/>
      </patternFill>
    </fill>
    <fill>
      <patternFill patternType="solid">
        <fgColor theme="0"/>
        <bgColor theme="0"/>
      </patternFill>
    </fill>
    <fill>
      <patternFill patternType="solid">
        <fgColor rgb="FFC9DAF8"/>
        <bgColor rgb="FFC9DAF8"/>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2" numFmtId="0" xfId="0" applyAlignment="1" applyFont="1">
      <alignment vertical="bottom"/>
    </xf>
    <xf borderId="0" fillId="0" fontId="3" numFmtId="0" xfId="0" applyAlignment="1" applyFont="1">
      <alignment readingOrder="0"/>
    </xf>
    <xf borderId="0" fillId="0" fontId="3" numFmtId="9" xfId="0" applyAlignment="1" applyFont="1" applyNumberFormat="1">
      <alignment readingOrder="0"/>
    </xf>
    <xf borderId="0" fillId="0" fontId="3" numFmtId="4" xfId="0" applyAlignment="1" applyFont="1" applyNumberFormat="1">
      <alignment readingOrder="0"/>
    </xf>
    <xf borderId="0" fillId="2" fontId="1" numFmtId="0" xfId="0" applyAlignment="1" applyFont="1">
      <alignment shrinkToFit="0" vertical="bottom" wrapText="1"/>
    </xf>
    <xf borderId="0" fillId="2" fontId="3" numFmtId="0" xfId="0" applyFont="1"/>
    <xf borderId="0" fillId="0" fontId="2" numFmtId="0" xfId="0" applyAlignment="1" applyFont="1">
      <alignment vertical="bottom"/>
    </xf>
    <xf borderId="0" fillId="3" fontId="2" numFmtId="164" xfId="0" applyAlignment="1" applyFill="1" applyFont="1" applyNumberFormat="1">
      <alignment horizontal="right" readingOrder="0" vertical="bottom"/>
    </xf>
    <xf borderId="0" fillId="0" fontId="2" numFmtId="0" xfId="0" applyAlignment="1" applyFont="1">
      <alignment readingOrder="0" shrinkToFit="0" vertical="bottom" wrapText="0"/>
    </xf>
    <xf borderId="0" fillId="0" fontId="2" numFmtId="0" xfId="0" applyAlignment="1" applyFont="1">
      <alignment readingOrder="0" vertical="bottom"/>
    </xf>
    <xf borderId="0" fillId="4" fontId="4" numFmtId="0" xfId="0" applyAlignment="1" applyFill="1" applyFont="1">
      <alignment shrinkToFit="0" vertical="bottom" wrapText="0"/>
    </xf>
    <xf borderId="0" fillId="4" fontId="2" numFmtId="0" xfId="0" applyAlignment="1" applyFont="1">
      <alignment vertical="bottom"/>
    </xf>
    <xf borderId="0" fillId="3" fontId="2" numFmtId="9" xfId="0" applyAlignment="1" applyFont="1" applyNumberFormat="1">
      <alignment horizontal="right" readingOrder="0" vertical="bottom"/>
    </xf>
    <xf borderId="0" fillId="0" fontId="5" numFmtId="0" xfId="0" applyAlignment="1" applyFont="1">
      <alignment readingOrder="0" shrinkToFit="0" vertical="bottom" wrapText="0"/>
    </xf>
    <xf borderId="0" fillId="4" fontId="6" numFmtId="0" xfId="0" applyAlignment="1" applyFont="1">
      <alignment vertical="bottom"/>
    </xf>
    <xf borderId="0" fillId="3" fontId="2" numFmtId="0" xfId="0" applyAlignment="1" applyFont="1">
      <alignment horizontal="right" readingOrder="0" vertical="bottom"/>
    </xf>
    <xf borderId="0" fillId="3" fontId="3" numFmtId="0" xfId="0" applyAlignment="1" applyFont="1">
      <alignment readingOrder="0"/>
    </xf>
    <xf borderId="0" fillId="5" fontId="3" numFmtId="0" xfId="0" applyAlignment="1" applyFill="1" applyFont="1">
      <alignment readingOrder="0"/>
    </xf>
    <xf borderId="0" fillId="4" fontId="7" numFmtId="0" xfId="0" applyAlignment="1" applyFont="1">
      <alignment shrinkToFit="0" vertical="bottom" wrapText="0"/>
    </xf>
    <xf borderId="0" fillId="5" fontId="3" numFmtId="9" xfId="0" applyAlignment="1" applyFont="1" applyNumberFormat="1">
      <alignment readingOrder="0"/>
    </xf>
    <xf borderId="0" fillId="0" fontId="8" numFmtId="0" xfId="0" applyAlignment="1" applyFont="1">
      <alignment readingOrder="0" vertical="bottom"/>
    </xf>
    <xf borderId="0" fillId="6" fontId="9" numFmtId="3" xfId="0" applyAlignment="1" applyFill="1" applyFont="1" applyNumberFormat="1">
      <alignment readingOrder="0"/>
    </xf>
    <xf borderId="0" fillId="0" fontId="2" numFmtId="0" xfId="0" applyAlignment="1" applyFont="1">
      <alignment vertical="bottom"/>
    </xf>
    <xf borderId="0" fillId="3" fontId="3" numFmtId="9" xfId="0" applyAlignment="1" applyFont="1" applyNumberFormat="1">
      <alignment readingOrder="0"/>
    </xf>
    <xf borderId="0" fillId="3" fontId="3" numFmtId="4" xfId="0" applyAlignment="1" applyFont="1" applyNumberFormat="1">
      <alignment readingOrder="0"/>
    </xf>
    <xf borderId="0" fillId="0" fontId="10" numFmtId="0" xfId="0" applyAlignment="1" applyFont="1">
      <alignment readingOrder="0"/>
    </xf>
    <xf borderId="0" fillId="0" fontId="3" numFmtId="0" xfId="0" applyAlignment="1" applyFont="1">
      <alignment readingOrder="0"/>
    </xf>
    <xf borderId="0" fillId="5" fontId="3" numFmtId="4" xfId="0" applyAlignment="1" applyFont="1" applyNumberFormat="1">
      <alignment readingOrder="0"/>
    </xf>
    <xf borderId="0" fillId="5" fontId="3" numFmtId="10" xfId="0" applyAlignment="1" applyFont="1" applyNumberFormat="1">
      <alignment readingOrder="0"/>
    </xf>
    <xf borderId="0" fillId="0" fontId="3" numFmtId="0" xfId="0" applyAlignment="1" applyFont="1">
      <alignment readingOrder="0"/>
    </xf>
    <xf borderId="0" fillId="7" fontId="3" numFmtId="4" xfId="0" applyFill="1" applyFont="1" applyNumberFormat="1"/>
    <xf borderId="0" fillId="0" fontId="3" numFmtId="164" xfId="0" applyFont="1" applyNumberFormat="1"/>
    <xf borderId="0" fillId="0" fontId="11" numFmtId="164" xfId="0" applyFont="1" applyNumberFormat="1"/>
    <xf borderId="0" fillId="0" fontId="11" numFmtId="0" xfId="0" applyFont="1"/>
    <xf borderId="0" fillId="0" fontId="12" numFmtId="4" xfId="0" applyAlignment="1" applyFont="1" applyNumberFormat="1">
      <alignment horizontal="center" readingOrder="0"/>
    </xf>
    <xf borderId="0" fillId="0" fontId="5" numFmtId="4" xfId="0" applyAlignment="1" applyFont="1" applyNumberFormat="1">
      <alignment readingOrder="0" vertical="bottom"/>
    </xf>
    <xf borderId="0" fillId="0" fontId="11" numFmtId="4" xfId="0" applyAlignment="1" applyFont="1" applyNumberFormat="1">
      <alignment readingOrder="0"/>
    </xf>
    <xf borderId="0" fillId="0" fontId="13" numFmtId="0" xfId="0" applyAlignment="1" applyFont="1">
      <alignment readingOrder="0"/>
    </xf>
    <xf borderId="0" fillId="7" fontId="3" numFmtId="165" xfId="0" applyFont="1" applyNumberFormat="1"/>
    <xf borderId="0" fillId="0" fontId="3" numFmtId="165" xfId="0" applyFont="1" applyNumberFormat="1"/>
    <xf borderId="0" fillId="7" fontId="3" numFmtId="3" xfId="0" applyAlignment="1" applyFont="1" applyNumberFormat="1">
      <alignment readingOrder="0"/>
    </xf>
    <xf borderId="0" fillId="0" fontId="3" numFmtId="0" xfId="0" applyAlignment="1" applyFont="1">
      <alignment horizontal="right" readingOrder="0"/>
    </xf>
    <xf borderId="0" fillId="7" fontId="3" numFmtId="3" xfId="0" applyFont="1" applyNumberFormat="1"/>
    <xf borderId="0" fillId="0" fontId="3" numFmtId="0" xfId="0" applyFont="1"/>
    <xf borderId="0" fillId="0" fontId="4" numFmtId="0" xfId="0" applyAlignment="1" applyFont="1">
      <alignment readingOrder="0" vertical="bottom"/>
    </xf>
    <xf borderId="0" fillId="7" fontId="4" numFmtId="3" xfId="0" applyAlignment="1" applyFont="1" applyNumberFormat="1">
      <alignment horizontal="right" vertical="bottom"/>
    </xf>
    <xf borderId="0" fillId="7" fontId="4" numFmtId="4" xfId="0" applyAlignment="1" applyFont="1" applyNumberFormat="1">
      <alignment horizontal="right" vertical="bottom"/>
    </xf>
    <xf borderId="0" fillId="0" fontId="3"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quadocs.org/bitstream/handle/1834/34981/Sumagaysay-Chavoso2003-milkfish-grow-out-culture-in-ponds.pdf?sequence=1&amp;isAllowed=y" TargetMode="External"/><Relationship Id="rId3" Type="http://schemas.openxmlformats.org/officeDocument/2006/relationships/hyperlink" Target="http://fishcount.org.uk/studydatascreens2/2017/numbers-of-farmed-fish-B0-2017.php?countrysort=Philippines%2Fsort2" TargetMode="External"/><Relationship Id="rId4" Type="http://schemas.openxmlformats.org/officeDocument/2006/relationships/hyperlink" Target="https://3394c0c6-1f1a-4f86-a2db-df07ca1e24b2.filesusr.com/ugd/9475db_96f1c59412244f6da2e01ae716099b35.pdf"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 customWidth="1" min="2" max="2" width="15.88"/>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 r="A2" s="3" t="s">
        <v>0</v>
      </c>
      <c r="B2" s="4"/>
      <c r="D2" s="5"/>
      <c r="E2" s="5"/>
    </row>
    <row r="3">
      <c r="A3" s="6" t="s">
        <v>1</v>
      </c>
      <c r="B3" s="6" t="s">
        <v>2</v>
      </c>
      <c r="C3" s="6" t="s">
        <v>3</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row>
    <row r="4">
      <c r="A4" s="8" t="s">
        <v>4</v>
      </c>
      <c r="B4" s="9">
        <v>100000.0</v>
      </c>
      <c r="C4" s="10" t="s">
        <v>5</v>
      </c>
    </row>
    <row r="5">
      <c r="A5" s="11" t="s">
        <v>6</v>
      </c>
      <c r="B5" s="9">
        <v>400000.0</v>
      </c>
      <c r="C5" s="10" t="s">
        <v>7</v>
      </c>
      <c r="F5" s="12"/>
      <c r="G5" s="13"/>
    </row>
    <row r="6">
      <c r="A6" s="11" t="s">
        <v>8</v>
      </c>
      <c r="B6" s="14">
        <v>1.0</v>
      </c>
      <c r="C6" s="15"/>
      <c r="F6" s="16"/>
      <c r="G6" s="13"/>
    </row>
    <row r="7">
      <c r="A7" s="11" t="s">
        <v>9</v>
      </c>
      <c r="B7" s="17">
        <v>5.0</v>
      </c>
      <c r="C7" s="15"/>
      <c r="F7" s="16"/>
      <c r="G7" s="13"/>
    </row>
    <row r="8">
      <c r="A8" s="8" t="s">
        <v>10</v>
      </c>
      <c r="B8" s="17">
        <v>50.0</v>
      </c>
      <c r="C8" s="15"/>
      <c r="F8" s="16"/>
      <c r="G8" s="13"/>
    </row>
    <row r="9">
      <c r="A9" s="11" t="s">
        <v>11</v>
      </c>
      <c r="B9" s="17">
        <v>3.0</v>
      </c>
      <c r="C9" s="15"/>
      <c r="F9" s="16"/>
      <c r="G9" s="13"/>
    </row>
    <row r="10">
      <c r="A10" s="11" t="s">
        <v>12</v>
      </c>
      <c r="B10" s="18">
        <v>70.0</v>
      </c>
      <c r="C10" s="15"/>
      <c r="F10" s="16"/>
      <c r="G10" s="13"/>
    </row>
    <row r="11">
      <c r="A11" s="11" t="s">
        <v>13</v>
      </c>
      <c r="B11" s="19">
        <v>30.0</v>
      </c>
      <c r="C11" s="10"/>
      <c r="F11" s="20"/>
      <c r="G11" s="13"/>
    </row>
    <row r="12">
      <c r="A12" s="3" t="s">
        <v>14</v>
      </c>
      <c r="B12" s="21">
        <v>0.17</v>
      </c>
      <c r="C12" s="10"/>
      <c r="F12" s="20"/>
      <c r="G12" s="13"/>
    </row>
    <row r="13">
      <c r="A13" s="22" t="s">
        <v>15</v>
      </c>
      <c r="B13" s="23">
        <v>1.43031218E9</v>
      </c>
      <c r="C13" s="10"/>
      <c r="F13" s="20"/>
      <c r="G13" s="13"/>
    </row>
    <row r="14">
      <c r="A14" s="24" t="s">
        <v>16</v>
      </c>
      <c r="B14" s="25">
        <v>0.04</v>
      </c>
      <c r="C14" s="10" t="s">
        <v>17</v>
      </c>
      <c r="F14" s="20"/>
      <c r="G14" s="13"/>
    </row>
    <row r="15">
      <c r="A15" s="3" t="s">
        <v>18</v>
      </c>
      <c r="B15" s="26">
        <f>(AVERAGE(2000,3000)*AVERAGE(1,10))/0.7</f>
        <v>19642.85714</v>
      </c>
      <c r="C15" s="27" t="s">
        <v>19</v>
      </c>
    </row>
    <row r="16">
      <c r="A16" s="3" t="s">
        <v>20</v>
      </c>
      <c r="B16" s="26">
        <v>0.5</v>
      </c>
      <c r="C16" s="27" t="s">
        <v>21</v>
      </c>
    </row>
    <row r="17">
      <c r="A17" s="3" t="s">
        <v>22</v>
      </c>
      <c r="B17" s="26">
        <v>70.0</v>
      </c>
      <c r="C17" s="28" t="s">
        <v>23</v>
      </c>
    </row>
    <row r="18">
      <c r="A18" s="3" t="s">
        <v>24</v>
      </c>
      <c r="B18" s="29">
        <v>21.5</v>
      </c>
      <c r="C18" s="27" t="s">
        <v>25</v>
      </c>
    </row>
    <row r="19">
      <c r="A19" s="3" t="s">
        <v>26</v>
      </c>
      <c r="B19" s="30">
        <v>0.725</v>
      </c>
      <c r="C19" s="31"/>
    </row>
    <row r="20">
      <c r="A20" s="3" t="s">
        <v>27</v>
      </c>
      <c r="B20" s="30">
        <v>0.5</v>
      </c>
      <c r="C20" s="31" t="s">
        <v>28</v>
      </c>
    </row>
    <row r="21">
      <c r="A21" s="3" t="s">
        <v>29</v>
      </c>
      <c r="B21" s="32">
        <f>B15*B16*B17*B18*B19*B20</f>
        <v>5358203.125</v>
      </c>
      <c r="C21" s="3"/>
    </row>
    <row r="22">
      <c r="A22" s="3"/>
      <c r="B22" s="4"/>
      <c r="D22" s="5"/>
      <c r="E22" s="5"/>
    </row>
    <row r="23">
      <c r="A23" s="1" t="s">
        <v>30</v>
      </c>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row>
    <row r="24">
      <c r="A24" s="3" t="s">
        <v>31</v>
      </c>
      <c r="B24" s="3">
        <v>1.0</v>
      </c>
      <c r="C24" s="3">
        <v>2.0</v>
      </c>
      <c r="D24" s="3">
        <v>3.0</v>
      </c>
      <c r="E24" s="3">
        <v>4.0</v>
      </c>
      <c r="F24" s="3">
        <v>5.0</v>
      </c>
      <c r="G24" s="3">
        <v>6.0</v>
      </c>
      <c r="H24" s="3">
        <v>7.0</v>
      </c>
      <c r="I24" s="3">
        <v>8.0</v>
      </c>
      <c r="J24" s="3">
        <v>9.0</v>
      </c>
      <c r="K24" s="3">
        <v>10.0</v>
      </c>
      <c r="L24" s="3">
        <v>11.0</v>
      </c>
      <c r="M24" s="3">
        <v>12.0</v>
      </c>
      <c r="N24" s="3">
        <v>13.0</v>
      </c>
      <c r="O24" s="3">
        <v>14.0</v>
      </c>
      <c r="P24" s="3">
        <v>15.0</v>
      </c>
      <c r="Q24" s="3">
        <v>16.0</v>
      </c>
      <c r="R24" s="3">
        <v>17.0</v>
      </c>
      <c r="S24" s="3">
        <v>18.0</v>
      </c>
      <c r="T24" s="3">
        <v>19.0</v>
      </c>
      <c r="U24" s="3">
        <v>20.0</v>
      </c>
      <c r="V24" s="3">
        <v>21.0</v>
      </c>
      <c r="W24" s="3">
        <v>22.0</v>
      </c>
      <c r="X24" s="3">
        <v>23.0</v>
      </c>
      <c r="Y24" s="3">
        <v>24.0</v>
      </c>
      <c r="Z24" s="3">
        <v>25.0</v>
      </c>
      <c r="AA24" s="3">
        <v>26.0</v>
      </c>
      <c r="AB24" s="3">
        <v>27.0</v>
      </c>
      <c r="AC24" s="3">
        <v>28.0</v>
      </c>
      <c r="AD24" s="3">
        <v>29.0</v>
      </c>
      <c r="AE24" s="3">
        <v>30.0</v>
      </c>
      <c r="AF24" s="3">
        <v>31.0</v>
      </c>
      <c r="AG24" s="3">
        <v>32.0</v>
      </c>
      <c r="AH24" s="3">
        <v>33.0</v>
      </c>
      <c r="AI24" s="3">
        <v>34.0</v>
      </c>
      <c r="AJ24" s="3">
        <v>35.0</v>
      </c>
      <c r="AK24" s="3">
        <v>36.0</v>
      </c>
      <c r="AL24" s="3">
        <v>37.0</v>
      </c>
      <c r="AM24" s="3">
        <v>38.0</v>
      </c>
      <c r="AN24" s="3">
        <v>39.0</v>
      </c>
      <c r="AO24" s="3">
        <v>40.0</v>
      </c>
      <c r="AP24" s="3">
        <v>41.0</v>
      </c>
      <c r="AQ24" s="3">
        <v>42.0</v>
      </c>
      <c r="AR24" s="3">
        <v>43.0</v>
      </c>
      <c r="AS24" s="3">
        <v>44.0</v>
      </c>
      <c r="AT24" s="3">
        <v>45.0</v>
      </c>
      <c r="AU24" s="3">
        <v>46.0</v>
      </c>
      <c r="AV24" s="3">
        <v>47.0</v>
      </c>
      <c r="AW24" s="3">
        <v>48.0</v>
      </c>
      <c r="AX24" s="3">
        <v>49.0</v>
      </c>
      <c r="AY24" s="3">
        <v>50.0</v>
      </c>
      <c r="AZ24" s="3"/>
      <c r="BA24" s="3"/>
    </row>
    <row r="25">
      <c r="A25" s="11" t="s">
        <v>32</v>
      </c>
      <c r="B25" s="33">
        <f>$B$4</f>
        <v>100000</v>
      </c>
      <c r="C25" s="33">
        <f>AVERAGE(B4,B5)</f>
        <v>250000</v>
      </c>
      <c r="D25" s="33">
        <f t="shared" ref="D25:E25" si="1">$B$5</f>
        <v>400000</v>
      </c>
      <c r="E25" s="34">
        <f t="shared" si="1"/>
        <v>400000</v>
      </c>
      <c r="F25" s="34">
        <f t="shared" ref="F25:AY25" si="2">IF(F24&gt;$B7,$B20*$E25*F26/$E26,$E25*F26/$E26)</f>
        <v>571428.5714</v>
      </c>
      <c r="G25" s="34">
        <f t="shared" si="2"/>
        <v>356857.1429</v>
      </c>
      <c r="H25" s="34">
        <f t="shared" si="2"/>
        <v>415905.7143</v>
      </c>
      <c r="I25" s="34">
        <f t="shared" si="2"/>
        <v>464916.0286</v>
      </c>
      <c r="J25" s="34">
        <f t="shared" si="2"/>
        <v>505594.5894</v>
      </c>
      <c r="K25" s="34">
        <f t="shared" si="2"/>
        <v>539357.7949</v>
      </c>
      <c r="L25" s="34">
        <f t="shared" si="2"/>
        <v>567381.2555</v>
      </c>
      <c r="M25" s="34">
        <f t="shared" si="2"/>
        <v>590640.7278</v>
      </c>
      <c r="N25" s="34">
        <f t="shared" si="2"/>
        <v>609946.0898</v>
      </c>
      <c r="O25" s="34">
        <f t="shared" si="2"/>
        <v>625969.5402</v>
      </c>
      <c r="P25" s="34">
        <f t="shared" si="2"/>
        <v>639269.0041</v>
      </c>
      <c r="Q25" s="34">
        <f t="shared" si="2"/>
        <v>650307.5591</v>
      </c>
      <c r="R25" s="34">
        <f t="shared" si="2"/>
        <v>659469.5598</v>
      </c>
      <c r="S25" s="34">
        <f t="shared" si="2"/>
        <v>667074.0203</v>
      </c>
      <c r="T25" s="34">
        <f t="shared" si="2"/>
        <v>673385.7226</v>
      </c>
      <c r="U25" s="34">
        <f t="shared" si="2"/>
        <v>678624.4355</v>
      </c>
      <c r="V25" s="34">
        <f t="shared" si="2"/>
        <v>682972.5672</v>
      </c>
      <c r="W25" s="34">
        <f t="shared" si="2"/>
        <v>686581.5165</v>
      </c>
      <c r="X25" s="34">
        <f t="shared" si="2"/>
        <v>689576.9444</v>
      </c>
      <c r="Y25" s="34">
        <f t="shared" si="2"/>
        <v>692063.1495</v>
      </c>
      <c r="Z25" s="34">
        <f t="shared" si="2"/>
        <v>694126.6998</v>
      </c>
      <c r="AA25" s="34">
        <f t="shared" si="2"/>
        <v>695839.4466</v>
      </c>
      <c r="AB25" s="34">
        <f t="shared" si="2"/>
        <v>697261.0264</v>
      </c>
      <c r="AC25" s="34">
        <f t="shared" si="2"/>
        <v>698440.9376</v>
      </c>
      <c r="AD25" s="34">
        <f t="shared" si="2"/>
        <v>699420.2639</v>
      </c>
      <c r="AE25" s="34">
        <f t="shared" si="2"/>
        <v>700233.1048</v>
      </c>
      <c r="AF25" s="34">
        <f t="shared" si="2"/>
        <v>700907.7627</v>
      </c>
      <c r="AG25" s="34">
        <f t="shared" si="2"/>
        <v>701467.7287</v>
      </c>
      <c r="AH25" s="34">
        <f t="shared" si="2"/>
        <v>701932.5006</v>
      </c>
      <c r="AI25" s="34">
        <f t="shared" si="2"/>
        <v>702318.2612</v>
      </c>
      <c r="AJ25" s="34">
        <f t="shared" si="2"/>
        <v>702638.4425</v>
      </c>
      <c r="AK25" s="34">
        <f t="shared" si="2"/>
        <v>702904.193</v>
      </c>
      <c r="AL25" s="34">
        <f t="shared" si="2"/>
        <v>703124.7659</v>
      </c>
      <c r="AM25" s="34">
        <f t="shared" si="2"/>
        <v>703307.8414</v>
      </c>
      <c r="AN25" s="34">
        <f t="shared" si="2"/>
        <v>703459.7941</v>
      </c>
      <c r="AO25" s="34">
        <f t="shared" si="2"/>
        <v>703585.9148</v>
      </c>
      <c r="AP25" s="34">
        <f t="shared" si="2"/>
        <v>703690.595</v>
      </c>
      <c r="AQ25" s="34">
        <f t="shared" si="2"/>
        <v>703777.4796</v>
      </c>
      <c r="AR25" s="34">
        <f t="shared" si="2"/>
        <v>703849.5938</v>
      </c>
      <c r="AS25" s="34">
        <f t="shared" si="2"/>
        <v>703909.4485</v>
      </c>
      <c r="AT25" s="34">
        <f t="shared" si="2"/>
        <v>703959.128</v>
      </c>
      <c r="AU25" s="34">
        <f t="shared" si="2"/>
        <v>704000.3619</v>
      </c>
      <c r="AV25" s="34">
        <f t="shared" si="2"/>
        <v>704034.5861</v>
      </c>
      <c r="AW25" s="34">
        <f t="shared" si="2"/>
        <v>704062.9922</v>
      </c>
      <c r="AX25" s="34">
        <f t="shared" si="2"/>
        <v>704086.5692</v>
      </c>
      <c r="AY25" s="34">
        <f t="shared" si="2"/>
        <v>704106.1382</v>
      </c>
      <c r="AZ25" s="35"/>
      <c r="BA25" s="36"/>
    </row>
    <row r="26">
      <c r="A26" s="37" t="s">
        <v>33</v>
      </c>
      <c r="B26" s="38">
        <v>0.0</v>
      </c>
      <c r="C26" s="38">
        <v>0.0</v>
      </c>
      <c r="D26" s="38">
        <v>0.0</v>
      </c>
      <c r="E26" s="38">
        <f>$B$21</f>
        <v>5358203.125</v>
      </c>
      <c r="F26" s="38">
        <f t="shared" ref="F26:AY26" si="3">E26+($B21*$B11/$B10)*(1-$B12)^(F24-5)</f>
        <v>7654575.893</v>
      </c>
      <c r="G26" s="38">
        <f t="shared" si="3"/>
        <v>9560565.29</v>
      </c>
      <c r="H26" s="38">
        <f t="shared" si="3"/>
        <v>11142536.49</v>
      </c>
      <c r="I26" s="38">
        <f t="shared" si="3"/>
        <v>12455572.59</v>
      </c>
      <c r="J26" s="38">
        <f t="shared" si="3"/>
        <v>13545392.55</v>
      </c>
      <c r="K26" s="38">
        <f t="shared" si="3"/>
        <v>14449943.11</v>
      </c>
      <c r="L26" s="38">
        <f t="shared" si="3"/>
        <v>15200720.08</v>
      </c>
      <c r="M26" s="38">
        <f t="shared" si="3"/>
        <v>15823864.97</v>
      </c>
      <c r="N26" s="38">
        <f t="shared" si="3"/>
        <v>16341075.22</v>
      </c>
      <c r="O26" s="38">
        <f t="shared" si="3"/>
        <v>16770359.73</v>
      </c>
      <c r="P26" s="38">
        <f t="shared" si="3"/>
        <v>17126665.88</v>
      </c>
      <c r="Q26" s="38">
        <f t="shared" si="3"/>
        <v>17422399.98</v>
      </c>
      <c r="R26" s="38">
        <f t="shared" si="3"/>
        <v>17667859.28</v>
      </c>
      <c r="S26" s="38">
        <f t="shared" si="3"/>
        <v>17871590.5</v>
      </c>
      <c r="T26" s="38">
        <f t="shared" si="3"/>
        <v>18040687.42</v>
      </c>
      <c r="U26" s="38">
        <f t="shared" si="3"/>
        <v>18181037.85</v>
      </c>
      <c r="V26" s="38">
        <f t="shared" si="3"/>
        <v>18297528.72</v>
      </c>
      <c r="W26" s="38">
        <f t="shared" si="3"/>
        <v>18394216.14</v>
      </c>
      <c r="X26" s="38">
        <f t="shared" si="3"/>
        <v>18474466.69</v>
      </c>
      <c r="Y26" s="38">
        <f t="shared" si="3"/>
        <v>18541074.65</v>
      </c>
      <c r="Z26" s="38">
        <f t="shared" si="3"/>
        <v>18596359.26</v>
      </c>
      <c r="AA26" s="38">
        <f t="shared" si="3"/>
        <v>18642245.49</v>
      </c>
      <c r="AB26" s="38">
        <f t="shared" si="3"/>
        <v>18680331.05</v>
      </c>
      <c r="AC26" s="38">
        <f t="shared" si="3"/>
        <v>18711942.07</v>
      </c>
      <c r="AD26" s="38">
        <f t="shared" si="3"/>
        <v>18738179.22</v>
      </c>
      <c r="AE26" s="38">
        <f t="shared" si="3"/>
        <v>18759956.05</v>
      </c>
      <c r="AF26" s="38">
        <f t="shared" si="3"/>
        <v>18778030.82</v>
      </c>
      <c r="AG26" s="38">
        <f t="shared" si="3"/>
        <v>18793032.88</v>
      </c>
      <c r="AH26" s="38">
        <f t="shared" si="3"/>
        <v>18805484.59</v>
      </c>
      <c r="AI26" s="38">
        <f t="shared" si="3"/>
        <v>18815819.51</v>
      </c>
      <c r="AJ26" s="38">
        <f t="shared" si="3"/>
        <v>18824397.49</v>
      </c>
      <c r="AK26" s="38">
        <f t="shared" si="3"/>
        <v>18831517.22</v>
      </c>
      <c r="AL26" s="38">
        <f t="shared" si="3"/>
        <v>18837426.59</v>
      </c>
      <c r="AM26" s="38">
        <f t="shared" si="3"/>
        <v>18842331.37</v>
      </c>
      <c r="AN26" s="38">
        <f t="shared" si="3"/>
        <v>18846402.33</v>
      </c>
      <c r="AO26" s="38">
        <f t="shared" si="3"/>
        <v>18849781.24</v>
      </c>
      <c r="AP26" s="38">
        <f t="shared" si="3"/>
        <v>18852585.73</v>
      </c>
      <c r="AQ26" s="38">
        <f t="shared" si="3"/>
        <v>18854913.45</v>
      </c>
      <c r="AR26" s="38">
        <f t="shared" si="3"/>
        <v>18856845.46</v>
      </c>
      <c r="AS26" s="38">
        <f t="shared" si="3"/>
        <v>18858449.03</v>
      </c>
      <c r="AT26" s="38">
        <f t="shared" si="3"/>
        <v>18859780</v>
      </c>
      <c r="AU26" s="38">
        <f t="shared" si="3"/>
        <v>18860884.7</v>
      </c>
      <c r="AV26" s="38">
        <f t="shared" si="3"/>
        <v>18861801.6</v>
      </c>
      <c r="AW26" s="38">
        <f t="shared" si="3"/>
        <v>18862562.63</v>
      </c>
      <c r="AX26" s="38">
        <f t="shared" si="3"/>
        <v>18863194.28</v>
      </c>
      <c r="AY26" s="38">
        <f t="shared" si="3"/>
        <v>18863718.55</v>
      </c>
      <c r="AZ26" s="36" t="s">
        <v>34</v>
      </c>
      <c r="BA26" s="36" t="s">
        <v>35</v>
      </c>
    </row>
    <row r="27">
      <c r="A27" s="37" t="s">
        <v>36</v>
      </c>
      <c r="B27" s="38">
        <v>0.0</v>
      </c>
      <c r="C27" s="38">
        <v>0.0</v>
      </c>
      <c r="D27" s="38">
        <v>0.0</v>
      </c>
      <c r="E27" s="38">
        <f>B15*B17*B20</f>
        <v>687500</v>
      </c>
      <c r="F27" s="38">
        <f t="shared" ref="F27:AY27" si="4">E27+($B15*$B11/$B10)*(1-$B12)^(F24-5)</f>
        <v>695918.3673</v>
      </c>
      <c r="G27" s="38">
        <f t="shared" si="4"/>
        <v>702905.6122</v>
      </c>
      <c r="H27" s="38">
        <f t="shared" si="4"/>
        <v>708705.0255</v>
      </c>
      <c r="I27" s="38">
        <f t="shared" si="4"/>
        <v>713518.5385</v>
      </c>
      <c r="J27" s="38">
        <f t="shared" si="4"/>
        <v>717513.7543</v>
      </c>
      <c r="K27" s="38">
        <f t="shared" si="4"/>
        <v>720829.7834</v>
      </c>
      <c r="L27" s="38">
        <f t="shared" si="4"/>
        <v>723582.0876</v>
      </c>
      <c r="M27" s="38">
        <f t="shared" si="4"/>
        <v>725866.5001</v>
      </c>
      <c r="N27" s="38">
        <f t="shared" si="4"/>
        <v>727762.5624</v>
      </c>
      <c r="O27" s="38">
        <f t="shared" si="4"/>
        <v>729336.2941</v>
      </c>
      <c r="P27" s="38">
        <f t="shared" si="4"/>
        <v>730642.4915</v>
      </c>
      <c r="Q27" s="38">
        <f t="shared" si="4"/>
        <v>731726.6353</v>
      </c>
      <c r="R27" s="38">
        <f t="shared" si="4"/>
        <v>732626.4746</v>
      </c>
      <c r="S27" s="38">
        <f t="shared" si="4"/>
        <v>733373.3413</v>
      </c>
      <c r="T27" s="38">
        <f t="shared" si="4"/>
        <v>733993.2406</v>
      </c>
      <c r="U27" s="38">
        <f t="shared" si="4"/>
        <v>734507.7571</v>
      </c>
      <c r="V27" s="38">
        <f t="shared" si="4"/>
        <v>734934.8057</v>
      </c>
      <c r="W27" s="38">
        <f t="shared" si="4"/>
        <v>735289.2561</v>
      </c>
      <c r="X27" s="38">
        <f t="shared" si="4"/>
        <v>735583.4499</v>
      </c>
      <c r="Y27" s="38">
        <f t="shared" si="4"/>
        <v>735827.6308</v>
      </c>
      <c r="Z27" s="38">
        <f t="shared" si="4"/>
        <v>736030.3009</v>
      </c>
      <c r="AA27" s="38">
        <f t="shared" si="4"/>
        <v>736198.5171</v>
      </c>
      <c r="AB27" s="38">
        <f t="shared" si="4"/>
        <v>736338.1365</v>
      </c>
      <c r="AC27" s="38">
        <f t="shared" si="4"/>
        <v>736454.0207</v>
      </c>
      <c r="AD27" s="38">
        <f t="shared" si="4"/>
        <v>736550.2045</v>
      </c>
      <c r="AE27" s="38">
        <f t="shared" si="4"/>
        <v>736630.0371</v>
      </c>
      <c r="AF27" s="38">
        <f t="shared" si="4"/>
        <v>736696.2981</v>
      </c>
      <c r="AG27" s="38">
        <f t="shared" si="4"/>
        <v>736751.2948</v>
      </c>
      <c r="AH27" s="38">
        <f t="shared" si="4"/>
        <v>736796.942</v>
      </c>
      <c r="AI27" s="38">
        <f t="shared" si="4"/>
        <v>736834.8292</v>
      </c>
      <c r="AJ27" s="38">
        <f t="shared" si="4"/>
        <v>736866.2756</v>
      </c>
      <c r="AK27" s="38">
        <f t="shared" si="4"/>
        <v>736892.3761</v>
      </c>
      <c r="AL27" s="38">
        <f t="shared" si="4"/>
        <v>736914.0395</v>
      </c>
      <c r="AM27" s="38">
        <f t="shared" si="4"/>
        <v>736932.0201</v>
      </c>
      <c r="AN27" s="38">
        <f t="shared" si="4"/>
        <v>736946.9441</v>
      </c>
      <c r="AO27" s="38">
        <f t="shared" si="4"/>
        <v>736959.3309</v>
      </c>
      <c r="AP27" s="38">
        <f t="shared" si="4"/>
        <v>736969.612</v>
      </c>
      <c r="AQ27" s="38">
        <f t="shared" si="4"/>
        <v>736978.1453</v>
      </c>
      <c r="AR27" s="38">
        <f t="shared" si="4"/>
        <v>736985.228</v>
      </c>
      <c r="AS27" s="38">
        <f t="shared" si="4"/>
        <v>736991.1066</v>
      </c>
      <c r="AT27" s="38">
        <f t="shared" si="4"/>
        <v>736995.9858</v>
      </c>
      <c r="AU27" s="38">
        <f t="shared" si="4"/>
        <v>737000.0355</v>
      </c>
      <c r="AV27" s="38">
        <f t="shared" si="4"/>
        <v>737003.3969</v>
      </c>
      <c r="AW27" s="38">
        <f t="shared" si="4"/>
        <v>737006.1867</v>
      </c>
      <c r="AX27" s="38">
        <f t="shared" si="4"/>
        <v>737008.5023</v>
      </c>
      <c r="AY27" s="38">
        <f t="shared" si="4"/>
        <v>737010.4243</v>
      </c>
      <c r="AZ27" s="36">
        <f>SUM(B27:AY27)</f>
        <v>34348683.8</v>
      </c>
      <c r="BA27" s="36">
        <f>AVERAGE(B27:AY27)</f>
        <v>686973.676</v>
      </c>
    </row>
    <row r="28">
      <c r="A28" s="39" t="s">
        <v>37</v>
      </c>
    </row>
    <row r="29">
      <c r="A29" s="39"/>
    </row>
    <row r="30">
      <c r="A30" s="6" t="s">
        <v>38</v>
      </c>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row>
    <row r="31">
      <c r="A31" s="11" t="s">
        <v>39</v>
      </c>
      <c r="B31" s="40">
        <f t="array" ref="B31">NPV($B$14,25:25)</f>
        <v>12127863.44</v>
      </c>
      <c r="F31" s="41"/>
    </row>
    <row r="32">
      <c r="A32" s="11" t="s">
        <v>40</v>
      </c>
      <c r="B32" s="42">
        <f t="array" ref="B32">NPV($B$14,B26:AY26)</f>
        <v>295750705.6</v>
      </c>
      <c r="D32" s="43"/>
      <c r="F32" s="41"/>
    </row>
    <row r="33">
      <c r="A33" s="3" t="s">
        <v>41</v>
      </c>
      <c r="B33" s="44">
        <f>B32-B31</f>
        <v>283622842.2</v>
      </c>
      <c r="F33" s="41"/>
    </row>
    <row r="34">
      <c r="A34" s="45"/>
      <c r="B34" s="45"/>
    </row>
    <row r="35">
      <c r="A35" s="46" t="s">
        <v>42</v>
      </c>
      <c r="B35" s="47">
        <f>B32/B20</f>
        <v>591501411.2</v>
      </c>
      <c r="C35" s="8"/>
    </row>
    <row r="36">
      <c r="A36" s="46" t="s">
        <v>43</v>
      </c>
      <c r="B36" s="47">
        <f>B32</f>
        <v>295750705.6</v>
      </c>
    </row>
    <row r="37">
      <c r="A37" s="46" t="s">
        <v>44</v>
      </c>
      <c r="B37" s="48">
        <f>$B$32/B31</f>
        <v>24.38605177</v>
      </c>
    </row>
    <row r="39">
      <c r="A39" s="3" t="s">
        <v>45</v>
      </c>
      <c r="B39" s="42">
        <f t="array" ref="B39">NPV($B$14,27:27)</f>
        <v>18314641.01</v>
      </c>
    </row>
    <row r="40">
      <c r="A40" s="3" t="s">
        <v>46</v>
      </c>
      <c r="B40" s="49">
        <f>B39/B31</f>
        <v>1.510129225</v>
      </c>
    </row>
  </sheetData>
  <hyperlinks>
    <hyperlink r:id="rId2" location=":~:text=Stocking%20density%20for%20straight%20run,1%20to%2010%20ha%20ponds." ref="C15"/>
    <hyperlink r:id="rId3" ref="C16"/>
    <hyperlink r:id="rId4" ref="C18"/>
  </hyperlinks>
  <drawing r:id="rId5"/>
  <legacyDrawing r:id="rId6"/>
</worksheet>
</file>