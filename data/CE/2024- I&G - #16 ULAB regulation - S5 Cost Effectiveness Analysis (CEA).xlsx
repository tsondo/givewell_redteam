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model" sheetId="2" r:id="rId6"/>
    <sheet state="hidden" name=" Top Down - GBD" sheetId="3" r:id="rId7"/>
    <sheet state="hidden" name="Top Down - BLL" sheetId="4" r:id="rId8"/>
    <sheet state="visible" name="Overall GBD ULAB recycling" sheetId="5" r:id="rId9"/>
    <sheet state="hidden" name="Bottom Up" sheetId="6" r:id="rId10"/>
    <sheet state="hidden" name="OLD 2023 CEA" sheetId="7" r:id="rId11"/>
    <sheet state="visible" name="Median salaries" sheetId="8" r:id="rId12"/>
    <sheet state="visible" name="Countries" sheetId="9" r:id="rId13"/>
    <sheet state="visible" name="Data Other data tables" sheetId="10" r:id="rId14"/>
  </sheets>
  <definedNames>
    <definedName localSheetId="1" name="MigrantsAtScale">#REF!</definedName>
    <definedName localSheetId="6" name="DiscountRate">#REF!</definedName>
    <definedName localSheetId="6" name="ConsumptionDoublingsMigrant">#REF!</definedName>
    <definedName localSheetId="1" name="CostScale">#REF!</definedName>
    <definedName name="AudienceSize">#REF!</definedName>
    <definedName name="CostOfMigrating">#REF!</definedName>
    <definedName localSheetId="6" name="MigrantsAtScale">#REF!</definedName>
    <definedName localSheetId="6" name="TimePrep">#REF!</definedName>
    <definedName name="TotalDoublings">#REF!</definedName>
    <definedName localSheetId="6" name="TimeToScale">#REF!</definedName>
    <definedName localSheetId="6" name="TotalAirtimeCost">#REF!</definedName>
    <definedName localSheetId="6" name="CostOfMigrating">#REF!</definedName>
    <definedName name="TimeToFail">#REF!</definedName>
    <definedName localSheetId="1" name="ProbSuccess">'Main model'!$B$116</definedName>
    <definedName name="AnnualRiseInIncome">#REF!</definedName>
    <definedName name="CostY1">#REF!</definedName>
    <definedName name="TotalProductionCost">#REF!</definedName>
    <definedName localSheetId="1" name="CostY1">#REF!</definedName>
    <definedName localSheetId="1" name="TimeToScale">#REF!</definedName>
    <definedName localSheetId="6" name="TotalProductionCost">#REF!</definedName>
    <definedName localSheetId="6" name="ConsumptionIncreaseMigrant">#REF!</definedName>
    <definedName name="TimeToScale">#REF!</definedName>
    <definedName name="ConsumptionDoublingsMigrant">#REF!</definedName>
    <definedName name="Scale">#REF!</definedName>
    <definedName name="DiscountRate">#REF!</definedName>
    <definedName localSheetId="6" name="Year">#REF!</definedName>
    <definedName name="CampaignMonths">#REF!</definedName>
    <definedName name="CostScale">#REF!</definedName>
    <definedName localSheetId="1" name="NumberOfStations">#REF!</definedName>
    <definedName localSheetId="6" name="AudienceSize">#REF!</definedName>
    <definedName localSheetId="6" name="CostScale">#REF!</definedName>
    <definedName localSheetId="1" name="Scale">#REF!</definedName>
    <definedName localSheetId="1" name="ConsumptionIncreaseMigrant">#REF!</definedName>
    <definedName localSheetId="6" name="TimeToFail">'OLD 2023 CEA'!$B$12</definedName>
    <definedName localSheetId="6" name="TotalDALYs">#REF!</definedName>
    <definedName localSheetId="1" name="TotalAirtimeCost">#REF!</definedName>
    <definedName localSheetId="1" name="AudienceSize">#REF!</definedName>
    <definedName localSheetId="1" name="Year">#REF!</definedName>
    <definedName localSheetId="1" name="ConsumptionDoublingsMigrant">#REF!</definedName>
    <definedName localSheetId="1" name="TotalDALYs">#REF!</definedName>
    <definedName name="Year">#REF!</definedName>
    <definedName name="NumberOfStations">#REF!</definedName>
    <definedName localSheetId="6" name="ProbSuccess">'OLD 2023 CEA'!$B$11</definedName>
    <definedName localSheetId="6" name="ProbCounterfactual">#REF!</definedName>
    <definedName localSheetId="1" name="TimeToFail">'Main model'!$B$117</definedName>
    <definedName localSheetId="1" name="TotalProductionCost">#REF!</definedName>
    <definedName localSheetId="1" name="CampaignMonths">#REF!</definedName>
    <definedName localSheetId="1" name="AnnualRiseInIncome">#REF!</definedName>
    <definedName localSheetId="6" name="TotalDoublings">#REF!</definedName>
    <definedName name="ProbSuccess">#REF!</definedName>
    <definedName name="TotalAirtimeCost">#REF!</definedName>
    <definedName name="MigrantsAtScale">#REF!</definedName>
    <definedName localSheetId="6" name="NumberOfStations">#REF!</definedName>
    <definedName localSheetId="6" name="Scale">#REF!</definedName>
    <definedName localSheetId="1" name="TotalDoublings">#REF!</definedName>
    <definedName name="ConsumptionIncreaseMigrant">#REF!</definedName>
    <definedName localSheetId="1" name="CostOfMigrating">#REF!</definedName>
    <definedName name="TotalDALYs">#REF!</definedName>
    <definedName localSheetId="1" name="ProbCounterfactual">#REF!</definedName>
    <definedName localSheetId="6" name="AnnualRiseInIncome">#REF!</definedName>
    <definedName localSheetId="6" name="CostY1">#REF!</definedName>
    <definedName localSheetId="1" name="DiscountRate">#REF!</definedName>
    <definedName name="ProbCounterfactual">#REF!</definedName>
    <definedName name="TimePrep">#REF!</definedName>
    <definedName localSheetId="1" name="TimePrep">#REF!</definedName>
    <definedName localSheetId="6" name="CampaignMonths">#REF!</definedName>
    <definedName hidden="1" localSheetId="9" name="_xlnm._FilterDatabase">'Data Other data tables'!$AK$3:$AP$2121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Currently my view is that if you want to model multiple countries you should create a second tab with "country data" where all the data that varied between countries is kept and then have this box as a dropdown box and the relevant cells linked to this box.</t>
      </text>
    </comment>
    <comment authorId="0" ref="B38">
      <text>
        <t xml:space="preserve">Hello,  I am a friendly note to give guidance to the CEA author about what to put in these cells.  :-) </t>
      </text>
    </comment>
    <comment authorId="0" ref="B67">
      <text>
        <t xml:space="preserve">This is an example note. Read these when doing the CEA.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Currently my view is that if you want to model multiple countries you should create a second tab with "country data" where all the data that varied between countries is kept and then have this box as a dropdown box and the relevant cells linked to this box.</t>
      </text>
    </comment>
    <comment authorId="0" ref="A74">
      <text>
        <t xml:space="preserve">This corrects for likely parameter overestimation due to biases in the literature.</t>
      </text>
    </comment>
    <comment authorId="0" ref="A75">
      <text>
        <t xml:space="preserve">Use this to account for uncertainty associated with moving to a new environment and/or scaling up. It can be both positive and negative.</t>
      </text>
    </comment>
    <comment authorId="0" ref="A116">
      <text>
        <t xml:space="preserve">By success we mean likelihood that the charity is able to:
 • Demonstrate that it can deliver impact at a sufficient level in order to justify its continue running, and
 • Manage its operations and fundraising so as to continue to running</t>
      </text>
    </comment>
    <comment authorId="0" ref="A117">
      <text>
        <t xml:space="preserve">If a charity is not successful it may run for a few years eating up resources before deciding to shut down. This is the last full year the charity will run in the unsuccessful case.</t>
      </text>
    </comment>
    <comment authorId="0" ref="A118">
      <text>
        <t xml:space="preserve">If the charity fails before variable cost are spent (e.g. fails to form the necessary partnerships with the government) then this number should be 0%
If the charity after before variable cost are spent (e.g. medicines are distribute but they fail to cure the disease) then this number should be 100%
Or the number could be anywhere in between</t>
      </text>
    </comment>
    <comment authorId="0" ref="A121">
      <text>
        <t xml:space="preserve">[Suggest 0% for most direct charities. Suggest 1%-7% for most policy charities]
This is mostly for policy CEAs
There is some chance that the change would happened anyway even without the new charity being set up.
This is not to account for long-run trends, e.g. of mortality rate is gradually declining, but to account for acute changes, e.g.:
 • An existing international development actor delivers this intervention (with counterfactually clean funding).
 • A government implements a policy change change being for without the need for external advocated.
(Note: This is added to discount rate for &gt;effects&lt; to account for lower counterfactual effectiveness.)</t>
      </text>
    </comment>
    <comment authorId="0" ref="A122">
      <text>
        <t xml:space="preserve">This row does not really affect the CEA but it can be useful to see to help set the number in the box above on probability change happens any way</t>
      </text>
    </comment>
    <comment authorId="0" ref="A138">
      <text>
        <t xml:space="preserve">Period inclusive of this year</t>
      </text>
    </comment>
    <comment authorId="0" ref="A146">
      <text>
        <t xml:space="preserve">This formula assumes a linear increase in fixed costs during the scaling period. So costs increase at a steady rate each year.
The formula for this is complicated. The hidden rows above break it down it steps for anyone who wants to understand it.</t>
      </text>
    </comment>
    <comment authorId="0" ref="A164">
      <text>
        <t xml:space="preserve">Feel free to adjust this formula as you see fit. In particular
• If the variable costs go higher or lower in line with the DALY burden then minus the "DALY rate change over time"
• If the variable costs go higher or lower in line with the population size then minus the "impacted population growth rate"</t>
      </text>
    </comment>
    <comment authorId="0" ref="A169">
      <text>
        <t xml:space="preserve">What does year 0 mean and why measure from year 0.
• Year 0 is the year before the charity exists.
• If you think the charity will have some impact in year 1 and we assume a steady increase as the charity scales then we can model this fairly simply by putting 0 impact in year 0. This is just a way to say that impact starts increasing from year 1</t>
      </text>
    </comment>
    <comment authorId="0" ref="A170">
      <text>
        <t xml:space="preserve">If the row above is set to "0" then this box needs to be set to "0" too as the charity cannot have impact if it does not exist yet</t>
      </text>
    </comment>
    <comment authorId="0" ref="A178">
      <text>
        <t xml:space="preserve">This formula assumes a linear increase in fixed costs during the scaling period. So costs increase at a steady rate each year.</t>
      </text>
    </comment>
    <comment authorId="0" ref="A179">
      <text>
        <t xml:space="preserve">This formula assumes a linear increase in fixed costs during the scaling period. So costs increase at a steady rate each year.</t>
      </text>
    </comment>
    <comment authorId="0" ref="A180">
      <text>
        <t xml:space="preserve">This formula assumes a linear increase in fixed costs during the scaling period. So costs increase at a steady rate each year.</t>
      </text>
    </comment>
    <comment authorId="0" ref="A205">
      <text>
        <t xml:space="preserve">Mostly we ignore these costs but if you think they are substantial you are welcome to model this!</t>
      </text>
    </comment>
    <comment authorId="0" ref="A211">
      <text>
        <t xml:space="preserve">Mostly we ignore these costs but if you think they are substantial you are welcome to model this!</t>
      </text>
    </comment>
    <comment authorId="0" ref="A212">
      <text>
        <t xml:space="preserve">If savings to government etc then put a negative number.</t>
      </text>
    </comment>
    <comment authorId="0" ref="A213">
      <text>
        <t xml:space="preserve">If savings to government etc then put a negative number.</t>
      </text>
    </comment>
    <comment authorId="0" ref="A214">
      <text>
        <t xml:space="preserve">If savings to government etc then put a negative number.</t>
      </text>
    </comment>
    <comment authorId="0" ref="A223">
      <text>
        <t xml:space="preserve">You may want to check that you are using the correct effective discount rate here. 
Currently this uses the "Effective discount rate, for reach of costs over time" which is about variable costs as spent by the charity – but this might not be appropriate for the variable costs as spent by other actors.</t>
      </text>
    </comment>
    <comment authorId="0" ref="A227">
      <text>
        <t xml:space="preserve">If think this depends on the kind of cost then might want to add extra lines and adjust accordingly</t>
      </text>
    </comment>
    <comment authorId="0" ref="A233">
      <text>
        <t xml:space="preserve">Note there is a sign change here so if saved money then this positive and if cost money then this is negative</t>
      </text>
    </comment>
    <comment authorId="0" ref="AG266">
      <text>
        <t xml:space="preserve">Note that this is a different formula to the adjacent formulas to account for ongoing costs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This corrects for likely parameter overestimation due to biases in the literature.</t>
      </text>
    </comment>
    <comment authorId="0" ref="A11">
      <text>
        <t xml:space="preserve">Use this to account for uncertainty associated with moving to a new environment and/or scaling up. It can be both positive and negative.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This is added to discount rate for &gt;effects&lt; to account for lower counterfactual effectiveness</t>
      </text>
    </comment>
    <comment authorId="0" ref="A71">
      <text>
        <t xml:space="preserve">This corrects for likely parameter overestimation due to biases in the literature.</t>
      </text>
    </comment>
    <comment authorId="0" ref="A72">
      <text>
        <t xml:space="preserve">Use this to account for uncertainty associated with moving to a new environment and/or scaling up. It can be both positive and negative.</t>
      </text>
    </comment>
    <comment authorId="0" ref="A81">
      <text>
        <t xml:space="preserve">Notes: 
- Lives saved (YLL) are counted in the year they are saved
- Other health effects (e.g. DALYs, YLD) may be immediate (e.g. treating a snakebite) or spread over time (e.g. vaccination)
- Income effects are generally spread over a persons lifetime
- GDP effects can be "ongoing"</t>
      </text>
    </comment>
    <comment authorId="0" ref="A11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1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2">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3">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6">
      <text>
        <t xml:space="preserve">If you assume that each person reached has a value of 1 then you can calculate the Net Present Value (NPV) of all people reached.
This can then be used to calculate the NPV of both the variable costs ($) and the NPV of the impacts (e.g. DALYs).</t>
      </text>
    </comment>
    <comment authorId="0" ref="A127">
      <text>
        <t xml:space="preserve">If you assume that each person reached has a value of 1 then you can calculate the Net Present Value (NPV) of all people reached.
This can then be used to calculate the NPV of both the variable costs ($) and the NPV of the impacts (e.g. DALYs).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https://www.in2013dollars.com/us/inflation/2017?amount=1</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6">
      <text>
        <t xml:space="preserve">UN observer state – but releventlly independent for CE decision making</t>
      </text>
    </comment>
    <comment authorId="0" ref="B175">
      <text>
        <t xml:space="preserve">Not recognised by the UN – but relevantly independent for CE decision making</t>
      </text>
    </comment>
    <comment authorId="0" ref="B200">
      <text>
        <t xml:space="preserve">Not a country but treated as such for policy reasons in CE decision making so added to list here</t>
      </text>
    </comment>
  </commentList>
</comments>
</file>

<file path=xl/sharedStrings.xml><?xml version="1.0" encoding="utf-8"?>
<sst xmlns="http://schemas.openxmlformats.org/spreadsheetml/2006/main" count="13268" uniqueCount="4633">
  <si>
    <t>Welcome to our CEA...</t>
  </si>
  <si>
    <t>Introduction – what this is and what this is not</t>
  </si>
  <si>
    <r>
      <rPr>
        <b/>
      </rPr>
      <t>Our CEAs are primarily designed to support the AIM team to make decisions between ideas</t>
    </r>
    <r>
      <rPr/>
      <t xml:space="preserve">. This means we prioritise our CEAs being comparable
to each other. This is not always the same as prioritising accuracy. For example if one CEA goes into much more depth than others, that would be a bad
thing for our overall decision making. Also we use similar figures across CEAs justified on grounds of being the default figure to use across CEAs. You
might even spot some strange uses of units like "DALY equivalents" where monetary benefits are converted to health benefits or visa versa.
That said, </t>
    </r>
    <r>
      <rPr>
        <b/>
      </rPr>
      <t>there should not be errors or mistakes in our CEAs</t>
    </r>
    <r>
      <rPr/>
      <t xml:space="preserve">. These do occasionally crop up. If you do find an error or just want to challenge our
modelling assumptions we are open to feedback. Feel free to reach out to the us via the form at: </t>
    </r>
    <r>
      <rPr>
        <color rgb="FF1155CC"/>
        <u/>
      </rPr>
      <t>https://www.charityentrepreneurship.com/contact</t>
    </r>
  </si>
  <si>
    <t>Key to colours used in the CEA</t>
  </si>
  <si>
    <t>Input</t>
  </si>
  <si>
    <t>Subjective judgement</t>
  </si>
  <si>
    <t>Variable imported input from another tab/sheet (mostly used when data input varies based on country chosen)</t>
  </si>
  <si>
    <t>Calculation</t>
  </si>
  <si>
    <t>Guide to the tabs</t>
  </si>
  <si>
    <t>Tab name</t>
  </si>
  <si>
    <t>Description</t>
  </si>
  <si>
    <t>Main CEA</t>
  </si>
  <si>
    <t>The main tab of this CEA where most inputs live and calculations happen</t>
  </si>
  <si>
    <t>Country data</t>
  </si>
  <si>
    <t>Occasionally we want to model multiple countries at once. This tab contains the data that varies based on the country being modelled.</t>
  </si>
  <si>
    <t>Uncertainty</t>
  </si>
  <si>
    <t>Sometimes we want to model the uncertainty. This tab runs a simple Monte Carlo uncertainty moddelling script.</t>
  </si>
  <si>
    <t>Data: _____</t>
  </si>
  <si>
    <t>These tabs contain various data sets that may be used in modelling. They may or may not have been used in this CEA.</t>
  </si>
  <si>
    <t>Calc: _____</t>
  </si>
  <si>
    <t>Sometimes a CEA author will want to do some background data calculations in another tab so might add a tab like this</t>
  </si>
  <si>
    <t>Reading the CEA</t>
  </si>
  <si>
    <t>Researcher's best guess expected value estimate for the input at hand ↓</t>
  </si>
  <si>
    <t>The unit of measurement for the estimate ↓</t>
  </si>
  <si>
    <t>An explanation of our thinking in relation to the input ↓</t>
  </si>
  <si>
    <t>Link or links to the key sources data is taken from ↓</t>
  </si>
  <si>
    <t>◄</t>
  </si>
  <si>
    <r>
      <rPr>
        <rFont val="Arial"/>
        <color rgb="FFFF0000"/>
      </rPr>
      <t>Hidden columns may be used for uncertainty</t>
    </r>
    <r>
      <rPr>
        <rFont val="Arial"/>
        <color theme="1"/>
      </rPr>
      <t xml:space="preserve"> 
▶ </t>
    </r>
    <r>
      <rPr>
        <rFont val="Arial"/>
        <color rgb="FFFF0000"/>
      </rPr>
      <t>modelling ↓</t>
    </r>
  </si>
  <si>
    <t>Value</t>
  </si>
  <si>
    <t>Units</t>
  </si>
  <si>
    <t>Source</t>
  </si>
  <si>
    <t>Reviewer notes</t>
  </si>
  <si>
    <t>Replies</t>
  </si>
  <si>
    <t>→</t>
  </si>
  <si>
    <t>← Hidden optional uncertinaty modelling</t>
  </si>
  <si>
    <t>Description of intervention</t>
  </si>
  <si>
    <t>[Fill out description here]</t>
  </si>
  <si>
    <t>← We normally begin with a description of the intervention</t>
  </si>
  <si>
    <t>Geographic focus:</t>
  </si>
  <si>
    <t>[country / region]</t>
  </si>
  <si>
    <t>← If this cell is highlighted orange you can use it as a dropdown to decide what country you want to see the results for</t>
  </si>
  <si>
    <t>Beneficiary – this CEA models the costs effect and reach per:</t>
  </si>
  <si>
    <t>[person]</t>
  </si>
  <si>
    <t>Impact – this CEA models the impact in terms of:</t>
  </si>
  <si>
    <t>[DALY]</t>
  </si>
  <si>
    <t>← The CEA will normally measure impact in the amount of this per $, in this example it would be [DALY]/$</t>
  </si>
  <si>
    <t>Costs of intervention</t>
  </si>
  <si>
    <t>← The CEA is modular and broken down into sections for easy reading and to allow comparison between different CEAs</t>
  </si>
  <si>
    <t>1. FIXED COSTS</t>
  </si>
  <si>
    <t>← Each section is comprised of various sub-sections like this</t>
  </si>
  <si>
    <t>[Subheading]</t>
  </si>
  <si>
    <r>
      <rPr>
        <rFont val="Arial"/>
        <color theme="1"/>
      </rPr>
      <t xml:space="preserve">Fixed costs in [first] year </t>
    </r>
    <r>
      <rPr>
        <rFont val="Arial"/>
        <color rgb="FF999999"/>
      </rPr>
      <t>[Suggest: $130,000]</t>
    </r>
  </si>
  <si>
    <t>$</t>
  </si>
  <si>
    <r>
      <rPr>
        <rFont val="Arial"/>
        <color rgb="FFFF0000"/>
      </rPr>
      <t xml:space="preserve">← Some cells have notes like this </t>
    </r>
    <r>
      <rPr>
        <rFont val="Arial"/>
        <color rgb="FF000000"/>
      </rPr>
      <t>◥</t>
    </r>
    <r>
      <rPr>
        <rFont val="Arial"/>
        <color rgb="FFFF0000"/>
      </rPr>
      <t>. They were to help the CEA authors, mostly you can ignore them</t>
    </r>
  </si>
  <si>
    <r>
      <rPr>
        <rFont val="Arial"/>
        <color theme="1"/>
      </rPr>
      <t xml:space="preserve">Ongoing annual fixed costs when at scale </t>
    </r>
    <r>
      <rPr>
        <rFont val="Arial"/>
        <color rgb="FF999999"/>
      </rPr>
      <t>[Suggest: $280,000]</t>
    </r>
  </si>
  <si>
    <r>
      <rPr>
        <rFont val="Arial"/>
        <color theme="1"/>
      </rPr>
      <t xml:space="preserve">Additional upfront fixed costs before reaching scale </t>
    </r>
    <r>
      <rPr>
        <rFont val="Arial"/>
        <color rgb="FF999999"/>
      </rPr>
      <t>[Normally: $0]</t>
    </r>
  </si>
  <si>
    <t>TOTAL CHARITY COSTS WHEN AT SCALE</t>
  </si>
  <si>
    <t>← Sections end with a subsection in bold that calculates the results of that section</t>
  </si>
  <si>
    <t>Total fixed costs when at scale</t>
  </si>
  <si>
    <t>Effects per [beneficiary]</t>
  </si>
  <si>
    <t>Reach of intervention</t>
  </si>
  <si>
    <t>Tractability &amp; counterfactuals</t>
  </si>
  <si>
    <t>Timing to scale and discounting</t>
  </si>
  <si>
    <t>← In this section the CEA author defines the discount rates, the changing effects over time, And the time taken to scale up the costs and the impact.</t>
  </si>
  <si>
    <t>The actual calculations are hard to follow so are often hidden, but they should all be replicated in a more transparent easy to follow way in the timeline check below</t>
  </si>
  <si>
    <t>Results</t>
  </si>
  <si>
    <t>Timeline check</t>
  </si>
  <si>
    <t>← The timeline shows the cost and the impact each year. It does the same calculations as the "Timing to scale and discounting" section</t>
  </si>
  <si>
    <t>** Result 4 – cost effectiveness FINAL RESULT **</t>
  </si>
  <si>
    <t>← We have a range of different results. This helps support decision making (we can manage multiple numbers) and allow us to understand and compare our models</t>
  </si>
  <si>
    <t>R4: Cost effectiveness per year ($/Impact)</t>
  </si>
  <si>
    <t>$/[DALY]</t>
  </si>
  <si>
    <t>R4: Cost effectiveness per year (Impact/$1000)</t>
  </si>
  <si>
    <t>[DALY]/$1000</t>
  </si>
  <si>
    <t>← These R4 cost effectiveness figures are the key results to look at. Look out for numbers less than 100 $/DALY or more than 10 DALY/$1000 or equivalent.</t>
  </si>
  <si>
    <t>Advice to researchers on filling out this CEA</t>
  </si>
  <si>
    <t>• Please check out the various notes and tips as you work through the CEA they look like little black arrows like on this box.</t>
  </si>
  <si>
    <t>Example CEA</t>
  </si>
  <si>
    <t>This is a policy/advocacy intervention that targets ULAB recycling in Thailand and scaling to two other similar countries. The goal would be the push some of the informal recycling market share into the formal recycling sector. We are moddeling some general policy improvements here, based on an estimate of the effect of BLL.</t>
  </si>
  <si>
    <t>Thailand</t>
  </si>
  <si>
    <t>country</t>
  </si>
  <si>
    <t>DALY equivelents</t>
  </si>
  <si>
    <t xml:space="preserve">Fixed costs in first year </t>
  </si>
  <si>
    <t>Estimate (from Joey) for 90% confidence interval for CE seed grant is $100k to $190k</t>
  </si>
  <si>
    <t>Ongoing annual fixed costs when at scale - base</t>
  </si>
  <si>
    <t>Based on estimate from Joey</t>
  </si>
  <si>
    <t>Total ongoing annual fixed costs when at scale</t>
  </si>
  <si>
    <t>2. VARIABLE CHARITY COSTS</t>
  </si>
  <si>
    <t>Policy costs</t>
  </si>
  <si>
    <t>Policy costs: We use $50,000 + 5 * median local salary</t>
  </si>
  <si>
    <t>Cost per additional country</t>
  </si>
  <si>
    <t>$/country</t>
  </si>
  <si>
    <t>Total costs when at scale</t>
  </si>
  <si>
    <t>For display; not actually used in any formula</t>
  </si>
  <si>
    <t>Key assumptions / data</t>
  </si>
  <si>
    <r>
      <rPr>
        <rFont val="Arial"/>
        <color theme="1"/>
      </rPr>
      <t xml:space="preserve">One year of doubled consumption to DALYs </t>
    </r>
    <r>
      <rPr>
        <rFont val="Arial"/>
        <color rgb="FF999999"/>
      </rPr>
      <t>[fixed]</t>
    </r>
  </si>
  <si>
    <t>ratio</t>
  </si>
  <si>
    <t>Discount rate for health impacts</t>
  </si>
  <si>
    <t>% discounted</t>
  </si>
  <si>
    <t>Discount rate for consumption impacts</t>
  </si>
  <si>
    <t>Population per country</t>
  </si>
  <si>
    <t>people</t>
  </si>
  <si>
    <t>https://ourworldindata.org/grapher/population?time=latest&amp;country=~THA&amp;focus=~THA</t>
  </si>
  <si>
    <r>
      <rPr>
        <rFont val="Arial"/>
        <color theme="1"/>
      </rPr>
      <t xml:space="preserve">Births per country </t>
    </r>
    <r>
      <rPr>
        <rFont val="Arial"/>
        <color theme="1"/>
      </rPr>
      <t>per year</t>
    </r>
  </si>
  <si>
    <t>births</t>
  </si>
  <si>
    <t>https://ourworldindata.org/grapher/crude-birth-rate</t>
  </si>
  <si>
    <t>Reduction in BLLs due to the intervention</t>
  </si>
  <si>
    <t>Percentage of burden attributable to informal ULAB recycling</t>
  </si>
  <si>
    <t>Directly due to ULAB recycling</t>
  </si>
  <si>
    <t>%</t>
  </si>
  <si>
    <t>Best guess based on tab on 'overall GBD ULAB recycling' and upcoming paper from Forsyth which states that ULABs are responsible for 30% of lead poisoning in Dhaka, Bangladesh. Bret Ericson thought it is somewhere around 10%, Hugo thought 20%.</t>
  </si>
  <si>
    <t>Total burden attributable to cookware</t>
  </si>
  <si>
    <t>Best guess</t>
  </si>
  <si>
    <t>% of cookware contamination resulting from ULAB recycling.</t>
  </si>
  <si>
    <t xml:space="preserve">Intuition. Some experts told us that in Mexico, both formal and informal recyclers sell lead (dust) to artisinal cookware makers. </t>
  </si>
  <si>
    <t>Additional contamination via grown crops near ULAB recycling plants/informal recyclers</t>
  </si>
  <si>
    <r>
      <rPr>
        <rFont val="Arial"/>
      </rPr>
      <t xml:space="preserve">One route is contamination via vegetables, see paper: </t>
    </r>
    <r>
      <rPr>
        <rFont val="Arial"/>
        <color rgb="FF1155CC"/>
        <u/>
      </rPr>
      <t>https://www.sciencedirect.com/science/article/abs/pii/S0013935123012215</t>
    </r>
    <r>
      <rPr>
        <rFont val="Arial"/>
      </rPr>
      <t xml:space="preserve"> </t>
    </r>
  </si>
  <si>
    <t>Percentage attributable to formal and informal ULAB recycling</t>
  </si>
  <si>
    <t>Decrease in burden when substantial regulations are implemented</t>
  </si>
  <si>
    <t>Estimating the effect of the policies in Brazil</t>
  </si>
  <si>
    <t>We base our calculation on the effect estimated for Brazil</t>
  </si>
  <si>
    <t>Burden due to informal recycling in Brazil before improved regulation</t>
  </si>
  <si>
    <t>Estimate, based on assuming that the formal sector emits 5x less lead (per battery) than the informal sector, which seems plausible (see Table 1 in the report)</t>
  </si>
  <si>
    <t>Size of informal sector in Brazil before improved regulation</t>
  </si>
  <si>
    <t>Carlos Zaim mentioned 40-45% , other sources claim  'the majority', so i went for 45%. Also, the blogpost mention some rough numbers, but that must have come from Carlos as well- https://leadbatteries.substack.com/p/how-brazil-solved-its-lead-acid-battery</t>
  </si>
  <si>
    <t>Size of informal sector in Brazil after regulation</t>
  </si>
  <si>
    <t>IBER has 75% of market in 2022, could expect this to have increased</t>
  </si>
  <si>
    <t>Decrease of size of informal recycling due to regulations</t>
  </si>
  <si>
    <t>Mark stevenson made a judgementcall, that a decrease of 50% would happen if taxes are cut in India Hugo: This number should be at least 50%. Best info he got on this was a quote: "most was informal before", Now 75% of the battery recycling is going via IBER. Also, Pure Earth states about 80%, see here: https://www.google.com/url?q=https://e360.yale.edu/features/getting-the-lead-out-why-battery-recycling-is-a-global-health-hazard%23:~:text%3DFuller%2520at%2520Pure%2520Earth%2520says,%252C%25E2%2580%259D%2520mainly%2520through%2520economic%2520incentives&amp;sa=D&amp;source=editors&amp;ust=1733491202096199&amp;usg=AOvVaw0aomdHgPlN28-Xc1QU9qWz</t>
  </si>
  <si>
    <t>Decrease of total ULAB burden due to regulations</t>
  </si>
  <si>
    <t>Discounts for moving to a new context</t>
  </si>
  <si>
    <t>Improved policies not as effective as in Brazil, e.g. different response as there are different incentives, unknown</t>
  </si>
  <si>
    <r>
      <rPr>
        <rFont val="Arial"/>
        <color theme="1"/>
      </rPr>
      <t xml:space="preserve">% </t>
    </r>
    <r>
      <rPr>
        <rFont val="Arial"/>
        <color theme="1"/>
      </rPr>
      <t>reduction</t>
    </r>
  </si>
  <si>
    <t>Intuition, there might be many reasons to think that the policy is not as effective. We err on the side that things worked out quite well for Brazil, e.g. because only some of the policies may be implemented</t>
  </si>
  <si>
    <t>Enforcement is not as good as in Brazil</t>
  </si>
  <si>
    <r>
      <rPr>
        <rFont val="Arial"/>
        <color theme="1"/>
      </rPr>
      <t xml:space="preserve">% </t>
    </r>
    <r>
      <rPr>
        <rFont val="Arial"/>
        <color theme="1"/>
      </rPr>
      <t>reduction</t>
    </r>
  </si>
  <si>
    <t>It seems like with IBER, things worked out very well in Brazil. This might not work out up to such an extent in Thailand</t>
  </si>
  <si>
    <t>When informal recyclers are gone, site may still be contaminated (until cleaned)</t>
  </si>
  <si>
    <r>
      <rPr>
        <rFont val="Arial"/>
        <color theme="1"/>
      </rPr>
      <t xml:space="preserve">% </t>
    </r>
    <r>
      <rPr>
        <rFont val="Arial"/>
        <color theme="1"/>
      </rPr>
      <t>reduction</t>
    </r>
  </si>
  <si>
    <t>Impact comes from informal recyclers not relocating and no new informal recyclers starting. Carlos explained that as part of the Brazil legislation, one needs to clean up the plot before it can be used. Therefore, this is much a smaller problem. Updated the discount from 70% to 40%, as i expect this legislation not to be watertight, and potentially now viable to introduce in other countries.</t>
  </si>
  <si>
    <t>Decrease of total ULAB burden of a country when policies are improved substantially</t>
  </si>
  <si>
    <t>Overall effect</t>
  </si>
  <si>
    <t>Reduction in burden if substantial regulations are implemented</t>
  </si>
  <si>
    <t>% reduction</t>
  </si>
  <si>
    <t>Health effect (CVD and kidney disease)</t>
  </si>
  <si>
    <t>DALY burden (GBD)</t>
  </si>
  <si>
    <t>Total health burden in DALYs due to lead exposure (in 2021) in the country</t>
  </si>
  <si>
    <r>
      <rPr>
        <rFont val="Arial"/>
        <color theme="1"/>
      </rPr>
      <t>DALY</t>
    </r>
    <r>
      <rPr>
        <rFont val="Arial"/>
        <color theme="1"/>
      </rPr>
      <t>/year</t>
    </r>
  </si>
  <si>
    <t>Health burden of lead exposure in Thailand. Note that this only considers cardiovascular diseases and kidney diseases.</t>
  </si>
  <si>
    <t>https://vizhub.healthdata.org/gbd-results?params=gbd-api-2021-permalink/f35471a2acd6ed1a409c70b34c920728</t>
  </si>
  <si>
    <t xml:space="preserve">Total DALY burden lead exposure due to ULAB recycling </t>
  </si>
  <si>
    <r>
      <rPr>
        <rFont val="Arial"/>
        <color rgb="FF999999"/>
      </rPr>
      <t>DALY</t>
    </r>
    <r>
      <rPr>
        <rFont val="Arial"/>
        <color rgb="FF999999"/>
      </rPr>
      <t>/year</t>
    </r>
  </si>
  <si>
    <t>Not used</t>
  </si>
  <si>
    <t>Percentage of health burden that is locked in, in the year the intervention is rolled out</t>
  </si>
  <si>
    <t>Lead accumulates in the body and causes damage to organs over time. Therefore, even when a source of exposure is removed, some of its health effects will persist (or be "locked in"). We expect that some percentage of the health benefits will materialize relatively quickly but some only be seen in a future generation. We have not been able to research this point in depth but, based on a conversation with ChatGPT, we roughly expect the locked-in portion of the health effects to be around 50%.</t>
  </si>
  <si>
    <t>Total DALY reduction due to the intervention, per country per year</t>
  </si>
  <si>
    <r>
      <rPr>
        <rFont val="Arial"/>
        <b/>
        <color theme="1"/>
      </rPr>
      <t>DALY</t>
    </r>
    <r>
      <rPr>
        <rFont val="Arial"/>
        <b/>
        <color theme="1"/>
      </rPr>
      <t>/year</t>
    </r>
  </si>
  <si>
    <t>Effect in year 1</t>
  </si>
  <si>
    <t>Growth of effect over time</t>
  </si>
  <si>
    <t>We expect the health effect to grow over time, as sketched out in this section. However, for simplicity, this assumption is not integrated into the model.</t>
  </si>
  <si>
    <t>Effect size in the year the intervention is rolled out</t>
  </si>
  <si>
    <t>Effect size once lock-in burden disappears</t>
  </si>
  <si>
    <t>Number of years until locked-in effects disappear</t>
  </si>
  <si>
    <t>years</t>
  </si>
  <si>
    <t>We estimate that the effect size will linearly increase over the scope of 20 years.</t>
  </si>
  <si>
    <t>Cognitive and economic effects</t>
  </si>
  <si>
    <t>BLL in Country</t>
  </si>
  <si>
    <t>µg/dL</t>
  </si>
  <si>
    <t>This is 2019, assuming nothing has changed. Note that Brazil was only 2.19 at the time.</t>
  </si>
  <si>
    <t>https://ourworldindata.org/grapher/lead-concentrations-blood-children?tab=table</t>
  </si>
  <si>
    <t>Reduction in BLL thanks to policies introduced</t>
  </si>
  <si>
    <t>% change</t>
  </si>
  <si>
    <t>Assumed to be the same as the burden reduction</t>
  </si>
  <si>
    <t>Intermediate effect size - reduction in BLL</t>
  </si>
  <si>
    <t>μg/dL</t>
  </si>
  <si>
    <t>Internal validity effect</t>
  </si>
  <si>
    <t>Not used (this is relevant when effect size is taken from a study)</t>
  </si>
  <si>
    <t>External validity effect</t>
  </si>
  <si>
    <t>Discounted effect size - reduction in BLL</t>
  </si>
  <si>
    <t>Estimated IQ point loss per 1 μg/dl increase in blood levels throughout childhood</t>
  </si>
  <si>
    <t>IQ points per μg/dL</t>
  </si>
  <si>
    <t>There is substantial uncertainty about this relationship. A seminal study by Lanphear et al. (2005) estimates 0.5 IQ points per 1 μg/dL at BLLs below 10 μg/dL. This is also what the LEEP model uses (see link). However, modelers such as GiveWell have used a more conservative value of 0.20 with a 25% downward validity discount (resulting in 0.15). We have chosen to use the original 0.5 with the same discount as GiveWell, giving use 0.38.</t>
  </si>
  <si>
    <t>https://www.givewell.org/research/incubation-grants/Pure-Earth-lead-exposure-July-2021
https://docs.google.com/document/d/1NH99fuXpXcCcz-vjaP1x3ZOVDNYd4gflWWb2B5y3TcQ/edit#heading=h.cqwbetxdrmad
https://my.causal.app/models/212624?token=97c447ae91e74281b8032591b190e316</t>
  </si>
  <si>
    <t>(note that this is higher than our previous model for lead research)</t>
  </si>
  <si>
    <t>IQ points gained per person</t>
  </si>
  <si>
    <t>IQ points</t>
  </si>
  <si>
    <t>% increase in income (/consumption) for every 1 point increase in IQ</t>
  </si>
  <si>
    <t>From GiveWell</t>
  </si>
  <si>
    <t>https://docs.google.com/spreadsheets/d/15h60n8jDSQMFpmA_y4ilYOUE0mP-C9SRosEMHuWDnug/edit#gid=154585324</t>
  </si>
  <si>
    <t>% increase in income per person (in each year of working life)</t>
  </si>
  <si>
    <t>Future fertility rate in a typical target country (a guess)</t>
  </si>
  <si>
    <t>A big guess. But most of the short-listed countries are richer LMCs or UMCs, which have quite low fertility rates</t>
  </si>
  <si>
    <t>Multiplier for resource sharing</t>
  </si>
  <si>
    <t>coefficient</t>
  </si>
  <si>
    <t>Each working adult's income benefits not only the worker but also dependents (e.g. children)</t>
  </si>
  <si>
    <t>Conversion to consumption doublings</t>
  </si>
  <si>
    <t>Assuming all extra income is consumed</t>
  </si>
  <si>
    <t>DALY equivalents per person per year of their working life</t>
  </si>
  <si>
    <t>DEs/person/year</t>
  </si>
  <si>
    <t>DE = DALY equivalent</t>
  </si>
  <si>
    <t>Number of years of working life</t>
  </si>
  <si>
    <t>Length of working life</t>
  </si>
  <si>
    <t>Total DALY-equivalent benefit over working life</t>
  </si>
  <si>
    <t>DEs/person</t>
  </si>
  <si>
    <t>Delay in benefits</t>
  </si>
  <si>
    <t>Age when people start working. (Note that this could probably be a bit less, as the damage doesn't just happen around birth but also in childhood)</t>
  </si>
  <si>
    <t>Present value of consumption benefit</t>
  </si>
  <si>
    <t>Total net impact per country per year</t>
  </si>
  <si>
    <t>DEs/country</t>
  </si>
  <si>
    <t>Impact is primarily associated with births</t>
  </si>
  <si>
    <t>Change of the effect over time</t>
  </si>
  <si>
    <t>We expect the cognitive effects will affect additional birth cohorts, as sketched out in this section. However, for simplicity, this assumption is not integrated into the model.</t>
  </si>
  <si>
    <t>Additional birth cohorts affected after</t>
  </si>
  <si>
    <t>Lead exposure affects brain development throughout childhood, not only at birth, which means that children already been born by the time of the intervention's roll-out will also partly benefit. We didn't have time to research this question in depth, but, based on an answer from ChatGPT, we estimate that ~50% of the brain damage happens by age 2 and ~80% by age 5. Summing over ages 1-10, we roughly estimate than an equivalent of two extra birth cohorts will benefit from the intervention.</t>
  </si>
  <si>
    <t>Effect in the first year after roll-out</t>
  </si>
  <si>
    <t>Total impact per year</t>
  </si>
  <si>
    <t>Total net impact, per country per year, at scale</t>
  </si>
  <si>
    <t>% of effect that is due to health effects</t>
  </si>
  <si>
    <t>This is significantly higher than LEEP's estimate of &lt;20%. We are not fully sure what's driving this difference. One reason is that GBD's estimates of the health burden of lead exposure have increased (by ~50%); however, this alone is not enough to explain the difference.</t>
  </si>
  <si>
    <t>Number of countries worked in at scale</t>
  </si>
  <si>
    <t>count</t>
  </si>
  <si>
    <t>We estimate that the charity can work in three countries in parallel, though we are very uncertain about this</t>
  </si>
  <si>
    <t>Result 1 – cost effectiveness, at scale, assume success, ignoring counterfactuals</t>
  </si>
  <si>
    <t>R1: Number reached per year, at scale, assume success, ignore counterfactuals</t>
  </si>
  <si>
    <t>countries/year</t>
  </si>
  <si>
    <t>R1: Cost per year, at scale, assume success, ignore counterfactuals (charity costs only)</t>
  </si>
  <si>
    <t>$/year</t>
  </si>
  <si>
    <t>R1: Impact per year, at scale, assume success, ignore counterfactuals</t>
  </si>
  <si>
    <t>DEs/year</t>
  </si>
  <si>
    <t>R1: Cost effectiveness per year, at scale, assume success, ignore counterfactuals ($/Impact)</t>
  </si>
  <si>
    <t>$/DE</t>
  </si>
  <si>
    <t>R1: Cost effectiveness per year, at scale, assume success, ignore counterfactuals (Impact/$1000)</t>
  </si>
  <si>
    <t>DEs/$1000</t>
  </si>
  <si>
    <t>% of costs that are fixed</t>
  </si>
  <si>
    <t>Probability of success etc</t>
  </si>
  <si>
    <r>
      <rPr>
        <rFont val="Arial"/>
        <color theme="1"/>
      </rPr>
      <t xml:space="preserve">Probability of success </t>
    </r>
    <r>
      <rPr>
        <rFont val="Arial"/>
        <color rgb="FF999999"/>
      </rPr>
      <t>[suggest: 90% for direct, 25% for policy]</t>
    </r>
  </si>
  <si>
    <t>Best guess. For comparison, LEEP currently assumes very high chance of success per country (~80%+, from memory) but we think that this work is much less tractable. For lead research, we assumed 10%, since less of that overall ToC is under the charity's control.</t>
  </si>
  <si>
    <r>
      <rPr>
        <rFont val="Arial"/>
        <color theme="1"/>
      </rPr>
      <t xml:space="preserve">Last year charity runs if unsuccessful </t>
    </r>
    <r>
      <rPr>
        <rFont val="Arial"/>
        <color rgb="FF999999"/>
      </rPr>
      <t>[suggest: 4]</t>
    </r>
  </si>
  <si>
    <t>Seems reasonable, as timelines for progress might be quite long</t>
  </si>
  <si>
    <r>
      <rPr>
        <rFont val="Arial"/>
        <color theme="1"/>
      </rPr>
      <t xml:space="preserve">If charity fails, what % of variable costs are spent </t>
    </r>
    <r>
      <rPr>
        <rFont val="Arial"/>
        <color rgb="FF999999"/>
      </rPr>
      <t>[Suggest: 40%]</t>
    </r>
  </si>
  <si>
    <t>Counterfactuals</t>
  </si>
  <si>
    <r>
      <rPr>
        <rFont val="Arial"/>
        <color theme="1"/>
      </rPr>
      <t>Probability change happens anyway, per year</t>
    </r>
    <r>
      <rPr>
        <rFont val="Arial"/>
        <color rgb="FF999999"/>
      </rPr>
      <t xml:space="preserve"> [suggest: 0% for direct, suggest 1%-7% for policy]</t>
    </r>
  </si>
  <si>
    <t>One would expect, now that there is the LEAF funding, that change might happen anyway. Via their awareness raising or via UN/UNEP/OP there would be a policy level change.</t>
  </si>
  <si>
    <t xml:space="preserve">   In case useful: Number yrs until 50%+ change happens anyway</t>
  </si>
  <si>
    <t>Result 2 – cost effectiveness, at scale</t>
  </si>
  <si>
    <t>R2: Cost effectiveness per year, at scale ($/Impact)</t>
  </si>
  <si>
    <t>R2: Cost effectiveness per year, at scale (Impact/$1000)</t>
  </si>
  <si>
    <t>Scale timing and discounting</t>
  </si>
  <si>
    <t>Timing for costs</t>
  </si>
  <si>
    <r>
      <rPr>
        <rFont val="Arial"/>
        <color theme="1"/>
      </rPr>
      <t xml:space="preserve">Discount rate, for fixed costs </t>
    </r>
    <r>
      <rPr>
        <rFont val="Arial"/>
        <color rgb="FF999999"/>
      </rPr>
      <t>[keep fixed in all CEAs]</t>
    </r>
  </si>
  <si>
    <t>A weighted average of the two discount rates, given that there are both health and consumption benefits. Note that this will only generate an approximately correct result. It would have been preferable to model the health and consumption benefits separately, with separate discount rates.</t>
  </si>
  <si>
    <t>Period [1] – scaling costs</t>
  </si>
  <si>
    <r>
      <rPr>
        <rFont val="Arial"/>
        <color theme="1"/>
      </rPr>
      <t xml:space="preserve">Cost period begins in year __ </t>
    </r>
    <r>
      <rPr>
        <rFont val="Arial"/>
        <color rgb="FF999999"/>
      </rPr>
      <t>[fixed]</t>
    </r>
  </si>
  <si>
    <t>Year</t>
  </si>
  <si>
    <t>Keeping the defaults</t>
  </si>
  <si>
    <r>
      <rPr>
        <rFont val="Arial"/>
        <color theme="1"/>
      </rPr>
      <t xml:space="preserve">Cost period ends in year __ </t>
    </r>
    <r>
      <rPr>
        <rFont val="Arial"/>
        <color rgb="FF999999"/>
      </rPr>
      <t>[suggest: 2-5; min: 2]</t>
    </r>
  </si>
  <si>
    <t>Costs at period start</t>
  </si>
  <si>
    <t>Costs at period end</t>
  </si>
  <si>
    <t xml:space="preserve">   Step1: Increase per year</t>
  </si>
  <si>
    <t xml:space="preserve">   Step2: Total length of period</t>
  </si>
  <si>
    <t xml:space="preserve">   Step3: Cumulative discount multiplier over period</t>
  </si>
  <si>
    <t xml:space="preserve">   Step4: Total fixed costs of period at starting year of period</t>
  </si>
  <si>
    <t>Formula based on SUM (a+kb)r^k, where k is variable 0→year ("Step2:...") and a is base cost ("Cost at period start") and b is annual addition ("Step1: ...") and r is the discount rate</t>
  </si>
  <si>
    <t xml:space="preserve">   Step5: Discount to turn into a NPV if period not begin in yr1</t>
  </si>
  <si>
    <t>This should equal the line below</t>
  </si>
  <si>
    <r>
      <rPr>
        <rFont val="Arial"/>
        <color rgb="FF000000"/>
      </rPr>
      <t xml:space="preserve">NPV of fixed costs over period, if successful </t>
    </r>
    <r>
      <rPr>
        <rFont val="Arial"/>
        <color rgb="FF999999"/>
      </rPr>
      <t>[assumes increasing]</t>
    </r>
  </si>
  <si>
    <r>
      <rPr>
        <rFont val="Arial"/>
        <color rgb="FF000000"/>
      </rPr>
      <t xml:space="preserve">NPV of fixed costs over period, if not successful </t>
    </r>
    <r>
      <rPr>
        <rFont val="Arial"/>
        <color rgb="FF999999"/>
      </rPr>
      <t>[assumes increasing]</t>
    </r>
  </si>
  <si>
    <t>Period [2] – one-off costs</t>
  </si>
  <si>
    <t>No one-off costs have been modeled</t>
  </si>
  <si>
    <t>Costs are spread out starting in year __</t>
  </si>
  <si>
    <t>Costs are spread out ending in year __</t>
  </si>
  <si>
    <t>Costs each year over period are</t>
  </si>
  <si>
    <r>
      <rPr>
        <rFont val="Arial"/>
        <color rgb="FF000000"/>
      </rPr>
      <t xml:space="preserve">NPV of fixed costs over period, if successful </t>
    </r>
    <r>
      <rPr>
        <rFont val="Arial"/>
        <color rgb="FF999999"/>
      </rPr>
      <t>[assumes steady]</t>
    </r>
  </si>
  <si>
    <r>
      <rPr>
        <rFont val="Arial"/>
        <color rgb="FF000000"/>
      </rPr>
      <t xml:space="preserve">NPV of fixed costs over period, if not successful </t>
    </r>
    <r>
      <rPr>
        <rFont val="Arial"/>
        <color rgb="FF999999"/>
      </rPr>
      <t>[assumes steady]</t>
    </r>
  </si>
  <si>
    <t>Period [3] – ongoing costs</t>
  </si>
  <si>
    <r>
      <rPr>
        <rFont val="Arial"/>
        <color theme="1"/>
      </rPr>
      <t xml:space="preserve">Cost period begins in year ___ </t>
    </r>
    <r>
      <rPr>
        <rFont val="Arial"/>
        <color rgb="FF999999"/>
      </rPr>
      <t>[previous period end +1]</t>
    </r>
  </si>
  <si>
    <r>
      <rPr>
        <rFont val="Arial"/>
        <color theme="1"/>
      </rPr>
      <t xml:space="preserve">Cost period ends on year ___ OR "ongoing" </t>
    </r>
    <r>
      <rPr>
        <rFont val="Arial"/>
        <color rgb="FF999999"/>
      </rPr>
      <t>[suggest: 16]</t>
    </r>
  </si>
  <si>
    <r>
      <rPr>
        <rFont val="Arial"/>
        <color rgb="FF000000"/>
      </rPr>
      <t xml:space="preserve">NPV of fixed costs over period, if successful </t>
    </r>
    <r>
      <rPr>
        <rFont val="Arial"/>
        <color rgb="FF000000"/>
      </rPr>
      <t>[assumes steady]</t>
    </r>
  </si>
  <si>
    <r>
      <rPr>
        <rFont val="Arial"/>
        <color rgb="FF000000"/>
      </rPr>
      <t xml:space="preserve">NPV of fixed costs over period, if not successful </t>
    </r>
    <r>
      <rPr>
        <rFont val="Arial"/>
        <color rgb="FF999999"/>
      </rPr>
      <t>[assumes steady]</t>
    </r>
  </si>
  <si>
    <t>Timing for impacts and variable costs</t>
  </si>
  <si>
    <r>
      <rPr>
        <rFont val="Arial"/>
        <color theme="1"/>
      </rPr>
      <t>Impacted population growth rate</t>
    </r>
    <r>
      <rPr>
        <rFont val="Arial"/>
        <color rgb="FF999999"/>
      </rPr>
      <t xml:space="preserve"> [if relevant, e.g. +5% if intervention drives national policy change that affects the whole country and the country has a 5% population growth]</t>
    </r>
  </si>
  <si>
    <t>Thailand has a neglegible population growth rate</t>
  </si>
  <si>
    <t>https://www.worldometers.info/world-population/thailand-population/</t>
  </si>
  <si>
    <t/>
  </si>
  <si>
    <t>DALY rate change over time - average expected market growth</t>
  </si>
  <si>
    <t>Expected market growth, stay on the conservative side. This might halt (make an S-curve) after 10 years. If we go for longer periode than 16 years, then potentially go with 2% here.</t>
  </si>
  <si>
    <t>Effective discount rate, for costs over time</t>
  </si>
  <si>
    <t>Effective discount rate, for impacts over time, &lt;10 years</t>
  </si>
  <si>
    <t>A weighted average of the health and consumption discount rates, given that there are both health and consumption benefits. Note that this will only generate an approximately correct result. It would have been preferable to model the health and consumption benefits separately, with separate discount rates.
... To this, we add the counterfactuals and the growth rate of the problem. To be conservative, we assume that the projected growth will plateau after 10 years.</t>
  </si>
  <si>
    <t>Effective discount rate, for impacts over time, 10+ years</t>
  </si>
  <si>
    <t>Effective discount rate, for health impacts over time</t>
  </si>
  <si>
    <t>not currently used (as I'm putting economic and health effects together, for simplicity)</t>
  </si>
  <si>
    <r>
      <rPr>
        <rFont val="Arial"/>
        <b/>
        <color theme="1"/>
      </rPr>
      <t xml:space="preserve">Period [1] – initial scaling </t>
    </r>
    <r>
      <rPr>
        <rFont val="Arial"/>
        <b/>
        <color rgb="FF999999"/>
      </rPr>
      <t>[scale increases each year]</t>
    </r>
  </si>
  <si>
    <r>
      <rPr>
        <rFont val="Arial"/>
        <color theme="1"/>
      </rPr>
      <t xml:space="preserve">Impact period begins in year __ </t>
    </r>
    <r>
      <rPr>
        <rFont val="Arial"/>
        <color rgb="FF999999"/>
      </rPr>
      <t>[suggest: 0, suggest range 0-2]</t>
    </r>
  </si>
  <si>
    <t>year</t>
  </si>
  <si>
    <r>
      <rPr>
        <rFont val="Arial"/>
        <color theme="1"/>
      </rPr>
      <t xml:space="preserve">Number of countries reached in first year of period 1 </t>
    </r>
    <r>
      <rPr>
        <rFont val="Arial"/>
        <color rgb="FF999999"/>
      </rPr>
      <t>[suggest: 0]</t>
    </r>
  </si>
  <si>
    <t>countries</t>
  </si>
  <si>
    <r>
      <rPr>
        <rFont val="Arial"/>
        <color theme="1"/>
      </rPr>
      <t xml:space="preserve">Impact period ends (reaches end costs) in year __ </t>
    </r>
    <r>
      <rPr>
        <rFont val="Arial"/>
        <color rgb="FF999999"/>
      </rPr>
      <t>[suggest: 2-8]</t>
    </r>
  </si>
  <si>
    <t>Cost in first year of period</t>
  </si>
  <si>
    <t>Impact in frist year of period</t>
  </si>
  <si>
    <t>DALYs</t>
  </si>
  <si>
    <t>Number of countries reached per year when at scale</t>
  </si>
  <si>
    <t>Additional countries reached each year when scaling</t>
  </si>
  <si>
    <t>Additional cost each year when scaling</t>
  </si>
  <si>
    <t>Additional impact each year when scaling</t>
  </si>
  <si>
    <r>
      <rPr>
        <rFont val="Arial"/>
        <color theme="1"/>
      </rPr>
      <t xml:space="preserve">NPV of variable costs over period, if successful </t>
    </r>
    <r>
      <rPr>
        <rFont val="Arial"/>
        <color theme="1"/>
      </rPr>
      <t>[assumes increasing]</t>
    </r>
  </si>
  <si>
    <r>
      <rPr>
        <rFont val="Arial"/>
        <color theme="1"/>
      </rPr>
      <t xml:space="preserve">NPV of variable costs over period, if not successful </t>
    </r>
    <r>
      <rPr>
        <rFont val="Arial"/>
        <color theme="1"/>
      </rPr>
      <t>[assumes increasing]</t>
    </r>
  </si>
  <si>
    <r>
      <rPr>
        <rFont val="Arial"/>
        <color theme="1"/>
      </rPr>
      <t xml:space="preserve">NPV of impact over period </t>
    </r>
    <r>
      <rPr>
        <rFont val="Arial"/>
        <color theme="1"/>
      </rPr>
      <t>[assumes increasing]</t>
    </r>
  </si>
  <si>
    <r>
      <rPr>
        <rFont val="Arial"/>
        <b/>
        <color theme="1"/>
      </rPr>
      <t xml:space="preserve">Period [2] – running at scale </t>
    </r>
    <r>
      <rPr>
        <rFont val="Arial"/>
        <b/>
        <color rgb="FF999999"/>
      </rPr>
      <t>[scale is now constant each year]</t>
    </r>
  </si>
  <si>
    <r>
      <rPr>
        <rFont val="Arial"/>
        <color theme="1"/>
      </rPr>
      <t xml:space="preserve">Impact period begins on year ___ </t>
    </r>
    <r>
      <rPr>
        <rFont val="Arial"/>
        <color rgb="FF999999"/>
      </rPr>
      <t>[previous period end +1]</t>
    </r>
  </si>
  <si>
    <t>Impact period ends on year ___ OR "ongoing"</t>
  </si>
  <si>
    <t>ongoing</t>
  </si>
  <si>
    <t>Annual number of countries reached</t>
  </si>
  <si>
    <t>Annual cost</t>
  </si>
  <si>
    <t>Annual impact</t>
  </si>
  <si>
    <r>
      <rPr>
        <rFont val="Arial"/>
        <color rgb="FF000000"/>
      </rPr>
      <t xml:space="preserve">NPV of variable costs over period </t>
    </r>
    <r>
      <rPr>
        <rFont val="Arial"/>
        <color rgb="FF999999"/>
      </rPr>
      <t>[assumes steady]</t>
    </r>
  </si>
  <si>
    <r>
      <rPr>
        <rFont val="Arial"/>
        <color rgb="FF000000"/>
      </rPr>
      <t xml:space="preserve">NPV of variable costs over period, if not successful </t>
    </r>
    <r>
      <rPr>
        <rFont val="Arial"/>
        <color rgb="FF999999"/>
      </rPr>
      <t>[assumes steady]</t>
    </r>
  </si>
  <si>
    <r>
      <rPr>
        <rFont val="Arial"/>
        <color rgb="FF000000"/>
      </rPr>
      <t xml:space="preserve">NPV of impact over period </t>
    </r>
    <r>
      <rPr>
        <rFont val="Arial"/>
        <color rgb="FF999999"/>
      </rPr>
      <t>[assumes steady]</t>
    </r>
  </si>
  <si>
    <t>Total vairable costs</t>
  </si>
  <si>
    <t>Total NPV of variable costs over period</t>
  </si>
  <si>
    <t>Total discounted costs accounting for chance of success</t>
  </si>
  <si>
    <t>NPV total costs, if charity successful</t>
  </si>
  <si>
    <t>NPV total costs, if charity not successful</t>
  </si>
  <si>
    <t>Total expected cost per successful charity</t>
  </si>
  <si>
    <t>Total discounted costs and impact over time</t>
  </si>
  <si>
    <t>Total costs, NPV, incorporating chance of success</t>
  </si>
  <si>
    <t>Total impact, NPV</t>
  </si>
  <si>
    <r>
      <rPr>
        <rFont val="Arial"/>
        <b/>
        <i val="0"/>
        <color rgb="FF999999"/>
        <sz val="15.0"/>
      </rPr>
      <t xml:space="preserve">[OPTIONAL] </t>
    </r>
    <r>
      <rPr>
        <rFont val="Arial"/>
        <b/>
        <i/>
        <color rgb="FF999999"/>
        <sz val="15.0"/>
      </rPr>
      <t>Costs/savings to governments and other charities</t>
    </r>
  </si>
  <si>
    <t>1. KEY ASSUMPTIONS</t>
  </si>
  <si>
    <t>How much we value government money as a transfer to individuals</t>
  </si>
  <si>
    <t>Should explain this</t>
  </si>
  <si>
    <t>Population [MILLIONS] of country (or state or where money spent)</t>
  </si>
  <si>
    <t xml:space="preserve">MN people </t>
  </si>
  <si>
    <t>GDP [BILLIONS] in country (or state or where money spent)</t>
  </si>
  <si>
    <t>BN $</t>
  </si>
  <si>
    <t>Household consumption, percent of GDP in country (or state etc)</t>
  </si>
  <si>
    <t xml:space="preserve">2. NON-CHARITY COSTS </t>
  </si>
  <si>
    <t>One off fixed costs//savings to government or other charities</t>
  </si>
  <si>
    <t>Annual fixed costs/savings to government or other charities per year</t>
  </si>
  <si>
    <t>3. NON-CHARITY COSTS TIMING</t>
  </si>
  <si>
    <t>Timing of: one off fixed costs/savings to gov or other charities</t>
  </si>
  <si>
    <t>Total one-off fixed costs (discounted)</t>
  </si>
  <si>
    <t>Start timing of: annual fixed costs/savings to gov or others per year</t>
  </si>
  <si>
    <t>End timing of: annual fixed costs/savings to gov or others per year</t>
  </si>
  <si>
    <t>Total annual fixed costs (discounted)</t>
  </si>
  <si>
    <t>Total variable costs (discounted)</t>
  </si>
  <si>
    <t>Total non-charity costs</t>
  </si>
  <si>
    <t>4. NON-CHARITY COSTS COUNTERFACTUALS</t>
  </si>
  <si>
    <r>
      <rPr>
        <rFont val="Arial"/>
        <color rgb="FF999999"/>
      </rPr>
      <t xml:space="preserve">If charity fails, what % are spent </t>
    </r>
    <r>
      <rPr>
        <rFont val="Arial"/>
        <color rgb="FFB7B7B7"/>
      </rPr>
      <t>[Suggest: 0% policy, 0-40% other]</t>
    </r>
  </si>
  <si>
    <t>Total non-charity costs, if charity not successful</t>
  </si>
  <si>
    <t>Total expected non-charity cost per successful charity</t>
  </si>
  <si>
    <t>5. RESULTS</t>
  </si>
  <si>
    <t>Average consumption in country/location</t>
  </si>
  <si>
    <t>Decrease/increase in comsumption per person</t>
  </si>
  <si>
    <t>Consumption doublings per person</t>
  </si>
  <si>
    <t>counsumption doublings per person</t>
  </si>
  <si>
    <t>Consumption doublings total cost/benefit</t>
  </si>
  <si>
    <t>DALY equivalent total cost/benefits</t>
  </si>
  <si>
    <t>Fixed costs: Period [1] – scaling costs</t>
  </si>
  <si>
    <t>Fixed costs: Period [2] – one off costs</t>
  </si>
  <si>
    <t>Fixed costs: Period [3] – ongoing costs</t>
  </si>
  <si>
    <t>Total fixed costs</t>
  </si>
  <si>
    <t>Variable costs: Period [1] – initial scaling</t>
  </si>
  <si>
    <t>Variable costs: Period [2] – running at scale</t>
  </si>
  <si>
    <t>Total Variable costs</t>
  </si>
  <si>
    <t>Total costs</t>
  </si>
  <si>
    <t>Total costs (if successful) discounted</t>
  </si>
  <si>
    <t>Total fixed costs (if unsuccessful)</t>
  </si>
  <si>
    <t>Total variable costs (if unsuccessful)</t>
  </si>
  <si>
    <t>Total costs (if unsuccessful)</t>
  </si>
  <si>
    <t>Total costs (if unsuccessful) disocunted</t>
  </si>
  <si>
    <t>NPV total costs, if charity unsuccessful</t>
  </si>
  <si>
    <t>Countries: Period [1] – initial scaling</t>
  </si>
  <si>
    <t>Countries: Period [2] – running at scale</t>
  </si>
  <si>
    <t>Total countries</t>
  </si>
  <si>
    <t>Impact: Period [1] – initial scaling</t>
  </si>
  <si>
    <t>Impact: Period [2] – running at scale</t>
  </si>
  <si>
    <t>Intermediate impact</t>
  </si>
  <si>
    <t>Intermediate impact, discounted</t>
  </si>
  <si>
    <t>Result 3 – cost effectiveness, assume sucess</t>
  </si>
  <si>
    <t>R3: Total cost, assume success</t>
  </si>
  <si>
    <t>R3: Total impact, assume success</t>
  </si>
  <si>
    <t>R3: Cost effectiveness per year, assume success ($/Impact)</t>
  </si>
  <si>
    <t>R3: Cost effectiveness per year, assume success (Impact/$1000)</t>
  </si>
  <si>
    <t>R4: Total cost (per successful charity)</t>
  </si>
  <si>
    <t>R4: Total impact</t>
  </si>
  <si>
    <t>$/consumption doubling</t>
  </si>
  <si>
    <t>consumption doublings/$</t>
  </si>
  <si>
    <t>Result 5 – cost effectiveness, inc. costs to government and other actors</t>
  </si>
  <si>
    <t>DISBENEFITS MODEL (Preferred)</t>
  </si>
  <si>
    <t>R5: Total cost (per successful charity)</t>
  </si>
  <si>
    <t>R5: Total impact, inc benefits/disbenefits of gov costs etc</t>
  </si>
  <si>
    <t>R5: Cost effectiveness per year ($/Impact)</t>
  </si>
  <si>
    <t>R5: Cost effectiveness per year (Impact/$1000)</t>
  </si>
  <si>
    <t>NEGATIVE COSTS MODEL (Alternative)</t>
  </si>
  <si>
    <t>R6: Total cost, inc gov costs (reduced)</t>
  </si>
  <si>
    <t>R6: Total impact</t>
  </si>
  <si>
    <t>R6: Cost effectiveness per year ($/Impact)</t>
  </si>
  <si>
    <t>R6: Cost effectiveness per year (Impact/$1000)</t>
  </si>
  <si>
    <t xml:space="preserve">I think this approach is the best/most correct, and could do with improvements. Results are surprisingly simliar as the LeRA type top down approach </t>
  </si>
  <si>
    <t>Bangladesh</t>
  </si>
  <si>
    <t>Argentina</t>
  </si>
  <si>
    <t>Review</t>
  </si>
  <si>
    <t>Total DALY burden Lead exposure in 2021 in country</t>
  </si>
  <si>
    <t>DALY</t>
  </si>
  <si>
    <t>https://ourworldindata.org/grapher/disease-burden-lead?tab=table</t>
  </si>
  <si>
    <t>Average increase/decrease, last 10 years ( 2011 - 2021)</t>
  </si>
  <si>
    <t>Based on trajectory since 1990</t>
  </si>
  <si>
    <t>Increase of total DALY burden per year</t>
  </si>
  <si>
    <t>Total DALY burden Lead exposure GBD in 2024</t>
  </si>
  <si>
    <t>Percentage attributable to informal ULAB recycling</t>
  </si>
  <si>
    <t>Directly due to informal ULAB recycling</t>
  </si>
  <si>
    <t>Judgement, based on tab on 'overall GBD ULAB recycling' and upcoming paper from Forsyth I heard about which states that ULAB is 50% of lead poisoning in Dhaka, Bangladesh. Bret Ericson thinks it is somewhere around 10%, Hugo said that he stated 20% in the past. Note that it differs from place to place, but is hard to get over 50% with just paint, cookware and cosmetics. Potentially, ULAB recycling is cause more than 20%</t>
  </si>
  <si>
    <t>Due to Cookware</t>
  </si>
  <si>
    <t>Intuition --&gt; LeRA: help us out here!</t>
  </si>
  <si>
    <t>Counterfactual effect of fewer informal ULAB recycling on the burden due to Cookware</t>
  </si>
  <si>
    <t xml:space="preserve">Intuition, Bret Ericson told me that in Mexico, both formal and informal recyclers sell lead (dust) to artisinal cookware makers. </t>
  </si>
  <si>
    <t>Total DALY burden Lead exposure due to ULAB recycling in 2024</t>
  </si>
  <si>
    <t>Model after Brazil</t>
  </si>
  <si>
    <t>Intutition</t>
  </si>
  <si>
    <r>
      <rPr/>
      <t xml:space="preserve">Carlos mentioned 45% , other sources claim  'the majority', so i went for 50%. Also, the blogpost mention some rough numbers, but that must have come from Carlos as well- </t>
    </r>
    <r>
      <rPr>
        <color rgb="FF1155CC"/>
        <u/>
      </rPr>
      <t>https://leadbatteries.substack.com/p/how-brazil-solved-its-lead-acid-battery</t>
    </r>
  </si>
  <si>
    <t>Size of informal sector in Brazil before after regulation</t>
  </si>
  <si>
    <t>Should check what happened in Brazil, I think it was about this size. Additionally: Mark stevenson made a judgementcall, that this would happen if taxes are cut in India on this.. Hugo: This number should be at least 50%. Best info he got on this was a quote: "most was informal before", Now 75% of the battery recycling is going via IBER. Also, Pure Earth states about 80% https://www.google.com/url?q=https://e360.yale.edu/features/getting-the-lead-out-why-battery-recycling-is-a-global-health-hazard%23:~:text%3DFuller%2520at%2520Pure%2520Earth%2520says,%252C%25E2%2580%259D%2520mainly%2520through%2520economic%2520incentives&amp;sa=D&amp;source=editors&amp;ust=1733491202096199&amp;usg=AOvVaw0aomdHgPlN28-Xc1QU9qWz</t>
  </si>
  <si>
    <t>Undiscounted decrease of total ULAB burden due to regulations</t>
  </si>
  <si>
    <t>Discounts</t>
  </si>
  <si>
    <t>Improvement not being as large/effective in other countries (potentially as the problem at the start wasnt as big, i.e. the informal sector was smaller to start with)</t>
  </si>
  <si>
    <t>Just intution, I consider this quite a big discount (thus being conservative)</t>
  </si>
  <si>
    <t>Decrease of informal leads to an increase in formal (which is better, but still not great)</t>
  </si>
  <si>
    <t>Because informal is in populated area's and in so many more places</t>
  </si>
  <si>
    <t>When informal recyclers are gone: site is still contaminated indefenitely (untill cleaned)</t>
  </si>
  <si>
    <t>Impact comes from Informal recyclers not relocating and no new informal recyclers starting. Carlos explained that as part of the Brazil legislation, one needs to clean up the plot before it can be used. Therefore, this is much a smaller problem. Updated the discount from 70% to 40%, as i expect this legislation not to be watertight, and potentially now viable to introduce in other countries.</t>
  </si>
  <si>
    <t>Growth of the ULAB market in the upcoming years</t>
  </si>
  <si>
    <t>Take 4% growth. This is quick and dirty, should put this in a proper model</t>
  </si>
  <si>
    <t>Decrease of DALY burden when policies are implemented</t>
  </si>
  <si>
    <t>Probability of succes (improved policies are adopted)</t>
  </si>
  <si>
    <t>Intuition</t>
  </si>
  <si>
    <t>Discount for enforcement not being as good as in Brazil</t>
  </si>
  <si>
    <t>Expected decrease of DALY burden with advocacy initiative</t>
  </si>
  <si>
    <t>Years of counterfactual impact</t>
  </si>
  <si>
    <t>Years</t>
  </si>
  <si>
    <t>Intuition, also given LEAF things might move a bit quicker</t>
  </si>
  <si>
    <t>Discount for time discounting</t>
  </si>
  <si>
    <t>Quick number to finish the calculation</t>
  </si>
  <si>
    <t>Total NPV Daly averted</t>
  </si>
  <si>
    <t>Cost for the charity at scale</t>
  </si>
  <si>
    <t>Years needed for advocacy work</t>
  </si>
  <si>
    <t>Amount</t>
  </si>
  <si>
    <t>Intuition, this might be optimistic?</t>
  </si>
  <si>
    <t>Cost-effectiveness (Dollar per daly)</t>
  </si>
  <si>
    <t>$/Daly</t>
  </si>
  <si>
    <t>Remarks</t>
  </si>
  <si>
    <r>
      <rPr/>
      <t xml:space="preserve">Consider looking at the CEA of Pure Earth by Givewell: </t>
    </r>
    <r>
      <rPr>
        <color rgb="FF1155CC"/>
        <u/>
      </rPr>
      <t>https://docs.google.com/spreadsheets/d/1x0BchpoMphvAqSe71hJqM2gBByeRIf2oaz3WGVrVdow/edit?gid=109713399#gid=109713399</t>
    </r>
  </si>
  <si>
    <t>This CEA is moddeled after LeRA, which is a Blood lead level top down approach. Especially sensitive to the estimate of line 8</t>
  </si>
  <si>
    <t>This is 2019, just assume nothing changed, which is conservative probably. Note that Brazil was only 2.19 at the time</t>
  </si>
  <si>
    <t>Colombia</t>
  </si>
  <si>
    <t>Brazil</t>
  </si>
  <si>
    <t>Equador</t>
  </si>
  <si>
    <t xml:space="preserve">A guess. LeRA CEA had a higher number, (12.5%) but I consider that optimistic. Moddeled this loosely after the brazil model ( 20% due to ULAB, able to make that 25% better; which is a bit more optimistic than the brazil model sheet actually...) </t>
  </si>
  <si>
    <r>
      <rPr>
        <rFont val="Arial"/>
        <color theme="1"/>
      </rPr>
      <t xml:space="preserve">Internal validity effect </t>
    </r>
    <r>
      <rPr>
        <rFont val="Arial"/>
        <color rgb="FF999999"/>
      </rPr>
      <t>[Suggest range 0% to -80%, e.g. -40%]</t>
    </r>
  </si>
  <si>
    <r>
      <rPr>
        <rFont val="Arial"/>
        <color theme="1"/>
      </rPr>
      <t xml:space="preserve">External validity effect </t>
    </r>
    <r>
      <rPr>
        <rFont val="Arial"/>
        <color rgb="FF999999"/>
      </rPr>
      <t>[Suggest range +40% to -80%, e.g. -10%]</t>
    </r>
  </si>
  <si>
    <r>
      <rPr>
        <rFont val="Arial"/>
      </rPr>
      <t xml:space="preserve">Following </t>
    </r>
    <r>
      <rPr>
        <rFont val="Arial"/>
        <color rgb="FF1155CC"/>
        <u/>
      </rPr>
      <t>GiveWell</t>
    </r>
  </si>
  <si>
    <t>https://docs.google.com/document/d/1NH99fuXpXcCcz-vjaP1x3ZOVDNYd4gflWWb2B5y3TcQ/edit#heading=h.cqwbetxdrmad</t>
  </si>
  <si>
    <t>Thijs: LEEP uses a higher number, and also I don't see the used number straight away in the Give well linked doc</t>
  </si>
  <si>
    <t>Following GiveWell's reasoning: Each working adult's income benefits multiple people; on average ~2</t>
  </si>
  <si>
    <r>
      <rPr>
        <rFont val="Arial"/>
        <color theme="1"/>
      </rPr>
      <t xml:space="preserve">One year of doubled consumption to DALYs </t>
    </r>
    <r>
      <rPr>
        <rFont val="Arial"/>
        <color rgb="FF999999"/>
      </rPr>
      <t>[fixed]</t>
    </r>
  </si>
  <si>
    <r>
      <rPr>
        <rFont val="Arial"/>
        <color theme="1"/>
      </rPr>
      <t>DALY</t>
    </r>
    <r>
      <rPr>
        <rFont val="Arial"/>
        <color theme="1"/>
      </rPr>
      <t xml:space="preserve"> equivlent</t>
    </r>
    <r>
      <rPr>
        <rFont val="Arial"/>
        <color theme="1"/>
      </rPr>
      <t>s per person per year of their working life</t>
    </r>
  </si>
  <si>
    <t>Age when people start working</t>
  </si>
  <si>
    <t>Health benefit as a % of consumption benefit</t>
  </si>
  <si>
    <t>For simplicity, I'm following LEEP, who estimate that health benefits make up 16% of the total.</t>
  </si>
  <si>
    <t>https://leadelimination.org/how-cost-effective-are-leeps-paint-programs/</t>
  </si>
  <si>
    <t>Present value of health benefit</t>
  </si>
  <si>
    <t>DALYs/person</t>
  </si>
  <si>
    <t>Total net impact per person per year</t>
  </si>
  <si>
    <r>
      <rPr>
        <rFont val="Arial"/>
        <color theme="1"/>
      </rPr>
      <t xml:space="preserve">Births per country </t>
    </r>
    <r>
      <rPr>
        <rFont val="Arial"/>
        <color theme="1"/>
      </rPr>
      <t>per year</t>
    </r>
  </si>
  <si>
    <t>Births, in 2023</t>
  </si>
  <si>
    <t>Expected net impact per country per year</t>
  </si>
  <si>
    <t>DEs</t>
  </si>
  <si>
    <t>$/Daly-equivalent</t>
  </si>
  <si>
    <t>Lower estimate (10%)</t>
  </si>
  <si>
    <t>Best-guess (50%)</t>
  </si>
  <si>
    <t>High estimate(90%)</t>
  </si>
  <si>
    <t>Informal recycling</t>
  </si>
  <si>
    <t>Estimate DALY burden in 2013 by researchers of *Informal recycling* (90 countries)</t>
  </si>
  <si>
    <t>Million DALY</t>
  </si>
  <si>
    <t>Based on paper, best guess is average</t>
  </si>
  <si>
    <t>https://annalsofglobalhealth.org/articles/231/files/submission/proof/231-1-536-1-10-20180511.pdf</t>
  </si>
  <si>
    <t>Correct for being conservative</t>
  </si>
  <si>
    <t>Correction for predictions of increase in BLL are lower than actual BLL found in studies</t>
  </si>
  <si>
    <t>"We further stated that these predictions are much lower than actual the BLLs found by researchers at sites in the field53-57 and that our predictions are very likely underestimates."</t>
  </si>
  <si>
    <t xml:space="preserve">Correction detailed vs. limited assesment page 6 </t>
  </si>
  <si>
    <t>Unclear how much a increase in soil translate to the overall increase in a burden</t>
  </si>
  <si>
    <t>Improved estimate DALY burden 2013</t>
  </si>
  <si>
    <t>Growth of market per year</t>
  </si>
  <si>
    <t>Quick numbers, based on what I think I have read in places. Should be easy to source from the internet</t>
  </si>
  <si>
    <t>Number of years since 2013</t>
  </si>
  <si>
    <t>Undiscounted estimate of Daly Burden 2024</t>
  </si>
  <si>
    <t>Discount for less recycling being done by informal recyclers</t>
  </si>
  <si>
    <t>Andreas mentioned it is limited in Africa but still seems rampant in Asia. So expect share to be similar in Asia, and less so in Africa. I expect the market in Asia to be bigger</t>
  </si>
  <si>
    <t>Updated estimate of DALY burden 2024</t>
  </si>
  <si>
    <t>Total DALY burden lead exposure GBD in 2021</t>
  </si>
  <si>
    <t>Total DALY burden lead exposure GBD in 2024</t>
  </si>
  <si>
    <t>Discount for the fact that the paper only looks at 90 contries, rather than all 238 countries</t>
  </si>
  <si>
    <t>This is a guess. The paper looked at 90 LMIC countries. So DALY burden outside of that should be limited, but does leave out HICS, which might altogether have some part of the burden. They did leave out the balkans and countries in conflict (e.g. Syria)</t>
  </si>
  <si>
    <t xml:space="preserve">Total DALY burden Lead exposure GBD in 2024 for the 90 countries </t>
  </si>
  <si>
    <t>Formal recycling</t>
  </si>
  <si>
    <t>Amount of informal recycler for every formal recycler</t>
  </si>
  <si>
    <t>Total number of informal recyclers in all 90 countries in 2013</t>
  </si>
  <si>
    <t>Total number of informal recyclers in all 90 countries in 2024</t>
  </si>
  <si>
    <t>Estimate of average amount of formal recyclers per country</t>
  </si>
  <si>
    <t>Intuition, might be much higher if you also incorporate the informal but large recyclers (unclear if paper includes these)</t>
  </si>
  <si>
    <t>Total amount of formal recyclers</t>
  </si>
  <si>
    <t>Undiscounted additional DALY due to formal recycling</t>
  </si>
  <si>
    <t xml:space="preserve">More contamination per formal site, because troughput is higher </t>
  </si>
  <si>
    <t>Factor</t>
  </si>
  <si>
    <t>Intution</t>
  </si>
  <si>
    <t>Discount for formal sites being less so in populated areas</t>
  </si>
  <si>
    <t>Discounted additional DALY due to formal recycling</t>
  </si>
  <si>
    <t>Sanity check - formal recyclers account for x% of total burden of ULAB recycling</t>
  </si>
  <si>
    <t>Total burden of ULAB recycling in 2024 in the 90 countries</t>
  </si>
  <si>
    <t>Total burden of lead exposure in 2024 in the 90 countries</t>
  </si>
  <si>
    <t>IHME</t>
  </si>
  <si>
    <t>Percentage of Lead exposure burden attributable to ULAB recycling</t>
  </si>
  <si>
    <t>Total DALY burden in 90 countries</t>
  </si>
  <si>
    <r>
      <rPr/>
      <t xml:space="preserve">Paper by Bret Ericson: </t>
    </r>
    <r>
      <rPr>
        <color rgb="FF1155CC"/>
        <u/>
      </rPr>
      <t>https://annalsofglobalhealth.org/articles/231/files/submission/proof/231-1-536-1-10-20180511.pdf</t>
    </r>
  </si>
  <si>
    <t xml:space="preserve">Amount of Informal recyclers </t>
  </si>
  <si>
    <t>Amount of sites</t>
  </si>
  <si>
    <r>
      <rPr/>
      <t xml:space="preserve">Paper by Bret Ericson: </t>
    </r>
    <r>
      <rPr>
        <color rgb="FF1155CC"/>
        <u/>
      </rPr>
      <t>https://annalsofglobalhealth.org/articles/231/files/submission/proof/231-1-536-1-10-20180511.pdf</t>
    </r>
  </si>
  <si>
    <t>Naive average DALY burden per informal site</t>
  </si>
  <si>
    <t>DALY / site</t>
  </si>
  <si>
    <t>Discount for being densely populated compared to average</t>
  </si>
  <si>
    <t>Daly burden per informal site</t>
  </si>
  <si>
    <t>Overall population</t>
  </si>
  <si>
    <t>https://ourworldindata.org/grapher/population?tab=table</t>
  </si>
  <si>
    <t>Size of ULAB market compared to Bangladesh [Very naive]</t>
  </si>
  <si>
    <t>This is naive, I think ULAB is comperatively big in Bangladesh, so wouldn't scale with population directly</t>
  </si>
  <si>
    <t>Amount of informal sites per country</t>
  </si>
  <si>
    <t>Informal recycling sites per country</t>
  </si>
  <si>
    <r>
      <rPr>
        <color rgb="FF1155CC"/>
        <u/>
      </rPr>
      <t>https://www.unep.org/topics/chemicals-and-pollution-action/pollution-and-health/heavy-metals/used-lead-acid-batteries</t>
    </r>
    <r>
      <rPr/>
      <t xml:space="preserve"> claims there are over 1.100 sites in Bangladesh. </t>
    </r>
  </si>
  <si>
    <t>Total DALY burden per country due to informal ULAB recycling</t>
  </si>
  <si>
    <t>From here onwards: Similar to the Top down approach!</t>
  </si>
  <si>
    <t>Expected</t>
  </si>
  <si>
    <t>UseCarlo</t>
  </si>
  <si>
    <t>p05</t>
  </si>
  <si>
    <t>p95</t>
  </si>
  <si>
    <t>Param1</t>
  </si>
  <si>
    <t>Param2</t>
  </si>
  <si>
    <t>Param3</t>
  </si>
  <si>
    <t>NO EDIT</t>
  </si>
  <si>
    <t>Distr. mean</t>
  </si>
  <si>
    <t>Distr. median</t>
  </si>
  <si>
    <t>Comments</t>
  </si>
  <si>
    <t>DO NOT
EDIT COLUMN</t>
  </si>
  <si>
    <t>FORMULA DO NOT EDIT THIS COLUMN</t>
  </si>
  <si>
    <t>Geographic focus of this CEA</t>
  </si>
  <si>
    <t>Probability per year that change would happen anyway (even if no charity)</t>
  </si>
  <si>
    <r>
      <rPr>
        <rFont val="Arial"/>
        <color theme="1"/>
      </rPr>
      <t xml:space="preserve">Probability of success (that the expected impact happens) </t>
    </r>
    <r>
      <rPr>
        <rFont val="Arial"/>
        <color rgb="FF999999"/>
      </rPr>
      <t>[suggest: 90% for direct, 30% for policy]</t>
    </r>
  </si>
  <si>
    <t>Beta</t>
  </si>
  <si>
    <t>Not Implemented</t>
  </si>
  <si>
    <r>
      <rPr>
        <rFont val="Arial"/>
        <color theme="1"/>
      </rPr>
      <t xml:space="preserve">Last year charity runs if unsuccessful </t>
    </r>
    <r>
      <rPr>
        <rFont val="Arial"/>
        <color rgb="FF999999"/>
      </rPr>
      <t>[suggest: 4]</t>
    </r>
  </si>
  <si>
    <t>Normal</t>
  </si>
  <si>
    <t>Costs</t>
  </si>
  <si>
    <t>Key assumptions</t>
  </si>
  <si>
    <r>
      <rPr>
        <rFont val="Arial"/>
        <color theme="1"/>
      </rPr>
      <t xml:space="preserve">Discount rate, for costs </t>
    </r>
    <r>
      <rPr>
        <rFont val="Arial"/>
        <color rgb="FF999999"/>
      </rPr>
      <t>[keep fixed in all CEAs]</t>
    </r>
  </si>
  <si>
    <t>1. FIXED CHARITY COSTS</t>
  </si>
  <si>
    <t>Period 1 – initial scaling</t>
  </si>
  <si>
    <t>This section assumes a linear increase in fixed costs during the scaling period</t>
  </si>
  <si>
    <r>
      <rPr>
        <rFont val="Arial"/>
        <color theme="1"/>
      </rPr>
      <t xml:space="preserve">Cost period 1 begins in year __ </t>
    </r>
    <r>
      <rPr>
        <rFont val="Arial"/>
        <color rgb="FF999999"/>
      </rPr>
      <t>[fixed]</t>
    </r>
  </si>
  <si>
    <r>
      <rPr>
        <rFont val="Arial"/>
        <color theme="1"/>
      </rPr>
      <t xml:space="preserve">Cost period 1 ends in year __ </t>
    </r>
    <r>
      <rPr>
        <rFont val="Arial"/>
        <color rgb="FF999999"/>
      </rPr>
      <t>[suggest: 2-5; min: 2]</t>
    </r>
  </si>
  <si>
    <t>Period inclusive of this year</t>
  </si>
  <si>
    <r>
      <rPr>
        <rFont val="Arial"/>
        <color theme="1"/>
      </rPr>
      <t xml:space="preserve">Costs at period 1 start </t>
    </r>
    <r>
      <rPr>
        <rFont val="Arial"/>
        <color rgb="FF999999"/>
      </rPr>
      <t>[fixed, based on CE grant sizes]</t>
    </r>
  </si>
  <si>
    <t>LogNormal</t>
  </si>
  <si>
    <t>-</t>
  </si>
  <si>
    <r>
      <rPr>
        <rFont val="Arial"/>
        <color theme="1"/>
      </rPr>
      <t xml:space="preserve">Costs at period 1 end </t>
    </r>
    <r>
      <rPr>
        <rFont val="Arial"/>
        <color rgb="FF999999"/>
      </rPr>
      <t>[default: $250,000]</t>
    </r>
  </si>
  <si>
    <t>Total fixed costs over period 1, NPV</t>
  </si>
  <si>
    <t xml:space="preserve">   Increase per year</t>
  </si>
  <si>
    <t xml:space="preserve">   Total length of period</t>
  </si>
  <si>
    <t xml:space="preserve">   Cumulative discount multiplier over period</t>
  </si>
  <si>
    <t xml:space="preserve">   Total fixed costs of period at starting year of period</t>
  </si>
  <si>
    <t>Formula based on SUM (a+kb)r^k, where k is variable 0→year (C10) and a is base cost (C19) and b is annual addition (C14) and r is the discount rate (C5)</t>
  </si>
  <si>
    <t xml:space="preserve">   Total fixed costs over period, NPV (single line formula version)</t>
  </si>
  <si>
    <t>Total fixed costs over period 1, NPV, if not successful</t>
  </si>
  <si>
    <t>Period 2 – ongoing costs</t>
  </si>
  <si>
    <t>← Can copy and paste these rows (or section above) to add additional costing periods below</t>
  </si>
  <si>
    <r>
      <rPr>
        <rFont val="Arial"/>
        <color theme="1"/>
      </rPr>
      <t xml:space="preserve">Cost period 2 begins in year ___ </t>
    </r>
    <r>
      <rPr>
        <rFont val="Arial"/>
        <color rgb="FF999999"/>
      </rPr>
      <t>[previous period end +1]</t>
    </r>
  </si>
  <si>
    <r>
      <rPr>
        <rFont val="Arial"/>
        <color theme="1"/>
      </rPr>
      <t xml:space="preserve">Cost period 2 ends on year ___ OR "ongoing" </t>
    </r>
    <r>
      <rPr>
        <rFont val="Arial"/>
        <color rgb="FF999999"/>
      </rPr>
      <t>[suggest: 16]</t>
    </r>
  </si>
  <si>
    <t>Annual fixed costs in this period</t>
  </si>
  <si>
    <r>
      <rPr>
        <rFont val="Arial"/>
        <b/>
        <color theme="1"/>
      </rPr>
      <t>Total fixed costs</t>
    </r>
    <r>
      <rPr>
        <rFont val="Arial"/>
        <color theme="1"/>
      </rPr>
      <t xml:space="preserve"> over period 2, NPV</t>
    </r>
  </si>
  <si>
    <t>Total fixed costs over period 2, NPV, if not successful</t>
  </si>
  <si>
    <t>Cost of intervention per person</t>
  </si>
  <si>
    <t>$/person</t>
  </si>
  <si>
    <t>Variable costs per [group] (for staff/training/set-up/etc)</t>
  </si>
  <si>
    <t>Number of people reached [by/in] in each [group/etc]</t>
  </si>
  <si>
    <t>person</t>
  </si>
  <si>
    <t>Total cost per person</t>
  </si>
  <si>
    <t>Number of people reached, NPV</t>
  </si>
  <si>
    <r>
      <rPr>
        <rFont val="Arial"/>
        <b/>
        <color theme="1"/>
      </rPr>
      <t>Total variable costs</t>
    </r>
    <r>
      <rPr>
        <rFont val="Arial"/>
        <color theme="1"/>
      </rPr>
      <t>, NPV</t>
    </r>
  </si>
  <si>
    <r>
      <rPr>
        <rFont val="Arial"/>
        <color rgb="FF000000"/>
      </rPr>
      <t xml:space="preserve">Total variable costs, NPV, if not successful </t>
    </r>
    <r>
      <rPr>
        <rFont val="Arial"/>
        <color rgb="FF999999"/>
      </rPr>
      <t>[Suggest: $0]</t>
    </r>
  </si>
  <si>
    <t>2. TOTAL CHARITY COSTS</t>
  </si>
  <si>
    <t>Total costs if successful</t>
  </si>
  <si>
    <t>Total costs if not successful</t>
  </si>
  <si>
    <t>3. NON-CHARITY COSTS</t>
  </si>
  <si>
    <t>Costs to government</t>
  </si>
  <si>
    <t>Costs to other charities</t>
  </si>
  <si>
    <t>Effects per [person]</t>
  </si>
  <si>
    <r>
      <rPr>
        <rFont val="Arial"/>
        <color theme="1"/>
      </rPr>
      <t xml:space="preserve">One year of doubled consumption to DALYs </t>
    </r>
    <r>
      <rPr>
        <rFont val="Arial"/>
        <color rgb="FF999999"/>
      </rPr>
      <t>[fixed]</t>
    </r>
  </si>
  <si>
    <r>
      <rPr>
        <rFont val="Arial"/>
        <color theme="1"/>
      </rPr>
      <t xml:space="preserve">Discount rate, for impacts per person </t>
    </r>
    <r>
      <rPr>
        <rFont val="Arial"/>
        <color rgb="FF999999"/>
      </rPr>
      <t>[fixed]</t>
    </r>
  </si>
  <si>
    <t>[Effect 1]</t>
  </si>
  <si>
    <t>[informed input]</t>
  </si>
  <si>
    <t>[guess input]</t>
  </si>
  <si>
    <t>[Effect size]</t>
  </si>
  <si>
    <t>e.g. DALYs</t>
  </si>
  <si>
    <r>
      <rPr>
        <rFont val="Arial"/>
        <color rgb="FF000000"/>
      </rPr>
      <t xml:space="preserve">  Internal validity effect </t>
    </r>
    <r>
      <rPr>
        <rFont val="Arial"/>
        <color rgb="FF999999"/>
      </rPr>
      <t>[Suggest range 0% to -80%, e.g. -40%]</t>
    </r>
  </si>
  <si>
    <r>
      <rPr>
        <rFont val="Arial"/>
        <color rgb="FF000000"/>
      </rPr>
      <t xml:space="preserve">  External validity effect </t>
    </r>
    <r>
      <rPr>
        <rFont val="Arial"/>
        <color rgb="FF999999"/>
      </rPr>
      <t>[Suggest range +40% to -80%, e.g. -10%]</t>
    </r>
  </si>
  <si>
    <t>[Discounted effect size]</t>
  </si>
  <si>
    <t>[calculation]</t>
  </si>
  <si>
    <t>count/year</t>
  </si>
  <si>
    <t>Timing of effect</t>
  </si>
  <si>
    <t>Impact per person per year</t>
  </si>
  <si>
    <r>
      <rPr>
        <rFont val="Arial"/>
        <color theme="1"/>
      </rPr>
      <t xml:space="preserve">Number of years that impact spread over </t>
    </r>
    <r>
      <rPr>
        <rFont val="Arial"/>
        <color rgb="FF999999"/>
      </rPr>
      <t>[Suggest: 1-40; Min: 1]</t>
    </r>
  </si>
  <si>
    <r>
      <rPr>
        <rFont val="Arial"/>
        <color theme="1"/>
      </rPr>
      <t xml:space="preserve">Delay on impact starting from intervention date </t>
    </r>
    <r>
      <rPr>
        <rFont val="Arial"/>
        <color rgb="FF999999"/>
      </rPr>
      <t>[Suggest: 0]</t>
    </r>
  </si>
  <si>
    <t>Value of impact in year of intervention (discounted), per person</t>
  </si>
  <si>
    <t>[Effect 2]</t>
  </si>
  <si>
    <t>Costs/Disbenefits to beneficiaries</t>
  </si>
  <si>
    <t>← If no or only negligible put as "0" and justify reasoning. Suggest for most CEAs do one or other. (Note if costs/disbenefits delayed can use "timing of effect" calculations above)</t>
  </si>
  <si>
    <t>Health disbenefits per beneficiary per year</t>
  </si>
  <si>
    <t>[DALY]/person/year</t>
  </si>
  <si>
    <r>
      <rPr>
        <rFont val="Arial"/>
        <color theme="1"/>
      </rPr>
      <t xml:space="preserve">Cost per beneficiary per year </t>
    </r>
    <r>
      <rPr>
        <rFont val="Arial"/>
        <color rgb="FF999999"/>
      </rPr>
      <t>[Optional, delete if a DALY/$ CEA]</t>
    </r>
  </si>
  <si>
    <t>$/person/year</t>
  </si>
  <si>
    <t>Total impact per person per year,  in year of intervention (discounted)</t>
  </si>
  <si>
    <t>← suggest for most CEAs do one or the other</t>
  </si>
  <si>
    <t>Total net [health/consumption] impact per person per year</t>
  </si>
  <si>
    <t>Effects, reach of intervention</t>
  </si>
  <si>
    <r>
      <rPr>
        <rFont val="Arial"/>
        <color theme="1"/>
      </rPr>
      <t xml:space="preserve">Population growth rate </t>
    </r>
    <r>
      <rPr>
        <rFont val="Arial"/>
        <color rgb="FF999999"/>
      </rPr>
      <t>[if relevant, e.g. +5% if intervention drives national policy change that affects the whole country and the country has a 5% population growth]</t>
    </r>
  </si>
  <si>
    <r>
      <rPr>
        <rFont val="Arial"/>
        <color theme="1"/>
      </rPr>
      <t>DALY rate change over time</t>
    </r>
    <r>
      <rPr>
        <rFont val="Arial"/>
        <color rgb="FF999999"/>
      </rPr>
      <t xml:space="preserve"> [if relevant, e.g. -2.5% if infant mortality is decreasing by 2.5% per year]</t>
    </r>
  </si>
  <si>
    <t>Effective discount rate, for reach of costs over time</t>
  </si>
  <si>
    <t>Effective discount rate, for reach of impacts over time</t>
  </si>
  <si>
    <t>Number of people can reach a year</t>
  </si>
  <si>
    <t>Impact timing and calculations</t>
  </si>
  <si>
    <r>
      <rPr>
        <rFont val="Arial"/>
        <color theme="1"/>
      </rPr>
      <t xml:space="preserve">Impact period 1 begins in year __ </t>
    </r>
    <r>
      <rPr>
        <rFont val="Arial"/>
        <color rgb="FF999999"/>
      </rPr>
      <t>[suggest: 0, suggest range 0-2]</t>
    </r>
  </si>
  <si>
    <r>
      <rPr>
        <rFont val="Arial"/>
        <color theme="1"/>
      </rPr>
      <t xml:space="preserve">Impact period 1 ends (reaches end costs) in year __ </t>
    </r>
    <r>
      <rPr>
        <rFont val="Arial"/>
        <color rgb="FF999999"/>
      </rPr>
      <t>[suggest: 2-8]</t>
    </r>
  </si>
  <si>
    <r>
      <rPr>
        <rFont val="Arial"/>
        <color theme="1"/>
      </rPr>
      <t xml:space="preserve">Number of people reached in first year of period 1 </t>
    </r>
    <r>
      <rPr>
        <rFont val="Arial"/>
        <color rgb="FF999999"/>
      </rPr>
      <t>[suggest: 0]</t>
    </r>
  </si>
  <si>
    <t>People</t>
  </si>
  <si>
    <t>Number of people reached per year when at scale</t>
  </si>
  <si>
    <t>Increase per year</t>
  </si>
  <si>
    <t>Total people reached over period 1, NPV, for costs</t>
  </si>
  <si>
    <t>Total people reached over period 1, NPV, for impacts</t>
  </si>
  <si>
    <t>Period 2 – running at scale</t>
  </si>
  <si>
    <r>
      <rPr>
        <rFont val="Arial"/>
        <color theme="1"/>
      </rPr>
      <t xml:space="preserve">Impact period 2 begins on year ___ </t>
    </r>
    <r>
      <rPr>
        <rFont val="Arial"/>
        <color rgb="FF999999"/>
      </rPr>
      <t>[previous period end +1]</t>
    </r>
  </si>
  <si>
    <r>
      <rPr>
        <rFont val="Arial"/>
        <color theme="1"/>
      </rPr>
      <t xml:space="preserve">Impact period 2 ends on year ___ OR "ongoing" </t>
    </r>
    <r>
      <rPr>
        <rFont val="Arial"/>
        <color rgb="FF999999"/>
      </rPr>
      <t>[suggest: 15]</t>
    </r>
  </si>
  <si>
    <t>Annual number of people reached in period 2</t>
  </si>
  <si>
    <t>Total people reached over period 2, NPV, for costs</t>
  </si>
  <si>
    <t>Total people reached over period 2, NPV, for impacts</t>
  </si>
  <si>
    <t>Total reach</t>
  </si>
  <si>
    <t>Total people reached, NPV, for costs</t>
  </si>
  <si>
    <t>Total people reached, NPV, for impacts</t>
  </si>
  <si>
    <t>[DALY/$/impact] per person reached per year</t>
  </si>
  <si>
    <t>Charity costs-effectiveness when at scale (not discounting)</t>
  </si>
  <si>
    <t>People/year</t>
  </si>
  <si>
    <t>[DALY,$,impact] per year when at scale</t>
  </si>
  <si>
    <t>[DALY]/year</t>
  </si>
  <si>
    <t>Cost per year when at scale (charity costs only)</t>
  </si>
  <si>
    <t>Cost effectiveness per year when at scale ($/DALY)</t>
  </si>
  <si>
    <t>Cost effectiveness per year when at scale (DALY/$1000)</t>
  </si>
  <si>
    <t>Charity costs-effectiveness</t>
  </si>
  <si>
    <t>Number of people reached total, NPV</t>
  </si>
  <si>
    <t>[DALY/$/impact] total, NPV</t>
  </si>
  <si>
    <t>Cost total, NPV</t>
  </si>
  <si>
    <t>Cost effectiveness ($/DALY)</t>
  </si>
  <si>
    <t>Cost effectiveness (DALY/$1000)</t>
  </si>
  <si>
    <t>output</t>
  </si>
  <si>
    <t>Charity costs in case where charity is successful</t>
  </si>
  <si>
    <t>Cost total of a single successful charity, NPV</t>
  </si>
  <si>
    <t>Charity costs ignoring counterfactuals</t>
  </si>
  <si>
    <t>Charity costs and government costs</t>
  </si>
  <si>
    <t>Cost-effectiveness, total costs (DALYs/$1000)</t>
  </si>
  <si>
    <t>0. DUPLICATE TEMPLATE
BEFORE USE</t>
  </si>
  <si>
    <t xml:space="preserve">   CALCAULTIONS</t>
  </si>
  <si>
    <t>↓ NOTE: If you want more columns, you have to:  
add a column to the right of column F and copy column F equations to the new column. Do the same for column I. Repeat to as many columns as you want</t>
  </si>
  <si>
    <t xml:space="preserve"> ↓ 3. ADD DATA HEADINGS</t>
  </si>
  <si>
    <t>2. FILL OUT THESE</t>
  </si>
  <si>
    <r>
      <rPr>
        <rFont val="Calibri"/>
        <b/>
        <color rgb="FF36B300"/>
        <sz val="13.0"/>
      </rPr>
      <t xml:space="preserve">1. COPY DATA HERE ↓      </t>
    </r>
    <r>
      <rPr>
        <rFont val="Calibri"/>
        <b val="0"/>
        <color rgb="FF36B300"/>
        <sz val="13.0"/>
      </rPr>
      <t>make sure data headings are in the top row and country names in the first column</t>
    </r>
  </si>
  <si>
    <t xml:space="preserve">↓ Can do calcaultions on data here if you need to ↓ </t>
  </si>
  <si>
    <t>CE Country list</t>
  </si>
  <si>
    <t>Region</t>
  </si>
  <si>
    <t>Country MATCH position</t>
  </si>
  <si>
    <t>Median salary of working people</t>
  </si>
  <si>
    <t>Headings:</t>
  </si>
  <si>
    <t>Country</t>
  </si>
  <si>
    <t>Median income or consumption (2017 $)</t>
  </si>
  <si>
    <t>Annual income (2024 $)</t>
  </si>
  <si>
    <t>% working age</t>
  </si>
  <si>
    <t>Unemployment</t>
  </si>
  <si>
    <r>
      <rPr>
        <rFont val="Calibri"/>
        <b/>
        <color rgb="FF36B300"/>
        <sz val="11.0"/>
      </rPr>
      <t xml:space="preserve">← 4.
COPY –
</t>
    </r>
    <r>
      <rPr>
        <rFont val="Calibri"/>
        <b val="0"/>
        <color rgb="FF36B300"/>
        <sz val="11.0"/>
      </rPr>
      <t>Use a
forumula
to inport
data OR
copy and
paste data
into: "Data 
summary"
tab</t>
    </r>
  </si>
  <si>
    <t>Afghanistan</t>
  </si>
  <si>
    <t>NA</t>
  </si>
  <si>
    <t>DATA DESCRIPTION</t>
  </si>
  <si>
    <t>Albania</t>
  </si>
  <si>
    <t>Algeria</t>
  </si>
  <si>
    <t>Calculating median salary based on data on median per-capita income.</t>
  </si>
  <si>
    <t>Andorra</t>
  </si>
  <si>
    <t>Angola</t>
  </si>
  <si>
    <t>Antigua and Barbuda</t>
  </si>
  <si>
    <t>DATA SOURCE</t>
  </si>
  <si>
    <t>Armenia</t>
  </si>
  <si>
    <t>Aruba</t>
  </si>
  <si>
    <t>OWiD</t>
  </si>
  <si>
    <t>Australia</t>
  </si>
  <si>
    <t>Austria</t>
  </si>
  <si>
    <t>IF DATA MISSING:</t>
  </si>
  <si>
    <t>Azerbaijan</t>
  </si>
  <si>
    <t>Bahamas</t>
  </si>
  <si>
    <t>Use regional average</t>
  </si>
  <si>
    <t>Bahrain</t>
  </si>
  <si>
    <r>
      <rPr>
        <rFont val="Calibri"/>
        <color rgb="FF666666"/>
        <sz val="9.0"/>
      </rPr>
      <t xml:space="preserve">• </t>
    </r>
    <r>
      <rPr>
        <rFont val="Calibri"/>
        <b/>
        <color rgb="FF666666"/>
        <sz val="9.0"/>
      </rPr>
      <t>Regional average</t>
    </r>
    <r>
      <rPr>
        <rFont val="Calibri"/>
        <color rgb="FF666666"/>
        <sz val="9.0"/>
      </rPr>
      <t xml:space="preserve"> – If only a few data points missing, it's okay to use regional average (especially true for per capita or "rates" data). But be careful with using regional averages for absolute numbers.
• </t>
    </r>
    <r>
      <rPr>
        <rFont val="Calibri"/>
        <b/>
        <color rgb="FF666666"/>
        <sz val="9.0"/>
      </rPr>
      <t>Global average / blanks</t>
    </r>
    <r>
      <rPr>
        <rFont val="Calibri"/>
        <color rgb="FF666666"/>
        <sz val="9.0"/>
      </rPr>
      <t xml:space="preserve"> – In general if there are lots of data missing, it's better to leave missing data blank, or use the global average (these are the same when z-scored).
• </t>
    </r>
    <r>
      <rPr>
        <rFont val="Calibri"/>
        <b/>
        <color rgb="FF666666"/>
        <sz val="9.0"/>
      </rPr>
      <t>Fill with zeros</t>
    </r>
    <r>
      <rPr>
        <rFont val="Calibri"/>
        <color rgb="FF666666"/>
        <sz val="9.0"/>
      </rPr>
      <t xml:space="preserve"> – Only used when missing data strongly implies the results are zero for all unlisted countries (e.g. number of hurricanes hitting each country).
• </t>
    </r>
    <r>
      <rPr>
        <rFont val="Calibri"/>
        <b/>
        <color rgb="FF666666"/>
        <sz val="9.0"/>
      </rPr>
      <t>Global median scores</t>
    </r>
    <r>
      <rPr>
        <rFont val="Calibri"/>
        <color rgb="FF666666"/>
        <sz val="9.0"/>
      </rPr>
      <t xml:space="preserve"> – Might very occasionally be appropriate where there are a few clear anomalously high countries.</t>
    </r>
  </si>
  <si>
    <t>Barbados</t>
  </si>
  <si>
    <t>Belarus</t>
  </si>
  <si>
    <t>Belgium</t>
  </si>
  <si>
    <t>Belize</t>
  </si>
  <si>
    <t>Benin</t>
  </si>
  <si>
    <t>Bermuda</t>
  </si>
  <si>
    <t>Bhutan</t>
  </si>
  <si>
    <t>Bolivia</t>
  </si>
  <si>
    <t>Bosnia and Herzegovina</t>
  </si>
  <si>
    <t>Botswana</t>
  </si>
  <si>
    <t>Brunei</t>
  </si>
  <si>
    <t>Bulgaria</t>
  </si>
  <si>
    <t>Burkina Faso</t>
  </si>
  <si>
    <t>Burundi</t>
  </si>
  <si>
    <t>Cambodia</t>
  </si>
  <si>
    <t>Cameroon</t>
  </si>
  <si>
    <t>Canada</t>
  </si>
  <si>
    <t>Cape Verde</t>
  </si>
  <si>
    <t>Central African Republic</t>
  </si>
  <si>
    <t>Chad</t>
  </si>
  <si>
    <t>Chile</t>
  </si>
  <si>
    <t>China</t>
  </si>
  <si>
    <t>Comoros</t>
  </si>
  <si>
    <t>Congo</t>
  </si>
  <si>
    <t>Cook Islands</t>
  </si>
  <si>
    <t>Costa Rica</t>
  </si>
  <si>
    <t>Cote d'Ivoire</t>
  </si>
  <si>
    <t>Croatia</t>
  </si>
  <si>
    <t>Cuba</t>
  </si>
  <si>
    <t>Curacao</t>
  </si>
  <si>
    <t>Cyprus</t>
  </si>
  <si>
    <t>Czechia</t>
  </si>
  <si>
    <t>Democratic Republic of Congo</t>
  </si>
  <si>
    <t>Denmark</t>
  </si>
  <si>
    <t>Djibouti</t>
  </si>
  <si>
    <t>Dominica</t>
  </si>
  <si>
    <t>Dominican Republic</t>
  </si>
  <si>
    <t>East Timor</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</si>
  <si>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</si>
  <si>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</si>
  <si>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</si>
  <si>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</si>
  <si>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</si>
  <si>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</si>
  <si>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</si>
  <si>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</si>
  <si>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</si>
  <si>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</si>
  <si>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</si>
  <si>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</si>
  <si>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</si>
  <si>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</si>
  <si>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</si>
  <si>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</si>
  <si>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</si>
  <si>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</si>
  <si>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</si>
  <si>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</si>
  <si>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</si>
  <si>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</si>
  <si>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</si>
  <si>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</si>
  <si>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</si>
  <si>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</si>
  <si>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</si>
  <si>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</si>
  <si>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</si>
  <si>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</si>
  <si>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</si>
  <si>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</si>
  <si>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</si>
  <si>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</si>
  <si>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</si>
  <si>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</si>
  <si>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</si>
  <si>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</si>
  <si>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</si>
  <si>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</si>
  <si>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</si>
  <si>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</si>
  <si>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</si>
  <si>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</si>
  <si>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</si>
  <si>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</si>
  <si>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</si>
  <si>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</si>
  <si>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</si>
  <si>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</si>
  <si>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</si>
  <si>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</si>
  <si>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</si>
  <si>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</si>
  <si>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</si>
  <si>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</si>
  <si>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</si>
  <si>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</si>
  <si>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</si>
  <si>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</si>
  <si>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</si>
  <si>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(country)</t>
  </si>
  <si>
    <t>Moldova</t>
  </si>
  <si>
    <t>Monaco</t>
  </si>
  <si>
    <t>Mongolia</t>
  </si>
  <si>
    <t>Montenegro</t>
  </si>
  <si>
    <t>Montserrat</t>
  </si>
  <si>
    <t>Morocco</t>
  </si>
  <si>
    <t>Mozambique</t>
  </si>
  <si>
    <t>Myanmar</t>
  </si>
  <si>
    <t>Namibia</t>
  </si>
  <si>
    <t>Nauru</t>
  </si>
  <si>
    <t>Nepal</t>
  </si>
  <si>
    <t>Netherlands</t>
  </si>
  <si>
    <t>New Zealand</t>
  </si>
  <si>
    <t>Nicaragua</t>
  </si>
  <si>
    <t>Niger</t>
  </si>
  <si>
    <t>Nigeria</t>
  </si>
  <si>
    <t>North Macedonia</t>
  </si>
  <si>
    <t>Norway</t>
  </si>
  <si>
    <t>Oman</t>
  </si>
  <si>
    <t>Pakistan</t>
  </si>
  <si>
    <t>Palestine</t>
  </si>
  <si>
    <t>Panama</t>
  </si>
  <si>
    <t>Papua New Guinea</t>
  </si>
  <si>
    <t>Paraguay</t>
  </si>
  <si>
    <t>Peru</t>
  </si>
  <si>
    <t>Philippines</t>
  </si>
  <si>
    <t>Poland</t>
  </si>
  <si>
    <t>Portugal</t>
  </si>
  <si>
    <t>Qatar</t>
  </si>
  <si>
    <t>Romania</t>
  </si>
  <si>
    <t>Russia</t>
  </si>
  <si>
    <t>Rwanda</t>
  </si>
  <si>
    <t>Saint Lucia</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</si>
  <si>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</si>
  <si>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</si>
  <si>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</si>
  <si>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</si>
  <si>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</si>
  <si>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</si>
  <si>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</si>
  <si>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</si>
  <si>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</si>
  <si>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</si>
  <si>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</si>
  <si>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</si>
  <si>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</si>
  <si>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</si>
  <si>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</si>
  <si>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</si>
  <si>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</si>
  <si>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</si>
  <si>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</si>
  <si>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</si>
  <si>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</si>
  <si>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</si>
  <si>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</si>
  <si>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</si>
  <si>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</si>
  <si>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</si>
  <si>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</si>
  <si>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</si>
  <si>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</si>
  <si>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</si>
  <si>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</si>
  <si>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</si>
  <si>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</si>
  <si>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</si>
  <si>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</si>
  <si>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</si>
  <si>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</si>
  <si>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</si>
  <si>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</si>
  <si>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</si>
  <si>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</si>
  <si>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</si>
  <si>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World</t>
  </si>
  <si>
    <t>Yemen</t>
  </si>
  <si>
    <t>Zambia</t>
  </si>
  <si>
    <t>Zimbabwe</t>
  </si>
  <si>
    <t>XX</t>
  </si>
  <si>
    <t>GLOBAL AVERAGE</t>
  </si>
  <si>
    <t>Global median</t>
  </si>
  <si>
    <t>REGIONAL AVERAGES</t>
  </si>
  <si>
    <t>Caribbean</t>
  </si>
  <si>
    <t>Central Asia</t>
  </si>
  <si>
    <t>East Asia</t>
  </si>
  <si>
    <t>Europe</t>
  </si>
  <si>
    <t>Latin America</t>
  </si>
  <si>
    <t>North Africa</t>
  </si>
  <si>
    <t>North America</t>
  </si>
  <si>
    <t>Oceania</t>
  </si>
  <si>
    <t>South Asia</t>
  </si>
  <si>
    <t>Southeast Asia</t>
  </si>
  <si>
    <t>Sub-Saharan Africa</t>
  </si>
  <si>
    <t>West Asia</t>
  </si>
  <si>
    <t>STATES AVERAGES</t>
  </si>
  <si>
    <t>Indian state</t>
  </si>
  <si>
    <t>Nigerian state</t>
  </si>
  <si>
    <t>#</t>
  </si>
  <si>
    <t>Country code</t>
  </si>
  <si>
    <t>Country alt name 1</t>
  </si>
  <si>
    <t>Country alt name 2</t>
  </si>
  <si>
    <t>Country alt name 3</t>
  </si>
  <si>
    <t>Country alt name 4</t>
  </si>
  <si>
    <t>Country alt name 5</t>
  </si>
  <si>
    <t>NOT A COUNTRY</t>
  </si>
  <si>
    <t>Not on the list as:</t>
  </si>
  <si>
    <t>Non-country name</t>
  </si>
  <si>
    <t>Non-country alt name 1</t>
  </si>
  <si>
    <t>Non-country alt name 2</t>
  </si>
  <si>
    <t>Non-country alt name 3</t>
  </si>
  <si>
    <t>Non-country alt name 4</t>
  </si>
  <si>
    <t>Non-country alt name 5</t>
  </si>
  <si>
    <t>Non-country alt name 6</t>
  </si>
  <si>
    <t>LOCAL STATES</t>
  </si>
  <si>
    <t>State list</t>
  </si>
  <si>
    <t>State of</t>
  </si>
  <si>
    <t>AFG</t>
  </si>
  <si>
    <t>Islamic Republic of Afghanistan</t>
  </si>
  <si>
    <t>Uttar Pradesh</t>
  </si>
  <si>
    <t>IND1</t>
  </si>
  <si>
    <t>ALB</t>
  </si>
  <si>
    <t>Republic of Albania</t>
  </si>
  <si>
    <t>Bihar</t>
  </si>
  <si>
    <t>IND2</t>
  </si>
  <si>
    <t>DZA</t>
  </si>
  <si>
    <t>People's Democratic Republic of Algeria</t>
  </si>
  <si>
    <t>Maharashtra</t>
  </si>
  <si>
    <t>IND3</t>
  </si>
  <si>
    <t>AND</t>
  </si>
  <si>
    <t>Principality of Andorra</t>
  </si>
  <si>
    <t>West Bengal</t>
  </si>
  <si>
    <t>IND4</t>
  </si>
  <si>
    <t>AGO</t>
  </si>
  <si>
    <t>Republic of Angola</t>
  </si>
  <si>
    <t>Madhya Pradesh</t>
  </si>
  <si>
    <t>IND5</t>
  </si>
  <si>
    <t>ATG</t>
  </si>
  <si>
    <t>Rajasthan</t>
  </si>
  <si>
    <t>IND6</t>
  </si>
  <si>
    <t>ARG</t>
  </si>
  <si>
    <t>Argentine Republic</t>
  </si>
  <si>
    <t>Tamil Nadu</t>
  </si>
  <si>
    <t>IND7</t>
  </si>
  <si>
    <t>ARM</t>
  </si>
  <si>
    <t>Republic of Armenia</t>
  </si>
  <si>
    <t>Karnataka</t>
  </si>
  <si>
    <t>IND8</t>
  </si>
  <si>
    <t>AUS</t>
  </si>
  <si>
    <t>Gujarat</t>
  </si>
  <si>
    <t>IND9</t>
  </si>
  <si>
    <t>AUT</t>
  </si>
  <si>
    <t>Republic of Austria</t>
  </si>
  <si>
    <t>Andhra Pradesh</t>
  </si>
  <si>
    <t>IND10</t>
  </si>
  <si>
    <t>AZE</t>
  </si>
  <si>
    <t>Republic of Azerbaijan</t>
  </si>
  <si>
    <t>Odisha</t>
  </si>
  <si>
    <t>IND11</t>
  </si>
  <si>
    <t>BHS</t>
  </si>
  <si>
    <t>Commonwealth of the Bahamas</t>
  </si>
  <si>
    <t>Telangana</t>
  </si>
  <si>
    <t>IND12</t>
  </si>
  <si>
    <t>BHR</t>
  </si>
  <si>
    <t>Kingdom of Bahrain</t>
  </si>
  <si>
    <t>Not recognsied by the UN</t>
  </si>
  <si>
    <t>Abkhazia (Georgia)</t>
  </si>
  <si>
    <t>Abkhazia</t>
  </si>
  <si>
    <t>Jharkhand</t>
  </si>
  <si>
    <t>IND13</t>
  </si>
  <si>
    <t>BGD</t>
  </si>
  <si>
    <t>People's Republic of Bangladesh</t>
  </si>
  <si>
    <t>Akrotiti and Dhekelia (UK)</t>
  </si>
  <si>
    <t>Akrotiti and Dhekelia</t>
  </si>
  <si>
    <t>Akrotiti and Dhekelia (United Kingdom)</t>
  </si>
  <si>
    <t>Kerala</t>
  </si>
  <si>
    <t>IND14</t>
  </si>
  <si>
    <t>BRB</t>
  </si>
  <si>
    <t>Åland (Finland)</t>
  </si>
  <si>
    <t>Åland</t>
  </si>
  <si>
    <t>Assam</t>
  </si>
  <si>
    <t>IND15</t>
  </si>
  <si>
    <t>BLR</t>
  </si>
  <si>
    <t>Republic of Belarus</t>
  </si>
  <si>
    <t>American Samoa (US)</t>
  </si>
  <si>
    <t>American Samoa</t>
  </si>
  <si>
    <t>American Samoa (United States)</t>
  </si>
  <si>
    <t>Punjab</t>
  </si>
  <si>
    <t>IND16</t>
  </si>
  <si>
    <t>BEL</t>
  </si>
  <si>
    <t>Kingdom of Belgium</t>
  </si>
  <si>
    <t>Anguilla (UK)</t>
  </si>
  <si>
    <t>Anguilla</t>
  </si>
  <si>
    <t>Anguilla (United Kingdom)</t>
  </si>
  <si>
    <t>Chhattisgarh</t>
  </si>
  <si>
    <t>IND17</t>
  </si>
  <si>
    <t>BLZ</t>
  </si>
  <si>
    <t>Artsakh (Azerbaijan)</t>
  </si>
  <si>
    <t>Artsakh</t>
  </si>
  <si>
    <t>Haryana</t>
  </si>
  <si>
    <t>IND18</t>
  </si>
  <si>
    <t>BEN</t>
  </si>
  <si>
    <t>Republic of Benin</t>
  </si>
  <si>
    <t>Aruba (Netherlands)</t>
  </si>
  <si>
    <t>Delhi</t>
  </si>
  <si>
    <t>INDNCT</t>
  </si>
  <si>
    <t>BTN</t>
  </si>
  <si>
    <t>Kingdom of Bhutan</t>
  </si>
  <si>
    <t>Ashmore and Cartier Islands (Australia)</t>
  </si>
  <si>
    <t>Ashmore and Cartier Islands</t>
  </si>
  <si>
    <t>Jammu &amp; Kashmir</t>
  </si>
  <si>
    <t>INDUT1</t>
  </si>
  <si>
    <t>BOL</t>
  </si>
  <si>
    <t>Bolivia (Plurinational State of)</t>
  </si>
  <si>
    <t>Plurinational State of Bolivia</t>
  </si>
  <si>
    <t>Bailiwick of Guernsey (UK crown dependency)</t>
  </si>
  <si>
    <t>Bailiwick of Guernsey</t>
  </si>
  <si>
    <t>Bailiwick of Guernsey (United Kingdom crown dependency)</t>
  </si>
  <si>
    <t>Guernsey (British Crown Dependency)</t>
  </si>
  <si>
    <t>Guernsey (UK Crown Dependency)</t>
  </si>
  <si>
    <t>Guernsey</t>
  </si>
  <si>
    <t>Uttarakhand</t>
  </si>
  <si>
    <t>IND19</t>
  </si>
  <si>
    <t>Bosnia</t>
  </si>
  <si>
    <t>BIH</t>
  </si>
  <si>
    <t>Bailiwick of Jersey (UK crown dependency)</t>
  </si>
  <si>
    <t>Bailiwick of Jersey</t>
  </si>
  <si>
    <t>Bailiwick of Jersey (United Kingdom crown dependency)</t>
  </si>
  <si>
    <t>Jersey (British Crown Dependency)</t>
  </si>
  <si>
    <t>Jersey (UK Crown Dependency)</t>
  </si>
  <si>
    <t>Jersey</t>
  </si>
  <si>
    <t>Himachal Pradesh</t>
  </si>
  <si>
    <t>IND20</t>
  </si>
  <si>
    <t>BWA</t>
  </si>
  <si>
    <t>Republic of Botswana</t>
  </si>
  <si>
    <t>Baker Island (US)</t>
  </si>
  <si>
    <t>Baker Island</t>
  </si>
  <si>
    <t>Baker Island (United States)</t>
  </si>
  <si>
    <t>Tripura</t>
  </si>
  <si>
    <t>IND21</t>
  </si>
  <si>
    <t>BRA</t>
  </si>
  <si>
    <t>Federative Republic of Brazil</t>
  </si>
  <si>
    <t>Bermuda (UK)</t>
  </si>
  <si>
    <t>Bermuda (United Kingdom)</t>
  </si>
  <si>
    <t>Meghalaya</t>
  </si>
  <si>
    <t>IND22</t>
  </si>
  <si>
    <t>Brunei Darussalam</t>
  </si>
  <si>
    <t>BRN</t>
  </si>
  <si>
    <t>Bonaire (Netherlands)</t>
  </si>
  <si>
    <t>Bonaire</t>
  </si>
  <si>
    <t>Manipur</t>
  </si>
  <si>
    <t>IND23</t>
  </si>
  <si>
    <t>BGR</t>
  </si>
  <si>
    <t>Republic of Bulgaria</t>
  </si>
  <si>
    <t>Bouvet Island (Norway)</t>
  </si>
  <si>
    <t>Bouvet Island</t>
  </si>
  <si>
    <t>Nagaland</t>
  </si>
  <si>
    <t>IND24</t>
  </si>
  <si>
    <t>BFA</t>
  </si>
  <si>
    <t>British Indian Ocean Territory (UK)</t>
  </si>
  <si>
    <t>British Indian Ocean Territory</t>
  </si>
  <si>
    <t>British Indian Ocean Territory (United Kingdom)</t>
  </si>
  <si>
    <t>Goa</t>
  </si>
  <si>
    <t>IND25</t>
  </si>
  <si>
    <t>BDI</t>
  </si>
  <si>
    <t>Republic of Burundi</t>
  </si>
  <si>
    <t>British Virgin Islands (UK)</t>
  </si>
  <si>
    <t>British Virgin Islands</t>
  </si>
  <si>
    <t>British Virgin Islands (United Kingdom)</t>
  </si>
  <si>
    <t>Arunachal Pradesh</t>
  </si>
  <si>
    <t>IND26</t>
  </si>
  <si>
    <t>KHM</t>
  </si>
  <si>
    <t>Kingdom of Cambodia</t>
  </si>
  <si>
    <t>Canary Islands (Spain)</t>
  </si>
  <si>
    <t>Canary Islands</t>
  </si>
  <si>
    <t>Puducherry</t>
  </si>
  <si>
    <t>INDUT2</t>
  </si>
  <si>
    <t>CMR</t>
  </si>
  <si>
    <t>Republic of Cameroon</t>
  </si>
  <si>
    <t>Cayman Islands (UK)</t>
  </si>
  <si>
    <t>Cayman Islands</t>
  </si>
  <si>
    <t>Cayman Islands (United Kingdom)</t>
  </si>
  <si>
    <t>Mizoram</t>
  </si>
  <si>
    <t>IND27</t>
  </si>
  <si>
    <t>CAN</t>
  </si>
  <si>
    <t>Ceuta (Spain)</t>
  </si>
  <si>
    <t>Ceuta</t>
  </si>
  <si>
    <t>Chandigarh</t>
  </si>
  <si>
    <t>INDUT3</t>
  </si>
  <si>
    <t>CPV</t>
  </si>
  <si>
    <t>Cabo Verde</t>
  </si>
  <si>
    <t>Republic of Cape Verde</t>
  </si>
  <si>
    <t>Republic of Cabo Verde</t>
  </si>
  <si>
    <t>Christmas Island (Australia)</t>
  </si>
  <si>
    <t>Christmas Island</t>
  </si>
  <si>
    <t>Sikkim</t>
  </si>
  <si>
    <t>IND28</t>
  </si>
  <si>
    <t>CAF</t>
  </si>
  <si>
    <t>Central African Republic CAR</t>
  </si>
  <si>
    <t>CAR</t>
  </si>
  <si>
    <t>Clipperton Island (France)</t>
  </si>
  <si>
    <t>Clipperton Island</t>
  </si>
  <si>
    <t>Dadra &amp; Nagar Haveli and Daman &amp; Diu</t>
  </si>
  <si>
    <t>INDUT4</t>
  </si>
  <si>
    <t>TCD</t>
  </si>
  <si>
    <t>Republic of Chad</t>
  </si>
  <si>
    <t>Cocos (Kneeling Islands) (Australia)</t>
  </si>
  <si>
    <t>Cocos</t>
  </si>
  <si>
    <t>Cocos (Keeling) Islands (Australia)</t>
  </si>
  <si>
    <t>A.&amp; N.Islands</t>
  </si>
  <si>
    <t>INDUT5</t>
  </si>
  <si>
    <t>CHL</t>
  </si>
  <si>
    <t>Republic of Chile</t>
  </si>
  <si>
    <t>Cook Islands (New Zealand)</t>
  </si>
  <si>
    <t>Ladakh</t>
  </si>
  <si>
    <t>INDUT6</t>
  </si>
  <si>
    <t>CHN</t>
  </si>
  <si>
    <t>People's Republic of China</t>
  </si>
  <si>
    <t>Coral Sea Islands (Australia)</t>
  </si>
  <si>
    <t>Coral Sea Islands</t>
  </si>
  <si>
    <t>Lakshadweep</t>
  </si>
  <si>
    <t>INDUT7</t>
  </si>
  <si>
    <t>COL</t>
  </si>
  <si>
    <t>Republic of Colombia</t>
  </si>
  <si>
    <t>Curaçao (Netherlands)</t>
  </si>
  <si>
    <t>Curaçao</t>
  </si>
  <si>
    <t>Curacao (Netherlands)</t>
  </si>
  <si>
    <t>Kano</t>
  </si>
  <si>
    <t>NGA1</t>
  </si>
  <si>
    <t>COM</t>
  </si>
  <si>
    <t>Union of the Comoros</t>
  </si>
  <si>
    <t>Easter Island (Chile)</t>
  </si>
  <si>
    <t>Easter Island</t>
  </si>
  <si>
    <t>Lagos</t>
  </si>
  <si>
    <t>NGA2</t>
  </si>
  <si>
    <t>COG</t>
  </si>
  <si>
    <t>Republic of the Congo</t>
  </si>
  <si>
    <t>Congo Republic</t>
  </si>
  <si>
    <t>Congo Brazzaville</t>
  </si>
  <si>
    <t>Falkland Islands (UK)</t>
  </si>
  <si>
    <t>Falkland Islands</t>
  </si>
  <si>
    <t>Falkland Islands (United Kingdom)</t>
  </si>
  <si>
    <t>Katsina</t>
  </si>
  <si>
    <t>NGA3</t>
  </si>
  <si>
    <t>COK</t>
  </si>
  <si>
    <t>Faroe Islands (Denmark)</t>
  </si>
  <si>
    <t>Faroe Islands</t>
  </si>
  <si>
    <t>Kaduna</t>
  </si>
  <si>
    <t>NGA4</t>
  </si>
  <si>
    <t>CRI</t>
  </si>
  <si>
    <t>Republic of Costa Rica</t>
  </si>
  <si>
    <t>Federal Dependencies of Venezuela (Venezuela)</t>
  </si>
  <si>
    <t>Federal Dependencies of Venezuela</t>
  </si>
  <si>
    <t>Bauchi</t>
  </si>
  <si>
    <t>NGA5</t>
  </si>
  <si>
    <t>Côte d'Ivoire</t>
  </si>
  <si>
    <t>CIV</t>
  </si>
  <si>
    <t>Ivory Coast</t>
  </si>
  <si>
    <t>Côte d’Ivoire</t>
  </si>
  <si>
    <t>Republic of Côte d'Ivoire</t>
  </si>
  <si>
    <t>CÃ´te d'Ivoire</t>
  </si>
  <si>
    <t>French Guiana (France)</t>
  </si>
  <si>
    <t>French Guiana</t>
  </si>
  <si>
    <t>Oyo</t>
  </si>
  <si>
    <t>NGA6</t>
  </si>
  <si>
    <t>HRV</t>
  </si>
  <si>
    <t>Republic of Croatia</t>
  </si>
  <si>
    <t>French Polynesia (France)</t>
  </si>
  <si>
    <t>French Polynesia</t>
  </si>
  <si>
    <t>Rivers</t>
  </si>
  <si>
    <t>NGA7</t>
  </si>
  <si>
    <t>CUB</t>
  </si>
  <si>
    <t>Republic of Cuba</t>
  </si>
  <si>
    <t>French Southern and Antarctic Lands (France)</t>
  </si>
  <si>
    <t>French Southern and Antarctic Lands</t>
  </si>
  <si>
    <t>Jigawa</t>
  </si>
  <si>
    <t>NGA8</t>
  </si>
  <si>
    <t>CYP</t>
  </si>
  <si>
    <t>Republic of Cyprus</t>
  </si>
  <si>
    <t>Gibraltar (UK)</t>
  </si>
  <si>
    <t>Gibraltar</t>
  </si>
  <si>
    <t>Gibraltar (United Kingdom)</t>
  </si>
  <si>
    <t>NGA9</t>
  </si>
  <si>
    <t>CZE</t>
  </si>
  <si>
    <t>Czech Republic</t>
  </si>
  <si>
    <t>Greenland (Denmark)</t>
  </si>
  <si>
    <t>Greenland</t>
  </si>
  <si>
    <t>Ogun</t>
  </si>
  <si>
    <t>NGA10</t>
  </si>
  <si>
    <t>DNK</t>
  </si>
  <si>
    <t>Kingdom of Denmark</t>
  </si>
  <si>
    <t>Guadeloupe (France)</t>
  </si>
  <si>
    <t>Guadeloupe</t>
  </si>
  <si>
    <t>Sokoto</t>
  </si>
  <si>
    <t>NGA11</t>
  </si>
  <si>
    <t>DJI</t>
  </si>
  <si>
    <t>Republic of Djibouti</t>
  </si>
  <si>
    <t>Guam (US)</t>
  </si>
  <si>
    <t>Guam</t>
  </si>
  <si>
    <t>Guam (United States)</t>
  </si>
  <si>
    <t>Benue</t>
  </si>
  <si>
    <t>NGA12</t>
  </si>
  <si>
    <t>DMA</t>
  </si>
  <si>
    <t>Commonwealth of Dominica</t>
  </si>
  <si>
    <t>Heard Island and McDonald Islands (Australia)</t>
  </si>
  <si>
    <t>Heard Island and McDonald Islands</t>
  </si>
  <si>
    <t>Borno</t>
  </si>
  <si>
    <t>NGA13</t>
  </si>
  <si>
    <t>DOM</t>
  </si>
  <si>
    <t>Anambra</t>
  </si>
  <si>
    <t>NGA14</t>
  </si>
  <si>
    <t>DR Congo</t>
  </si>
  <si>
    <t>COD</t>
  </si>
  <si>
    <t>Democratic Republic of the Congo</t>
  </si>
  <si>
    <t>DRC</t>
  </si>
  <si>
    <t>Congo Democratic Republic</t>
  </si>
  <si>
    <t>Howland Island (US)</t>
  </si>
  <si>
    <t>Howland Island</t>
  </si>
  <si>
    <t>Howland Island (United States)</t>
  </si>
  <si>
    <t>Zamfara</t>
  </si>
  <si>
    <t>NGA15</t>
  </si>
  <si>
    <t>ECU</t>
  </si>
  <si>
    <t>Republic of Ecuador</t>
  </si>
  <si>
    <t>Isle of Man (UK crown dependency)</t>
  </si>
  <si>
    <t>Isle of Man</t>
  </si>
  <si>
    <t>Isle of Man (United Kingdom crown dependency)</t>
  </si>
  <si>
    <t>Isle of Man (British crown dependency)</t>
  </si>
  <si>
    <t>Delta</t>
  </si>
  <si>
    <t>NGA16</t>
  </si>
  <si>
    <t>EGY</t>
  </si>
  <si>
    <t>Arab Republic of Egypt</t>
  </si>
  <si>
    <t>Jarvis Island (US)</t>
  </si>
  <si>
    <t>Jarvis Island</t>
  </si>
  <si>
    <t>Jarvis Island (United States)</t>
  </si>
  <si>
    <t>Imo</t>
  </si>
  <si>
    <t>NGA17</t>
  </si>
  <si>
    <t>SLV</t>
  </si>
  <si>
    <t>Republic of El Salvador</t>
  </si>
  <si>
    <t>Johnston Atoll (US)</t>
  </si>
  <si>
    <t>Johnston Atoll</t>
  </si>
  <si>
    <t>Johnston Atoll (United States)</t>
  </si>
  <si>
    <t>Kebbi</t>
  </si>
  <si>
    <t>NGA18</t>
  </si>
  <si>
    <t>GNQ</t>
  </si>
  <si>
    <t>Republic of Equatorial Guinea</t>
  </si>
  <si>
    <t>Kingman Reef (US)</t>
  </si>
  <si>
    <t>Kingman Reef</t>
  </si>
  <si>
    <t>Kingman Reef (United States)</t>
  </si>
  <si>
    <t>Ondo</t>
  </si>
  <si>
    <t>NGA19</t>
  </si>
  <si>
    <t>ERI</t>
  </si>
  <si>
    <t>State of Eritrea</t>
  </si>
  <si>
    <t>Kosovo (Serbia)</t>
  </si>
  <si>
    <t>Akwa Ibom</t>
  </si>
  <si>
    <t>NGA20</t>
  </si>
  <si>
    <t>EST</t>
  </si>
  <si>
    <t>Republic of Estonia</t>
  </si>
  <si>
    <t>Adamawa</t>
  </si>
  <si>
    <t>NGA21</t>
  </si>
  <si>
    <t>SWZ</t>
  </si>
  <si>
    <t>Swaziland</t>
  </si>
  <si>
    <t>Kingdom of Eswatini</t>
  </si>
  <si>
    <t>Madeira (Portugal)</t>
  </si>
  <si>
    <t>Madeira</t>
  </si>
  <si>
    <t>Edo</t>
  </si>
  <si>
    <t>NGA22</t>
  </si>
  <si>
    <t>ETH</t>
  </si>
  <si>
    <t>Federal Democratic Republic of Ethiopia</t>
  </si>
  <si>
    <t>Martinique (France)</t>
  </si>
  <si>
    <t>Martinique</t>
  </si>
  <si>
    <t>Plateau</t>
  </si>
  <si>
    <t>NGA23</t>
  </si>
  <si>
    <t>FJI</t>
  </si>
  <si>
    <t>Republic of Fiji</t>
  </si>
  <si>
    <t>Mayotte (France)</t>
  </si>
  <si>
    <t>Mayotte</t>
  </si>
  <si>
    <t>Enugu</t>
  </si>
  <si>
    <t>NGA24</t>
  </si>
  <si>
    <t>FIN</t>
  </si>
  <si>
    <t>Republic of Finland</t>
  </si>
  <si>
    <t>Melilla (Spain)</t>
  </si>
  <si>
    <t>Melilla</t>
  </si>
  <si>
    <t>Osun</t>
  </si>
  <si>
    <t>NGA25</t>
  </si>
  <si>
    <t>FRA</t>
  </si>
  <si>
    <t>French Republic</t>
  </si>
  <si>
    <t>Midway Atoll (US)</t>
  </si>
  <si>
    <t>Midway Atoll</t>
  </si>
  <si>
    <t>Midway Atoll (United States)</t>
  </si>
  <si>
    <t>Cross River</t>
  </si>
  <si>
    <t>NGA26</t>
  </si>
  <si>
    <t>GAB</t>
  </si>
  <si>
    <t>Gabonese Republic</t>
  </si>
  <si>
    <t>Montserrat (UK)</t>
  </si>
  <si>
    <t>Montserrat (United Kingdom)</t>
  </si>
  <si>
    <t>Kogi</t>
  </si>
  <si>
    <t>NGA27</t>
  </si>
  <si>
    <t>GMB</t>
  </si>
  <si>
    <t>Republic of the Gambia</t>
  </si>
  <si>
    <t>Navassa Island (Haiti/US)</t>
  </si>
  <si>
    <t>Navassa Island</t>
  </si>
  <si>
    <t>Navassa Island (Haiti/United States)</t>
  </si>
  <si>
    <t>Abia</t>
  </si>
  <si>
    <t>NGA28</t>
  </si>
  <si>
    <t>GEO</t>
  </si>
  <si>
    <t>New Caledonia (France)</t>
  </si>
  <si>
    <t>New Caledonia</t>
  </si>
  <si>
    <t>Gombe</t>
  </si>
  <si>
    <t>NGA29</t>
  </si>
  <si>
    <t>DEU</t>
  </si>
  <si>
    <t>Federal Republic of Germany</t>
  </si>
  <si>
    <t>Niue (New Zealand)</t>
  </si>
  <si>
    <t>Niue</t>
  </si>
  <si>
    <t>Yobe</t>
  </si>
  <si>
    <t>NGA30</t>
  </si>
  <si>
    <t>GHA</t>
  </si>
  <si>
    <t>Republic of Ghana</t>
  </si>
  <si>
    <t>Norfolk Island (Australia)</t>
  </si>
  <si>
    <t>Norfolk Island</t>
  </si>
  <si>
    <t>Ekiti</t>
  </si>
  <si>
    <t>NGA31</t>
  </si>
  <si>
    <t>GRC</t>
  </si>
  <si>
    <t>Hellenic Republic</t>
  </si>
  <si>
    <t>Northern Cyprus (Cyprus)</t>
  </si>
  <si>
    <t>Northern Cyprus</t>
  </si>
  <si>
    <t>Northern Cyprus (United States)</t>
  </si>
  <si>
    <t>Taraba</t>
  </si>
  <si>
    <t>NGA32</t>
  </si>
  <si>
    <t>GRD</t>
  </si>
  <si>
    <t>Northern Mariana Islands (US)</t>
  </si>
  <si>
    <t>Northern Mariana Islands</t>
  </si>
  <si>
    <t>Northern Mariana Islands (United States)</t>
  </si>
  <si>
    <t>Kwara</t>
  </si>
  <si>
    <t>NGA33</t>
  </si>
  <si>
    <t>GTM</t>
  </si>
  <si>
    <t>Republic of Guatemala</t>
  </si>
  <si>
    <t>Ebonyi</t>
  </si>
  <si>
    <t>NGA34</t>
  </si>
  <si>
    <t>GIN</t>
  </si>
  <si>
    <t>Republic of Guinea</t>
  </si>
  <si>
    <t>Palmyra Atoll (US)</t>
  </si>
  <si>
    <t>Palmyra Atoll</t>
  </si>
  <si>
    <t>Palmyra Atoll (United States)</t>
  </si>
  <si>
    <t>Federal Capital Territory</t>
  </si>
  <si>
    <t>NGA35</t>
  </si>
  <si>
    <t>GNB</t>
  </si>
  <si>
    <t>Guinea Bissau</t>
  </si>
  <si>
    <t>Republic of Guinea-Bissau</t>
  </si>
  <si>
    <t>Pitcairn Islands (UK)</t>
  </si>
  <si>
    <t>Pitcairn Islands</t>
  </si>
  <si>
    <t>Pitcairn Islands (United Kingdom)</t>
  </si>
  <si>
    <t>Nasarawa</t>
  </si>
  <si>
    <t>NGA36</t>
  </si>
  <si>
    <t>GUY</t>
  </si>
  <si>
    <t>Republic of Guyana</t>
  </si>
  <si>
    <t>Plazas de Soberania (Spain)</t>
  </si>
  <si>
    <t>Plazas de Soberania</t>
  </si>
  <si>
    <t>Bayelsa</t>
  </si>
  <si>
    <t>NGA37</t>
  </si>
  <si>
    <t>HTI</t>
  </si>
  <si>
    <t>Republic of Haiti</t>
  </si>
  <si>
    <t>Puerto Rico (US)</t>
  </si>
  <si>
    <t>Puerto Rico</t>
  </si>
  <si>
    <t>Puerto Rico (United States)</t>
  </si>
  <si>
    <t>HND</t>
  </si>
  <si>
    <t>Republic of Honduras</t>
  </si>
  <si>
    <t>Reunion (France)</t>
  </si>
  <si>
    <t>Reunion</t>
  </si>
  <si>
    <t>HUN</t>
  </si>
  <si>
    <t>Saba (Netherlands)</t>
  </si>
  <si>
    <t>Saba</t>
  </si>
  <si>
    <t>ISL</t>
  </si>
  <si>
    <t>Republic of Iceland</t>
  </si>
  <si>
    <t>Saint Barthélemy (France)</t>
  </si>
  <si>
    <t>Saint Barthélemy</t>
  </si>
  <si>
    <t>IND</t>
  </si>
  <si>
    <t>Republic of India</t>
  </si>
  <si>
    <t>Saint Helena, Ascension and Tristan da Cunha (UK)</t>
  </si>
  <si>
    <t>Saint Helena, Ascension and Tristan da Cunha</t>
  </si>
  <si>
    <t>Saint Helena, Ascension and Tristan da Cunha (United Kingdom)</t>
  </si>
  <si>
    <t>IDN</t>
  </si>
  <si>
    <t>Republic of Indonesia</t>
  </si>
  <si>
    <t>Saint Martin (France)</t>
  </si>
  <si>
    <t>Saint Martin</t>
  </si>
  <si>
    <t>St. Martin (French part)</t>
  </si>
  <si>
    <t>IRN</t>
  </si>
  <si>
    <t>Iran (Islamic Republic of)</t>
  </si>
  <si>
    <t>Islamic Republic of Iran</t>
  </si>
  <si>
    <t>Saint Pierre and Miquelon (France)</t>
  </si>
  <si>
    <t>Saint Pierre and Miquelon</t>
  </si>
  <si>
    <t>IRQ</t>
  </si>
  <si>
    <t>Republic of Iraq</t>
  </si>
  <si>
    <t>Sint Eustatius (Netherlands)</t>
  </si>
  <si>
    <t>Sint Eustatius</t>
  </si>
  <si>
    <t>IRL</t>
  </si>
  <si>
    <t>Sint Maarten (Netherlands)</t>
  </si>
  <si>
    <t>Sint Maarten</t>
  </si>
  <si>
    <t>Sint Maarten (Dutch part)</t>
  </si>
  <si>
    <t>ISR</t>
  </si>
  <si>
    <t>State of Israel</t>
  </si>
  <si>
    <t>Socotra Archipelago (Yemen)</t>
  </si>
  <si>
    <t>Socotra Archipelago</t>
  </si>
  <si>
    <t>ITA</t>
  </si>
  <si>
    <t>Republic of Italy</t>
  </si>
  <si>
    <t>Somaliland (Not Somalia)</t>
  </si>
  <si>
    <t>Somaliland</t>
  </si>
  <si>
    <t>JAM</t>
  </si>
  <si>
    <t>South Georgia and the South Sandwich Islands (UK)</t>
  </si>
  <si>
    <t>South Georgia and the South Sandwich Islands</t>
  </si>
  <si>
    <t>South Georgia and the South Sandwich Islands (United Kingdom)</t>
  </si>
  <si>
    <t>JPN</t>
  </si>
  <si>
    <t>South Ossetia (Georgia)</t>
  </si>
  <si>
    <t>South Ossetia</t>
  </si>
  <si>
    <t>JOR</t>
  </si>
  <si>
    <t>Hashemite Kingdom of Jordan</t>
  </si>
  <si>
    <t>Svalbard (Norway)</t>
  </si>
  <si>
    <t>Svalbard</t>
  </si>
  <si>
    <t>KAZ</t>
  </si>
  <si>
    <t>Republic of Kazakhstan</t>
  </si>
  <si>
    <t>KEN</t>
  </si>
  <si>
    <t>Republic of Kenya</t>
  </si>
  <si>
    <t>Tokelau (New Zealand)</t>
  </si>
  <si>
    <t>Tokelau</t>
  </si>
  <si>
    <t>KIR</t>
  </si>
  <si>
    <t>Republic of Kiribati</t>
  </si>
  <si>
    <t>Transnistria (Moldova)</t>
  </si>
  <si>
    <t>Transnistria</t>
  </si>
  <si>
    <t>KWT</t>
  </si>
  <si>
    <t>State of Kuwait</t>
  </si>
  <si>
    <t>Turks and Caicos Islands (UK)</t>
  </si>
  <si>
    <t>Turks and Caicos Islands</t>
  </si>
  <si>
    <t>Turks and Caicos Islands (United Kingdom)</t>
  </si>
  <si>
    <t>Turks &amp; Caicos Islands</t>
  </si>
  <si>
    <t>KGZ</t>
  </si>
  <si>
    <t>Kyrgyz Republic</t>
  </si>
  <si>
    <t>United States Virgin Islands (US)</t>
  </si>
  <si>
    <t>United States Virgin Islands</t>
  </si>
  <si>
    <t>United States Virgin Islands (United States)</t>
  </si>
  <si>
    <t>U.S. Virgin Islands (United States)</t>
  </si>
  <si>
    <t>LAO</t>
  </si>
  <si>
    <t>Lao People's Democratic Republic</t>
  </si>
  <si>
    <t>Vatican City</t>
  </si>
  <si>
    <t>Holy See</t>
  </si>
  <si>
    <t>LVA</t>
  </si>
  <si>
    <t>Republic of Latvia</t>
  </si>
  <si>
    <t>Wake Island (US)</t>
  </si>
  <si>
    <t>Wake Island</t>
  </si>
  <si>
    <t>Wake Island (United States)</t>
  </si>
  <si>
    <t>LBN</t>
  </si>
  <si>
    <t>Lebanese Republic</t>
  </si>
  <si>
    <t>Wallis and Futuna (France)</t>
  </si>
  <si>
    <t>Wallis and Futuna</t>
  </si>
  <si>
    <t>LSO</t>
  </si>
  <si>
    <t>Kingdom of Lesotho</t>
  </si>
  <si>
    <t>West Papua / Western New Guinea (Indonesia)</t>
  </si>
  <si>
    <t>West Papua / Western New Guinea</t>
  </si>
  <si>
    <t>LBR</t>
  </si>
  <si>
    <t>Republic of Liberia</t>
  </si>
  <si>
    <t>Western Sahara (Sahrawi Arab Democratic Republic) (Morocco)</t>
  </si>
  <si>
    <t>Western Sahara</t>
  </si>
  <si>
    <t>LBY</t>
  </si>
  <si>
    <t>State of Libya</t>
  </si>
  <si>
    <t>Hong Kong (China)</t>
  </si>
  <si>
    <t>Hong Kong</t>
  </si>
  <si>
    <t>Hong Kong SAR, China</t>
  </si>
  <si>
    <t>LIE</t>
  </si>
  <si>
    <t>Lichtenstein</t>
  </si>
  <si>
    <t>Macau (China)</t>
  </si>
  <si>
    <t>Macau</t>
  </si>
  <si>
    <t>Macao SAR, China</t>
  </si>
  <si>
    <t>LTU</t>
  </si>
  <si>
    <t>Republic of Lithuania</t>
  </si>
  <si>
    <t>Other</t>
  </si>
  <si>
    <t>Channel Islands</t>
  </si>
  <si>
    <t>LUX</t>
  </si>
  <si>
    <t>Grand Duchy of Luxembourg</t>
  </si>
  <si>
    <t>Euro area</t>
  </si>
  <si>
    <t>MDG</t>
  </si>
  <si>
    <t>Republic of Madagascar</t>
  </si>
  <si>
    <t>MWI</t>
  </si>
  <si>
    <t>Republic of Malawi</t>
  </si>
  <si>
    <t>MYS</t>
  </si>
  <si>
    <t>MDV</t>
  </si>
  <si>
    <t>Republic of Maldives</t>
  </si>
  <si>
    <t>MLI</t>
  </si>
  <si>
    <t>Republic of Mali</t>
  </si>
  <si>
    <t>MLT</t>
  </si>
  <si>
    <t>Republic of Malta</t>
  </si>
  <si>
    <t>MHL</t>
  </si>
  <si>
    <t>Republic of the Marshall Islands</t>
  </si>
  <si>
    <t>MRT</t>
  </si>
  <si>
    <t>Islamic Republic of Mauritania</t>
  </si>
  <si>
    <t>MUS</t>
  </si>
  <si>
    <t>Republic of Mauritius</t>
  </si>
  <si>
    <t>MEX</t>
  </si>
  <si>
    <t>United Mexican States</t>
  </si>
  <si>
    <t>Micronesia (Federated States of)</t>
  </si>
  <si>
    <t>FSM</t>
  </si>
  <si>
    <t>Micronesia</t>
  </si>
  <si>
    <t>Federated States of Micronesia</t>
  </si>
  <si>
    <t>MDA</t>
  </si>
  <si>
    <t>Republic of Moldova</t>
  </si>
  <si>
    <t>MCO</t>
  </si>
  <si>
    <t>Principality of Monaco</t>
  </si>
  <si>
    <t>MNG</t>
  </si>
  <si>
    <t>MNE</t>
  </si>
  <si>
    <t>Monte Negro</t>
  </si>
  <si>
    <t>MAR</t>
  </si>
  <si>
    <t>Kingdom of Morocco</t>
  </si>
  <si>
    <t>MOZ</t>
  </si>
  <si>
    <t>Republic of Mozambique</t>
  </si>
  <si>
    <t>MMR</t>
  </si>
  <si>
    <t>Republic of the Union of Myanmar</t>
  </si>
  <si>
    <t>NAM</t>
  </si>
  <si>
    <t>Republic of Namibia</t>
  </si>
  <si>
    <t>NRU</t>
  </si>
  <si>
    <t>Republic of Nauru</t>
  </si>
  <si>
    <t>NPL</t>
  </si>
  <si>
    <t>Federal Democratic Republic of Nepal</t>
  </si>
  <si>
    <t>NLD</t>
  </si>
  <si>
    <t>Kingdom of the Netherlands</t>
  </si>
  <si>
    <t>Holland</t>
  </si>
  <si>
    <t>NZL</t>
  </si>
  <si>
    <t>NIC</t>
  </si>
  <si>
    <t>Republic of Nicaragua</t>
  </si>
  <si>
    <t>NER</t>
  </si>
  <si>
    <t>Republic of the Niger</t>
  </si>
  <si>
    <t>NGA</t>
  </si>
  <si>
    <t>Federal Republic of Nigeria</t>
  </si>
  <si>
    <t>NIU</t>
  </si>
  <si>
    <t>Republic of Niue</t>
  </si>
  <si>
    <t>North Korea</t>
  </si>
  <si>
    <t>PRK</t>
  </si>
  <si>
    <t>Democratic People's Republic of Korea</t>
  </si>
  <si>
    <t>MKD</t>
  </si>
  <si>
    <t>NOR</t>
  </si>
  <si>
    <t>Kingdom of Norway</t>
  </si>
  <si>
    <t>OMN</t>
  </si>
  <si>
    <t>Sultanate of Oman</t>
  </si>
  <si>
    <t>PAK</t>
  </si>
  <si>
    <t>Islamic Republic of Pakistan</t>
  </si>
  <si>
    <t>Palau</t>
  </si>
  <si>
    <t>PLW</t>
  </si>
  <si>
    <t>Republic of Palau</t>
  </si>
  <si>
    <t>PSE</t>
  </si>
  <si>
    <t>PAN</t>
  </si>
  <si>
    <t>Republic of Panama</t>
  </si>
  <si>
    <t>PNG</t>
  </si>
  <si>
    <t>Independent State of Papua New Guinea</t>
  </si>
  <si>
    <t>PRY</t>
  </si>
  <si>
    <t>Republic of Paraguay</t>
  </si>
  <si>
    <t>PER</t>
  </si>
  <si>
    <t>Republic of Peru</t>
  </si>
  <si>
    <t>PHL</t>
  </si>
  <si>
    <t>Republic of the Philippines</t>
  </si>
  <si>
    <t>Philipines</t>
  </si>
  <si>
    <t>POL</t>
  </si>
  <si>
    <t>Republic of Poland</t>
  </si>
  <si>
    <t>PRT</t>
  </si>
  <si>
    <t>Portuguese Republic</t>
  </si>
  <si>
    <t>PRI</t>
  </si>
  <si>
    <t>QAT</t>
  </si>
  <si>
    <t>State of Qatar</t>
  </si>
  <si>
    <t>ROU</t>
  </si>
  <si>
    <t>RUS</t>
  </si>
  <si>
    <t>Russian Federation</t>
  </si>
  <si>
    <t>RWA</t>
  </si>
  <si>
    <t>Republic of Rwanda</t>
  </si>
  <si>
    <t>Saint Kitts and Nevis</t>
  </si>
  <si>
    <t>KNA</t>
  </si>
  <si>
    <t>LCA</t>
  </si>
  <si>
    <t>Saint Vincent and the Grenadines</t>
  </si>
  <si>
    <t>VCT</t>
  </si>
  <si>
    <t>WSM</t>
  </si>
  <si>
    <t>Independent State of Samoa</t>
  </si>
  <si>
    <t>San Marino</t>
  </si>
  <si>
    <t>SMR</t>
  </si>
  <si>
    <t>Republic of San Marino</t>
  </si>
  <si>
    <t>STP</t>
  </si>
  <si>
    <t>São Tomé and Príncipe</t>
  </si>
  <si>
    <t>Sao Tome &amp; Principe</t>
  </si>
  <si>
    <t>Democratic Republic of Sao Tome and Principe</t>
  </si>
  <si>
    <t>SAU</t>
  </si>
  <si>
    <t>Kingdom of Saudi Arabia</t>
  </si>
  <si>
    <t>SEN</t>
  </si>
  <si>
    <t>Republic of Senegal</t>
  </si>
  <si>
    <t>SRB</t>
  </si>
  <si>
    <t>Republic of Serbia</t>
  </si>
  <si>
    <t>SYC</t>
  </si>
  <si>
    <t>Republic of Seychelles</t>
  </si>
  <si>
    <t>SLE</t>
  </si>
  <si>
    <t>Republic of Sierra Leone</t>
  </si>
  <si>
    <t>SGP</t>
  </si>
  <si>
    <t>Republic of Singapore</t>
  </si>
  <si>
    <t>SVK</t>
  </si>
  <si>
    <t>Slovak Republic</t>
  </si>
  <si>
    <t>SVN</t>
  </si>
  <si>
    <t>Republic of Slovenia</t>
  </si>
  <si>
    <t>SLB</t>
  </si>
  <si>
    <t>SOM</t>
  </si>
  <si>
    <t>Federal Republic of Somalia</t>
  </si>
  <si>
    <t>ZAF</t>
  </si>
  <si>
    <t>Republic of South Africa</t>
  </si>
  <si>
    <t>KOR</t>
  </si>
  <si>
    <t>Republic of Korea</t>
  </si>
  <si>
    <t>SSD</t>
  </si>
  <si>
    <t>Republic of South Sudan</t>
  </si>
  <si>
    <t>ESP</t>
  </si>
  <si>
    <t>Kingdom of Spain</t>
  </si>
  <si>
    <t>LKA</t>
  </si>
  <si>
    <t>Democratic Socialist Republic of Sri Lanka</t>
  </si>
  <si>
    <t>SDN</t>
  </si>
  <si>
    <t>Republic of Sudan</t>
  </si>
  <si>
    <t>SUR</t>
  </si>
  <si>
    <t>Republic of Suriname</t>
  </si>
  <si>
    <t>SWE</t>
  </si>
  <si>
    <t>Kingdom of Sweden</t>
  </si>
  <si>
    <t>CHE</t>
  </si>
  <si>
    <t>Swiss Confederation</t>
  </si>
  <si>
    <t>SYR</t>
  </si>
  <si>
    <t>Syrian Arab Republic</t>
  </si>
  <si>
    <t>TWN</t>
  </si>
  <si>
    <t>Taiwan (Province of China)</t>
  </si>
  <si>
    <t>TJK</t>
  </si>
  <si>
    <t>Republic of Tajikistan</t>
  </si>
  <si>
    <t>TZA</t>
  </si>
  <si>
    <t>United Republic of Tanzania</t>
  </si>
  <si>
    <t>THA</t>
  </si>
  <si>
    <t>Kingdom of Thailand</t>
  </si>
  <si>
    <t>Timor-Leste</t>
  </si>
  <si>
    <t>TLS</t>
  </si>
  <si>
    <t>Timor Leste</t>
  </si>
  <si>
    <t>Democratic Republic of Timor-Leste</t>
  </si>
  <si>
    <t>TGO</t>
  </si>
  <si>
    <t>Togolese Republic</t>
  </si>
  <si>
    <t>TON</t>
  </si>
  <si>
    <t>Kingdom of Tonga</t>
  </si>
  <si>
    <t>TTO</t>
  </si>
  <si>
    <t>Trinidad &amp; Tobago</t>
  </si>
  <si>
    <t>Republic of Trinidad and Tobago</t>
  </si>
  <si>
    <t>TUN</t>
  </si>
  <si>
    <t>Republic of Tunisia</t>
  </si>
  <si>
    <t>TUR</t>
  </si>
  <si>
    <t>Republic of Turkey</t>
  </si>
  <si>
    <t>TKM</t>
  </si>
  <si>
    <t>TUV</t>
  </si>
  <si>
    <t>UGA</t>
  </si>
  <si>
    <t>Republic of Uganda</t>
  </si>
  <si>
    <t>UKR</t>
  </si>
  <si>
    <t>ARE</t>
  </si>
  <si>
    <t>UAE</t>
  </si>
  <si>
    <t>GBR</t>
  </si>
  <si>
    <t>UK</t>
  </si>
  <si>
    <t>United Kingdom of Great Britain and Northern Ireland</t>
  </si>
  <si>
    <t>United States of America</t>
  </si>
  <si>
    <t>USA</t>
  </si>
  <si>
    <t>URY</t>
  </si>
  <si>
    <t>Eastern Republic of Uruguay</t>
  </si>
  <si>
    <t>UZB</t>
  </si>
  <si>
    <t>Republic of Uzbekistan</t>
  </si>
  <si>
    <t>VUT</t>
  </si>
  <si>
    <t>Republic of Vanuatu</t>
  </si>
  <si>
    <t>VEN</t>
  </si>
  <si>
    <t>Venezuela (Bolivarian Republic of)</t>
  </si>
  <si>
    <t>Bolivarian Republic of Venezuela</t>
  </si>
  <si>
    <t>VNM</t>
  </si>
  <si>
    <t>Viet Nam</t>
  </si>
  <si>
    <t>Socialist Republic of Viet Nam</t>
  </si>
  <si>
    <t>YEM</t>
  </si>
  <si>
    <t>Republic of Yemen</t>
  </si>
  <si>
    <t>ZMB</t>
  </si>
  <si>
    <t>Republic of Zambia</t>
  </si>
  <si>
    <t>ZWE</t>
  </si>
  <si>
    <t>Republic of Zimbabwe</t>
  </si>
  <si>
    <t>European Union</t>
  </si>
  <si>
    <t xml:space="preserve"> – Not a country but treated as such for policy reasons so added to list here</t>
  </si>
  <si>
    <t>Population in each county</t>
  </si>
  <si>
    <t>fetched 25/10/23</t>
  </si>
  <si>
    <t>Birth rate in each country</t>
  </si>
  <si>
    <t>Population growth rate, 1950 to 2100</t>
  </si>
  <si>
    <t>fetched 25/10/2023</t>
  </si>
  <si>
    <t>Source: https://ourworldindata.org/grapher/population-growth-rates?tab=table</t>
  </si>
  <si>
    <t>Purchasing Power Parity</t>
  </si>
  <si>
    <t>Wage per county</t>
  </si>
  <si>
    <t>GBD 2019 sequelae, health states, health state lay descriptions, and disability weights</t>
  </si>
  <si>
    <t>Source:</t>
  </si>
  <si>
    <t>https://ourworldindata.org/grapher/population-unwpp?tab=table</t>
  </si>
  <si>
    <t>https://ourworldindata.org/grapher/crude-birth-rate?tab=table&amp;time=2021..latest</t>
  </si>
  <si>
    <t>There's too much data it makes this template laggy. Recommend copying data from specific target countries from here:</t>
  </si>
  <si>
    <t>https://ourworldindata.org/what-are-ppps</t>
  </si>
  <si>
    <t>https://worldpopulationreview.com/country-rankings/median-income-by-country</t>
  </si>
  <si>
    <t>https://wisevoter.com/country-rankings/median-income-by-country/</t>
  </si>
  <si>
    <t>RESULTS</t>
  </si>
  <si>
    <t>https://docs.google.com/spreadsheets/d/15pBoqao1aC7r8xlFjMmvVFL_tGGScH8iJGtiM2O0S3A/edit#gid=1656100062</t>
  </si>
  <si>
    <t>PPP adjusted</t>
  </si>
  <si>
    <t>Weight:</t>
  </si>
  <si>
    <t>Not clear but I assume PPP adjusted</t>
  </si>
  <si>
    <t>Sequela</t>
  </si>
  <si>
    <t>Health state name</t>
  </si>
  <si>
    <t>Health state lay description</t>
  </si>
  <si>
    <t>Disability Weight</t>
  </si>
  <si>
    <t>Years = 1 DALY</t>
  </si>
  <si>
    <t>https://ghdx.healthdata.org/record/ihme-data/gbd-2019-disability-weights</t>
  </si>
  <si>
    <t>Entity</t>
  </si>
  <si>
    <t>Code</t>
  </si>
  <si>
    <t>Population (historical estimates)</t>
  </si>
  <si>
    <t>Birth rate (per 1000) - Sex: all - Age: all - Variant: estimates</t>
  </si>
  <si>
    <t>Growth rate - Sex: all - Age: all - Variant: estimates</t>
  </si>
  <si>
    <t>Growth rate - Sex: all - Age: all - Variant: medium</t>
  </si>
  <si>
    <t>Country or region</t>
  </si>
  <si>
    <t>Price level ratio of PPP conversion factor (GDP) to market exchange rate
GDP to market exchange rate • 2021</t>
  </si>
  <si>
    <t>Times medium:</t>
  </si>
  <si>
    <t>Other sexually transmitted diseases residual</t>
  </si>
  <si>
    <t>Post-COMO calculation for residuals (YLL/YLD ratio, other methods)</t>
  </si>
  <si>
    <t>--</t>
  </si>
  <si>
    <t>Median Income</t>
  </si>
  <si>
    <t>Mean Income</t>
  </si>
  <si>
    <t>GDP Per Capita (PPP)</t>
  </si>
  <si>
    <t>2023 Population</t>
  </si>
  <si>
    <t>Median Income (per day)</t>
  </si>
  <si>
    <t>Median Income
(per year)</t>
  </si>
  <si>
    <t>GDP per capita</t>
  </si>
  <si>
    <t>Human Devel-
opment Index</t>
  </si>
  <si>
    <t>Extreme Poverty Rate</t>
  </si>
  <si>
    <t>Market salary</t>
  </si>
  <si>
    <t>Other intestinal infectious diseases</t>
  </si>
  <si>
    <t>Africa</t>
  </si>
  <si>
    <t>Africa (UN)</t>
  </si>
  <si>
    <t>Moderate motor impairment with epilepsy due to malaria</t>
  </si>
  <si>
    <t>Moderate motor impairment with epilepsy</t>
  </si>
  <si>
    <t>(combined DW)</t>
  </si>
  <si>
    <t>ASM</t>
  </si>
  <si>
    <t>Moderate motor impairment with blindness and epilepsy due to malaria</t>
  </si>
  <si>
    <t>Moderate motor impairment with blindness and epilepsy</t>
  </si>
  <si>
    <t>AIA</t>
  </si>
  <si>
    <t>Moderate motor plus cognitive impairment with epilepsy due to malaria</t>
  </si>
  <si>
    <t>Moderate motor plus cognitive impairment with epilepsy</t>
  </si>
  <si>
    <t>ABW</t>
  </si>
  <si>
    <t>Asia (UN)</t>
  </si>
  <si>
    <t>Moderate motor plus cognitive impairment with blindness and epilepsy due to malaria</t>
  </si>
  <si>
    <t>Moderate motor plus cognitive impairment with blindness and epilepsy</t>
  </si>
  <si>
    <t>Asia</t>
  </si>
  <si>
    <t>Bosnia And Herzegovina</t>
  </si>
  <si>
    <t>Severe motor impairment with epilepsy due to malaria</t>
  </si>
  <si>
    <t>Severe motor impairment with epilepsy</t>
  </si>
  <si>
    <t>Severe motor impairment with blindness and epilepsy due to malaria</t>
  </si>
  <si>
    <t>Severe motor impairment with blindness and epilepsy</t>
  </si>
  <si>
    <t>BMU</t>
  </si>
  <si>
    <t>Severe motor plus cognitive impairment with epilepsy due to malaria</t>
  </si>
  <si>
    <t>Severe motor plus cognitive impairment with epilepsy</t>
  </si>
  <si>
    <t>Bonaire Sint Eustatius and Saba</t>
  </si>
  <si>
    <t>BES</t>
  </si>
  <si>
    <t>Severe motor plus cognitive impairment with blindness and epilepsy due to malaria</t>
  </si>
  <si>
    <t>Severe motor plus cognitive impairment with blindness and epilepsy</t>
  </si>
  <si>
    <t>VGB</t>
  </si>
  <si>
    <t>Neurocysticercosis with epilepsy</t>
  </si>
  <si>
    <t>Epilepsy</t>
  </si>
  <si>
    <t>Epilepsy due to echinococcosis</t>
  </si>
  <si>
    <t>AIDS with severe anemia</t>
  </si>
  <si>
    <t>AIDS cases, not receiving ARV treatment and anemia, severe</t>
  </si>
  <si>
    <t>(0.47-0.792)</t>
  </si>
  <si>
    <t>CYM</t>
  </si>
  <si>
    <t>Severe motor plus cognitive impairment with blindness due to malaria</t>
  </si>
  <si>
    <t>Severe motor plus cognitive impairment with blindness</t>
  </si>
  <si>
    <t>(0.454-0.778)</t>
  </si>
  <si>
    <t>AIDS with moderate anemia</t>
  </si>
  <si>
    <t>AIDS cases, not receiving ARV treatment and anemia, moderate</t>
  </si>
  <si>
    <t>(0.43-0.758)</t>
  </si>
  <si>
    <t>AIDS with mild anemia</t>
  </si>
  <si>
    <t>AIDS cases, not receiving ARV treatment and anemia, mild</t>
  </si>
  <si>
    <t>(0.409-0.743)</t>
  </si>
  <si>
    <t>AIDS without anemia</t>
  </si>
  <si>
    <t>AIDS cases, not receiving ARV treatment</t>
  </si>
  <si>
    <t>has severe weight loss, weakness, fatigue, cough and fever, and frequent infections, skin rashes and diarrhea.</t>
  </si>
  <si>
    <t>(0.406-0.743)</t>
  </si>
  <si>
    <t>Severe disfigurement, neurological problems, and cardiovascular complications due to adult tertiary syphilis</t>
  </si>
  <si>
    <t>Level 3 disfigurement, moderate motor plus cognitive impairments, and moderate infectious disease, acute episode</t>
  </si>
  <si>
    <t>(0.402-0.691)</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</si>
  <si>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</si>
  <si>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</si>
  <si>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</si>
  <si>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(0.374-0.702)</t>
  </si>
  <si>
    <t>Sleeping sickness due to Trypanosoma brucei rhodesiense</t>
  </si>
  <si>
    <t>Severe disfigurement and neurological problems due to adult tertiary syphilis</t>
  </si>
  <si>
    <t>Level 3 disfigurement and moderate motor plus cognitive impairments</t>
  </si>
  <si>
    <t>(0.378-0.669)</t>
  </si>
  <si>
    <t>Severe motor impairment with blindness due to malaria</t>
  </si>
  <si>
    <t>Severe motor impairment with blindness</t>
  </si>
  <si>
    <t>(0.365-0.658)</t>
  </si>
  <si>
    <t>HIV/AIDS - Drug-susceptible Tuberculosis with severe anemia</t>
  </si>
  <si>
    <t>Tuberculosis, HIV infected and anemia, severe</t>
  </si>
  <si>
    <t>(0.353-0.64)</t>
  </si>
  <si>
    <t>HIV/AIDS - Multidrug-resistant Tuberculosis without extensive drug resistance with severe anemia</t>
  </si>
  <si>
    <t>HIV/AIDS - Extensively drug-resistant Tuberculosis with severe anemia</t>
  </si>
  <si>
    <t>CUW</t>
  </si>
  <si>
    <t>HIV/AIDS - Drug-susceptible Tuberculosis with moderate anemia</t>
  </si>
  <si>
    <t>Tuberculosis, HIV infected and anemia, moderate</t>
  </si>
  <si>
    <t>(0.307-0.577)</t>
  </si>
  <si>
    <t>HIV/AIDS - Multidrug-resistant Tuberculosis without extensive drug resistance with moderate anemia</t>
  </si>
  <si>
    <t>HIV/AIDS - Extensively drug-resistant Tuberculosis with moderate anemia</t>
  </si>
  <si>
    <t>Severe disfigurement and cardiovascular complications due to adult tertiary syphilis</t>
  </si>
  <si>
    <t>Level 3 disfigurement and moderate infectious disease, acute episode</t>
  </si>
  <si>
    <t>(0.306-0.571)</t>
  </si>
  <si>
    <t>2017 0.36</t>
  </si>
  <si>
    <t>HIV/AIDS - Drug-susceptible Tuberculosis with mild anemia</t>
  </si>
  <si>
    <t>Tuberculosis, HIV infected and anemia, mild</t>
  </si>
  <si>
    <t>(0.278-0.551)</t>
  </si>
  <si>
    <t>HIV/AIDS - Multidrug-resistant Tuberculosis without extensive drug resistance with mild anemia</t>
  </si>
  <si>
    <t>HIV/AIDS - Extensively drug-resistant Tuberculosis with mild anemia</t>
  </si>
  <si>
    <t>HIV/AIDS - Drug-susceptible Tuberculosis without anemia</t>
  </si>
  <si>
    <t>Tuberculosis, HIV infected</t>
  </si>
  <si>
    <t>has a persistent cough and fever, shortness of breath, night sweats, weakness and fatigue and severe weight loss.</t>
  </si>
  <si>
    <t>(0.274-0.549)</t>
  </si>
  <si>
    <t>HIV/AIDS - Multidrug-resistant Tuberculosis without extensive drug resistance without anemia</t>
  </si>
  <si>
    <t>HIV/AIDS - Extensively drug-resistant Tuberculosis without anemia</t>
  </si>
  <si>
    <t>Severe disfigurement due to adult tertiary syphilis</t>
  </si>
  <si>
    <t>Disfigurement, level 3</t>
  </si>
  <si>
    <t>has an obvious physical deformity that makes others uncomfortable, which causes the person to avoid social contact, feel worried, sleep poorly, and think about suicide.</t>
  </si>
  <si>
    <t>(0.275-0.546)</t>
  </si>
  <si>
    <t>Severe skin disease without itch due to onchocerciasis</t>
  </si>
  <si>
    <t>Severe motor impairment due to malaria</t>
  </si>
  <si>
    <t>Motor impairment, severe</t>
  </si>
  <si>
    <t>is unable to move around without help, and is not able to lift or hold objects, get dressed or sit upright.</t>
  </si>
  <si>
    <t>(0.268-0.545)</t>
  </si>
  <si>
    <t>Symptomatic HIV with severe anemia</t>
  </si>
  <si>
    <t>HIV cases, symptomatic, pre-AIDS and anemia, severe</t>
  </si>
  <si>
    <t>(0.269-0.505)</t>
  </si>
  <si>
    <t>Moderate motor plus cognitive impairment with blindness due to malaria</t>
  </si>
  <si>
    <t>Moderate motor plus cognitive impairment with blindness</t>
  </si>
  <si>
    <t>(0.245-0.467)</t>
  </si>
  <si>
    <t>Drug-susceptible tuberculosis</t>
  </si>
  <si>
    <t>Tuberculosis, not HIV infected</t>
  </si>
  <si>
    <t>has a persistent cough and fever, is short of breath, feels weak, and has lost a lot of weight.</t>
  </si>
  <si>
    <t>(0.224-0.454)</t>
  </si>
  <si>
    <t>Europe (UN)</t>
  </si>
  <si>
    <t>Multidrug-resistant tuberculosis without extensive drug resistance</t>
  </si>
  <si>
    <t>FLK</t>
  </si>
  <si>
    <t>Extensively drug-resistant tuberculosis</t>
  </si>
  <si>
    <t>FRO</t>
  </si>
  <si>
    <t>Gastrointestinal bleeding due to typhoid</t>
  </si>
  <si>
    <t>Gastric bleeding</t>
  </si>
  <si>
    <t>vomits blood and feels nauseous.</t>
  </si>
  <si>
    <t>(0.209-0.462)</t>
  </si>
  <si>
    <t>Hematemesis due to schistosomiasis</t>
  </si>
  <si>
    <t>European Union (27)</t>
  </si>
  <si>
    <t>Severe pelvic inflammatory diseases due to chlamydial infection</t>
  </si>
  <si>
    <t>Abdominopelvic problem, severe</t>
  </si>
  <si>
    <t>has severe pain in the belly and feels nauseous. The person is anxious and unable to carry out daily activities.</t>
  </si>
  <si>
    <t>(0.22-0.442)</t>
  </si>
  <si>
    <t>Severe pelvic inflammatory diseases due to gonococcal infection</t>
  </si>
  <si>
    <t>GUF</t>
  </si>
  <si>
    <t>Severe pelvic inflammatory diseases due to other sexually transmitted diseases</t>
  </si>
  <si>
    <t>PYF</t>
  </si>
  <si>
    <t>Trinidad And Tobago</t>
  </si>
  <si>
    <t>Intestinal perforation due to typhoid</t>
  </si>
  <si>
    <t>Symptomatic HIV with moderate anemia</t>
  </si>
  <si>
    <t>HIV cases, symptomatic, pre-AIDS and anemia, moderate</t>
  </si>
  <si>
    <t>(0.217-0.418)</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</si>
  <si>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</si>
  <si>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</si>
  <si>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</si>
  <si>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(0.198-0.414)</t>
  </si>
  <si>
    <t>Guillain-BarrÃ© syndrome due to upper respiratory infections</t>
  </si>
  <si>
    <t>Guillain-BarrÃ© syndrome due to diarrheal diseases</t>
  </si>
  <si>
    <t>Symptomatic HIV with mild anemia</t>
  </si>
  <si>
    <t>HIV cases, symptomatic, pre-AIDS and anemia, mild</t>
  </si>
  <si>
    <t>(0.189-0.379)</t>
  </si>
  <si>
    <t>GIB</t>
  </si>
  <si>
    <t>Symptomatic HIV without anemia</t>
  </si>
  <si>
    <t>HIV cases, symptomatic, pre-AIDS</t>
  </si>
  <si>
    <t>has weight loss, fatigue, and frequent infections.</t>
  </si>
  <si>
    <t>(0.184-0.377)</t>
  </si>
  <si>
    <t>Severe malaria with severe anemia</t>
  </si>
  <si>
    <t>Infectious disease, acute episode, severe, with severe anemia</t>
  </si>
  <si>
    <t>(0.184-0.359)</t>
  </si>
  <si>
    <t>GRL</t>
  </si>
  <si>
    <t>Severe diarrheal diseases</t>
  </si>
  <si>
    <t>Diarrhea, severe</t>
  </si>
  <si>
    <t>has diarrhea three or more times a day with severe belly cramps. The person is very thirsty and feels nauseous and tired.</t>
  </si>
  <si>
    <t>(0.164-0.348)</t>
  </si>
  <si>
    <t>Neurological problems and cardiovascular complications due to adult tertiary syphilis</t>
  </si>
  <si>
    <t>Moderate motor plus cognitive impairments and moderate infectious disease, acute episode</t>
  </si>
  <si>
    <t>(0.168-0.333)</t>
  </si>
  <si>
    <t>GLP</t>
  </si>
  <si>
    <t>Moderate motor impairment with blindness due to malaria</t>
  </si>
  <si>
    <t>Moderate motor impairment with blindness</t>
  </si>
  <si>
    <t>(0.165-0.323)</t>
  </si>
  <si>
    <t>GUM</t>
  </si>
  <si>
    <t>Atrial fibrillation and flutter due to Chagas disease</t>
  </si>
  <si>
    <t>Cardiac conduction disorders and cardiac dysrhythmias</t>
  </si>
  <si>
    <t>has periods of rapid and irregular heartbeats and occasional fainting.</t>
  </si>
  <si>
    <t>(0.151-0.312)</t>
  </si>
  <si>
    <t>HIV/AIDS with antiretroviral treatment with severe anemia</t>
  </si>
  <si>
    <t>HIV/AIDS cases, receiving ARV treatment and anemia, severe</t>
  </si>
  <si>
    <t>(0.148-0.295)</t>
  </si>
  <si>
    <t>GGY</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</si>
  <si>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</si>
  <si>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</si>
  <si>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</si>
  <si>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(0.134-0.29)</t>
  </si>
  <si>
    <t>Moderate malaria with severe anemia</t>
  </si>
  <si>
    <t>Infectious disease, acute episode, moderate, with severe anemia</t>
  </si>
  <si>
    <t>(0.133-0.263)</t>
  </si>
  <si>
    <t>Moderate diarrheal diseases</t>
  </si>
  <si>
    <t>Diarrhea, moderate</t>
  </si>
  <si>
    <t>has diarrhea three or more times a day, with painful cramps in the belly and feeling thirsty</t>
  </si>
  <si>
    <t>(0.125-0.264)</t>
  </si>
  <si>
    <t>Vertigo with moderate hearing loss and ringing due to chronic otitis media</t>
  </si>
  <si>
    <t>Vertigo with moderate hearing loss and ringing</t>
  </si>
  <si>
    <t>(0.12-0.247)</t>
  </si>
  <si>
    <t>Severe heart failure due to Chagas disease</t>
  </si>
  <si>
    <t>Heart failure, severe</t>
  </si>
  <si>
    <t>is short of breath and feels tired when at rest. The person avoids any physical activity, for fear of worsening the breathing problems.</t>
  </si>
  <si>
    <t>(0.122-0.251)</t>
  </si>
  <si>
    <t>High-income countries</t>
  </si>
  <si>
    <t>Severe malaria with moderate anemia</t>
  </si>
  <si>
    <t>Infectious disease, acute episode, severe, with moderate anemia</t>
  </si>
  <si>
    <t>(0.122-0.247)</t>
  </si>
  <si>
    <t>Early HIV with severe anemia</t>
  </si>
  <si>
    <t>Anemia, severe; Generic uncomplicated disease anxiety</t>
  </si>
  <si>
    <t>(0.109-0.22)</t>
  </si>
  <si>
    <t>HKG</t>
  </si>
  <si>
    <t>Mild malaria with severe anemia</t>
  </si>
  <si>
    <t>Infectious disease, acute episode, mild, with severe anemia</t>
  </si>
  <si>
    <t>(0.105-0.214)</t>
  </si>
  <si>
    <t>Severe anemia due to malaria parasitemia (PfPR)</t>
  </si>
  <si>
    <t>Anemia, severe</t>
  </si>
  <si>
    <t>feels very weak, tired and short of breath, and has problems with activities that require physical effort or deep concentration.</t>
  </si>
  <si>
    <t>(0.101-0.209)</t>
  </si>
  <si>
    <t>Severe anemia due to malaria vivax (PvPR)</t>
  </si>
  <si>
    <t>Severe anemia due to schistosomiasis</t>
  </si>
  <si>
    <t>Vertigo with moderate hearing loss due to chronic otitis media</t>
  </si>
  <si>
    <t>Vertigo with moderate hearing loss</t>
  </si>
  <si>
    <t>(0.089-0.189)</t>
  </si>
  <si>
    <t>Severe malaria with mild anemia</t>
  </si>
  <si>
    <t>Infectious disease, acute episode, severe, with mild anemia</t>
  </si>
  <si>
    <t>(0.091-0.192)</t>
  </si>
  <si>
    <t>Severe lower respiratory infections</t>
  </si>
  <si>
    <t>Infectious disease, acute episode, severe</t>
  </si>
  <si>
    <t>has a high fever and pain, and feels very weak, which causes great difficulty with daily activities.</t>
  </si>
  <si>
    <t>(0.088-0.19)</t>
  </si>
  <si>
    <t>Macao</t>
  </si>
  <si>
    <t>Severe typhoid fever</t>
  </si>
  <si>
    <t>IMN</t>
  </si>
  <si>
    <t>Severe paratyphoid fever</t>
  </si>
  <si>
    <t>Severe acute iNTS</t>
  </si>
  <si>
    <t>Severe malaria</t>
  </si>
  <si>
    <t>Severe visceral leishmaniasis</t>
  </si>
  <si>
    <t>Vertigo with mild hearing loss and ringing due to chronic otitis media</t>
  </si>
  <si>
    <t>Vertigo with mild hearing loss and ringing</t>
  </si>
  <si>
    <t>(0.086-0.184)</t>
  </si>
  <si>
    <t>JEY</t>
  </si>
  <si>
    <t>Epididymo-orchitis due to chlamydial infection</t>
  </si>
  <si>
    <t>Epididymo-orchitis</t>
  </si>
  <si>
    <t>has swelling and tenderness in the testicles and pain during urination.</t>
  </si>
  <si>
    <t>(0.086-0.18)</t>
  </si>
  <si>
    <t>Epididymo-orchitis due to gonococcal infection</t>
  </si>
  <si>
    <t>Hydrocele due to lymphatic filariasis</t>
  </si>
  <si>
    <t>HIV/AIDS with antiretroviral treatment with moderate anemia</t>
  </si>
  <si>
    <t>HIV/AIDS cases, receiving ARV treatment and anemia, moderate</t>
  </si>
  <si>
    <t>(0.085-0.176)</t>
  </si>
  <si>
    <t>Vertigo with mild hearing loss due to chronic otitis media</t>
  </si>
  <si>
    <t>Vertigo with mild hearing loss</t>
  </si>
  <si>
    <t>(0.079-0.17)</t>
  </si>
  <si>
    <t>OWID_KOS</t>
  </si>
  <si>
    <t>Moderate pelvic inflammatory diseases due to chlamydial infection</t>
  </si>
  <si>
    <t>Abdominopelvic problem, moderate</t>
  </si>
  <si>
    <t>has pain in the belly and feels nauseous. The person has difficulties with daily activities.</t>
  </si>
  <si>
    <t>(0.078-0.159)</t>
  </si>
  <si>
    <t>Moderate pelvic inflammatory diseases due to gonococcal infection</t>
  </si>
  <si>
    <t>Moderate pelvic inflammatory diseases due to other sexually transmitted diseases</t>
  </si>
  <si>
    <t>Land-locked developing countries (LLDC)</t>
  </si>
  <si>
    <t>Intestinal perforation due to paratyphoid</t>
  </si>
  <si>
    <t>Moderate chronic digestive disease due to Chagas disease</t>
  </si>
  <si>
    <t>Latin America and the Caribbean (UN)</t>
  </si>
  <si>
    <t>Sao Tome And Principe</t>
  </si>
  <si>
    <t>Ascites due to schistosomiasis</t>
  </si>
  <si>
    <t>Abdominal problems due to cystic echinococcosis</t>
  </si>
  <si>
    <t>Least developed countries</t>
  </si>
  <si>
    <t>Lymphedema due to lymphatic filariasis</t>
  </si>
  <si>
    <t>Lymphatic filariasis, symptomatic</t>
  </si>
  <si>
    <t>has swollen legs with hard and thick skin, which causes difficulty in moving around.</t>
  </si>
  <si>
    <t>(0.073-0.154)</t>
  </si>
  <si>
    <t>Moderate malaria with moderate anemia</t>
  </si>
  <si>
    <t>Infectious disease, acute episode, moderate, with moderate anemia</t>
  </si>
  <si>
    <t>(0.065-0.142)</t>
  </si>
  <si>
    <t>HIV/AIDS with antiretroviral treatment with mild anemia</t>
  </si>
  <si>
    <t>HIV/AIDS cases, receiving ARV treatment and anemia, mild</t>
  </si>
  <si>
    <t>(0.054-0.116)</t>
  </si>
  <si>
    <t>Less developed regions</t>
  </si>
  <si>
    <t>HIV/AIDS with antiretroviral treatment without anemia</t>
  </si>
  <si>
    <t>HIV/AIDS cases, receiving ARV treatment</t>
  </si>
  <si>
    <t>has occasional fevers and infections. The person takes daily medication that sometimes causes diarrhea.</t>
  </si>
  <si>
    <t>(0.052-0.111)</t>
  </si>
  <si>
    <t>Less developed regions, excluding China</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</si>
  <si>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</si>
  <si>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</si>
  <si>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</si>
  <si>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(0.049-0.107)</t>
  </si>
  <si>
    <t>Less developed regions, excluding least developed countries</t>
  </si>
  <si>
    <t>Mild diarrheal diseases</t>
  </si>
  <si>
    <t>Diarrhea, mild</t>
  </si>
  <si>
    <t>has diarrhea three or more times a day with occasional discomfort in the belly.</t>
  </si>
  <si>
    <t>(0.049-0.104)</t>
  </si>
  <si>
    <t>Mild diarrhea due to schistosomiasis</t>
  </si>
  <si>
    <t>Moderate heart failure due to Chagas disease</t>
  </si>
  <si>
    <t>Heart failure, moderate</t>
  </si>
  <si>
    <t>is short of breath and easily tires with minimal physical activity, such as walking only a short distance. The person feels comfortable at rest but avoids moderate activity.</t>
  </si>
  <si>
    <t>(0.047-0.103)</t>
  </si>
  <si>
    <t>Cutaneous and mucocutaneous leishmaniasis</t>
  </si>
  <si>
    <t>Disfigurement, level 2</t>
  </si>
  <si>
    <t>has a visible physical deformity that causes others to stare and comment. As a result, the person is worried and has trouble sleeping and concentrating.</t>
  </si>
  <si>
    <t>(0.044-0.096)</t>
  </si>
  <si>
    <t>Low-income countries</t>
  </si>
  <si>
    <t>Early HIV with moderate anemia</t>
  </si>
  <si>
    <t>Anemia, moderate; Generic uncomplicated disease anxiety</t>
  </si>
  <si>
    <t>(0.04-0.095)</t>
  </si>
  <si>
    <t>Lower-middle-income countries</t>
  </si>
  <si>
    <t>Moderate motor impairment due to malaria</t>
  </si>
  <si>
    <t>Motor impairment, moderate</t>
  </si>
  <si>
    <t>has some difficulty in moving around, and difficulty in lifting and holding objects, dressing and sitting upright, but is able to walk without help.</t>
  </si>
  <si>
    <t>(0.04-0.089)</t>
  </si>
  <si>
    <t>Mild malaria with moderate anemia</t>
  </si>
  <si>
    <t>Infectious disease, acute episode, mild, with moderate anemia</t>
  </si>
  <si>
    <t>(0.037-0.085)</t>
  </si>
  <si>
    <t>MAC</t>
  </si>
  <si>
    <t>Moderate malaria with mild anemia</t>
  </si>
  <si>
    <t>Infectious disease, acute episode, moderate, with mild anemia</t>
  </si>
  <si>
    <t>(0.034-0.079)</t>
  </si>
  <si>
    <t>Moderate anemia due to malaria parasitemia (PfPR)</t>
  </si>
  <si>
    <t>Anemia, moderate</t>
  </si>
  <si>
    <t>feels moderate fatigue, weakness, and shortness of breath after exercise, making daily activities more difficult.</t>
  </si>
  <si>
    <t>(0.034-0.076)</t>
  </si>
  <si>
    <t>Moderate anemia due to malaria vivax (PvPR)</t>
  </si>
  <si>
    <t>Moderate anemia due to schistosomiasis</t>
  </si>
  <si>
    <t>Cardiovascular complications due to adult tertiary syphilis</t>
  </si>
  <si>
    <t>Infectious disease, acute episode, moderate</t>
  </si>
  <si>
    <t>has a fever and aches, and feels weak, which causes some difficulty with daily activities.</t>
  </si>
  <si>
    <t>(0.032-0.074)</t>
  </si>
  <si>
    <t>Moderate infection due to initial genital herpes episode</t>
  </si>
  <si>
    <t>Moderate lower respiratory infections</t>
  </si>
  <si>
    <t>Moderate upper respiratory infections</t>
  </si>
  <si>
    <t>MTQ</t>
  </si>
  <si>
    <t>Acute typhoid infection</t>
  </si>
  <si>
    <t>Moderate paratyphoid fever</t>
  </si>
  <si>
    <t>Moderate malaria</t>
  </si>
  <si>
    <t>MYT</t>
  </si>
  <si>
    <t>Acute Chagas disease</t>
  </si>
  <si>
    <t>Moderate visceral leishmaniasis</t>
  </si>
  <si>
    <t>Acute adenolymphangitis due to lymphatic filariasis</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</si>
  <si>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</si>
  <si>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</si>
  <si>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</si>
  <si>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(0.031-0.072)</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</si>
  <si>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</si>
  <si>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</si>
  <si>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</si>
  <si>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(0.026-0.062)</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</si>
  <si>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</si>
  <si>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</si>
  <si>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</si>
  <si>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(0.015-0.042)</t>
  </si>
  <si>
    <t>Skin disfigurement due to Trypanosoma brucei gambiense</t>
  </si>
  <si>
    <t>Disfigurement, level 1 with itch/pain</t>
  </si>
  <si>
    <t>has a slight, visible physical deformity that is sometimes sore or itchy. Others notice the deformity, which causes some worry and discomfort.</t>
  </si>
  <si>
    <t>MSR</t>
  </si>
  <si>
    <t>Skin disfigurement due to Trypanosoma brucei rhodesiense</t>
  </si>
  <si>
    <t>Mild skin disease due to onchocerciasis</t>
  </si>
  <si>
    <t>More developed regions</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</si>
  <si>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</si>
  <si>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</si>
  <si>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</si>
  <si>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(0.012-0.036)</t>
  </si>
  <si>
    <t>Chronic respiratory disease due to cystic echinococcosis</t>
  </si>
  <si>
    <t>COPD and other chronic respiratory problems, mild</t>
  </si>
  <si>
    <t>has cough and shortness of breath after heavy physical activity, but is able to walk long distances and climb stairs.</t>
  </si>
  <si>
    <t>(0.011-0.033)</t>
  </si>
  <si>
    <t>Early HIV with mild anemia</t>
  </si>
  <si>
    <t>Anemia, mild; Generic uncomplicated disease anxiety</t>
  </si>
  <si>
    <t>(0.008-0.031)</t>
  </si>
  <si>
    <t>Acute otitis media</t>
  </si>
  <si>
    <t>Ear pain</t>
  </si>
  <si>
    <t>has an ear-ache that causes some difficulty with daily activities.</t>
  </si>
  <si>
    <t>(0.007-0.024)</t>
  </si>
  <si>
    <t>Severe infectious complications due to chronic otitis media</t>
  </si>
  <si>
    <t>Early HIV without anemia</t>
  </si>
  <si>
    <t>Generic uncomplicated disease: anxiety about diagnosis</t>
  </si>
  <si>
    <t>has a disease diagnosis that causes some worry but minimal interference with daily activities.</t>
  </si>
  <si>
    <t>(0.006-0.023)</t>
  </si>
  <si>
    <t>NCL</t>
  </si>
  <si>
    <t>Mild chronic digestive disease due to Chagas disease</t>
  </si>
  <si>
    <t>Abdominopelvic problem, mild</t>
  </si>
  <si>
    <t>has some pain in the belly that causes nausea but does not interfere with daily activities.</t>
  </si>
  <si>
    <t>(0.005-0.021)</t>
  </si>
  <si>
    <t>Hepatomegaly due to schistosomiasis</t>
  </si>
  <si>
    <t>Dysuria due to schistosomiasis</t>
  </si>
  <si>
    <t>Bladder pathology due to schistosomiasis</t>
  </si>
  <si>
    <t>Hydronephrosis due to schistosomiasis</t>
  </si>
  <si>
    <t>Mild skin disease without itch due to onchocerciasis</t>
  </si>
  <si>
    <t>Disfigurement, level 1</t>
  </si>
  <si>
    <t>has a slight, visible physical deformity that others notice, which causes some worry and discomfort.</t>
  </si>
  <si>
    <t>Mild hearing loss due to chronic otitis media</t>
  </si>
  <si>
    <t>Hearing loss, mild</t>
  </si>
  <si>
    <t>has great difficulty hearing and understanding another person talking in a noisy place (for example, on an urban street).</t>
  </si>
  <si>
    <t>(0.004-0.019)</t>
  </si>
  <si>
    <t>Mild malaria with mild anemia</t>
  </si>
  <si>
    <t>Infectious disease, acute episode, mild, with mild anemia</t>
  </si>
  <si>
    <t>(0.004-0.02)</t>
  </si>
  <si>
    <t>Primary infertility due to chlamydial infection</t>
  </si>
  <si>
    <t>Infertility, primary</t>
  </si>
  <si>
    <t>wants to have a child and has a fertile partner, but the couple cannot conceive.</t>
  </si>
  <si>
    <t>(0.003-0.015)</t>
  </si>
  <si>
    <t>Northern America (UN)</t>
  </si>
  <si>
    <t>Primary infertility due to gonococcal infection</t>
  </si>
  <si>
    <t>MNP</t>
  </si>
  <si>
    <t>Primary infertility due to other sexually transmitted diseases</t>
  </si>
  <si>
    <t>Mild early syphilis infection</t>
  </si>
  <si>
    <t>Infectious disease, acute episode, mild</t>
  </si>
  <si>
    <t>has a low fever and mild discomfort , but no difficulty with daily activities.</t>
  </si>
  <si>
    <t>(0.002-0.012)</t>
  </si>
  <si>
    <t>Mild chlamydial infection</t>
  </si>
  <si>
    <t>Oceania (UN)</t>
  </si>
  <si>
    <t>Mild gonococcal infection</t>
  </si>
  <si>
    <t>Acute trichomoniasis infection</t>
  </si>
  <si>
    <t>Symptomatic genital herpes</t>
  </si>
  <si>
    <t>Mild upper respiratory infections</t>
  </si>
  <si>
    <t>Acute paratyphoid infection</t>
  </si>
  <si>
    <t>Mild malaria</t>
  </si>
  <si>
    <t>Mild schistosomiasis</t>
  </si>
  <si>
    <t>Secondary infertility due to chlamydial infection</t>
  </si>
  <si>
    <t>Infertility, secondary</t>
  </si>
  <si>
    <t>has at least one child, and wants to have more children. The person has a fertile partner, but the couple cannot conceive.</t>
  </si>
  <si>
    <t>(0.002-0.011)</t>
  </si>
  <si>
    <t>Secondary infertility due to gonococcal infection</t>
  </si>
  <si>
    <t>Secondary infertility due to other sexually transmitted diseases</t>
  </si>
  <si>
    <t>Mild anemia due to malaria parasitemia (PfPR)</t>
  </si>
  <si>
    <t>Anemia, mild</t>
  </si>
  <si>
    <t>feels slightly tired and weak at times, but this does not interfere with normal daily activities.</t>
  </si>
  <si>
    <t>(0.001-0.008)</t>
  </si>
  <si>
    <t>Mild anemia due to malaria vivax (PvPR)</t>
  </si>
  <si>
    <t>Mild anemia due to schistosomiasis</t>
  </si>
  <si>
    <t>Asymptomatic early syphilis infection</t>
  </si>
  <si>
    <t>Asymptomatic</t>
  </si>
  <si>
    <t>(0-0)</t>
  </si>
  <si>
    <t>REU</t>
  </si>
  <si>
    <t>Asymptomatic adult tertiary syphilis</t>
  </si>
  <si>
    <t>Asymptomatic chlamydial infection</t>
  </si>
  <si>
    <t>Asymptomatic gonococcal infection</t>
  </si>
  <si>
    <t>Asymptomatic trichomoniasis infection</t>
  </si>
  <si>
    <t>Saint Barthelemy</t>
  </si>
  <si>
    <t>BLM</t>
  </si>
  <si>
    <t>Asymptomatic genital herpes</t>
  </si>
  <si>
    <t>Saint Helena</t>
  </si>
  <si>
    <t>SHN</t>
  </si>
  <si>
    <t>Latent tuberculosis infection</t>
  </si>
  <si>
    <t>Asymptomatic malaria parasitemia (PfPR)</t>
  </si>
  <si>
    <t>Asymptomatic malaria vivax (PvPR)</t>
  </si>
  <si>
    <t>Saint Martin (French part)</t>
  </si>
  <si>
    <t>MAF</t>
  </si>
  <si>
    <t>Asymptomatic Chagas disease</t>
  </si>
  <si>
    <t>SPM</t>
  </si>
  <si>
    <t>Prevalence of detectable microfiliaria due to lymphatic filariasis</t>
  </si>
  <si>
    <t>West Bank and Gaza</t>
  </si>
  <si>
    <t>Asymptomatic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</si>
  <si>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</si>
  <si>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</si>
  <si>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</si>
  <si>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(0.125-0.267)</t>
  </si>
  <si>
    <t>Severe skin disease due to onchocerciasis</t>
  </si>
  <si>
    <t>Moderate vision impairment due to onchocerciasis</t>
  </si>
  <si>
    <t>Distance vision, moderate impairment</t>
  </si>
  <si>
    <t>has vision problems that make it difficult to recognize faces or objects across a room.</t>
  </si>
  <si>
    <t>(0.019-0.049)</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</si>
  <si>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</si>
  <si>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</si>
  <si>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</si>
  <si>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(0.125-0.258)</t>
  </si>
  <si>
    <t>Blindness due to onchocerciasis</t>
  </si>
  <si>
    <t>Distance vision blindness</t>
  </si>
  <si>
    <t>is completely blind, which causes great difficulty in some daily activities, worry and anxiety, and great difficulty going outside the home without assistance.</t>
  </si>
  <si>
    <t>(0.124-0.26)</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</si>
  <si>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</si>
  <si>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</si>
  <si>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</si>
  <si>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</si>
  <si>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</si>
  <si>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</si>
  <si>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(0.148-0.308)</t>
  </si>
  <si>
    <t>SXM</t>
  </si>
  <si>
    <t>Moderate dengue</t>
  </si>
  <si>
    <t>Severe dengue</t>
  </si>
  <si>
    <t>Asymptomatic yellow fever</t>
  </si>
  <si>
    <t>Small island developing states (SIDS)</t>
  </si>
  <si>
    <t>Moderate yellow fever</t>
  </si>
  <si>
    <t>Severe yellow fever</t>
  </si>
  <si>
    <t>Rabies</t>
  </si>
  <si>
    <t>South America</t>
  </si>
  <si>
    <t>Asymptomatic ascariasis</t>
  </si>
  <si>
    <t>Heavy infestation of ascariasis</t>
  </si>
  <si>
    <t>Intestinal nematode infections, symptomatic</t>
  </si>
  <si>
    <t>has cramping pain and a bloated feeling in the belly.</t>
  </si>
  <si>
    <t>(0.015-0.043)</t>
  </si>
  <si>
    <t>Mild abdominopelvic problems due to ascariasis</t>
  </si>
  <si>
    <t>Severe wasting due to ascariasis</t>
  </si>
  <si>
    <t>Severe wasting</t>
  </si>
  <si>
    <t>is extremely skinny and has no energy.</t>
  </si>
  <si>
    <t>(0.082-0.183)</t>
  </si>
  <si>
    <t>Asymptomatic trichuriasis</t>
  </si>
  <si>
    <t>Heavy infestation of trichuriasis</t>
  </si>
  <si>
    <t>Mild abdominopelvic problems due to trichuriasis</t>
  </si>
  <si>
    <t>Severe wasting due to trichuriasis</t>
  </si>
  <si>
    <t>Asymptomatic hookworm disease</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</si>
  <si>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</si>
  <si>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</si>
  <si>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</si>
  <si>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</si>
  <si>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</si>
  <si>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</si>
  <si>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TKL</t>
  </si>
  <si>
    <t>Asymptomatic clonorchiasis</t>
  </si>
  <si>
    <t>Asymptomatic fascioliasis</t>
  </si>
  <si>
    <t>Asymptomatic intestinal fluke infection</t>
  </si>
  <si>
    <t>Asymptomatic opisthorchiasis</t>
  </si>
  <si>
    <t>Asymptomatic paragonimiasis</t>
  </si>
  <si>
    <t>Mild paragonimiasis due to food-borne trematodiases</t>
  </si>
  <si>
    <t>TCA</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</si>
  <si>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</si>
  <si>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</si>
  <si>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</si>
  <si>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(0.153-0.31)</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</si>
  <si>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</si>
  <si>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</si>
  <si>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</si>
  <si>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(0.273-0.556)</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</si>
  <si>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</si>
  <si>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</si>
  <si>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</si>
  <si>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</si>
  <si>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</si>
  <si>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VIR</t>
  </si>
  <si>
    <t>Upper-middle-income countries</t>
  </si>
  <si>
    <t>Disfigurement level 1 due to leprosy</t>
  </si>
  <si>
    <t>Disfigurement level 2 due to leprosy</t>
  </si>
  <si>
    <t>Ebola cases</t>
  </si>
  <si>
    <t>Vatican</t>
  </si>
  <si>
    <t>VAT</t>
  </si>
  <si>
    <t>Post-Ebola chronic fatigue syndrome</t>
  </si>
  <si>
    <t>Guillainâ€“BarrÃ© syndrome due to Zika infection</t>
  </si>
  <si>
    <t>WLF</t>
  </si>
  <si>
    <t>Congenital Zika syndrome</t>
  </si>
  <si>
    <t>ESH</t>
  </si>
  <si>
    <t>OWID_WRL</t>
  </si>
  <si>
    <t>Acute Zika infection</t>
  </si>
  <si>
    <t>Asymptomatic Zika infection</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</si>
  <si>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</si>
  <si>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</si>
  <si>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</si>
  <si>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(0.054-0.11)</t>
  </si>
  <si>
    <t>Mild pain due to Guinea worm emergence</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</si>
  <si>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</si>
  <si>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</si>
  <si>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</si>
  <si>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</si>
  <si>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</si>
  <si>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</si>
  <si>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</si>
  <si>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</si>
  <si>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is hyperactive and has difficulty concentrating, remembering things, and completing tasks.</t>
  </si>
  <si>
    <t>(0.028-0.066)</t>
  </si>
  <si>
    <t>Borderline intellectual disability due to meningitis</t>
  </si>
  <si>
    <t>Borderline intellectual functioning</t>
  </si>
  <si>
    <t>is slow in learning at school. As an adult, the person has some difficulty doing complex or unfamiliar tasks but otherwise functions independently.</t>
  </si>
  <si>
    <t>(0.005-0.02)</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</si>
  <si>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</si>
  <si>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</si>
  <si>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</si>
  <si>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(0.026-0.064)</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</si>
  <si>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</si>
  <si>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</si>
  <si>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</si>
  <si>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</si>
  <si>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</si>
  <si>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(0.105-0.227)</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</si>
  <si>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</si>
  <si>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</si>
  <si>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</si>
  <si>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(0.134-0.288)</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</si>
  <si>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</si>
  <si>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</si>
  <si>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</si>
  <si>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(0.144-0.307)</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</si>
  <si>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</si>
  <si>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</si>
  <si>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</si>
  <si>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</si>
  <si>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</si>
  <si>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(0.175-0.36)</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</si>
  <si>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</si>
  <si>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</si>
  <si>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</si>
  <si>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(0.182-0.387)</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</si>
  <si>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</si>
  <si>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</si>
  <si>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</si>
  <si>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(0.212-0.435)</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</si>
  <si>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</si>
  <si>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</si>
  <si>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</si>
  <si>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</si>
  <si>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</si>
  <si>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</si>
  <si>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(0.005-0.019)</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</si>
  <si>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</si>
  <si>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</si>
  <si>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</si>
  <si>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</si>
  <si>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</si>
  <si>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(0.018-0.05)</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</si>
  <si>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</si>
  <si>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</si>
  <si>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</si>
  <si>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</si>
  <si>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</si>
  <si>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(0.064-0.129)</t>
  </si>
  <si>
    <t>Moderately severe hearing loss with ringing due to meningitis</t>
  </si>
  <si>
    <t>Hearing loss, moderately severe, with ringing</t>
  </si>
  <si>
    <t>(0.115-0.231)</t>
  </si>
  <si>
    <t>Monocular distance vision loss due to meningitis</t>
  </si>
  <si>
    <t>Distance vision, monocular</t>
  </si>
  <si>
    <t>is blind in one eye and has difficulty judging distances</t>
  </si>
  <si>
    <t>(0.009-0.029)</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</si>
  <si>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</si>
  <si>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</si>
  <si>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</si>
  <si>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</si>
  <si>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</si>
  <si>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</si>
  <si>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</si>
  <si>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</si>
  <si>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</si>
  <si>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</si>
  <si>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</si>
  <si>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</si>
  <si>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</si>
  <si>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</si>
  <si>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</si>
  <si>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</si>
  <si>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</si>
  <si>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</si>
  <si>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</si>
  <si>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</si>
  <si>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</si>
  <si>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</si>
  <si>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</si>
  <si>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</si>
  <si>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</si>
  <si>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</si>
  <si>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</si>
  <si>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</si>
  <si>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</si>
  <si>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</si>
  <si>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Severe motor impairment with blindness due to neonatal tetanus</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</si>
  <si>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</si>
  <si>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</si>
  <si>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</si>
  <si>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</si>
  <si>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</si>
  <si>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</si>
  <si>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</si>
  <si>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</si>
  <si>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</si>
  <si>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</si>
  <si>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(0.035-0.09)</t>
  </si>
  <si>
    <t>Moderate acute hepatitis A</t>
  </si>
  <si>
    <t>Severe acute hepatitis A</t>
  </si>
  <si>
    <t>Asymptomatic acute hepatitis A</t>
  </si>
  <si>
    <t>Moderate acute hepatitis B</t>
  </si>
  <si>
    <t>Severe acute hepatitis B</t>
  </si>
  <si>
    <t>Asymptomatic acute hepatitis B</t>
  </si>
  <si>
    <t>Moderate acute hepatitis C</t>
  </si>
  <si>
    <t>Severe acute hepatitis C</t>
  </si>
  <si>
    <t>Asymptomatic acute hepatitis C</t>
  </si>
  <si>
    <t>Moderate acute hepatitis E</t>
  </si>
  <si>
    <t>Severe acute hepatitis E</t>
  </si>
  <si>
    <t>Asymptomatic acute hepatitis E</t>
  </si>
  <si>
    <t>Guillain-BarrÃ© syndrome due to other infectious diseases</t>
  </si>
  <si>
    <t>Other infectious diseases</t>
  </si>
  <si>
    <t>Mild anemia due to other infectious diseases</t>
  </si>
  <si>
    <t>Moderate anemia due to other infectious diseases</t>
  </si>
  <si>
    <t>Severe anemia due to 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</si>
  <si>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</si>
  <si>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</si>
  <si>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</si>
  <si>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</si>
  <si>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</si>
  <si>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</si>
  <si>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</si>
  <si>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t>
  </si>
  <si>
    <t>Long term sequelae of severe pre-eclampsia</t>
  </si>
  <si>
    <t>Tension-type headaches, mild motor plus cognitive impairment</t>
  </si>
  <si>
    <t>(0.041-0.103)</t>
  </si>
  <si>
    <t>Long term sequelae of eclampsia</t>
  </si>
  <si>
    <t>Other hypertensive disorders of pregnancy</t>
  </si>
  <si>
    <t>Severe pre-eclampsia</t>
  </si>
  <si>
    <t>Moderate abdominal pain, tension-type headaches, mild motor plus cognitive impairment</t>
  </si>
  <si>
    <t>(0.12-0.239)</t>
  </si>
  <si>
    <t>Eclampsia</t>
  </si>
  <si>
    <t>Moderate abdominal pain and severe epilepsy</t>
  </si>
  <si>
    <t>(0.427-0.753)</t>
  </si>
  <si>
    <t>Obstructed labor, acute event</t>
  </si>
  <si>
    <t>Rectovaginal fistula</t>
  </si>
  <si>
    <t>has an abnormal opening between her vagina and rectum causing flatulence and feces to escape through the vagina. The person gets infections in her vagina, and has pain when urinating.</t>
  </si>
  <si>
    <t>(0.339-0.657)</t>
  </si>
  <si>
    <t>Vesicovaginal fistula</t>
  </si>
  <si>
    <t>has an abnormal opening between the bladder and the vagina, which makes her unable to control urinating. The woman is anxious and depressed.</t>
  </si>
  <si>
    <t>(0.227-0.478)</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</si>
  <si>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</si>
  <si>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</si>
  <si>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</si>
  <si>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</si>
  <si>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</si>
  <si>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</si>
  <si>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</si>
  <si>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</si>
  <si>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</si>
  <si>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</si>
  <si>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</si>
  <si>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</si>
  <si>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</si>
  <si>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</si>
  <si>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</si>
  <si>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</si>
  <si>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</si>
  <si>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</si>
  <si>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</si>
  <si>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</si>
  <si>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</si>
  <si>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</si>
  <si>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</si>
  <si>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</si>
  <si>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</si>
  <si>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</si>
  <si>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</si>
  <si>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</si>
  <si>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</si>
  <si>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</si>
  <si>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</si>
  <si>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</si>
  <si>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</si>
  <si>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Severe motor impairment with blindness due to neonatal preterm birth complications 28-32wks</t>
  </si>
  <si>
    <t>Severe motor impairment with blindness due to neonatal preterm birth complications &lt;28wks</t>
  </si>
  <si>
    <t>Severe motor impairment with blindness due to neonatal preterm birth complications 32-36wks</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</si>
  <si>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</si>
  <si>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</si>
  <si>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</si>
  <si>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</si>
  <si>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</si>
  <si>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</si>
  <si>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</si>
  <si>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</si>
  <si>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</si>
  <si>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</si>
  <si>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</si>
  <si>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</si>
  <si>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</si>
  <si>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</si>
  <si>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</si>
  <si>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</si>
  <si>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</si>
  <si>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</si>
  <si>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(0.001-0.007)</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</si>
  <si>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</si>
  <si>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</si>
  <si>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</si>
  <si>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</si>
  <si>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</si>
  <si>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</si>
  <si>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</si>
  <si>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</si>
  <si>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</si>
  <si>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</si>
  <si>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</si>
  <si>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</si>
  <si>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</si>
  <si>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</si>
  <si>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</si>
  <si>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</si>
  <si>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</si>
  <si>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Severe motor impairment with blindness due to neonatal encephalopathy due to birth asphyxia and trauma</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</si>
  <si>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</si>
  <si>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</si>
  <si>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</si>
  <si>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</si>
  <si>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</si>
  <si>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Asymptomatic neonatal encephalopathy due to birth asphyxia and trauma</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</si>
  <si>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</si>
  <si>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</si>
  <si>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</si>
  <si>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</si>
  <si>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</si>
  <si>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</si>
  <si>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</si>
  <si>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</si>
  <si>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</si>
  <si>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</si>
  <si>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 Â</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</si>
  <si>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</si>
  <si>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</si>
  <si>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</si>
  <si>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</si>
  <si>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</si>
  <si>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</si>
  <si>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</si>
  <si>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</si>
  <si>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</si>
  <si>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</si>
  <si>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</si>
  <si>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</si>
  <si>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</si>
  <si>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</si>
  <si>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</si>
  <si>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Severe motor impairment with blindness due to hemolytic disease and other neonatal jaundice</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</si>
  <si>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</si>
  <si>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</si>
  <si>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</si>
  <si>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</si>
  <si>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</si>
  <si>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</si>
  <si>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</si>
  <si>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</si>
  <si>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is very tired and irritable and has diarrhea.</t>
  </si>
  <si>
    <t>(0.031-0.079)</t>
  </si>
  <si>
    <t>Severe wasting without edema</t>
  </si>
  <si>
    <t>Moderate wasting without edema</t>
  </si>
  <si>
    <t>Severe wasting with edema</t>
  </si>
  <si>
    <t>Kwashiorkor and severe wasting</t>
  </si>
  <si>
    <t>(0.115-0.238)</t>
  </si>
  <si>
    <t>Visible goiter without symptoms</t>
  </si>
  <si>
    <t>Visible goiter with profound intellectual disability due to iodine deficiency</t>
  </si>
  <si>
    <t>Intellectual disability / mental retardation, profound and Iodine-deficiency goiter</t>
  </si>
  <si>
    <t>(0.252-0.475)</t>
  </si>
  <si>
    <t>Visible goiter with severe intellectual disability due to iodine deficiency</t>
  </si>
  <si>
    <t>Intellectual disability / mental retardation, severe and Iodine-deficiency goiter</t>
  </si>
  <si>
    <t>(0.233-0.438)</t>
  </si>
  <si>
    <t>Asymptomatic vitamin A deficiency</t>
  </si>
  <si>
    <t>Moderate vision impairment loss due to vitamin A deficiency</t>
  </si>
  <si>
    <t>Severe vision impairment loss due to vitamin A deficiency</t>
  </si>
  <si>
    <t>Blindness due to vitamin A deficiency</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</si>
  <si>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</si>
  <si>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</si>
  <si>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</si>
  <si>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</si>
  <si>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</si>
  <si>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</si>
  <si>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</si>
  <si>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</si>
  <si>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Cancer, diagnosis and primary therapy</t>
  </si>
  <si>
    <t>has pain, nausea, fatigue, weight loss and high anxiety.</t>
  </si>
  <si>
    <t>(0.193-0.399)</t>
  </si>
  <si>
    <t>Metastatic phase of mouth cancer</t>
  </si>
  <si>
    <t>Cancer, metastatic</t>
  </si>
  <si>
    <t>has severe pain, extreme fatigue, weight loss and high anxiety.</t>
  </si>
  <si>
    <t>(0.307-0.6)</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</si>
  <si>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</si>
  <si>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</si>
  <si>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</si>
  <si>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(0.377-0.687)</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</si>
  <si>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</si>
  <si>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</si>
  <si>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</si>
  <si>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</si>
  <si>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</si>
  <si>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</si>
  <si>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</si>
  <si>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</si>
  <si>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</si>
  <si>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</si>
  <si>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</si>
  <si>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</si>
  <si>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</si>
  <si>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</si>
  <si>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</si>
  <si>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</si>
  <si>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</si>
  <si>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</si>
  <si>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</si>
  <si>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</si>
  <si>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</si>
  <si>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has a pouch attached to an opening in the belly to collect and empty stools.</t>
  </si>
  <si>
    <t>(0.063-0.131)</t>
  </si>
  <si>
    <t>Terminal phase of colon and rectum cancers</t>
  </si>
  <si>
    <t>Controlled phase of colon and rectum cancers, without stoma</t>
  </si>
  <si>
    <t>Controlled phase of colon and rectum cancers, with stoma</t>
  </si>
  <si>
    <t>Stoma and generic medication</t>
  </si>
  <si>
    <t>(0.094-0.192)</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</si>
  <si>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</si>
  <si>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</si>
  <si>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</si>
  <si>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</si>
  <si>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</si>
  <si>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</si>
  <si>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</si>
  <si>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</si>
  <si>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</si>
  <si>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</si>
  <si>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</si>
  <si>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</si>
  <si>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</si>
  <si>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</si>
  <si>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</si>
  <si>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</si>
  <si>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</si>
  <si>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(0.389-0.727)</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</si>
  <si>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</si>
  <si>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</si>
  <si>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</si>
  <si>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</si>
  <si>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</si>
  <si>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</si>
  <si>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</si>
  <si>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</si>
  <si>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</si>
  <si>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</si>
  <si>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</si>
  <si>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</si>
  <si>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</si>
  <si>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</si>
  <si>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</si>
  <si>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</si>
  <si>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</si>
  <si>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</si>
  <si>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</si>
  <si>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</si>
  <si>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</si>
  <si>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</si>
  <si>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has difficulty speaking, and others find it difficult to understand.</t>
  </si>
  <si>
    <t>(0.032-0.078)</t>
  </si>
  <si>
    <t>Controlled phase of larynx cancer, without laryngectomy</t>
  </si>
  <si>
    <t>Controlled phase of larynx cancer, with laryngectomy</t>
  </si>
  <si>
    <t>Speech problems and generic medication</t>
  </si>
  <si>
    <t>(0.063-0.145)</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</si>
  <si>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</si>
  <si>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</si>
  <si>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</si>
  <si>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</si>
  <si>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</si>
  <si>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</si>
  <si>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</si>
  <si>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</si>
  <si>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</si>
  <si>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</si>
  <si>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</si>
  <si>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</si>
  <si>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</si>
  <si>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(0.401-0.731)</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</si>
  <si>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</si>
  <si>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</si>
  <si>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</si>
  <si>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</si>
  <si>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</si>
  <si>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</si>
  <si>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</si>
  <si>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</si>
  <si>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</si>
  <si>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</si>
  <si>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</si>
  <si>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</si>
  <si>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</si>
  <si>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</si>
  <si>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had one of her breasts removed and sometimes has pain or swelling in the arms.</t>
  </si>
  <si>
    <t>(0.02-0.057)</t>
  </si>
  <si>
    <t>Terminal phase of breast cancer</t>
  </si>
  <si>
    <t>Controlled phase of breast cancer, without mastectomy</t>
  </si>
  <si>
    <t>Controlled phase of breast cancer, with mastectomy</t>
  </si>
  <si>
    <t>Mastectomy and generic medication</t>
  </si>
  <si>
    <t>(0.052-0.124)</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</si>
  <si>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</si>
  <si>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</si>
  <si>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</si>
  <si>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</si>
  <si>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</si>
  <si>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</si>
  <si>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</si>
  <si>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</si>
  <si>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</si>
  <si>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</si>
  <si>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</si>
  <si>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</si>
  <si>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</si>
  <si>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</si>
  <si>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</si>
  <si>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</si>
  <si>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</si>
  <si>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</si>
  <si>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(0.04-0.1)</t>
  </si>
  <si>
    <t>Controlled phase of prostate cancer, with incontinence</t>
  </si>
  <si>
    <t>Incontinence and generic medication</t>
  </si>
  <si>
    <t>(0.124-0.248)</t>
  </si>
  <si>
    <t>Incontinence from prostate cancer, beyond 10 years</t>
  </si>
  <si>
    <t>Urinary incontinence</t>
  </si>
  <si>
    <t>cannot control urinating.</t>
  </si>
  <si>
    <t>(0.094-0.198)</t>
  </si>
  <si>
    <t>Impotence from prostate cancer, beyond 10 years</t>
  </si>
  <si>
    <t>Impotence</t>
  </si>
  <si>
    <t>has difficulty in obtaining or maintaining an erection.</t>
  </si>
  <si>
    <t>(0.009-0.03)</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</si>
  <si>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</si>
  <si>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</si>
  <si>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</si>
  <si>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</si>
  <si>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</si>
  <si>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</si>
  <si>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</si>
  <si>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</si>
  <si>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</si>
  <si>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</si>
  <si>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</si>
  <si>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</si>
  <si>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</si>
  <si>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</si>
  <si>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</si>
  <si>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</si>
  <si>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</si>
  <si>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</si>
  <si>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</si>
  <si>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</si>
  <si>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</si>
  <si>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</si>
  <si>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</si>
  <si>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</si>
  <si>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</si>
  <si>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</si>
  <si>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</si>
  <si>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</si>
  <si>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</si>
  <si>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</si>
  <si>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</si>
  <si>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</si>
  <si>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</si>
  <si>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</si>
  <si>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</si>
  <si>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</si>
  <si>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</si>
  <si>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</si>
  <si>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</si>
  <si>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</si>
  <si>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</si>
  <si>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</si>
  <si>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</si>
  <si>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</si>
  <si>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</si>
  <si>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</si>
  <si>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</si>
  <si>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</si>
  <si>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</si>
  <si>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</si>
  <si>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</si>
  <si>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</si>
  <si>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</si>
  <si>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</si>
  <si>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</si>
  <si>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</si>
  <si>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</si>
  <si>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</si>
  <si>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</si>
  <si>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</si>
  <si>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</si>
  <si>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</si>
  <si>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</si>
  <si>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</si>
  <si>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</si>
  <si>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</si>
  <si>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</si>
  <si>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</si>
  <si>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</si>
  <si>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</si>
  <si>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</si>
  <si>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</si>
  <si>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</si>
  <si>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</si>
  <si>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</si>
  <si>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</si>
  <si>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</si>
  <si>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</si>
  <si>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</si>
  <si>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</si>
  <si>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</si>
  <si>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</si>
  <si>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Rheumatic heart disease, without heart failure</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</si>
  <si>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</si>
  <si>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</si>
  <si>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</si>
  <si>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</si>
  <si>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</si>
  <si>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angina due to ischemic heart disease</t>
  </si>
  <si>
    <t>Angina pectoris, mild</t>
  </si>
  <si>
    <t>has chest pain that occurs with strenuous physical activity, such as running or lifting heavy objects. After a brief rest, the pain goes away.</t>
  </si>
  <si>
    <t>(0.02-0.052)</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</si>
  <si>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</si>
  <si>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</si>
  <si>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</si>
  <si>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(0.052-0.113)</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</si>
  <si>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</si>
  <si>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</si>
  <si>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</si>
  <si>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(0.11-0.24)</t>
  </si>
  <si>
    <t>Asymptomatic angina due to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</si>
  <si>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</si>
  <si>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</si>
  <si>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</si>
  <si>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</si>
  <si>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</si>
  <si>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</si>
  <si>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</si>
  <si>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(0.288-0.579)</t>
  </si>
  <si>
    <t>Acute myocardial infarction 3 to 28 days</t>
  </si>
  <si>
    <t>Acute myocardial infarction, days 3-28</t>
  </si>
  <si>
    <t>gets short of breath after heavy physical activity, and tires easily, but has no problems when at rest. The person has to take medication every day and has some anxiety.</t>
  </si>
  <si>
    <t>(0.049-0.105)</t>
  </si>
  <si>
    <t>Acute ischemic stroke severity level 1</t>
  </si>
  <si>
    <t>Stroke, long-term consequences, mild</t>
  </si>
  <si>
    <t>has some difficulty in moving around and some weakness in one hand, but is able to walk without help.</t>
  </si>
  <si>
    <t>(0.01-0.032)</t>
  </si>
  <si>
    <t>Acute ischemic stroke severity level 2</t>
  </si>
  <si>
    <t>Stroke, long-term consequences, moderate</t>
  </si>
  <si>
    <t>has some difficulty in moving around, and in using the hands for lifting and holding things, dressing and grooming.</t>
  </si>
  <si>
    <t>(0.046-0.099)</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</si>
  <si>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</si>
  <si>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</si>
  <si>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</si>
  <si>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(0.206-0.437)</t>
  </si>
  <si>
    <t>Acute ischemic stroke severity level 4</t>
  </si>
  <si>
    <t>Stroke, long-term consequences, severe</t>
  </si>
  <si>
    <t>is confined to bed or a wheelchair, has difficulty speaking and depends on others for feeding, toileting and dressing.</t>
  </si>
  <si>
    <t>(0.377-0.707)</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</si>
  <si>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</si>
  <si>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</si>
  <si>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</si>
  <si>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(0.411-0.744)</t>
  </si>
  <si>
    <t>Chronic ischemic stroke severity level 1</t>
  </si>
  <si>
    <t>Chronic ischemic stroke severity level 2</t>
  </si>
  <si>
    <t>Chronic ischemic stroke severity level 3</t>
  </si>
  <si>
    <t>Chronic ischemic stroke severity level 4</t>
  </si>
  <si>
    <t>Chronic ischemic stroke severity level 5</t>
  </si>
  <si>
    <t>Asymptomatic chronic ischemic stroke</t>
  </si>
  <si>
    <t>Acute intracerebral hemorrhage severity level 1</t>
  </si>
  <si>
    <t>Acute intracerebral hemorrhage severity level 2</t>
  </si>
  <si>
    <t>Acute intracerebral hemorrhage severity level 3</t>
  </si>
  <si>
    <t>Acute intracerebral hemorrhage severity level 4</t>
  </si>
  <si>
    <t>Acute intracerebral hemorrhage severity level 5</t>
  </si>
  <si>
    <t>Chronic intracerebral hemorrhage severity level 1</t>
  </si>
  <si>
    <t>Chronic intracerebral hemorrhage severity level 2</t>
  </si>
  <si>
    <t>Chronic intracerebral hemorrhage severity level 3</t>
  </si>
  <si>
    <t>Chronic intracerebral hemorrhage severity level 4</t>
  </si>
  <si>
    <t>Chronic intracerebral hemorrhage severity level 5</t>
  </si>
  <si>
    <t>Asymptomatic chronic intracerebral hemorrhage</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</si>
  <si>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</si>
  <si>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</si>
  <si>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</si>
  <si>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</si>
  <si>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</si>
  <si>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Chronic subarachnoid hemorrhage severity level 1</t>
  </si>
  <si>
    <t>Chronic subarachnoid hemorrhage severity level 2</t>
  </si>
  <si>
    <t>Chronic subarachnoid hemorrhage severity level 3</t>
  </si>
  <si>
    <t>Chronic subarachnoid hemorrhage severity level 4</t>
  </si>
  <si>
    <t>Chronic subarachnoid hemorrhage severity level 5</t>
  </si>
  <si>
    <t>Asymptomatic chronic subarachnoid hemorrhage</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</si>
  <si>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</si>
  <si>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</si>
  <si>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</si>
  <si>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</si>
  <si>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</si>
  <si>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</si>
  <si>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</si>
  <si>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</si>
  <si>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</si>
  <si>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</si>
  <si>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</si>
  <si>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</si>
  <si>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</si>
  <si>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</si>
  <si>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</si>
  <si>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</si>
  <si>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</si>
  <si>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</si>
  <si>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</si>
  <si>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</si>
  <si>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</si>
  <si>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</si>
  <si>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</si>
  <si>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</si>
  <si>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</si>
  <si>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</si>
  <si>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</si>
  <si>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</si>
  <si>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</si>
  <si>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</si>
  <si>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</si>
  <si>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</si>
  <si>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</si>
  <si>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</si>
  <si>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</si>
  <si>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</si>
  <si>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</si>
  <si>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and flutter</t>
  </si>
  <si>
    <t>Asymptomatic atrial fibrillation and flutter</t>
  </si>
  <si>
    <t>Symptomatic claudication due to peripheral arterial disease</t>
  </si>
  <si>
    <t>Claudication</t>
  </si>
  <si>
    <t>has cramping pains in the legs after walking a medium distance. The pain goes away after a short rest.</t>
  </si>
  <si>
    <t>(0.007-0.025)</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</si>
  <si>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</si>
  <si>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</si>
  <si>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</si>
  <si>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</si>
  <si>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</si>
  <si>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</si>
  <si>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</si>
  <si>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</si>
  <si>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</si>
  <si>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</si>
  <si>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</si>
  <si>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</si>
  <si>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</si>
  <si>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</si>
  <si>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</si>
  <si>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</si>
  <si>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</si>
  <si>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(0.3-0.577)</t>
  </si>
  <si>
    <t>Moderate heart failure due to severe chronic obstructive pulmonary disease</t>
  </si>
  <si>
    <t>Severe COPD and other chronic respiratory, with moderate heart failure</t>
  </si>
  <si>
    <t>(0.315-0.597)</t>
  </si>
  <si>
    <t>Severe heart failure due to severe chronic obstructive pulmonary disease</t>
  </si>
  <si>
    <t>Severe COPD and other chronic respiratory, with severe heart failure</t>
  </si>
  <si>
    <t>(0.365-0.666)</t>
  </si>
  <si>
    <t>Controlled, medically managed heart failure due to severe chronic obstructive pulmonary disease</t>
  </si>
  <si>
    <t>COPD and other chronic respiratory problems, severe and generic uncomplicated disease: worry and daily medication</t>
  </si>
  <si>
    <t>(0.301-0.581)</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</si>
  <si>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</si>
  <si>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</si>
  <si>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</si>
  <si>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</si>
  <si>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</si>
  <si>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</si>
  <si>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</si>
  <si>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</si>
  <si>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</si>
  <si>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</si>
  <si>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</si>
  <si>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</si>
  <si>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</si>
  <si>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</si>
  <si>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</si>
  <si>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</si>
  <si>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</si>
  <si>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</si>
  <si>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</si>
  <si>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</si>
  <si>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</si>
  <si>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</si>
  <si>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</si>
  <si>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</si>
  <si>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</si>
  <si>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</si>
  <si>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</si>
  <si>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</si>
  <si>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</si>
  <si>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</si>
  <si>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</si>
  <si>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</si>
  <si>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</si>
  <si>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</si>
  <si>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</si>
  <si>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</si>
  <si>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</si>
  <si>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</si>
  <si>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</si>
  <si>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has wheezing and cough once a month, which does not cause difficulty with daily activities.</t>
  </si>
  <si>
    <t>(0.007-0.026)</t>
  </si>
  <si>
    <t>Partially controlled asthma</t>
  </si>
  <si>
    <t>Asthma, partially controlled</t>
  </si>
  <si>
    <t>has wheezing and cough once a week, which causes some difficulty with daily activities.</t>
  </si>
  <si>
    <t>(0.022-0.055)</t>
  </si>
  <si>
    <t>Uncontrolled asthma</t>
  </si>
  <si>
    <t>Asthma, uncontrolled</t>
  </si>
  <si>
    <t>has wheezing, cough and shortness of breath more than twice a week, which causes difficulty with daily activities and sometimes wakes the person at night.</t>
  </si>
  <si>
    <t>(0.086-0.192)</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</si>
  <si>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</si>
  <si>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</si>
  <si>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</si>
  <si>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</si>
  <si>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</si>
  <si>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</si>
  <si>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</si>
  <si>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</si>
  <si>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</si>
  <si>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without anemia</t>
  </si>
  <si>
    <t>Decompensated cirrhosis of the liver</t>
  </si>
  <si>
    <t>has a swollen belly and swollen legs. The person feels weakness, fatigue and loss of appetite.</t>
  </si>
  <si>
    <t>(0.123-0.25)</t>
  </si>
  <si>
    <t>Cirrhosis and other chronic liver diseases due to hepatitis B, decompensated, with mild anemia</t>
  </si>
  <si>
    <t>Decompensated cirrhosis of the liver and mild anemia</t>
  </si>
  <si>
    <t>(0.126-0.252)</t>
  </si>
  <si>
    <t>Cirrhosis and other chronic liver diseases due to hepatitis B, decompensated, with moderate anemia</t>
  </si>
  <si>
    <t>Decompensated cirrhosis of the liver and moderate anemia</t>
  </si>
  <si>
    <t>(0.156-0.298)</t>
  </si>
  <si>
    <t>Cirrhosis and other chronic liver diseases due to hepatitis B, decompensated, with severe anemia</t>
  </si>
  <si>
    <t>Decompensated cirrhosis of the liver and severe anemia</t>
  </si>
  <si>
    <t>(0.212-0.404)</t>
  </si>
  <si>
    <t>Cirrhosis and other chronic liver diseases due to hepatitis B, compensated</t>
  </si>
  <si>
    <t>Chronic hepatitis B without cirrhosis</t>
  </si>
  <si>
    <t>Cirrhosis and other chronic liver diseases due to hepatitis C, decompensated, with no anemia</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</si>
  <si>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</si>
  <si>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</si>
  <si>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</si>
  <si>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</si>
  <si>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</si>
  <si>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without anemia</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</si>
  <si>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</si>
  <si>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</si>
  <si>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</si>
  <si>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</si>
  <si>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</si>
  <si>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no anemia</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</si>
  <si>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</si>
  <si>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</si>
  <si>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</si>
  <si>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</si>
  <si>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decompensated, with no anemia</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</si>
  <si>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</si>
  <si>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</si>
  <si>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</si>
  <si>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t>
  </si>
  <si>
    <t>Severe, acute, uncomplicated PUD with no anemia</t>
  </si>
  <si>
    <t>Severe, acute, uncomplicated PUD with mild anemia</t>
  </si>
  <si>
    <t>Abdominopelvic problem, severe and mild anemia</t>
  </si>
  <si>
    <t>(0.224-0.443)</t>
  </si>
  <si>
    <t>Severe, acute, uncomplicated PUD with moderate anemia</t>
  </si>
  <si>
    <t>Abdominopelvic problem, severe and moderate anemia</t>
  </si>
  <si>
    <t>(0.254-0.476)</t>
  </si>
  <si>
    <t>Severe, acute, uncomplicated PUD with severe anemia</t>
  </si>
  <si>
    <t>Abdominopelvic problem, severe and severe anemia</t>
  </si>
  <si>
    <t>(0.302-0.556)</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</si>
  <si>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</si>
  <si>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</si>
  <si>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</si>
  <si>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</si>
  <si>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</si>
  <si>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</si>
  <si>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</si>
  <si>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</si>
  <si>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</si>
  <si>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(0.007-0.029)</t>
  </si>
  <si>
    <t>Mildly symptomatic PUD with moderate anemia</t>
  </si>
  <si>
    <t>Mild abdominal pain with moderate anemia</t>
  </si>
  <si>
    <t>(0.04-0.093)</t>
  </si>
  <si>
    <t>Mildly symptomatic PUD with severe anemia</t>
  </si>
  <si>
    <t>Mild abdominal pain with severe anemia</t>
  </si>
  <si>
    <t>(0.109-0.219)</t>
  </si>
  <si>
    <t>Moderately symptomatic PUD with severe anemia</t>
  </si>
  <si>
    <t>Moderately symptomatic PUD with mild anemia</t>
  </si>
  <si>
    <t>Moderate abdominal pain with mild anemia</t>
  </si>
  <si>
    <t>(0.081-0.163)</t>
  </si>
  <si>
    <t>Moderately symptomatic PUD with moderate anemia</t>
  </si>
  <si>
    <t>Moderate abdominal pain with moderate anemia</t>
  </si>
  <si>
    <t>Complicated PUD with mild anemia</t>
  </si>
  <si>
    <t>Gastric bleeding and anemia, mild</t>
  </si>
  <si>
    <t>(0.213-0.463)</t>
  </si>
  <si>
    <t>Complicated PUD with moderate anemia</t>
  </si>
  <si>
    <t>Gastric bleeding and anemia, moderate</t>
  </si>
  <si>
    <t>(0.242-0.497)</t>
  </si>
  <si>
    <t>Complicated PUD with severe anemia</t>
  </si>
  <si>
    <t>Gastric bleeding and anemia, severe</t>
  </si>
  <si>
    <t>(0.293-0.57)</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</si>
  <si>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</si>
  <si>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</si>
  <si>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</si>
  <si>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</si>
  <si>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</si>
  <si>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</si>
  <si>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</si>
  <si>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</si>
  <si>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</si>
  <si>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</si>
  <si>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</si>
  <si>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</si>
  <si>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</si>
  <si>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</si>
  <si>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</si>
  <si>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</si>
  <si>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</si>
  <si>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</si>
  <si>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(0.171-0.334)</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</si>
  <si>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</si>
  <si>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</si>
  <si>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</si>
  <si>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</si>
  <si>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</si>
  <si>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</si>
  <si>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</si>
  <si>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</si>
  <si>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</si>
  <si>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</si>
  <si>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</si>
  <si>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</si>
  <si>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</si>
  <si>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</si>
  <si>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</si>
  <si>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Ulcerative colitis with mild anemia</t>
  </si>
  <si>
    <t>Crohn disease or ulcerative colitis</t>
  </si>
  <si>
    <t>has cramping abdominal pain, has diarrhea several times a day, and feels very tired for two months every year. When the person does not have symptoms, there is anxiety about them returning.</t>
  </si>
  <si>
    <t>(0.156-0.32)</t>
  </si>
  <si>
    <t>Ulcerative colitis with moderate anemia</t>
  </si>
  <si>
    <t>Ulcerative colitis with severe anemia</t>
  </si>
  <si>
    <t>Ulcerative colitis without anemia</t>
  </si>
  <si>
    <t>Asymptomatic ulcerative colitis</t>
  </si>
  <si>
    <t>Crohn's disease with mild anemia</t>
  </si>
  <si>
    <t>Crohn's disease with moderate anemia</t>
  </si>
  <si>
    <t>Crohn's disease with severe anemia</t>
  </si>
  <si>
    <t>Crohn's disease without anemia</t>
  </si>
  <si>
    <t>Asymptomatic Crohn's disease</t>
  </si>
  <si>
    <t>Vascular intestinal disorders</t>
  </si>
  <si>
    <t>Mild symptomatic episodes gallbladder and biliary diseases</t>
  </si>
  <si>
    <t>Moderate symptomatic episodes gallbladder and biliary diseases</t>
  </si>
  <si>
    <t>Severe symptomatic episodes gallbladder and biliary diseases</t>
  </si>
  <si>
    <t>Asymptomatic gallbladder and biliary diseases</t>
  </si>
  <si>
    <t>Acute pancreatitis</t>
  </si>
  <si>
    <t>Infectious disease, acute episode, severe and abdominopelvic problem, severe</t>
  </si>
  <si>
    <t>(0.296-0.541)</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</si>
  <si>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</si>
  <si>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</si>
  <si>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</si>
  <si>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</si>
  <si>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</si>
  <si>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</si>
  <si>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</si>
  <si>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</si>
  <si>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</si>
  <si>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</si>
  <si>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</si>
  <si>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(0.252-0.508)</t>
  </si>
  <si>
    <t>Severe Alzheimer's disease and other dementias</t>
  </si>
  <si>
    <t>Dementia, severe</t>
  </si>
  <si>
    <t>has complete memory loss; no longer recognizes close family members; and requires help with all daily activities.</t>
  </si>
  <si>
    <t>(0.304-0.595)</t>
  </si>
  <si>
    <t>Mild Parkinson's disease</t>
  </si>
  <si>
    <t>Parkinson disease, mild</t>
  </si>
  <si>
    <t>has mild tremors and moves a little slowly, but is able to walk and do daily activities without assistance.</t>
  </si>
  <si>
    <t>Moderate Parkinson's disease</t>
  </si>
  <si>
    <t>Parkinson disease, moderate</t>
  </si>
  <si>
    <t>has moderate tremors and moves slowly, which causes some difficulty in walking and daily activities. The person has some trouble swallowing, talking, sleeping, and remembering things.</t>
  </si>
  <si>
    <t>(0.181-0.372)</t>
  </si>
  <si>
    <t>Severe Parkinson's disease</t>
  </si>
  <si>
    <t>Parkinson disease, severe</t>
  </si>
  <si>
    <t>has severe tremors and moves very slowly, which causes great difficulty in walking and daily activities. The person falls easily and has a lot of difficulty talking, swallowing, sleeping, and remembering things.</t>
  </si>
  <si>
    <t>(0.396-0.73)</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</si>
  <si>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</si>
  <si>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</si>
  <si>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</si>
  <si>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</si>
  <si>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(0.375-0.71)</t>
  </si>
  <si>
    <t>Idiopathic, less severe epilepsy</t>
  </si>
  <si>
    <t>Epilepsy, seizures 1-11 per year</t>
  </si>
  <si>
    <t>has sudden seizures two to five times a year, with violent muscle contractions and stiffness, loss of consciousness, and loss of urine or bowel control.</t>
  </si>
  <si>
    <t>(0.173-0.367)</t>
  </si>
  <si>
    <t>Mild multiple sclerosis</t>
  </si>
  <si>
    <t>Multiple sclerosis, mild</t>
  </si>
  <si>
    <t>has mild loss of feeling in one hand, is a little unsteady while walking, has slight loss of vision in one eye, and often needs to urinate urgently.</t>
  </si>
  <si>
    <t>(0.124-0.253)</t>
  </si>
  <si>
    <t>Moderate multiple sclerosis</t>
  </si>
  <si>
    <t>Multiple sclerosis, moderate</t>
  </si>
  <si>
    <t>needs help walking, has difficulty with writing and arm coordination, has loss of vision in one eye and cannot control urinating.</t>
  </si>
  <si>
    <t>(0.313-0.613)</t>
  </si>
  <si>
    <t>Severe multiple sclerosis</t>
  </si>
  <si>
    <t>Multiple sclerosis, severe</t>
  </si>
  <si>
    <t>has slurred speech and difficulty swallowing. The person has weak arms and hands, very limited and stiff leg movement, has loss of vision in both eyes and cannot control urinating.</t>
  </si>
  <si>
    <t>(0.534-0.858)</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</si>
  <si>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</si>
  <si>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</si>
  <si>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</si>
  <si>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</si>
  <si>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</si>
  <si>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</si>
  <si>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</si>
  <si>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</si>
  <si>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</si>
  <si>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</si>
  <si>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</si>
  <si>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</si>
  <si>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(0.049-0.123)</t>
  </si>
  <si>
    <t>Mild motor impairment, moderate respiratory problems, and speech problems due to motor neuron disease</t>
  </si>
  <si>
    <t>Mild motor impairment with moderate respiratory problems and speech problems</t>
  </si>
  <si>
    <t>(0.191-0.369)</t>
  </si>
  <si>
    <t>Mild motor impairment, severe respiratory problems and speech problems due to motor neuron disease</t>
  </si>
  <si>
    <t>Mild motor impairment with severe respiratory problems and speech problems</t>
  </si>
  <si>
    <t>(0.311-0.585)</t>
  </si>
  <si>
    <t>Moderate motor impairment, mild respiratory problems, and speech problems due to motor neuron disease</t>
  </si>
  <si>
    <t>Moderate motor impairment with mild respiratory problems and speech problems</t>
  </si>
  <si>
    <t>(0.081-0.183)</t>
  </si>
  <si>
    <t>Moderate motor impairment, moderate respiratory problems, and speech problems due to motor neuron disease</t>
  </si>
  <si>
    <t>Moderate motor impairment with moderate respiratory problems and speech problems</t>
  </si>
  <si>
    <t>(0.221-0.414)</t>
  </si>
  <si>
    <t>Moderate motor impairment, severe respiratory problems, and speech problems due to motor neuron disease</t>
  </si>
  <si>
    <t>Moderate motor impairment with severe respiratory problems and speech problems</t>
  </si>
  <si>
    <t>(0.339-0.611)</t>
  </si>
  <si>
    <t>Severe motor impairment, mild respiratory problems, and speech problems due to motor neuron disease</t>
  </si>
  <si>
    <t>Severe motor impairment with mild respiratory problems and speech problems</t>
  </si>
  <si>
    <t>(0.316-0.58)</t>
  </si>
  <si>
    <t>Severe motor impairment, moderate respiratory problems, and speech problems due to motor neuron disease</t>
  </si>
  <si>
    <t>Severe motor impairment with moderate respiratory problems and speech problems</t>
  </si>
  <si>
    <t>(0.412-0.705)</t>
  </si>
  <si>
    <t>Severe motor impairment, severe respiratory problems, and speech problems due to motor neuron disease</t>
  </si>
  <si>
    <t>Severe motor impairment with severe respiratory problems and speech problems</t>
  </si>
  <si>
    <t>(0.495-0.809)</t>
  </si>
  <si>
    <t>Mild motor impairment and mild respiratory problems due to motor neuron disease</t>
  </si>
  <si>
    <t>Mild motor impairment and mild respiratory problems</t>
  </si>
  <si>
    <t>(0.05-0.117)</t>
  </si>
  <si>
    <t>Mild motor impairment and moderate respiratory problems due to motor neuron disease</t>
  </si>
  <si>
    <t>Mild motor impairment and moderate respiratory problems</t>
  </si>
  <si>
    <t>(0.19-0.371)</t>
  </si>
  <si>
    <t>Mild motor impairment and severe respiratory problems due to motor neuron disease</t>
  </si>
  <si>
    <t>Mild motor impairment and severe respiratory problems</t>
  </si>
  <si>
    <t>(0.311-0.587)</t>
  </si>
  <si>
    <t>Moderate motor impairment and mild respiratory problems due to motor neuron disease</t>
  </si>
  <si>
    <t>Moderate motor impairment and mild respiratory problems</t>
  </si>
  <si>
    <t>(0.015-0.051)</t>
  </si>
  <si>
    <t>Moderate motor impairment and moderate respiratory problems due to motor neuron disease</t>
  </si>
  <si>
    <t>Moderate motor impairment and moderate respiratory problems</t>
  </si>
  <si>
    <t>(0.16-0.322)</t>
  </si>
  <si>
    <t>Moderate motor impairment and severe respiratory problems due to motor neuron disease</t>
  </si>
  <si>
    <t>Moderate motor impairment and severe respiratory problems</t>
  </si>
  <si>
    <t>(0.281-0.559)</t>
  </si>
  <si>
    <t>Severe motor impairment and mild respiratory problems due to motor neuron disease</t>
  </si>
  <si>
    <t>Severe motor impairment and mild respiratory problems</t>
  </si>
  <si>
    <t>(0.286-0.553)</t>
  </si>
  <si>
    <t>Severe motor impairment and moderate respiratory problems due to motor neuron disease</t>
  </si>
  <si>
    <t>Severe motor impairment and moderate respiratory problems</t>
  </si>
  <si>
    <t>(0.382-0.685)</t>
  </si>
  <si>
    <t>Severe motor impairment and severe respiratory problems due to motor neuron disease</t>
  </si>
  <si>
    <t>Severe motor impairment and severe respiratory problems</t>
  </si>
  <si>
    <t>(0.47-0.796)</t>
  </si>
  <si>
    <t>Mild motor impairment and speech problems due to motor neuron disease</t>
  </si>
  <si>
    <t>Mild motor impairment and speech problems</t>
  </si>
  <si>
    <t>(0.038-0.094)</t>
  </si>
  <si>
    <t>Moderate motor impairment and speech problems due to motor neuron disease</t>
  </si>
  <si>
    <t>Moderate motor impairment and speech problems</t>
  </si>
  <si>
    <t>(0.071-0.158)</t>
  </si>
  <si>
    <t>Severe motor impairment and speech problems due to motor neuron disease</t>
  </si>
  <si>
    <t>Severe motor impairment and speech problems</t>
  </si>
  <si>
    <t>(0.306-0.572)</t>
  </si>
  <si>
    <t>Mild respiratory problems and speech problems due to motor neuron disease</t>
  </si>
  <si>
    <t>Mild respiratory and speech problems</t>
  </si>
  <si>
    <t>(0.043-0.106)</t>
  </si>
  <si>
    <t>Moderate respiratory problems and speech problems due to motor neuron disease</t>
  </si>
  <si>
    <t>Moderate respiratory and speech problems</t>
  </si>
  <si>
    <t>(0.184-0.36)</t>
  </si>
  <si>
    <t>Severe respiratory problems and speech problems due to motor neuron disease</t>
  </si>
  <si>
    <t>Severe respiratory and speech problems</t>
  </si>
  <si>
    <t>(0.304-0.581)</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</si>
  <si>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</si>
  <si>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</si>
  <si>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</si>
  <si>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(0.146-0.313)</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</si>
  <si>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</si>
  <si>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</si>
  <si>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</si>
  <si>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</si>
  <si>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(0.294-0.588)</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</si>
  <si>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</si>
  <si>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</si>
  <si>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</si>
  <si>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</si>
  <si>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</si>
  <si>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</si>
  <si>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</si>
  <si>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has a moderate headache that also affects the neck, which causes difficulty in daily activities.</t>
  </si>
  <si>
    <t>(0.022-0.057)</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</si>
  <si>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</si>
  <si>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</si>
  <si>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</si>
  <si>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</si>
  <si>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</si>
  <si>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</si>
  <si>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</si>
  <si>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</si>
  <si>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(0.606-0.9)</t>
  </si>
  <si>
    <t>Schizophrenia residual state</t>
  </si>
  <si>
    <t>Schizophrenia, residual state</t>
  </si>
  <si>
    <t>hears and sees things that are not real and has trouble communicating. The person can be forgetful, has difficulty with daily activities, and thinks about hurting himself (or herself).</t>
  </si>
  <si>
    <t>(0.411-0.754)</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</si>
  <si>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</si>
  <si>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</si>
  <si>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</si>
  <si>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(0.099-0.209)</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</si>
  <si>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</si>
  <si>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</si>
  <si>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</si>
  <si>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(0.267-0.531)</t>
  </si>
  <si>
    <t>Severe major depressive disorder</t>
  </si>
  <si>
    <t>Major depressive disorder, severe episode</t>
  </si>
  <si>
    <t>has overwhelming, constant sadness and cannot function in daily life. The person sometimes loses touch with reality and wants to harm or kill himself (or herself).</t>
  </si>
  <si>
    <t>(0.477-0.807)</t>
  </si>
  <si>
    <t>Major depressive disorder, currently without symptoms</t>
  </si>
  <si>
    <t>Symptomatic dysthymia</t>
  </si>
  <si>
    <t>Dysthymia, currently without symptoms</t>
  </si>
  <si>
    <t>Bipolar disorder depressive state</t>
  </si>
  <si>
    <t>Bipolar disorder manic state</t>
  </si>
  <si>
    <t>Bipolar disorder, manic episode</t>
  </si>
  <si>
    <t>is hyperactive, hears and believes things that are not real, and engages in impulsive and aggressive behavior that endanger the person and others.</t>
  </si>
  <si>
    <t>(0.341-0.646)</t>
  </si>
  <si>
    <t>Bipolar disorder residual state</t>
  </si>
  <si>
    <t>Bipolar disorder, residual state</t>
  </si>
  <si>
    <t>has mild mood swings, irritability and some difficulty with daily activities.</t>
  </si>
  <si>
    <t>(0.018-0.051)</t>
  </si>
  <si>
    <t>Mild anxiety disorders</t>
  </si>
  <si>
    <t>Anxiety disorders, mild</t>
  </si>
  <si>
    <t>feels mildly anxious and worried, which makes it slightly difficult to concentrate, remember things, and sleep. The person tires easily but is able to perform daily activities.</t>
  </si>
  <si>
    <t>(0.018-0.046)</t>
  </si>
  <si>
    <t>Moderate anxiety disorders</t>
  </si>
  <si>
    <t>Anxiety disorders, moderate</t>
  </si>
  <si>
    <t>feels anxious and worried, which makes it difficult to concentrate, remember things, and sleep. The person tires easily and finds it difficult to perform daily activities.</t>
  </si>
  <si>
    <t>(0.091-0.186)</t>
  </si>
  <si>
    <t>Severe anxiety disorders</t>
  </si>
  <si>
    <t>Anxiety disorders, severe</t>
  </si>
  <si>
    <t>constantly feels very anxious and worried, which makes it difficult to concentrate, remember things and sleep. The person has lost pleasure in life and thinks about suicide.</t>
  </si>
  <si>
    <t>(0.362-0.677)</t>
  </si>
  <si>
    <t>Anxiety disorders, currently without symptoms</t>
  </si>
  <si>
    <t>Anorexia nervosa</t>
  </si>
  <si>
    <t>feels an overwhelming need to starve and exercises excessively to lose weight. The person is very thin, weak and anxious.</t>
  </si>
  <si>
    <t>(0.15-0.312)</t>
  </si>
  <si>
    <t>Bulimia nervosa</t>
  </si>
  <si>
    <t>has uncontrolled overeating followed by guilt, starving, and vomiting to lose weight.</t>
  </si>
  <si>
    <t>(0.149-0.311)</t>
  </si>
  <si>
    <t>Autism spectrum disorders without intellectual disability</t>
  </si>
  <si>
    <t>Autism spectrum disorder without intellectual disability</t>
  </si>
  <si>
    <t>(0.087-0.184)</t>
  </si>
  <si>
    <t>Autism spectrum disorders with borderline intellectual disability</t>
  </si>
  <si>
    <t>Autism spectrum disorder with borderline intellectual disability</t>
  </si>
  <si>
    <t>(0.095-0.194)</t>
  </si>
  <si>
    <t>Autism spectrum disorders with mild intellectual disability</t>
  </si>
  <si>
    <t>Autism spectrum disorder with mild intellectual disability</t>
  </si>
  <si>
    <t>(0.116-0.226)</t>
  </si>
  <si>
    <t>Autism spectrum disorders with moderate intellectual disability</t>
  </si>
  <si>
    <t>Autism spectrum disorder with moderate intellectual disability</t>
  </si>
  <si>
    <t>(0.152-0.293)</t>
  </si>
  <si>
    <t>Autism spectrum disorders with severe intellectual disability</t>
  </si>
  <si>
    <t>Autism spectrum disorder with severe intellectual disability</t>
  </si>
  <si>
    <t>(0.188-0.367)</t>
  </si>
  <si>
    <t>Autism spectrum disorders with profound intellectual disability</t>
  </si>
  <si>
    <t>Autism spectrum disorder with profound intellectual disability</t>
  </si>
  <si>
    <t>(0.209-0.405)</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</si>
  <si>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</si>
  <si>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</si>
  <si>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</si>
  <si>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</si>
  <si>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</si>
  <si>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(0.159-0.341)</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</si>
  <si>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</si>
  <si>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</si>
  <si>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</si>
  <si>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</si>
  <si>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</si>
  <si>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</si>
  <si>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(0.066-0.142)</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</si>
  <si>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</si>
  <si>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</si>
  <si>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</si>
  <si>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(0.107-0.226)</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</si>
  <si>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</si>
  <si>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</si>
  <si>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</si>
  <si>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(0.133-0.283)</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</si>
  <si>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</si>
  <si>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</si>
  <si>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</si>
  <si>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</si>
  <si>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</si>
  <si>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</si>
  <si>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</si>
  <si>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(0.16-0.327)</t>
  </si>
  <si>
    <t>Moderate alcohol dependence</t>
  </si>
  <si>
    <t>Alcohol use disorder, moderate</t>
  </si>
  <si>
    <t>drinks a lot, gets drunk almost every week and has great difficulty controlling the urge to drink. Drinking and recovering cause great difficulty in daily activities, sleep loss, and fatigue.</t>
  </si>
  <si>
    <t>(0.248-0.508)</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</si>
  <si>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</si>
  <si>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</si>
  <si>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</si>
  <si>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(0.396-0.732)</t>
  </si>
  <si>
    <t>Very mild alcohol dependence</t>
  </si>
  <si>
    <t>Alcohol use disorder, very mild</t>
  </si>
  <si>
    <t>drinks alcohol daily and has difficulty controlling the urge to drink. When sober, the person functions normally.</t>
  </si>
  <si>
    <t>(0.082-0.177)</t>
  </si>
  <si>
    <t>Asymptomatic alcohol dependence</t>
  </si>
  <si>
    <t>Mild fetal alcohol syndrome</t>
  </si>
  <si>
    <t>Fetal alcohol syndrome, mild</t>
  </si>
  <si>
    <t>is a little slow in developing physically and mentally, which causes some difficulty in learning but no other difficulties in daily activities.</t>
  </si>
  <si>
    <t>(0.008-0.03)</t>
  </si>
  <si>
    <t>Moderate fetal alcohol syndrome</t>
  </si>
  <si>
    <t>Fetal alcohol syndrome, moderate</t>
  </si>
  <si>
    <t>is slow in developing physically and mentally, which causes some difficulty in daily activities.</t>
  </si>
  <si>
    <t>(0.035-0.083)</t>
  </si>
  <si>
    <t>Severe fetal alcohol syndrome</t>
  </si>
  <si>
    <t>Fetal alcohol syndrome, severe</t>
  </si>
  <si>
    <t>is very slow in developing physically and mentally, which causes great difficulty in daily activities.</t>
  </si>
  <si>
    <t>(0.119-0.257)</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</si>
  <si>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</si>
  <si>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</si>
  <si>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</si>
  <si>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</si>
  <si>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(0.51-0.843)</t>
  </si>
  <si>
    <t>Mild opioid dependence</t>
  </si>
  <si>
    <t>Heroin and other opioid dependence, mild</t>
  </si>
  <si>
    <t>uses heroin (or methadone)Ã‚Â daily and has difficulty controlling the habit. When not using, the person functions normally.</t>
  </si>
  <si>
    <t>(0.221-0.473)</t>
  </si>
  <si>
    <t>Asymptomatic opioid dependence</t>
  </si>
  <si>
    <t>Severe cocaine dependence</t>
  </si>
  <si>
    <t>Cocaine dependence</t>
  </si>
  <si>
    <t>uses cocaine and has difficulty controlling the habit. The person sometimes has mood swings, anxiety, paranoia, hallucinations and sleep problems, and has some difficulty in daily activities.</t>
  </si>
  <si>
    <t>(0.324-0.634)</t>
  </si>
  <si>
    <t>Mild cocaine dependence</t>
  </si>
  <si>
    <t>Cocaine dependence, mild</t>
  </si>
  <si>
    <t>uses cocaine at least once a week and has some difficulty controlling the habit. When not using, the person functions normally.</t>
  </si>
  <si>
    <t>(0.074-0.165)</t>
  </si>
  <si>
    <t>Asymptomatic cocaine dependence</t>
  </si>
  <si>
    <t>Severe amphetamine dependence</t>
  </si>
  <si>
    <t>Amphetamine dependence</t>
  </si>
  <si>
    <t>uses stimulants (drugs) and has difficulty controlling the habit. The person sometimes has depression, hallucinations and mood swings, and has difficulty in daily activities.</t>
  </si>
  <si>
    <t>(0.329-0.637)</t>
  </si>
  <si>
    <t>Mild amphetamine dependence</t>
  </si>
  <si>
    <t>Amphetamine dependence, mild</t>
  </si>
  <si>
    <t>uses stimulants (drugs) at least once a week and has some difficulty controlling the habit. When not using, the person functions normally.</t>
  </si>
  <si>
    <t>(0.051-0.114)</t>
  </si>
  <si>
    <t>Asymptomatic amphetamine dependence</t>
  </si>
  <si>
    <t>Severe cannabis dependence</t>
  </si>
  <si>
    <t>Cannabis dependence</t>
  </si>
  <si>
    <t>uses marijuana daily and has difficulty controlling the habit. The person sometimes has mood swings, anxiety and hallucinations, and has some difficulty in daily activities.</t>
  </si>
  <si>
    <t>(0.178-0.364)</t>
  </si>
  <si>
    <t>Mild cannabis dependence</t>
  </si>
  <si>
    <t>Cannabis dependence, mild</t>
  </si>
  <si>
    <t>uses marijuana at least once a week and has some difficulty controlling the habit. When not using, the person functions normally.</t>
  </si>
  <si>
    <t>(0.024-0.06)</t>
  </si>
  <si>
    <t>Asymptomatic cannabis dependence</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</si>
  <si>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</si>
  <si>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</si>
  <si>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</si>
  <si>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</si>
  <si>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</si>
  <si>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</si>
  <si>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</si>
  <si>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</si>
  <si>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(0.089-0.187)</t>
  </si>
  <si>
    <t>Diabetic foot due to neuropathy due to diabetes mellitus type 1</t>
  </si>
  <si>
    <t>Diabetic neuropathy with diabetic foot</t>
  </si>
  <si>
    <t>(0.103-0.208)</t>
  </si>
  <si>
    <t>Diabetic neuropathy and amputation with treatment due to diabetes mellitus type 1</t>
  </si>
  <si>
    <t>Diabetic neuropathy with treated amputation</t>
  </si>
  <si>
    <t>(0.114-0.229)</t>
  </si>
  <si>
    <t>Diabetic neuropathy and amputation without treatment due to diabetes mellitus type 1</t>
  </si>
  <si>
    <t>Diabetic neuropathy with untreated amputation</t>
  </si>
  <si>
    <t>(0.198-0.379)</t>
  </si>
  <si>
    <t>Uncomplicated diabetes mellitus type 2</t>
  </si>
  <si>
    <t>Moderate vision impairment due to diabetes mellitus type 2 retinopathy</t>
  </si>
  <si>
    <t>Severe vision impairment due to diabetes mellitus type 2 retinopathy</t>
  </si>
  <si>
    <t>Blindness due to diabetes mellitus type 2 retinopathy</t>
  </si>
  <si>
    <t>Diabetic neuropathy due to diabetes mellitus type 2, without diabetic foot or amputation</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</si>
  <si>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</si>
  <si>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</si>
  <si>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</si>
  <si>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</si>
  <si>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</si>
  <si>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</si>
  <si>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</si>
  <si>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(0.014-0.039)</t>
  </si>
  <si>
    <t>End-stage renal disease on dialysis without anemia due to type 1 diabetes mellitus</t>
  </si>
  <si>
    <t>End-stage renal disease, on dialysis</t>
  </si>
  <si>
    <t>is tired and has itching, cramps, headache, joint pains and shortness of breath. The person needs intensive medical care every other day lasting about half a day.</t>
  </si>
  <si>
    <t>(0.398-0.725)</t>
  </si>
  <si>
    <t>End-stage renal disease on dialysis and mild anemia due to type 1 diabetes mellitus</t>
  </si>
  <si>
    <t>End-stage renal disease, on dialysis and mild anemia</t>
  </si>
  <si>
    <t>(0.403-0.726)</t>
  </si>
  <si>
    <t>End-stage renal disease on dialysis and moderate anemia due to type 1 diabetes mellitus</t>
  </si>
  <si>
    <t>End-stage renal disease, on dialysis and moderate anemia</t>
  </si>
  <si>
    <t>(0.424-0.742)</t>
  </si>
  <si>
    <t>End-stage renal disease on dialysis and severe anemia due to type 1 diabetes mellitus</t>
  </si>
  <si>
    <t>End-stage renal disease, on dialysis and severe anemia</t>
  </si>
  <si>
    <t>(0.462-0.781)</t>
  </si>
  <si>
    <t>Stage 3 chronic kidney disease and mild anemia due to type 1 diabetes mellitus</t>
  </si>
  <si>
    <t>Stage 3 chronic kidney disease and moderate anemia due to type 1 diabetes mellitus</t>
  </si>
  <si>
    <t>Stage 3 chronic kidney disease and severe anemia due to type 1 diabetes mellitus</t>
  </si>
  <si>
    <t>Stage 3 chronic kidney disease without anemia due to type 1 diabetes mellitus</t>
  </si>
  <si>
    <t>Stage 4 chronic kidney disease untreated without anemia due to type 1 diabetes mellitus</t>
  </si>
  <si>
    <t>Chronic kidney disease (stage IV)</t>
  </si>
  <si>
    <t>tires easily, has nausea, reduced appetite and difficulty sleeping.</t>
  </si>
  <si>
    <t>(0.07-0.147)</t>
  </si>
  <si>
    <t>Stage 4 chronic kidney disease untreated and mild anemia due to type 1 diabetes mellitus</t>
  </si>
  <si>
    <t>Mild anemia with Stage IV CKD</t>
  </si>
  <si>
    <t>(0.072-0.151)</t>
  </si>
  <si>
    <t>Stage 4 chronic kidney disease untreated and moderate anemia due to type 1 diabetes mellitus</t>
  </si>
  <si>
    <t>Moderate anemia with Stage IV CKD</t>
  </si>
  <si>
    <t>(0.103-0.207)</t>
  </si>
  <si>
    <t>Stage 4 chronic kidney disease untreated and severe anemia due to type 1 diabetes mellitus</t>
  </si>
  <si>
    <t>Severe anemia with Stage IV CKD</t>
  </si>
  <si>
    <t>(0.165-0.324)</t>
  </si>
  <si>
    <t>Stage 5 chronic kidney disease untreated without anemia due to type 1 diabetes mellitus</t>
  </si>
  <si>
    <t>Stage 5 chronic kidney disease untreated and mild anemia due to type 1 diabetes mellitus</t>
  </si>
  <si>
    <t>Mild anemia and terminal phase, without medication (for cancers, end-stage kidney/liver disease)</t>
  </si>
  <si>
    <t>(0.391-0.727)</t>
  </si>
  <si>
    <t>Stage 5 chronic kidney disease untreated and moderate anemia due to type 1 diabetes mellitus</t>
  </si>
  <si>
    <t>Moderate anemia and terminal phase, without medication (for cancers, end-stage kidney/liver disease)</t>
  </si>
  <si>
    <t>(0.414-0.743)</t>
  </si>
  <si>
    <t>Stage 5 chronic kidney disease untreated and severe anemia due to type 1 diabetes mellitus</t>
  </si>
  <si>
    <t>Severe anemia and terminal phase, without medication (for cancers, end-stage kidney/liver disease)</t>
  </si>
  <si>
    <t>(0.456-0.782)</t>
  </si>
  <si>
    <t>Stage 1-2 chronic kidney disease with preserved GFR due to type 2 diabetes mellitus</t>
  </si>
  <si>
    <t>End-stage renal disease after transplant due to type 2 diabetes mellitus</t>
  </si>
  <si>
    <t>End-stage renal disease on dialysis without anemia due to type 2 diabetes mellitus</t>
  </si>
  <si>
    <t>End-stage renal disease on dialysis and mild anemia due to type 2 diabetes mellitus</t>
  </si>
  <si>
    <t>End-stage renal disease on dialysis and moderate anemia due to type 2 diabetes mellitus</t>
  </si>
  <si>
    <t>End-stage renal disease on dialysis and severe anemia due to type 2 diabetes mellitus</t>
  </si>
  <si>
    <t>Stage 3 chronic kidney disease and mild anemia due to type 2 diabetes mellitus</t>
  </si>
  <si>
    <t>Stage 3 chronic kidney disease and moderate anemia due to type 2 diabetes mellitus</t>
  </si>
  <si>
    <t>Stage 3 chronic kidney disease and severe anemia due to type 2 diabetes mellitus</t>
  </si>
  <si>
    <t>Stage 3 chronic kidney disease without anemia due to type 2 diabetes mellitus</t>
  </si>
  <si>
    <t>Stage 4 chronic kidney disease untreated without anemia due to type 2 diabetes mellitus</t>
  </si>
  <si>
    <t>Stage 4 chronic kidney disease untreated and mild anemia due to type 2 diabetes mellitus</t>
  </si>
  <si>
    <t>Stage 4 chronic kidney disease untreated and moderate anemia due to type 2 diabetes mellitus</t>
  </si>
  <si>
    <t>Stage 4 chronic kidney disease untreated and severe anemia due to type 2 diabetes mellitus</t>
  </si>
  <si>
    <t>Stage 5 chronic kidney disease untreated without anemia due to type 2 diabetes mellitus</t>
  </si>
  <si>
    <t>Stage 5 chronic kidney disease untreated and mild anemia due to type 2 diabetes mellitus</t>
  </si>
  <si>
    <t>Stage 5 chronic kidney disease untreated and moderate anemia due to type 2 diabetes mellitus</t>
  </si>
  <si>
    <t>Stage 5 chronic kidney disease untreated and severe anemia due to type 2 diabetes mellitus</t>
  </si>
  <si>
    <t>Stage 1-2 chronic kidney disease with preserved GFR due to hypertension</t>
  </si>
  <si>
    <t>End-stage renal disease after transplant due to hypertension</t>
  </si>
  <si>
    <t>End-stage renal disease on dialysis without anemia due to hypertension</t>
  </si>
  <si>
    <t>End-stage renal disease on dialysis and mild anemia due to hypertension</t>
  </si>
  <si>
    <t>End-stage renal disease on dialysis and moderate anemia due to hypertension</t>
  </si>
  <si>
    <t>End-stage renal disease on dialysis and severe anemia due to hypertension</t>
  </si>
  <si>
    <t>Stage 3 chronic kidney disease and mild anemia due to hypertension</t>
  </si>
  <si>
    <t>Stage 3 chronic kidney disease and moderate anemia due to hypertension</t>
  </si>
  <si>
    <t>Stage 3 chronic kidney disease and severe anemia due to hypertension</t>
  </si>
  <si>
    <t>Stage 3 chronic kidney disease without anemia due to hypertension</t>
  </si>
  <si>
    <t>Stage 4 chronic kidney disease untreated without anemia due to hypertension</t>
  </si>
  <si>
    <t>Stage 4 chronic kidney disease untreated and mild anemia due to hypertension</t>
  </si>
  <si>
    <t>Stage 4 chronic kidney disease untreated and moderate anemia due to hypertension</t>
  </si>
  <si>
    <t>Stage 4 chronic kidney disease untreated and severe anemia due to hypertension</t>
  </si>
  <si>
    <t>Stage 5 chronic kidney disease untreated without anemia due to hypertension</t>
  </si>
  <si>
    <t>Stage 5 chronic kidney disease untreated and mild anemia due to hypertension</t>
  </si>
  <si>
    <t>Stage 5 chronic kidney disease untreated and moderate anemia due to hypertension</t>
  </si>
  <si>
    <t>Stage 5 chronic kidney disease untreated and severe anemia due to hypertension</t>
  </si>
  <si>
    <t>Stage 1-2 chronic kidney disease with preserved GFR due to glomerulonephritis</t>
  </si>
  <si>
    <t>End-stage renal disease after transplant due to glomerulonephritis</t>
  </si>
  <si>
    <t>End-stage renal disease on dialysis without anemia due to glomerulonephritis</t>
  </si>
  <si>
    <t>End-stage renal disease on dialysis and mild anemia due to glomerulonephritis</t>
  </si>
  <si>
    <t>End-stage renal disease on dialysis and moderate anemia due to glomerulonephritis</t>
  </si>
  <si>
    <t>End-stage renal disease on dialysis and severe anemia due to glomerulonephritis</t>
  </si>
  <si>
    <t>Stage 3 chronic kidney disease and mild anemia due to glomerulonephritis</t>
  </si>
  <si>
    <t>Stage 3 chronic kidney disease and moderate anemia due to glomerulonephritis</t>
  </si>
  <si>
    <t>Stage 3 chronic kidney disease and severe anemia due to glomerulonephritis</t>
  </si>
  <si>
    <t>Stage 3 chronic kidney disease without anemia due to glomerulonephritis</t>
  </si>
  <si>
    <t>Stage 4 chronic kidney disease untreated without anemia due to glomerulonephritis</t>
  </si>
  <si>
    <t>Stage 4 chronic kidney disease untreated and mild anemia due to glomerulonephritis</t>
  </si>
  <si>
    <t>Stage 4 chronic kidney disease untreated and moderate anemia due to glomerulonephritis</t>
  </si>
  <si>
    <t>Stage 4 chronic kidney disease untreated and severe anemia due to glomerulonephritis</t>
  </si>
  <si>
    <t>Stage 5 chronic kidney disease untreated without anemia due to glomerulonephritis</t>
  </si>
  <si>
    <t>Stage 5 chronic kidney disease untreated and mild anemia due to glomerulonephritis</t>
  </si>
  <si>
    <t>Stage 5 chronic kidney disease untreated and moderate anemia due to glomerulonephritis</t>
  </si>
  <si>
    <t>Stage 5 chronic kidney disease untreated and severe anemia due to glomerulonephritis</t>
  </si>
  <si>
    <t>Stage 1-2 chronic kidney disease with preserved GFR due to other causes</t>
  </si>
  <si>
    <t>End-stage renal disease after transplant due to other and unspecified causes</t>
  </si>
  <si>
    <t>End-stage renal disease on dialysis without anemia due to other and unspecified causes</t>
  </si>
  <si>
    <t>End-stage renal disease on dialysis and mild anemia due to other and unspecified causes</t>
  </si>
  <si>
    <t>End-stage renal disease on dialysis and moderate anemia due to other and unspecified causes</t>
  </si>
  <si>
    <t>End-stage renal disease on dialysis and severe anemia due to other and unspecified causes</t>
  </si>
  <si>
    <t>Stage 3 chronic kidney disease and mild anemia due to other causes</t>
  </si>
  <si>
    <t>Stage 3 chronic kidney disease and moderate anemia due to other causes</t>
  </si>
  <si>
    <t>Stage 3 chronic kidney disease and severe anemia due to other causes</t>
  </si>
  <si>
    <t>Stage 3 chronic kidney disease without anemia due to other causes</t>
  </si>
  <si>
    <t>Stage 4 chronic kidney disease untreated without anemia due to other causes</t>
  </si>
  <si>
    <t>Stage 4 chronic kidney disease untreated and mild anemia due to other causes</t>
  </si>
  <si>
    <t>Stage 4 chronic kidney disease untreated and moderate anemia due to other causes</t>
  </si>
  <si>
    <t>Stage 4 chronic kidney disease untreated and severe anemia due to other causes</t>
  </si>
  <si>
    <t>Stage 5 chronic kidney disease untreated without anemia due to other causes</t>
  </si>
  <si>
    <t>Stage 5 chronic kidney disease untreated and mild anemia due to other causes</t>
  </si>
  <si>
    <t>Stage 5 chronic kidney disease untreated and moderate anemia due to other causes</t>
  </si>
  <si>
    <t>Stage 5 chronic kidney disease untreated and severe anemia due to other causes</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</si>
  <si>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</si>
  <si>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</si>
  <si>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</si>
  <si>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</si>
  <si>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</si>
  <si>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</si>
  <si>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</si>
  <si>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</si>
  <si>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</si>
  <si>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</si>
  <si>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</si>
  <si>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</si>
  <si>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</si>
  <si>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</si>
  <si>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</si>
  <si>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</si>
  <si>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</si>
  <si>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</si>
  <si>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</si>
  <si>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</si>
  <si>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</si>
  <si>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</si>
  <si>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</si>
  <si>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</si>
  <si>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</si>
  <si>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</si>
  <si>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</si>
  <si>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</si>
  <si>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</si>
  <si>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</si>
  <si>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</si>
  <si>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</si>
  <si>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</si>
  <si>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</si>
  <si>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</si>
  <si>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</si>
  <si>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</si>
  <si>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</si>
  <si>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</si>
  <si>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</si>
  <si>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</si>
  <si>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</si>
  <si>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</si>
  <si>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</si>
  <si>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</si>
  <si>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</si>
  <si>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</si>
  <si>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</si>
  <si>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</si>
  <si>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</si>
  <si>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</si>
  <si>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</si>
  <si>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has difficulty seeing things that are nearer than 3 feet, but has no difficulty with seeing things at a distance.</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</si>
  <si>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</si>
  <si>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</si>
  <si>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</si>
  <si>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</si>
  <si>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</si>
  <si>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</si>
  <si>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</si>
  <si>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</si>
  <si>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</si>
  <si>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</si>
  <si>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</si>
  <si>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</si>
  <si>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</si>
  <si>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</si>
  <si>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</si>
  <si>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</si>
  <si>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</si>
  <si>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</si>
  <si>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</si>
  <si>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(0.074-0.158)</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</si>
  <si>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</si>
  <si>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</si>
  <si>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</si>
  <si>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</si>
  <si>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</si>
  <si>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</si>
  <si>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(0.08-0.163)</t>
  </si>
  <si>
    <t>Moderate rheumatoid arthritis</t>
  </si>
  <si>
    <t>Musculoskeletal problems, generalized, moderate</t>
  </si>
  <si>
    <t>has pain and deformity in most joints, causing difficulty moving around, getting up and down, and using the hands for lifting and carrying. The person often feels fatigue.</t>
  </si>
  <si>
    <t>(0.216-0.44)</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</si>
  <si>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</si>
  <si>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</si>
  <si>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</si>
  <si>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(0.403-0.739)</t>
  </si>
  <si>
    <t>Asymptomatic rheumatoid arthritis</t>
  </si>
  <si>
    <t>Mild osteoarthritis of the hip</t>
  </si>
  <si>
    <t>Musculoskeletal problems, lower limbs, mild</t>
  </si>
  <si>
    <t>has pain in the leg, which causes some difficulty running, walking long distances, and getting up and down.</t>
  </si>
  <si>
    <t>(0.013-0.037)</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</si>
  <si>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</si>
  <si>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</si>
  <si>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</si>
  <si>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</si>
  <si>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(0.112-0.232)</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</si>
  <si>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</si>
  <si>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</si>
  <si>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</si>
  <si>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</si>
  <si>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</si>
  <si>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</si>
  <si>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</si>
  <si>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</si>
  <si>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</si>
  <si>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</si>
  <si>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</si>
  <si>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</si>
  <si>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</si>
  <si>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</si>
  <si>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</si>
  <si>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</si>
  <si>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(0.219-0.446)</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</si>
  <si>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</si>
  <si>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</si>
  <si>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</si>
  <si>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(0.256-0.518)</t>
  </si>
  <si>
    <t>Mild low back pain with leg pain</t>
  </si>
  <si>
    <t>(0.011-0.035)</t>
  </si>
  <si>
    <t>Moderate low back pain with leg pain</t>
  </si>
  <si>
    <t>(0.035-0.079)</t>
  </si>
  <si>
    <t>Severe low back pain without leg pain</t>
  </si>
  <si>
    <t>Back pain, severe, without leg pain</t>
  </si>
  <si>
    <t>has severe back pain, which causes difficulty dressing, sitting, standing, walking, and lifting things. The person sleeps poorly and feels worried.</t>
  </si>
  <si>
    <t>(0.182-0.373)</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</si>
  <si>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</si>
  <si>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</si>
  <si>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</si>
  <si>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(0.25-0.506)</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</si>
  <si>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</si>
  <si>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</si>
  <si>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</si>
  <si>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</si>
  <si>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</si>
  <si>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</si>
  <si>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</si>
  <si>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</si>
  <si>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</si>
  <si>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(0.034-0.078)</t>
  </si>
  <si>
    <t>Severe neck pain</t>
  </si>
  <si>
    <t>Neck pain, severe</t>
  </si>
  <si>
    <t>has severe neck pain, and difficulty turning the head and lifting things. The person gets headaches and arm pain, sleeps poorly, and feels tired and worried.</t>
  </si>
  <si>
    <t>(0.153-0.317)</t>
  </si>
  <si>
    <t>Moderate neck pain</t>
  </si>
  <si>
    <t>Neck pain, moderate</t>
  </si>
  <si>
    <t>has constant neck pain, and has difficulty turning the head, holding arms up, and lifting things</t>
  </si>
  <si>
    <t>(0.075-0.162)</t>
  </si>
  <si>
    <t>Most severe neck pain</t>
  </si>
  <si>
    <t>Neck pain, most severe</t>
  </si>
  <si>
    <t>has constant neck pain and arm pain, and difficulty turning the head, holding arms up, and lifting things. The person gets headaches, sleeps poorly, and feels tired and worried.</t>
  </si>
  <si>
    <t>(0.202-0.415)</t>
  </si>
  <si>
    <t>Polyarticular gout</t>
  </si>
  <si>
    <t>Symptomatic episodes of gout</t>
  </si>
  <si>
    <t>Gout, acute</t>
  </si>
  <si>
    <t>has severe pain and swelling in the leg, making it very difficult to get up and down, stand, walk, lift, and carry heavy things. The person has trouble sleeping because of the pain.</t>
  </si>
  <si>
    <t>(0.196-0.409)</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</si>
  <si>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</si>
  <si>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</si>
  <si>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</si>
  <si>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</si>
  <si>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</si>
  <si>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</si>
  <si>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(0.017-0.045)</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</si>
  <si>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</si>
  <si>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</si>
  <si>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</si>
  <si>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</si>
  <si>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</si>
  <si>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</si>
  <si>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</si>
  <si>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</si>
  <si>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</si>
  <si>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</si>
  <si>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</si>
  <si>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</si>
  <si>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</si>
  <si>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</si>
  <si>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</si>
  <si>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</si>
  <si>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</si>
  <si>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</si>
  <si>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(0.346-0.629)</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</si>
  <si>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</si>
  <si>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</si>
  <si>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</si>
  <si>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</si>
  <si>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</si>
  <si>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</si>
  <si>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</si>
  <si>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(0.367-0.647)</t>
  </si>
  <si>
    <t>Severe motor impairment, moderate intellectual disability and incontinence due to encephalocele</t>
  </si>
  <si>
    <t>Severe motor impairment with moderate intellectual disability and incontinence</t>
  </si>
  <si>
    <t>(0.391-0.675)</t>
  </si>
  <si>
    <t>Severe motor impairment, severe intellectual disability and incontinence due to encephalocele</t>
  </si>
  <si>
    <t>Severe motor impairment with severe intellectual disability and incontinence</t>
  </si>
  <si>
    <t>(0.418-0.71)</t>
  </si>
  <si>
    <t>Severe motor impairment, profound intellectual disability and incontinence due to encephalocele</t>
  </si>
  <si>
    <t>Severe motor impairment and mild intellectual disability due to encephalocele</t>
  </si>
  <si>
    <t>Severe motor impairment with mild intellectual disability</t>
  </si>
  <si>
    <t>(0.3-0.567)</t>
  </si>
  <si>
    <t>Severe motor impairment and moderate intellectual disability due to encephalocele</t>
  </si>
  <si>
    <t>Severe motor impairment with moderate intellectual disability</t>
  </si>
  <si>
    <t>(0.324-0.603)</t>
  </si>
  <si>
    <t>Severe motor impairment and severe intellectual disability due to encephalocele</t>
  </si>
  <si>
    <t>Severe motor impairment with severe intellectual disability</t>
  </si>
  <si>
    <t>(0.355-0.641)</t>
  </si>
  <si>
    <t>Borderline intellectual disability and incontinence due to encephalocele</t>
  </si>
  <si>
    <t>Borderline intellectual functioning and urinary incontinence</t>
  </si>
  <si>
    <t>(0.101-0.206)</t>
  </si>
  <si>
    <t>Mild intellectual disability and incontinence due to encephalocele</t>
  </si>
  <si>
    <t>Mild intellectual disability and urinary incontinence</t>
  </si>
  <si>
    <t>(0.12-0.242)</t>
  </si>
  <si>
    <t>Moderate intellectual disability and incontinence due to encephalocele</t>
  </si>
  <si>
    <t>Moderate intellectual disability and urinary incontinence</t>
  </si>
  <si>
    <t>(0.156-0.304)</t>
  </si>
  <si>
    <t>Severe intellectual disability and incontinence due to encephalocele</t>
  </si>
  <si>
    <t>Severe intellectual disability and urinary incontinence</t>
  </si>
  <si>
    <t>(0.194-0.376)</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</si>
  <si>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</si>
  <si>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</si>
  <si>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</si>
  <si>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</si>
  <si>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(0.01-0.039)</t>
  </si>
  <si>
    <t>Moderate motor impairment and borderline intellectual disability due to encephalocele</t>
  </si>
  <si>
    <t>Moderate motor impairment and borderline intellectual functioning</t>
  </si>
  <si>
    <t>(0.045-0.106)</t>
  </si>
  <si>
    <t>Severe motor impairment and borderline intellectual disability due to encephalocele</t>
  </si>
  <si>
    <t>Severe motor impairment and borderline intellectual functioning</t>
  </si>
  <si>
    <t>(0.279-0.55)</t>
  </si>
  <si>
    <t>Moderate motor impairment and mild intellectual disability due to encephalocele</t>
  </si>
  <si>
    <t>Moderate motor impairment and mild intellectual functioning</t>
  </si>
  <si>
    <t>(0.066-0.146)</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</si>
  <si>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</si>
  <si>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</si>
  <si>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</si>
  <si>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</si>
  <si>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(0.113-0.237)</t>
  </si>
  <si>
    <t>Moderate motor impairment and severe intellectual disability due to encephalocele</t>
  </si>
  <si>
    <t>Moderate motor impairment and severe intellectual functioning</t>
  </si>
  <si>
    <t>(0.145-0.293)</t>
  </si>
  <si>
    <t>Mild motor impairment, borderline intellectual disability and incontinence due to encephalocele</t>
  </si>
  <si>
    <t>Mild motor impairment, borderline intellectual functioning, and urinary incontinence</t>
  </si>
  <si>
    <t>(0.108-0.218)</t>
  </si>
  <si>
    <t>Moderate motor impairment, borderline intellectual disability and incontinence due to encephalocele</t>
  </si>
  <si>
    <t>Moderate motor impairment, borderline intellectual functioning, and urinary incontinence</t>
  </si>
  <si>
    <t>(0.139-0.273)</t>
  </si>
  <si>
    <t>Severe motor impairment, borderline intellectual disability and incontinence due to encephalocele</t>
  </si>
  <si>
    <t>Severe motor impairment, borderline intellectual functioning, and urinary incontinence</t>
  </si>
  <si>
    <t>(0.353-0.632)</t>
  </si>
  <si>
    <t>Mild motor impairment, mild intellectual disability and incontinence due to encephalocele</t>
  </si>
  <si>
    <t>Mild motor impairment, mild intellectual functioning, and urinary incontinence</t>
  </si>
  <si>
    <t>(0.128-0.253)</t>
  </si>
  <si>
    <t>Moderate motor impairment, mild intellectual disability and incontinence due to encephalocele</t>
  </si>
  <si>
    <t>Moderate motor impairment, mild intellectual functioning, and urinary incontinence</t>
  </si>
  <si>
    <t>(0.191-0.364)</t>
  </si>
  <si>
    <t>Mild motor impairment, moderate intellectual disability and incontinence due to encephalocele</t>
  </si>
  <si>
    <t>Mild motor impairment, moderate intellectual functioning, and urinary incontinence</t>
  </si>
  <si>
    <t>(0.161-0.314)</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</si>
  <si>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</si>
  <si>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</si>
  <si>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</si>
  <si>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</si>
  <si>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(0.201-0.385)</t>
  </si>
  <si>
    <t>Moderate motor impairment, severe intellectual disability and incontinence due to encephalocele</t>
  </si>
  <si>
    <t>Moderate motor impairment, servere intellectual functioning, and urinary incontinence</t>
  </si>
  <si>
    <t>(0.228-0.429)</t>
  </si>
  <si>
    <t>Mild motor impairment and incontinence due to encephalocele</t>
  </si>
  <si>
    <t>Mild motor impairment and urinary incontinence</t>
  </si>
  <si>
    <t>(0.1-0.207)</t>
  </si>
  <si>
    <t>Moderate motor impairment and incontinence due to encephalocele</t>
  </si>
  <si>
    <t>Moderate motor impairment and urinary incontinence</t>
  </si>
  <si>
    <t>(0.132-0.263)</t>
  </si>
  <si>
    <t>Moderate motor impairment, profound intellectual disability and incontinence due to encephalocele</t>
  </si>
  <si>
    <t>Mild motor impairment, profound intellectual functioning, and urinary incontinence</t>
  </si>
  <si>
    <t>(0.224-0.426)</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</si>
  <si>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</si>
  <si>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</si>
  <si>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</si>
  <si>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</si>
  <si>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</si>
  <si>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</si>
  <si>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</si>
  <si>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</si>
  <si>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</si>
  <si>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</si>
  <si>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</si>
  <si>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(0.435-0.73)</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</si>
  <si>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</si>
  <si>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</si>
  <si>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</si>
  <si>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</si>
  <si>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</si>
  <si>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(0.37-0.668)</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</si>
  <si>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</si>
  <si>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</si>
  <si>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</si>
  <si>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</si>
  <si>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</si>
  <si>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</si>
  <si>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</si>
  <si>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</si>
  <si>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</si>
  <si>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</si>
  <si>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</si>
  <si>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</si>
  <si>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</si>
  <si>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</si>
  <si>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</si>
  <si>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</si>
  <si>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</si>
  <si>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</si>
  <si>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</si>
  <si>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</si>
  <si>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</si>
  <si>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(0.142-0.289)</t>
  </si>
  <si>
    <t>Moderate motor impairment and profound intellectual disability due to spina bifida</t>
  </si>
  <si>
    <t>Moderate motor impairment with profound intellectual disability</t>
  </si>
  <si>
    <t>(0.174-0.338)</t>
  </si>
  <si>
    <t>Moderate motor impairment, profound intellectual disability and incontinence due to spina bifida</t>
  </si>
  <si>
    <t>Moderate motor impairment with profound intellectual disability and incontinence</t>
  </si>
  <si>
    <t>(0.254-0.465)</t>
  </si>
  <si>
    <t>Congenital heart disease without heart failure or intellectual disability due to critical malformations of great vessels, congenital valvular heart disease and patent ductus arteriosus</t>
  </si>
  <si>
    <t>Congenital heart disease</t>
  </si>
  <si>
    <t>(custom DW from MEPS)</t>
  </si>
  <si>
    <t>(0.024-0.107)</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</si>
  <si>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</si>
  <si>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</si>
  <si>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</si>
  <si>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</si>
  <si>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</si>
  <si>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</si>
  <si>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boderline intellectual disability and mild heart failure due to critical malformations of great vessels, congenital valvular heart disease and patent ductus arteriosus</t>
  </si>
  <si>
    <t>Congenital heart disease, borderline intellectual functioning, and mild heart failure</t>
  </si>
  <si>
    <t>(0.032-0.081)</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</si>
  <si>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</si>
  <si>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</si>
  <si>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(0.053-0.12)</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</si>
  <si>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</si>
  <si>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</si>
  <si>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(0.13-0.258)</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</si>
  <si>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</si>
  <si>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</si>
  <si>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(0.052-0.121)</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</si>
  <si>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</si>
  <si>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</si>
  <si>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(0.072-0.161)</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</si>
  <si>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</si>
  <si>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</si>
  <si>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(0.148-0.291)</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</si>
  <si>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</si>
  <si>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</si>
  <si>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(0.093-0.191)</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</si>
  <si>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</si>
  <si>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</si>
  <si>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(0.112-0.225)</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</si>
  <si>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</si>
  <si>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</si>
  <si>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(0.182-0.352)</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</si>
  <si>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</si>
  <si>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</si>
  <si>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(0.134-0.269)</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</si>
  <si>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</si>
  <si>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</si>
  <si>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(0.151-0.302)</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</si>
  <si>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</si>
  <si>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</si>
  <si>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(0.22-0.419)</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</si>
  <si>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</si>
  <si>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</si>
  <si>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(0.162-0.317)</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</si>
  <si>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</si>
  <si>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</si>
  <si>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(0.181-0.351)</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</si>
  <si>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</si>
  <si>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</si>
  <si>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(0.239-0.457)</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</si>
  <si>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</si>
  <si>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</si>
  <si>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</si>
  <si>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</si>
  <si>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</si>
  <si>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</si>
  <si>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</si>
  <si>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</si>
  <si>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</si>
  <si>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</si>
  <si>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</si>
  <si>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</si>
  <si>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</si>
  <si>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</si>
  <si>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(0.037-0.09)</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</si>
  <si>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</si>
  <si>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</si>
  <si>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(0.056-0.133)</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</si>
  <si>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</si>
  <si>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</si>
  <si>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(0.098-0.199)</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</si>
  <si>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</si>
  <si>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</si>
  <si>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(0.138-0.276)</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</si>
  <si>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</si>
  <si>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</si>
  <si>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(0.167-0.325)</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</si>
  <si>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</si>
  <si>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</si>
  <si>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</si>
  <si>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</si>
  <si>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</si>
  <si>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</si>
  <si>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</si>
  <si>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</si>
  <si>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</si>
  <si>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</si>
  <si>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</si>
  <si>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</si>
  <si>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</si>
  <si>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</si>
  <si>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</si>
  <si>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</si>
  <si>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</si>
  <si>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</si>
  <si>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</si>
  <si>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</si>
  <si>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</si>
  <si>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</si>
  <si>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</si>
  <si>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</si>
  <si>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</si>
  <si>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</si>
  <si>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</si>
  <si>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</si>
  <si>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</si>
  <si>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</si>
  <si>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</si>
  <si>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</si>
  <si>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</si>
  <si>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</si>
  <si>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</si>
  <si>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</si>
  <si>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</si>
  <si>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</si>
  <si>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</si>
  <si>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</si>
  <si>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</si>
  <si>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</si>
  <si>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</si>
  <si>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</si>
  <si>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</si>
  <si>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</si>
  <si>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</si>
  <si>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</si>
  <si>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</si>
  <si>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</si>
  <si>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</si>
  <si>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</si>
  <si>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</si>
  <si>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</si>
  <si>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</si>
  <si>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</si>
  <si>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</si>
  <si>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</si>
  <si>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</si>
  <si>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</si>
  <si>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</si>
  <si>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</si>
  <si>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</si>
  <si>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</si>
  <si>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</si>
  <si>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</si>
  <si>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</si>
  <si>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</si>
  <si>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</si>
  <si>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</si>
  <si>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</si>
  <si>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</si>
  <si>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</si>
  <si>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</si>
  <si>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</si>
  <si>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</si>
  <si>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</si>
  <si>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</si>
  <si>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</si>
  <si>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</si>
  <si>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</si>
  <si>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</si>
  <si>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</si>
  <si>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</si>
  <si>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</si>
  <si>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</si>
  <si>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</si>
  <si>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</si>
  <si>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</si>
  <si>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</si>
  <si>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</si>
  <si>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</si>
  <si>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</si>
  <si>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</si>
  <si>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</si>
  <si>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</si>
  <si>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</si>
  <si>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</si>
  <si>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</si>
  <si>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</si>
  <si>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</si>
  <si>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(0.076-0.164)</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</si>
  <si>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</si>
  <si>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</si>
  <si>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</si>
  <si>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</si>
  <si>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</si>
  <si>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</si>
  <si>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</si>
  <si>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</si>
  <si>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</si>
  <si>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</si>
  <si>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</si>
  <si>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</si>
  <si>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</si>
  <si>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</si>
  <si>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</si>
  <si>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</si>
  <si>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</si>
  <si>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</si>
  <si>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</si>
  <si>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</si>
  <si>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</si>
  <si>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</si>
  <si>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</si>
  <si>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</si>
  <si>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</si>
  <si>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</si>
  <si>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</si>
  <si>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</si>
  <si>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(0.051-0.115)</t>
  </si>
  <si>
    <t>Mild intellectual disability, mild dementia, and congenital heart disease due to Down syndrome</t>
  </si>
  <si>
    <t>Congenital heart disease, mild dementia, mild intellectual disability</t>
  </si>
  <si>
    <t>(0.071-0.159)</t>
  </si>
  <si>
    <t>Moderate intellectual disability, mild dementia, and congenital heart disease due to Down syndrome</t>
  </si>
  <si>
    <t>Congenital heart disease, mild dementia, moderate intellectual disability</t>
  </si>
  <si>
    <t>(0.11-0.222)</t>
  </si>
  <si>
    <t>Severe intellectual disability, mild dementia, and congenital heart disease due to Down syndrome</t>
  </si>
  <si>
    <t>Congenital heart disease, mild dementia, severe intellectual disability</t>
  </si>
  <si>
    <t>(0.149-0.299)</t>
  </si>
  <si>
    <t>Profound intellectual disability, mild dementia, and congenital heart disease due to Down syndrome</t>
  </si>
  <si>
    <t>Congenital heart disease, mild dementia, profound intellectual disability</t>
  </si>
  <si>
    <t>(0.178-0.346)</t>
  </si>
  <si>
    <t>Borderline intellectual disability, moderate dementia, and congenital heart disease due to Down syndrome</t>
  </si>
  <si>
    <t>Congenital heart disease, moderate dementia, borderline intellectual disability</t>
  </si>
  <si>
    <t>(0.262-0.517)</t>
  </si>
  <si>
    <t>Mild intellectual disability, moderate dementia, and congenital heart disease due to Down syndrome</t>
  </si>
  <si>
    <t>Congenital heart disease, moderate dementia, mild intellectual disability</t>
  </si>
  <si>
    <t>(0.281-0.536)</t>
  </si>
  <si>
    <t>Moderate intellectual disability, moderate dementia, and congenital heart disease due to Down syndrome</t>
  </si>
  <si>
    <t>Congenital heart disease, moderate dementia, moderate intellectual disability</t>
  </si>
  <si>
    <t>(0.311-0.576)</t>
  </si>
  <si>
    <t>Severe intellectual disability, moderate dementia, and congenital heart disease due to Down syndrome</t>
  </si>
  <si>
    <t>Congenital heart disease, moderate dementia, severe intellectual disability</t>
  </si>
  <si>
    <t>(0.34-0.614)</t>
  </si>
  <si>
    <t>Profound intellectual disability, moderate dementia, and congenital heart disease due to Down syndrome</t>
  </si>
  <si>
    <t>Congenital heart disease, moderate dementia, profound intellectual disability</t>
  </si>
  <si>
    <t>(0.358-0.645)</t>
  </si>
  <si>
    <t>Borderline intellectual disability, severe dementia, and congenital heart disease due to Down syndrome</t>
  </si>
  <si>
    <t>Congenital heart disease, severe dementia, borderline intellectual disability</t>
  </si>
  <si>
    <t>(0.316-0.597)</t>
  </si>
  <si>
    <t>Mild intellectual disability, severe dementia, and congenital heart disease due to Down syndrome</t>
  </si>
  <si>
    <t>Congenital heart disease, severe dementia, mild intellectual disability</t>
  </si>
  <si>
    <t>(0.332-0.615)</t>
  </si>
  <si>
    <t>Moderate intellectual disability, severe dementia, and congenital heart disease due to Down syndrome</t>
  </si>
  <si>
    <t>Congenital heart disease, severe dementia, moderate intellectual disability</t>
  </si>
  <si>
    <t>(0.355-0.646)</t>
  </si>
  <si>
    <t>Severe intellectual disability, severe dementia, and congenital heart disease due to Down syndrome</t>
  </si>
  <si>
    <t>Congenital heart disease, severe dementia, severe intellectual disability</t>
  </si>
  <si>
    <t>(0.384-0.681)</t>
  </si>
  <si>
    <t>Profound intellectual disability, severe dementia, and congenital heart disease due to Down syndrome</t>
  </si>
  <si>
    <t>Congenital heart disease, severe dementia, profound intellectual disability</t>
  </si>
  <si>
    <t>(0.401-0.703)</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</si>
  <si>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</si>
  <si>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</si>
  <si>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</si>
  <si>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</si>
  <si>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</si>
  <si>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</si>
  <si>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</si>
  <si>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</si>
  <si>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</si>
  <si>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</si>
  <si>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</si>
  <si>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</si>
  <si>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</si>
  <si>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</si>
  <si>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</si>
  <si>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</si>
  <si>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</si>
  <si>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</si>
  <si>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</si>
  <si>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</si>
  <si>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</si>
  <si>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</si>
  <si>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</si>
  <si>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</si>
  <si>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</si>
  <si>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</si>
  <si>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</si>
  <si>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</si>
  <si>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</si>
  <si>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</si>
  <si>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</si>
  <si>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</si>
  <si>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</si>
  <si>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</si>
  <si>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(0.031-0.114)</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</si>
  <si>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</si>
  <si>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</si>
  <si>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</si>
  <si>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</si>
  <si>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</si>
  <si>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</si>
  <si>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(0.03-0.078)</t>
  </si>
  <si>
    <t>Borderline intellectual disability with infertility due to Klinefelter syndrome</t>
  </si>
  <si>
    <t>Borderline intellectual disability with primary infertility</t>
  </si>
  <si>
    <t>(0.009-0.034)</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</si>
  <si>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</si>
  <si>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</si>
  <si>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</si>
  <si>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</si>
  <si>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</si>
  <si>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</si>
  <si>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</si>
  <si>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</si>
  <si>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</si>
  <si>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</si>
  <si>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</si>
  <si>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</si>
  <si>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</si>
  <si>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</si>
  <si>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</si>
  <si>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</si>
  <si>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</si>
  <si>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</si>
  <si>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</si>
  <si>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</si>
  <si>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</si>
  <si>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</si>
  <si>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</si>
  <si>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</si>
  <si>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</si>
  <si>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</si>
  <si>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</si>
  <si>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</si>
  <si>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</si>
  <si>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</si>
  <si>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</si>
  <si>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</si>
  <si>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</si>
  <si>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</si>
  <si>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</si>
  <si>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</si>
  <si>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</si>
  <si>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</si>
  <si>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</si>
  <si>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</si>
  <si>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</si>
  <si>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</si>
  <si>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</si>
  <si>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</si>
  <si>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</si>
  <si>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</si>
  <si>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</si>
  <si>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</si>
  <si>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</si>
  <si>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</si>
  <si>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</si>
  <si>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</si>
  <si>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</si>
  <si>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</si>
  <si>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</si>
  <si>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</si>
  <si>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</si>
  <si>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(0.051-0.112)</t>
  </si>
  <si>
    <t>Disfigurement level 2 and moderate motor impairment due to congenital limb deficiency</t>
  </si>
  <si>
    <t>Level 2 disfigurement with moderate motor impairment</t>
  </si>
  <si>
    <t>(0.083-0.175)</t>
  </si>
  <si>
    <t>Disfigurement level 2 with pain and mild motor impairment due to congenital limb deficiency</t>
  </si>
  <si>
    <t>Level 2 disfigurement with itch/pain and mild motor impairment</t>
  </si>
  <si>
    <t>(0.132-0.275)</t>
  </si>
  <si>
    <t>Disfigurement level 2 with pain and moderate motor impairment due to congenital limb deficiency</t>
  </si>
  <si>
    <t>Level 2 disfigurement with itch/pain and moderate motor impairment</t>
  </si>
  <si>
    <t>(0.163-0.324)</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</si>
  <si>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</si>
  <si>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</si>
  <si>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</si>
  <si>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</si>
  <si>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</si>
  <si>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</si>
  <si>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</si>
  <si>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</si>
  <si>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</si>
  <si>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</si>
  <si>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</si>
  <si>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</si>
  <si>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</si>
  <si>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</si>
  <si>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</si>
  <si>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</si>
  <si>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</si>
  <si>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</si>
  <si>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(0.009-0.035)</t>
  </si>
  <si>
    <t>Primary infertility and recurrent urinary tract infections or other abdominal issues due to congenital genital anomalies</t>
  </si>
  <si>
    <t>Mild abdominal pain and primary infertility</t>
  </si>
  <si>
    <t>(0.009-0.036)</t>
  </si>
  <si>
    <t>Atypical genitalia, infertility, impotence, and recurrent urinary tract infections or other abdominal issues and impotence due to congenital genital anomalies</t>
  </si>
  <si>
    <t>Mild abdominopelvic problem, primary infertility, impotence, and level 1 disfigurement</t>
  </si>
  <si>
    <t>(0.023-0.083)</t>
  </si>
  <si>
    <t>Infertility, impotence, and recurrent urinary tract infections or other abdominal issues and impotence due to congenital genital anomalies</t>
  </si>
  <si>
    <t>Mild abdominopelvic problem, primary infertility, and impotence</t>
  </si>
  <si>
    <t>(0.018-0.064)</t>
  </si>
  <si>
    <t>Impotence and recurrent urinary tract infections or other abdominal issues due to congenital genital anomalies</t>
  </si>
  <si>
    <t>Mild abdominopelvic problem and impotence</t>
  </si>
  <si>
    <t>(0.014-0.05)</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</si>
  <si>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</si>
  <si>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</si>
  <si>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</si>
  <si>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(0.014-0.055)</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</si>
  <si>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</si>
  <si>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</si>
  <si>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</si>
  <si>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</si>
  <si>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</si>
  <si>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</si>
  <si>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(0.02-0.07)</t>
  </si>
  <si>
    <t>Atypical genitalia, recurrent urinary tract infections or other abdominal issues and impotence due to congenital anomalies of the urinary tract</t>
  </si>
  <si>
    <t>Infertility and impotence due to congenital genital anomalies</t>
  </si>
  <si>
    <t>Primary infertility and impotence</t>
  </si>
  <si>
    <t>(0.012-0.045)</t>
  </si>
  <si>
    <t>Atypical genital and recurrent urinary tract infections and other abdominal issues due to congenital genital anomalies</t>
  </si>
  <si>
    <t>Mild abdominopelvic problem and level 1 disfigurement</t>
  </si>
  <si>
    <t>(0.011-0.041)</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</si>
  <si>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</si>
  <si>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</si>
  <si>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</si>
  <si>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</si>
  <si>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</si>
  <si>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</si>
  <si>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</si>
  <si>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</si>
  <si>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</si>
  <si>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</si>
  <si>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</si>
  <si>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</si>
  <si>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</si>
  <si>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(0.118-0.239)</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</si>
  <si>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</si>
  <si>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</si>
  <si>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</si>
  <si>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</si>
  <si>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</si>
  <si>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</si>
  <si>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</si>
  <si>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(0.02-0.062)</t>
  </si>
  <si>
    <t>Chronic abdominal pain and mild chronic respiratory problems due to congenital diaphragmatic hernia</t>
  </si>
  <si>
    <t>Mild abdominopelvic problem and mild COPD and other chronic respiratory problems</t>
  </si>
  <si>
    <t>(0.016-0.053)</t>
  </si>
  <si>
    <t>Chronic abdominal pain and developmental delay due to congenital diaphragmatic hernia</t>
  </si>
  <si>
    <t>Mild abdominopelvic problem and mild intellectual disability</t>
  </si>
  <si>
    <t>(0.032-0.083)</t>
  </si>
  <si>
    <t>Disfigurement and mild chronic respiratory problems due to congenital diaphragmatic hernia</t>
  </si>
  <si>
    <t>Level 1 disfigurement with itch/pain and mild COPD and other chronic respiratory problems</t>
  </si>
  <si>
    <t>(0.026-0.073)</t>
  </si>
  <si>
    <t>Disfigurement and developmental delay due to congenital diaphragmatic hernia</t>
  </si>
  <si>
    <t>Level 1 disfigurement with itch/pain and mild intellectual disability</t>
  </si>
  <si>
    <t>(0.041-0.102)</t>
  </si>
  <si>
    <t>Mild chronic respiratory problems and developmental delay due to congenital diaphragmatic hernia</t>
  </si>
  <si>
    <t>Mild intellectual disability and mild COPD and other chronic respiratory problem</t>
  </si>
  <si>
    <t>(0.037-0.093)</t>
  </si>
  <si>
    <t>Chronic abdominal pain, disfigurement and chronic respiratory problems due to congenital diaphragmatic hernia</t>
  </si>
  <si>
    <t>Mild abdominopelvic problem, mild COPD and other chronic respiratory problems, and level 1 disfigurement with itch/pain</t>
  </si>
  <si>
    <t>(0.031-0.092)</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</si>
  <si>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</si>
  <si>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</si>
  <si>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</si>
  <si>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(0.046-0.12)</t>
  </si>
  <si>
    <t>Disfigurement, chronic respiratory problems and developmental delay due to congenital diaphragmatic hernia</t>
  </si>
  <si>
    <t>Mild COPD and other chronic respiratory problems, mild intellectual disability, and level 1 disfigurement with itch/pain</t>
  </si>
  <si>
    <t>(0.052-0.131)</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</si>
  <si>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</si>
  <si>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</si>
  <si>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(0.057-0.148)</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</si>
  <si>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</si>
  <si>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</si>
  <si>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</si>
  <si>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</si>
  <si>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</si>
  <si>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</si>
  <si>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</si>
  <si>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</si>
  <si>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(0.096-0.198)</t>
  </si>
  <si>
    <t>Dysphagia or acid reflux and chronic abdominal pain due to congenital atresia and/or stenosis of the digestive tract</t>
  </si>
  <si>
    <t>Mild abdominopelvic problem and moderate abdominopelvic problem</t>
  </si>
  <si>
    <t>(0.085-0.171)</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</si>
  <si>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</si>
  <si>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</si>
  <si>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</si>
  <si>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</si>
  <si>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</si>
  <si>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</si>
  <si>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(0.085-0.172)</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</si>
  <si>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</si>
  <si>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</si>
  <si>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</si>
  <si>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(0.143-0.283)</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</si>
  <si>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</si>
  <si>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</si>
  <si>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</si>
  <si>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</si>
  <si>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</si>
  <si>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</si>
  <si>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</si>
  <si>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</si>
  <si>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</si>
  <si>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</si>
  <si>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</si>
  <si>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</si>
  <si>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</si>
  <si>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</si>
  <si>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</si>
  <si>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</si>
  <si>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</si>
  <si>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</si>
  <si>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</si>
  <si>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</si>
  <si>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</si>
  <si>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</si>
  <si>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</si>
  <si>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</si>
  <si>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</si>
  <si>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</si>
  <si>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(0.043-0.097)</t>
  </si>
  <si>
    <t>Asymptomatic benign prostatic hyperplasia</t>
  </si>
  <si>
    <t>Idiopathic primary male infertility</t>
  </si>
  <si>
    <t>Idiopathic secondary male infertility</t>
  </si>
  <si>
    <t>Other urinary diseases</t>
  </si>
  <si>
    <t>Mild abdominal pain due to uterine fibroids, without anemia</t>
  </si>
  <si>
    <t>Asymptomatic uterine fibroids</t>
  </si>
  <si>
    <t>Mild abdominal pain due to uterine fibroids, with mild anemia</t>
  </si>
  <si>
    <t>Mild abdominal pain due to uterine fibroids, with moderate anemia</t>
  </si>
  <si>
    <t>Mild abdominal pain due to uterine fibroids, with severe anemia</t>
  </si>
  <si>
    <t>Primary infertility due to polycystic ovarian syndrome</t>
  </si>
  <si>
    <t>Hirsutism and secondary infertility due to polycystic ovarian syndrome</t>
  </si>
  <si>
    <t>Hirsutism due to polycystic ovarian syndrome</t>
  </si>
  <si>
    <t>Asymptomatic polycystic ovarian syndrome</t>
  </si>
  <si>
    <t>Hirsutism and primary infertility due to polycystic ovarian syndrome</t>
  </si>
  <si>
    <t>Secondary infertility due to polycystic ovarian syndrome</t>
  </si>
  <si>
    <t>Disfigurement level 1 and secondary infertility</t>
  </si>
  <si>
    <t>(0.007-0.031)</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</si>
  <si>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</si>
  <si>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</si>
  <si>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</si>
  <si>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</si>
  <si>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</si>
  <si>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</si>
  <si>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</si>
  <si>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</si>
  <si>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</si>
  <si>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</si>
  <si>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</si>
  <si>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(0.083-0.168)</t>
  </si>
  <si>
    <t>Severe abdominal pain and primary infertility due to endometriosis</t>
  </si>
  <si>
    <t>Severe abdominal pain and primary infertility</t>
  </si>
  <si>
    <t>(0.227-0.445)</t>
  </si>
  <si>
    <t>Mild abdominal pain and secondary infertility due to endometriosis</t>
  </si>
  <si>
    <t>Mild abdominal pain and secondary infertility</t>
  </si>
  <si>
    <t>Moderate abdominal pain and secondary infertility due to endometriosis</t>
  </si>
  <si>
    <t>Moderate abdominal pain and secondary infertility</t>
  </si>
  <si>
    <t>(0.081-0.164)</t>
  </si>
  <si>
    <t>Severe abdominal pain and secondary infertility due to endometriosis</t>
  </si>
  <si>
    <t>Severe abdominal pain and secondary infertility</t>
  </si>
  <si>
    <t>(0.225-0.444)</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</si>
  <si>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</si>
  <si>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</si>
  <si>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</si>
  <si>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</si>
  <si>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</si>
  <si>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</si>
  <si>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</si>
  <si>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(0.016-0.054)</t>
  </si>
  <si>
    <t>Depression due to premenstrual syndrome</t>
  </si>
  <si>
    <t>Abdominal pain due to premenstrual syndrome</t>
  </si>
  <si>
    <t>Asymptomatic premenstrual syndrome</t>
  </si>
  <si>
    <t>Abdominal pain and depression due to premenstrual syndrome</t>
  </si>
  <si>
    <t>Mild abdominal pain and mild depression</t>
  </si>
  <si>
    <t>(0.107-0.22)</t>
  </si>
  <si>
    <t>Mild other gynecological disorders</t>
  </si>
  <si>
    <t>Menstrual disorders without anemia</t>
  </si>
  <si>
    <t>Moderate other gynecological disorders</t>
  </si>
  <si>
    <t>Severe other gynecological disorders</t>
  </si>
  <si>
    <t>Asymptomatic other gynecological disorders</t>
  </si>
  <si>
    <t>Mild anemia due to menstrual disorders</t>
  </si>
  <si>
    <t>Moderate anemia due to menstrual disorders</t>
  </si>
  <si>
    <t>Severe anemia due to menstrual disorders</t>
  </si>
  <si>
    <t>Mild heart failure due to thalassemias</t>
  </si>
  <si>
    <t>Moderate heart failure due to thalassemias</t>
  </si>
  <si>
    <t>Severe heart failure due to thalassemias</t>
  </si>
  <si>
    <t>Controlled, medically managed heart failure due to thalassemias</t>
  </si>
  <si>
    <t>Hemoglobin H disease, without anemia</t>
  </si>
  <si>
    <t>Beta-thalassemia major, without anemia</t>
  </si>
  <si>
    <t>Hemoglobin E/Beta-thalassemia, without anemia</t>
  </si>
  <si>
    <t>Beta-thalassemia major, severe infection with severe anemia</t>
  </si>
  <si>
    <t>Infectious disease, acute episode, severe; Generic uncomplicated disease anxiety; Anemia, severe</t>
  </si>
  <si>
    <t>(0.19-0.37)</t>
  </si>
  <si>
    <t>Hemoglobin E/beta-thalassemia, severe infection with severe anemia</t>
  </si>
  <si>
    <t>Hemoglobin H disease, severe infection with severe anemia</t>
  </si>
  <si>
    <t>Beta-thalassemia major, with mild anemia</t>
  </si>
  <si>
    <t>Hemoglobin E/beta-thalassemia, with mild anemia</t>
  </si>
  <si>
    <t>Hemoglobin H disease, with mild anemia</t>
  </si>
  <si>
    <t>Beta-thalassemia major, with moderate anemia</t>
  </si>
  <si>
    <t>Hemoglobin E/beta-thalassemia, with moderate anemia</t>
  </si>
  <si>
    <t>Hemoglobin H disease, with moderate anemia</t>
  </si>
  <si>
    <t>Beta-thalassemia major, with severe anemia</t>
  </si>
  <si>
    <t>Hemoglobin E/beta-thalassemia, with severe anemia</t>
  </si>
  <si>
    <t>Hemoglobin H disease, with severe anemia</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</si>
  <si>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</si>
  <si>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</si>
  <si>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</si>
  <si>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</si>
  <si>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</si>
  <si>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</si>
  <si>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</si>
  <si>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</si>
  <si>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Homozygous sickle cell and severe sickle cell/beta-thalassemia, without anemia</t>
  </si>
  <si>
    <t>Other combined sequelae of homozygous sickle cell and severe sickle cell/beta-thalassemia</t>
  </si>
  <si>
    <t>Hemoglobin SC disease, without anemia</t>
  </si>
  <si>
    <t>Other combined sequelae of hemoglobin SC disease</t>
  </si>
  <si>
    <t>Mild sickle cell/beta-thalassemia, without anemia</t>
  </si>
  <si>
    <t>Other combined sequelae of mild sickle cell/beta-thalassemia exclusivity adjustment</t>
  </si>
  <si>
    <t>Homozygous sickle cell and severe sickle cell/beta-thalassemia, with vaso-occlusive crisis, without anemia</t>
  </si>
  <si>
    <t>Generic uncomplicated disease anxiety and severe abdominopelvic problem</t>
  </si>
  <si>
    <t>(0.231-0.448)</t>
  </si>
  <si>
    <t>Hemoglobin SC disease, with vaso-occlusive crisis, without anemia</t>
  </si>
  <si>
    <t>Mild sickle cell/beta-thalassemia, with vaso-occlusive crisis, without anemia</t>
  </si>
  <si>
    <t>Homozygous sickle cell and severe sickle cell/beta-thalassemia, with stroke, without anemia</t>
  </si>
  <si>
    <t>Generic uncomplicated disease anxiety; long-term consequences due to stroke</t>
  </si>
  <si>
    <t>(0.219-0.443)</t>
  </si>
  <si>
    <t>Hemoglobin SC disease, with stroke, without anemia</t>
  </si>
  <si>
    <t>Mild sickle cell/beta-thalassemia, with stroke, without anemia</t>
  </si>
  <si>
    <t>Homozygous sickle cell and severe sickle cell/beta-thalassemia, with vaso-occlusive crisis and stroke, without anemia</t>
  </si>
  <si>
    <t>Generic uncomplicated disease anxiety; long-term consequences due to stroke; severe abdominopelvic problem</t>
  </si>
  <si>
    <t>(0.39-0.685)</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</si>
  <si>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</si>
  <si>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</si>
  <si>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</si>
  <si>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</si>
  <si>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(0.309-0.562)</t>
  </si>
  <si>
    <t>Hemoglobin SC disease, with vaso-occlusive crisis and severe anemia</t>
  </si>
  <si>
    <t>Mild sickle cell/beta-thalassemia, with vaso-occlusive crisis and severe anemia</t>
  </si>
  <si>
    <t>Homozygous sickle cell and severe sickle cell/beta-thalassemia, with stroke and severe anemia</t>
  </si>
  <si>
    <t>Generic uncomplicated disease anxiety; Long-term consequences due to stroke; Anemia, severe</t>
  </si>
  <si>
    <t>(0.302-0.554)</t>
  </si>
  <si>
    <t>Hemoglobin SC disease, with stroke and severe anemia</t>
  </si>
  <si>
    <t>Mild sickle cell/beta-thalassemia, with stroke and severe anemia</t>
  </si>
  <si>
    <t>Homozygous sickle cell and severe sickle cell/beta-thalassemia, with vaso-occlusive crisis, stroke, and severe anemia</t>
  </si>
  <si>
    <t>Generic uncomplicated disease anxiety; long-term consequences due to stroke; severe abdominopelvic problem; Anemia, severe</t>
  </si>
  <si>
    <t>(0.454-0.747)</t>
  </si>
  <si>
    <t>Hemoglobin SC disease, with vaso-occlusive crisis, stroke, and severe anemia</t>
  </si>
  <si>
    <t>Mild sickle cell/beta-thalassemia, with vaso-occlusive crisis, stroke, and severe anemia</t>
  </si>
  <si>
    <t>Homozygous sickle cell and severe sickle cell/beta-thalassemia, with mild anemia</t>
  </si>
  <si>
    <t>Hemoglobin SC disease, with mild anemia</t>
  </si>
  <si>
    <t>Mild sickle cell/beta-thalassemia, with mild anemia</t>
  </si>
  <si>
    <t>Homozygous sickle cell and severe sickle cell/beta-thalassemia, with moderate anemia</t>
  </si>
  <si>
    <t>Hemoglobin SC disease, with moderate anemia</t>
  </si>
  <si>
    <t>Mild sickle cell/beta-thalassemia, with moderate anemia</t>
  </si>
  <si>
    <t>Homozygous sickle cell and severe sickle cell/beta-thalassemia, with severe anemia</t>
  </si>
  <si>
    <t>Hemoglobin SC disease, with severe anemia</t>
  </si>
  <si>
    <t>Mild sickle cell/beta-thalassemia, with severe anemia</t>
  </si>
  <si>
    <t>Mild anemia due to sickle cell trait</t>
  </si>
  <si>
    <t>Moderate anemia due to sickle cell trait</t>
  </si>
  <si>
    <t>Severe anemia due to sickle cell trait</t>
  </si>
  <si>
    <t>Asymptomatic sickle cell trait</t>
  </si>
  <si>
    <t>Mild heart failure due to G6PD deficiency</t>
  </si>
  <si>
    <t>Moderate heart failure due to G6PD deficiency</t>
  </si>
  <si>
    <t>Severe heart failure due to G6PD deficiency</t>
  </si>
  <si>
    <t>Mild anemia due to G6PD deficiency</t>
  </si>
  <si>
    <t>Moderate anemia due to G6PD deficiency</t>
  </si>
  <si>
    <t>Severe anemia due to G6PD deficiency</t>
  </si>
  <si>
    <t>Controlled, medically managed heart failure due to G6PD deficiency</t>
  </si>
  <si>
    <t>Asymptomatic G6PD deficiency</t>
  </si>
  <si>
    <t>Mild anemia due to hemizygous G6PD trait</t>
  </si>
  <si>
    <t>Moderate anemia due to hemizygous G6PD trait</t>
  </si>
  <si>
    <t>Severe anemia due to hemizygous G6PD trait</t>
  </si>
  <si>
    <t>Asymptomatic hemizygous G6PD trait</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</si>
  <si>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</si>
  <si>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</si>
  <si>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</si>
  <si>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</si>
  <si>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</si>
  <si>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</si>
  <si>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</si>
  <si>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</si>
  <si>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Mild anemia due to endocrine, metabolic, blood, and immune disorders</t>
  </si>
  <si>
    <t>Moderate anemia due to endocrine, metabolic, blood, and immune disorders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</si>
  <si>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</si>
  <si>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</si>
  <si>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</si>
  <si>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</si>
  <si>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</si>
  <si>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(0.106-0.226)</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</si>
  <si>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</si>
  <si>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</si>
  <si>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</si>
  <si>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</si>
  <si>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</si>
  <si>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</si>
  <si>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(0.096-0.202)</t>
  </si>
  <si>
    <t>Mild heart failure due to endocrine, metabolic, blood, and immune disorders</t>
  </si>
  <si>
    <t>Moderate heart failure due to endocrine, metabolic, blood, and immune disorders</t>
  </si>
  <si>
    <t>Severe heart failure due to endocrine, metabolic, blood, and immune disorders</t>
  </si>
  <si>
    <t>Controlled, medically managed heart failure due to endocrine, metabolic, blood, and immune disorders</t>
  </si>
  <si>
    <t>Pain due to caries of deciduous teeth</t>
  </si>
  <si>
    <t>Dental caries, symptomatic</t>
  </si>
  <si>
    <t>has a toothache, which causes some difficulty in eating.</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</si>
  <si>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</si>
  <si>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</si>
  <si>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</si>
  <si>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</si>
  <si>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</si>
  <si>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</si>
  <si>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(0.003-0.014)</t>
  </si>
  <si>
    <t>Difficulty eating due to edentulism and severe tooth loss</t>
  </si>
  <si>
    <t>Severe tooth loss</t>
  </si>
  <si>
    <t>has lost more than 20 teeth including front and back, and has great difficulty in eating meat, fruits, and vegetables.</t>
  </si>
  <si>
    <t>(0.045-0.095)</t>
  </si>
  <si>
    <t>Asymptomatic edentulism and severe tooth loss</t>
  </si>
  <si>
    <t>Mild other oral disorders</t>
  </si>
  <si>
    <t>Severe other oral disorders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</si>
</sst>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
    <numFmt numFmtId="165" formatCode="#,##0.000"/>
    <numFmt numFmtId="166" formatCode="0.0%"/>
    <numFmt numFmtId="167" formatCode="0.000%"/>
    <numFmt numFmtId="168" formatCode="0.0"/>
    <numFmt numFmtId="169" formatCode="#,##0.00000"/>
    <numFmt numFmtId="170" formatCode="#,##0.0000"/>
    <numFmt numFmtId="171" formatCode="#,##0.0"/>
    <numFmt numFmtId="172" formatCode="0.00000000000000"/>
    <numFmt numFmtId="173" formatCode="[$$]#,##0.00"/>
    <numFmt numFmtId="174" formatCode="0.00000"/>
    <numFmt numFmtId="175" formatCode="##&quot; +&quot;"/>
    <numFmt numFmtId="176" formatCode="[$$]#,##0.00000000000"/>
    <numFmt numFmtId="177" formatCode="[$$]#,##0.0"/>
    <numFmt numFmtId="178" formatCode="0.000"/>
  </numFmts>
  <fonts count="101">
    <font>
      <sz val="10.0"/>
      <color rgb="FF000000"/>
      <name val="Arial"/>
      <scheme val="minor"/>
    </font>
    <font>
      <b/>
      <color theme="1"/>
      <name val="Arial"/>
    </font>
    <font>
      <color theme="1"/>
      <name val="Arial"/>
    </font>
    <font>
      <color theme="1"/>
      <name val="Arial"/>
      <scheme val="minor"/>
    </font>
    <font>
      <b/>
      <sz val="12.0"/>
      <color rgb="FF801C31"/>
      <name val="Arial"/>
    </font>
    <font>
      <u/>
      <color rgb="FF0000FF"/>
    </font>
    <font>
      <b/>
      <color theme="1"/>
      <name val="Arial"/>
      <scheme val="minor"/>
    </font>
    <font>
      <sz val="11.0"/>
      <color rgb="FFFF0000"/>
      <name val="Calibri"/>
    </font>
    <font>
      <color theme="1"/>
      <name val="Calibri"/>
    </font>
    <font>
      <color rgb="FFFF0000"/>
      <name val="Arial"/>
      <scheme val="minor"/>
    </font>
    <font>
      <b/>
      <sz val="11.0"/>
      <color rgb="FFFFFFFF"/>
      <name val="Arial"/>
    </font>
    <font>
      <b/>
      <sz val="9.0"/>
      <color rgb="FFE6B8AF"/>
      <name val="Arial"/>
    </font>
    <font>
      <b/>
      <color rgb="FFCCCCCC"/>
      <name val="Arial"/>
    </font>
    <font>
      <b/>
      <i/>
      <sz val="10.0"/>
      <color theme="1"/>
      <name val="Arial"/>
    </font>
    <font>
      <b/>
      <i/>
      <sz val="15.0"/>
      <color theme="1"/>
      <name val="Arial"/>
    </font>
    <font/>
    <font>
      <color rgb="FFFF0000"/>
      <name val="Arial"/>
    </font>
    <font>
      <b/>
      <color rgb="FFFF0000"/>
      <name val="Arial"/>
      <scheme val="minor"/>
    </font>
    <font>
      <b/>
      <i/>
      <sz val="10.0"/>
      <color rgb="FFFFFFFF"/>
      <name val="Arial"/>
    </font>
    <font>
      <b/>
      <sz val="10.0"/>
      <color rgb="FFFFFFFF"/>
      <name val="Arial"/>
    </font>
    <font>
      <sz val="10.0"/>
      <color theme="1"/>
      <name val="Arial"/>
      <scheme val="minor"/>
    </font>
    <font>
      <sz val="8.0"/>
      <color rgb="FFFF0000"/>
      <name val="Arial"/>
    </font>
    <font>
      <b/>
      <i/>
      <sz val="10.0"/>
      <color rgb="FF000000"/>
      <name val="Arial"/>
    </font>
    <font>
      <b/>
      <i/>
      <sz val="15.0"/>
      <color rgb="FF000000"/>
      <name val="Arial"/>
    </font>
    <font>
      <color rgb="FF000000"/>
      <name val="Arial"/>
    </font>
    <font>
      <b/>
      <color rgb="FF000000"/>
      <name val="Arial"/>
      <scheme val="minor"/>
    </font>
    <font>
      <color rgb="FF000000"/>
      <name val="Arial"/>
      <scheme val="minor"/>
    </font>
    <font>
      <color rgb="FF666666"/>
      <name val="Arial"/>
    </font>
    <font>
      <color rgb="FF666666"/>
      <name val="Arial"/>
      <scheme val="minor"/>
    </font>
    <font>
      <u/>
      <color rgb="FF0000FF"/>
    </font>
    <font>
      <u/>
      <color theme="1"/>
      <name val="Arial"/>
    </font>
    <font>
      <u/>
      <color rgb="FF0000FF"/>
      <name val="Arial"/>
    </font>
    <font>
      <b/>
      <u/>
      <color theme="1"/>
      <name val="Arial"/>
    </font>
    <font>
      <u/>
      <color rgb="FF1155CC"/>
      <name val="Arial"/>
    </font>
    <font>
      <sz val="9.0"/>
      <color rgb="FF454545"/>
      <name val="Archivo"/>
    </font>
    <font>
      <color rgb="FF999999"/>
      <name val="Arial"/>
      <scheme val="minor"/>
    </font>
    <font>
      <color rgb="FF999999"/>
      <name val="Arial"/>
    </font>
    <font>
      <b/>
      <color rgb="FF999999"/>
      <name val="Arial"/>
    </font>
    <font>
      <i/>
      <color rgb="FF999999"/>
      <name val="Arial"/>
    </font>
    <font>
      <b/>
      <color rgb="FF999999"/>
      <name val="Arial"/>
      <scheme val="minor"/>
    </font>
    <font>
      <u/>
      <color rgb="FF0000FF"/>
    </font>
    <font>
      <b/>
      <color rgb="FFFFFFFF"/>
      <name val="Arial"/>
    </font>
    <font>
      <b/>
      <color rgb="FF000000"/>
      <name val="Arial"/>
    </font>
    <font>
      <strike/>
      <color rgb="FF000000"/>
      <name val="Arial"/>
      <scheme val="minor"/>
    </font>
    <font>
      <color rgb="FFB7B7B7"/>
      <name val="Arial"/>
    </font>
    <font>
      <color rgb="FFB7B7B7"/>
      <name val="Arial"/>
      <scheme val="minor"/>
    </font>
    <font>
      <i/>
      <color theme="1"/>
      <name val="Arial"/>
      <scheme val="minor"/>
    </font>
    <font>
      <u/>
      <color rgb="FF0000FF"/>
    </font>
    <font>
      <b/>
      <color rgb="FF666666"/>
      <name val="Arial"/>
      <scheme val="minor"/>
    </font>
    <font>
      <strike/>
      <color theme="1"/>
      <name val="Arial"/>
      <scheme val="minor"/>
    </font>
    <font>
      <b/>
      <i/>
      <sz val="15.0"/>
      <color rgb="FF999999"/>
      <name val="Arial"/>
    </font>
    <font>
      <b/>
      <color rgb="FF990000"/>
      <name val="Arial"/>
      <scheme val="minor"/>
    </font>
    <font>
      <sz val="9.0"/>
      <color rgb="FF7E3794"/>
      <name val="&quot;Google Sans Mono&quot;"/>
    </font>
    <font>
      <color rgb="FF990000"/>
      <name val="Arial"/>
      <scheme val="minor"/>
    </font>
    <font>
      <b/>
      <i/>
      <sz val="15.0"/>
      <color rgb="FFFFFFFF"/>
      <name val="Arial"/>
    </font>
    <font>
      <b/>
      <i/>
      <color rgb="FFFFFFFF"/>
      <name val="Arial"/>
    </font>
    <font>
      <b/>
      <color rgb="FF434343"/>
      <name val="Arial"/>
      <scheme val="minor"/>
    </font>
    <font>
      <color rgb="FF434343"/>
      <name val="Arial"/>
      <scheme val="minor"/>
    </font>
    <font>
      <color rgb="FF434343"/>
      <name val="Arial"/>
    </font>
    <font>
      <u/>
      <color rgb="FF0000FF"/>
      <name val="Arial"/>
    </font>
    <font>
      <u/>
      <color rgb="FF1155CC"/>
      <name val="Arial"/>
    </font>
    <font>
      <u/>
      <color rgb="FF0000FF"/>
      <name val="Arial"/>
    </font>
    <font>
      <u/>
      <color rgb="FF0000FF"/>
      <name val="Arial"/>
    </font>
    <font>
      <u/>
      <color rgb="FF1155CC"/>
      <name val="Arial"/>
    </font>
    <font>
      <b/>
      <sz val="9.0"/>
      <color rgb="FFFFFFFF"/>
      <name val="Arial"/>
    </font>
    <font>
      <b/>
      <i/>
      <sz val="15.0"/>
      <color rgb="FFFF0000"/>
      <name val="Arial"/>
    </font>
    <font>
      <i/>
      <sz val="15.0"/>
      <color theme="1"/>
      <name val="Arial"/>
    </font>
    <font>
      <strike/>
      <color rgb="FFFF0000"/>
      <name val="Arial"/>
      <scheme val="minor"/>
    </font>
    <font>
      <sz val="9.0"/>
      <color rgb="FF000000"/>
      <name val="&quot;Google Sans Mono&quot;"/>
    </font>
    <font>
      <color rgb="FF38761D"/>
      <name val="Arial"/>
      <scheme val="minor"/>
    </font>
    <font>
      <color rgb="FFFFFFFF"/>
      <name val="Arial"/>
    </font>
    <font>
      <b/>
      <sz val="8.0"/>
      <color rgb="FFFF0000"/>
      <name val="Calibri"/>
    </font>
    <font>
      <b/>
      <sz val="12.0"/>
      <color rgb="FF999999"/>
      <name val="Calibri"/>
    </font>
    <font>
      <sz val="8.0"/>
      <color rgb="FFFF0000"/>
      <name val="Calibri"/>
    </font>
    <font>
      <b/>
      <sz val="12.0"/>
      <color rgb="FF36B300"/>
      <name val="Calibri"/>
    </font>
    <font>
      <b/>
      <sz val="13.0"/>
      <color rgb="FF36B300"/>
      <name val="Calibri"/>
    </font>
    <font>
      <sz val="11.0"/>
      <color theme="1"/>
      <name val="Calibri"/>
    </font>
    <font>
      <b/>
      <sz val="11.0"/>
      <color theme="1"/>
      <name val="Calibri"/>
    </font>
    <font>
      <b/>
      <sz val="11.0"/>
      <color rgb="FF999999"/>
      <name val="Calibri"/>
    </font>
    <font>
      <b/>
      <u/>
      <sz val="9.0"/>
      <color rgb="FF1155CC"/>
      <name val="Google Sans"/>
    </font>
    <font>
      <b/>
      <u/>
      <color rgb="FF1155CC"/>
      <name val="Arial"/>
    </font>
    <font>
      <sz val="11.0"/>
      <color rgb="FF999999"/>
      <name val="Calibri"/>
    </font>
    <font>
      <b/>
      <sz val="11.0"/>
      <color rgb="FF36B300"/>
      <name val="Calibri"/>
    </font>
    <font>
      <sz val="9.0"/>
      <color rgb="FF666666"/>
      <name val="Calibri"/>
    </font>
    <font>
      <b/>
      <color theme="1"/>
      <name val="Calibri"/>
    </font>
    <font>
      <color rgb="FFFF0000"/>
      <name val="Calibri"/>
    </font>
    <font>
      <sz val="11.0"/>
      <color rgb="FF666666"/>
      <name val="Docs-Calibri"/>
    </font>
    <font>
      <b/>
      <color rgb="FF990000"/>
      <name val="Arial"/>
    </font>
    <font>
      <color rgb="FF980000"/>
      <name val="Arial"/>
    </font>
    <font>
      <u/>
      <color rgb="FF1155CC"/>
      <name val="Arial"/>
    </font>
    <font>
      <u/>
      <color rgb="FF1155CC"/>
      <name val="Arial"/>
    </font>
    <font>
      <b/>
      <color rgb="FFFFFFFF"/>
      <name val="&quot;Times New Roman&quot;"/>
    </font>
    <font>
      <u/>
      <color rgb="FF1155CC"/>
      <name val="Arial"/>
    </font>
    <font>
      <u/>
      <color rgb="FF0000FF"/>
    </font>
    <font>
      <u/>
      <color rgb="FF0000FF"/>
    </font>
    <font>
      <b/>
      <sz val="8.0"/>
      <color rgb="FF000000"/>
      <name val="&quot;Times New Roman&quot;"/>
    </font>
    <font>
      <u/>
      <color rgb="FF000000"/>
      <name val="Arial"/>
    </font>
    <font>
      <b/>
      <color rgb="FF333333"/>
      <name val="Lato"/>
    </font>
    <font>
      <sz val="8.0"/>
      <color rgb="FF000000"/>
      <name val="&quot;Times New Roman&quot;"/>
    </font>
    <font>
      <color rgb="FF333333"/>
      <name val="Lato"/>
    </font>
    <font>
      <i/>
      <color rgb="FF333333"/>
      <name val="Lato"/>
    </font>
  </fonts>
  <fills count="27">
    <fill>
      <patternFill patternType="none"/>
    </fill>
    <fill>
      <patternFill patternType="lightGray"/>
    </fill>
    <fill>
      <patternFill patternType="solid">
        <fgColor rgb="FFF3F3F3"/>
        <bgColor rgb="FFF3F3F3"/>
      </patternFill>
    </fill>
    <fill>
      <patternFill patternType="solid">
        <fgColor rgb="FFFCE5CD"/>
        <bgColor rgb="FFFCE5CD"/>
      </patternFill>
    </fill>
    <fill>
      <patternFill patternType="solid">
        <fgColor rgb="FFFFD966"/>
        <bgColor rgb="FFFFD966"/>
      </patternFill>
    </fill>
    <fill>
      <patternFill patternType="solid">
        <fgColor rgb="FFFF9900"/>
        <bgColor rgb="FFFF9900"/>
      </patternFill>
    </fill>
    <fill>
      <patternFill patternType="solid">
        <fgColor rgb="FFC9DAF8"/>
        <bgColor rgb="FFC9DAF8"/>
      </patternFill>
    </fill>
    <fill>
      <patternFill patternType="solid">
        <fgColor rgb="FF0B5394"/>
        <bgColor rgb="FF0B5394"/>
      </patternFill>
    </fill>
    <fill>
      <patternFill patternType="solid">
        <fgColor rgb="FF416F99"/>
        <bgColor rgb="FF416F99"/>
      </patternFill>
    </fill>
    <fill>
      <patternFill patternType="solid">
        <fgColor rgb="FFEAD1DC"/>
        <bgColor rgb="FFEAD1DC"/>
      </patternFill>
    </fill>
    <fill>
      <patternFill patternType="solid">
        <fgColor rgb="FFD9EAD3"/>
        <bgColor rgb="FFD9EAD3"/>
      </patternFill>
    </fill>
    <fill>
      <patternFill patternType="solid">
        <fgColor rgb="FFCCCCCC"/>
        <bgColor rgb="FFCCCCCC"/>
      </patternFill>
    </fill>
    <fill>
      <patternFill patternType="solid">
        <fgColor rgb="FFEFEFEF"/>
        <bgColor rgb="FFEFEFEF"/>
      </patternFill>
    </fill>
    <fill>
      <patternFill patternType="solid">
        <fgColor rgb="FF6FA8DC"/>
        <bgColor rgb="FF6FA8DC"/>
      </patternFill>
    </fill>
    <fill>
      <patternFill patternType="solid">
        <fgColor rgb="FFEFF6F1"/>
        <bgColor rgb="FFEFF6F1"/>
      </patternFill>
    </fill>
    <fill>
      <patternFill patternType="solid">
        <fgColor rgb="FFFFFFFF"/>
        <bgColor rgb="FFFFFFFF"/>
      </patternFill>
    </fill>
    <fill>
      <patternFill patternType="solid">
        <fgColor rgb="FFDDEDFB"/>
        <bgColor rgb="FFDDEDFB"/>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
      <patternFill patternType="solid">
        <fgColor rgb="FFFFFF00"/>
        <bgColor rgb="FFFFFF00"/>
      </patternFill>
    </fill>
    <fill>
      <patternFill patternType="solid">
        <fgColor rgb="FF00FF00"/>
        <bgColor rgb="FF00FF00"/>
      </patternFill>
    </fill>
    <fill>
      <patternFill patternType="solid">
        <fgColor rgb="FFFF8B8B"/>
        <bgColor rgb="FFFF8B8B"/>
      </patternFill>
    </fill>
    <fill>
      <patternFill patternType="solid">
        <fgColor rgb="FF00FFFF"/>
        <bgColor rgb="FF00FFFF"/>
      </patternFill>
    </fill>
    <fill>
      <patternFill patternType="solid">
        <fgColor rgb="FF000000"/>
        <bgColor rgb="FF000000"/>
      </patternFill>
    </fill>
    <fill>
      <patternFill patternType="solid">
        <fgColor rgb="FF434343"/>
        <bgColor rgb="FF434343"/>
      </patternFill>
    </fill>
    <fill>
      <patternFill patternType="solid">
        <fgColor rgb="FFF2DCDB"/>
        <bgColor rgb="FFF2DCDB"/>
      </patternFill>
    </fill>
  </fills>
  <borders count="56">
    <border/>
    <border>
      <left style="thin">
        <color rgb="FFFFFFFF"/>
      </left>
      <right style="thin">
        <color rgb="FFFFFFFF"/>
      </right>
      <bottom style="thin">
        <color rgb="FFFFFFFF"/>
      </bottom>
    </border>
    <border>
      <left style="thin">
        <color rgb="FFFFFFFF"/>
      </left>
      <right style="thin">
        <color rgb="FFFFFFFF"/>
      </right>
      <top style="thin">
        <color rgb="FFFFFFFF"/>
      </top>
    </border>
    <border>
      <left style="thin">
        <color rgb="FFF3F3F3"/>
      </left>
      <right style="thin">
        <color rgb="FFF3F3F3"/>
      </right>
      <top style="thin">
        <color rgb="FF000000"/>
      </top>
    </border>
    <border>
      <left style="thin">
        <color rgb="FFF3F3F3"/>
      </left>
      <right style="thin">
        <color rgb="FFFFFFFF"/>
      </right>
      <top style="thin">
        <color rgb="FF000000"/>
      </top>
    </border>
    <border>
      <left style="thin">
        <color rgb="FFFFFFFF"/>
      </left>
      <right style="thin">
        <color rgb="FFFFFFFF"/>
      </right>
      <top style="thin">
        <color rgb="FFFFFFFF"/>
      </top>
      <bottom style="thin">
        <color rgb="FFFFFFFF"/>
      </bottom>
    </border>
    <border>
      <bottom style="thin">
        <color rgb="FFFFFFFF"/>
      </bottom>
    </border>
    <border>
      <right style="thin">
        <color rgb="FFFFFFFF"/>
      </right>
    </border>
    <border>
      <left style="thin">
        <color rgb="FFFFFFFF"/>
      </left>
      <right style="thin">
        <color rgb="FFFFFFFF"/>
      </right>
    </border>
    <border>
      <left style="thin">
        <color rgb="FFFFFFFF"/>
      </left>
    </border>
    <border>
      <right style="thin">
        <color rgb="FFFFFFFF"/>
      </right>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ttom style="thin">
        <color rgb="FFFFFFFF"/>
      </bottom>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FFFFFF"/>
      </top>
    </border>
    <border>
      <top style="thin">
        <color rgb="FFFFFFFF"/>
      </top>
    </border>
    <border>
      <right style="thin">
        <color rgb="FF000000"/>
      </right>
    </border>
    <border>
      <left style="thin">
        <color rgb="FF000000"/>
      </left>
    </border>
    <border>
      <left style="thin">
        <color rgb="FF000000"/>
      </left>
      <right style="thin">
        <color rgb="FFEAD1DC"/>
      </right>
    </border>
    <border>
      <left style="thin">
        <color rgb="FFEAD1DC"/>
      </left>
      <right style="thin">
        <color rgb="FFEAD1DC"/>
      </right>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F4CCCC"/>
      </left>
      <right style="thin">
        <color rgb="FFEAD1DC"/>
      </right>
    </border>
    <border>
      <left style="thin">
        <color rgb="FF000000"/>
      </left>
      <right style="thin">
        <color rgb="FFCCCCCC"/>
      </right>
    </border>
    <border>
      <left style="thin">
        <color rgb="FFCCCCCC"/>
      </left>
      <right style="thin">
        <color rgb="FFCCCCCC"/>
      </right>
    </border>
    <border>
      <left style="thin">
        <color rgb="FF000000"/>
      </left>
      <right style="thin">
        <color rgb="FFEFEFEF"/>
      </right>
    </border>
    <border>
      <right style="thin">
        <color rgb="FFEFEFEF"/>
      </right>
    </border>
    <border>
      <left style="thin">
        <color rgb="FF000000"/>
      </left>
      <right style="thin">
        <color rgb="FF0B5394"/>
      </right>
    </border>
    <border>
      <left style="thin">
        <color rgb="FF0B5394"/>
      </left>
      <right style="thin">
        <color rgb="FF0B5394"/>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EAD1DC"/>
      </left>
      <right style="thin">
        <color rgb="FFF4CCCC"/>
      </right>
    </border>
    <border>
      <left style="medium">
        <color rgb="FF000000"/>
      </left>
      <top style="medium">
        <color rgb="FF000000"/>
      </top>
      <bottom style="medium">
        <color rgb="FF000000"/>
      </bottom>
    </border>
    <border>
      <top style="medium">
        <color rgb="FF000000"/>
      </top>
      <bottom style="medium">
        <color rgb="FF000000"/>
      </bottom>
    </border>
    <border>
      <right style="thin">
        <color rgb="FFCCCCCC"/>
      </right>
    </border>
    <border>
      <left style="thin">
        <color rgb="FFCCCCCC"/>
      </left>
    </border>
    <border>
      <left style="thin">
        <color rgb="FF6FA8DC"/>
      </left>
      <right style="thin">
        <color rgb="FF6FA8DC"/>
      </right>
    </border>
    <border>
      <left style="thin">
        <color rgb="FFEFEFEF"/>
      </left>
      <right style="thin">
        <color rgb="FFEFEFEF"/>
      </right>
    </border>
    <border>
      <left style="thin">
        <color rgb="FFF4CCCC"/>
      </left>
      <right style="thin">
        <color rgb="FFF4CCCC"/>
      </right>
    </border>
    <border>
      <left style="thin">
        <color rgb="FFF4CCCC"/>
      </left>
    </border>
    <border>
      <right style="thin">
        <color rgb="FFF4CCCC"/>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top style="thin">
        <color rgb="FFFFFFFF"/>
      </top>
      <bottom style="thin">
        <color rgb="FFFFFFFF"/>
      </bottom>
    </border>
    <border>
      <left style="thin">
        <color rgb="FFFFFFFF"/>
      </left>
      <top style="thin">
        <color rgb="FFFFFFFF"/>
      </top>
    </border>
  </borders>
  <cellStyleXfs count="1">
    <xf borderId="0" fillId="0" fontId="0" numFmtId="0" applyAlignment="1" applyFont="1"/>
  </cellStyleXfs>
  <cellXfs count="754">
    <xf borderId="0" fillId="0" fontId="0" numFmtId="0" xfId="0" applyAlignment="1" applyFont="1">
      <alignment readingOrder="0" shrinkToFit="0" vertical="bottom" wrapText="0"/>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1" fillId="0" fontId="2" numFmtId="0" xfId="0" applyAlignment="1" applyBorder="1" applyFont="1">
      <alignment vertical="bottom"/>
    </xf>
    <xf borderId="1" fillId="0" fontId="3" numFmtId="0" xfId="0" applyBorder="1" applyFont="1"/>
    <xf borderId="2" fillId="0" fontId="3" numFmtId="0" xfId="0" applyBorder="1" applyFont="1"/>
    <xf borderId="2" fillId="0" fontId="2" numFmtId="0" xfId="0" applyAlignment="1" applyBorder="1" applyFont="1">
      <alignment vertical="bottom"/>
    </xf>
    <xf borderId="3" fillId="2" fontId="4" numFmtId="0" xfId="0" applyAlignment="1" applyBorder="1" applyFill="1" applyFont="1">
      <alignment readingOrder="0" vertical="bottom"/>
    </xf>
    <xf borderId="3" fillId="2" fontId="2" numFmtId="0" xfId="0" applyAlignment="1" applyBorder="1" applyFont="1">
      <alignment vertical="bottom"/>
    </xf>
    <xf borderId="3" fillId="2" fontId="3" numFmtId="0" xfId="0" applyBorder="1" applyFont="1"/>
    <xf borderId="4" fillId="2" fontId="3" numFmtId="0" xfId="0" applyBorder="1" applyFont="1"/>
    <xf borderId="1" fillId="0" fontId="3" numFmtId="0" xfId="0" applyAlignment="1" applyBorder="1" applyFont="1">
      <alignment readingOrder="0" shrinkToFit="0" wrapText="0"/>
    </xf>
    <xf borderId="1" fillId="0" fontId="5" numFmtId="0" xfId="0" applyAlignment="1" applyBorder="1" applyFont="1">
      <alignment readingOrder="0" shrinkToFit="0" wrapText="0"/>
    </xf>
    <xf borderId="5" fillId="0" fontId="2" numFmtId="0" xfId="0" applyAlignment="1" applyBorder="1" applyFont="1">
      <alignment readingOrder="0" vertical="bottom"/>
    </xf>
    <xf borderId="5" fillId="0" fontId="2" numFmtId="0" xfId="0" applyAlignment="1" applyBorder="1" applyFont="1">
      <alignment vertical="bottom"/>
    </xf>
    <xf borderId="5" fillId="0" fontId="3" numFmtId="0" xfId="0" applyBorder="1" applyFont="1"/>
    <xf borderId="6" fillId="0" fontId="6" numFmtId="0" xfId="0" applyAlignment="1" applyBorder="1" applyFont="1">
      <alignment readingOrder="0"/>
    </xf>
    <xf borderId="0" fillId="3" fontId="2" numFmtId="0" xfId="0" applyAlignment="1" applyFill="1" applyFont="1">
      <alignment vertical="bottom"/>
    </xf>
    <xf borderId="7" fillId="0" fontId="2" numFmtId="0" xfId="0" applyAlignment="1" applyBorder="1" applyFont="1">
      <alignment vertical="bottom"/>
    </xf>
    <xf borderId="8" fillId="0" fontId="3" numFmtId="0" xfId="0" applyBorder="1" applyFont="1"/>
    <xf borderId="9" fillId="0" fontId="3" numFmtId="0" xfId="0" applyBorder="1" applyFont="1"/>
    <xf borderId="10" fillId="0" fontId="3" numFmtId="0" xfId="0" applyBorder="1" applyFont="1"/>
    <xf borderId="11" fillId="0" fontId="3" numFmtId="0" xfId="0" applyAlignment="1" applyBorder="1" applyFont="1">
      <alignment readingOrder="0"/>
    </xf>
    <xf borderId="0" fillId="4" fontId="2" numFmtId="0" xfId="0" applyAlignment="1" applyFill="1" applyFont="1">
      <alignment vertical="bottom"/>
    </xf>
    <xf borderId="7" fillId="0" fontId="2" numFmtId="0" xfId="0" applyAlignment="1" applyBorder="1" applyFont="1">
      <alignment shrinkToFit="0" vertical="bottom" wrapText="0"/>
    </xf>
    <xf borderId="12" fillId="0" fontId="3" numFmtId="0" xfId="0" applyBorder="1" applyFont="1"/>
    <xf borderId="0" fillId="5" fontId="3" numFmtId="0" xfId="0" applyFill="1" applyFont="1"/>
    <xf borderId="7" fillId="0" fontId="3" numFmtId="0" xfId="0" applyAlignment="1" applyBorder="1" applyFont="1">
      <alignment readingOrder="0"/>
    </xf>
    <xf borderId="0" fillId="6" fontId="2" numFmtId="0" xfId="0" applyAlignment="1" applyFill="1" applyFont="1">
      <alignment vertical="bottom"/>
    </xf>
    <xf borderId="1" fillId="0" fontId="7" numFmtId="0" xfId="0" applyAlignment="1" applyBorder="1" applyFont="1">
      <alignment readingOrder="0" shrinkToFit="0" vertical="bottom" wrapText="0"/>
    </xf>
    <xf borderId="1" fillId="0" fontId="8" numFmtId="0" xfId="0" applyAlignment="1" applyBorder="1" applyFont="1">
      <alignment vertical="bottom"/>
    </xf>
    <xf borderId="13" fillId="0" fontId="8" numFmtId="0" xfId="0" applyAlignment="1" applyBorder="1" applyFont="1">
      <alignment vertical="bottom"/>
    </xf>
    <xf borderId="5" fillId="0" fontId="8" numFmtId="0" xfId="0" applyAlignment="1" applyBorder="1" applyFont="1">
      <alignment vertical="bottom"/>
    </xf>
    <xf borderId="2" fillId="0" fontId="7" numFmtId="0" xfId="0" applyAlignment="1" applyBorder="1" applyFont="1">
      <alignment readingOrder="0" shrinkToFit="0" vertical="bottom" wrapText="0"/>
    </xf>
    <xf borderId="2" fillId="0" fontId="8" numFmtId="0" xfId="0" applyAlignment="1" applyBorder="1" applyFont="1">
      <alignment vertical="bottom"/>
    </xf>
    <xf borderId="8" fillId="0" fontId="8" numFmtId="0" xfId="0" applyAlignment="1" applyBorder="1" applyFont="1">
      <alignment vertical="bottom"/>
    </xf>
    <xf borderId="0" fillId="0" fontId="6" numFmtId="0" xfId="0" applyAlignment="1" applyFont="1">
      <alignment readingOrder="0"/>
    </xf>
    <xf borderId="7" fillId="0" fontId="6" numFmtId="0" xfId="0" applyAlignment="1" applyBorder="1" applyFont="1">
      <alignment readingOrder="0"/>
    </xf>
    <xf borderId="9" fillId="0" fontId="8" numFmtId="0" xfId="0" applyAlignment="1" applyBorder="1" applyFont="1">
      <alignment vertical="bottom"/>
    </xf>
    <xf borderId="6" fillId="0" fontId="3" numFmtId="0" xfId="0" applyBorder="1" applyFont="1"/>
    <xf borderId="0" fillId="0" fontId="3" numFmtId="0" xfId="0" applyAlignment="1" applyFont="1">
      <alignment readingOrder="0"/>
    </xf>
    <xf borderId="11" fillId="0" fontId="3" numFmtId="0" xfId="0" applyBorder="1" applyFont="1"/>
    <xf borderId="11" fillId="0" fontId="8" numFmtId="0" xfId="0" applyAlignment="1" applyBorder="1" applyFont="1">
      <alignment vertical="bottom"/>
    </xf>
    <xf borderId="14" fillId="0" fontId="3" numFmtId="0" xfId="0" applyBorder="1" applyFont="1"/>
    <xf borderId="8" fillId="0" fontId="9" numFmtId="0" xfId="0" applyAlignment="1" applyBorder="1" applyFont="1">
      <alignment readingOrder="0" shrinkToFit="0" wrapText="1"/>
    </xf>
    <xf borderId="15" fillId="0" fontId="3" numFmtId="0" xfId="0" applyBorder="1" applyFont="1"/>
    <xf borderId="16" fillId="0" fontId="9" numFmtId="0" xfId="0" applyAlignment="1" applyBorder="1" applyFont="1">
      <alignment readingOrder="0" shrinkToFit="0" wrapText="1"/>
    </xf>
    <xf borderId="16" fillId="0" fontId="3" numFmtId="0" xfId="0" applyAlignment="1" applyBorder="1" applyFont="1">
      <alignment horizontal="right" readingOrder="0"/>
    </xf>
    <xf borderId="16" fillId="0" fontId="3" numFmtId="0" xfId="0" applyAlignment="1" applyBorder="1" applyFont="1">
      <alignment readingOrder="0" shrinkToFit="0" wrapText="1"/>
    </xf>
    <xf borderId="16" fillId="0" fontId="3" numFmtId="0" xfId="0" applyBorder="1" applyFont="1"/>
    <xf borderId="17" fillId="0" fontId="3" numFmtId="0" xfId="0" applyBorder="1" applyFont="1"/>
    <xf borderId="18" fillId="7" fontId="10" numFmtId="0" xfId="0" applyAlignment="1" applyBorder="1" applyFill="1" applyFont="1">
      <alignment shrinkToFit="0" vertical="bottom" wrapText="1"/>
    </xf>
    <xf borderId="19" fillId="7" fontId="10" numFmtId="0" xfId="0" applyAlignment="1" applyBorder="1" applyFont="1">
      <alignment horizontal="left" readingOrder="0" shrinkToFit="0" vertical="bottom" wrapText="1"/>
    </xf>
    <xf borderId="19" fillId="7" fontId="10" numFmtId="0" xfId="0" applyAlignment="1" applyBorder="1" applyFont="1">
      <alignment shrinkToFit="0" vertical="bottom" wrapText="1"/>
    </xf>
    <xf borderId="19" fillId="8" fontId="10" numFmtId="0" xfId="0" applyAlignment="1" applyBorder="1" applyFill="1" applyFont="1">
      <alignment readingOrder="0" shrinkToFit="0" vertical="bottom" wrapText="0"/>
    </xf>
    <xf borderId="19" fillId="7" fontId="11" numFmtId="0" xfId="0" applyAlignment="1" applyBorder="1" applyFont="1">
      <alignment horizontal="right" readingOrder="0" shrinkToFit="0" vertical="center" wrapText="0"/>
    </xf>
    <xf borderId="19" fillId="7" fontId="11" numFmtId="0" xfId="0" applyAlignment="1" applyBorder="1" applyFont="1">
      <alignment readingOrder="0" shrinkToFit="0" vertical="center" wrapText="0"/>
    </xf>
    <xf borderId="0" fillId="7" fontId="12" numFmtId="0" xfId="0" applyAlignment="1" applyFont="1">
      <alignment readingOrder="0" shrinkToFit="0" vertical="bottom" wrapText="1"/>
    </xf>
    <xf borderId="20" fillId="7" fontId="12" numFmtId="0" xfId="0" applyAlignment="1" applyBorder="1" applyFont="1">
      <alignment readingOrder="0" shrinkToFit="0" vertical="bottom" wrapText="1"/>
    </xf>
    <xf borderId="21" fillId="0" fontId="3" numFmtId="0" xfId="0" applyBorder="1" applyFont="1"/>
    <xf borderId="0" fillId="0" fontId="3" numFmtId="0" xfId="0" applyAlignment="1" applyFont="1">
      <alignment shrinkToFit="0" wrapText="0"/>
    </xf>
    <xf borderId="20" fillId="0" fontId="3" numFmtId="0" xfId="0" applyBorder="1" applyFont="1"/>
    <xf borderId="22" fillId="9" fontId="13" numFmtId="0" xfId="0" applyAlignment="1" applyBorder="1" applyFill="1" applyFont="1">
      <alignment readingOrder="0" shrinkToFit="0" vertical="center" wrapText="0"/>
    </xf>
    <xf borderId="23" fillId="9" fontId="14" numFmtId="0" xfId="0" applyAlignment="1" applyBorder="1" applyFont="1">
      <alignment readingOrder="0"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xf borderId="24" fillId="10" fontId="2" numFmtId="0" xfId="0" applyAlignment="1" applyBorder="1" applyFill="1" applyFont="1">
      <alignment readingOrder="0" shrinkToFit="0" vertical="bottom" wrapText="0"/>
    </xf>
    <xf borderId="25" fillId="0" fontId="15" numFmtId="0" xfId="0" applyBorder="1" applyFont="1"/>
    <xf borderId="0" fillId="0" fontId="16" numFmtId="0" xfId="0" applyAlignment="1" applyFont="1">
      <alignment readingOrder="0" shrinkToFit="0" vertical="bottom" wrapText="0"/>
    </xf>
    <xf borderId="21" fillId="0" fontId="2" numFmtId="0" xfId="0" applyAlignment="1" applyBorder="1" applyFont="1">
      <alignment readingOrder="0" shrinkToFit="0" vertical="bottom" wrapText="0"/>
    </xf>
    <xf borderId="0" fillId="5" fontId="2" numFmtId="0" xfId="0" applyAlignment="1" applyFont="1">
      <alignment readingOrder="0" shrinkToFit="0" vertical="bottom" wrapText="0"/>
    </xf>
    <xf borderId="22" fillId="9" fontId="13" numFmtId="0" xfId="0" applyBorder="1" applyFont="1"/>
    <xf borderId="26" fillId="9" fontId="13" numFmtId="0" xfId="0" applyBorder="1" applyFont="1"/>
    <xf borderId="0" fillId="0" fontId="9" numFmtId="0" xfId="0" applyAlignment="1" applyFont="1">
      <alignment readingOrder="0" shrinkToFit="0" wrapText="0"/>
    </xf>
    <xf borderId="27" fillId="11" fontId="6" numFmtId="0" xfId="0" applyAlignment="1" applyBorder="1" applyFill="1" applyFont="1">
      <alignment readingOrder="0" shrinkToFit="0" wrapText="0"/>
    </xf>
    <xf borderId="28" fillId="11" fontId="17" numFmtId="3" xfId="0" applyAlignment="1" applyBorder="1" applyFont="1" applyNumberFormat="1">
      <alignment horizontal="left" readingOrder="0" shrinkToFit="0" wrapText="0"/>
    </xf>
    <xf borderId="0" fillId="0" fontId="9" numFmtId="0" xfId="0" applyAlignment="1" applyFont="1">
      <alignment readingOrder="0"/>
    </xf>
    <xf borderId="29" fillId="12" fontId="6" numFmtId="0" xfId="0" applyAlignment="1" applyBorder="1" applyFill="1" applyFont="1">
      <alignment readingOrder="0" shrinkToFit="0" wrapText="0"/>
    </xf>
    <xf borderId="30" fillId="12" fontId="2" numFmtId="3" xfId="0" applyAlignment="1" applyBorder="1" applyFont="1" applyNumberFormat="1">
      <alignment shrinkToFit="0" vertical="bottom" wrapText="0"/>
    </xf>
    <xf borderId="21" fillId="0" fontId="3" numFmtId="0" xfId="0" applyAlignment="1" applyBorder="1" applyFont="1">
      <alignment readingOrder="0" shrinkToFit="0" wrapText="0"/>
    </xf>
    <xf borderId="0" fillId="3" fontId="2" numFmtId="164" xfId="0" applyAlignment="1" applyFont="1" applyNumberFormat="1">
      <alignment horizontal="right" readingOrder="0" shrinkToFit="0" vertical="bottom" wrapText="0"/>
    </xf>
    <xf borderId="0" fillId="0" fontId="3" numFmtId="0" xfId="0" applyAlignment="1" applyFont="1">
      <alignment readingOrder="0" shrinkToFit="0" wrapText="0"/>
    </xf>
    <xf borderId="21" fillId="0" fontId="6" numFmtId="0" xfId="0" applyAlignment="1" applyBorder="1" applyFont="1">
      <alignment readingOrder="0" shrinkToFit="0" wrapText="0"/>
    </xf>
    <xf borderId="0" fillId="0" fontId="6" numFmtId="164" xfId="0" applyAlignment="1" applyFont="1" applyNumberFormat="1">
      <alignment readingOrder="0" shrinkToFit="0" wrapText="0"/>
    </xf>
    <xf borderId="0" fillId="0" fontId="6" numFmtId="0" xfId="0" applyAlignment="1" applyFont="1">
      <alignment readingOrder="0" shrinkToFit="0" wrapText="0"/>
    </xf>
    <xf borderId="28" fillId="11" fontId="6" numFmtId="3" xfId="0" applyAlignment="1" applyBorder="1" applyFont="1" applyNumberFormat="1">
      <alignment readingOrder="0" shrinkToFit="0" wrapText="0"/>
    </xf>
    <xf borderId="0" fillId="6" fontId="6" numFmtId="164" xfId="0" applyAlignment="1" applyFont="1" applyNumberFormat="1">
      <alignment readingOrder="0" shrinkToFit="0" wrapText="0"/>
    </xf>
    <xf borderId="22" fillId="9" fontId="13" numFmtId="0" xfId="0" applyAlignment="1" applyBorder="1" applyFont="1">
      <alignment readingOrder="0"/>
    </xf>
    <xf borderId="31" fillId="7" fontId="18" numFmtId="0" xfId="0" applyAlignment="1" applyBorder="1" applyFont="1">
      <alignment shrinkToFit="0" wrapText="0"/>
    </xf>
    <xf borderId="32" fillId="7" fontId="18" numFmtId="0" xfId="0" applyAlignment="1" applyBorder="1" applyFont="1">
      <alignment shrinkToFit="0" wrapText="0"/>
    </xf>
    <xf borderId="21" fillId="13" fontId="19" numFmtId="0" xfId="0" applyAlignment="1" applyBorder="1" applyFill="1" applyFont="1">
      <alignment horizontal="left" readingOrder="0" shrinkToFit="0" vertical="bottom" wrapText="0"/>
    </xf>
    <xf borderId="0" fillId="13" fontId="19" numFmtId="0" xfId="0" applyAlignment="1" applyFont="1">
      <alignment horizontal="left" readingOrder="0" shrinkToFit="0" vertical="bottom" wrapText="0"/>
    </xf>
    <xf borderId="21" fillId="0" fontId="20" numFmtId="0" xfId="0" applyBorder="1" applyFont="1"/>
    <xf borderId="0" fillId="13" fontId="19" numFmtId="0" xfId="0" applyAlignment="1" applyFont="1">
      <alignment horizontal="left" shrinkToFit="0" vertical="bottom" wrapText="0"/>
    </xf>
    <xf borderId="0" fillId="0" fontId="3" numFmtId="0" xfId="0" applyFont="1"/>
    <xf borderId="21" fillId="0" fontId="6" numFmtId="0" xfId="0" applyAlignment="1" applyBorder="1" applyFont="1">
      <alignment readingOrder="0"/>
    </xf>
    <xf borderId="0" fillId="6" fontId="6" numFmtId="164" xfId="0" applyAlignment="1" applyFont="1" applyNumberFormat="1">
      <alignment readingOrder="0"/>
    </xf>
    <xf borderId="0" fillId="0" fontId="6" numFmtId="0" xfId="0" applyFont="1"/>
    <xf borderId="0" fillId="6" fontId="6" numFmtId="4" xfId="0" applyAlignment="1" applyFont="1" applyNumberFormat="1">
      <alignment shrinkToFit="0" wrapText="0"/>
    </xf>
    <xf borderId="33" fillId="0" fontId="3" numFmtId="0" xfId="0" applyBorder="1" applyFont="1"/>
    <xf borderId="34" fillId="0" fontId="3" numFmtId="0" xfId="0" applyBorder="1" applyFont="1"/>
    <xf borderId="35" fillId="0" fontId="3" numFmtId="0" xfId="0" applyBorder="1" applyFont="1"/>
    <xf borderId="7" fillId="0" fontId="3" numFmtId="0" xfId="0" applyBorder="1" applyFont="1"/>
    <xf borderId="0" fillId="0" fontId="3" numFmtId="0" xfId="0" applyAlignment="1" applyFont="1">
      <alignment readingOrder="0"/>
    </xf>
    <xf borderId="19" fillId="7" fontId="10" numFmtId="0" xfId="0" applyAlignment="1" applyBorder="1" applyFont="1">
      <alignment shrinkToFit="0" vertical="bottom" wrapText="0"/>
    </xf>
    <xf borderId="19" fillId="7" fontId="10" numFmtId="0" xfId="0" applyAlignment="1" applyBorder="1" applyFont="1">
      <alignment shrinkToFit="0" vertical="bottom" wrapText="0"/>
    </xf>
    <xf borderId="0" fillId="7" fontId="10" numFmtId="0" xfId="0" applyAlignment="1" applyFont="1">
      <alignment shrinkToFit="0" vertical="bottom" wrapText="1"/>
    </xf>
    <xf borderId="26" fillId="9" fontId="14" numFmtId="0" xfId="0" applyAlignment="1" applyBorder="1" applyFont="1">
      <alignment readingOrder="0" shrinkToFit="0" vertical="center" wrapText="0"/>
    </xf>
    <xf borderId="23" fillId="9" fontId="21" numFmtId="2" xfId="0" applyAlignment="1" applyBorder="1" applyFont="1" applyNumberFormat="1">
      <alignment horizontal="center" readingOrder="0" shrinkToFit="0" vertical="center" wrapText="0"/>
    </xf>
    <xf borderId="23" fillId="9" fontId="22" numFmtId="0" xfId="0" applyAlignment="1" applyBorder="1" applyFont="1">
      <alignment readingOrder="0" shrinkToFit="0" vertical="center" wrapText="0"/>
    </xf>
    <xf borderId="23" fillId="9" fontId="23" numFmtId="0" xfId="0" applyAlignment="1" applyBorder="1" applyFont="1">
      <alignment readingOrder="0" shrinkToFit="0" vertical="center" wrapText="0"/>
    </xf>
    <xf borderId="23" fillId="9" fontId="23" numFmtId="0" xfId="0" applyAlignment="1" applyBorder="1" applyFont="1">
      <alignment readingOrder="0" shrinkToFit="0" vertical="center" wrapText="0"/>
    </xf>
    <xf borderId="36" fillId="9" fontId="23" numFmtId="0" xfId="0" applyAlignment="1" applyBorder="1" applyFont="1">
      <alignment readingOrder="0" shrinkToFit="0" vertical="center" wrapText="0"/>
    </xf>
    <xf borderId="0" fillId="9" fontId="23" numFmtId="0" xfId="0" applyAlignment="1" applyFont="1">
      <alignment readingOrder="0" shrinkToFit="0" vertical="center" wrapText="0"/>
    </xf>
    <xf borderId="37" fillId="10" fontId="24" numFmtId="0" xfId="0" applyAlignment="1" applyBorder="1" applyFont="1">
      <alignment readingOrder="0" shrinkToFit="0" vertical="bottom" wrapText="1"/>
    </xf>
    <xf borderId="38" fillId="0" fontId="15" numFmtId="0" xfId="0" applyBorder="1" applyFont="1"/>
    <xf borderId="0" fillId="0" fontId="24" numFmtId="0" xfId="0" applyAlignment="1" applyFont="1">
      <alignment readingOrder="0" shrinkToFit="0" vertical="bottom" wrapText="0"/>
    </xf>
    <xf borderId="0" fillId="0" fontId="24" numFmtId="0" xfId="0" applyAlignment="1" applyFont="1">
      <alignment readingOrder="0" shrinkToFit="0" vertical="bottom" wrapText="0"/>
    </xf>
    <xf borderId="0" fillId="0" fontId="24" numFmtId="0" xfId="0" applyAlignment="1" applyFont="1">
      <alignment readingOrder="0" vertical="bottom"/>
    </xf>
    <xf borderId="28" fillId="11" fontId="6" numFmtId="0" xfId="0" applyAlignment="1" applyBorder="1" applyFont="1">
      <alignment readingOrder="0" shrinkToFit="0" wrapText="0"/>
    </xf>
    <xf borderId="28" fillId="11" fontId="6" numFmtId="0" xfId="0" applyAlignment="1" applyBorder="1" applyFont="1">
      <alignment shrinkToFit="0" wrapText="0"/>
    </xf>
    <xf borderId="28" fillId="11" fontId="25" numFmtId="0" xfId="0" applyAlignment="1" applyBorder="1" applyFont="1">
      <alignment shrinkToFit="0" wrapText="0"/>
    </xf>
    <xf borderId="28" fillId="11" fontId="25" numFmtId="0" xfId="0" applyAlignment="1" applyBorder="1" applyFont="1">
      <alignment shrinkToFit="0" wrapText="0"/>
    </xf>
    <xf borderId="28" fillId="11" fontId="25" numFmtId="0" xfId="0" applyBorder="1" applyFont="1"/>
    <xf borderId="0" fillId="11" fontId="25" numFmtId="0" xfId="0" applyFont="1"/>
    <xf borderId="0" fillId="0" fontId="26" numFmtId="0" xfId="0" applyAlignment="1" applyFont="1">
      <alignment shrinkToFit="0" wrapText="0"/>
    </xf>
    <xf borderId="0" fillId="0" fontId="26" numFmtId="0" xfId="0" applyAlignment="1" applyFont="1">
      <alignment shrinkToFit="0" wrapText="0"/>
    </xf>
    <xf borderId="0" fillId="0" fontId="26" numFmtId="0" xfId="0" applyFont="1"/>
    <xf borderId="0" fillId="0" fontId="3" numFmtId="0" xfId="0" applyAlignment="1" applyFont="1">
      <alignment shrinkToFit="0" wrapText="0"/>
    </xf>
    <xf borderId="0" fillId="6" fontId="2" numFmtId="164" xfId="0" applyAlignment="1" applyFont="1" applyNumberFormat="1">
      <alignment horizontal="right" readingOrder="0" shrinkToFit="0" vertical="bottom" wrapText="0"/>
    </xf>
    <xf borderId="28" fillId="11" fontId="25" numFmtId="3" xfId="0" applyAlignment="1" applyBorder="1" applyFont="1" applyNumberFormat="1">
      <alignment horizontal="left" readingOrder="0" shrinkToFit="0" wrapText="0"/>
    </xf>
    <xf borderId="0" fillId="5" fontId="2" numFmtId="164" xfId="0" applyAlignment="1" applyFont="1" applyNumberFormat="1">
      <alignment horizontal="right" readingOrder="0" shrinkToFit="0" vertical="bottom" wrapText="0"/>
    </xf>
    <xf borderId="0" fillId="0" fontId="3" numFmtId="0" xfId="0" applyAlignment="1" applyFont="1">
      <alignment readingOrder="0" shrinkToFit="0" wrapText="0"/>
    </xf>
    <xf borderId="0" fillId="0" fontId="27" numFmtId="164" xfId="0" applyAlignment="1" applyFont="1" applyNumberFormat="1">
      <alignment horizontal="right" readingOrder="0" shrinkToFit="0" vertical="bottom" wrapText="0"/>
    </xf>
    <xf borderId="0" fillId="0" fontId="28" numFmtId="164" xfId="0" applyAlignment="1" applyFont="1" applyNumberFormat="1">
      <alignment readingOrder="0" shrinkToFit="0" wrapText="0"/>
    </xf>
    <xf borderId="0" fillId="0" fontId="28" numFmtId="0" xfId="0" applyFont="1"/>
    <xf borderId="0" fillId="6" fontId="3" numFmtId="164" xfId="0" applyAlignment="1" applyFont="1" applyNumberFormat="1">
      <alignment readingOrder="0" shrinkToFit="0" wrapText="0"/>
    </xf>
    <xf borderId="0" fillId="0" fontId="26"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shrinkToFit="0" wrapText="0"/>
    </xf>
    <xf borderId="0" fillId="0" fontId="26" numFmtId="0" xfId="0" applyAlignment="1" applyFont="1">
      <alignment readingOrder="0" shrinkToFit="0" wrapText="0"/>
    </xf>
    <xf borderId="0" fillId="0" fontId="25" numFmtId="0" xfId="0" applyAlignment="1" applyFont="1">
      <alignment shrinkToFit="0" wrapText="0"/>
    </xf>
    <xf borderId="0" fillId="0" fontId="25" numFmtId="0" xfId="0" applyFont="1"/>
    <xf borderId="0" fillId="12" fontId="6" numFmtId="0" xfId="0" applyAlignment="1" applyFont="1">
      <alignment readingOrder="0" shrinkToFit="0" wrapText="0"/>
    </xf>
    <xf borderId="0" fillId="12" fontId="6" numFmtId="3" xfId="0" applyAlignment="1" applyFont="1" applyNumberFormat="1">
      <alignment readingOrder="0" shrinkToFit="0" wrapText="0"/>
    </xf>
    <xf borderId="0" fillId="12" fontId="6" numFmtId="0" xfId="0" applyAlignment="1" applyFont="1">
      <alignment shrinkToFit="0" wrapText="0"/>
    </xf>
    <xf borderId="0" fillId="12" fontId="25" numFmtId="0" xfId="0" applyAlignment="1" applyFont="1">
      <alignment shrinkToFit="0" wrapText="0"/>
    </xf>
    <xf borderId="0" fillId="12" fontId="25" numFmtId="0" xfId="0" applyAlignment="1" applyFont="1">
      <alignment shrinkToFit="0" wrapText="0"/>
    </xf>
    <xf borderId="0" fillId="12" fontId="25" numFmtId="0" xfId="0" applyFont="1"/>
    <xf borderId="0" fillId="3" fontId="2" numFmtId="165" xfId="0" applyAlignment="1" applyFont="1" applyNumberFormat="1">
      <alignment horizontal="right" shrinkToFit="0" vertical="bottom" wrapText="0"/>
    </xf>
    <xf borderId="0" fillId="0" fontId="2" numFmtId="165" xfId="0" applyAlignment="1" applyFont="1" applyNumberFormat="1">
      <alignment horizontal="left" readingOrder="0" shrinkToFit="0" vertical="bottom" wrapText="0"/>
    </xf>
    <xf borderId="0" fillId="3" fontId="3" numFmtId="166" xfId="0" applyAlignment="1" applyFont="1" applyNumberFormat="1">
      <alignment readingOrder="0" shrinkToFit="0" wrapText="0"/>
    </xf>
    <xf borderId="0" fillId="0" fontId="3" numFmtId="3" xfId="0" applyAlignment="1" applyFont="1" applyNumberFormat="1">
      <alignment readingOrder="0" shrinkToFit="0" wrapText="0"/>
    </xf>
    <xf borderId="0" fillId="3" fontId="2" numFmtId="3" xfId="0" applyAlignment="1" applyFont="1" applyNumberFormat="1">
      <alignment readingOrder="0" shrinkToFit="0" vertical="bottom" wrapText="0"/>
    </xf>
    <xf borderId="0" fillId="0" fontId="29" numFmtId="0" xfId="0" applyAlignment="1" applyFont="1">
      <alignment readingOrder="0" shrinkToFit="0" wrapText="0"/>
    </xf>
    <xf borderId="0" fillId="0" fontId="30" numFmtId="0" xfId="0" applyAlignment="1" applyFont="1">
      <alignment readingOrder="0" vertical="bottom"/>
    </xf>
    <xf borderId="0" fillId="0" fontId="2" numFmtId="9"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11" fontId="6" numFmtId="0" xfId="0" applyAlignment="1" applyFont="1">
      <alignment readingOrder="0" shrinkToFit="0" wrapText="0"/>
    </xf>
    <xf borderId="39" fillId="11" fontId="6" numFmtId="0" xfId="0" applyAlignment="1" applyBorder="1" applyFont="1">
      <alignment readingOrder="0" shrinkToFit="0" wrapText="0"/>
    </xf>
    <xf borderId="0" fillId="2" fontId="2" numFmtId="0" xfId="0" applyAlignment="1" applyFont="1">
      <alignment readingOrder="0" vertical="bottom"/>
    </xf>
    <xf borderId="0" fillId="2" fontId="2" numFmtId="9" xfId="0" applyAlignment="1" applyFont="1" applyNumberFormat="1">
      <alignment vertical="bottom"/>
    </xf>
    <xf borderId="0" fillId="2" fontId="2" numFmtId="0" xfId="0" applyAlignment="1" applyFont="1">
      <alignment vertical="bottom"/>
    </xf>
    <xf borderId="0" fillId="2" fontId="2" numFmtId="0" xfId="0" applyAlignment="1" applyFont="1">
      <alignment shrinkToFit="0" vertical="bottom" wrapText="0"/>
    </xf>
    <xf borderId="0" fillId="2" fontId="2" numFmtId="0" xfId="0" applyAlignment="1" applyFont="1">
      <alignment vertical="bottom"/>
    </xf>
    <xf borderId="0" fillId="2" fontId="3" numFmtId="0" xfId="0" applyAlignment="1" applyFont="1">
      <alignment shrinkToFit="0" wrapText="0"/>
    </xf>
    <xf borderId="0" fillId="2" fontId="3" numFmtId="0" xfId="0" applyFont="1"/>
    <xf borderId="0" fillId="0" fontId="2" numFmtId="0" xfId="0" applyAlignment="1" applyFont="1">
      <alignment readingOrder="0" vertical="bottom"/>
    </xf>
    <xf borderId="0" fillId="4" fontId="2" numFmtId="9" xfId="0" applyAlignment="1" applyFont="1" applyNumberFormat="1">
      <alignment horizontal="right" vertical="bottom"/>
    </xf>
    <xf borderId="0" fillId="4" fontId="2" numFmtId="9" xfId="0" applyAlignment="1" applyFont="1" applyNumberFormat="1">
      <alignment horizontal="right" readingOrder="0" vertical="bottom"/>
    </xf>
    <xf borderId="0" fillId="0" fontId="31" numFmtId="0" xfId="0" applyAlignment="1" applyFont="1">
      <alignment readingOrder="0" shrinkToFit="0" vertical="bottom" wrapText="0"/>
    </xf>
    <xf borderId="0" fillId="6" fontId="2" numFmtId="166" xfId="0" applyAlignment="1" applyFont="1" applyNumberFormat="1">
      <alignment horizontal="right" vertical="bottom"/>
    </xf>
    <xf borderId="0" fillId="12" fontId="1" numFmtId="0" xfId="0" applyAlignment="1" applyFont="1">
      <alignment readingOrder="0" vertical="bottom"/>
    </xf>
    <xf borderId="0" fillId="12" fontId="1" numFmtId="3" xfId="0" applyAlignment="1" applyFont="1" applyNumberFormat="1">
      <alignment vertical="bottom"/>
    </xf>
    <xf borderId="0" fillId="12" fontId="1" numFmtId="0" xfId="0" applyAlignment="1" applyFont="1">
      <alignment vertical="bottom"/>
    </xf>
    <xf borderId="0" fillId="12" fontId="1" numFmtId="0" xfId="0" applyAlignment="1" applyFont="1">
      <alignment vertical="bottom"/>
    </xf>
    <xf borderId="0" fillId="12" fontId="6" numFmtId="0" xfId="0" applyAlignment="1" applyFont="1">
      <alignment shrinkToFit="0" wrapText="0"/>
    </xf>
    <xf borderId="0" fillId="0" fontId="32" numFmtId="0" xfId="0" applyAlignment="1" applyFont="1">
      <alignment readingOrder="0" vertical="bottom"/>
    </xf>
    <xf borderId="0" fillId="0" fontId="2" numFmtId="3" xfId="0" applyAlignment="1" applyFont="1" applyNumberFormat="1">
      <alignment vertical="bottom"/>
    </xf>
    <xf borderId="0" fillId="0" fontId="2" numFmtId="9" xfId="0" applyAlignment="1" applyFont="1" applyNumberFormat="1">
      <alignment readingOrder="0" vertical="bottom"/>
    </xf>
    <xf borderId="0" fillId="0" fontId="3" numFmtId="9" xfId="0" applyAlignment="1" applyFont="1" applyNumberFormat="1">
      <alignment readingOrder="0" shrinkToFit="0" wrapText="0"/>
    </xf>
    <xf borderId="0" fillId="0" fontId="3" numFmtId="4" xfId="0" applyAlignment="1" applyFont="1" applyNumberFormat="1">
      <alignment shrinkToFit="0" wrapText="0"/>
    </xf>
    <xf borderId="0" fillId="0" fontId="6" numFmtId="0" xfId="0" applyAlignment="1" applyFont="1">
      <alignment shrinkToFit="0" wrapText="0"/>
    </xf>
    <xf borderId="0" fillId="0" fontId="3" numFmtId="9" xfId="0" applyAlignment="1" applyFont="1" applyNumberFormat="1">
      <alignment readingOrder="0" shrinkToFit="0" wrapText="0"/>
    </xf>
    <xf borderId="0" fillId="0" fontId="3" numFmtId="9" xfId="0" applyAlignment="1" applyFont="1" applyNumberFormat="1">
      <alignment readingOrder="0"/>
    </xf>
    <xf borderId="0" fillId="0" fontId="6" numFmtId="2" xfId="0" applyAlignment="1" applyFont="1" applyNumberFormat="1">
      <alignment shrinkToFit="0" wrapText="0"/>
    </xf>
    <xf borderId="0" fillId="3" fontId="2" numFmtId="9" xfId="0" applyAlignment="1" applyFont="1" applyNumberFormat="1">
      <alignment horizontal="right" readingOrder="0" vertical="bottom"/>
    </xf>
    <xf borderId="0" fillId="0" fontId="2" numFmtId="3" xfId="0" applyAlignment="1" applyFont="1" applyNumberFormat="1">
      <alignment readingOrder="0" vertical="bottom"/>
    </xf>
    <xf borderId="0" fillId="3" fontId="2" numFmtId="9" xfId="0" applyAlignment="1" applyFont="1" applyNumberFormat="1">
      <alignment horizontal="right" vertical="bottom"/>
    </xf>
    <xf borderId="0" fillId="6" fontId="2" numFmtId="9" xfId="0" applyAlignment="1" applyFont="1" applyNumberFormat="1">
      <alignment horizontal="right" vertical="bottom"/>
    </xf>
    <xf borderId="0" fillId="0" fontId="2" numFmtId="9" xfId="0" applyAlignment="1" applyFont="1" applyNumberFormat="1">
      <alignment horizontal="right" vertical="bottom"/>
    </xf>
    <xf borderId="0" fillId="0" fontId="1" numFmtId="0" xfId="0" applyAlignment="1" applyFont="1">
      <alignment readingOrder="0" vertical="bottom"/>
    </xf>
    <xf borderId="0" fillId="6" fontId="1" numFmtId="166" xfId="0" applyAlignment="1" applyFont="1" applyNumberFormat="1">
      <alignment horizontal="right" vertical="bottom"/>
    </xf>
    <xf borderId="0" fillId="0" fontId="2" numFmtId="0" xfId="0" applyAlignment="1" applyFont="1">
      <alignment horizontal="right" readingOrder="0" vertical="bottom"/>
    </xf>
    <xf borderId="0" fillId="11" fontId="6" numFmtId="0" xfId="0" applyAlignment="1" applyFont="1">
      <alignment readingOrder="0" shrinkToFit="0" wrapText="0"/>
    </xf>
    <xf borderId="28" fillId="11" fontId="6" numFmtId="3" xfId="0" applyAlignment="1" applyBorder="1" applyFont="1" applyNumberFormat="1">
      <alignment readingOrder="0" shrinkToFit="0" wrapText="0"/>
    </xf>
    <xf borderId="39" fillId="11" fontId="6" numFmtId="0" xfId="0" applyAlignment="1" applyBorder="1" applyFont="1">
      <alignment readingOrder="0" shrinkToFit="0" wrapText="0"/>
    </xf>
    <xf borderId="28" fillId="11" fontId="6" numFmtId="0" xfId="0" applyAlignment="1" applyBorder="1" applyFont="1">
      <alignment shrinkToFit="0" wrapText="0"/>
    </xf>
    <xf borderId="28" fillId="11" fontId="3" numFmtId="0" xfId="0" applyAlignment="1" applyBorder="1" applyFont="1">
      <alignment shrinkToFit="0" wrapText="0"/>
    </xf>
    <xf borderId="0" fillId="11" fontId="6" numFmtId="0" xfId="0" applyAlignment="1" applyFont="1">
      <alignment shrinkToFit="0" wrapText="0"/>
    </xf>
    <xf borderId="0" fillId="3" fontId="2" numFmtId="3" xfId="0" applyAlignment="1" applyFont="1" applyNumberFormat="1">
      <alignment readingOrder="0" vertical="bottom"/>
    </xf>
    <xf borderId="0" fillId="0" fontId="33" numFmtId="0" xfId="0" applyAlignment="1" applyFont="1">
      <alignment readingOrder="0" vertical="bottom"/>
    </xf>
    <xf borderId="0" fillId="14" fontId="34" numFmtId="4" xfId="0" applyAlignment="1" applyFill="1" applyFont="1" applyNumberFormat="1">
      <alignment horizontal="right" readingOrder="0" shrinkToFit="0" wrapText="0"/>
    </xf>
    <xf borderId="0" fillId="0" fontId="9" numFmtId="0" xfId="0" applyAlignment="1" applyFont="1">
      <alignment readingOrder="0" shrinkToFit="0" wrapText="0"/>
    </xf>
    <xf borderId="0" fillId="0" fontId="35" numFmtId="0" xfId="0" applyAlignment="1" applyFont="1">
      <alignment readingOrder="0"/>
    </xf>
    <xf borderId="0" fillId="6" fontId="36" numFmtId="3" xfId="0" applyAlignment="1" applyFont="1" applyNumberFormat="1">
      <alignment horizontal="right" vertical="bottom"/>
    </xf>
    <xf borderId="0" fillId="0" fontId="35" numFmtId="0" xfId="0" applyAlignment="1" applyFont="1">
      <alignment readingOrder="0" shrinkToFit="0" wrapText="0"/>
    </xf>
    <xf borderId="0" fillId="0" fontId="36" numFmtId="0" xfId="0" applyAlignment="1" applyFont="1">
      <alignment readingOrder="0" shrinkToFit="0" vertical="bottom" wrapText="0"/>
    </xf>
    <xf borderId="0" fillId="0" fontId="36" numFmtId="0" xfId="0" applyAlignment="1" applyFont="1">
      <alignment vertical="bottom"/>
    </xf>
    <xf borderId="0" fillId="0" fontId="36" numFmtId="0" xfId="0" applyAlignment="1" applyFont="1">
      <alignment vertical="bottom"/>
    </xf>
    <xf borderId="0" fillId="0" fontId="35" numFmtId="0" xfId="0" applyAlignment="1" applyFont="1">
      <alignment shrinkToFit="0" wrapText="0"/>
    </xf>
    <xf borderId="0" fillId="0" fontId="35" numFmtId="0" xfId="0" applyFont="1"/>
    <xf borderId="0" fillId="0" fontId="1" numFmtId="0" xfId="0" applyAlignment="1" applyFont="1">
      <alignment readingOrder="0" vertical="bottom"/>
    </xf>
    <xf borderId="0" fillId="6" fontId="6" numFmtId="3" xfId="0" applyAlignment="1" applyFont="1" applyNumberFormat="1">
      <alignment readingOrder="0" shrinkToFit="0" wrapText="0"/>
    </xf>
    <xf borderId="0" fillId="0" fontId="6" numFmtId="0" xfId="0" applyAlignment="1" applyFont="1">
      <alignment readingOrder="0" shrinkToFit="0" wrapText="0"/>
    </xf>
    <xf borderId="0" fillId="0" fontId="28" numFmtId="0" xfId="0" applyAlignment="1" applyFont="1">
      <alignment readingOrder="0" shrinkToFit="0" wrapText="0"/>
    </xf>
    <xf borderId="0" fillId="0" fontId="28" numFmtId="10" xfId="0" applyAlignment="1" applyFont="1" applyNumberFormat="1">
      <alignment readingOrder="0" shrinkToFit="0" wrapText="0"/>
    </xf>
    <xf borderId="0" fillId="0" fontId="28" numFmtId="0" xfId="0" applyAlignment="1" applyFont="1">
      <alignment readingOrder="0"/>
    </xf>
    <xf borderId="0" fillId="0" fontId="28" numFmtId="0" xfId="0" applyAlignment="1" applyFont="1">
      <alignment shrinkToFit="0" wrapText="0"/>
    </xf>
    <xf borderId="0" fillId="12" fontId="37" numFmtId="0" xfId="0" applyAlignment="1" applyFont="1">
      <alignment readingOrder="0" vertical="bottom"/>
    </xf>
    <xf borderId="0" fillId="12" fontId="37" numFmtId="3" xfId="0" applyAlignment="1" applyFont="1" applyNumberFormat="1">
      <alignment vertical="bottom"/>
    </xf>
    <xf borderId="0" fillId="12" fontId="37" numFmtId="0" xfId="0" applyAlignment="1" applyFont="1">
      <alignment vertical="bottom"/>
    </xf>
    <xf borderId="0" fillId="12" fontId="38" numFmtId="0" xfId="0" applyAlignment="1" applyFont="1">
      <alignment readingOrder="0" vertical="bottom"/>
    </xf>
    <xf borderId="0" fillId="12" fontId="37" numFmtId="0" xfId="0" applyAlignment="1" applyFont="1">
      <alignment vertical="bottom"/>
    </xf>
    <xf borderId="0" fillId="12" fontId="39" numFmtId="0" xfId="0" applyAlignment="1" applyFont="1">
      <alignment shrinkToFit="0" wrapText="0"/>
    </xf>
    <xf borderId="0" fillId="0" fontId="36" numFmtId="0" xfId="0" applyAlignment="1" applyFont="1">
      <alignment readingOrder="0" vertical="bottom"/>
    </xf>
    <xf borderId="0" fillId="6" fontId="36" numFmtId="166" xfId="0" applyAlignment="1" applyFont="1" applyNumberFormat="1">
      <alignment horizontal="right" vertical="bottom"/>
    </xf>
    <xf borderId="0" fillId="0" fontId="39" numFmtId="0" xfId="0" applyAlignment="1" applyFont="1">
      <alignment shrinkToFit="0" wrapText="0"/>
    </xf>
    <xf borderId="0" fillId="4" fontId="36" numFmtId="0" xfId="0" applyAlignment="1" applyFont="1">
      <alignment horizontal="right" readingOrder="0" vertical="bottom"/>
    </xf>
    <xf borderId="0" fillId="6" fontId="36" numFmtId="10" xfId="0" applyAlignment="1" applyFont="1" applyNumberFormat="1">
      <alignment horizontal="right" readingOrder="0" vertical="bottom"/>
    </xf>
    <xf borderId="0" fillId="0" fontId="2" numFmtId="10" xfId="0" applyAlignment="1" applyFont="1" applyNumberFormat="1">
      <alignment horizontal="right" readingOrder="0" vertical="bottom"/>
    </xf>
    <xf borderId="0" fillId="3" fontId="2" numFmtId="2" xfId="0" applyAlignment="1" applyFont="1" applyNumberFormat="1">
      <alignment readingOrder="0" vertical="bottom"/>
    </xf>
    <xf borderId="0" fillId="0" fontId="40" numFmtId="0" xfId="0" applyAlignment="1" applyFont="1">
      <alignment readingOrder="0"/>
    </xf>
    <xf borderId="0" fillId="6" fontId="3" numFmtId="166" xfId="0" applyAlignment="1" applyFont="1" applyNumberFormat="1">
      <alignment readingOrder="0" shrinkToFit="0" wrapText="0"/>
    </xf>
    <xf borderId="0" fillId="6" fontId="3" numFmtId="4" xfId="0" applyAlignment="1" applyFont="1" applyNumberFormat="1">
      <alignment readingOrder="0" shrinkToFit="0" wrapText="0"/>
    </xf>
    <xf borderId="0" fillId="0" fontId="3" numFmtId="0" xfId="0" applyAlignment="1" applyFont="1">
      <alignment horizontal="left" readingOrder="0" shrinkToFit="0" wrapText="0"/>
    </xf>
    <xf borderId="0" fillId="4" fontId="3" numFmtId="9" xfId="0" applyAlignment="1" applyFont="1" applyNumberFormat="1">
      <alignment readingOrder="0" shrinkToFit="0" wrapText="0"/>
    </xf>
    <xf borderId="0" fillId="3" fontId="3" numFmtId="4" xfId="0" applyAlignment="1" applyFont="1" applyNumberFormat="1">
      <alignment readingOrder="0" shrinkToFit="0" wrapText="0"/>
    </xf>
    <xf borderId="0" fillId="0" fontId="3" numFmtId="0" xfId="0" applyAlignment="1" applyFont="1">
      <alignment readingOrder="0" shrinkToFit="0" wrapText="0"/>
    </xf>
    <xf borderId="0" fillId="6" fontId="3" numFmtId="165" xfId="0" applyAlignment="1" applyFont="1" applyNumberFormat="1">
      <alignment readingOrder="0" shrinkToFit="0" wrapText="0"/>
    </xf>
    <xf borderId="0" fillId="3" fontId="3" numFmtId="10" xfId="0" applyAlignment="1" applyFont="1" applyNumberFormat="1">
      <alignment readingOrder="0" shrinkToFit="0" wrapText="0"/>
    </xf>
    <xf borderId="0" fillId="6" fontId="3" numFmtId="167" xfId="0" applyAlignment="1" applyFont="1" applyNumberFormat="1">
      <alignment readingOrder="0" shrinkToFit="0" wrapText="0"/>
    </xf>
    <xf borderId="0" fillId="4" fontId="3" numFmtId="168" xfId="0" applyAlignment="1" applyFont="1" applyNumberFormat="1">
      <alignment readingOrder="0" shrinkToFit="0" wrapText="0"/>
    </xf>
    <xf borderId="0" fillId="6" fontId="3" numFmtId="169" xfId="0" applyAlignment="1" applyFont="1" applyNumberFormat="1">
      <alignment readingOrder="0" shrinkToFit="0" wrapText="0"/>
    </xf>
    <xf borderId="0" fillId="3" fontId="3" numFmtId="3" xfId="0" applyAlignment="1" applyFont="1" applyNumberFormat="1">
      <alignment readingOrder="0" shrinkToFit="0" wrapText="0"/>
    </xf>
    <xf borderId="0" fillId="6" fontId="3" numFmtId="170" xfId="0" applyAlignment="1" applyFont="1" applyNumberFormat="1">
      <alignment readingOrder="0" shrinkToFit="0" wrapText="0"/>
    </xf>
    <xf borderId="0" fillId="6" fontId="6" numFmtId="3" xfId="0" applyAlignment="1" applyFont="1" applyNumberFormat="1">
      <alignment readingOrder="0" shrinkToFit="0" wrapText="0"/>
    </xf>
    <xf borderId="0" fillId="0" fontId="3" numFmtId="0" xfId="0" applyAlignment="1" applyFont="1">
      <alignment readingOrder="0" shrinkToFit="0" wrapText="0"/>
    </xf>
    <xf borderId="0" fillId="0" fontId="24" numFmtId="9" xfId="0" applyAlignment="1" applyFont="1" applyNumberFormat="1">
      <alignment horizontal="right" readingOrder="0" shrinkToFit="0" vertical="bottom" wrapText="0"/>
    </xf>
    <xf borderId="0" fillId="2" fontId="37" numFmtId="0" xfId="0" applyAlignment="1" applyFont="1">
      <alignment readingOrder="0" vertical="bottom"/>
    </xf>
    <xf borderId="0" fillId="2" fontId="35" numFmtId="0" xfId="0" applyAlignment="1" applyFont="1">
      <alignment readingOrder="0"/>
    </xf>
    <xf borderId="0" fillId="2" fontId="36" numFmtId="0" xfId="0" applyAlignment="1" applyFont="1">
      <alignment vertical="bottom"/>
    </xf>
    <xf borderId="0" fillId="2" fontId="39" numFmtId="0" xfId="0" applyAlignment="1" applyFont="1">
      <alignment shrinkToFit="0" wrapText="0"/>
    </xf>
    <xf borderId="0" fillId="4" fontId="36" numFmtId="168" xfId="0" applyAlignment="1" applyFont="1" applyNumberFormat="1">
      <alignment horizontal="right" readingOrder="0" vertical="bottom"/>
    </xf>
    <xf borderId="0" fillId="0" fontId="2" numFmtId="3" xfId="0" applyAlignment="1" applyFont="1" applyNumberFormat="1">
      <alignment horizontal="right" shrinkToFit="0" vertical="bottom" wrapText="0"/>
    </xf>
    <xf borderId="0" fillId="0" fontId="3" numFmtId="9" xfId="0" applyAlignment="1" applyFont="1" applyNumberFormat="1">
      <alignment readingOrder="0" shrinkToFit="0" wrapText="0"/>
    </xf>
    <xf borderId="0" fillId="6" fontId="1" numFmtId="3" xfId="0" applyAlignment="1" applyFont="1" applyNumberFormat="1">
      <alignment horizontal="right" shrinkToFit="0" vertical="bottom" wrapText="0"/>
    </xf>
    <xf borderId="0" fillId="0" fontId="25" numFmtId="0" xfId="0" applyAlignment="1" applyFont="1">
      <alignment shrinkToFit="0" wrapText="0"/>
    </xf>
    <xf borderId="0" fillId="0" fontId="25" numFmtId="0" xfId="0" applyAlignment="1" applyFont="1">
      <alignment readingOrder="0" shrinkToFit="0" wrapText="0"/>
    </xf>
    <xf borderId="0" fillId="0" fontId="25" numFmtId="0" xfId="0" applyAlignment="1" applyFont="1">
      <alignment readingOrder="0"/>
    </xf>
    <xf borderId="0" fillId="0" fontId="28" numFmtId="0" xfId="0" applyAlignment="1" applyFont="1">
      <alignment readingOrder="0" shrinkToFit="0" wrapText="0"/>
    </xf>
    <xf borderId="0" fillId="6" fontId="28" numFmtId="9" xfId="0" applyAlignment="1" applyFont="1" applyNumberFormat="1">
      <alignment readingOrder="0" shrinkToFit="0" wrapText="0"/>
    </xf>
    <xf borderId="40" fillId="11" fontId="6" numFmtId="3" xfId="0" applyAlignment="1" applyBorder="1" applyFont="1" applyNumberFormat="1">
      <alignment readingOrder="0" shrinkToFit="0" wrapText="0"/>
    </xf>
    <xf borderId="0" fillId="11" fontId="6" numFmtId="0" xfId="0" applyAlignment="1" applyFont="1">
      <alignment shrinkToFit="0" wrapText="0"/>
    </xf>
    <xf borderId="0" fillId="11" fontId="25" numFmtId="0" xfId="0" applyAlignment="1" applyFont="1">
      <alignment shrinkToFit="0" wrapText="0"/>
    </xf>
    <xf borderId="0" fillId="11" fontId="25" numFmtId="0" xfId="0" applyAlignment="1" applyFont="1">
      <alignment shrinkToFit="0" wrapText="0"/>
    </xf>
    <xf borderId="39" fillId="11" fontId="25" numFmtId="0" xfId="0" applyBorder="1" applyFont="1"/>
    <xf borderId="0" fillId="4" fontId="1" numFmtId="3" xfId="0" applyAlignment="1" applyFont="1" applyNumberFormat="1">
      <alignment horizontal="right" readingOrder="0" shrinkToFit="0" vertical="bottom" wrapText="0"/>
    </xf>
    <xf borderId="0" fillId="13" fontId="10" numFmtId="0" xfId="0" applyAlignment="1" applyFont="1">
      <alignment horizontal="left" readingOrder="0" shrinkToFit="0" vertical="bottom" wrapText="0"/>
    </xf>
    <xf borderId="41" fillId="13" fontId="41" numFmtId="0" xfId="0" applyAlignment="1" applyBorder="1" applyFont="1">
      <alignment shrinkToFit="0" vertical="bottom" wrapText="0"/>
    </xf>
    <xf borderId="41" fillId="13" fontId="42" numFmtId="0" xfId="0" applyAlignment="1" applyBorder="1" applyFont="1">
      <alignment shrinkToFit="0" vertical="bottom" wrapText="0"/>
    </xf>
    <xf borderId="41" fillId="13" fontId="42" numFmtId="0" xfId="0" applyAlignment="1" applyBorder="1" applyFont="1">
      <alignment shrinkToFit="0" vertical="bottom" wrapText="0"/>
    </xf>
    <xf borderId="0" fillId="13" fontId="42" numFmtId="0" xfId="0" applyAlignment="1" applyFont="1">
      <alignment shrinkToFit="0" vertical="bottom" wrapText="0"/>
    </xf>
    <xf borderId="0" fillId="6" fontId="3" numFmtId="3" xfId="0" applyAlignment="1" applyFont="1" applyNumberFormat="1">
      <alignment shrinkToFit="0" wrapText="0"/>
    </xf>
    <xf borderId="0" fillId="6" fontId="3" numFmtId="164" xfId="0" applyAlignment="1" applyFont="1" applyNumberFormat="1">
      <alignment shrinkToFit="0" wrapText="0"/>
    </xf>
    <xf borderId="0" fillId="0" fontId="25" numFmtId="0" xfId="0" applyAlignment="1" applyFont="1">
      <alignment readingOrder="0" shrinkToFit="0" wrapText="0"/>
    </xf>
    <xf borderId="0" fillId="6" fontId="3" numFmtId="171" xfId="0" applyAlignment="1" applyFont="1" applyNumberFormat="1">
      <alignment shrinkToFit="0" wrapText="0"/>
    </xf>
    <xf borderId="0" fillId="0" fontId="1" numFmtId="0" xfId="0" applyAlignment="1" applyFont="1">
      <alignment shrinkToFit="0" vertical="bottom" wrapText="0"/>
    </xf>
    <xf borderId="0" fillId="15" fontId="1" numFmtId="166" xfId="0" applyAlignment="1" applyFill="1" applyFont="1" applyNumberFormat="1">
      <alignment horizontal="right" shrinkToFit="0" vertical="bottom" wrapText="0"/>
    </xf>
    <xf borderId="42" fillId="12" fontId="6" numFmtId="0" xfId="0" applyAlignment="1" applyBorder="1" applyFont="1">
      <alignment readingOrder="0" shrinkToFit="0" wrapText="0"/>
    </xf>
    <xf borderId="42" fillId="12" fontId="6" numFmtId="3" xfId="0" applyAlignment="1" applyBorder="1" applyFont="1" applyNumberFormat="1">
      <alignment readingOrder="0" shrinkToFit="0" wrapText="0"/>
    </xf>
    <xf borderId="42" fillId="12" fontId="6" numFmtId="0" xfId="0" applyAlignment="1" applyBorder="1" applyFont="1">
      <alignment readingOrder="0" shrinkToFit="0" wrapText="0"/>
    </xf>
    <xf borderId="42" fillId="12" fontId="6" numFmtId="0" xfId="0" applyAlignment="1" applyBorder="1" applyFont="1">
      <alignment shrinkToFit="0" wrapText="0"/>
    </xf>
    <xf borderId="42" fillId="12" fontId="25" numFmtId="0" xfId="0" applyAlignment="1" applyBorder="1" applyFont="1">
      <alignment shrinkToFit="0" wrapText="0"/>
    </xf>
    <xf borderId="42" fillId="12" fontId="25" numFmtId="0" xfId="0" applyAlignment="1" applyBorder="1" applyFont="1">
      <alignment shrinkToFit="0" wrapText="0"/>
    </xf>
    <xf borderId="42" fillId="12" fontId="25" numFmtId="0" xfId="0" applyBorder="1" applyFont="1"/>
    <xf borderId="0" fillId="4" fontId="3" numFmtId="0" xfId="0" applyAlignment="1" applyFont="1">
      <alignment readingOrder="0" shrinkToFit="0" wrapText="0"/>
    </xf>
    <xf borderId="0" fillId="0" fontId="43" numFmtId="0" xfId="0" applyAlignment="1" applyFont="1">
      <alignment readingOrder="0" shrinkToFit="0" wrapText="0"/>
    </xf>
    <xf borderId="0" fillId="0" fontId="43" numFmtId="0" xfId="0" applyAlignment="1" applyFont="1">
      <alignment readingOrder="0"/>
    </xf>
    <xf borderId="0" fillId="0" fontId="3" numFmtId="4" xfId="0" applyAlignment="1" applyFont="1" applyNumberFormat="1">
      <alignment readingOrder="0" shrinkToFit="0" wrapText="0"/>
    </xf>
    <xf borderId="0" fillId="4" fontId="26" numFmtId="9" xfId="0" applyAlignment="1" applyFont="1" applyNumberFormat="1">
      <alignment readingOrder="0" shrinkToFit="0" wrapText="0"/>
    </xf>
    <xf borderId="0" fillId="0" fontId="3" numFmtId="3" xfId="0" applyAlignment="1" applyFont="1" applyNumberFormat="1">
      <alignment readingOrder="0" shrinkToFit="0" wrapText="0"/>
    </xf>
    <xf borderId="0" fillId="0" fontId="25" numFmtId="3" xfId="0" applyAlignment="1" applyFont="1" applyNumberFormat="1">
      <alignment readingOrder="0" shrinkToFit="0" wrapText="0"/>
    </xf>
    <xf borderId="0" fillId="0" fontId="26" numFmtId="3" xfId="0" applyAlignment="1" applyFont="1" applyNumberFormat="1">
      <alignment readingOrder="0" shrinkToFit="0" wrapText="0"/>
    </xf>
    <xf borderId="0" fillId="0" fontId="26" numFmtId="3" xfId="0" applyAlignment="1" applyFont="1" applyNumberFormat="1">
      <alignment readingOrder="0"/>
    </xf>
    <xf borderId="0" fillId="0" fontId="44" numFmtId="0" xfId="0" applyAlignment="1" applyFont="1">
      <alignment shrinkToFit="0" vertical="bottom" wrapText="0"/>
    </xf>
    <xf borderId="0" fillId="16" fontId="44" numFmtId="168" xfId="0" applyAlignment="1" applyFill="1" applyFont="1" applyNumberFormat="1">
      <alignment horizontal="right" shrinkToFit="0" vertical="bottom" wrapText="0"/>
    </xf>
    <xf borderId="0" fillId="0" fontId="44" numFmtId="0" xfId="0" applyAlignment="1" applyFont="1">
      <alignment readingOrder="0" shrinkToFit="0" vertical="bottom" wrapText="0"/>
    </xf>
    <xf borderId="0" fillId="0" fontId="2" numFmtId="0" xfId="0" applyAlignment="1" applyFont="1">
      <alignment shrinkToFit="0" vertical="bottom" wrapText="0"/>
    </xf>
    <xf borderId="0" fillId="0" fontId="24" numFmtId="172" xfId="0" applyAlignment="1" applyFont="1" applyNumberFormat="1">
      <alignment shrinkToFit="0" vertical="bottom" wrapText="0"/>
    </xf>
    <xf borderId="0" fillId="0" fontId="24" numFmtId="0" xfId="0" applyAlignment="1" applyFont="1">
      <alignment shrinkToFit="0" vertical="bottom" wrapText="0"/>
    </xf>
    <xf borderId="0" fillId="0" fontId="24" numFmtId="0" xfId="0" applyAlignment="1" applyFont="1">
      <alignment vertical="bottom"/>
    </xf>
    <xf borderId="0" fillId="0" fontId="44" numFmtId="4" xfId="0" applyAlignment="1" applyFont="1" applyNumberFormat="1">
      <alignment shrinkToFit="0" vertical="bottom" wrapText="0"/>
    </xf>
    <xf borderId="0" fillId="16" fontId="44" numFmtId="166" xfId="0" applyAlignment="1" applyFont="1" applyNumberFormat="1">
      <alignment horizontal="right" shrinkToFit="0" vertical="bottom" wrapText="0"/>
    </xf>
    <xf borderId="0" fillId="0" fontId="44" numFmtId="3" xfId="0" applyAlignment="1" applyFont="1" applyNumberFormat="1">
      <alignment readingOrder="0" shrinkToFit="0" vertical="bottom" wrapText="0"/>
    </xf>
    <xf borderId="0" fillId="0" fontId="2" numFmtId="3" xfId="0" applyAlignment="1" applyFont="1" applyNumberFormat="1">
      <alignment shrinkToFit="0" vertical="bottom" wrapText="0"/>
    </xf>
    <xf borderId="0" fillId="0" fontId="24" numFmtId="3" xfId="0" applyAlignment="1" applyFont="1" applyNumberFormat="1">
      <alignment shrinkToFit="0" vertical="bottom" wrapText="0"/>
    </xf>
    <xf borderId="0" fillId="0" fontId="24" numFmtId="3" xfId="0" applyAlignment="1" applyFont="1" applyNumberFormat="1">
      <alignment vertical="bottom"/>
    </xf>
    <xf borderId="0" fillId="6" fontId="2" numFmtId="164" xfId="0" applyAlignment="1" applyFont="1" applyNumberFormat="1">
      <alignment horizontal="center" shrinkToFit="0" vertical="bottom" wrapText="0"/>
    </xf>
    <xf borderId="0" fillId="0" fontId="2" numFmtId="0" xfId="0" applyAlignment="1" applyFont="1">
      <alignment shrinkToFit="0" vertical="bottom" wrapText="0"/>
    </xf>
    <xf borderId="0" fillId="0" fontId="24" numFmtId="0" xfId="0" applyAlignment="1" applyFont="1">
      <alignment vertical="bottom"/>
    </xf>
    <xf borderId="0" fillId="6" fontId="2" numFmtId="4" xfId="0" applyAlignment="1" applyFont="1" applyNumberFormat="1">
      <alignment horizontal="center" shrinkToFit="0" vertical="bottom" wrapText="0"/>
    </xf>
    <xf borderId="0" fillId="0" fontId="24" numFmtId="0" xfId="0" applyAlignment="1" applyFont="1">
      <alignment shrinkToFit="0" vertical="bottom" wrapText="0"/>
    </xf>
    <xf borderId="0" fillId="3" fontId="2" numFmtId="3" xfId="0" applyAlignment="1" applyFont="1" applyNumberFormat="1">
      <alignment horizontal="right" readingOrder="0" shrinkToFit="0" vertical="bottom" wrapText="0"/>
    </xf>
    <xf borderId="0" fillId="16" fontId="44" numFmtId="164" xfId="0" applyAlignment="1" applyFont="1" applyNumberFormat="1">
      <alignment horizontal="right" shrinkToFit="0" vertical="bottom" wrapText="0"/>
    </xf>
    <xf borderId="0" fillId="0" fontId="44" numFmtId="0" xfId="0" applyAlignment="1" applyFont="1">
      <alignment shrinkToFit="0" vertical="bottom" wrapText="0"/>
    </xf>
    <xf borderId="0" fillId="0" fontId="27" numFmtId="0" xfId="0" applyAlignment="1" applyFont="1">
      <alignment shrinkToFit="0" vertical="bottom" wrapText="0"/>
    </xf>
    <xf borderId="0" fillId="0" fontId="45" numFmtId="0" xfId="0" applyAlignment="1" applyFont="1">
      <alignment readingOrder="0" shrinkToFit="0" wrapText="0"/>
    </xf>
    <xf borderId="0" fillId="16" fontId="44" numFmtId="4" xfId="0" applyAlignment="1" applyFont="1" applyNumberFormat="1">
      <alignment horizontal="right" shrinkToFit="0" vertical="bottom" wrapText="0"/>
    </xf>
    <xf borderId="0" fillId="0" fontId="6" numFmtId="0" xfId="0" applyAlignment="1" applyFont="1">
      <alignment shrinkToFit="0" wrapText="0"/>
    </xf>
    <xf borderId="0" fillId="16" fontId="44" numFmtId="10" xfId="0" applyAlignment="1" applyFont="1" applyNumberFormat="1">
      <alignment horizontal="right" shrinkToFit="0" vertical="bottom" wrapText="0"/>
    </xf>
    <xf borderId="0" fillId="6" fontId="27" numFmtId="164" xfId="0" applyAlignment="1" applyFont="1" applyNumberFormat="1">
      <alignment horizontal="right" shrinkToFit="0" vertical="bottom" wrapText="0"/>
    </xf>
    <xf borderId="0" fillId="6" fontId="2" numFmtId="164" xfId="0" applyAlignment="1" applyFont="1" applyNumberFormat="1">
      <alignment horizontal="right" shrinkToFit="0" vertical="bottom" wrapText="0"/>
    </xf>
    <xf borderId="42" fillId="12" fontId="46" numFmtId="3" xfId="0" applyAlignment="1" applyBorder="1" applyFont="1" applyNumberFormat="1">
      <alignment readingOrder="0" shrinkToFit="0" wrapText="0"/>
    </xf>
    <xf borderId="0" fillId="3" fontId="3" numFmtId="0" xfId="0" applyAlignment="1" applyFont="1">
      <alignment readingOrder="0" shrinkToFit="0" wrapText="0"/>
    </xf>
    <xf borderId="0" fillId="6" fontId="2" numFmtId="164" xfId="0" applyAlignment="1" applyFont="1" applyNumberFormat="1">
      <alignment horizontal="right" vertical="bottom"/>
    </xf>
    <xf borderId="0" fillId="6" fontId="3" numFmtId="3" xfId="0" applyAlignment="1" applyFont="1" applyNumberFormat="1">
      <alignment readingOrder="0" shrinkToFit="0" wrapText="0"/>
    </xf>
    <xf borderId="0" fillId="3" fontId="3" numFmtId="9" xfId="0" applyAlignment="1" applyFont="1" applyNumberFormat="1">
      <alignment readingOrder="0"/>
    </xf>
    <xf borderId="0" fillId="0" fontId="3" numFmtId="164" xfId="0" applyAlignment="1" applyFont="1" applyNumberFormat="1">
      <alignment readingOrder="0"/>
    </xf>
    <xf borderId="0" fillId="0" fontId="47" numFmtId="0" xfId="0" applyAlignment="1" applyFont="1">
      <alignment readingOrder="0"/>
    </xf>
    <xf borderId="0" fillId="0" fontId="26" numFmtId="2" xfId="0" applyFont="1" applyNumberFormat="1"/>
    <xf borderId="0" fillId="0" fontId="26" numFmtId="0" xfId="0" applyAlignment="1" applyFont="1">
      <alignment readingOrder="0" shrinkToFit="0" wrapText="0"/>
    </xf>
    <xf borderId="0" fillId="0" fontId="3" numFmtId="164" xfId="0" applyFont="1" applyNumberFormat="1"/>
    <xf borderId="0" fillId="0" fontId="24" numFmtId="2" xfId="0" applyAlignment="1" applyFont="1" applyNumberFormat="1">
      <alignment vertical="bottom"/>
    </xf>
    <xf borderId="7" fillId="0" fontId="24" numFmtId="0" xfId="0" applyAlignment="1" applyBorder="1" applyFont="1">
      <alignment vertical="bottom"/>
    </xf>
    <xf borderId="0" fillId="0" fontId="27" numFmtId="0" xfId="0" applyAlignment="1" applyFont="1">
      <alignment readingOrder="0" shrinkToFit="0" vertical="bottom" wrapText="0"/>
    </xf>
    <xf borderId="0" fillId="6" fontId="28" numFmtId="166" xfId="0" applyAlignment="1" applyFont="1" applyNumberFormat="1">
      <alignment readingOrder="0" shrinkToFit="0" wrapText="0"/>
    </xf>
    <xf borderId="0" fillId="0" fontId="28" numFmtId="164" xfId="0" applyFont="1" applyNumberFormat="1"/>
    <xf borderId="0" fillId="0" fontId="48" numFmtId="0" xfId="0" applyAlignment="1" applyFont="1">
      <alignment readingOrder="0" shrinkToFit="0" wrapText="0"/>
    </xf>
    <xf borderId="0" fillId="0" fontId="48" numFmtId="0" xfId="0" applyAlignment="1" applyFont="1">
      <alignment readingOrder="0"/>
    </xf>
    <xf borderId="0" fillId="0" fontId="27" numFmtId="2" xfId="0" applyAlignment="1" applyFont="1" applyNumberFormat="1">
      <alignment vertical="bottom"/>
    </xf>
    <xf borderId="0" fillId="0" fontId="27" numFmtId="0" xfId="0" applyAlignment="1" applyFont="1">
      <alignment vertical="bottom"/>
    </xf>
    <xf borderId="0" fillId="0" fontId="27" numFmtId="0" xfId="0" applyAlignment="1" applyFont="1">
      <alignment vertical="bottom"/>
    </xf>
    <xf borderId="0" fillId="4" fontId="2" numFmtId="3" xfId="0" applyAlignment="1" applyFont="1" applyNumberFormat="1">
      <alignment horizontal="right" readingOrder="0" shrinkToFit="0" vertical="bottom" wrapText="0"/>
    </xf>
    <xf borderId="0" fillId="0" fontId="9" numFmtId="0" xfId="0" applyAlignment="1" applyFont="1">
      <alignment readingOrder="0" shrinkToFit="0" wrapText="0"/>
    </xf>
    <xf borderId="0" fillId="17" fontId="2" numFmtId="0" xfId="0" applyAlignment="1" applyFill="1" applyFont="1">
      <alignment shrinkToFit="0" vertical="bottom" wrapText="0"/>
    </xf>
    <xf borderId="0" fillId="6" fontId="2" numFmtId="3" xfId="0" applyAlignment="1" applyFont="1" applyNumberFormat="1">
      <alignment horizontal="right" readingOrder="0" shrinkToFit="0" vertical="bottom" wrapText="0"/>
    </xf>
    <xf borderId="0" fillId="0" fontId="49" numFmtId="0" xfId="0" applyAlignment="1" applyFont="1">
      <alignment readingOrder="0" shrinkToFit="0" wrapText="0"/>
    </xf>
    <xf borderId="0" fillId="6" fontId="2" numFmtId="4" xfId="0" applyAlignment="1" applyFont="1" applyNumberFormat="1">
      <alignment horizontal="right" readingOrder="0" shrinkToFit="0" vertical="bottom" wrapText="0"/>
    </xf>
    <xf borderId="0" fillId="0" fontId="24" numFmtId="0" xfId="0" applyAlignment="1" applyFont="1">
      <alignment shrinkToFit="0" vertical="bottom" wrapText="0"/>
    </xf>
    <xf borderId="0" fillId="6" fontId="3" numFmtId="164" xfId="0" applyAlignment="1" applyFont="1" applyNumberFormat="1">
      <alignment readingOrder="0" shrinkToFit="0" wrapText="0"/>
    </xf>
    <xf borderId="0" fillId="17" fontId="2" numFmtId="0" xfId="0" applyAlignment="1" applyFont="1">
      <alignment readingOrder="0" shrinkToFit="0" vertical="bottom" wrapText="0"/>
    </xf>
    <xf borderId="0" fillId="6" fontId="26" numFmtId="3" xfId="0" applyAlignment="1" applyFont="1" applyNumberFormat="1">
      <alignment readingOrder="0" shrinkToFit="0" wrapText="0"/>
    </xf>
    <xf borderId="0" fillId="0" fontId="3" numFmtId="0" xfId="0" applyAlignment="1" applyFont="1">
      <alignment horizontal="left" readingOrder="0" shrinkToFit="0" wrapText="0"/>
    </xf>
    <xf borderId="0" fillId="6" fontId="3" numFmtId="164" xfId="0" applyFont="1" applyNumberFormat="1"/>
    <xf borderId="26" fillId="9" fontId="50" numFmtId="0" xfId="0" applyAlignment="1" applyBorder="1" applyFont="1">
      <alignment readingOrder="0" shrinkToFit="0" vertical="center" wrapText="0"/>
    </xf>
    <xf borderId="28" fillId="11" fontId="48" numFmtId="0" xfId="0" applyAlignment="1" applyBorder="1" applyFont="1">
      <alignment readingOrder="0" shrinkToFit="0" wrapText="0"/>
    </xf>
    <xf borderId="28" fillId="11" fontId="39" numFmtId="3" xfId="0" applyAlignment="1" applyBorder="1" applyFont="1" applyNumberFormat="1">
      <alignment readingOrder="0" shrinkToFit="0" wrapText="0"/>
    </xf>
    <xf borderId="28" fillId="11" fontId="39" numFmtId="0" xfId="0" applyAlignment="1" applyBorder="1" applyFont="1">
      <alignment readingOrder="0" shrinkToFit="0" wrapText="0"/>
    </xf>
    <xf borderId="28" fillId="11" fontId="39" numFmtId="0" xfId="0" applyAlignment="1" applyBorder="1" applyFont="1">
      <alignment shrinkToFit="0" wrapText="0"/>
    </xf>
    <xf borderId="0" fillId="0" fontId="35" numFmtId="0" xfId="0" applyAlignment="1" applyFont="1">
      <alignment readingOrder="0" shrinkToFit="0" wrapText="0"/>
    </xf>
    <xf borderId="0" fillId="4" fontId="35" numFmtId="9" xfId="0" applyAlignment="1" applyFont="1" applyNumberFormat="1">
      <alignment readingOrder="0" shrinkToFit="0" wrapText="0"/>
    </xf>
    <xf borderId="0" fillId="3" fontId="35" numFmtId="3" xfId="0" applyAlignment="1" applyFont="1" applyNumberFormat="1">
      <alignment readingOrder="0" shrinkToFit="0" wrapText="0"/>
    </xf>
    <xf borderId="0" fillId="3" fontId="35" numFmtId="9" xfId="0" applyAlignment="1" applyFont="1" applyNumberFormat="1">
      <alignment readingOrder="0" shrinkToFit="0" wrapText="0"/>
    </xf>
    <xf borderId="0" fillId="3" fontId="35" numFmtId="164" xfId="0" applyAlignment="1" applyFont="1" applyNumberFormat="1">
      <alignment readingOrder="0" shrinkToFit="0" wrapText="0"/>
    </xf>
    <xf borderId="0" fillId="0" fontId="35" numFmtId="0" xfId="0" applyAlignment="1" applyFont="1">
      <alignment shrinkToFit="0" wrapText="0"/>
    </xf>
    <xf borderId="0" fillId="3" fontId="35" numFmtId="0" xfId="0" applyAlignment="1" applyFont="1">
      <alignment readingOrder="0" shrinkToFit="0" wrapText="0"/>
    </xf>
    <xf borderId="0" fillId="6" fontId="35" numFmtId="164" xfId="0" applyFont="1" applyNumberFormat="1"/>
    <xf borderId="28" fillId="11" fontId="39" numFmtId="0" xfId="0" applyAlignment="1" applyBorder="1" applyFont="1">
      <alignment shrinkToFit="0" wrapText="0"/>
    </xf>
    <xf borderId="28" fillId="11" fontId="39" numFmtId="0" xfId="0" applyBorder="1" applyFont="1"/>
    <xf borderId="0" fillId="11" fontId="39" numFmtId="0" xfId="0" applyFont="1"/>
    <xf borderId="0" fillId="0" fontId="39" numFmtId="0" xfId="0" applyAlignment="1" applyFont="1">
      <alignment readingOrder="0" shrinkToFit="0" wrapText="0"/>
    </xf>
    <xf borderId="0" fillId="6" fontId="35" numFmtId="164" xfId="0" applyAlignment="1" applyFont="1" applyNumberFormat="1">
      <alignment readingOrder="0" shrinkToFit="0" wrapText="0"/>
    </xf>
    <xf borderId="0" fillId="6" fontId="35" numFmtId="173" xfId="0" applyAlignment="1" applyFont="1" applyNumberFormat="1">
      <alignment readingOrder="0" shrinkToFit="0" wrapText="0"/>
    </xf>
    <xf borderId="0" fillId="6" fontId="35" numFmtId="174" xfId="0" applyAlignment="1" applyFont="1" applyNumberFormat="1">
      <alignment readingOrder="0" shrinkToFit="0" wrapText="0"/>
    </xf>
    <xf borderId="0" fillId="6" fontId="35" numFmtId="1" xfId="0" applyAlignment="1" applyFont="1" applyNumberFormat="1">
      <alignment readingOrder="0" shrinkToFit="0" wrapText="0"/>
    </xf>
    <xf borderId="0" fillId="7" fontId="10" numFmtId="0" xfId="0" applyAlignment="1" applyFont="1">
      <alignment readingOrder="0" shrinkToFit="0" vertical="bottom" wrapText="0"/>
    </xf>
    <xf borderId="0" fillId="7" fontId="41" numFmtId="0" xfId="0" applyAlignment="1" applyFont="1">
      <alignment shrinkToFit="0" vertical="bottom" wrapText="0"/>
    </xf>
    <xf borderId="0" fillId="7" fontId="41" numFmtId="0" xfId="0" applyAlignment="1" applyFont="1">
      <alignment shrinkToFit="0" vertical="bottom" wrapText="0"/>
    </xf>
    <xf borderId="0" fillId="7" fontId="41" numFmtId="0" xfId="0" applyAlignment="1" applyFont="1">
      <alignment shrinkToFit="0" vertical="bottom" wrapText="1"/>
    </xf>
    <xf borderId="0" fillId="0" fontId="51" numFmtId="175" xfId="0" applyAlignment="1" applyFont="1" applyNumberFormat="1">
      <alignment horizontal="center" readingOrder="0" shrinkToFit="0" wrapText="0"/>
    </xf>
    <xf borderId="0" fillId="0" fontId="35" numFmtId="164" xfId="0" applyAlignment="1" applyFont="1" applyNumberFormat="1">
      <alignment readingOrder="0" shrinkToFit="0" wrapText="0"/>
    </xf>
    <xf borderId="0" fillId="0" fontId="35" numFmtId="164" xfId="0" applyAlignment="1" applyFont="1" applyNumberFormat="1">
      <alignment readingOrder="0" shrinkToFit="0" wrapText="0"/>
    </xf>
    <xf borderId="0" fillId="0" fontId="26" numFmtId="164" xfId="0" applyAlignment="1" applyFont="1" applyNumberFormat="1">
      <alignment readingOrder="0" shrinkToFit="0" wrapText="0"/>
    </xf>
    <xf borderId="0" fillId="0" fontId="26" numFmtId="164" xfId="0" applyAlignment="1" applyFont="1" applyNumberFormat="1">
      <alignment readingOrder="0" shrinkToFit="0" wrapText="0"/>
    </xf>
    <xf borderId="0" fillId="15" fontId="52" numFmtId="176" xfId="0" applyAlignment="1" applyFont="1" applyNumberFormat="1">
      <alignment readingOrder="0"/>
    </xf>
    <xf borderId="0" fillId="0" fontId="3" numFmtId="164" xfId="0" applyAlignment="1" applyFont="1" applyNumberFormat="1">
      <alignment readingOrder="0" shrinkToFit="0" wrapText="0"/>
    </xf>
    <xf borderId="0" fillId="0" fontId="3" numFmtId="164" xfId="0" applyAlignment="1" applyFont="1" applyNumberFormat="1">
      <alignment readingOrder="0" shrinkToFit="0" wrapText="0"/>
    </xf>
    <xf borderId="0" fillId="0" fontId="35" numFmtId="3" xfId="0" applyAlignment="1" applyFont="1" applyNumberFormat="1">
      <alignment readingOrder="0"/>
    </xf>
    <xf borderId="0" fillId="0" fontId="35" numFmtId="171" xfId="0" applyAlignment="1" applyFont="1" applyNumberFormat="1">
      <alignment readingOrder="0"/>
    </xf>
    <xf borderId="0" fillId="0" fontId="35" numFmtId="171" xfId="0" applyAlignment="1" applyFont="1" applyNumberFormat="1">
      <alignment readingOrder="0" shrinkToFit="0" wrapText="0"/>
    </xf>
    <xf borderId="0" fillId="0" fontId="35" numFmtId="168" xfId="0" applyAlignment="1" applyFont="1" applyNumberFormat="1">
      <alignment readingOrder="0"/>
    </xf>
    <xf borderId="0" fillId="0" fontId="35" numFmtId="3" xfId="0" applyAlignment="1" applyFont="1" applyNumberFormat="1">
      <alignment readingOrder="0" shrinkToFit="0" wrapText="0"/>
    </xf>
    <xf borderId="0" fillId="0" fontId="3" numFmtId="3" xfId="0" applyAlignment="1" applyFont="1" applyNumberFormat="1">
      <alignment readingOrder="0"/>
    </xf>
    <xf borderId="0" fillId="0" fontId="53" numFmtId="3" xfId="0" applyAlignment="1" applyFont="1" applyNumberFormat="1">
      <alignment readingOrder="0"/>
    </xf>
    <xf borderId="0" fillId="6" fontId="2" numFmtId="3" xfId="0" applyAlignment="1" applyFont="1" applyNumberFormat="1">
      <alignment horizontal="right" shrinkToFit="0" vertical="bottom" wrapText="0"/>
    </xf>
    <xf borderId="0" fillId="0" fontId="16" numFmtId="3" xfId="0" applyAlignment="1" applyFont="1" applyNumberFormat="1">
      <alignment horizontal="right" shrinkToFit="0" vertical="bottom" wrapText="0"/>
    </xf>
    <xf borderId="32" fillId="7" fontId="54" numFmtId="0" xfId="0" applyAlignment="1" applyBorder="1" applyFont="1">
      <alignment readingOrder="0" shrinkToFit="0" vertical="center" wrapText="0"/>
    </xf>
    <xf borderId="32" fillId="7" fontId="55" numFmtId="0" xfId="0" applyAlignment="1" applyBorder="1" applyFont="1">
      <alignment shrinkToFit="0" vertical="center" wrapText="0"/>
    </xf>
    <xf borderId="32" fillId="7" fontId="55" numFmtId="0" xfId="0" applyAlignment="1" applyBorder="1" applyFont="1">
      <alignment shrinkToFit="0" vertical="center" wrapText="0"/>
    </xf>
    <xf borderId="32" fillId="7" fontId="55" numFmtId="0" xfId="0" applyAlignment="1" applyBorder="1" applyFont="1">
      <alignment shrinkToFit="0" vertical="center" wrapText="1"/>
    </xf>
    <xf borderId="0" fillId="7" fontId="55" numFmtId="0" xfId="0" applyAlignment="1" applyFont="1">
      <alignment shrinkToFit="0" vertical="center" wrapText="1"/>
    </xf>
    <xf borderId="0" fillId="0" fontId="3" numFmtId="173" xfId="0" applyAlignment="1" applyFont="1" applyNumberFormat="1">
      <alignment shrinkToFit="0" wrapText="0"/>
    </xf>
    <xf borderId="0" fillId="6" fontId="3" numFmtId="177" xfId="0" applyAlignment="1" applyFont="1" applyNumberFormat="1">
      <alignment shrinkToFit="0" wrapText="0"/>
    </xf>
    <xf borderId="0" fillId="6" fontId="6" numFmtId="164" xfId="0" applyAlignment="1" applyFont="1" applyNumberFormat="1">
      <alignment shrinkToFit="0" wrapText="0"/>
    </xf>
    <xf borderId="0" fillId="6" fontId="6" numFmtId="3" xfId="0" applyAlignment="1" applyFont="1" applyNumberFormat="1">
      <alignment shrinkToFit="0" wrapText="0"/>
    </xf>
    <xf borderId="0" fillId="0" fontId="1" numFmtId="0" xfId="0" applyAlignment="1" applyFont="1">
      <alignment readingOrder="0" shrinkToFit="0" vertical="bottom" wrapText="0"/>
    </xf>
    <xf borderId="42" fillId="12" fontId="56" numFmtId="0" xfId="0" applyAlignment="1" applyBorder="1" applyFont="1">
      <alignment readingOrder="0" shrinkToFit="0" wrapText="0"/>
    </xf>
    <xf borderId="42" fillId="12" fontId="56" numFmtId="3" xfId="0" applyAlignment="1" applyBorder="1" applyFont="1" applyNumberFormat="1">
      <alignment readingOrder="0" shrinkToFit="0" wrapText="0"/>
    </xf>
    <xf borderId="42" fillId="12" fontId="56" numFmtId="0" xfId="0" applyAlignment="1" applyBorder="1" applyFont="1">
      <alignment readingOrder="0" shrinkToFit="0" wrapText="0"/>
    </xf>
    <xf borderId="0" fillId="0" fontId="57" numFmtId="0" xfId="0" applyAlignment="1" applyFont="1">
      <alignment readingOrder="0" shrinkToFit="0" wrapText="0"/>
    </xf>
    <xf borderId="0" fillId="6" fontId="57" numFmtId="164" xfId="0" applyAlignment="1" applyFont="1" applyNumberFormat="1">
      <alignment shrinkToFit="0" wrapText="0"/>
    </xf>
    <xf borderId="0" fillId="6" fontId="57" numFmtId="3" xfId="0" applyAlignment="1" applyFont="1" applyNumberFormat="1">
      <alignment shrinkToFit="0" wrapText="0"/>
    </xf>
    <xf borderId="0" fillId="0" fontId="58" numFmtId="0" xfId="0" applyAlignment="1" applyFont="1">
      <alignment shrinkToFit="0" vertical="bottom" wrapText="0"/>
    </xf>
    <xf borderId="42" fillId="12" fontId="39" numFmtId="0" xfId="0" applyAlignment="1" applyBorder="1" applyFont="1">
      <alignment readingOrder="0" shrinkToFit="0" wrapText="0"/>
    </xf>
    <xf borderId="42" fillId="12" fontId="39" numFmtId="3" xfId="0" applyAlignment="1" applyBorder="1" applyFont="1" applyNumberFormat="1">
      <alignment readingOrder="0" shrinkToFit="0" wrapText="0"/>
    </xf>
    <xf borderId="42" fillId="12" fontId="39" numFmtId="0" xfId="0" applyAlignment="1" applyBorder="1" applyFont="1">
      <alignment readingOrder="0" shrinkToFit="0" wrapText="0"/>
    </xf>
    <xf borderId="0" fillId="6" fontId="35" numFmtId="164" xfId="0" applyAlignment="1" applyFont="1" applyNumberFormat="1">
      <alignment shrinkToFit="0" wrapText="0"/>
    </xf>
    <xf borderId="0" fillId="6" fontId="35" numFmtId="3" xfId="0" applyAlignment="1" applyFont="1" applyNumberFormat="1">
      <alignment shrinkToFit="0" wrapText="0"/>
    </xf>
    <xf borderId="0" fillId="0" fontId="36" numFmtId="0" xfId="0" applyAlignment="1" applyFont="1">
      <alignment shrinkToFit="0" vertical="bottom" wrapText="0"/>
    </xf>
    <xf borderId="0" fillId="0" fontId="3" numFmtId="0" xfId="0" applyAlignment="1" applyFont="1">
      <alignment horizontal="right" shrinkToFit="0" wrapText="0"/>
    </xf>
    <xf borderId="0" fillId="0" fontId="3" numFmtId="0" xfId="0" applyAlignment="1" applyFont="1">
      <alignment horizontal="right"/>
    </xf>
    <xf borderId="19" fillId="7" fontId="10" numFmtId="0" xfId="0" applyAlignment="1" applyBorder="1" applyFont="1">
      <alignment readingOrder="0" shrinkToFit="0" vertical="bottom" wrapText="1"/>
    </xf>
    <xf borderId="0" fillId="3" fontId="2" numFmtId="9" xfId="0" applyAlignment="1" applyFont="1" applyNumberFormat="1">
      <alignment readingOrder="0" vertical="bottom"/>
    </xf>
    <xf borderId="0" fillId="3" fontId="2" numFmtId="10" xfId="0" applyAlignment="1" applyFont="1" applyNumberFormat="1">
      <alignment vertical="bottom"/>
    </xf>
    <xf borderId="0" fillId="3" fontId="2" numFmtId="10" xfId="0" applyAlignment="1" applyFont="1" applyNumberFormat="1">
      <alignment readingOrder="0" vertical="bottom"/>
    </xf>
    <xf borderId="0" fillId="6" fontId="2" numFmtId="10" xfId="0" applyAlignment="1" applyFont="1" applyNumberFormat="1">
      <alignment vertical="bottom"/>
    </xf>
    <xf borderId="0" fillId="6" fontId="2" numFmtId="3" xfId="0" applyAlignment="1" applyFont="1" applyNumberFormat="1">
      <alignment vertical="bottom"/>
    </xf>
    <xf borderId="0" fillId="4" fontId="2" numFmtId="9" xfId="0" applyAlignment="1" applyFont="1" applyNumberFormat="1">
      <alignment vertical="bottom"/>
    </xf>
    <xf borderId="0" fillId="6" fontId="2" numFmtId="9" xfId="0" applyAlignment="1" applyFont="1" applyNumberFormat="1">
      <alignment readingOrder="0" vertical="bottom"/>
    </xf>
    <xf borderId="0" fillId="4" fontId="2" numFmtId="9" xfId="0" applyAlignment="1" applyFont="1" applyNumberFormat="1">
      <alignment readingOrder="0" vertical="bottom"/>
    </xf>
    <xf borderId="0" fillId="4" fontId="3" numFmtId="0" xfId="0" applyAlignment="1" applyFont="1">
      <alignment readingOrder="0"/>
    </xf>
    <xf borderId="0" fillId="0" fontId="3" numFmtId="0" xfId="0" applyFont="1"/>
    <xf borderId="0" fillId="3" fontId="2" numFmtId="2" xfId="0" applyAlignment="1" applyFont="1" applyNumberFormat="1">
      <alignment vertical="bottom"/>
    </xf>
    <xf borderId="0" fillId="6" fontId="2" numFmtId="2" xfId="0" applyAlignment="1" applyFont="1" applyNumberFormat="1">
      <alignment vertical="bottom"/>
    </xf>
    <xf borderId="0" fillId="4" fontId="2" numFmtId="166" xfId="0" applyAlignment="1" applyFont="1" applyNumberFormat="1">
      <alignment horizontal="right" readingOrder="0" shrinkToFit="0" vertical="bottom" wrapText="0"/>
    </xf>
    <xf borderId="0" fillId="0" fontId="2" numFmtId="0" xfId="0" applyAlignment="1" applyFont="1">
      <alignment shrinkToFit="0" vertical="bottom" wrapText="0"/>
    </xf>
    <xf borderId="0" fillId="6" fontId="2" numFmtId="4" xfId="0" applyAlignment="1" applyFont="1" applyNumberFormat="1">
      <alignment horizontal="right" shrinkToFit="0" vertical="bottom" wrapText="0"/>
    </xf>
    <xf borderId="0" fillId="4" fontId="2" numFmtId="9" xfId="0" applyAlignment="1" applyFont="1" applyNumberFormat="1">
      <alignment horizontal="right" shrinkToFit="0" vertical="bottom" wrapText="0"/>
    </xf>
    <xf borderId="0" fillId="0" fontId="2" numFmtId="9" xfId="0" applyAlignment="1" applyFont="1" applyNumberFormat="1">
      <alignment shrinkToFit="0" vertical="bottom" wrapText="0"/>
    </xf>
    <xf borderId="0" fillId="0" fontId="2" numFmtId="178" xfId="0" applyAlignment="1" applyFont="1" applyNumberFormat="1">
      <alignment vertical="bottom"/>
    </xf>
    <xf borderId="0" fillId="3" fontId="2" numFmtId="4" xfId="0" applyAlignment="1" applyFont="1" applyNumberFormat="1">
      <alignment horizontal="right" shrinkToFit="0" vertical="bottom" wrapText="0"/>
    </xf>
    <xf borderId="0" fillId="0" fontId="59" numFmtId="9" xfId="0" applyAlignment="1" applyFont="1" applyNumberFormat="1">
      <alignment shrinkToFit="0" vertical="bottom" wrapText="0"/>
    </xf>
    <xf borderId="0" fillId="0" fontId="60" numFmtId="0" xfId="0" applyAlignment="1" applyFont="1">
      <alignment shrinkToFit="0" vertical="bottom" wrapText="0"/>
    </xf>
    <xf borderId="0" fillId="6" fontId="2" numFmtId="165" xfId="0" applyAlignment="1" applyFont="1" applyNumberFormat="1">
      <alignment horizontal="right" shrinkToFit="0" vertical="bottom" wrapText="0"/>
    </xf>
    <xf borderId="0" fillId="3" fontId="2" numFmtId="10" xfId="0" applyAlignment="1" applyFont="1" applyNumberFormat="1">
      <alignment horizontal="right" shrinkToFit="0" vertical="bottom" wrapText="0"/>
    </xf>
    <xf borderId="0" fillId="0" fontId="61" numFmtId="178" xfId="0" applyAlignment="1" applyFont="1" applyNumberFormat="1">
      <alignment shrinkToFit="0" vertical="bottom" wrapText="0"/>
    </xf>
    <xf borderId="0" fillId="0" fontId="2" numFmtId="178" xfId="0" applyAlignment="1" applyFont="1" applyNumberFormat="1">
      <alignment shrinkToFit="0" vertical="bottom" wrapText="0"/>
    </xf>
    <xf borderId="0" fillId="6" fontId="2" numFmtId="167" xfId="0" applyAlignment="1" applyFont="1" applyNumberFormat="1">
      <alignment horizontal="right" shrinkToFit="0" vertical="bottom" wrapText="0"/>
    </xf>
    <xf borderId="0" fillId="4" fontId="2" numFmtId="168" xfId="0" applyAlignment="1" applyFont="1" applyNumberFormat="1">
      <alignment horizontal="right" shrinkToFit="0" vertical="bottom" wrapText="0"/>
    </xf>
    <xf borderId="0" fillId="6" fontId="2" numFmtId="169" xfId="0" applyAlignment="1" applyFont="1" applyNumberFormat="1">
      <alignment horizontal="right" shrinkToFit="0" vertical="bottom" wrapText="0"/>
    </xf>
    <xf borderId="0" fillId="0" fontId="2" numFmtId="165" xfId="0" applyAlignment="1" applyFont="1" applyNumberFormat="1">
      <alignment shrinkToFit="0" vertical="bottom" wrapText="0"/>
    </xf>
    <xf borderId="0" fillId="3" fontId="2" numFmtId="3" xfId="0" applyAlignment="1" applyFont="1" applyNumberFormat="1">
      <alignment horizontal="right" shrinkToFit="0" vertical="bottom" wrapText="0"/>
    </xf>
    <xf borderId="0" fillId="3" fontId="2" numFmtId="9" xfId="0" applyAlignment="1" applyFont="1" applyNumberFormat="1">
      <alignment horizontal="right" readingOrder="0" shrinkToFit="0" vertical="bottom" wrapText="0"/>
    </xf>
    <xf borderId="0" fillId="6" fontId="2" numFmtId="170" xfId="0" applyAlignment="1" applyFont="1" applyNumberFormat="1">
      <alignment horizontal="right" shrinkToFit="0" vertical="bottom" wrapText="0"/>
    </xf>
    <xf borderId="0" fillId="0" fontId="2" numFmtId="10" xfId="0" applyAlignment="1" applyFont="1" applyNumberFormat="1">
      <alignment shrinkToFit="0" vertical="bottom" wrapText="0"/>
    </xf>
    <xf borderId="0" fillId="0" fontId="1" numFmtId="0" xfId="0" applyAlignment="1" applyFont="1">
      <alignment shrinkToFit="0" vertical="bottom" wrapText="0"/>
    </xf>
    <xf borderId="0" fillId="6" fontId="1" numFmtId="170" xfId="0" applyAlignment="1" applyFont="1" applyNumberFormat="1">
      <alignment horizontal="right" shrinkToFit="0" vertical="bottom" wrapText="0"/>
    </xf>
    <xf borderId="0" fillId="0" fontId="1" numFmtId="0" xfId="0" applyAlignment="1" applyFont="1">
      <alignment shrinkToFit="0" vertical="bottom" wrapText="0"/>
    </xf>
    <xf borderId="0" fillId="6" fontId="2" numFmtId="166" xfId="0" applyAlignment="1" applyFont="1" applyNumberFormat="1">
      <alignment horizontal="right" shrinkToFit="0" vertical="bottom" wrapText="0"/>
    </xf>
    <xf borderId="0" fillId="0" fontId="62" numFmtId="0" xfId="0" applyAlignment="1" applyFont="1">
      <alignment shrinkToFit="0" vertical="bottom" wrapText="0"/>
    </xf>
    <xf borderId="0" fillId="0" fontId="63" numFmtId="0" xfId="0" applyAlignment="1" applyFont="1">
      <alignment shrinkToFit="0" vertical="bottom" wrapText="0"/>
    </xf>
    <xf borderId="0" fillId="6" fontId="1" numFmtId="169" xfId="0" applyAlignment="1" applyFont="1" applyNumberFormat="1">
      <alignment horizontal="right" shrinkToFit="0" vertical="bottom" wrapText="0"/>
    </xf>
    <xf borderId="0" fillId="18" fontId="3" numFmtId="0" xfId="0" applyAlignment="1" applyFill="1" applyFont="1">
      <alignment readingOrder="0" textRotation="90" vertical="center"/>
    </xf>
    <xf borderId="0" fillId="3" fontId="2" numFmtId="178" xfId="0" applyAlignment="1" applyFont="1" applyNumberFormat="1">
      <alignment vertical="bottom"/>
    </xf>
    <xf borderId="0" fillId="6" fontId="2" numFmtId="178" xfId="0" applyAlignment="1" applyFont="1" applyNumberFormat="1">
      <alignment vertical="bottom"/>
    </xf>
    <xf borderId="0" fillId="3" fontId="2" numFmtId="168" xfId="0" applyAlignment="1" applyFont="1" applyNumberFormat="1">
      <alignment vertical="bottom"/>
    </xf>
    <xf borderId="0" fillId="4" fontId="2" numFmtId="10" xfId="0" applyAlignment="1" applyFont="1" applyNumberFormat="1">
      <alignment vertical="bottom"/>
    </xf>
    <xf borderId="0" fillId="6" fontId="2" numFmtId="168" xfId="0" applyAlignment="1" applyFont="1" applyNumberFormat="1">
      <alignment vertical="bottom"/>
    </xf>
    <xf borderId="0" fillId="3" fontId="2" numFmtId="3" xfId="0" applyAlignment="1" applyFont="1" applyNumberFormat="1">
      <alignment vertical="bottom"/>
    </xf>
    <xf borderId="0" fillId="4" fontId="2" numFmtId="3" xfId="0" applyAlignment="1" applyFont="1" applyNumberFormat="1">
      <alignment vertical="bottom"/>
    </xf>
    <xf borderId="0" fillId="6" fontId="3" numFmtId="1" xfId="0" applyFont="1" applyNumberFormat="1"/>
    <xf borderId="0" fillId="6" fontId="3" numFmtId="178" xfId="0" applyFont="1" applyNumberFormat="1"/>
    <xf borderId="0" fillId="4" fontId="2" numFmtId="171" xfId="0" applyAlignment="1" applyFont="1" applyNumberFormat="1">
      <alignment vertical="bottom"/>
    </xf>
    <xf borderId="0" fillId="6" fontId="3" numFmtId="166" xfId="0" applyFont="1" applyNumberFormat="1"/>
    <xf borderId="0" fillId="6" fontId="6" numFmtId="166" xfId="0" applyFont="1" applyNumberFormat="1"/>
    <xf borderId="0" fillId="0" fontId="3" numFmtId="0" xfId="0" applyAlignment="1" applyFont="1">
      <alignment readingOrder="0" textRotation="90" vertical="center"/>
    </xf>
    <xf borderId="0" fillId="6" fontId="2" numFmtId="171" xfId="0" applyAlignment="1" applyFont="1" applyNumberFormat="1">
      <alignment vertical="bottom"/>
    </xf>
    <xf borderId="0" fillId="3" fontId="2" numFmtId="1" xfId="0" applyAlignment="1" applyFont="1" applyNumberFormat="1">
      <alignment vertical="bottom"/>
    </xf>
    <xf borderId="0" fillId="0" fontId="3" numFmtId="0" xfId="0" applyAlignment="1" applyFont="1">
      <alignment readingOrder="0"/>
    </xf>
    <xf borderId="0" fillId="3" fontId="2" numFmtId="0" xfId="0" applyAlignment="1" applyFont="1">
      <alignment horizontal="right" readingOrder="0" shrinkToFit="0" vertical="bottom" wrapText="0"/>
    </xf>
    <xf borderId="19" fillId="7" fontId="10" numFmtId="0" xfId="0" applyAlignment="1" applyBorder="1" applyFont="1">
      <alignment horizontal="right" shrinkToFit="0" vertical="bottom" wrapText="1"/>
    </xf>
    <xf borderId="19" fillId="7" fontId="10" numFmtId="0" xfId="0" applyAlignment="1" applyBorder="1" applyFont="1">
      <alignment horizontal="right" readingOrder="0" shrinkToFit="0" vertical="bottom" wrapText="1"/>
    </xf>
    <xf borderId="19" fillId="7" fontId="64" numFmtId="0" xfId="0" applyAlignment="1" applyBorder="1" applyFont="1">
      <alignment horizontal="left" readingOrder="0" shrinkToFit="0" vertical="bottom" wrapText="1"/>
    </xf>
    <xf borderId="19" fillId="7" fontId="10" numFmtId="2" xfId="0" applyAlignment="1" applyBorder="1" applyFont="1" applyNumberFormat="1">
      <alignment horizontal="left" readingOrder="0" shrinkToFit="0" vertical="bottom" wrapText="1"/>
    </xf>
    <xf borderId="43" fillId="9" fontId="14" numFmtId="0" xfId="0" applyAlignment="1" applyBorder="1" applyFont="1">
      <alignment readingOrder="0" shrinkToFit="0" vertical="center" wrapText="0"/>
    </xf>
    <xf borderId="43" fillId="9" fontId="14" numFmtId="0" xfId="0" applyAlignment="1" applyBorder="1" applyFont="1">
      <alignment readingOrder="0" vertical="center"/>
    </xf>
    <xf borderId="44" fillId="9" fontId="21" numFmtId="2" xfId="0" applyAlignment="1" applyBorder="1" applyFont="1" applyNumberFormat="1">
      <alignment horizontal="center" readingOrder="0" shrinkToFit="0" vertical="center" wrapText="0"/>
    </xf>
    <xf borderId="0" fillId="9" fontId="21" numFmtId="2" xfId="0" applyAlignment="1" applyFont="1" applyNumberFormat="1">
      <alignment horizontal="center" readingOrder="0" shrinkToFit="0" vertical="center" wrapText="1"/>
    </xf>
    <xf borderId="44" fillId="9" fontId="21" numFmtId="2" xfId="0" applyAlignment="1" applyBorder="1" applyFont="1" applyNumberFormat="1">
      <alignment horizontal="center" readingOrder="0" shrinkToFit="0" vertical="center" wrapText="1"/>
    </xf>
    <xf borderId="45" fillId="9" fontId="14" numFmtId="0" xfId="0" applyAlignment="1" applyBorder="1" applyFont="1">
      <alignment readingOrder="0" vertical="center"/>
    </xf>
    <xf borderId="43" fillId="9" fontId="65" numFmtId="0" xfId="0" applyAlignment="1" applyBorder="1" applyFont="1">
      <alignment readingOrder="0" vertical="center"/>
    </xf>
    <xf borderId="0" fillId="0" fontId="2" numFmtId="2" xfId="0" applyAlignment="1" applyFont="1" applyNumberFormat="1">
      <alignment readingOrder="0" vertical="bottom"/>
    </xf>
    <xf borderId="46" fillId="2" fontId="2" numFmtId="2" xfId="0" applyAlignment="1" applyBorder="1" applyFont="1" applyNumberFormat="1">
      <alignment readingOrder="0" vertical="bottom"/>
    </xf>
    <xf borderId="47" fillId="2" fontId="2" numFmtId="2" xfId="0" applyAlignment="1" applyBorder="1" applyFont="1" applyNumberFormat="1">
      <alignment readingOrder="0" vertical="bottom"/>
    </xf>
    <xf borderId="43" fillId="9" fontId="66" numFmtId="2" xfId="0" applyAlignment="1" applyBorder="1" applyFont="1" applyNumberFormat="1">
      <alignment readingOrder="0" vertical="center"/>
    </xf>
    <xf borderId="42" fillId="12" fontId="6" numFmtId="3" xfId="0" applyAlignment="1" applyBorder="1" applyFont="1" applyNumberFormat="1">
      <alignment readingOrder="0"/>
    </xf>
    <xf borderId="42" fillId="12" fontId="6" numFmtId="0" xfId="0" applyAlignment="1" applyBorder="1" applyFont="1">
      <alignment readingOrder="0"/>
    </xf>
    <xf borderId="42" fillId="12" fontId="3" numFmtId="2" xfId="0" applyAlignment="1" applyBorder="1" applyFont="1" applyNumberFormat="1">
      <alignment readingOrder="0"/>
    </xf>
    <xf borderId="42" fillId="12" fontId="6" numFmtId="0" xfId="0" applyBorder="1" applyFont="1"/>
    <xf borderId="0" fillId="4" fontId="3" numFmtId="9" xfId="0" applyAlignment="1" applyFont="1" applyNumberFormat="1">
      <alignment readingOrder="0"/>
    </xf>
    <xf borderId="0" fillId="15" fontId="3" numFmtId="164" xfId="0" applyAlignment="1" applyFont="1" applyNumberFormat="1">
      <alignment readingOrder="0"/>
    </xf>
    <xf borderId="0" fillId="18" fontId="3" numFmtId="0" xfId="0" applyAlignment="1" applyFont="1">
      <alignment readingOrder="0"/>
    </xf>
    <xf borderId="0" fillId="0" fontId="3" numFmtId="2" xfId="0" applyAlignment="1" applyFont="1" applyNumberFormat="1">
      <alignment readingOrder="0"/>
    </xf>
    <xf borderId="0" fillId="19" fontId="36" numFmtId="168" xfId="0" applyAlignment="1" applyFill="1" applyFont="1" applyNumberFormat="1">
      <alignment horizontal="left" vertical="bottom"/>
    </xf>
    <xf borderId="0" fillId="0" fontId="2" numFmtId="164" xfId="0" applyAlignment="1" applyFont="1" applyNumberFormat="1">
      <alignment vertical="bottom"/>
    </xf>
    <xf borderId="0" fillId="0" fontId="2" numFmtId="2" xfId="0" applyAlignment="1" applyFont="1" applyNumberFormat="1">
      <alignment vertical="bottom"/>
    </xf>
    <xf borderId="0" fillId="0" fontId="2" numFmtId="172" xfId="0" applyAlignment="1" applyFont="1" applyNumberFormat="1">
      <alignment vertical="bottom"/>
    </xf>
    <xf borderId="0" fillId="0" fontId="3" numFmtId="2" xfId="0" applyFont="1" applyNumberFormat="1"/>
    <xf borderId="0" fillId="0" fontId="67" numFmtId="0" xfId="0" applyAlignment="1" applyFont="1">
      <alignment readingOrder="0"/>
    </xf>
    <xf borderId="0" fillId="0" fontId="49" numFmtId="0" xfId="0" applyAlignment="1" applyFont="1">
      <alignment readingOrder="0"/>
    </xf>
    <xf borderId="0" fillId="0" fontId="36" numFmtId="4" xfId="0" applyAlignment="1" applyFont="1" applyNumberFormat="1">
      <alignment vertical="bottom"/>
    </xf>
    <xf borderId="0" fillId="19" fontId="36" numFmtId="166" xfId="0" applyAlignment="1" applyFont="1" applyNumberFormat="1">
      <alignment horizontal="right" vertical="bottom"/>
    </xf>
    <xf borderId="0" fillId="12" fontId="6" numFmtId="3" xfId="0" applyAlignment="1" applyFont="1" applyNumberFormat="1">
      <alignment readingOrder="0"/>
    </xf>
    <xf borderId="0" fillId="12" fontId="6" numFmtId="0" xfId="0" applyAlignment="1" applyFont="1">
      <alignment readingOrder="0"/>
    </xf>
    <xf borderId="0" fillId="12" fontId="3" numFmtId="2" xfId="0" applyAlignment="1" applyFont="1" applyNumberFormat="1">
      <alignment readingOrder="0"/>
    </xf>
    <xf borderId="0" fillId="12" fontId="6" numFmtId="0" xfId="0" applyFont="1"/>
    <xf borderId="0" fillId="4" fontId="3" numFmtId="166" xfId="0" applyAlignment="1" applyFont="1" applyNumberFormat="1">
      <alignment readingOrder="0"/>
    </xf>
    <xf borderId="0" fillId="15" fontId="68" numFmtId="2" xfId="0" applyFont="1" applyNumberFormat="1"/>
    <xf borderId="28" fillId="11" fontId="17" numFmtId="3" xfId="0" applyAlignment="1" applyBorder="1" applyFont="1" applyNumberFormat="1">
      <alignment horizontal="left" readingOrder="0"/>
    </xf>
    <xf borderId="28" fillId="11" fontId="6" numFmtId="3" xfId="0" applyAlignment="1" applyBorder="1" applyFont="1" applyNumberFormat="1">
      <alignment readingOrder="0"/>
    </xf>
    <xf borderId="28" fillId="11" fontId="6" numFmtId="0" xfId="0" applyAlignment="1" applyBorder="1" applyFont="1">
      <alignment readingOrder="0"/>
    </xf>
    <xf borderId="28" fillId="11" fontId="3" numFmtId="2" xfId="0" applyAlignment="1" applyBorder="1" applyFont="1" applyNumberFormat="1">
      <alignment readingOrder="0"/>
    </xf>
    <xf borderId="28" fillId="11" fontId="6" numFmtId="0" xfId="0" applyBorder="1" applyFont="1"/>
    <xf borderId="42" fillId="12" fontId="1" numFmtId="0" xfId="0" applyAlignment="1" applyBorder="1" applyFont="1">
      <alignment readingOrder="0" shrinkToFit="0" vertical="bottom" wrapText="0"/>
    </xf>
    <xf borderId="30" fillId="12" fontId="2" numFmtId="3" xfId="0" applyAlignment="1" applyBorder="1" applyFont="1" applyNumberFormat="1">
      <alignment vertical="bottom"/>
    </xf>
    <xf borderId="30" fillId="12" fontId="2" numFmtId="0" xfId="0" applyAlignment="1" applyBorder="1" applyFont="1">
      <alignment vertical="bottom"/>
    </xf>
    <xf borderId="30" fillId="12" fontId="2" numFmtId="2" xfId="0" applyAlignment="1" applyBorder="1" applyFont="1" applyNumberFormat="1">
      <alignment vertical="bottom"/>
    </xf>
    <xf borderId="30" fillId="12" fontId="2" numFmtId="0" xfId="0" applyAlignment="1" applyBorder="1" applyFont="1">
      <alignment readingOrder="0" vertical="bottom"/>
    </xf>
    <xf borderId="30" fillId="12" fontId="2" numFmtId="0" xfId="0" applyAlignment="1" applyBorder="1" applyFont="1">
      <alignment vertical="bottom"/>
    </xf>
    <xf borderId="0" fillId="3" fontId="2" numFmtId="3" xfId="0" applyAlignment="1" applyFont="1" applyNumberFormat="1">
      <alignment horizontal="right" readingOrder="0" vertical="bottom"/>
    </xf>
    <xf borderId="0" fillId="15" fontId="2" numFmtId="164" xfId="0" applyAlignment="1" applyFont="1" applyNumberFormat="1">
      <alignment readingOrder="0" vertical="bottom"/>
    </xf>
    <xf borderId="0" fillId="18" fontId="2" numFmtId="0" xfId="0" applyAlignment="1" applyFont="1">
      <alignment readingOrder="0" vertical="bottom"/>
    </xf>
    <xf borderId="0" fillId="18" fontId="2" numFmtId="0" xfId="0" applyAlignment="1" applyFont="1">
      <alignment vertical="bottom"/>
    </xf>
    <xf borderId="7" fillId="0" fontId="2" numFmtId="0" xfId="0" applyAlignment="1" applyBorder="1" applyFont="1">
      <alignment readingOrder="0" vertical="bottom"/>
    </xf>
    <xf borderId="0" fillId="3" fontId="2" numFmtId="164" xfId="0" applyAlignment="1" applyFont="1" applyNumberFormat="1">
      <alignment horizontal="right" readingOrder="0" vertical="bottom"/>
    </xf>
    <xf borderId="0" fillId="0" fontId="2" numFmtId="1" xfId="0" applyAlignment="1" applyFont="1" applyNumberFormat="1">
      <alignment vertical="bottom"/>
    </xf>
    <xf borderId="0" fillId="0" fontId="17" numFmtId="3" xfId="0" applyAlignment="1" applyFont="1" applyNumberFormat="1">
      <alignment readingOrder="0"/>
    </xf>
    <xf borderId="0" fillId="0" fontId="6" numFmtId="0" xfId="0" applyFont="1"/>
    <xf borderId="0" fillId="6" fontId="27" numFmtId="164" xfId="0" applyAlignment="1" applyFont="1" applyNumberFormat="1">
      <alignment horizontal="right" vertical="bottom"/>
    </xf>
    <xf borderId="0" fillId="0" fontId="27" numFmtId="164" xfId="0" applyAlignment="1" applyFont="1" applyNumberFormat="1">
      <alignment vertical="bottom"/>
    </xf>
    <xf borderId="0" fillId="0" fontId="27" numFmtId="0" xfId="0" applyAlignment="1" applyFont="1">
      <alignment readingOrder="0" vertical="bottom"/>
    </xf>
    <xf borderId="0" fillId="6" fontId="27" numFmtId="4" xfId="0" applyAlignment="1" applyFont="1" applyNumberFormat="1">
      <alignment horizontal="right" vertical="bottom"/>
    </xf>
    <xf borderId="0" fillId="6" fontId="27" numFmtId="10" xfId="0" applyAlignment="1" applyFont="1" applyNumberFormat="1">
      <alignment horizontal="right" vertical="bottom"/>
    </xf>
    <xf borderId="42" fillId="12" fontId="17" numFmtId="0" xfId="0" applyAlignment="1" applyBorder="1" applyFont="1">
      <alignment readingOrder="0"/>
    </xf>
    <xf borderId="0" fillId="6" fontId="3" numFmtId="3" xfId="0" applyAlignment="1" applyFont="1" applyNumberFormat="1">
      <alignment readingOrder="0"/>
    </xf>
    <xf borderId="0" fillId="3" fontId="3" numFmtId="0" xfId="0" applyAlignment="1" applyFont="1">
      <alignment readingOrder="0"/>
    </xf>
    <xf borderId="0" fillId="0" fontId="6" numFmtId="3" xfId="0" applyAlignment="1" applyFont="1" applyNumberFormat="1">
      <alignment readingOrder="0"/>
    </xf>
    <xf borderId="0" fillId="3" fontId="26" numFmtId="164" xfId="0" applyAlignment="1" applyFont="1" applyNumberFormat="1">
      <alignment readingOrder="0"/>
    </xf>
    <xf borderId="0" fillId="3" fontId="9" numFmtId="164" xfId="0" applyAlignment="1" applyFont="1" applyNumberFormat="1">
      <alignment readingOrder="0"/>
    </xf>
    <xf borderId="0" fillId="3" fontId="3" numFmtId="164" xfId="0" applyAlignment="1" applyFont="1" applyNumberFormat="1">
      <alignment readingOrder="0"/>
    </xf>
    <xf borderId="0" fillId="0" fontId="17" numFmtId="0" xfId="0" applyAlignment="1" applyFont="1">
      <alignment readingOrder="0"/>
    </xf>
    <xf borderId="0" fillId="0" fontId="69" numFmtId="0" xfId="0" applyAlignment="1" applyFont="1">
      <alignment readingOrder="0"/>
    </xf>
    <xf borderId="0" fillId="6" fontId="3" numFmtId="164" xfId="0" applyAlignment="1" applyFont="1" applyNumberFormat="1">
      <alignment readingOrder="0"/>
    </xf>
    <xf borderId="0" fillId="6" fontId="3" numFmtId="3" xfId="0" applyFont="1" applyNumberFormat="1"/>
    <xf borderId="0" fillId="6" fontId="1" numFmtId="164" xfId="0" applyAlignment="1" applyFont="1" applyNumberFormat="1">
      <alignment horizontal="right" vertical="bottom"/>
    </xf>
    <xf borderId="0" fillId="0" fontId="6" numFmtId="164" xfId="0" applyFont="1" applyNumberFormat="1"/>
    <xf borderId="0" fillId="6" fontId="6" numFmtId="164" xfId="0" applyFont="1" applyNumberFormat="1"/>
    <xf borderId="0" fillId="0" fontId="6" numFmtId="164" xfId="0" applyAlignment="1" applyFont="1" applyNumberFormat="1">
      <alignment readingOrder="0"/>
    </xf>
    <xf borderId="0" fillId="3" fontId="2" numFmtId="165" xfId="0" applyAlignment="1" applyFont="1" applyNumberFormat="1">
      <alignment horizontal="right" vertical="bottom"/>
    </xf>
    <xf borderId="0" fillId="0" fontId="2" numFmtId="165" xfId="0" applyAlignment="1" applyFont="1" applyNumberFormat="1">
      <alignment horizontal="left" readingOrder="0" vertical="bottom"/>
    </xf>
    <xf borderId="0" fillId="0" fontId="2" numFmtId="2" xfId="0" applyAlignment="1" applyFont="1" applyNumberFormat="1">
      <alignment horizontal="left" readingOrder="0" vertical="bottom"/>
    </xf>
    <xf borderId="39" fillId="11" fontId="6" numFmtId="0" xfId="0" applyAlignment="1" applyBorder="1" applyFont="1">
      <alignment readingOrder="0"/>
    </xf>
    <xf borderId="0" fillId="3" fontId="3" numFmtId="3" xfId="0" applyAlignment="1" applyFont="1" applyNumberFormat="1">
      <alignment readingOrder="0"/>
    </xf>
    <xf borderId="0" fillId="3" fontId="3" numFmtId="166" xfId="0" applyAlignment="1" applyFont="1" applyNumberFormat="1">
      <alignment readingOrder="0"/>
    </xf>
    <xf borderId="0" fillId="6" fontId="3" numFmtId="166" xfId="0" applyAlignment="1" applyFont="1" applyNumberFormat="1">
      <alignment readingOrder="0"/>
    </xf>
    <xf borderId="0" fillId="6" fontId="9" numFmtId="3" xfId="0" applyAlignment="1" applyFont="1" applyNumberFormat="1">
      <alignment readingOrder="0"/>
    </xf>
    <xf borderId="0" fillId="6" fontId="2" numFmtId="3" xfId="0" applyAlignment="1" applyFont="1" applyNumberFormat="1">
      <alignment horizontal="right" vertical="bottom"/>
    </xf>
    <xf borderId="0" fillId="6" fontId="24" numFmtId="3" xfId="0" applyAlignment="1" applyFont="1" applyNumberFormat="1">
      <alignment horizontal="right" readingOrder="0" vertical="bottom"/>
    </xf>
    <xf borderId="42" fillId="11" fontId="17" numFmtId="0" xfId="0" applyAlignment="1" applyBorder="1" applyFont="1">
      <alignment readingOrder="0"/>
    </xf>
    <xf borderId="0" fillId="3" fontId="3" numFmtId="173" xfId="0" applyAlignment="1" applyFont="1" applyNumberFormat="1">
      <alignment readingOrder="0"/>
    </xf>
    <xf borderId="0" fillId="3" fontId="3" numFmtId="10" xfId="0" applyAlignment="1" applyFont="1" applyNumberFormat="1">
      <alignment readingOrder="0"/>
    </xf>
    <xf borderId="7" fillId="0" fontId="2" numFmtId="0" xfId="0" applyAlignment="1" applyBorder="1" applyFont="1">
      <alignment vertical="bottom"/>
    </xf>
    <xf borderId="0" fillId="3" fontId="24" numFmtId="3" xfId="0" applyAlignment="1" applyFont="1" applyNumberFormat="1">
      <alignment horizontal="right" readingOrder="0" vertical="bottom"/>
    </xf>
    <xf borderId="0" fillId="3" fontId="16" numFmtId="3" xfId="0" applyAlignment="1" applyFont="1" applyNumberFormat="1">
      <alignment horizontal="right" readingOrder="0" vertical="bottom"/>
    </xf>
    <xf borderId="0" fillId="6" fontId="26" numFmtId="3" xfId="0" applyAlignment="1" applyFont="1" applyNumberFormat="1">
      <alignment readingOrder="0"/>
    </xf>
    <xf borderId="0" fillId="3" fontId="2" numFmtId="3" xfId="0" applyAlignment="1" applyFont="1" applyNumberFormat="1">
      <alignment horizontal="right" vertical="bottom"/>
    </xf>
    <xf borderId="0" fillId="15" fontId="2" numFmtId="164" xfId="0" applyAlignment="1" applyFont="1" applyNumberFormat="1">
      <alignment vertical="bottom"/>
    </xf>
    <xf borderId="0" fillId="6" fontId="1" numFmtId="3" xfId="0" applyAlignment="1" applyFont="1" applyNumberFormat="1">
      <alignment horizontal="right" vertical="bottom"/>
    </xf>
    <xf borderId="0" fillId="7" fontId="70" numFmtId="2" xfId="0" applyAlignment="1" applyFont="1" applyNumberFormat="1">
      <alignment shrinkToFit="0" vertical="bottom" wrapText="1"/>
    </xf>
    <xf borderId="0" fillId="0" fontId="3" numFmtId="173" xfId="0" applyFont="1" applyNumberFormat="1"/>
    <xf borderId="0" fillId="6" fontId="3" numFmtId="164" xfId="0" applyFont="1" applyNumberFormat="1"/>
    <xf borderId="0" fillId="6" fontId="6" numFmtId="164" xfId="0" applyFont="1" applyNumberFormat="1"/>
    <xf borderId="0" fillId="0" fontId="3" numFmtId="173" xfId="0" applyAlignment="1" applyFont="1" applyNumberFormat="1">
      <alignment readingOrder="0"/>
    </xf>
    <xf borderId="0" fillId="0" fontId="17" numFmtId="0" xfId="0" applyAlignment="1" applyFont="1">
      <alignment horizontal="center" readingOrder="0"/>
    </xf>
    <xf borderId="0" fillId="0" fontId="3" numFmtId="4" xfId="0" applyFont="1" applyNumberFormat="1"/>
    <xf borderId="0" fillId="0" fontId="2" numFmtId="4" xfId="0" applyAlignment="1" applyFont="1" applyNumberFormat="1">
      <alignment shrinkToFit="0" vertical="bottom" wrapText="0"/>
    </xf>
    <xf borderId="0" fillId="0" fontId="3" numFmtId="2" xfId="0" applyAlignment="1" applyFont="1" applyNumberFormat="1">
      <alignment horizontal="right"/>
    </xf>
    <xf borderId="0" fillId="0" fontId="2" numFmtId="4" xfId="0" applyAlignment="1" applyFont="1" applyNumberFormat="1">
      <alignment readingOrder="0" shrinkToFit="0" vertical="bottom" wrapText="0"/>
    </xf>
    <xf borderId="48" fillId="6" fontId="3" numFmtId="4" xfId="0" applyBorder="1" applyFont="1" applyNumberFormat="1"/>
    <xf borderId="0" fillId="0" fontId="71" numFmtId="0" xfId="0" applyAlignment="1" applyFont="1">
      <alignment vertical="bottom"/>
    </xf>
    <xf borderId="0" fillId="0" fontId="72" numFmtId="0" xfId="0" applyAlignment="1" applyFont="1">
      <alignment vertical="bottom"/>
    </xf>
    <xf borderId="0" fillId="15" fontId="73" numFmtId="0" xfId="0" applyAlignment="1" applyFont="1">
      <alignment vertical="bottom"/>
    </xf>
    <xf borderId="34" fillId="0" fontId="74" numFmtId="0" xfId="0" applyAlignment="1" applyBorder="1" applyFont="1">
      <alignment vertical="bottom"/>
    </xf>
    <xf borderId="0" fillId="0" fontId="74" numFmtId="0" xfId="0" applyAlignment="1" applyFont="1">
      <alignment horizontal="center" shrinkToFit="0" vertical="bottom" wrapText="1"/>
    </xf>
    <xf borderId="34" fillId="0" fontId="75" numFmtId="0" xfId="0" applyAlignment="1" applyBorder="1" applyFont="1">
      <alignment vertical="bottom"/>
    </xf>
    <xf borderId="34" fillId="0" fontId="2" numFmtId="0" xfId="0" applyAlignment="1" applyBorder="1" applyFont="1">
      <alignment vertical="bottom"/>
    </xf>
    <xf borderId="49" fillId="0" fontId="76" numFmtId="0" xfId="0" applyAlignment="1" applyBorder="1" applyFont="1">
      <alignment vertical="bottom"/>
    </xf>
    <xf borderId="0" fillId="0" fontId="77" numFmtId="0" xfId="0" applyAlignment="1" applyFont="1">
      <alignment shrinkToFit="0" vertical="bottom" wrapText="1"/>
    </xf>
    <xf borderId="0" fillId="0" fontId="78" numFmtId="0" xfId="0" applyAlignment="1" applyFont="1">
      <alignment shrinkToFit="0" vertical="bottom" wrapText="1"/>
    </xf>
    <xf borderId="0" fillId="2" fontId="8" numFmtId="0" xfId="0" applyAlignment="1" applyFont="1">
      <alignment vertical="bottom"/>
    </xf>
    <xf borderId="0" fillId="2" fontId="2" numFmtId="0" xfId="0" applyAlignment="1" applyFont="1">
      <alignment vertical="bottom"/>
    </xf>
    <xf borderId="0" fillId="20" fontId="1" numFmtId="0" xfId="0" applyAlignment="1" applyFill="1" applyFont="1">
      <alignment vertical="bottom"/>
    </xf>
    <xf borderId="50" fillId="20" fontId="2" numFmtId="0" xfId="0" applyAlignment="1" applyBorder="1" applyFont="1">
      <alignment vertical="bottom"/>
    </xf>
    <xf borderId="21" fillId="0" fontId="2" numFmtId="0" xfId="0" applyAlignment="1" applyBorder="1" applyFont="1">
      <alignment vertical="bottom"/>
    </xf>
    <xf borderId="0" fillId="0" fontId="76" numFmtId="0" xfId="0" applyAlignment="1" applyFont="1">
      <alignment horizontal="right" shrinkToFit="0" vertical="bottom" wrapText="1"/>
    </xf>
    <xf borderId="21" fillId="0" fontId="1" numFmtId="0" xfId="0" applyAlignment="1" applyBorder="1" applyFont="1">
      <alignment vertical="bottom"/>
    </xf>
    <xf borderId="0" fillId="0" fontId="79" numFmtId="0" xfId="0" applyAlignment="1" applyFont="1">
      <alignment vertical="bottom"/>
    </xf>
    <xf borderId="0" fillId="0" fontId="1" numFmtId="0" xfId="0" applyAlignment="1" applyFont="1">
      <alignment vertical="bottom"/>
    </xf>
    <xf borderId="0" fillId="0" fontId="80" numFmtId="0" xfId="0" applyAlignment="1" applyFont="1">
      <alignment vertical="bottom"/>
    </xf>
    <xf borderId="16" fillId="0" fontId="2" numFmtId="0" xfId="0" applyAlignment="1" applyBorder="1" applyFont="1">
      <alignment vertical="bottom"/>
    </xf>
    <xf borderId="0" fillId="0" fontId="76" numFmtId="0" xfId="0" applyAlignment="1" applyFont="1">
      <alignment vertical="bottom"/>
    </xf>
    <xf borderId="0" fillId="2" fontId="81" numFmtId="0" xfId="0" applyAlignment="1" applyFont="1">
      <alignment vertical="bottom"/>
    </xf>
    <xf borderId="0" fillId="2" fontId="81" numFmtId="0" xfId="0" applyAlignment="1" applyFont="1">
      <alignment horizontal="right" vertical="bottom"/>
    </xf>
    <xf borderId="0" fillId="2" fontId="8" numFmtId="164" xfId="0" applyAlignment="1" applyFont="1" applyNumberFormat="1">
      <alignment horizontal="right" vertical="bottom"/>
    </xf>
    <xf borderId="0" fillId="18" fontId="8" numFmtId="164" xfId="0" applyAlignment="1" applyFont="1" applyNumberFormat="1">
      <alignment horizontal="right" vertical="bottom"/>
    </xf>
    <xf borderId="0" fillId="18" fontId="2" numFmtId="0" xfId="0" applyAlignment="1" applyFont="1">
      <alignment vertical="bottom"/>
    </xf>
    <xf borderId="0" fillId="0" fontId="82" numFmtId="0" xfId="0" applyAlignment="1" applyFont="1">
      <alignment shrinkToFit="0" vertical="bottom" wrapText="1"/>
    </xf>
    <xf borderId="0" fillId="0" fontId="2" numFmtId="173" xfId="0" applyAlignment="1" applyFont="1" applyNumberFormat="1">
      <alignment vertical="bottom"/>
    </xf>
    <xf borderId="0" fillId="0" fontId="2" numFmtId="164" xfId="0" applyAlignment="1" applyFont="1" applyNumberFormat="1">
      <alignment horizontal="right" vertical="bottom"/>
    </xf>
    <xf borderId="0" fillId="0" fontId="2" numFmtId="166" xfId="0" applyAlignment="1" applyFont="1" applyNumberFormat="1">
      <alignment horizontal="right" vertical="bottom"/>
    </xf>
    <xf borderId="0" fillId="0" fontId="76" numFmtId="0" xfId="0" applyAlignment="1" applyFont="1">
      <alignment horizontal="center" shrinkToFit="0" vertical="bottom" wrapText="1"/>
    </xf>
    <xf borderId="0" fillId="0" fontId="2" numFmtId="173" xfId="0" applyAlignment="1" applyFont="1" applyNumberFormat="1">
      <alignment horizontal="right" vertical="bottom"/>
    </xf>
    <xf borderId="0" fillId="0" fontId="2" numFmtId="164" xfId="0" applyAlignment="1" applyFont="1" applyNumberFormat="1">
      <alignment vertical="bottom"/>
    </xf>
    <xf borderId="34" fillId="0" fontId="15" numFmtId="0" xfId="0" applyBorder="1" applyFont="1"/>
    <xf borderId="0" fillId="2" fontId="2" numFmtId="164" xfId="0" applyAlignment="1" applyFont="1" applyNumberFormat="1">
      <alignment vertical="bottom"/>
    </xf>
    <xf borderId="0" fillId="17" fontId="8" numFmtId="164" xfId="0" applyAlignment="1" applyFont="1" applyNumberFormat="1">
      <alignment horizontal="right" vertical="bottom"/>
    </xf>
    <xf borderId="51" fillId="20" fontId="8" numFmtId="0" xfId="0" applyAlignment="1" applyBorder="1" applyFont="1">
      <alignment vertical="bottom"/>
    </xf>
    <xf borderId="0" fillId="0" fontId="2" numFmtId="164" xfId="0" applyAlignment="1" applyFont="1" applyNumberFormat="1">
      <alignment horizontal="center" vertical="bottom"/>
    </xf>
    <xf borderId="0" fillId="0" fontId="2" numFmtId="166" xfId="0" applyAlignment="1" applyFont="1" applyNumberFormat="1">
      <alignment horizontal="center" vertical="bottom"/>
    </xf>
    <xf borderId="52" fillId="0" fontId="15" numFmtId="0" xfId="0" applyBorder="1" applyFont="1"/>
    <xf borderId="53" fillId="0" fontId="15" numFmtId="0" xfId="0" applyBorder="1" applyFont="1"/>
    <xf borderId="0" fillId="0" fontId="8" numFmtId="0" xfId="0" applyAlignment="1" applyFont="1">
      <alignment vertical="bottom"/>
    </xf>
    <xf borderId="50" fillId="20" fontId="8" numFmtId="0" xfId="0" applyAlignment="1" applyBorder="1" applyFont="1">
      <alignment vertical="bottom"/>
    </xf>
    <xf borderId="20" fillId="0" fontId="2" numFmtId="0" xfId="0" applyAlignment="1" applyBorder="1" applyFont="1">
      <alignment vertical="bottom"/>
    </xf>
    <xf borderId="50" fillId="0" fontId="76" numFmtId="0" xfId="0" applyAlignment="1" applyBorder="1" applyFont="1">
      <alignment vertical="bottom"/>
    </xf>
    <xf borderId="16" fillId="15" fontId="83" numFmtId="0" xfId="0" applyAlignment="1" applyBorder="1" applyFont="1">
      <alignment horizontal="center" shrinkToFit="0" vertical="bottom" wrapText="1"/>
    </xf>
    <xf borderId="0" fillId="18" fontId="2" numFmtId="164" xfId="0" applyAlignment="1" applyFont="1" applyNumberFormat="1">
      <alignment vertical="bottom"/>
    </xf>
    <xf borderId="0" fillId="0" fontId="78" numFmtId="0" xfId="0" applyAlignment="1" applyFont="1">
      <alignment vertical="bottom"/>
    </xf>
    <xf borderId="0" fillId="0" fontId="81" numFmtId="0" xfId="0" applyAlignment="1" applyFont="1">
      <alignment vertical="bottom"/>
    </xf>
    <xf borderId="0" fillId="2" fontId="8" numFmtId="0" xfId="0" applyAlignment="1" applyFont="1">
      <alignment horizontal="right" vertical="bottom"/>
    </xf>
    <xf borderId="0" fillId="0" fontId="76" numFmtId="0" xfId="0" applyAlignment="1" applyFont="1">
      <alignment shrinkToFit="0" vertical="bottom" wrapText="1"/>
    </xf>
    <xf borderId="0" fillId="21" fontId="77" numFmtId="0" xfId="0" applyAlignment="1" applyFill="1" applyFont="1">
      <alignment shrinkToFit="0" vertical="bottom" wrapText="1"/>
    </xf>
    <xf borderId="20" fillId="0" fontId="1" numFmtId="0" xfId="0" applyAlignment="1" applyBorder="1" applyFont="1">
      <alignment shrinkToFit="0" vertical="bottom" wrapText="1"/>
    </xf>
    <xf borderId="10" fillId="0" fontId="2" numFmtId="0" xfId="0" applyAlignment="1" applyBorder="1" applyFont="1">
      <alignment vertical="bottom"/>
    </xf>
    <xf borderId="0" fillId="22" fontId="84" numFmtId="0" xfId="0" applyAlignment="1" applyFill="1" applyFont="1">
      <alignment shrinkToFit="0" vertical="bottom" wrapText="1"/>
    </xf>
    <xf borderId="0" fillId="0" fontId="84" numFmtId="0" xfId="0" applyAlignment="1" applyFont="1">
      <alignment shrinkToFit="0" vertical="bottom" wrapText="1"/>
    </xf>
    <xf borderId="20" fillId="0" fontId="84" numFmtId="0" xfId="0" applyAlignment="1" applyBorder="1" applyFont="1">
      <alignment shrinkToFit="0" vertical="bottom" wrapText="1"/>
    </xf>
    <xf borderId="6" fillId="0" fontId="2" numFmtId="0" xfId="0" applyAlignment="1" applyBorder="1" applyFont="1">
      <alignment vertical="bottom"/>
    </xf>
    <xf borderId="0" fillId="23" fontId="84" numFmtId="0" xfId="0" applyAlignment="1" applyFill="1" applyFont="1">
      <alignment shrinkToFit="0" vertical="bottom" wrapText="1"/>
    </xf>
    <xf borderId="20" fillId="0" fontId="77" numFmtId="0" xfId="0" applyAlignment="1" applyBorder="1" applyFont="1">
      <alignment shrinkToFit="0" vertical="bottom" wrapText="1"/>
    </xf>
    <xf borderId="20" fillId="0" fontId="2" numFmtId="0" xfId="0" applyAlignment="1" applyBorder="1" applyFont="1">
      <alignment shrinkToFit="0" vertical="bottom" wrapText="0"/>
    </xf>
    <xf borderId="12" fillId="0" fontId="2" numFmtId="0" xfId="0" applyAlignment="1" applyBorder="1" applyFont="1">
      <alignment vertical="bottom"/>
    </xf>
    <xf borderId="0" fillId="0" fontId="8" numFmtId="0" xfId="0" applyAlignment="1" applyFont="1">
      <alignment shrinkToFit="0" vertical="bottom" wrapText="0"/>
    </xf>
    <xf borderId="11" fillId="0" fontId="2" numFmtId="0" xfId="0" applyAlignment="1" applyBorder="1" applyFont="1">
      <alignment vertical="bottom"/>
    </xf>
    <xf borderId="13" fillId="0" fontId="2" numFmtId="0" xfId="0" applyAlignment="1" applyBorder="1" applyFont="1">
      <alignment vertical="bottom"/>
    </xf>
    <xf borderId="54" fillId="0" fontId="2" numFmtId="0" xfId="0" applyAlignment="1" applyBorder="1" applyFont="1">
      <alignment vertical="bottom"/>
    </xf>
    <xf borderId="0" fillId="0" fontId="85" numFmtId="0" xfId="0" applyAlignment="1" applyFont="1">
      <alignment vertical="bottom"/>
    </xf>
    <xf borderId="0" fillId="15" fontId="86" numFmtId="0" xfId="0" applyAlignment="1" applyFont="1">
      <alignment vertical="bottom"/>
    </xf>
    <xf borderId="0" fillId="0" fontId="87" numFmtId="0" xfId="0" applyAlignment="1" applyFont="1">
      <alignment vertical="bottom"/>
    </xf>
    <xf borderId="0" fillId="0" fontId="88" numFmtId="0" xfId="0" applyAlignment="1" applyFont="1">
      <alignment shrinkToFit="0" vertical="bottom" wrapText="0"/>
    </xf>
    <xf borderId="0" fillId="0" fontId="16" numFmtId="0" xfId="0" applyAlignment="1" applyFont="1">
      <alignment vertical="bottom"/>
    </xf>
    <xf borderId="14" fillId="0" fontId="2" numFmtId="0" xfId="0" applyAlignment="1" applyBorder="1" applyFont="1">
      <alignment vertical="bottom"/>
    </xf>
    <xf borderId="19" fillId="0" fontId="2" numFmtId="0" xfId="0" applyAlignment="1" applyBorder="1" applyFont="1">
      <alignment vertical="bottom"/>
    </xf>
    <xf borderId="55" fillId="0" fontId="2" numFmtId="0" xfId="0" applyAlignment="1" applyBorder="1" applyFont="1">
      <alignment vertical="bottom"/>
    </xf>
    <xf borderId="0" fillId="0" fontId="1" numFmtId="0" xfId="0" applyAlignment="1" applyFont="1">
      <alignment shrinkToFit="0" vertical="bottom" wrapText="0"/>
    </xf>
    <xf borderId="20" fillId="0" fontId="2" numFmtId="0" xfId="0" applyAlignment="1" applyBorder="1" applyFont="1">
      <alignment vertical="bottom"/>
    </xf>
    <xf borderId="21" fillId="0" fontId="1" numFmtId="0" xfId="0" applyAlignment="1" applyBorder="1" applyFont="1">
      <alignment readingOrder="0" vertical="bottom"/>
    </xf>
    <xf borderId="0" fillId="0" fontId="89" numFmtId="0" xfId="0" applyAlignment="1" applyFont="1">
      <alignment horizontal="left" readingOrder="0"/>
    </xf>
    <xf borderId="20" fillId="0" fontId="90" numFmtId="0" xfId="0" applyAlignment="1" applyBorder="1" applyFont="1">
      <alignment horizontal="left" readingOrder="0"/>
    </xf>
    <xf borderId="0" fillId="0" fontId="3" numFmtId="0" xfId="0" applyAlignment="1" applyFont="1">
      <alignment horizontal="center" readingOrder="0" vertical="center"/>
    </xf>
    <xf borderId="20" fillId="0" fontId="3" numFmtId="0" xfId="0" applyAlignment="1" applyBorder="1" applyFont="1">
      <alignment horizontal="center" readingOrder="0" vertical="center"/>
    </xf>
    <xf borderId="15" fillId="24" fontId="91" numFmtId="0" xfId="0" applyAlignment="1" applyBorder="1" applyFill="1" applyFont="1">
      <alignment horizontal="left" readingOrder="0" shrinkToFit="0" vertical="bottom" wrapText="1"/>
    </xf>
    <xf borderId="16" fillId="0" fontId="15" numFmtId="0" xfId="0" applyBorder="1" applyFont="1"/>
    <xf borderId="17" fillId="0" fontId="15" numFmtId="0" xfId="0" applyBorder="1" applyFont="1"/>
    <xf borderId="0" fillId="25" fontId="3" numFmtId="0" xfId="0" applyFill="1" applyFont="1"/>
    <xf borderId="0" fillId="0" fontId="92" numFmtId="0" xfId="0" applyAlignment="1" applyFont="1">
      <alignment shrinkToFit="0" vertical="bottom" wrapText="0"/>
    </xf>
    <xf borderId="21" fillId="0" fontId="2" numFmtId="0" xfId="0" applyAlignment="1" applyBorder="1" applyFont="1">
      <alignment readingOrder="0" shrinkToFit="0" vertical="bottom" wrapText="0"/>
    </xf>
    <xf borderId="20" fillId="0" fontId="15" numFmtId="0" xfId="0" applyBorder="1" applyFont="1"/>
    <xf borderId="21" fillId="0" fontId="93" numFmtId="0" xfId="0" applyAlignment="1" applyBorder="1" applyFont="1">
      <alignment readingOrder="0"/>
    </xf>
    <xf borderId="21" fillId="0" fontId="94" numFmtId="0" xfId="0" applyAlignment="1" applyBorder="1" applyFont="1">
      <alignment readingOrder="0"/>
    </xf>
    <xf borderId="0" fillId="0" fontId="3" numFmtId="0" xfId="0" applyAlignment="1" applyFont="1">
      <alignment horizontal="center" readingOrder="0"/>
    </xf>
    <xf borderId="52" fillId="26" fontId="95" numFmtId="0" xfId="0" applyAlignment="1" applyBorder="1" applyFill="1" applyFont="1">
      <alignment horizontal="left" readingOrder="0" shrinkToFit="0" wrapText="1"/>
    </xf>
    <xf borderId="20" fillId="26" fontId="95" numFmtId="0" xfId="0" applyAlignment="1" applyBorder="1" applyFont="1">
      <alignment horizontal="left" readingOrder="0" shrinkToFit="0" wrapText="1"/>
    </xf>
    <xf borderId="20" fillId="26" fontId="95" numFmtId="0" xfId="0" applyAlignment="1" applyBorder="1" applyFont="1">
      <alignment horizontal="center" readingOrder="0"/>
    </xf>
    <xf borderId="0" fillId="26" fontId="95" numFmtId="0" xfId="0" applyAlignment="1" applyFont="1">
      <alignment horizontal="center" readingOrder="0"/>
    </xf>
    <xf borderId="21" fillId="0" fontId="96" numFmtId="0" xfId="0" applyAlignment="1" applyBorder="1" applyFont="1">
      <alignment horizontal="left" readingOrder="0"/>
    </xf>
    <xf borderId="0" fillId="0" fontId="2" numFmtId="0" xfId="0" applyAlignment="1" applyFont="1">
      <alignment readingOrder="0" shrinkToFit="0" vertical="bottom" wrapText="1"/>
    </xf>
    <xf borderId="20" fillId="0" fontId="2" numFmtId="0" xfId="0" applyAlignment="1" applyBorder="1" applyFont="1">
      <alignment readingOrder="0" shrinkToFit="0" vertical="bottom" wrapText="1"/>
    </xf>
    <xf borderId="21" fillId="0" fontId="3" numFmtId="0" xfId="0" applyAlignment="1" applyBorder="1" applyFont="1">
      <alignment readingOrder="0"/>
    </xf>
    <xf borderId="0" fillId="0" fontId="3" numFmtId="0" xfId="0" applyAlignment="1" applyFont="1">
      <alignment horizontal="right" readingOrder="0"/>
    </xf>
    <xf borderId="0" fillId="18" fontId="3" numFmtId="9" xfId="0" applyAlignment="1" applyFont="1" applyNumberFormat="1">
      <alignment horizontal="left" readingOrder="0"/>
    </xf>
    <xf borderId="0" fillId="0" fontId="1" numFmtId="0" xfId="0" applyAlignment="1" applyFont="1">
      <alignment vertical="bottom"/>
    </xf>
    <xf borderId="21" fillId="0" fontId="1" numFmtId="0" xfId="0" applyAlignment="1" applyBorder="1" applyFont="1">
      <alignment vertical="bottom"/>
    </xf>
    <xf borderId="20" fillId="0" fontId="1" numFmtId="0" xfId="0" applyAlignment="1" applyBorder="1" applyFont="1">
      <alignment vertical="bottom"/>
    </xf>
    <xf borderId="11" fillId="0" fontId="97" numFmtId="0" xfId="0" applyAlignment="1" applyBorder="1" applyFont="1">
      <alignment horizontal="left" readingOrder="0" shrinkToFit="0" vertical="bottom" wrapText="1"/>
    </xf>
    <xf borderId="21" fillId="0" fontId="97" numFmtId="0" xfId="0" applyAlignment="1" applyBorder="1" applyFont="1">
      <alignment horizontal="left" readingOrder="0" shrinkToFit="0" vertical="bottom" wrapText="1"/>
    </xf>
    <xf borderId="20" fillId="15" fontId="97" numFmtId="0" xfId="0" applyAlignment="1" applyBorder="1" applyFont="1">
      <alignment horizontal="left" readingOrder="0" shrinkToFit="0" vertical="bottom" wrapText="0"/>
    </xf>
    <xf borderId="20" fillId="0" fontId="3" numFmtId="0" xfId="0" applyAlignment="1" applyBorder="1" applyFont="1">
      <alignment readingOrder="0"/>
    </xf>
    <xf borderId="20" fillId="20" fontId="3" numFmtId="0" xfId="0" applyAlignment="1" applyBorder="1" applyFont="1">
      <alignment readingOrder="0"/>
    </xf>
    <xf borderId="15" fillId="26" fontId="98" numFmtId="0" xfId="0" applyAlignment="1" applyBorder="1" applyFont="1">
      <alignment horizontal="left" readingOrder="0" shrinkToFit="0" wrapText="1"/>
    </xf>
    <xf borderId="15" fillId="26" fontId="98" numFmtId="0" xfId="0" applyAlignment="1" applyBorder="1" applyFont="1">
      <alignment horizontal="left" shrinkToFit="0" wrapText="1"/>
    </xf>
    <xf borderId="51" fillId="26" fontId="98" numFmtId="0" xfId="0" applyAlignment="1" applyBorder="1" applyFont="1">
      <alignment horizontal="center" readingOrder="0"/>
    </xf>
    <xf borderId="51" fillId="26" fontId="98" numFmtId="0" xfId="0" applyAlignment="1" applyBorder="1" applyFont="1">
      <alignment horizontal="center"/>
    </xf>
    <xf borderId="0" fillId="0" fontId="2" numFmtId="0" xfId="0" applyAlignment="1" applyFont="1">
      <alignment horizontal="right" vertical="bottom"/>
    </xf>
    <xf borderId="20" fillId="0" fontId="2" numFmtId="0" xfId="0" applyAlignment="1" applyBorder="1" applyFont="1">
      <alignment horizontal="right" vertical="bottom"/>
    </xf>
    <xf borderId="21" fillId="0" fontId="2" numFmtId="0" xfId="0" applyAlignment="1" applyBorder="1" applyFont="1">
      <alignment vertical="bottom"/>
    </xf>
    <xf borderId="11" fillId="0" fontId="97" numFmtId="0" xfId="0" applyAlignment="1" applyBorder="1" applyFont="1">
      <alignment horizontal="left" readingOrder="0"/>
    </xf>
    <xf borderId="21" fillId="0" fontId="97" numFmtId="0" xfId="0" applyAlignment="1" applyBorder="1" applyFont="1">
      <alignment horizontal="left" readingOrder="0"/>
    </xf>
    <xf borderId="20" fillId="0" fontId="99" numFmtId="0" xfId="0" applyAlignment="1" applyBorder="1" applyFont="1">
      <alignment horizontal="right" readingOrder="0" vertical="bottom"/>
    </xf>
    <xf borderId="11" fillId="0" fontId="3" numFmtId="0" xfId="0" applyAlignment="1" applyBorder="1" applyFont="1">
      <alignment shrinkToFit="0" wrapText="1"/>
    </xf>
    <xf borderId="21" fillId="0" fontId="3" numFmtId="0" xfId="0" applyAlignment="1" applyBorder="1" applyFont="1">
      <alignment readingOrder="0" shrinkToFit="0" wrapText="1"/>
    </xf>
    <xf borderId="0" fillId="0" fontId="3" numFmtId="0" xfId="0" applyAlignment="1" applyFont="1">
      <alignment readingOrder="0" shrinkToFit="0" wrapText="1"/>
    </xf>
    <xf borderId="0" fillId="0" fontId="6" numFmtId="0" xfId="0" applyAlignment="1" applyFont="1">
      <alignment readingOrder="0" shrinkToFit="0" wrapText="1"/>
    </xf>
    <xf borderId="20" fillId="0" fontId="3" numFmtId="0" xfId="0" applyAlignment="1" applyBorder="1" applyFont="1">
      <alignment readingOrder="0" shrinkToFit="0" wrapText="1"/>
    </xf>
    <xf borderId="20" fillId="0" fontId="6" numFmtId="0" xfId="0" applyAlignment="1" applyBorder="1" applyFont="1">
      <alignment readingOrder="0" shrinkToFit="0" wrapText="1"/>
    </xf>
    <xf borderId="0" fillId="0" fontId="3" numFmtId="0" xfId="0" applyAlignment="1" applyFont="1">
      <alignment shrinkToFit="0" wrapText="1"/>
    </xf>
    <xf borderId="52" fillId="26" fontId="98" numFmtId="0" xfId="0" applyAlignment="1" applyBorder="1" applyFont="1">
      <alignment horizontal="left" readingOrder="0" shrinkToFit="0" wrapText="1"/>
    </xf>
    <xf borderId="20" fillId="26" fontId="98" numFmtId="0" xfId="0" applyAlignment="1" applyBorder="1" applyFont="1">
      <alignment horizontal="left" readingOrder="0" shrinkToFit="0" wrapText="1"/>
    </xf>
    <xf borderId="20" fillId="26" fontId="98" numFmtId="0" xfId="0" applyAlignment="1" applyBorder="1" applyFont="1">
      <alignment horizontal="left" shrinkToFit="0" wrapText="1"/>
    </xf>
    <xf borderId="20" fillId="26" fontId="98" numFmtId="0" xfId="0" applyAlignment="1" applyBorder="1" applyFont="1">
      <alignment horizontal="center" readingOrder="0"/>
    </xf>
    <xf borderId="20" fillId="26" fontId="98" numFmtId="0" xfId="0" applyAlignment="1" applyBorder="1" applyFont="1">
      <alignment horizontal="center"/>
    </xf>
    <xf borderId="0" fillId="0" fontId="3" numFmtId="164" xfId="0" applyAlignment="1" applyFont="1" applyNumberFormat="1">
      <alignment readingOrder="0"/>
    </xf>
    <xf borderId="20" fillId="0" fontId="3" numFmtId="3" xfId="0" applyAlignment="1" applyBorder="1" applyFont="1" applyNumberFormat="1">
      <alignment readingOrder="0"/>
    </xf>
    <xf borderId="0" fillId="2" fontId="3" numFmtId="164" xfId="0" applyAlignment="1" applyFont="1" applyNumberFormat="1">
      <alignment readingOrder="0"/>
    </xf>
    <xf borderId="20" fillId="0" fontId="3" numFmtId="10" xfId="0" applyAlignment="1" applyBorder="1" applyFont="1" applyNumberFormat="1">
      <alignment readingOrder="0"/>
    </xf>
    <xf borderId="20" fillId="2" fontId="3" numFmtId="164" xfId="0" applyBorder="1" applyFont="1" applyNumberFormat="1"/>
    <xf borderId="21" fillId="26" fontId="98" numFmtId="0" xfId="0" applyAlignment="1" applyBorder="1" applyFont="1">
      <alignment horizontal="left" readingOrder="0" shrinkToFit="0" wrapText="1"/>
    </xf>
    <xf borderId="52" fillId="26" fontId="98" numFmtId="0" xfId="0" applyAlignment="1" applyBorder="1" applyFont="1">
      <alignment horizontal="center" readingOrder="0"/>
    </xf>
    <xf borderId="52" fillId="26" fontId="98" numFmtId="0" xfId="0" applyAlignment="1" applyBorder="1" applyFont="1">
      <alignment horizontal="center"/>
    </xf>
    <xf borderId="52" fillId="0" fontId="98" numFmtId="0" xfId="0" applyAlignment="1" applyBorder="1" applyFont="1">
      <alignment readingOrder="0" shrinkToFit="0" wrapText="1"/>
    </xf>
    <xf borderId="20" fillId="0" fontId="98" numFmtId="0" xfId="0" applyAlignment="1" applyBorder="1" applyFont="1">
      <alignment readingOrder="0" shrinkToFit="0" wrapText="1"/>
    </xf>
    <xf borderId="20" fillId="0" fontId="98" numFmtId="0" xfId="0" applyAlignment="1" applyBorder="1" applyFont="1">
      <alignment horizontal="center" readingOrder="0"/>
    </xf>
    <xf borderId="20" fillId="0" fontId="98" numFmtId="0" xfId="0" applyAlignment="1" applyBorder="1" applyFont="1">
      <alignment horizontal="center"/>
    </xf>
    <xf borderId="0" fillId="0" fontId="3" numFmtId="164" xfId="0" applyFont="1" applyNumberFormat="1"/>
    <xf borderId="20" fillId="0" fontId="3" numFmtId="9" xfId="0" applyAlignment="1" applyBorder="1" applyFont="1" applyNumberFormat="1">
      <alignment readingOrder="0"/>
    </xf>
    <xf borderId="21" fillId="0" fontId="98" numFmtId="0" xfId="0" applyAlignment="1" applyBorder="1" applyFont="1">
      <alignment readingOrder="0" shrinkToFit="0" wrapText="1"/>
    </xf>
    <xf borderId="52" fillId="0" fontId="98" numFmtId="0" xfId="0" applyAlignment="1" applyBorder="1" applyFont="1">
      <alignment horizontal="center" readingOrder="0"/>
    </xf>
    <xf borderId="52" fillId="0" fontId="98" numFmtId="0" xfId="0" applyAlignment="1" applyBorder="1" applyFont="1">
      <alignment horizontal="center"/>
    </xf>
    <xf borderId="0" fillId="2" fontId="3" numFmtId="0" xfId="0" applyAlignment="1" applyFont="1">
      <alignment readingOrder="0"/>
    </xf>
    <xf borderId="21" fillId="18" fontId="97" numFmtId="0" xfId="0" applyAlignment="1" applyBorder="1" applyFont="1">
      <alignment horizontal="left" readingOrder="0"/>
    </xf>
    <xf borderId="21" fillId="0" fontId="2" numFmtId="0" xfId="0" applyAlignment="1" applyBorder="1" applyFont="1">
      <alignment horizontal="right" vertical="bottom"/>
    </xf>
    <xf borderId="21" fillId="26" fontId="98" numFmtId="0" xfId="0" applyAlignment="1" applyBorder="1" applyFont="1">
      <alignment horizontal="left" shrinkToFit="0" wrapText="1"/>
    </xf>
    <xf borderId="21" fillId="0" fontId="98" numFmtId="0" xfId="0" applyAlignment="1" applyBorder="1" applyFont="1">
      <alignment shrinkToFit="0" wrapText="1"/>
    </xf>
    <xf borderId="20" fillId="0" fontId="98" numFmtId="0" xfId="0" applyAlignment="1" applyBorder="1" applyFont="1">
      <alignment shrinkToFit="0" wrapText="1"/>
    </xf>
    <xf borderId="20" fillId="0" fontId="99" numFmtId="0" xfId="0" applyAlignment="1" applyBorder="1" applyFont="1">
      <alignment horizontal="right" vertical="bottom"/>
    </xf>
    <xf borderId="21" fillId="0" fontId="100" numFmtId="0" xfId="0" applyAlignment="1" applyBorder="1" applyFont="1">
      <alignment horizontal="left" readingOrder="0"/>
    </xf>
    <xf borderId="0" fillId="0" fontId="2" numFmtId="0" xfId="0" applyAlignment="1" applyFont="1">
      <alignment horizontal="right" vertical="bottom"/>
    </xf>
    <xf borderId="20" fillId="0" fontId="2" numFmtId="0" xfId="0" applyAlignment="1" applyBorder="1" applyFont="1">
      <alignment horizontal="right" vertical="bottom"/>
    </xf>
    <xf borderId="19" fillId="0" fontId="97" numFmtId="0" xfId="0" applyAlignment="1" applyBorder="1" applyFont="1">
      <alignment horizontal="left" readingOrder="0"/>
    </xf>
    <xf borderId="19" fillId="0" fontId="3" numFmtId="0" xfId="0" applyBorder="1" applyFont="1"/>
    <xf borderId="0" fillId="0" fontId="97" numFmtId="0" xfId="0" applyAlignment="1" applyFont="1">
      <alignment horizontal="left" readingOrder="0"/>
    </xf>
  </cellXfs>
  <cellStyles count="1">
    <cellStyle xfId="0" name="Normal" builtinId="0"/>
  </cellStyles>
  <dxfs count="4">
    <dxf>
      <font>
        <color rgb="FFFF0000"/>
      </font>
      <fill>
        <patternFill patternType="solid">
          <fgColor rgb="FFF4CCCC"/>
          <bgColor rgb="FFF4CCCC"/>
        </patternFill>
      </fill>
      <border/>
    </dxf>
    <dxf>
      <font>
        <color rgb="FF38761D"/>
      </font>
      <fill>
        <patternFill patternType="solid">
          <fgColor rgb="FFB7E1CD"/>
          <bgColor rgb="FFB7E1CD"/>
        </patternFill>
      </fill>
      <border/>
    </dxf>
    <dxf>
      <font>
        <color rgb="FFFFFFFF"/>
      </font>
      <fill>
        <patternFill patternType="solid">
          <fgColor rgb="FFFF0000"/>
          <bgColor rgb="FFFF0000"/>
        </patternFill>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harityentrepreneurship.com/contac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ourworldindata.org/grapher/population?time=latest&amp;country=~THA&amp;focus=~THA" TargetMode="External"/><Relationship Id="rId3" Type="http://schemas.openxmlformats.org/officeDocument/2006/relationships/hyperlink" Target="https://ourworldindata.org/grapher/crude-birth-rate" TargetMode="External"/><Relationship Id="rId4" Type="http://schemas.openxmlformats.org/officeDocument/2006/relationships/hyperlink" Target="https://www.sciencedirect.com/science/article/abs/pii/S0013935123012215" TargetMode="External"/><Relationship Id="rId10" Type="http://schemas.openxmlformats.org/officeDocument/2006/relationships/vmlDrawing" Target="../drawings/vmlDrawing2.vml"/><Relationship Id="rId9" Type="http://schemas.openxmlformats.org/officeDocument/2006/relationships/drawing" Target="../drawings/drawing2.xml"/><Relationship Id="rId5" Type="http://schemas.openxmlformats.org/officeDocument/2006/relationships/hyperlink" Target="https://vizhub.healthdata.org/gbd-results?params=gbd-api-2021-permalink/f35471a2acd6ed1a409c70b34c920728" TargetMode="External"/><Relationship Id="rId6" Type="http://schemas.openxmlformats.org/officeDocument/2006/relationships/hyperlink" Target="https://ourworldindata.org/grapher/lead-concentrations-blood-children?tab=table" TargetMode="External"/><Relationship Id="rId7" Type="http://schemas.openxmlformats.org/officeDocument/2006/relationships/hyperlink" Target="https://docs.google.com/spreadsheets/d/15h60n8jDSQMFpmA_y4ilYOUE0mP-C9SRosEMHuWDnug/edit" TargetMode="External"/><Relationship Id="rId8" Type="http://schemas.openxmlformats.org/officeDocument/2006/relationships/hyperlink" Target="https://www.worldometers.info/world-population/thailand-populatio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urworldindata.org/grapher/disease-burden-lead?tab=table" TargetMode="External"/><Relationship Id="rId2" Type="http://schemas.openxmlformats.org/officeDocument/2006/relationships/hyperlink" Target="https://ourworldindata.org/grapher/disease-burden-lead?tab=table" TargetMode="External"/><Relationship Id="rId3" Type="http://schemas.openxmlformats.org/officeDocument/2006/relationships/hyperlink" Target="https://leadbatteries.substack.com/p/how-brazil-solved-its-lead-acid-battery" TargetMode="External"/><Relationship Id="rId4" Type="http://schemas.openxmlformats.org/officeDocument/2006/relationships/hyperlink" Target="https://docs.google.com/spreadsheets/d/1x0BchpoMphvAqSe71hJqM2gBByeRIf2oaz3WGVrVdow/edit?gid=109713399"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ourworldindata.org/grapher/lead-concentrations-blood-children?tab=table" TargetMode="External"/><Relationship Id="rId3" Type="http://schemas.openxmlformats.org/officeDocument/2006/relationships/hyperlink" Target="https://docs.google.com/document/d/1NH99fuXpXcCcz-vjaP1x3ZOVDNYd4gflWWb2B5y3TcQ/edit" TargetMode="External"/><Relationship Id="rId4" Type="http://schemas.openxmlformats.org/officeDocument/2006/relationships/hyperlink" Target="https://www.givewell.org/research/incubation-grants/Pure-Earth-lead-exposure-July-2021" TargetMode="External"/><Relationship Id="rId11" Type="http://schemas.openxmlformats.org/officeDocument/2006/relationships/vmlDrawing" Target="../drawings/vmlDrawing3.vml"/><Relationship Id="rId10" Type="http://schemas.openxmlformats.org/officeDocument/2006/relationships/drawing" Target="../drawings/drawing4.xml"/><Relationship Id="rId9" Type="http://schemas.openxmlformats.org/officeDocument/2006/relationships/hyperlink" Target="https://leadelimination.org/how-cost-effective-are-leeps-paint-programs/" TargetMode="External"/><Relationship Id="rId5" Type="http://schemas.openxmlformats.org/officeDocument/2006/relationships/hyperlink" Target="https://docs.google.com/document/d/1NH99fuXpXcCcz-vjaP1x3ZOVDNYd4gflWWb2B5y3TcQ/edit" TargetMode="External"/><Relationship Id="rId6" Type="http://schemas.openxmlformats.org/officeDocument/2006/relationships/hyperlink" Target="https://docs.google.com/spreadsheets/d/15h60n8jDSQMFpmA_y4ilYOUE0mP-C9SRosEMHuWDnug/edit" TargetMode="External"/><Relationship Id="rId7" Type="http://schemas.openxmlformats.org/officeDocument/2006/relationships/hyperlink" Target="https://docs.google.com/spreadsheets/d/15h60n8jDSQMFpmA_y4ilYOUE0mP-C9SRosEMHuWDnug/edit" TargetMode="External"/><Relationship Id="rId8" Type="http://schemas.openxmlformats.org/officeDocument/2006/relationships/hyperlink" Target="https://leadelimination.org/how-cost-effective-are-leeps-paint-program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nnalsofglobalhealth.org/articles/231/files/submission/proof/231-1-536-1-10-20180511.pdf" TargetMode="External"/><Relationship Id="rId2" Type="http://schemas.openxmlformats.org/officeDocument/2006/relationships/hyperlink" Target="https://ourworldindata.org/grapher/disease-burden-lead?tab=table" TargetMode="External"/><Relationship Id="rId3" Type="http://schemas.openxmlformats.org/officeDocument/2006/relationships/hyperlink" Target="https://ourworldindata.org/grapher/disease-burden-lead?tab=table" TargetMode="External"/><Relationship Id="rId4" Type="http://schemas.openxmlformats.org/officeDocument/2006/relationships/hyperlink" Target="https://annalsofglobalhealth.org/articles/231/files/submission/proof/231-1-536-1-10-20180511.pdf"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nnalsofglobalhealth.org/articles/231/files/submission/proof/231-1-536-1-10-20180511.pdf" TargetMode="External"/><Relationship Id="rId2" Type="http://schemas.openxmlformats.org/officeDocument/2006/relationships/hyperlink" Target="https://annalsofglobalhealth.org/articles/231/files/submission/proof/231-1-536-1-10-20180511.pdf" TargetMode="External"/><Relationship Id="rId3" Type="http://schemas.openxmlformats.org/officeDocument/2006/relationships/hyperlink" Target="https://ourworldindata.org/grapher/population?tab=table" TargetMode="External"/><Relationship Id="rId4" Type="http://schemas.openxmlformats.org/officeDocument/2006/relationships/hyperlink" Target="https://www.unep.org/topics/chemicals-and-pollution-action/pollution-and-health/heavy-metals/used-lead-acid-batteries"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ourworldindata.org/grapher/daily-median-income" TargetMode="External"/><Relationship Id="rId3" Type="http://schemas.openxmlformats.org/officeDocument/2006/relationships/hyperlink" Target="https://ourworldindata.org/grapher/age-dependency-ratio-of-working-age-population" TargetMode="External"/><Relationship Id="rId4" Type="http://schemas.openxmlformats.org/officeDocument/2006/relationships/hyperlink" Target="https://ourworldindata.org/grapher/unemployment-rate" TargetMode="External"/><Relationship Id="rId5" Type="http://schemas.openxmlformats.org/officeDocument/2006/relationships/drawing" Target="../drawings/drawing8.xml"/><Relationship Id="rId6"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hyperlink" Target="https://ourworldindata.org/grapher/population-growth-rates?tab=table" TargetMode="External"/><Relationship Id="rId2" Type="http://schemas.openxmlformats.org/officeDocument/2006/relationships/hyperlink" Target="https://ourworldindata.org/grapher/population-unwpp?tab=table" TargetMode="External"/><Relationship Id="rId3" Type="http://schemas.openxmlformats.org/officeDocument/2006/relationships/hyperlink" Target="https://ourworldindata.org/grapher/crude-birth-rate?tab=table&amp;time=2021..latest" TargetMode="External"/><Relationship Id="rId4" Type="http://schemas.openxmlformats.org/officeDocument/2006/relationships/hyperlink" Target="https://ourworldindata.org/what-are-ppps" TargetMode="External"/><Relationship Id="rId9" Type="http://schemas.openxmlformats.org/officeDocument/2006/relationships/drawing" Target="../drawings/drawing10.xml"/><Relationship Id="rId5" Type="http://schemas.openxmlformats.org/officeDocument/2006/relationships/hyperlink" Target="https://worldpopulationreview.com/country-rankings/median-income-by-country" TargetMode="External"/><Relationship Id="rId6" Type="http://schemas.openxmlformats.org/officeDocument/2006/relationships/hyperlink" Target="https://wisevoter.com/country-rankings/median-income-by-country/" TargetMode="External"/><Relationship Id="rId7" Type="http://schemas.openxmlformats.org/officeDocument/2006/relationships/hyperlink" Target="https://docs.google.com/spreadsheets/d/15pBoqao1aC7r8xlFjMmvVFL_tGGScH8iJGtiM2O0S3A/edit" TargetMode="External"/><Relationship Id="rId8" Type="http://schemas.openxmlformats.org/officeDocument/2006/relationships/hyperlink" Target="https://ghdx.healthdata.org/record/ihme-data/gbd-2019-disability-weigh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s>
  <sheetData>
    <row r="1">
      <c r="A1" s="1"/>
      <c r="B1" s="2" t="s">
        <v>0</v>
      </c>
      <c r="C1" s="3"/>
      <c r="D1" s="4"/>
      <c r="E1" s="4"/>
      <c r="F1" s="4"/>
      <c r="G1" s="4"/>
      <c r="H1" s="4"/>
      <c r="I1" s="4"/>
      <c r="J1" s="4"/>
      <c r="K1" s="4"/>
      <c r="L1" s="4"/>
      <c r="M1" s="4"/>
      <c r="N1" s="4"/>
      <c r="O1" s="4"/>
      <c r="P1" s="4"/>
      <c r="Q1" s="4"/>
      <c r="R1" s="4"/>
    </row>
    <row r="2">
      <c r="A2" s="5"/>
      <c r="B2" s="5"/>
      <c r="C2" s="6"/>
      <c r="D2" s="5"/>
      <c r="E2" s="5"/>
      <c r="F2" s="5"/>
      <c r="G2" s="5"/>
      <c r="H2" s="5"/>
      <c r="I2" s="5"/>
      <c r="J2" s="5"/>
      <c r="K2" s="5"/>
      <c r="L2" s="5"/>
      <c r="M2" s="5"/>
      <c r="N2" s="5"/>
      <c r="O2" s="5"/>
      <c r="P2" s="5"/>
      <c r="Q2" s="5"/>
      <c r="R2" s="5"/>
    </row>
    <row r="3">
      <c r="A3" s="7" t="s">
        <v>1</v>
      </c>
      <c r="B3" s="7"/>
      <c r="C3" s="8"/>
      <c r="D3" s="9"/>
      <c r="E3" s="9"/>
      <c r="F3" s="9"/>
      <c r="G3" s="9"/>
      <c r="H3" s="9"/>
      <c r="I3" s="9"/>
      <c r="J3" s="9"/>
      <c r="K3" s="9"/>
      <c r="L3" s="9"/>
      <c r="M3" s="9"/>
      <c r="N3" s="9"/>
      <c r="O3" s="9"/>
      <c r="P3" s="9"/>
      <c r="Q3" s="9"/>
      <c r="R3" s="10"/>
    </row>
    <row r="4">
      <c r="A4" s="11"/>
      <c r="B4" s="12" t="s">
        <v>2</v>
      </c>
      <c r="C4" s="11"/>
      <c r="D4" s="11"/>
      <c r="E4" s="11"/>
      <c r="F4" s="11"/>
      <c r="G4" s="11"/>
      <c r="H4" s="11"/>
      <c r="I4" s="11"/>
      <c r="J4" s="11"/>
      <c r="K4" s="4"/>
      <c r="L4" s="4"/>
      <c r="M4" s="4"/>
      <c r="N4" s="4"/>
      <c r="O4" s="4"/>
      <c r="P4" s="4"/>
      <c r="Q4" s="4"/>
      <c r="R4" s="4"/>
    </row>
    <row r="5">
      <c r="A5" s="13"/>
      <c r="B5" s="13"/>
      <c r="C5" s="14"/>
      <c r="D5" s="15"/>
      <c r="E5" s="15"/>
      <c r="F5" s="15"/>
      <c r="G5" s="15"/>
      <c r="H5" s="15"/>
      <c r="I5" s="15"/>
      <c r="J5" s="15"/>
      <c r="K5" s="15"/>
      <c r="L5" s="15"/>
      <c r="M5" s="15"/>
      <c r="N5" s="15"/>
      <c r="O5" s="15"/>
      <c r="P5" s="15"/>
      <c r="Q5" s="15"/>
      <c r="R5" s="15"/>
    </row>
    <row r="6">
      <c r="A6" s="6"/>
      <c r="B6" s="6"/>
      <c r="C6" s="6"/>
      <c r="D6" s="5"/>
      <c r="E6" s="5"/>
      <c r="F6" s="5"/>
      <c r="G6" s="5"/>
      <c r="H6" s="5"/>
      <c r="I6" s="5"/>
      <c r="J6" s="5"/>
      <c r="K6" s="5"/>
      <c r="L6" s="5"/>
      <c r="M6" s="5"/>
      <c r="N6" s="5"/>
      <c r="O6" s="5"/>
      <c r="P6" s="5"/>
      <c r="Q6" s="5"/>
      <c r="R6" s="5"/>
    </row>
    <row r="7">
      <c r="A7" s="7" t="s">
        <v>3</v>
      </c>
      <c r="B7" s="7"/>
      <c r="C7" s="8"/>
      <c r="D7" s="9"/>
      <c r="E7" s="9"/>
      <c r="F7" s="9"/>
      <c r="G7" s="9"/>
      <c r="H7" s="9"/>
      <c r="I7" s="9"/>
      <c r="J7" s="9"/>
      <c r="K7" s="9"/>
      <c r="L7" s="9"/>
      <c r="M7" s="9"/>
      <c r="N7" s="9"/>
      <c r="O7" s="9"/>
      <c r="P7" s="9"/>
      <c r="Q7" s="9"/>
      <c r="R7" s="9"/>
    </row>
    <row r="8">
      <c r="A8" s="16"/>
      <c r="B8" s="17"/>
      <c r="C8" s="18" t="s">
        <v>4</v>
      </c>
      <c r="D8" s="19"/>
      <c r="E8" s="19"/>
      <c r="F8" s="19"/>
      <c r="G8" s="19"/>
      <c r="H8" s="19"/>
      <c r="I8" s="19"/>
      <c r="J8" s="20"/>
      <c r="K8" s="21"/>
      <c r="L8" s="4"/>
      <c r="M8" s="4"/>
      <c r="N8" s="4"/>
      <c r="O8" s="4"/>
      <c r="P8" s="4"/>
      <c r="Q8" s="4"/>
      <c r="R8" s="4"/>
    </row>
    <row r="9">
      <c r="A9" s="22"/>
      <c r="B9" s="23"/>
      <c r="C9" s="24" t="s">
        <v>5</v>
      </c>
      <c r="D9" s="19"/>
      <c r="E9" s="19"/>
      <c r="F9" s="19"/>
      <c r="G9" s="19"/>
      <c r="H9" s="19"/>
      <c r="I9" s="19"/>
      <c r="J9" s="20"/>
      <c r="K9" s="25"/>
      <c r="L9" s="15"/>
      <c r="M9" s="15"/>
      <c r="N9" s="15"/>
      <c r="O9" s="15"/>
      <c r="P9" s="15"/>
      <c r="Q9" s="15"/>
      <c r="R9" s="15"/>
    </row>
    <row r="10">
      <c r="A10" s="22"/>
      <c r="B10" s="26"/>
      <c r="C10" s="27" t="s">
        <v>6</v>
      </c>
      <c r="D10" s="19"/>
      <c r="E10" s="19"/>
      <c r="F10" s="19"/>
      <c r="G10" s="19"/>
      <c r="H10" s="19"/>
      <c r="I10" s="19"/>
      <c r="J10" s="20"/>
      <c r="K10" s="25"/>
      <c r="L10" s="15"/>
      <c r="M10" s="15"/>
      <c r="N10" s="15"/>
      <c r="O10" s="15"/>
      <c r="P10" s="15"/>
      <c r="Q10" s="15"/>
      <c r="R10" s="15"/>
    </row>
    <row r="11">
      <c r="A11" s="22"/>
      <c r="B11" s="28"/>
      <c r="C11" s="18" t="s">
        <v>7</v>
      </c>
      <c r="D11" s="19"/>
      <c r="E11" s="19"/>
      <c r="F11" s="19"/>
      <c r="G11" s="19"/>
      <c r="H11" s="19"/>
      <c r="I11" s="19"/>
      <c r="J11" s="20"/>
      <c r="K11" s="25"/>
      <c r="L11" s="15"/>
      <c r="M11" s="15"/>
      <c r="N11" s="15"/>
      <c r="O11" s="15"/>
      <c r="P11" s="15"/>
      <c r="Q11" s="15"/>
      <c r="R11" s="15"/>
    </row>
    <row r="12">
      <c r="A12" s="22"/>
      <c r="B12" s="4"/>
      <c r="C12" s="29"/>
      <c r="D12" s="30"/>
      <c r="E12" s="30"/>
      <c r="F12" s="30"/>
      <c r="G12" s="30"/>
      <c r="H12" s="30"/>
      <c r="I12" s="30"/>
      <c r="J12" s="31"/>
      <c r="K12" s="32"/>
      <c r="L12" s="15"/>
      <c r="M12" s="15"/>
      <c r="N12" s="15"/>
      <c r="O12" s="15"/>
      <c r="P12" s="15"/>
      <c r="Q12" s="15"/>
      <c r="R12" s="15"/>
    </row>
    <row r="13">
      <c r="A13" s="25"/>
      <c r="B13" s="5"/>
      <c r="C13" s="33"/>
      <c r="D13" s="34"/>
      <c r="E13" s="34"/>
      <c r="F13" s="34"/>
      <c r="G13" s="34"/>
      <c r="H13" s="34"/>
      <c r="I13" s="34"/>
      <c r="J13" s="34"/>
      <c r="K13" s="35"/>
      <c r="L13" s="19"/>
      <c r="M13" s="19"/>
      <c r="N13" s="19"/>
      <c r="O13" s="19"/>
      <c r="P13" s="19"/>
      <c r="Q13" s="19"/>
      <c r="R13" s="19"/>
    </row>
    <row r="14">
      <c r="A14" s="7" t="s">
        <v>8</v>
      </c>
      <c r="B14" s="7"/>
      <c r="C14" s="8"/>
      <c r="D14" s="9"/>
      <c r="E14" s="9"/>
      <c r="F14" s="9"/>
      <c r="G14" s="9"/>
      <c r="H14" s="9"/>
      <c r="I14" s="9"/>
      <c r="J14" s="9"/>
      <c r="K14" s="9"/>
      <c r="L14" s="9"/>
      <c r="M14" s="9"/>
      <c r="N14" s="9"/>
      <c r="O14" s="9"/>
      <c r="P14" s="9"/>
      <c r="Q14" s="9"/>
      <c r="R14" s="9"/>
    </row>
    <row r="15">
      <c r="A15" s="16"/>
      <c r="B15" s="36" t="s">
        <v>9</v>
      </c>
      <c r="C15" s="37" t="s">
        <v>10</v>
      </c>
      <c r="D15" s="35"/>
      <c r="E15" s="35"/>
      <c r="F15" s="35"/>
      <c r="G15" s="35"/>
      <c r="H15" s="35"/>
      <c r="I15" s="35"/>
      <c r="J15" s="38"/>
      <c r="K15" s="39"/>
      <c r="L15" s="4"/>
      <c r="M15" s="4"/>
      <c r="N15" s="4"/>
      <c r="O15" s="4"/>
      <c r="P15" s="4"/>
      <c r="Q15" s="4"/>
      <c r="R15" s="4"/>
    </row>
    <row r="16">
      <c r="A16" s="22"/>
      <c r="B16" s="40" t="s">
        <v>11</v>
      </c>
      <c r="C16" s="27" t="s">
        <v>12</v>
      </c>
      <c r="D16" s="19"/>
      <c r="E16" s="19"/>
      <c r="F16" s="19"/>
      <c r="G16" s="19"/>
      <c r="H16" s="19"/>
      <c r="I16" s="19"/>
      <c r="J16" s="20"/>
      <c r="K16" s="41"/>
      <c r="L16" s="15"/>
      <c r="M16" s="15"/>
      <c r="N16" s="15"/>
      <c r="O16" s="15"/>
      <c r="P16" s="15"/>
      <c r="Q16" s="15"/>
      <c r="R16" s="15"/>
    </row>
    <row r="17">
      <c r="A17" s="22"/>
      <c r="B17" s="40" t="s">
        <v>13</v>
      </c>
      <c r="C17" s="27" t="s">
        <v>14</v>
      </c>
      <c r="D17" s="19"/>
      <c r="E17" s="19"/>
      <c r="F17" s="19"/>
      <c r="G17" s="19"/>
      <c r="H17" s="19"/>
      <c r="I17" s="19"/>
      <c r="J17" s="20"/>
      <c r="K17" s="41"/>
      <c r="L17" s="15"/>
      <c r="M17" s="15"/>
      <c r="N17" s="15"/>
      <c r="O17" s="15"/>
      <c r="P17" s="15"/>
      <c r="Q17" s="15"/>
      <c r="R17" s="15"/>
    </row>
    <row r="18">
      <c r="A18" s="22"/>
      <c r="B18" s="40" t="s">
        <v>15</v>
      </c>
      <c r="C18" s="27" t="s">
        <v>16</v>
      </c>
      <c r="D18" s="19"/>
      <c r="E18" s="19"/>
      <c r="F18" s="19"/>
      <c r="G18" s="19"/>
      <c r="H18" s="19"/>
      <c r="I18" s="19"/>
      <c r="J18" s="20"/>
      <c r="K18" s="41"/>
      <c r="L18" s="15"/>
      <c r="M18" s="15"/>
      <c r="N18" s="15"/>
      <c r="O18" s="15"/>
      <c r="P18" s="15"/>
      <c r="Q18" s="15"/>
      <c r="R18" s="15"/>
    </row>
    <row r="19">
      <c r="A19" s="22"/>
      <c r="B19" s="40" t="s">
        <v>17</v>
      </c>
      <c r="C19" s="27" t="s">
        <v>18</v>
      </c>
      <c r="D19" s="19"/>
      <c r="E19" s="19"/>
      <c r="F19" s="19"/>
      <c r="G19" s="19"/>
      <c r="H19" s="19"/>
      <c r="I19" s="19"/>
      <c r="J19" s="20"/>
      <c r="K19" s="41"/>
      <c r="L19" s="15"/>
      <c r="M19" s="15"/>
      <c r="N19" s="15"/>
      <c r="O19" s="15"/>
      <c r="P19" s="15"/>
      <c r="Q19" s="15"/>
      <c r="R19" s="15"/>
    </row>
    <row r="20">
      <c r="A20" s="22"/>
      <c r="B20" s="40" t="s">
        <v>19</v>
      </c>
      <c r="C20" s="27" t="s">
        <v>20</v>
      </c>
      <c r="D20" s="19"/>
      <c r="E20" s="19"/>
      <c r="F20" s="19"/>
      <c r="G20" s="19"/>
      <c r="H20" s="19"/>
      <c r="I20" s="19"/>
      <c r="J20" s="20"/>
      <c r="K20" s="42"/>
      <c r="L20" s="15"/>
      <c r="M20" s="15"/>
      <c r="N20" s="15"/>
      <c r="O20" s="15"/>
      <c r="P20" s="15"/>
      <c r="Q20" s="15"/>
      <c r="R20" s="15"/>
    </row>
    <row r="21">
      <c r="A21" s="25"/>
      <c r="B21" s="4"/>
      <c r="C21" s="4"/>
      <c r="D21" s="4"/>
      <c r="E21" s="4"/>
      <c r="F21" s="4"/>
      <c r="G21" s="4"/>
      <c r="H21" s="4"/>
      <c r="I21" s="4"/>
      <c r="J21" s="4"/>
      <c r="K21" s="4"/>
      <c r="L21" s="4"/>
      <c r="M21" s="4"/>
      <c r="N21" s="4"/>
      <c r="O21" s="4"/>
      <c r="P21" s="4"/>
      <c r="Q21" s="4"/>
      <c r="R21" s="4"/>
    </row>
    <row r="22">
      <c r="A22" s="43"/>
      <c r="B22" s="5"/>
      <c r="C22" s="5"/>
      <c r="D22" s="5"/>
      <c r="E22" s="5"/>
      <c r="F22" s="5"/>
      <c r="G22" s="5"/>
      <c r="H22" s="5"/>
      <c r="I22" s="5"/>
      <c r="J22" s="5"/>
      <c r="K22" s="5"/>
      <c r="L22" s="5"/>
      <c r="M22" s="5"/>
      <c r="N22" s="5"/>
      <c r="O22" s="5"/>
      <c r="P22" s="5"/>
      <c r="Q22" s="5"/>
      <c r="R22" s="5"/>
    </row>
    <row r="23">
      <c r="A23" s="7" t="s">
        <v>21</v>
      </c>
      <c r="B23" s="7"/>
      <c r="C23" s="8"/>
      <c r="D23" s="9"/>
      <c r="E23" s="9"/>
      <c r="F23" s="9"/>
      <c r="G23" s="9"/>
      <c r="H23" s="9"/>
      <c r="I23" s="9"/>
      <c r="J23" s="9"/>
      <c r="K23" s="9"/>
      <c r="L23" s="9"/>
      <c r="M23" s="9"/>
      <c r="N23" s="9"/>
      <c r="O23" s="9"/>
      <c r="P23" s="9"/>
      <c r="Q23" s="9"/>
      <c r="R23" s="9"/>
    </row>
    <row r="24">
      <c r="A24" s="4"/>
      <c r="B24" s="19"/>
      <c r="C24" s="44"/>
      <c r="D24" s="44"/>
      <c r="E24" s="44"/>
      <c r="F24" s="44"/>
      <c r="G24" s="44"/>
      <c r="H24" s="44"/>
      <c r="I24" s="19"/>
      <c r="J24" s="19"/>
      <c r="K24" s="19"/>
      <c r="L24" s="19"/>
      <c r="M24" s="19"/>
      <c r="N24" s="19"/>
      <c r="O24" s="19"/>
      <c r="P24" s="19"/>
      <c r="Q24" s="19"/>
      <c r="R24" s="19"/>
    </row>
    <row r="25">
      <c r="A25" s="41"/>
      <c r="B25" s="45"/>
      <c r="C25" s="46" t="s">
        <v>22</v>
      </c>
      <c r="D25" s="46" t="s">
        <v>23</v>
      </c>
      <c r="E25" s="46" t="s">
        <v>24</v>
      </c>
      <c r="F25" s="46" t="s">
        <v>25</v>
      </c>
      <c r="G25" s="46"/>
      <c r="H25" s="46"/>
      <c r="I25" s="47" t="s">
        <v>26</v>
      </c>
      <c r="J25" s="48" t="s">
        <v>27</v>
      </c>
      <c r="K25" s="49"/>
      <c r="L25" s="49"/>
      <c r="M25" s="49"/>
      <c r="N25" s="50"/>
      <c r="O25" s="25"/>
      <c r="P25" s="15"/>
      <c r="Q25" s="15"/>
      <c r="R25" s="15"/>
    </row>
    <row r="26">
      <c r="A26" s="41"/>
      <c r="B26" s="51"/>
      <c r="C26" s="52" t="s">
        <v>28</v>
      </c>
      <c r="D26" s="52" t="s">
        <v>29</v>
      </c>
      <c r="E26" s="53" t="s">
        <v>10</v>
      </c>
      <c r="F26" s="53" t="s">
        <v>30</v>
      </c>
      <c r="G26" s="54" t="s">
        <v>31</v>
      </c>
      <c r="H26" s="54" t="s">
        <v>32</v>
      </c>
      <c r="I26" s="55" t="s">
        <v>33</v>
      </c>
      <c r="J26" s="56" t="s">
        <v>34</v>
      </c>
      <c r="K26" s="57"/>
      <c r="L26" s="57"/>
      <c r="M26" s="57"/>
      <c r="N26" s="58"/>
      <c r="O26" s="25"/>
      <c r="P26" s="15"/>
      <c r="Q26" s="15"/>
      <c r="R26" s="15"/>
    </row>
    <row r="27">
      <c r="A27" s="41"/>
      <c r="B27" s="59"/>
      <c r="E27" s="60"/>
      <c r="N27" s="61"/>
      <c r="O27" s="25"/>
      <c r="P27" s="15"/>
      <c r="Q27" s="15"/>
      <c r="R27" s="15"/>
    </row>
    <row r="28">
      <c r="A28" s="41"/>
      <c r="B28" s="62" t="s">
        <v>35</v>
      </c>
      <c r="C28" s="63"/>
      <c r="D28" s="64"/>
      <c r="E28" s="65"/>
      <c r="F28" s="64"/>
      <c r="N28" s="61"/>
      <c r="O28" s="25"/>
      <c r="P28" s="15"/>
      <c r="Q28" s="15"/>
      <c r="R28" s="15"/>
    </row>
    <row r="29">
      <c r="A29" s="41"/>
      <c r="B29" s="66" t="s">
        <v>36</v>
      </c>
      <c r="C29" s="67"/>
      <c r="D29" s="64"/>
      <c r="E29" s="68" t="s">
        <v>37</v>
      </c>
      <c r="F29" s="64"/>
      <c r="N29" s="61"/>
      <c r="O29" s="25"/>
      <c r="P29" s="15"/>
      <c r="Q29" s="15"/>
      <c r="R29" s="15"/>
    </row>
    <row r="30">
      <c r="A30" s="41"/>
      <c r="B30" s="69" t="s">
        <v>38</v>
      </c>
      <c r="C30" s="70" t="s">
        <v>39</v>
      </c>
      <c r="D30" s="64"/>
      <c r="E30" s="68" t="s">
        <v>40</v>
      </c>
      <c r="F30" s="64"/>
      <c r="N30" s="61"/>
      <c r="O30" s="25"/>
      <c r="P30" s="15"/>
      <c r="Q30" s="15"/>
      <c r="R30" s="15"/>
    </row>
    <row r="31">
      <c r="A31" s="41"/>
      <c r="B31" s="69" t="s">
        <v>41</v>
      </c>
      <c r="C31" s="64" t="s">
        <v>42</v>
      </c>
      <c r="D31" s="64"/>
      <c r="E31" s="65"/>
      <c r="F31" s="64"/>
      <c r="N31" s="61"/>
      <c r="O31" s="25"/>
      <c r="P31" s="15"/>
      <c r="Q31" s="15"/>
      <c r="R31" s="15"/>
    </row>
    <row r="32">
      <c r="A32" s="41"/>
      <c r="B32" s="69" t="s">
        <v>43</v>
      </c>
      <c r="C32" s="64" t="s">
        <v>44</v>
      </c>
      <c r="D32" s="64"/>
      <c r="E32" s="68" t="s">
        <v>45</v>
      </c>
      <c r="F32" s="64"/>
      <c r="N32" s="61"/>
      <c r="O32" s="25"/>
      <c r="P32" s="15"/>
      <c r="Q32" s="15"/>
      <c r="R32" s="15"/>
    </row>
    <row r="33">
      <c r="A33" s="41"/>
      <c r="B33" s="69"/>
      <c r="C33" s="64"/>
      <c r="D33" s="64"/>
      <c r="E33" s="65"/>
      <c r="F33" s="64"/>
      <c r="N33" s="61"/>
      <c r="O33" s="25"/>
      <c r="P33" s="15"/>
      <c r="Q33" s="15"/>
      <c r="R33" s="15"/>
    </row>
    <row r="34">
      <c r="A34" s="41"/>
      <c r="B34" s="71" t="s">
        <v>46</v>
      </c>
      <c r="C34" s="72"/>
      <c r="E34" s="73" t="s">
        <v>47</v>
      </c>
      <c r="N34" s="61"/>
      <c r="O34" s="25"/>
      <c r="P34" s="15"/>
      <c r="Q34" s="15"/>
      <c r="R34" s="15"/>
    </row>
    <row r="35">
      <c r="A35" s="41"/>
      <c r="B35" s="59"/>
      <c r="E35" s="60"/>
      <c r="N35" s="61"/>
      <c r="O35" s="25"/>
      <c r="P35" s="15"/>
      <c r="Q35" s="15"/>
      <c r="R35" s="15"/>
    </row>
    <row r="36">
      <c r="A36" s="41"/>
      <c r="B36" s="74" t="s">
        <v>48</v>
      </c>
      <c r="C36" s="75"/>
      <c r="E36" s="76" t="s">
        <v>49</v>
      </c>
      <c r="N36" s="61"/>
      <c r="O36" s="25"/>
      <c r="P36" s="15"/>
      <c r="Q36" s="15"/>
      <c r="R36" s="15"/>
    </row>
    <row r="37">
      <c r="A37" s="41"/>
      <c r="B37" s="77" t="s">
        <v>50</v>
      </c>
      <c r="C37" s="78"/>
      <c r="N37" s="61"/>
      <c r="O37" s="25"/>
      <c r="P37" s="15"/>
      <c r="Q37" s="15"/>
      <c r="R37" s="15"/>
    </row>
    <row r="38">
      <c r="A38" s="41"/>
      <c r="B38" s="79" t="s">
        <v>51</v>
      </c>
      <c r="C38" s="80">
        <v>130000.0</v>
      </c>
      <c r="D38" s="81" t="s">
        <v>52</v>
      </c>
      <c r="E38" s="76" t="s">
        <v>53</v>
      </c>
      <c r="N38" s="61"/>
      <c r="O38" s="25"/>
      <c r="P38" s="15"/>
      <c r="Q38" s="15"/>
      <c r="R38" s="15"/>
    </row>
    <row r="39">
      <c r="A39" s="41"/>
      <c r="B39" s="79" t="s">
        <v>54</v>
      </c>
      <c r="C39" s="80">
        <v>280000.0</v>
      </c>
      <c r="D39" s="81" t="s">
        <v>52</v>
      </c>
      <c r="N39" s="61"/>
      <c r="O39" s="25"/>
      <c r="P39" s="15"/>
      <c r="Q39" s="15"/>
      <c r="R39" s="15"/>
    </row>
    <row r="40">
      <c r="A40" s="41"/>
      <c r="B40" s="79" t="s">
        <v>55</v>
      </c>
      <c r="C40" s="80">
        <v>0.0</v>
      </c>
      <c r="D40" s="81" t="s">
        <v>52</v>
      </c>
      <c r="N40" s="61"/>
      <c r="O40" s="25"/>
      <c r="P40" s="15"/>
      <c r="Q40" s="15"/>
      <c r="R40" s="15"/>
    </row>
    <row r="41">
      <c r="A41" s="41"/>
      <c r="B41" s="82"/>
      <c r="C41" s="83"/>
      <c r="D41" s="84"/>
      <c r="E41" s="60"/>
      <c r="N41" s="61"/>
      <c r="O41" s="25"/>
      <c r="P41" s="15"/>
      <c r="Q41" s="15"/>
      <c r="R41" s="15"/>
    </row>
    <row r="42">
      <c r="A42" s="41"/>
      <c r="B42" s="74" t="s">
        <v>56</v>
      </c>
      <c r="C42" s="85"/>
      <c r="D42" s="84"/>
      <c r="E42" s="73" t="s">
        <v>57</v>
      </c>
      <c r="N42" s="61"/>
      <c r="O42" s="25"/>
      <c r="P42" s="15"/>
      <c r="Q42" s="15"/>
      <c r="R42" s="15"/>
    </row>
    <row r="43">
      <c r="A43" s="41"/>
      <c r="B43" s="82" t="s">
        <v>58</v>
      </c>
      <c r="C43" s="86">
        <f>C39</f>
        <v>280000</v>
      </c>
      <c r="D43" s="81" t="s">
        <v>52</v>
      </c>
      <c r="E43" s="60"/>
      <c r="N43" s="61"/>
      <c r="O43" s="25"/>
      <c r="P43" s="15"/>
      <c r="Q43" s="15"/>
      <c r="R43" s="15"/>
    </row>
    <row r="44">
      <c r="A44" s="41"/>
      <c r="B44" s="82"/>
      <c r="C44" s="83"/>
      <c r="D44" s="84"/>
      <c r="E44" s="60"/>
      <c r="N44" s="61"/>
      <c r="O44" s="25"/>
      <c r="P44" s="15"/>
      <c r="Q44" s="15"/>
      <c r="R44" s="15"/>
    </row>
    <row r="45">
      <c r="A45" s="41"/>
      <c r="B45" s="87" t="s">
        <v>59</v>
      </c>
      <c r="C45" s="72"/>
      <c r="E45" s="60"/>
      <c r="N45" s="61"/>
      <c r="O45" s="25"/>
      <c r="P45" s="15"/>
      <c r="Q45" s="15"/>
      <c r="R45" s="15"/>
    </row>
    <row r="46">
      <c r="A46" s="41"/>
      <c r="B46" s="59"/>
      <c r="E46" s="60"/>
      <c r="N46" s="61"/>
      <c r="O46" s="25"/>
      <c r="P46" s="15"/>
      <c r="Q46" s="15"/>
      <c r="R46" s="15"/>
    </row>
    <row r="47">
      <c r="A47" s="41"/>
      <c r="B47" s="71" t="s">
        <v>60</v>
      </c>
      <c r="C47" s="72"/>
      <c r="E47" s="60"/>
      <c r="N47" s="61"/>
      <c r="O47" s="25"/>
      <c r="P47" s="15"/>
      <c r="Q47" s="15"/>
      <c r="R47" s="15"/>
    </row>
    <row r="48">
      <c r="A48" s="41"/>
      <c r="B48" s="59"/>
      <c r="E48" s="60"/>
      <c r="N48" s="61"/>
      <c r="O48" s="25"/>
      <c r="P48" s="15"/>
      <c r="Q48" s="15"/>
      <c r="R48" s="15"/>
    </row>
    <row r="49">
      <c r="A49" s="41"/>
      <c r="B49" s="71" t="s">
        <v>61</v>
      </c>
      <c r="C49" s="72"/>
      <c r="E49" s="60"/>
      <c r="N49" s="61"/>
      <c r="O49" s="25"/>
      <c r="P49" s="15"/>
      <c r="Q49" s="15"/>
      <c r="R49" s="15"/>
    </row>
    <row r="50">
      <c r="A50" s="41"/>
      <c r="B50" s="59"/>
      <c r="E50" s="60"/>
      <c r="N50" s="61"/>
      <c r="O50" s="25"/>
      <c r="P50" s="15"/>
      <c r="Q50" s="15"/>
      <c r="R50" s="15"/>
    </row>
    <row r="51">
      <c r="A51" s="41"/>
      <c r="B51" s="87" t="s">
        <v>62</v>
      </c>
      <c r="C51" s="72"/>
      <c r="E51" s="73" t="s">
        <v>63</v>
      </c>
      <c r="N51" s="61"/>
      <c r="O51" s="25"/>
      <c r="P51" s="15"/>
      <c r="Q51" s="15"/>
      <c r="R51" s="15"/>
    </row>
    <row r="52">
      <c r="A52" s="41"/>
      <c r="B52" s="59"/>
      <c r="E52" s="73" t="s">
        <v>64</v>
      </c>
      <c r="N52" s="61"/>
      <c r="O52" s="25"/>
      <c r="P52" s="15"/>
      <c r="Q52" s="15"/>
      <c r="R52" s="15"/>
    </row>
    <row r="53">
      <c r="A53" s="41"/>
      <c r="B53" s="59"/>
      <c r="E53" s="60"/>
      <c r="N53" s="61"/>
      <c r="O53" s="25"/>
      <c r="P53" s="15"/>
      <c r="Q53" s="15"/>
      <c r="R53" s="15"/>
    </row>
    <row r="54">
      <c r="A54" s="41"/>
      <c r="B54" s="88" t="s">
        <v>65</v>
      </c>
      <c r="C54" s="89"/>
      <c r="N54" s="61"/>
      <c r="O54" s="25"/>
      <c r="P54" s="15"/>
      <c r="Q54" s="15"/>
      <c r="R54" s="15"/>
    </row>
    <row r="55">
      <c r="A55" s="41"/>
      <c r="B55" s="59"/>
      <c r="N55" s="61"/>
      <c r="O55" s="25"/>
      <c r="P55" s="15"/>
      <c r="Q55" s="15"/>
      <c r="R55" s="15"/>
    </row>
    <row r="56">
      <c r="A56" s="41"/>
      <c r="B56" s="90" t="s">
        <v>66</v>
      </c>
      <c r="C56" s="91"/>
      <c r="E56" s="76" t="s">
        <v>67</v>
      </c>
      <c r="N56" s="61"/>
      <c r="O56" s="25"/>
      <c r="P56" s="15"/>
      <c r="Q56" s="15"/>
      <c r="R56" s="15"/>
    </row>
    <row r="57">
      <c r="A57" s="41"/>
      <c r="B57" s="92"/>
      <c r="N57" s="61"/>
      <c r="O57" s="25"/>
      <c r="P57" s="15"/>
      <c r="Q57" s="15"/>
      <c r="R57" s="15"/>
    </row>
    <row r="58">
      <c r="A58" s="41"/>
      <c r="B58" s="90" t="s">
        <v>68</v>
      </c>
      <c r="C58" s="93"/>
      <c r="D58" s="94"/>
      <c r="E58" s="76" t="s">
        <v>69</v>
      </c>
      <c r="N58" s="61"/>
      <c r="O58" s="25"/>
      <c r="P58" s="15"/>
      <c r="Q58" s="15"/>
      <c r="R58" s="15"/>
    </row>
    <row r="59">
      <c r="A59" s="41"/>
      <c r="B59" s="95" t="s">
        <v>70</v>
      </c>
      <c r="C59" s="96">
        <v>100.0</v>
      </c>
      <c r="D59" s="97" t="s">
        <v>71</v>
      </c>
      <c r="E59" s="76"/>
      <c r="N59" s="61"/>
      <c r="O59" s="25"/>
      <c r="P59" s="15"/>
      <c r="Q59" s="15"/>
      <c r="R59" s="15"/>
    </row>
    <row r="60">
      <c r="A60" s="41"/>
      <c r="B60" s="95" t="s">
        <v>72</v>
      </c>
      <c r="C60" s="98">
        <f>1000*(1/C59)</f>
        <v>10</v>
      </c>
      <c r="D60" s="97" t="s">
        <v>73</v>
      </c>
      <c r="E60" s="76" t="s">
        <v>74</v>
      </c>
      <c r="N60" s="61"/>
      <c r="O60" s="25"/>
      <c r="P60" s="15"/>
      <c r="Q60" s="15"/>
      <c r="R60" s="15"/>
    </row>
    <row r="61">
      <c r="A61" s="41"/>
      <c r="B61" s="59"/>
      <c r="N61" s="61"/>
      <c r="O61" s="25"/>
      <c r="P61" s="15"/>
      <c r="Q61" s="15"/>
      <c r="R61" s="15"/>
    </row>
    <row r="62">
      <c r="A62" s="41"/>
      <c r="B62" s="99"/>
      <c r="C62" s="100"/>
      <c r="D62" s="100"/>
      <c r="E62" s="100"/>
      <c r="F62" s="100"/>
      <c r="G62" s="100"/>
      <c r="H62" s="100"/>
      <c r="I62" s="100"/>
      <c r="J62" s="100"/>
      <c r="K62" s="100"/>
      <c r="L62" s="100"/>
      <c r="M62" s="100"/>
      <c r="N62" s="101"/>
      <c r="O62" s="25"/>
      <c r="P62" s="15"/>
      <c r="Q62" s="15"/>
      <c r="R62" s="15"/>
    </row>
    <row r="63">
      <c r="A63" s="15"/>
      <c r="B63" s="4"/>
      <c r="C63" s="4"/>
      <c r="D63" s="4"/>
      <c r="E63" s="4"/>
      <c r="F63" s="4"/>
      <c r="G63" s="4"/>
      <c r="H63" s="4"/>
      <c r="I63" s="4"/>
      <c r="J63" s="4"/>
      <c r="K63" s="4"/>
      <c r="L63" s="4"/>
      <c r="M63" s="4"/>
      <c r="N63" s="4"/>
      <c r="O63" s="4"/>
      <c r="P63" s="4"/>
      <c r="Q63" s="4"/>
      <c r="R63" s="4"/>
    </row>
    <row r="64">
      <c r="A64" s="5"/>
      <c r="B64" s="5"/>
      <c r="C64" s="5"/>
      <c r="D64" s="5"/>
      <c r="E64" s="5"/>
      <c r="F64" s="5"/>
      <c r="G64" s="5"/>
      <c r="H64" s="5"/>
      <c r="I64" s="5"/>
      <c r="J64" s="5"/>
      <c r="K64" s="5"/>
      <c r="L64" s="5"/>
      <c r="M64" s="5"/>
      <c r="N64" s="5"/>
      <c r="O64" s="5"/>
      <c r="P64" s="5"/>
      <c r="Q64" s="5"/>
      <c r="R64" s="5"/>
    </row>
    <row r="65">
      <c r="A65" s="7" t="s">
        <v>75</v>
      </c>
      <c r="B65" s="7"/>
      <c r="C65" s="8"/>
      <c r="D65" s="9"/>
      <c r="E65" s="9"/>
      <c r="F65" s="9"/>
      <c r="G65" s="9"/>
      <c r="H65" s="9"/>
      <c r="I65" s="9"/>
      <c r="J65" s="9"/>
      <c r="K65" s="9"/>
      <c r="L65" s="9"/>
      <c r="M65" s="9"/>
      <c r="N65" s="9"/>
      <c r="O65" s="9"/>
      <c r="P65" s="9"/>
      <c r="Q65" s="9"/>
      <c r="R65" s="10"/>
    </row>
    <row r="66">
      <c r="R66" s="102"/>
    </row>
    <row r="67">
      <c r="A67" s="40"/>
      <c r="B67" s="40" t="s">
        <v>76</v>
      </c>
      <c r="R67" s="102"/>
    </row>
    <row r="68">
      <c r="R68" s="102"/>
    </row>
    <row r="69">
      <c r="R69" s="102"/>
    </row>
    <row r="70">
      <c r="R70" s="102"/>
    </row>
    <row r="71">
      <c r="R71" s="102"/>
    </row>
    <row r="72">
      <c r="R72" s="102"/>
    </row>
    <row r="73">
      <c r="R73" s="102"/>
    </row>
    <row r="74">
      <c r="A74" s="7" t="s">
        <v>77</v>
      </c>
      <c r="B74" s="7"/>
      <c r="C74" s="8"/>
      <c r="D74" s="9"/>
      <c r="E74" s="9"/>
      <c r="F74" s="9"/>
      <c r="G74" s="9"/>
      <c r="H74" s="9"/>
      <c r="I74" s="9"/>
      <c r="J74" s="9"/>
      <c r="K74" s="9"/>
      <c r="L74" s="9"/>
      <c r="M74" s="9"/>
      <c r="N74" s="9"/>
      <c r="O74" s="9"/>
      <c r="P74" s="9"/>
      <c r="Q74" s="9"/>
      <c r="R74" s="10"/>
    </row>
    <row r="75">
      <c r="R75" s="102"/>
    </row>
    <row r="76">
      <c r="B76" s="103"/>
      <c r="R76" s="102"/>
    </row>
    <row r="77">
      <c r="R77" s="102"/>
    </row>
    <row r="78">
      <c r="R78" s="102"/>
    </row>
    <row r="79">
      <c r="R79" s="102"/>
    </row>
    <row r="80">
      <c r="R80" s="102"/>
    </row>
    <row r="81">
      <c r="R81" s="102"/>
    </row>
    <row r="82">
      <c r="R82" s="102"/>
    </row>
    <row r="83">
      <c r="R83" s="102"/>
    </row>
    <row r="84">
      <c r="R84" s="102"/>
    </row>
    <row r="85">
      <c r="R85" s="102"/>
    </row>
    <row r="86">
      <c r="R86" s="102"/>
    </row>
    <row r="87">
      <c r="R87" s="102"/>
    </row>
    <row r="88">
      <c r="R88" s="102"/>
    </row>
    <row r="89">
      <c r="R89" s="102"/>
    </row>
    <row r="90">
      <c r="R90" s="102"/>
    </row>
    <row r="91">
      <c r="R91" s="102"/>
    </row>
    <row r="92">
      <c r="R92" s="102"/>
    </row>
    <row r="93">
      <c r="R93" s="102"/>
    </row>
    <row r="94">
      <c r="R94" s="102"/>
    </row>
    <row r="95">
      <c r="R95" s="102"/>
    </row>
    <row r="96">
      <c r="R96" s="102"/>
    </row>
    <row r="97">
      <c r="R97" s="102"/>
    </row>
    <row r="98">
      <c r="R98" s="102"/>
    </row>
    <row r="99">
      <c r="R99" s="102"/>
    </row>
    <row r="100">
      <c r="R100" s="102"/>
    </row>
    <row r="101">
      <c r="R101" s="102"/>
    </row>
    <row r="102">
      <c r="R102" s="102"/>
    </row>
    <row r="103">
      <c r="R103" s="102"/>
    </row>
    <row r="104">
      <c r="R104" s="102"/>
    </row>
    <row r="105">
      <c r="R105" s="102"/>
    </row>
    <row r="106">
      <c r="R106" s="102"/>
    </row>
    <row r="107">
      <c r="R107" s="102"/>
    </row>
    <row r="108">
      <c r="R108" s="102"/>
    </row>
    <row r="109">
      <c r="R109" s="102"/>
    </row>
    <row r="110">
      <c r="R110" s="102"/>
    </row>
    <row r="111">
      <c r="R111" s="102"/>
    </row>
    <row r="112">
      <c r="R112" s="102"/>
    </row>
    <row r="113">
      <c r="R113" s="102"/>
    </row>
    <row r="114">
      <c r="R114" s="102"/>
    </row>
    <row r="115">
      <c r="R115" s="102"/>
    </row>
    <row r="116">
      <c r="R116" s="102"/>
    </row>
    <row r="117">
      <c r="R117" s="102"/>
    </row>
    <row r="118">
      <c r="R118" s="102"/>
    </row>
    <row r="119">
      <c r="R119" s="102"/>
    </row>
    <row r="120">
      <c r="R120" s="102"/>
    </row>
    <row r="121">
      <c r="R121" s="102"/>
    </row>
    <row r="122">
      <c r="R122" s="102"/>
    </row>
    <row r="123">
      <c r="R123" s="102"/>
    </row>
    <row r="124">
      <c r="R124" s="102"/>
    </row>
    <row r="125">
      <c r="R125" s="102"/>
    </row>
    <row r="126">
      <c r="R126" s="102"/>
    </row>
    <row r="127">
      <c r="R127" s="102"/>
    </row>
    <row r="128">
      <c r="R128" s="102"/>
    </row>
    <row r="129">
      <c r="R129" s="102"/>
    </row>
    <row r="130">
      <c r="R130" s="102"/>
    </row>
    <row r="131">
      <c r="R131" s="102"/>
    </row>
    <row r="132">
      <c r="R132" s="102"/>
    </row>
    <row r="133">
      <c r="R133" s="102"/>
    </row>
    <row r="134">
      <c r="R134" s="102"/>
    </row>
    <row r="135">
      <c r="R135" s="102"/>
    </row>
    <row r="136">
      <c r="R136" s="102"/>
    </row>
    <row r="137">
      <c r="R137" s="102"/>
    </row>
    <row r="138">
      <c r="R138" s="102"/>
    </row>
    <row r="139">
      <c r="R139" s="102"/>
    </row>
    <row r="140">
      <c r="R140" s="102"/>
    </row>
    <row r="141">
      <c r="R141" s="102"/>
    </row>
    <row r="142">
      <c r="R142" s="102"/>
    </row>
    <row r="143">
      <c r="R143" s="102"/>
    </row>
    <row r="144">
      <c r="R144" s="102"/>
    </row>
    <row r="145">
      <c r="R145" s="102"/>
    </row>
    <row r="146">
      <c r="R146" s="102"/>
    </row>
    <row r="147">
      <c r="R147" s="102"/>
    </row>
    <row r="148">
      <c r="R148" s="102"/>
    </row>
    <row r="149">
      <c r="R149" s="102"/>
    </row>
    <row r="150">
      <c r="R150" s="102"/>
    </row>
    <row r="151">
      <c r="R151" s="102"/>
    </row>
    <row r="152">
      <c r="R152" s="102"/>
    </row>
    <row r="153">
      <c r="R153" s="102"/>
    </row>
    <row r="154">
      <c r="R154" s="102"/>
    </row>
    <row r="155">
      <c r="R155" s="102"/>
    </row>
    <row r="156">
      <c r="R156" s="102"/>
    </row>
    <row r="157">
      <c r="R157" s="102"/>
    </row>
    <row r="158">
      <c r="R158" s="102"/>
    </row>
    <row r="159">
      <c r="R159" s="102"/>
    </row>
    <row r="160">
      <c r="R160" s="102"/>
    </row>
    <row r="161">
      <c r="R161" s="102"/>
    </row>
    <row r="162">
      <c r="R162" s="102"/>
    </row>
    <row r="163">
      <c r="R163" s="102"/>
    </row>
    <row r="164">
      <c r="R164" s="102"/>
    </row>
    <row r="165">
      <c r="R165" s="102"/>
    </row>
    <row r="166">
      <c r="R166" s="102"/>
    </row>
    <row r="167">
      <c r="R167" s="102"/>
    </row>
    <row r="168">
      <c r="R168" s="102"/>
    </row>
    <row r="169">
      <c r="R169" s="102"/>
    </row>
    <row r="170">
      <c r="R170" s="102"/>
    </row>
    <row r="171">
      <c r="R171" s="102"/>
    </row>
    <row r="172">
      <c r="R172" s="102"/>
    </row>
    <row r="173">
      <c r="R173" s="102"/>
    </row>
    <row r="174">
      <c r="R174" s="102"/>
    </row>
    <row r="175">
      <c r="R175" s="102"/>
    </row>
    <row r="176">
      <c r="R176" s="102"/>
    </row>
    <row r="177">
      <c r="R177" s="102"/>
    </row>
    <row r="178">
      <c r="R178" s="102"/>
    </row>
    <row r="179">
      <c r="R179" s="102"/>
    </row>
    <row r="180">
      <c r="R180" s="102"/>
    </row>
    <row r="181">
      <c r="R181" s="102"/>
    </row>
    <row r="182">
      <c r="R182" s="102"/>
    </row>
    <row r="183">
      <c r="R183" s="102"/>
    </row>
    <row r="184">
      <c r="R184" s="102"/>
    </row>
    <row r="185">
      <c r="R185" s="102"/>
    </row>
    <row r="186">
      <c r="R186" s="102"/>
    </row>
    <row r="187">
      <c r="R187" s="102"/>
    </row>
    <row r="188">
      <c r="R188" s="102"/>
    </row>
    <row r="189">
      <c r="R189" s="102"/>
    </row>
    <row r="190">
      <c r="R190" s="102"/>
    </row>
    <row r="191">
      <c r="R191" s="102"/>
    </row>
    <row r="192">
      <c r="R192" s="102"/>
    </row>
    <row r="193">
      <c r="R193" s="102"/>
    </row>
    <row r="194">
      <c r="R194" s="102"/>
    </row>
    <row r="195">
      <c r="R195" s="102"/>
    </row>
    <row r="196">
      <c r="R196" s="102"/>
    </row>
    <row r="197">
      <c r="R197" s="102"/>
    </row>
    <row r="198">
      <c r="R198" s="102"/>
    </row>
    <row r="199">
      <c r="R199" s="102"/>
    </row>
    <row r="200">
      <c r="R200" s="102"/>
    </row>
    <row r="201">
      <c r="R201" s="102"/>
    </row>
    <row r="202">
      <c r="R202" s="102"/>
    </row>
    <row r="203">
      <c r="R203" s="102"/>
    </row>
    <row r="204">
      <c r="R204" s="102"/>
    </row>
    <row r="205">
      <c r="R205" s="102"/>
    </row>
    <row r="206">
      <c r="R206" s="102"/>
    </row>
    <row r="207">
      <c r="R207" s="102"/>
    </row>
    <row r="208">
      <c r="R208" s="102"/>
    </row>
    <row r="209">
      <c r="R209" s="102"/>
    </row>
    <row r="210">
      <c r="R210" s="102"/>
    </row>
    <row r="211">
      <c r="R211" s="102"/>
    </row>
    <row r="212">
      <c r="R212" s="102"/>
    </row>
    <row r="213">
      <c r="R213" s="102"/>
    </row>
    <row r="214">
      <c r="R214" s="102"/>
    </row>
    <row r="215">
      <c r="R215" s="102"/>
    </row>
    <row r="216">
      <c r="R216" s="102"/>
    </row>
    <row r="217">
      <c r="R217" s="102"/>
    </row>
    <row r="218">
      <c r="R218" s="102"/>
    </row>
    <row r="219">
      <c r="R219" s="102"/>
    </row>
    <row r="220">
      <c r="R220" s="102"/>
    </row>
    <row r="221">
      <c r="R221" s="102"/>
    </row>
    <row r="222">
      <c r="R222" s="102"/>
    </row>
    <row r="223">
      <c r="R223" s="102"/>
    </row>
    <row r="224">
      <c r="R224" s="102"/>
    </row>
    <row r="225">
      <c r="R225" s="102"/>
    </row>
    <row r="226">
      <c r="R226" s="102"/>
    </row>
    <row r="227">
      <c r="R227" s="102"/>
    </row>
    <row r="228">
      <c r="R228" s="102"/>
    </row>
    <row r="229">
      <c r="R229" s="102"/>
    </row>
    <row r="230">
      <c r="R230" s="102"/>
    </row>
    <row r="231">
      <c r="R231" s="102"/>
    </row>
    <row r="232">
      <c r="R232" s="102"/>
    </row>
    <row r="233">
      <c r="R233" s="102"/>
    </row>
    <row r="234">
      <c r="R234" s="102"/>
    </row>
    <row r="235">
      <c r="R235" s="102"/>
    </row>
    <row r="236">
      <c r="R236" s="102"/>
    </row>
    <row r="237">
      <c r="R237" s="102"/>
    </row>
    <row r="238">
      <c r="R238" s="102"/>
    </row>
    <row r="239">
      <c r="R239" s="102"/>
    </row>
    <row r="240">
      <c r="R240" s="102"/>
    </row>
    <row r="241">
      <c r="R241" s="102"/>
    </row>
    <row r="242">
      <c r="R242" s="102"/>
    </row>
    <row r="243">
      <c r="R243" s="102"/>
    </row>
    <row r="244">
      <c r="R244" s="102"/>
    </row>
    <row r="245">
      <c r="R245" s="102"/>
    </row>
    <row r="246">
      <c r="R246" s="102"/>
    </row>
    <row r="247">
      <c r="R247" s="102"/>
    </row>
    <row r="248">
      <c r="R248" s="102"/>
    </row>
    <row r="249">
      <c r="R249" s="102"/>
    </row>
    <row r="250">
      <c r="R250" s="102"/>
    </row>
    <row r="251">
      <c r="R251" s="102"/>
    </row>
    <row r="252">
      <c r="R252" s="102"/>
    </row>
    <row r="253">
      <c r="R253" s="102"/>
    </row>
    <row r="254">
      <c r="R254" s="102"/>
    </row>
    <row r="255">
      <c r="R255" s="102"/>
    </row>
    <row r="256">
      <c r="R256" s="102"/>
    </row>
    <row r="257">
      <c r="R257" s="102"/>
    </row>
    <row r="258">
      <c r="R258" s="102"/>
    </row>
    <row r="259">
      <c r="R259" s="102"/>
    </row>
    <row r="260">
      <c r="R260" s="102"/>
    </row>
    <row r="261">
      <c r="R261" s="102"/>
    </row>
    <row r="262">
      <c r="R262" s="102"/>
    </row>
    <row r="263">
      <c r="R263" s="102"/>
    </row>
    <row r="264">
      <c r="R264" s="102"/>
    </row>
    <row r="265">
      <c r="R265" s="102"/>
    </row>
    <row r="266">
      <c r="R266" s="102"/>
    </row>
    <row r="267">
      <c r="R267" s="102"/>
    </row>
    <row r="268">
      <c r="R268" s="102"/>
    </row>
    <row r="269">
      <c r="R269" s="102"/>
    </row>
    <row r="270">
      <c r="R270" s="102"/>
    </row>
    <row r="271">
      <c r="R271" s="102"/>
    </row>
    <row r="272">
      <c r="R272" s="102"/>
    </row>
    <row r="273">
      <c r="R273" s="102"/>
    </row>
    <row r="274">
      <c r="R274" s="102"/>
    </row>
    <row r="275">
      <c r="R275" s="102"/>
    </row>
    <row r="276">
      <c r="R276" s="102"/>
    </row>
    <row r="277">
      <c r="R277" s="102"/>
    </row>
    <row r="278">
      <c r="R278" s="102"/>
    </row>
    <row r="279">
      <c r="R279" s="102"/>
    </row>
    <row r="280">
      <c r="R280" s="102"/>
    </row>
    <row r="281">
      <c r="R281" s="102"/>
    </row>
    <row r="282">
      <c r="R282" s="102"/>
    </row>
    <row r="283">
      <c r="R283" s="102"/>
    </row>
    <row r="284">
      <c r="R284" s="102"/>
    </row>
    <row r="285">
      <c r="R285" s="102"/>
    </row>
    <row r="286">
      <c r="R286" s="102"/>
    </row>
    <row r="287">
      <c r="R287" s="102"/>
    </row>
    <row r="288">
      <c r="R288" s="102"/>
    </row>
    <row r="289">
      <c r="R289" s="102"/>
    </row>
    <row r="290">
      <c r="R290" s="102"/>
    </row>
    <row r="291">
      <c r="R291" s="102"/>
    </row>
    <row r="292">
      <c r="R292" s="102"/>
    </row>
    <row r="293">
      <c r="R293" s="102"/>
    </row>
    <row r="294">
      <c r="R294" s="102"/>
    </row>
    <row r="295">
      <c r="R295" s="102"/>
    </row>
    <row r="296">
      <c r="R296" s="102"/>
    </row>
    <row r="297">
      <c r="R297" s="102"/>
    </row>
    <row r="298">
      <c r="R298" s="102"/>
    </row>
    <row r="299">
      <c r="R299" s="102"/>
    </row>
    <row r="300">
      <c r="R300" s="102"/>
    </row>
    <row r="301">
      <c r="R301" s="102"/>
    </row>
    <row r="302">
      <c r="R302" s="102"/>
    </row>
    <row r="303">
      <c r="R303" s="102"/>
    </row>
    <row r="304">
      <c r="R304" s="102"/>
    </row>
    <row r="305">
      <c r="R305" s="102"/>
    </row>
    <row r="306">
      <c r="R306" s="102"/>
    </row>
    <row r="307">
      <c r="R307" s="102"/>
    </row>
    <row r="308">
      <c r="R308" s="102"/>
    </row>
    <row r="309">
      <c r="R309" s="102"/>
    </row>
    <row r="310">
      <c r="R310" s="102"/>
    </row>
    <row r="311">
      <c r="R311" s="102"/>
    </row>
    <row r="312">
      <c r="R312" s="102"/>
    </row>
    <row r="313">
      <c r="R313" s="102"/>
    </row>
    <row r="314">
      <c r="R314" s="102"/>
    </row>
    <row r="315">
      <c r="R315" s="102"/>
    </row>
    <row r="316">
      <c r="R316" s="102"/>
    </row>
    <row r="317">
      <c r="R317" s="102"/>
    </row>
    <row r="318">
      <c r="R318" s="102"/>
    </row>
    <row r="319">
      <c r="R319" s="102"/>
    </row>
    <row r="320">
      <c r="R320" s="102"/>
    </row>
    <row r="321">
      <c r="R321" s="102"/>
    </row>
    <row r="322">
      <c r="R322" s="102"/>
    </row>
    <row r="323">
      <c r="R323" s="102"/>
    </row>
    <row r="324">
      <c r="R324" s="102"/>
    </row>
    <row r="325">
      <c r="R325" s="102"/>
    </row>
    <row r="326">
      <c r="R326" s="102"/>
    </row>
    <row r="327">
      <c r="R327" s="102"/>
    </row>
    <row r="328">
      <c r="R328" s="102"/>
    </row>
    <row r="329">
      <c r="R329" s="102"/>
    </row>
    <row r="330">
      <c r="R330" s="102"/>
    </row>
    <row r="331">
      <c r="R331" s="102"/>
    </row>
    <row r="332">
      <c r="R332" s="102"/>
    </row>
    <row r="333">
      <c r="R333" s="102"/>
    </row>
    <row r="334">
      <c r="R334" s="102"/>
    </row>
    <row r="335">
      <c r="R335" s="102"/>
    </row>
    <row r="336">
      <c r="R336" s="102"/>
    </row>
    <row r="337">
      <c r="R337" s="102"/>
    </row>
    <row r="338">
      <c r="R338" s="102"/>
    </row>
    <row r="339">
      <c r="R339" s="102"/>
    </row>
    <row r="340">
      <c r="R340" s="102"/>
    </row>
    <row r="341">
      <c r="R341" s="102"/>
    </row>
    <row r="342">
      <c r="R342" s="102"/>
    </row>
    <row r="343">
      <c r="R343" s="102"/>
    </row>
    <row r="344">
      <c r="R344" s="102"/>
    </row>
    <row r="345">
      <c r="R345" s="102"/>
    </row>
    <row r="346">
      <c r="R346" s="102"/>
    </row>
    <row r="347">
      <c r="R347" s="102"/>
    </row>
    <row r="348">
      <c r="R348" s="102"/>
    </row>
    <row r="349">
      <c r="R349" s="102"/>
    </row>
    <row r="350">
      <c r="R350" s="102"/>
    </row>
    <row r="351">
      <c r="R351" s="102"/>
    </row>
    <row r="352">
      <c r="R352" s="102"/>
    </row>
    <row r="353">
      <c r="R353" s="102"/>
    </row>
    <row r="354">
      <c r="R354" s="102"/>
    </row>
    <row r="355">
      <c r="R355" s="102"/>
    </row>
    <row r="356">
      <c r="R356" s="102"/>
    </row>
    <row r="357">
      <c r="R357" s="102"/>
    </row>
    <row r="358">
      <c r="R358" s="102"/>
    </row>
    <row r="359">
      <c r="R359" s="102"/>
    </row>
    <row r="360">
      <c r="R360" s="102"/>
    </row>
    <row r="361">
      <c r="R361" s="102"/>
    </row>
    <row r="362">
      <c r="R362" s="102"/>
    </row>
    <row r="363">
      <c r="R363" s="102"/>
    </row>
    <row r="364">
      <c r="R364" s="102"/>
    </row>
    <row r="365">
      <c r="R365" s="102"/>
    </row>
    <row r="366">
      <c r="R366" s="102"/>
    </row>
    <row r="367">
      <c r="R367" s="102"/>
    </row>
    <row r="368">
      <c r="R368" s="102"/>
    </row>
    <row r="369">
      <c r="R369" s="102"/>
    </row>
    <row r="370">
      <c r="R370" s="102"/>
    </row>
    <row r="371">
      <c r="R371" s="102"/>
    </row>
    <row r="372">
      <c r="R372" s="102"/>
    </row>
    <row r="373">
      <c r="R373" s="102"/>
    </row>
    <row r="374">
      <c r="R374" s="102"/>
    </row>
    <row r="375">
      <c r="R375" s="102"/>
    </row>
    <row r="376">
      <c r="R376" s="102"/>
    </row>
    <row r="377">
      <c r="R377" s="102"/>
    </row>
    <row r="378">
      <c r="R378" s="102"/>
    </row>
    <row r="379">
      <c r="R379" s="102"/>
    </row>
    <row r="380">
      <c r="R380" s="102"/>
    </row>
    <row r="381">
      <c r="R381" s="102"/>
    </row>
    <row r="382">
      <c r="R382" s="102"/>
    </row>
    <row r="383">
      <c r="R383" s="102"/>
    </row>
    <row r="384">
      <c r="R384" s="102"/>
    </row>
    <row r="385">
      <c r="R385" s="102"/>
    </row>
    <row r="386">
      <c r="R386" s="102"/>
    </row>
    <row r="387">
      <c r="R387" s="102"/>
    </row>
    <row r="388">
      <c r="R388" s="102"/>
    </row>
    <row r="389">
      <c r="R389" s="102"/>
    </row>
    <row r="390">
      <c r="R390" s="102"/>
    </row>
    <row r="391">
      <c r="R391" s="102"/>
    </row>
    <row r="392">
      <c r="R392" s="102"/>
    </row>
    <row r="393">
      <c r="R393" s="102"/>
    </row>
    <row r="394">
      <c r="R394" s="102"/>
    </row>
    <row r="395">
      <c r="R395" s="102"/>
    </row>
    <row r="396">
      <c r="R396" s="102"/>
    </row>
    <row r="397">
      <c r="R397" s="102"/>
    </row>
    <row r="398">
      <c r="R398" s="102"/>
    </row>
    <row r="399">
      <c r="R399" s="102"/>
    </row>
    <row r="400">
      <c r="R400" s="102"/>
    </row>
    <row r="401">
      <c r="R401" s="102"/>
    </row>
    <row r="402">
      <c r="R402" s="102"/>
    </row>
    <row r="403">
      <c r="R403" s="102"/>
    </row>
    <row r="404">
      <c r="R404" s="102"/>
    </row>
    <row r="405">
      <c r="R405" s="102"/>
    </row>
    <row r="406">
      <c r="R406" s="102"/>
    </row>
    <row r="407">
      <c r="R407" s="102"/>
    </row>
    <row r="408">
      <c r="R408" s="102"/>
    </row>
    <row r="409">
      <c r="R409" s="102"/>
    </row>
    <row r="410">
      <c r="R410" s="102"/>
    </row>
    <row r="411">
      <c r="R411" s="102"/>
    </row>
    <row r="412">
      <c r="R412" s="102"/>
    </row>
    <row r="413">
      <c r="R413" s="102"/>
    </row>
    <row r="414">
      <c r="R414" s="102"/>
    </row>
    <row r="415">
      <c r="R415" s="102"/>
    </row>
    <row r="416">
      <c r="R416" s="102"/>
    </row>
    <row r="417">
      <c r="R417" s="102"/>
    </row>
    <row r="418">
      <c r="R418" s="102"/>
    </row>
    <row r="419">
      <c r="R419" s="102"/>
    </row>
    <row r="420">
      <c r="R420" s="102"/>
    </row>
    <row r="421">
      <c r="R421" s="102"/>
    </row>
    <row r="422">
      <c r="R422" s="102"/>
    </row>
    <row r="423">
      <c r="R423" s="102"/>
    </row>
    <row r="424">
      <c r="R424" s="102"/>
    </row>
    <row r="425">
      <c r="R425" s="102"/>
    </row>
    <row r="426">
      <c r="R426" s="102"/>
    </row>
    <row r="427">
      <c r="R427" s="102"/>
    </row>
    <row r="428">
      <c r="R428" s="102"/>
    </row>
    <row r="429">
      <c r="R429" s="102"/>
    </row>
    <row r="430">
      <c r="R430" s="102"/>
    </row>
    <row r="431">
      <c r="R431" s="102"/>
    </row>
    <row r="432">
      <c r="R432" s="102"/>
    </row>
    <row r="433">
      <c r="R433" s="102"/>
    </row>
    <row r="434">
      <c r="R434" s="102"/>
    </row>
    <row r="435">
      <c r="R435" s="102"/>
    </row>
    <row r="436">
      <c r="R436" s="102"/>
    </row>
    <row r="437">
      <c r="R437" s="102"/>
    </row>
    <row r="438">
      <c r="R438" s="102"/>
    </row>
    <row r="439">
      <c r="R439" s="102"/>
    </row>
    <row r="440">
      <c r="R440" s="102"/>
    </row>
    <row r="441">
      <c r="R441" s="102"/>
    </row>
    <row r="442">
      <c r="R442" s="102"/>
    </row>
    <row r="443">
      <c r="R443" s="102"/>
    </row>
    <row r="444">
      <c r="R444" s="102"/>
    </row>
    <row r="445">
      <c r="R445" s="102"/>
    </row>
    <row r="446">
      <c r="R446" s="102"/>
    </row>
    <row r="447">
      <c r="R447" s="102"/>
    </row>
    <row r="448">
      <c r="R448" s="102"/>
    </row>
    <row r="449">
      <c r="R449" s="102"/>
    </row>
    <row r="450">
      <c r="R450" s="102"/>
    </row>
    <row r="451">
      <c r="R451" s="102"/>
    </row>
    <row r="452">
      <c r="R452" s="102"/>
    </row>
    <row r="453">
      <c r="R453" s="102"/>
    </row>
    <row r="454">
      <c r="R454" s="102"/>
    </row>
    <row r="455">
      <c r="R455" s="102"/>
    </row>
    <row r="456">
      <c r="R456" s="102"/>
    </row>
    <row r="457">
      <c r="R457" s="102"/>
    </row>
    <row r="458">
      <c r="R458" s="102"/>
    </row>
    <row r="459">
      <c r="R459" s="102"/>
    </row>
    <row r="460">
      <c r="R460" s="102"/>
    </row>
    <row r="461">
      <c r="R461" s="102"/>
    </row>
    <row r="462">
      <c r="R462" s="102"/>
    </row>
    <row r="463">
      <c r="R463" s="102"/>
    </row>
    <row r="464">
      <c r="R464" s="102"/>
    </row>
    <row r="465">
      <c r="R465" s="102"/>
    </row>
    <row r="466">
      <c r="R466" s="102"/>
    </row>
    <row r="467">
      <c r="R467" s="102"/>
    </row>
    <row r="468">
      <c r="R468" s="102"/>
    </row>
    <row r="469">
      <c r="R469" s="102"/>
    </row>
    <row r="470">
      <c r="R470" s="102"/>
    </row>
    <row r="471">
      <c r="R471" s="102"/>
    </row>
    <row r="472">
      <c r="R472" s="102"/>
    </row>
    <row r="473">
      <c r="R473" s="102"/>
    </row>
    <row r="474">
      <c r="R474" s="102"/>
    </row>
    <row r="475">
      <c r="R475" s="102"/>
    </row>
    <row r="476">
      <c r="R476" s="102"/>
    </row>
    <row r="477">
      <c r="R477" s="102"/>
    </row>
    <row r="478">
      <c r="R478" s="102"/>
    </row>
    <row r="479">
      <c r="R479" s="102"/>
    </row>
    <row r="480">
      <c r="R480" s="102"/>
    </row>
    <row r="481">
      <c r="R481" s="102"/>
    </row>
    <row r="482">
      <c r="R482" s="102"/>
    </row>
    <row r="483">
      <c r="R483" s="102"/>
    </row>
    <row r="484">
      <c r="R484" s="102"/>
    </row>
    <row r="485">
      <c r="R485" s="102"/>
    </row>
    <row r="486">
      <c r="R486" s="102"/>
    </row>
    <row r="487">
      <c r="R487" s="102"/>
    </row>
    <row r="488">
      <c r="R488" s="102"/>
    </row>
    <row r="489">
      <c r="R489" s="102"/>
    </row>
    <row r="490">
      <c r="R490" s="102"/>
    </row>
    <row r="491">
      <c r="R491" s="102"/>
    </row>
    <row r="492">
      <c r="R492" s="102"/>
    </row>
    <row r="493">
      <c r="R493" s="102"/>
    </row>
    <row r="494">
      <c r="R494" s="102"/>
    </row>
    <row r="495">
      <c r="R495" s="102"/>
    </row>
    <row r="496">
      <c r="R496" s="102"/>
    </row>
    <row r="497">
      <c r="R497" s="102"/>
    </row>
    <row r="498">
      <c r="R498" s="102"/>
    </row>
    <row r="499">
      <c r="R499" s="102"/>
    </row>
    <row r="500">
      <c r="R500" s="102"/>
    </row>
    <row r="501">
      <c r="R501" s="102"/>
    </row>
    <row r="502">
      <c r="R502" s="102"/>
    </row>
    <row r="503">
      <c r="R503" s="102"/>
    </row>
    <row r="504">
      <c r="R504" s="102"/>
    </row>
    <row r="505">
      <c r="R505" s="102"/>
    </row>
    <row r="506">
      <c r="R506" s="102"/>
    </row>
    <row r="507">
      <c r="R507" s="102"/>
    </row>
    <row r="508">
      <c r="R508" s="102"/>
    </row>
    <row r="509">
      <c r="R509" s="102"/>
    </row>
    <row r="510">
      <c r="R510" s="102"/>
    </row>
    <row r="511">
      <c r="R511" s="102"/>
    </row>
    <row r="512">
      <c r="R512" s="102"/>
    </row>
    <row r="513">
      <c r="R513" s="102"/>
    </row>
    <row r="514">
      <c r="R514" s="102"/>
    </row>
    <row r="515">
      <c r="R515" s="102"/>
    </row>
    <row r="516">
      <c r="R516" s="102"/>
    </row>
    <row r="517">
      <c r="R517" s="102"/>
    </row>
    <row r="518">
      <c r="R518" s="102"/>
    </row>
    <row r="519">
      <c r="R519" s="102"/>
    </row>
    <row r="520">
      <c r="R520" s="102"/>
    </row>
    <row r="521">
      <c r="R521" s="102"/>
    </row>
    <row r="522">
      <c r="R522" s="102"/>
    </row>
    <row r="523">
      <c r="R523" s="102"/>
    </row>
    <row r="524">
      <c r="R524" s="102"/>
    </row>
    <row r="525">
      <c r="R525" s="102"/>
    </row>
    <row r="526">
      <c r="R526" s="102"/>
    </row>
    <row r="527">
      <c r="R527" s="102"/>
    </row>
    <row r="528">
      <c r="R528" s="102"/>
    </row>
    <row r="529">
      <c r="R529" s="102"/>
    </row>
    <row r="530">
      <c r="R530" s="102"/>
    </row>
    <row r="531">
      <c r="R531" s="102"/>
    </row>
    <row r="532">
      <c r="R532" s="102"/>
    </row>
    <row r="533">
      <c r="R533" s="102"/>
    </row>
    <row r="534">
      <c r="R534" s="102"/>
    </row>
    <row r="535">
      <c r="R535" s="102"/>
    </row>
    <row r="536">
      <c r="R536" s="102"/>
    </row>
    <row r="537">
      <c r="R537" s="102"/>
    </row>
    <row r="538">
      <c r="R538" s="102"/>
    </row>
    <row r="539">
      <c r="R539" s="102"/>
    </row>
    <row r="540">
      <c r="R540" s="102"/>
    </row>
    <row r="541">
      <c r="R541" s="102"/>
    </row>
    <row r="542">
      <c r="R542" s="102"/>
    </row>
    <row r="543">
      <c r="R543" s="102"/>
    </row>
    <row r="544">
      <c r="R544" s="102"/>
    </row>
    <row r="545">
      <c r="R545" s="102"/>
    </row>
    <row r="546">
      <c r="R546" s="102"/>
    </row>
    <row r="547">
      <c r="R547" s="102"/>
    </row>
    <row r="548">
      <c r="R548" s="102"/>
    </row>
    <row r="549">
      <c r="R549" s="102"/>
    </row>
    <row r="550">
      <c r="R550" s="102"/>
    </row>
    <row r="551">
      <c r="R551" s="102"/>
    </row>
    <row r="552">
      <c r="R552" s="102"/>
    </row>
    <row r="553">
      <c r="R553" s="102"/>
    </row>
    <row r="554">
      <c r="R554" s="102"/>
    </row>
    <row r="555">
      <c r="R555" s="102"/>
    </row>
    <row r="556">
      <c r="R556" s="102"/>
    </row>
    <row r="557">
      <c r="R557" s="102"/>
    </row>
    <row r="558">
      <c r="R558" s="102"/>
    </row>
    <row r="559">
      <c r="R559" s="102"/>
    </row>
    <row r="560">
      <c r="R560" s="102"/>
    </row>
    <row r="561">
      <c r="R561" s="102"/>
    </row>
    <row r="562">
      <c r="R562" s="102"/>
    </row>
    <row r="563">
      <c r="R563" s="102"/>
    </row>
    <row r="564">
      <c r="R564" s="102"/>
    </row>
    <row r="565">
      <c r="R565" s="102"/>
    </row>
    <row r="566">
      <c r="R566" s="102"/>
    </row>
    <row r="567">
      <c r="R567" s="102"/>
    </row>
    <row r="568">
      <c r="R568" s="102"/>
    </row>
    <row r="569">
      <c r="R569" s="102"/>
    </row>
    <row r="570">
      <c r="R570" s="102"/>
    </row>
    <row r="571">
      <c r="R571" s="102"/>
    </row>
    <row r="572">
      <c r="R572" s="102"/>
    </row>
    <row r="573">
      <c r="R573" s="102"/>
    </row>
    <row r="574">
      <c r="R574" s="102"/>
    </row>
    <row r="575">
      <c r="R575" s="102"/>
    </row>
    <row r="576">
      <c r="R576" s="102"/>
    </row>
    <row r="577">
      <c r="R577" s="102"/>
    </row>
    <row r="578">
      <c r="R578" s="102"/>
    </row>
    <row r="579">
      <c r="R579" s="102"/>
    </row>
    <row r="580">
      <c r="R580" s="102"/>
    </row>
    <row r="581">
      <c r="R581" s="102"/>
    </row>
    <row r="582">
      <c r="R582" s="102"/>
    </row>
    <row r="583">
      <c r="R583" s="102"/>
    </row>
    <row r="584">
      <c r="R584" s="102"/>
    </row>
    <row r="585">
      <c r="R585" s="102"/>
    </row>
    <row r="586">
      <c r="R586" s="102"/>
    </row>
    <row r="587">
      <c r="R587" s="102"/>
    </row>
    <row r="588">
      <c r="R588" s="102"/>
    </row>
    <row r="589">
      <c r="R589" s="102"/>
    </row>
    <row r="590">
      <c r="R590" s="102"/>
    </row>
    <row r="591">
      <c r="R591" s="102"/>
    </row>
    <row r="592">
      <c r="R592" s="102"/>
    </row>
    <row r="593">
      <c r="R593" s="102"/>
    </row>
    <row r="594">
      <c r="R594" s="102"/>
    </row>
    <row r="595">
      <c r="R595" s="102"/>
    </row>
    <row r="596">
      <c r="R596" s="102"/>
    </row>
    <row r="597">
      <c r="R597" s="102"/>
    </row>
    <row r="598">
      <c r="R598" s="102"/>
    </row>
    <row r="599">
      <c r="R599" s="102"/>
    </row>
    <row r="600">
      <c r="R600" s="102"/>
    </row>
    <row r="601">
      <c r="R601" s="102"/>
    </row>
    <row r="602">
      <c r="R602" s="102"/>
    </row>
    <row r="603">
      <c r="R603" s="102"/>
    </row>
    <row r="604">
      <c r="R604" s="102"/>
    </row>
    <row r="605">
      <c r="R605" s="102"/>
    </row>
    <row r="606">
      <c r="R606" s="102"/>
    </row>
    <row r="607">
      <c r="R607" s="102"/>
    </row>
    <row r="608">
      <c r="R608" s="102"/>
    </row>
    <row r="609">
      <c r="R609" s="102"/>
    </row>
    <row r="610">
      <c r="R610" s="102"/>
    </row>
    <row r="611">
      <c r="R611" s="102"/>
    </row>
    <row r="612">
      <c r="R612" s="102"/>
    </row>
    <row r="613">
      <c r="R613" s="102"/>
    </row>
    <row r="614">
      <c r="R614" s="102"/>
    </row>
    <row r="615">
      <c r="R615" s="102"/>
    </row>
    <row r="616">
      <c r="R616" s="102"/>
    </row>
    <row r="617">
      <c r="R617" s="102"/>
    </row>
    <row r="618">
      <c r="R618" s="102"/>
    </row>
    <row r="619">
      <c r="R619" s="102"/>
    </row>
    <row r="620">
      <c r="R620" s="102"/>
    </row>
    <row r="621">
      <c r="R621" s="102"/>
    </row>
    <row r="622">
      <c r="R622" s="102"/>
    </row>
    <row r="623">
      <c r="R623" s="102"/>
    </row>
    <row r="624">
      <c r="R624" s="102"/>
    </row>
    <row r="625">
      <c r="R625" s="102"/>
    </row>
    <row r="626">
      <c r="R626" s="102"/>
    </row>
    <row r="627">
      <c r="R627" s="102"/>
    </row>
    <row r="628">
      <c r="R628" s="102"/>
    </row>
    <row r="629">
      <c r="R629" s="102"/>
    </row>
    <row r="630">
      <c r="R630" s="102"/>
    </row>
    <row r="631">
      <c r="R631" s="102"/>
    </row>
    <row r="632">
      <c r="R632" s="102"/>
    </row>
    <row r="633">
      <c r="R633" s="102"/>
    </row>
    <row r="634">
      <c r="R634" s="102"/>
    </row>
    <row r="635">
      <c r="R635" s="102"/>
    </row>
    <row r="636">
      <c r="R636" s="102"/>
    </row>
    <row r="637">
      <c r="R637" s="102"/>
    </row>
    <row r="638">
      <c r="R638" s="102"/>
    </row>
    <row r="639">
      <c r="R639" s="102"/>
    </row>
    <row r="640">
      <c r="R640" s="102"/>
    </row>
    <row r="641">
      <c r="R641" s="102"/>
    </row>
    <row r="642">
      <c r="R642" s="102"/>
    </row>
    <row r="643">
      <c r="R643" s="102"/>
    </row>
    <row r="644">
      <c r="R644" s="102"/>
    </row>
    <row r="645">
      <c r="R645" s="102"/>
    </row>
    <row r="646">
      <c r="R646" s="102"/>
    </row>
    <row r="647">
      <c r="R647" s="102"/>
    </row>
    <row r="648">
      <c r="R648" s="102"/>
    </row>
    <row r="649">
      <c r="R649" s="102"/>
    </row>
    <row r="650">
      <c r="R650" s="102"/>
    </row>
    <row r="651">
      <c r="R651" s="102"/>
    </row>
    <row r="652">
      <c r="R652" s="102"/>
    </row>
    <row r="653">
      <c r="R653" s="102"/>
    </row>
    <row r="654">
      <c r="R654" s="102"/>
    </row>
    <row r="655">
      <c r="R655" s="102"/>
    </row>
    <row r="656">
      <c r="R656" s="102"/>
    </row>
    <row r="657">
      <c r="R657" s="102"/>
    </row>
    <row r="658">
      <c r="R658" s="102"/>
    </row>
    <row r="659">
      <c r="R659" s="102"/>
    </row>
    <row r="660">
      <c r="R660" s="102"/>
    </row>
    <row r="661">
      <c r="R661" s="102"/>
    </row>
    <row r="662">
      <c r="R662" s="102"/>
    </row>
    <row r="663">
      <c r="R663" s="102"/>
    </row>
    <row r="664">
      <c r="R664" s="102"/>
    </row>
    <row r="665">
      <c r="R665" s="102"/>
    </row>
    <row r="666">
      <c r="R666" s="102"/>
    </row>
    <row r="667">
      <c r="R667" s="102"/>
    </row>
    <row r="668">
      <c r="R668" s="102"/>
    </row>
    <row r="669">
      <c r="R669" s="102"/>
    </row>
    <row r="670">
      <c r="R670" s="102"/>
    </row>
    <row r="671">
      <c r="R671" s="102"/>
    </row>
    <row r="672">
      <c r="R672" s="102"/>
    </row>
    <row r="673">
      <c r="R673" s="102"/>
    </row>
    <row r="674">
      <c r="R674" s="102"/>
    </row>
    <row r="675">
      <c r="R675" s="102"/>
    </row>
    <row r="676">
      <c r="R676" s="102"/>
    </row>
    <row r="677">
      <c r="R677" s="102"/>
    </row>
    <row r="678">
      <c r="R678" s="102"/>
    </row>
    <row r="679">
      <c r="R679" s="102"/>
    </row>
    <row r="680">
      <c r="R680" s="102"/>
    </row>
    <row r="681">
      <c r="R681" s="102"/>
    </row>
    <row r="682">
      <c r="R682" s="102"/>
    </row>
    <row r="683">
      <c r="R683" s="102"/>
    </row>
    <row r="684">
      <c r="R684" s="102"/>
    </row>
    <row r="685">
      <c r="R685" s="102"/>
    </row>
    <row r="686">
      <c r="R686" s="102"/>
    </row>
    <row r="687">
      <c r="R687" s="102"/>
    </row>
    <row r="688">
      <c r="R688" s="102"/>
    </row>
    <row r="689">
      <c r="R689" s="102"/>
    </row>
    <row r="690">
      <c r="R690" s="102"/>
    </row>
    <row r="691">
      <c r="R691" s="102"/>
    </row>
    <row r="692">
      <c r="R692" s="102"/>
    </row>
    <row r="693">
      <c r="R693" s="102"/>
    </row>
    <row r="694">
      <c r="R694" s="102"/>
    </row>
    <row r="695">
      <c r="R695" s="102"/>
    </row>
    <row r="696">
      <c r="R696" s="102"/>
    </row>
    <row r="697">
      <c r="R697" s="102"/>
    </row>
    <row r="698">
      <c r="R698" s="102"/>
    </row>
    <row r="699">
      <c r="R699" s="102"/>
    </row>
    <row r="700">
      <c r="R700" s="102"/>
    </row>
    <row r="701">
      <c r="R701" s="102"/>
    </row>
    <row r="702">
      <c r="R702" s="102"/>
    </row>
    <row r="703">
      <c r="R703" s="102"/>
    </row>
    <row r="704">
      <c r="R704" s="102"/>
    </row>
    <row r="705">
      <c r="R705" s="102"/>
    </row>
    <row r="706">
      <c r="R706" s="102"/>
    </row>
    <row r="707">
      <c r="R707" s="102"/>
    </row>
    <row r="708">
      <c r="R708" s="102"/>
    </row>
    <row r="709">
      <c r="R709" s="102"/>
    </row>
    <row r="710">
      <c r="R710" s="102"/>
    </row>
    <row r="711">
      <c r="R711" s="102"/>
    </row>
    <row r="712">
      <c r="R712" s="102"/>
    </row>
    <row r="713">
      <c r="R713" s="102"/>
    </row>
    <row r="714">
      <c r="R714" s="102"/>
    </row>
    <row r="715">
      <c r="R715" s="102"/>
    </row>
    <row r="716">
      <c r="R716" s="102"/>
    </row>
    <row r="717">
      <c r="R717" s="102"/>
    </row>
    <row r="718">
      <c r="R718" s="102"/>
    </row>
    <row r="719">
      <c r="R719" s="102"/>
    </row>
    <row r="720">
      <c r="R720" s="102"/>
    </row>
    <row r="721">
      <c r="R721" s="102"/>
    </row>
    <row r="722">
      <c r="R722" s="102"/>
    </row>
    <row r="723">
      <c r="R723" s="102"/>
    </row>
    <row r="724">
      <c r="R724" s="102"/>
    </row>
    <row r="725">
      <c r="R725" s="102"/>
    </row>
    <row r="726">
      <c r="R726" s="102"/>
    </row>
    <row r="727">
      <c r="R727" s="102"/>
    </row>
    <row r="728">
      <c r="R728" s="102"/>
    </row>
    <row r="729">
      <c r="R729" s="102"/>
    </row>
    <row r="730">
      <c r="R730" s="102"/>
    </row>
    <row r="731">
      <c r="R731" s="102"/>
    </row>
    <row r="732">
      <c r="R732" s="102"/>
    </row>
    <row r="733">
      <c r="R733" s="102"/>
    </row>
    <row r="734">
      <c r="R734" s="102"/>
    </row>
    <row r="735">
      <c r="R735" s="102"/>
    </row>
    <row r="736">
      <c r="R736" s="102"/>
    </row>
    <row r="737">
      <c r="R737" s="102"/>
    </row>
    <row r="738">
      <c r="R738" s="102"/>
    </row>
    <row r="739">
      <c r="R739" s="102"/>
    </row>
    <row r="740">
      <c r="R740" s="102"/>
    </row>
    <row r="741">
      <c r="R741" s="102"/>
    </row>
    <row r="742">
      <c r="R742" s="102"/>
    </row>
    <row r="743">
      <c r="R743" s="102"/>
    </row>
    <row r="744">
      <c r="R744" s="102"/>
    </row>
    <row r="745">
      <c r="R745" s="102"/>
    </row>
    <row r="746">
      <c r="R746" s="102"/>
    </row>
    <row r="747">
      <c r="R747" s="102"/>
    </row>
    <row r="748">
      <c r="R748" s="102"/>
    </row>
    <row r="749">
      <c r="R749" s="102"/>
    </row>
    <row r="750">
      <c r="R750" s="102"/>
    </row>
    <row r="751">
      <c r="R751" s="102"/>
    </row>
    <row r="752">
      <c r="R752" s="102"/>
    </row>
    <row r="753">
      <c r="R753" s="102"/>
    </row>
    <row r="754">
      <c r="R754" s="102"/>
    </row>
    <row r="755">
      <c r="R755" s="102"/>
    </row>
    <row r="756">
      <c r="R756" s="102"/>
    </row>
    <row r="757">
      <c r="R757" s="102"/>
    </row>
    <row r="758">
      <c r="R758" s="102"/>
    </row>
    <row r="759">
      <c r="R759" s="102"/>
    </row>
    <row r="760">
      <c r="R760" s="102"/>
    </row>
    <row r="761">
      <c r="R761" s="102"/>
    </row>
    <row r="762">
      <c r="R762" s="102"/>
    </row>
    <row r="763">
      <c r="R763" s="102"/>
    </row>
    <row r="764">
      <c r="R764" s="102"/>
    </row>
    <row r="765">
      <c r="R765" s="102"/>
    </row>
    <row r="766">
      <c r="R766" s="102"/>
    </row>
    <row r="767">
      <c r="R767" s="102"/>
    </row>
    <row r="768">
      <c r="R768" s="102"/>
    </row>
    <row r="769">
      <c r="R769" s="102"/>
    </row>
    <row r="770">
      <c r="R770" s="102"/>
    </row>
    <row r="771">
      <c r="R771" s="102"/>
    </row>
    <row r="772">
      <c r="R772" s="102"/>
    </row>
    <row r="773">
      <c r="R773" s="102"/>
    </row>
    <row r="774">
      <c r="R774" s="102"/>
    </row>
    <row r="775">
      <c r="R775" s="102"/>
    </row>
    <row r="776">
      <c r="R776" s="102"/>
    </row>
    <row r="777">
      <c r="R777" s="102"/>
    </row>
    <row r="778">
      <c r="R778" s="102"/>
    </row>
    <row r="779">
      <c r="R779" s="102"/>
    </row>
    <row r="780">
      <c r="R780" s="102"/>
    </row>
    <row r="781">
      <c r="R781" s="102"/>
    </row>
    <row r="782">
      <c r="R782" s="102"/>
    </row>
    <row r="783">
      <c r="R783" s="102"/>
    </row>
    <row r="784">
      <c r="R784" s="102"/>
    </row>
    <row r="785">
      <c r="R785" s="102"/>
    </row>
    <row r="786">
      <c r="R786" s="102"/>
    </row>
    <row r="787">
      <c r="R787" s="102"/>
    </row>
    <row r="788">
      <c r="R788" s="102"/>
    </row>
    <row r="789">
      <c r="R789" s="102"/>
    </row>
    <row r="790">
      <c r="R790" s="102"/>
    </row>
    <row r="791">
      <c r="R791" s="102"/>
    </row>
    <row r="792">
      <c r="R792" s="102"/>
    </row>
    <row r="793">
      <c r="R793" s="102"/>
    </row>
    <row r="794">
      <c r="R794" s="102"/>
    </row>
    <row r="795">
      <c r="R795" s="102"/>
    </row>
    <row r="796">
      <c r="R796" s="102"/>
    </row>
    <row r="797">
      <c r="R797" s="102"/>
    </row>
    <row r="798">
      <c r="R798" s="102"/>
    </row>
    <row r="799">
      <c r="R799" s="102"/>
    </row>
    <row r="800">
      <c r="R800" s="102"/>
    </row>
    <row r="801">
      <c r="R801" s="102"/>
    </row>
    <row r="802">
      <c r="R802" s="102"/>
    </row>
    <row r="803">
      <c r="R803" s="102"/>
    </row>
    <row r="804">
      <c r="R804" s="102"/>
    </row>
    <row r="805">
      <c r="R805" s="102"/>
    </row>
    <row r="806">
      <c r="R806" s="102"/>
    </row>
    <row r="807">
      <c r="R807" s="102"/>
    </row>
    <row r="808">
      <c r="R808" s="102"/>
    </row>
    <row r="809">
      <c r="R809" s="102"/>
    </row>
    <row r="810">
      <c r="R810" s="102"/>
    </row>
    <row r="811">
      <c r="R811" s="102"/>
    </row>
    <row r="812">
      <c r="R812" s="102"/>
    </row>
    <row r="813">
      <c r="R813" s="102"/>
    </row>
    <row r="814">
      <c r="R814" s="102"/>
    </row>
    <row r="815">
      <c r="R815" s="102"/>
    </row>
    <row r="816">
      <c r="R816" s="102"/>
    </row>
    <row r="817">
      <c r="R817" s="102"/>
    </row>
    <row r="818">
      <c r="R818" s="102"/>
    </row>
    <row r="819">
      <c r="R819" s="102"/>
    </row>
    <row r="820">
      <c r="R820" s="102"/>
    </row>
    <row r="821">
      <c r="R821" s="102"/>
    </row>
    <row r="822">
      <c r="R822" s="102"/>
    </row>
    <row r="823">
      <c r="R823" s="102"/>
    </row>
    <row r="824">
      <c r="R824" s="102"/>
    </row>
    <row r="825">
      <c r="R825" s="102"/>
    </row>
    <row r="826">
      <c r="R826" s="102"/>
    </row>
    <row r="827">
      <c r="R827" s="102"/>
    </row>
    <row r="828">
      <c r="R828" s="102"/>
    </row>
    <row r="829">
      <c r="R829" s="102"/>
    </row>
    <row r="830">
      <c r="R830" s="102"/>
    </row>
    <row r="831">
      <c r="R831" s="102"/>
    </row>
    <row r="832">
      <c r="R832" s="102"/>
    </row>
    <row r="833">
      <c r="R833" s="102"/>
    </row>
    <row r="834">
      <c r="R834" s="102"/>
    </row>
    <row r="835">
      <c r="R835" s="102"/>
    </row>
    <row r="836">
      <c r="R836" s="102"/>
    </row>
    <row r="837">
      <c r="R837" s="102"/>
    </row>
    <row r="838">
      <c r="R838" s="102"/>
    </row>
    <row r="839">
      <c r="R839" s="102"/>
    </row>
    <row r="840">
      <c r="R840" s="102"/>
    </row>
    <row r="841">
      <c r="R841" s="102"/>
    </row>
    <row r="842">
      <c r="R842" s="102"/>
    </row>
    <row r="843">
      <c r="R843" s="102"/>
    </row>
    <row r="844">
      <c r="R844" s="102"/>
    </row>
    <row r="845">
      <c r="R845" s="102"/>
    </row>
    <row r="846">
      <c r="R846" s="102"/>
    </row>
    <row r="847">
      <c r="R847" s="102"/>
    </row>
    <row r="848">
      <c r="R848" s="102"/>
    </row>
    <row r="849">
      <c r="R849" s="102"/>
    </row>
    <row r="850">
      <c r="R850" s="102"/>
    </row>
    <row r="851">
      <c r="R851" s="102"/>
    </row>
    <row r="852">
      <c r="R852" s="102"/>
    </row>
    <row r="853">
      <c r="R853" s="102"/>
    </row>
    <row r="854">
      <c r="R854" s="102"/>
    </row>
    <row r="855">
      <c r="R855" s="102"/>
    </row>
    <row r="856">
      <c r="R856" s="102"/>
    </row>
    <row r="857">
      <c r="R857" s="102"/>
    </row>
    <row r="858">
      <c r="R858" s="102"/>
    </row>
    <row r="859">
      <c r="R859" s="102"/>
    </row>
    <row r="860">
      <c r="R860" s="102"/>
    </row>
    <row r="861">
      <c r="R861" s="102"/>
    </row>
    <row r="862">
      <c r="R862" s="102"/>
    </row>
    <row r="863">
      <c r="R863" s="102"/>
    </row>
    <row r="864">
      <c r="R864" s="102"/>
    </row>
    <row r="865">
      <c r="R865" s="102"/>
    </row>
    <row r="866">
      <c r="R866" s="102"/>
    </row>
    <row r="867">
      <c r="R867" s="102"/>
    </row>
    <row r="868">
      <c r="R868" s="102"/>
    </row>
    <row r="869">
      <c r="R869" s="102"/>
    </row>
    <row r="870">
      <c r="R870" s="102"/>
    </row>
    <row r="871">
      <c r="R871" s="102"/>
    </row>
    <row r="872">
      <c r="R872" s="102"/>
    </row>
    <row r="873">
      <c r="R873" s="102"/>
    </row>
    <row r="874">
      <c r="R874" s="102"/>
    </row>
    <row r="875">
      <c r="R875" s="102"/>
    </row>
    <row r="876">
      <c r="R876" s="102"/>
    </row>
    <row r="877">
      <c r="R877" s="102"/>
    </row>
    <row r="878">
      <c r="R878" s="102"/>
    </row>
    <row r="879">
      <c r="R879" s="102"/>
    </row>
    <row r="880">
      <c r="R880" s="102"/>
    </row>
    <row r="881">
      <c r="R881" s="102"/>
    </row>
    <row r="882">
      <c r="R882" s="102"/>
    </row>
    <row r="883">
      <c r="R883" s="102"/>
    </row>
    <row r="884">
      <c r="R884" s="102"/>
    </row>
    <row r="885">
      <c r="R885" s="102"/>
    </row>
    <row r="886">
      <c r="R886" s="102"/>
    </row>
    <row r="887">
      <c r="R887" s="102"/>
    </row>
    <row r="888">
      <c r="R888" s="102"/>
    </row>
    <row r="889">
      <c r="R889" s="102"/>
    </row>
    <row r="890">
      <c r="R890" s="102"/>
    </row>
    <row r="891">
      <c r="R891" s="102"/>
    </row>
    <row r="892">
      <c r="R892" s="102"/>
    </row>
    <row r="893">
      <c r="R893" s="102"/>
    </row>
    <row r="894">
      <c r="R894" s="102"/>
    </row>
    <row r="895">
      <c r="R895" s="102"/>
    </row>
    <row r="896">
      <c r="R896" s="102"/>
    </row>
    <row r="897">
      <c r="R897" s="102"/>
    </row>
    <row r="898">
      <c r="R898" s="102"/>
    </row>
    <row r="899">
      <c r="R899" s="102"/>
    </row>
    <row r="900">
      <c r="R900" s="102"/>
    </row>
    <row r="901">
      <c r="R901" s="102"/>
    </row>
    <row r="902">
      <c r="R902" s="102"/>
    </row>
    <row r="903">
      <c r="R903" s="102"/>
    </row>
    <row r="904">
      <c r="R904" s="102"/>
    </row>
    <row r="905">
      <c r="R905" s="102"/>
    </row>
    <row r="906">
      <c r="R906" s="102"/>
    </row>
    <row r="907">
      <c r="R907" s="102"/>
    </row>
    <row r="908">
      <c r="R908" s="102"/>
    </row>
    <row r="909">
      <c r="R909" s="102"/>
    </row>
    <row r="910">
      <c r="R910" s="102"/>
    </row>
    <row r="911">
      <c r="R911" s="102"/>
    </row>
    <row r="912">
      <c r="R912" s="102"/>
    </row>
    <row r="913">
      <c r="R913" s="102"/>
    </row>
    <row r="914">
      <c r="R914" s="102"/>
    </row>
    <row r="915">
      <c r="R915" s="102"/>
    </row>
    <row r="916">
      <c r="R916" s="102"/>
    </row>
    <row r="917">
      <c r="R917" s="102"/>
    </row>
    <row r="918">
      <c r="R918" s="102"/>
    </row>
    <row r="919">
      <c r="R919" s="102"/>
    </row>
    <row r="920">
      <c r="R920" s="102"/>
    </row>
    <row r="921">
      <c r="R921" s="102"/>
    </row>
    <row r="922">
      <c r="R922" s="102"/>
    </row>
    <row r="923">
      <c r="R923" s="102"/>
    </row>
    <row r="924">
      <c r="R924" s="102"/>
    </row>
    <row r="925">
      <c r="R925" s="102"/>
    </row>
    <row r="926">
      <c r="R926" s="102"/>
    </row>
    <row r="927">
      <c r="R927" s="102"/>
    </row>
    <row r="928">
      <c r="R928" s="102"/>
    </row>
    <row r="929">
      <c r="R929" s="102"/>
    </row>
    <row r="930">
      <c r="R930" s="102"/>
    </row>
    <row r="931">
      <c r="R931" s="102"/>
    </row>
    <row r="932">
      <c r="R932" s="102"/>
    </row>
    <row r="933">
      <c r="R933" s="102"/>
    </row>
    <row r="934">
      <c r="R934" s="102"/>
    </row>
    <row r="935">
      <c r="R935" s="102"/>
    </row>
    <row r="936">
      <c r="R936" s="102"/>
    </row>
    <row r="937">
      <c r="R937" s="102"/>
    </row>
    <row r="938">
      <c r="R938" s="102"/>
    </row>
    <row r="939">
      <c r="R939" s="102"/>
    </row>
    <row r="940">
      <c r="R940" s="102"/>
    </row>
    <row r="941">
      <c r="R941" s="102"/>
    </row>
    <row r="942">
      <c r="R942" s="102"/>
    </row>
    <row r="943">
      <c r="R943" s="102"/>
    </row>
    <row r="944">
      <c r="R944" s="102"/>
    </row>
    <row r="945">
      <c r="R945" s="102"/>
    </row>
    <row r="946">
      <c r="R946" s="102"/>
    </row>
    <row r="947">
      <c r="R947" s="102"/>
    </row>
    <row r="948">
      <c r="R948" s="102"/>
    </row>
    <row r="949">
      <c r="R949" s="102"/>
    </row>
    <row r="950">
      <c r="R950" s="102"/>
    </row>
    <row r="951">
      <c r="R951" s="102"/>
    </row>
    <row r="952">
      <c r="R952" s="102"/>
    </row>
    <row r="953">
      <c r="R953" s="102"/>
    </row>
    <row r="954">
      <c r="R954" s="102"/>
    </row>
    <row r="955">
      <c r="R955" s="102"/>
    </row>
    <row r="956">
      <c r="R956" s="102"/>
    </row>
    <row r="957">
      <c r="R957" s="102"/>
    </row>
    <row r="958">
      <c r="R958" s="102"/>
    </row>
    <row r="959">
      <c r="R959" s="102"/>
    </row>
    <row r="960">
      <c r="R960" s="102"/>
    </row>
    <row r="961">
      <c r="R961" s="102"/>
    </row>
    <row r="962">
      <c r="R962" s="102"/>
    </row>
    <row r="963">
      <c r="R963" s="102"/>
    </row>
    <row r="964">
      <c r="R964" s="102"/>
    </row>
    <row r="965">
      <c r="R965" s="102"/>
    </row>
    <row r="966">
      <c r="R966" s="102"/>
    </row>
    <row r="967">
      <c r="R967" s="102"/>
    </row>
    <row r="968">
      <c r="R968" s="102"/>
    </row>
    <row r="969">
      <c r="R969" s="102"/>
    </row>
    <row r="970">
      <c r="R970" s="102"/>
    </row>
    <row r="971">
      <c r="R971" s="102"/>
    </row>
    <row r="972">
      <c r="R972" s="102"/>
    </row>
    <row r="973">
      <c r="R973" s="102"/>
    </row>
    <row r="974">
      <c r="R974" s="102"/>
    </row>
    <row r="975">
      <c r="R975" s="102"/>
    </row>
    <row r="976">
      <c r="R976" s="102"/>
    </row>
    <row r="977">
      <c r="R977" s="102"/>
    </row>
    <row r="978">
      <c r="R978" s="102"/>
    </row>
    <row r="979">
      <c r="R979" s="102"/>
    </row>
    <row r="980">
      <c r="R980" s="102"/>
    </row>
    <row r="981">
      <c r="R981" s="102"/>
    </row>
    <row r="982">
      <c r="R982" s="102"/>
    </row>
    <row r="983">
      <c r="R983" s="102"/>
    </row>
    <row r="984">
      <c r="R984" s="102"/>
    </row>
    <row r="985">
      <c r="R985" s="102"/>
    </row>
    <row r="986">
      <c r="R986" s="102"/>
    </row>
    <row r="987">
      <c r="R987" s="102"/>
    </row>
    <row r="988">
      <c r="R988" s="102"/>
    </row>
    <row r="989">
      <c r="R989" s="102"/>
    </row>
    <row r="990">
      <c r="R990" s="102"/>
    </row>
    <row r="991">
      <c r="R991" s="102"/>
    </row>
    <row r="992">
      <c r="R992" s="102"/>
    </row>
    <row r="993">
      <c r="R993" s="102"/>
    </row>
    <row r="994">
      <c r="R994" s="102"/>
    </row>
    <row r="995">
      <c r="R995" s="102"/>
    </row>
    <row r="996">
      <c r="R996" s="102"/>
    </row>
    <row r="997">
      <c r="R997" s="102"/>
    </row>
    <row r="998">
      <c r="R998" s="102"/>
    </row>
    <row r="999">
      <c r="R999" s="102"/>
    </row>
    <row r="1000">
      <c r="R1000" s="102"/>
    </row>
    <row r="1001">
      <c r="R1001" s="102"/>
    </row>
    <row r="1002">
      <c r="R1002" s="102"/>
    </row>
    <row r="1003">
      <c r="R1003" s="102"/>
    </row>
    <row r="1004">
      <c r="R1004" s="102"/>
    </row>
    <row r="1005">
      <c r="R1005" s="102"/>
    </row>
    <row r="1006">
      <c r="R1006" s="102"/>
    </row>
    <row r="1007">
      <c r="R1007" s="102"/>
    </row>
    <row r="1008">
      <c r="R1008" s="102"/>
    </row>
    <row r="1009">
      <c r="R1009" s="102"/>
    </row>
    <row r="1010">
      <c r="R1010" s="102"/>
    </row>
    <row r="1011">
      <c r="R1011" s="102"/>
    </row>
    <row r="1012">
      <c r="R1012" s="102"/>
    </row>
    <row r="1013">
      <c r="R1013" s="102"/>
    </row>
    <row r="1014">
      <c r="R1014" s="102"/>
    </row>
    <row r="1015">
      <c r="R1015" s="102"/>
    </row>
    <row r="1016">
      <c r="R1016" s="102"/>
    </row>
    <row r="1017">
      <c r="R1017" s="102"/>
    </row>
    <row r="1018">
      <c r="R1018" s="102"/>
    </row>
    <row r="1019">
      <c r="R1019" s="102"/>
    </row>
    <row r="1020">
      <c r="R1020" s="102"/>
    </row>
  </sheetData>
  <mergeCells count="1">
    <mergeCell ref="B29:C29"/>
  </mergeCells>
  <dataValidations>
    <dataValidation type="list" allowBlank="1" sqref="C30">
      <formula1>'Country data'!$A$6:$A1020</formula1>
    </dataValidation>
    <dataValidation type="list" allowBlank="1" showInputMessage="1" prompt="Click and enter a value from the list of items" sqref="C31">
      <formula1>"[person],[household],[village],[couple],[pregnancy],** You can add your own ***"</formula1>
    </dataValidation>
    <dataValidation type="list" allowBlank="1" sqref="C32">
      <formula1>"[DALY],[Consumption doublings],[YLL],[YLD],[$],[Mixed],** You can add your own ***"</formula1>
    </dataValidation>
  </dataValidations>
  <hyperlinks>
    <hyperlink r:id="rId2" ref="B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3" width="12.63"/>
    <col customWidth="1" min="4" max="4" width="25.13"/>
    <col customWidth="1" min="5" max="7" width="15.13"/>
    <col customWidth="1" min="8" max="44" width="10.13"/>
  </cols>
  <sheetData>
    <row r="1">
      <c r="A1" s="104"/>
      <c r="B1" s="52" t="s">
        <v>28</v>
      </c>
      <c r="C1" s="52" t="s">
        <v>29</v>
      </c>
      <c r="D1" s="105" t="s">
        <v>10</v>
      </c>
      <c r="E1" s="53" t="s">
        <v>30</v>
      </c>
      <c r="F1" s="53"/>
      <c r="G1" s="53"/>
      <c r="H1" s="53"/>
      <c r="I1" s="53"/>
      <c r="J1" s="53"/>
      <c r="K1" s="53"/>
      <c r="L1" s="53"/>
      <c r="M1" s="53"/>
      <c r="N1" s="53"/>
      <c r="O1" s="53"/>
      <c r="P1" s="53"/>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row>
    <row r="2" ht="27.0" customHeight="1">
      <c r="A2" s="107" t="s">
        <v>35</v>
      </c>
      <c r="B2" s="63"/>
      <c r="C2" s="108"/>
      <c r="D2" s="63"/>
      <c r="E2" s="63"/>
      <c r="F2" s="109"/>
      <c r="G2" s="110"/>
      <c r="H2" s="111"/>
      <c r="I2" s="111"/>
      <c r="J2" s="111"/>
      <c r="K2" s="111"/>
      <c r="L2" s="111"/>
      <c r="M2" s="111"/>
      <c r="N2" s="111"/>
      <c r="O2" s="111"/>
      <c r="P2" s="112"/>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row>
    <row r="3" ht="42.0" customHeight="1">
      <c r="A3" s="114" t="s">
        <v>78</v>
      </c>
      <c r="B3" s="115"/>
      <c r="C3" s="115"/>
      <c r="D3" s="115"/>
      <c r="E3" s="67"/>
      <c r="F3" s="116"/>
      <c r="G3" s="117"/>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c r="AP3" s="118"/>
      <c r="AQ3" s="118"/>
      <c r="AR3" s="118"/>
    </row>
    <row r="4" ht="15.0" customHeight="1">
      <c r="A4" s="64" t="s">
        <v>38</v>
      </c>
      <c r="B4" s="64" t="s">
        <v>79</v>
      </c>
      <c r="C4" s="64"/>
      <c r="D4" s="64"/>
      <c r="E4" s="64"/>
      <c r="F4" s="116"/>
      <c r="G4" s="117"/>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c r="AK4" s="118"/>
      <c r="AL4" s="118"/>
      <c r="AM4" s="118"/>
      <c r="AN4" s="118"/>
      <c r="AO4" s="118"/>
      <c r="AP4" s="118"/>
      <c r="AQ4" s="118"/>
      <c r="AR4" s="118"/>
    </row>
    <row r="5" ht="15.0" customHeight="1">
      <c r="A5" s="64" t="s">
        <v>41</v>
      </c>
      <c r="B5" s="64" t="s">
        <v>80</v>
      </c>
      <c r="C5" s="64"/>
      <c r="D5" s="64"/>
      <c r="E5" s="64"/>
      <c r="F5" s="116"/>
      <c r="G5" s="117"/>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c r="AK5" s="118"/>
      <c r="AL5" s="118"/>
      <c r="AM5" s="118"/>
      <c r="AN5" s="118"/>
      <c r="AO5" s="118"/>
      <c r="AP5" s="118"/>
      <c r="AQ5" s="118"/>
      <c r="AR5" s="118"/>
    </row>
    <row r="6" ht="15.0" customHeight="1">
      <c r="A6" s="64" t="s">
        <v>43</v>
      </c>
      <c r="B6" s="64" t="s">
        <v>81</v>
      </c>
      <c r="C6" s="64"/>
      <c r="D6" s="64"/>
      <c r="E6" s="64"/>
      <c r="F6" s="116"/>
      <c r="G6" s="117"/>
      <c r="H6" s="118"/>
      <c r="I6" s="118"/>
      <c r="J6" s="118"/>
      <c r="K6" s="118"/>
      <c r="L6" s="118"/>
      <c r="M6" s="118"/>
      <c r="N6" s="118"/>
      <c r="O6" s="118"/>
      <c r="P6" s="118"/>
      <c r="Q6" s="118"/>
      <c r="R6" s="118"/>
      <c r="S6" s="118"/>
      <c r="T6" s="118"/>
      <c r="U6" s="118"/>
      <c r="V6" s="118"/>
      <c r="W6" s="118"/>
      <c r="X6" s="118"/>
      <c r="Y6" s="118"/>
      <c r="Z6" s="118"/>
      <c r="AA6" s="118"/>
      <c r="AB6" s="118"/>
      <c r="AC6" s="118"/>
      <c r="AD6" s="118"/>
      <c r="AE6" s="118"/>
      <c r="AF6" s="118"/>
      <c r="AG6" s="118"/>
      <c r="AH6" s="118"/>
      <c r="AI6" s="118"/>
      <c r="AJ6" s="118"/>
      <c r="AK6" s="118"/>
      <c r="AL6" s="118"/>
      <c r="AM6" s="118"/>
      <c r="AN6" s="118"/>
      <c r="AO6" s="118"/>
      <c r="AP6" s="118"/>
      <c r="AQ6" s="118"/>
      <c r="AR6" s="118"/>
    </row>
    <row r="7" ht="15.0" customHeight="1">
      <c r="A7" s="64"/>
      <c r="B7" s="64"/>
      <c r="C7" s="64"/>
      <c r="D7" s="64"/>
      <c r="E7" s="64"/>
      <c r="F7" s="116"/>
      <c r="G7" s="117"/>
      <c r="H7" s="118"/>
      <c r="I7" s="118"/>
      <c r="J7" s="118"/>
      <c r="K7" s="118"/>
      <c r="L7" s="118"/>
      <c r="M7" s="118"/>
      <c r="N7" s="118"/>
      <c r="O7" s="118"/>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8"/>
      <c r="AQ7" s="118"/>
      <c r="AR7" s="118"/>
    </row>
    <row r="8" ht="15.0" customHeight="1">
      <c r="A8" s="64"/>
      <c r="B8" s="64"/>
      <c r="C8" s="64"/>
      <c r="D8" s="64"/>
      <c r="E8" s="64"/>
      <c r="F8" s="116"/>
      <c r="G8" s="117"/>
      <c r="H8" s="118"/>
      <c r="I8" s="118"/>
      <c r="J8" s="118"/>
      <c r="K8" s="118"/>
      <c r="L8" s="118"/>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row>
    <row r="9" ht="27.0" customHeight="1">
      <c r="A9" s="107" t="s">
        <v>46</v>
      </c>
      <c r="B9" s="63"/>
      <c r="C9" s="63"/>
      <c r="D9" s="63"/>
      <c r="E9" s="63"/>
      <c r="F9" s="111"/>
      <c r="G9" s="110"/>
      <c r="H9" s="111"/>
      <c r="I9" s="111"/>
      <c r="J9" s="111"/>
      <c r="K9" s="111"/>
      <c r="L9" s="111"/>
      <c r="M9" s="111"/>
      <c r="N9" s="111"/>
      <c r="O9" s="111"/>
      <c r="P9" s="112"/>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row>
    <row r="10" ht="15.0" customHeight="1">
      <c r="A10" s="64"/>
      <c r="B10" s="64"/>
      <c r="C10" s="64"/>
      <c r="D10" s="64"/>
      <c r="E10" s="64"/>
      <c r="F10" s="116"/>
      <c r="G10" s="117"/>
      <c r="H10" s="118"/>
      <c r="I10" s="118"/>
      <c r="J10" s="118"/>
      <c r="K10" s="118"/>
      <c r="L10" s="118"/>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row>
    <row r="11">
      <c r="A11" s="119" t="s">
        <v>48</v>
      </c>
      <c r="B11" s="75"/>
      <c r="C11" s="75"/>
      <c r="D11" s="120"/>
      <c r="E11" s="120"/>
      <c r="F11" s="121"/>
      <c r="G11" s="122"/>
      <c r="H11" s="123"/>
      <c r="I11" s="123"/>
      <c r="J11" s="123"/>
      <c r="K11" s="123"/>
      <c r="L11" s="123"/>
      <c r="M11" s="123"/>
      <c r="N11" s="123"/>
      <c r="O11" s="123"/>
      <c r="P11" s="123"/>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row>
    <row r="12" ht="15.0" customHeight="1">
      <c r="A12" s="81" t="s">
        <v>82</v>
      </c>
      <c r="B12" s="80">
        <v>130000.0</v>
      </c>
      <c r="C12" s="81" t="s">
        <v>52</v>
      </c>
      <c r="D12" s="64" t="s">
        <v>83</v>
      </c>
      <c r="E12" s="81"/>
      <c r="F12" s="125"/>
      <c r="G12" s="126"/>
      <c r="H12" s="127"/>
      <c r="I12" s="127"/>
      <c r="J12" s="127"/>
      <c r="K12" s="127"/>
      <c r="L12" s="127"/>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ht="15.0" customHeight="1">
      <c r="A13" s="81" t="s">
        <v>84</v>
      </c>
      <c r="B13" s="80">
        <v>280000.0</v>
      </c>
      <c r="C13" s="81" t="s">
        <v>52</v>
      </c>
      <c r="D13" s="40" t="s">
        <v>85</v>
      </c>
      <c r="E13" s="128"/>
      <c r="F13" s="125"/>
      <c r="G13" s="126"/>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row>
    <row r="14" ht="15.0" customHeight="1">
      <c r="A14" s="81" t="s">
        <v>86</v>
      </c>
      <c r="B14" s="129">
        <f>B13</f>
        <v>280000</v>
      </c>
      <c r="C14" s="81" t="s">
        <v>52</v>
      </c>
      <c r="E14" s="128"/>
      <c r="F14" s="125"/>
      <c r="G14" s="126"/>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row>
    <row r="15" ht="15.0" customHeight="1">
      <c r="A15" s="64"/>
      <c r="B15" s="64"/>
      <c r="C15" s="64"/>
      <c r="D15" s="64"/>
      <c r="E15" s="64"/>
      <c r="F15" s="116"/>
      <c r="G15" s="117"/>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row>
    <row r="16">
      <c r="A16" s="119" t="s">
        <v>87</v>
      </c>
      <c r="B16" s="130"/>
      <c r="C16" s="75"/>
      <c r="D16" s="120"/>
      <c r="E16" s="120"/>
      <c r="F16" s="121"/>
      <c r="G16" s="122"/>
      <c r="H16" s="123"/>
      <c r="I16" s="123"/>
      <c r="J16" s="123"/>
      <c r="K16" s="123"/>
      <c r="L16" s="123"/>
      <c r="M16" s="123"/>
      <c r="N16" s="123"/>
      <c r="O16" s="123"/>
      <c r="P16" s="123"/>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row>
    <row r="17" ht="15.0" customHeight="1">
      <c r="A17" s="81" t="str">
        <f>"Median salary in "&amp;B4</f>
        <v>Median salary in Thailand</v>
      </c>
      <c r="B17" s="131">
        <f t="array" ref="B17">INDEX('Median salaries'!G:G,MATCH(B4,'Median salaries'!A:A,0))</f>
        <v>14366.01944</v>
      </c>
      <c r="C17" s="81" t="s">
        <v>52</v>
      </c>
      <c r="D17" s="132"/>
      <c r="E17" s="81"/>
      <c r="F17" s="132"/>
      <c r="G17" s="60"/>
      <c r="I17" s="133"/>
      <c r="J17" s="133"/>
      <c r="K17" s="134"/>
      <c r="L17" s="135"/>
    </row>
    <row r="18" ht="15.0" customHeight="1">
      <c r="A18" s="81" t="s">
        <v>88</v>
      </c>
      <c r="B18" s="129">
        <f>50000 + 5*B17</f>
        <v>121830.0972</v>
      </c>
      <c r="C18" s="81" t="s">
        <v>52</v>
      </c>
      <c r="D18" s="132" t="s">
        <v>89</v>
      </c>
      <c r="E18" s="81"/>
      <c r="F18" s="60"/>
      <c r="G18" s="60"/>
      <c r="I18" s="133"/>
      <c r="J18" s="133"/>
      <c r="K18" s="134"/>
      <c r="L18" s="135"/>
    </row>
    <row r="19">
      <c r="A19" s="81" t="s">
        <v>90</v>
      </c>
      <c r="B19" s="136">
        <f>B18</f>
        <v>121830.0972</v>
      </c>
      <c r="C19" s="81" t="s">
        <v>91</v>
      </c>
      <c r="D19" s="132" t="str">
        <f>"Unsure what those other countries are; assuming the same costs as "&amp;B4</f>
        <v>Unsure what those other countries are; assuming the same costs as Thailand</v>
      </c>
      <c r="E19" s="81"/>
      <c r="F19" s="125"/>
      <c r="G19" s="137"/>
      <c r="H19" s="138"/>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row>
    <row r="20">
      <c r="A20" s="84"/>
      <c r="B20" s="83"/>
      <c r="C20" s="84"/>
      <c r="D20" s="81"/>
      <c r="E20" s="81"/>
      <c r="F20" s="125"/>
      <c r="G20" s="137"/>
      <c r="H20" s="138"/>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row>
    <row r="21">
      <c r="A21" s="119" t="s">
        <v>56</v>
      </c>
      <c r="B21" s="85"/>
      <c r="C21" s="119"/>
      <c r="D21" s="120"/>
      <c r="E21" s="120"/>
      <c r="F21" s="121"/>
      <c r="G21" s="122"/>
      <c r="H21" s="123"/>
      <c r="I21" s="123"/>
      <c r="J21" s="123"/>
      <c r="K21" s="123"/>
      <c r="L21" s="123"/>
      <c r="M21" s="123"/>
      <c r="N21" s="123"/>
      <c r="O21" s="123"/>
      <c r="P21" s="123"/>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row>
    <row r="22" ht="15.0" customHeight="1">
      <c r="A22" s="84" t="s">
        <v>92</v>
      </c>
      <c r="B22" s="86">
        <f>B14 + B19*B103</f>
        <v>645490.2917</v>
      </c>
      <c r="C22" s="84"/>
      <c r="D22" s="139" t="s">
        <v>93</v>
      </c>
      <c r="E22" s="84"/>
      <c r="F22" s="140"/>
      <c r="G22" s="141"/>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row>
    <row r="23">
      <c r="A23" s="84"/>
      <c r="B23" s="83"/>
      <c r="C23" s="84"/>
      <c r="D23" s="81"/>
      <c r="E23" s="81"/>
      <c r="F23" s="125"/>
      <c r="G23" s="137"/>
      <c r="H23" s="138"/>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row>
    <row r="24" ht="27.0" customHeight="1">
      <c r="A24" s="107" t="str">
        <f>"Effects per "&amp;$B$5</f>
        <v>Effects per country</v>
      </c>
      <c r="B24" s="63"/>
      <c r="C24" s="108"/>
      <c r="D24" s="63"/>
      <c r="E24" s="63"/>
      <c r="F24" s="109"/>
      <c r="G24" s="110"/>
      <c r="H24" s="111"/>
      <c r="I24" s="111"/>
      <c r="J24" s="111"/>
      <c r="K24" s="111"/>
      <c r="L24" s="111"/>
      <c r="M24" s="111"/>
      <c r="N24" s="111"/>
      <c r="O24" s="111"/>
      <c r="P24" s="112"/>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row>
    <row r="25">
      <c r="A25" s="143" t="s">
        <v>94</v>
      </c>
      <c r="B25" s="144"/>
      <c r="C25" s="143"/>
      <c r="D25" s="145"/>
      <c r="E25" s="145"/>
      <c r="F25" s="146"/>
      <c r="G25" s="147"/>
      <c r="H25" s="148"/>
      <c r="I25" s="148"/>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row>
    <row r="26" ht="15.0" customHeight="1">
      <c r="A26" s="64" t="s">
        <v>95</v>
      </c>
      <c r="B26" s="149">
        <f>1/2.5</f>
        <v>0.4</v>
      </c>
      <c r="C26" s="150" t="s">
        <v>96</v>
      </c>
      <c r="D26" s="81"/>
      <c r="E26" s="81"/>
      <c r="F26" s="125"/>
      <c r="G26" s="126"/>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row>
    <row r="27" ht="15.0" customHeight="1">
      <c r="A27" s="64" t="s">
        <v>97</v>
      </c>
      <c r="B27" s="151">
        <v>0.014</v>
      </c>
      <c r="C27" s="152" t="s">
        <v>98</v>
      </c>
      <c r="D27" s="81"/>
      <c r="E27" s="81"/>
      <c r="F27" s="125"/>
      <c r="G27" s="126"/>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row>
    <row r="28" ht="15.0" customHeight="1">
      <c r="A28" s="64" t="s">
        <v>99</v>
      </c>
      <c r="B28" s="151">
        <v>0.04</v>
      </c>
      <c r="C28" s="152" t="s">
        <v>98</v>
      </c>
      <c r="D28" s="81"/>
      <c r="E28" s="81"/>
      <c r="F28" s="125"/>
      <c r="G28" s="126"/>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row>
    <row r="29" ht="15.0" customHeight="1">
      <c r="A29" s="64" t="s">
        <v>100</v>
      </c>
      <c r="B29" s="153">
        <v>7.17E7</v>
      </c>
      <c r="C29" s="64" t="s">
        <v>101</v>
      </c>
      <c r="D29" s="81"/>
      <c r="E29" s="154" t="s">
        <v>102</v>
      </c>
      <c r="F29" s="125"/>
      <c r="G29" s="117"/>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row>
    <row r="30" ht="15.0" customHeight="1">
      <c r="A30" s="64" t="s">
        <v>103</v>
      </c>
      <c r="B30" s="153">
        <f>8.24/1000*B29</f>
        <v>590808</v>
      </c>
      <c r="C30" s="64" t="s">
        <v>104</v>
      </c>
      <c r="D30" s="81"/>
      <c r="E30" s="154" t="s">
        <v>105</v>
      </c>
      <c r="F30" s="138"/>
      <c r="G30" s="125"/>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row>
    <row r="31">
      <c r="A31" s="155"/>
      <c r="B31" s="156"/>
      <c r="C31" s="157"/>
      <c r="D31" s="158"/>
      <c r="E31" s="157"/>
      <c r="F31" s="159"/>
      <c r="G31" s="60"/>
    </row>
    <row r="32">
      <c r="A32" s="160" t="s">
        <v>106</v>
      </c>
      <c r="B32" s="85"/>
      <c r="C32" s="161"/>
      <c r="D32" s="120"/>
      <c r="E32" s="120"/>
      <c r="F32" s="121"/>
      <c r="G32" s="122"/>
      <c r="H32" s="123"/>
      <c r="I32" s="123"/>
      <c r="J32" s="123"/>
      <c r="K32" s="123"/>
      <c r="L32" s="123"/>
      <c r="M32" s="123"/>
      <c r="N32" s="123"/>
      <c r="O32" s="123"/>
      <c r="P32" s="123"/>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row>
    <row r="33">
      <c r="A33" s="162" t="s">
        <v>107</v>
      </c>
      <c r="B33" s="163"/>
      <c r="C33" s="164"/>
      <c r="D33" s="165"/>
      <c r="E33" s="164"/>
      <c r="F33" s="166"/>
      <c r="G33" s="167"/>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row>
    <row r="34">
      <c r="A34" s="169" t="s">
        <v>108</v>
      </c>
      <c r="B34" s="170">
        <v>0.15</v>
      </c>
      <c r="C34" s="169" t="s">
        <v>109</v>
      </c>
      <c r="D34" s="65" t="s">
        <v>110</v>
      </c>
      <c r="E34" s="157"/>
      <c r="F34" s="159"/>
      <c r="G34" s="60"/>
    </row>
    <row r="35">
      <c r="A35" s="169" t="s">
        <v>111</v>
      </c>
      <c r="B35" s="171">
        <v>0.25</v>
      </c>
      <c r="C35" s="169" t="s">
        <v>109</v>
      </c>
      <c r="D35" s="65" t="s">
        <v>112</v>
      </c>
      <c r="E35" s="157"/>
      <c r="F35" s="169"/>
      <c r="G35" s="60"/>
    </row>
    <row r="36">
      <c r="A36" s="169" t="s">
        <v>113</v>
      </c>
      <c r="B36" s="171">
        <v>0.1</v>
      </c>
      <c r="C36" s="169" t="s">
        <v>109</v>
      </c>
      <c r="D36" s="65" t="s">
        <v>114</v>
      </c>
      <c r="E36" s="157"/>
      <c r="F36" s="159"/>
      <c r="G36" s="60"/>
    </row>
    <row r="37">
      <c r="A37" s="40" t="s">
        <v>115</v>
      </c>
      <c r="B37" s="171">
        <v>0.02</v>
      </c>
      <c r="C37" s="169" t="s">
        <v>109</v>
      </c>
      <c r="D37" s="172" t="s">
        <v>116</v>
      </c>
      <c r="E37" s="157"/>
      <c r="F37" s="159"/>
      <c r="G37" s="60"/>
    </row>
    <row r="38">
      <c r="A38" s="169" t="s">
        <v>117</v>
      </c>
      <c r="B38" s="173">
        <f>B34 + B35*B36 + B37</f>
        <v>0.195</v>
      </c>
      <c r="C38" s="169" t="s">
        <v>109</v>
      </c>
      <c r="D38" s="158"/>
      <c r="E38" s="157"/>
      <c r="F38" s="159"/>
      <c r="G38" s="60"/>
    </row>
    <row r="39" ht="15.0" customHeight="1">
      <c r="A39" s="64"/>
      <c r="B39" s="64"/>
      <c r="C39" s="64"/>
      <c r="D39" s="81"/>
      <c r="E39" s="81"/>
      <c r="F39" s="125"/>
      <c r="G39" s="117"/>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row>
    <row r="40">
      <c r="A40" s="174" t="s">
        <v>118</v>
      </c>
      <c r="B40" s="175"/>
      <c r="C40" s="176"/>
      <c r="D40" s="177"/>
      <c r="E40" s="177"/>
      <c r="F40" s="177"/>
      <c r="G40" s="177"/>
      <c r="H40" s="177"/>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8"/>
    </row>
    <row r="41">
      <c r="A41" s="179" t="s">
        <v>119</v>
      </c>
      <c r="B41" s="180"/>
      <c r="C41" s="157"/>
      <c r="D41" s="169" t="s">
        <v>120</v>
      </c>
      <c r="E41" s="159"/>
      <c r="F41" s="159"/>
      <c r="G41" s="159"/>
      <c r="L41" s="181"/>
      <c r="M41" s="182"/>
      <c r="N41" s="183"/>
      <c r="O41" s="184"/>
      <c r="P41" s="184"/>
      <c r="Q41" s="185"/>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row>
    <row r="42">
      <c r="A42" s="180" t="s">
        <v>121</v>
      </c>
      <c r="B42" s="170">
        <v>0.8</v>
      </c>
      <c r="C42" s="40" t="s">
        <v>109</v>
      </c>
      <c r="D42" s="169" t="s">
        <v>122</v>
      </c>
      <c r="L42" s="186"/>
      <c r="M42" s="185"/>
      <c r="N42" s="183"/>
      <c r="O42" s="187"/>
      <c r="P42" s="184"/>
      <c r="Q42" s="185"/>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row>
    <row r="43">
      <c r="A43" s="180" t="s">
        <v>123</v>
      </c>
      <c r="B43" s="188">
        <v>0.45</v>
      </c>
      <c r="C43" s="40" t="s">
        <v>109</v>
      </c>
      <c r="D43" s="169" t="s">
        <v>124</v>
      </c>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4"/>
      <c r="AF43" s="184"/>
      <c r="AG43" s="184"/>
      <c r="AH43" s="184"/>
      <c r="AI43" s="184"/>
      <c r="AJ43" s="184"/>
      <c r="AK43" s="184"/>
      <c r="AL43" s="184"/>
      <c r="AM43" s="184"/>
      <c r="AN43" s="184"/>
      <c r="AO43" s="184"/>
      <c r="AP43" s="184"/>
      <c r="AQ43" s="184"/>
      <c r="AR43" s="184"/>
    </row>
    <row r="44">
      <c r="A44" s="189" t="s">
        <v>125</v>
      </c>
      <c r="B44" s="190">
        <v>0.1</v>
      </c>
      <c r="C44" s="40" t="s">
        <v>109</v>
      </c>
      <c r="D44" s="159" t="s">
        <v>126</v>
      </c>
      <c r="I44" s="184"/>
      <c r="J44" s="184"/>
      <c r="K44" s="184"/>
      <c r="L44" s="184"/>
      <c r="M44" s="184"/>
      <c r="N44" s="184"/>
      <c r="O44" s="184"/>
      <c r="P44" s="184"/>
      <c r="Q44" s="184"/>
      <c r="R44" s="184"/>
      <c r="S44" s="184"/>
      <c r="T44" s="184"/>
      <c r="U44" s="184"/>
      <c r="V44" s="184"/>
      <c r="W44" s="184"/>
      <c r="X44" s="184"/>
      <c r="Y44" s="184"/>
      <c r="Z44" s="184"/>
      <c r="AA44" s="184"/>
      <c r="AB44" s="184"/>
      <c r="AC44" s="184"/>
      <c r="AD44" s="184"/>
      <c r="AE44" s="184"/>
      <c r="AF44" s="184"/>
      <c r="AG44" s="184"/>
      <c r="AH44" s="184"/>
      <c r="AI44" s="184"/>
      <c r="AJ44" s="184"/>
      <c r="AK44" s="184"/>
      <c r="AL44" s="184"/>
      <c r="AM44" s="184"/>
      <c r="AN44" s="184"/>
      <c r="AO44" s="184"/>
      <c r="AP44" s="184"/>
      <c r="AQ44" s="184"/>
      <c r="AR44" s="184"/>
    </row>
    <row r="45">
      <c r="A45" s="180" t="s">
        <v>127</v>
      </c>
      <c r="B45" s="191">
        <f>1-B44/B43</f>
        <v>0.7777777778</v>
      </c>
      <c r="C45" s="40" t="s">
        <v>109</v>
      </c>
      <c r="D45" s="169" t="s">
        <v>128</v>
      </c>
      <c r="I45" s="184"/>
      <c r="J45" s="184"/>
      <c r="K45" s="184"/>
      <c r="L45" s="184"/>
      <c r="M45" s="184"/>
      <c r="N45" s="184"/>
      <c r="O45" s="184"/>
      <c r="P45" s="184"/>
      <c r="Q45" s="184"/>
      <c r="R45" s="184"/>
      <c r="S45" s="184"/>
      <c r="T45" s="184"/>
      <c r="U45" s="184"/>
      <c r="V45" s="184"/>
      <c r="W45" s="184"/>
      <c r="X45" s="184"/>
      <c r="Y45" s="184"/>
      <c r="Z45" s="184"/>
      <c r="AA45" s="184"/>
      <c r="AB45" s="184"/>
      <c r="AC45" s="184"/>
      <c r="AD45" s="184"/>
      <c r="AE45" s="184"/>
      <c r="AF45" s="184"/>
      <c r="AG45" s="184"/>
      <c r="AH45" s="184"/>
      <c r="AI45" s="184"/>
      <c r="AJ45" s="184"/>
      <c r="AK45" s="184"/>
      <c r="AL45" s="184"/>
      <c r="AM45" s="184"/>
      <c r="AN45" s="184"/>
      <c r="AO45" s="184"/>
      <c r="AP45" s="184"/>
      <c r="AQ45" s="184"/>
      <c r="AR45" s="184"/>
    </row>
    <row r="46">
      <c r="A46" s="189" t="s">
        <v>129</v>
      </c>
      <c r="B46" s="191">
        <f>B42*B45</f>
        <v>0.6222222222</v>
      </c>
      <c r="C46" s="40" t="s">
        <v>109</v>
      </c>
      <c r="D46" s="159"/>
      <c r="F46" s="159"/>
      <c r="I46" s="184"/>
      <c r="J46" s="184"/>
      <c r="K46" s="184"/>
      <c r="L46" s="184"/>
      <c r="M46" s="184"/>
      <c r="N46" s="184"/>
      <c r="O46" s="184"/>
      <c r="P46" s="184"/>
      <c r="Q46" s="184"/>
      <c r="R46" s="184"/>
      <c r="S46" s="184"/>
      <c r="T46" s="184"/>
      <c r="U46" s="184"/>
      <c r="V46" s="184"/>
      <c r="W46" s="184"/>
      <c r="X46" s="184"/>
      <c r="Y46" s="184"/>
      <c r="Z46" s="184"/>
      <c r="AA46" s="184"/>
      <c r="AB46" s="184"/>
      <c r="AC46" s="184"/>
      <c r="AD46" s="184"/>
      <c r="AE46" s="184"/>
      <c r="AF46" s="184"/>
      <c r="AG46" s="184"/>
      <c r="AH46" s="184"/>
      <c r="AI46" s="184"/>
      <c r="AJ46" s="184"/>
      <c r="AK46" s="184"/>
      <c r="AL46" s="184"/>
      <c r="AM46" s="184"/>
      <c r="AN46" s="184"/>
      <c r="AO46" s="184"/>
      <c r="AP46" s="184"/>
      <c r="AQ46" s="184"/>
      <c r="AR46" s="184"/>
    </row>
    <row r="47">
      <c r="A47" s="179"/>
      <c r="B47" s="157"/>
      <c r="D47" s="159"/>
      <c r="F47" s="159"/>
      <c r="I47" s="184"/>
      <c r="J47" s="184"/>
      <c r="K47" s="184"/>
      <c r="L47" s="184"/>
      <c r="M47" s="184"/>
      <c r="N47" s="184"/>
      <c r="O47" s="184"/>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row>
    <row r="48">
      <c r="A48" s="179" t="s">
        <v>130</v>
      </c>
      <c r="B48" s="157"/>
      <c r="D48" s="159"/>
      <c r="F48" s="159"/>
      <c r="I48" s="184"/>
      <c r="J48" s="184"/>
      <c r="K48" s="184"/>
      <c r="L48" s="184"/>
      <c r="M48" s="184"/>
      <c r="N48" s="184"/>
      <c r="O48" s="184"/>
      <c r="P48" s="184"/>
      <c r="Q48" s="184"/>
      <c r="R48" s="184"/>
      <c r="S48" s="184"/>
      <c r="T48" s="184"/>
      <c r="U48" s="184"/>
      <c r="V48" s="184"/>
      <c r="W48" s="184"/>
      <c r="X48" s="184"/>
      <c r="Y48" s="184"/>
      <c r="Z48" s="184"/>
      <c r="AA48" s="184"/>
      <c r="AB48" s="184"/>
      <c r="AC48" s="184"/>
      <c r="AD48" s="184"/>
      <c r="AE48" s="184"/>
      <c r="AF48" s="184"/>
      <c r="AG48" s="184"/>
      <c r="AH48" s="184"/>
      <c r="AI48" s="184"/>
      <c r="AJ48" s="184"/>
      <c r="AK48" s="184"/>
      <c r="AL48" s="184"/>
      <c r="AM48" s="184"/>
      <c r="AN48" s="184"/>
      <c r="AO48" s="184"/>
      <c r="AP48" s="184"/>
      <c r="AQ48" s="184"/>
      <c r="AR48" s="184"/>
    </row>
    <row r="49">
      <c r="A49" s="189" t="s">
        <v>131</v>
      </c>
      <c r="B49" s="171">
        <v>0.35</v>
      </c>
      <c r="C49" s="40" t="s">
        <v>132</v>
      </c>
      <c r="D49" s="169" t="s">
        <v>133</v>
      </c>
      <c r="F49" s="169"/>
      <c r="I49" s="184"/>
      <c r="J49" s="184"/>
      <c r="K49" s="184"/>
      <c r="L49" s="184"/>
      <c r="M49" s="184"/>
      <c r="N49" s="184"/>
      <c r="O49" s="184"/>
      <c r="P49" s="184"/>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row>
    <row r="50">
      <c r="A50" s="189" t="s">
        <v>134</v>
      </c>
      <c r="B50" s="171">
        <v>0.2</v>
      </c>
      <c r="C50" s="40" t="s">
        <v>135</v>
      </c>
      <c r="D50" s="169" t="s">
        <v>136</v>
      </c>
      <c r="F50" s="159"/>
      <c r="I50" s="184"/>
      <c r="J50" s="184"/>
      <c r="K50" s="184"/>
      <c r="L50" s="184"/>
      <c r="M50" s="184"/>
      <c r="N50" s="184"/>
      <c r="O50" s="184"/>
      <c r="P50" s="184"/>
      <c r="Q50" s="184"/>
      <c r="R50" s="184"/>
      <c r="S50" s="184"/>
      <c r="T50" s="184"/>
      <c r="U50" s="184"/>
      <c r="V50" s="184"/>
      <c r="W50" s="184"/>
      <c r="X50" s="184"/>
      <c r="Y50" s="184"/>
      <c r="Z50" s="184"/>
      <c r="AA50" s="184"/>
      <c r="AB50" s="184"/>
      <c r="AC50" s="184"/>
      <c r="AD50" s="184"/>
      <c r="AE50" s="184"/>
      <c r="AF50" s="184"/>
      <c r="AG50" s="184"/>
      <c r="AH50" s="184"/>
      <c r="AI50" s="184"/>
      <c r="AJ50" s="184"/>
      <c r="AK50" s="184"/>
      <c r="AL50" s="184"/>
      <c r="AM50" s="184"/>
      <c r="AN50" s="184"/>
      <c r="AO50" s="184"/>
      <c r="AP50" s="184"/>
      <c r="AQ50" s="184"/>
      <c r="AR50" s="184"/>
    </row>
    <row r="51">
      <c r="A51" s="189" t="s">
        <v>137</v>
      </c>
      <c r="B51" s="170">
        <v>0.4</v>
      </c>
      <c r="C51" s="40" t="s">
        <v>138</v>
      </c>
      <c r="D51" s="169" t="s">
        <v>139</v>
      </c>
      <c r="F51" s="159"/>
      <c r="I51" s="184"/>
      <c r="J51" s="184"/>
      <c r="K51" s="184"/>
      <c r="L51" s="184"/>
      <c r="M51" s="184"/>
      <c r="N51" s="184"/>
      <c r="O51" s="184"/>
      <c r="P51" s="184"/>
      <c r="Q51" s="184"/>
      <c r="R51" s="184"/>
      <c r="S51" s="184"/>
      <c r="T51" s="184"/>
      <c r="U51" s="184"/>
      <c r="V51" s="184"/>
      <c r="W51" s="184"/>
      <c r="X51" s="184"/>
      <c r="Y51" s="184"/>
      <c r="Z51" s="184"/>
      <c r="AA51" s="184"/>
      <c r="AB51" s="184"/>
      <c r="AC51" s="184"/>
      <c r="AD51" s="184"/>
      <c r="AE51" s="184"/>
      <c r="AF51" s="184"/>
      <c r="AG51" s="184"/>
      <c r="AH51" s="184"/>
      <c r="AI51" s="184"/>
      <c r="AJ51" s="184"/>
      <c r="AK51" s="184"/>
      <c r="AL51" s="184"/>
      <c r="AM51" s="184"/>
      <c r="AN51" s="184"/>
      <c r="AO51" s="184"/>
      <c r="AP51" s="184"/>
      <c r="AQ51" s="184"/>
      <c r="AR51" s="184"/>
    </row>
    <row r="52">
      <c r="A52" s="157" t="s">
        <v>140</v>
      </c>
      <c r="B52" s="191">
        <f>B46*(1-B49)*(1-B50)*(1-B51)</f>
        <v>0.1941333333</v>
      </c>
      <c r="C52" s="40" t="s">
        <v>109</v>
      </c>
      <c r="D52" s="159"/>
      <c r="E52" s="159"/>
      <c r="F52" s="159"/>
      <c r="G52" s="159"/>
      <c r="H52" s="159"/>
      <c r="I52" s="184"/>
      <c r="J52" s="184"/>
      <c r="K52" s="184"/>
      <c r="L52" s="184"/>
      <c r="M52" s="184"/>
      <c r="N52" s="184"/>
      <c r="O52" s="184"/>
      <c r="P52" s="184"/>
      <c r="Q52" s="184"/>
      <c r="R52" s="184"/>
      <c r="S52" s="184"/>
      <c r="T52" s="184"/>
      <c r="U52" s="184"/>
      <c r="V52" s="184"/>
      <c r="W52" s="184"/>
      <c r="X52" s="184"/>
      <c r="Y52" s="184"/>
      <c r="Z52" s="184"/>
      <c r="AA52" s="184"/>
      <c r="AB52" s="184"/>
      <c r="AC52" s="184"/>
      <c r="AD52" s="184"/>
      <c r="AE52" s="184"/>
      <c r="AF52" s="184"/>
      <c r="AG52" s="184"/>
      <c r="AH52" s="184"/>
      <c r="AI52" s="184"/>
      <c r="AJ52" s="184"/>
      <c r="AK52" s="184"/>
      <c r="AL52" s="184"/>
      <c r="AM52" s="184"/>
      <c r="AN52" s="184"/>
      <c r="AO52" s="184"/>
      <c r="AP52" s="184"/>
      <c r="AQ52" s="184"/>
      <c r="AR52" s="184"/>
    </row>
    <row r="53">
      <c r="A53" s="157"/>
      <c r="B53" s="192"/>
      <c r="C53" s="40"/>
      <c r="D53" s="159"/>
      <c r="E53" s="159"/>
      <c r="F53" s="159"/>
      <c r="G53" s="159"/>
      <c r="H53" s="159"/>
      <c r="I53" s="184"/>
      <c r="J53" s="184"/>
      <c r="K53" s="184"/>
      <c r="L53" s="184"/>
      <c r="M53" s="184"/>
      <c r="N53" s="184"/>
      <c r="O53" s="184"/>
      <c r="P53" s="184"/>
      <c r="Q53" s="184"/>
      <c r="R53" s="184"/>
      <c r="S53" s="184"/>
      <c r="T53" s="184"/>
      <c r="U53" s="184"/>
      <c r="V53" s="184"/>
      <c r="W53" s="184"/>
      <c r="X53" s="184"/>
      <c r="Y53" s="184"/>
      <c r="Z53" s="184"/>
      <c r="AA53" s="184"/>
      <c r="AB53" s="184"/>
      <c r="AC53" s="184"/>
      <c r="AD53" s="184"/>
      <c r="AE53" s="184"/>
      <c r="AF53" s="184"/>
      <c r="AG53" s="184"/>
      <c r="AH53" s="184"/>
      <c r="AI53" s="184"/>
      <c r="AJ53" s="184"/>
      <c r="AK53" s="184"/>
      <c r="AL53" s="184"/>
      <c r="AM53" s="184"/>
      <c r="AN53" s="184"/>
      <c r="AO53" s="184"/>
      <c r="AP53" s="184"/>
      <c r="AQ53" s="184"/>
      <c r="AR53" s="184"/>
    </row>
    <row r="54">
      <c r="A54" s="179" t="s">
        <v>141</v>
      </c>
      <c r="B54" s="192"/>
      <c r="C54" s="40"/>
      <c r="D54" s="159"/>
      <c r="E54" s="159"/>
      <c r="F54" s="159"/>
      <c r="G54" s="159"/>
      <c r="H54" s="159"/>
      <c r="I54" s="184"/>
      <c r="J54" s="184"/>
      <c r="K54" s="184"/>
      <c r="L54" s="184"/>
      <c r="M54" s="184"/>
      <c r="N54" s="184"/>
      <c r="O54" s="184"/>
      <c r="P54" s="184"/>
      <c r="Q54" s="184"/>
      <c r="R54" s="184"/>
      <c r="S54" s="184"/>
      <c r="T54" s="184"/>
      <c r="U54" s="184"/>
      <c r="V54" s="184"/>
      <c r="W54" s="184"/>
      <c r="X54" s="184"/>
      <c r="Y54" s="184"/>
      <c r="Z54" s="184"/>
      <c r="AA54" s="184"/>
      <c r="AB54" s="184"/>
      <c r="AC54" s="184"/>
      <c r="AD54" s="184"/>
      <c r="AE54" s="184"/>
      <c r="AF54" s="184"/>
      <c r="AG54" s="184"/>
      <c r="AH54" s="184"/>
      <c r="AI54" s="184"/>
      <c r="AJ54" s="184"/>
      <c r="AK54" s="184"/>
      <c r="AL54" s="184"/>
      <c r="AM54" s="184"/>
      <c r="AN54" s="184"/>
      <c r="AO54" s="184"/>
      <c r="AP54" s="184"/>
      <c r="AQ54" s="184"/>
      <c r="AR54" s="184"/>
    </row>
    <row r="55">
      <c r="A55" s="193" t="s">
        <v>142</v>
      </c>
      <c r="B55" s="194">
        <f>B38*B52</f>
        <v>0.037856</v>
      </c>
      <c r="C55" s="40" t="s">
        <v>143</v>
      </c>
      <c r="D55" s="159"/>
      <c r="E55" s="159"/>
      <c r="F55" s="159"/>
      <c r="G55" s="159"/>
      <c r="H55" s="159"/>
      <c r="I55" s="184"/>
      <c r="J55" s="184"/>
      <c r="K55" s="184"/>
      <c r="L55" s="184"/>
      <c r="M55" s="184"/>
      <c r="N55" s="184"/>
      <c r="O55" s="184"/>
      <c r="P55" s="184"/>
      <c r="Q55" s="184"/>
      <c r="R55" s="184"/>
      <c r="S55" s="184"/>
      <c r="T55" s="184"/>
      <c r="U55" s="184"/>
      <c r="V55" s="184"/>
      <c r="W55" s="184"/>
      <c r="X55" s="184"/>
      <c r="Y55" s="184"/>
      <c r="Z55" s="184"/>
      <c r="AA55" s="184"/>
      <c r="AB55" s="184"/>
      <c r="AC55" s="184"/>
      <c r="AD55" s="184"/>
      <c r="AE55" s="184"/>
      <c r="AF55" s="184"/>
      <c r="AG55" s="184"/>
      <c r="AH55" s="184"/>
      <c r="AI55" s="184"/>
      <c r="AJ55" s="184"/>
      <c r="AK55" s="184"/>
      <c r="AL55" s="184"/>
      <c r="AM55" s="184"/>
      <c r="AN55" s="184"/>
      <c r="AO55" s="184"/>
      <c r="AP55" s="184"/>
      <c r="AQ55" s="184"/>
      <c r="AR55" s="184"/>
    </row>
    <row r="56">
      <c r="A56" s="169"/>
      <c r="B56" s="195"/>
      <c r="C56" s="40"/>
      <c r="D56" s="159"/>
      <c r="E56" s="159"/>
      <c r="F56" s="159"/>
      <c r="G56" s="159"/>
      <c r="H56" s="159"/>
      <c r="I56" s="184"/>
      <c r="J56" s="184"/>
      <c r="K56" s="184"/>
      <c r="L56" s="184"/>
      <c r="M56" s="184"/>
      <c r="N56" s="184"/>
      <c r="O56" s="184"/>
      <c r="P56" s="184"/>
      <c r="Q56" s="184"/>
      <c r="R56" s="184"/>
      <c r="S56" s="184"/>
      <c r="T56" s="184"/>
      <c r="U56" s="184"/>
      <c r="V56" s="184"/>
      <c r="W56" s="184"/>
      <c r="X56" s="184"/>
      <c r="Y56" s="184"/>
      <c r="Z56" s="184"/>
      <c r="AA56" s="184"/>
      <c r="AB56" s="184"/>
      <c r="AC56" s="184"/>
      <c r="AD56" s="184"/>
      <c r="AE56" s="184"/>
      <c r="AF56" s="184"/>
      <c r="AG56" s="184"/>
      <c r="AH56" s="184"/>
      <c r="AI56" s="184"/>
      <c r="AJ56" s="184"/>
      <c r="AK56" s="184"/>
      <c r="AL56" s="184"/>
      <c r="AM56" s="184"/>
      <c r="AN56" s="184"/>
      <c r="AO56" s="184"/>
      <c r="AP56" s="184"/>
      <c r="AQ56" s="184"/>
      <c r="AR56" s="184"/>
    </row>
    <row r="57" ht="15.0" customHeight="1">
      <c r="A57" s="196" t="s">
        <v>144</v>
      </c>
      <c r="B57" s="197"/>
      <c r="C57" s="198"/>
      <c r="D57" s="199"/>
      <c r="E57" s="199"/>
      <c r="F57" s="200"/>
      <c r="G57" s="200"/>
      <c r="H57" s="199"/>
      <c r="I57" s="199"/>
      <c r="J57" s="199"/>
      <c r="K57" s="199"/>
      <c r="L57" s="199"/>
      <c r="M57" s="199"/>
      <c r="N57" s="20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row>
    <row r="58">
      <c r="A58" s="174" t="s">
        <v>145</v>
      </c>
      <c r="B58" s="175"/>
      <c r="C58" s="176"/>
      <c r="D58" s="177"/>
      <c r="E58" s="177"/>
      <c r="F58" s="177"/>
      <c r="G58" s="177"/>
      <c r="H58" s="177"/>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row>
    <row r="59">
      <c r="A59" s="169" t="s">
        <v>146</v>
      </c>
      <c r="B59" s="202">
        <v>121536.0</v>
      </c>
      <c r="C59" s="132" t="s">
        <v>147</v>
      </c>
      <c r="D59" s="169" t="s">
        <v>148</v>
      </c>
      <c r="E59" s="203" t="s">
        <v>149</v>
      </c>
      <c r="F59" s="204"/>
      <c r="G59" s="205"/>
      <c r="H59" s="76"/>
    </row>
    <row r="60">
      <c r="A60" s="206" t="s">
        <v>150</v>
      </c>
      <c r="B60" s="207">
        <f>B59*B38</f>
        <v>23699.52</v>
      </c>
      <c r="C60" s="208" t="s">
        <v>151</v>
      </c>
      <c r="D60" s="209" t="s">
        <v>152</v>
      </c>
      <c r="E60" s="210"/>
      <c r="F60" s="211"/>
      <c r="G60" s="212"/>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row>
    <row r="61">
      <c r="A61" s="169" t="s">
        <v>153</v>
      </c>
      <c r="B61" s="171">
        <v>0.5</v>
      </c>
      <c r="C61" s="40" t="s">
        <v>109</v>
      </c>
      <c r="D61" s="169" t="s">
        <v>154</v>
      </c>
      <c r="E61" s="159"/>
      <c r="F61" s="159"/>
      <c r="G61" s="159"/>
      <c r="H61" s="159"/>
      <c r="I61" s="184"/>
      <c r="J61" s="184"/>
      <c r="K61" s="184"/>
      <c r="L61" s="184"/>
      <c r="M61" s="184"/>
      <c r="N61" s="184"/>
      <c r="O61" s="184"/>
      <c r="P61" s="184"/>
      <c r="Q61" s="184"/>
      <c r="R61" s="184"/>
      <c r="S61" s="184"/>
      <c r="T61" s="184"/>
      <c r="U61" s="184"/>
      <c r="V61" s="184"/>
      <c r="W61" s="184"/>
      <c r="X61" s="184"/>
      <c r="Y61" s="184"/>
      <c r="Z61" s="184"/>
      <c r="AA61" s="184"/>
      <c r="AB61" s="184"/>
      <c r="AC61" s="184"/>
      <c r="AD61" s="184"/>
      <c r="AE61" s="184"/>
      <c r="AF61" s="184"/>
      <c r="AG61" s="184"/>
      <c r="AH61" s="184"/>
      <c r="AI61" s="184"/>
      <c r="AJ61" s="184"/>
      <c r="AK61" s="184"/>
      <c r="AL61" s="184"/>
      <c r="AM61" s="184"/>
      <c r="AN61" s="184"/>
      <c r="AO61" s="184"/>
      <c r="AP61" s="184"/>
      <c r="AQ61" s="184"/>
      <c r="AR61" s="184"/>
    </row>
    <row r="62">
      <c r="A62" s="214" t="s">
        <v>155</v>
      </c>
      <c r="B62" s="215">
        <f>B59*B55*B61</f>
        <v>2300.433408</v>
      </c>
      <c r="C62" s="216" t="s">
        <v>156</v>
      </c>
      <c r="D62" s="139" t="s">
        <v>157</v>
      </c>
      <c r="E62" s="184"/>
      <c r="F62" s="60"/>
      <c r="G62" s="60"/>
      <c r="H62" s="184"/>
      <c r="I62" s="184"/>
      <c r="J62" s="184"/>
      <c r="K62" s="184"/>
      <c r="L62" s="184"/>
      <c r="M62" s="184"/>
      <c r="N62" s="184"/>
      <c r="O62" s="184"/>
      <c r="P62" s="184"/>
      <c r="Q62" s="184"/>
      <c r="R62" s="184"/>
      <c r="S62" s="184"/>
      <c r="T62" s="184"/>
      <c r="U62" s="184"/>
      <c r="V62" s="184"/>
      <c r="W62" s="184"/>
      <c r="X62" s="184"/>
      <c r="Y62" s="184"/>
      <c r="Z62" s="184"/>
      <c r="AA62" s="184"/>
      <c r="AB62" s="184"/>
      <c r="AC62" s="184"/>
      <c r="AD62" s="184"/>
      <c r="AE62" s="184"/>
      <c r="AF62" s="184"/>
      <c r="AG62" s="184"/>
      <c r="AH62" s="184"/>
      <c r="AI62" s="184"/>
      <c r="AJ62" s="184"/>
      <c r="AK62" s="184"/>
      <c r="AL62" s="184"/>
      <c r="AM62" s="184"/>
      <c r="AN62" s="184"/>
      <c r="AO62" s="184"/>
      <c r="AP62" s="184"/>
      <c r="AQ62" s="184"/>
      <c r="AR62" s="184"/>
    </row>
    <row r="63">
      <c r="A63" s="217"/>
      <c r="B63" s="218"/>
      <c r="C63" s="219"/>
      <c r="D63" s="217"/>
      <c r="E63" s="220"/>
      <c r="F63" s="220"/>
      <c r="G63" s="220"/>
      <c r="H63" s="220"/>
      <c r="I63" s="220"/>
      <c r="J63" s="220"/>
      <c r="K63" s="220"/>
      <c r="L63" s="220"/>
      <c r="M63" s="220"/>
      <c r="N63" s="220"/>
      <c r="O63" s="220"/>
      <c r="P63" s="220"/>
      <c r="Q63" s="220"/>
      <c r="R63" s="220"/>
      <c r="S63" s="220"/>
      <c r="T63" s="220"/>
      <c r="U63" s="220"/>
      <c r="V63" s="220"/>
      <c r="W63" s="220"/>
      <c r="X63" s="220"/>
      <c r="Y63" s="220"/>
      <c r="Z63" s="220"/>
      <c r="AA63" s="220"/>
      <c r="AB63" s="220"/>
      <c r="AC63" s="220"/>
      <c r="AD63" s="220"/>
      <c r="AE63" s="220"/>
      <c r="AF63" s="220"/>
      <c r="AG63" s="220"/>
      <c r="AH63" s="220"/>
      <c r="AI63" s="220"/>
      <c r="AJ63" s="220"/>
      <c r="AK63" s="220"/>
      <c r="AL63" s="220"/>
      <c r="AM63" s="220"/>
      <c r="AN63" s="220"/>
      <c r="AO63" s="220"/>
      <c r="AP63" s="220"/>
      <c r="AQ63" s="220"/>
      <c r="AR63" s="220"/>
    </row>
    <row r="64">
      <c r="A64" s="221" t="s">
        <v>158</v>
      </c>
      <c r="B64" s="222"/>
      <c r="C64" s="223"/>
      <c r="D64" s="224" t="s">
        <v>159</v>
      </c>
      <c r="E64" s="225"/>
      <c r="F64" s="225"/>
      <c r="G64" s="225"/>
      <c r="H64" s="225"/>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row>
    <row r="65">
      <c r="A65" s="227" t="s">
        <v>160</v>
      </c>
      <c r="B65" s="228">
        <f>B55*(1-B61)</f>
        <v>0.018928</v>
      </c>
      <c r="C65" s="206" t="s">
        <v>109</v>
      </c>
      <c r="D65" s="211"/>
      <c r="E65" s="211"/>
      <c r="F65" s="211"/>
      <c r="G65" s="211"/>
      <c r="H65" s="211"/>
      <c r="I65" s="229"/>
      <c r="J65" s="229"/>
      <c r="K65" s="229"/>
      <c r="L65" s="229"/>
      <c r="M65" s="229"/>
      <c r="N65" s="229"/>
      <c r="O65" s="229"/>
      <c r="P65" s="229"/>
      <c r="Q65" s="229"/>
      <c r="R65" s="229"/>
      <c r="S65" s="229"/>
      <c r="T65" s="229"/>
      <c r="U65" s="229"/>
      <c r="V65" s="229"/>
      <c r="W65" s="229"/>
      <c r="X65" s="229"/>
      <c r="Y65" s="229"/>
      <c r="Z65" s="229"/>
      <c r="AA65" s="229"/>
      <c r="AB65" s="229"/>
      <c r="AC65" s="229"/>
      <c r="AD65" s="229"/>
      <c r="AE65" s="229"/>
      <c r="AF65" s="229"/>
      <c r="AG65" s="229"/>
      <c r="AH65" s="229"/>
      <c r="AI65" s="229"/>
      <c r="AJ65" s="229"/>
      <c r="AK65" s="229"/>
      <c r="AL65" s="229"/>
      <c r="AM65" s="229"/>
      <c r="AN65" s="229"/>
      <c r="AO65" s="229"/>
      <c r="AP65" s="229"/>
      <c r="AQ65" s="229"/>
      <c r="AR65" s="229"/>
    </row>
    <row r="66">
      <c r="A66" s="227" t="s">
        <v>161</v>
      </c>
      <c r="B66" s="228">
        <f>B55</f>
        <v>0.037856</v>
      </c>
      <c r="C66" s="206" t="s">
        <v>143</v>
      </c>
      <c r="D66" s="211"/>
      <c r="E66" s="211"/>
      <c r="F66" s="211"/>
      <c r="G66" s="211"/>
      <c r="H66" s="211"/>
      <c r="I66" s="229"/>
      <c r="J66" s="229"/>
      <c r="K66" s="229"/>
      <c r="L66" s="229"/>
      <c r="M66" s="229"/>
      <c r="N66" s="229"/>
      <c r="O66" s="229"/>
      <c r="P66" s="229"/>
      <c r="Q66" s="229"/>
      <c r="R66" s="229"/>
      <c r="S66" s="229"/>
      <c r="T66" s="229"/>
      <c r="U66" s="229"/>
      <c r="V66" s="229"/>
      <c r="W66" s="229"/>
      <c r="X66" s="229"/>
      <c r="Y66" s="229"/>
      <c r="Z66" s="229"/>
      <c r="AA66" s="229"/>
      <c r="AB66" s="229"/>
      <c r="AC66" s="229"/>
      <c r="AD66" s="229"/>
      <c r="AE66" s="229"/>
      <c r="AF66" s="229"/>
      <c r="AG66" s="229"/>
      <c r="AH66" s="229"/>
      <c r="AI66" s="229"/>
      <c r="AJ66" s="229"/>
      <c r="AK66" s="229"/>
      <c r="AL66" s="229"/>
      <c r="AM66" s="229"/>
      <c r="AN66" s="229"/>
      <c r="AO66" s="229"/>
      <c r="AP66" s="229"/>
      <c r="AQ66" s="229"/>
      <c r="AR66" s="229"/>
    </row>
    <row r="67">
      <c r="A67" s="227" t="s">
        <v>162</v>
      </c>
      <c r="B67" s="230">
        <v>20.0</v>
      </c>
      <c r="C67" s="206" t="s">
        <v>163</v>
      </c>
      <c r="D67" s="227" t="s">
        <v>164</v>
      </c>
      <c r="E67" s="211"/>
      <c r="F67" s="211"/>
      <c r="G67" s="211"/>
      <c r="H67" s="211"/>
      <c r="I67" s="229"/>
      <c r="J67" s="229"/>
      <c r="K67" s="229"/>
      <c r="L67" s="229"/>
      <c r="M67" s="229"/>
      <c r="N67" s="229"/>
      <c r="O67" s="229"/>
      <c r="P67" s="229"/>
      <c r="Q67" s="229"/>
      <c r="R67" s="229"/>
      <c r="S67" s="229"/>
      <c r="T67" s="229"/>
      <c r="U67" s="229"/>
      <c r="V67" s="229"/>
      <c r="W67" s="229"/>
      <c r="X67" s="229"/>
      <c r="Y67" s="229"/>
      <c r="Z67" s="229"/>
      <c r="AA67" s="229"/>
      <c r="AB67" s="229"/>
      <c r="AC67" s="229"/>
      <c r="AD67" s="229"/>
      <c r="AE67" s="229"/>
      <c r="AF67" s="229"/>
      <c r="AG67" s="229"/>
      <c r="AH67" s="229"/>
      <c r="AI67" s="229"/>
      <c r="AJ67" s="229"/>
      <c r="AK67" s="229"/>
      <c r="AL67" s="229"/>
      <c r="AM67" s="229"/>
      <c r="AN67" s="229"/>
      <c r="AO67" s="229"/>
      <c r="AP67" s="229"/>
      <c r="AQ67" s="229"/>
      <c r="AR67" s="229"/>
    </row>
    <row r="68">
      <c r="A68" s="227" t="str">
        <f>"Increase in effect size during the first "&amp;B67&amp;" years, per year"</f>
        <v>Increase in effect size during the first 20 years, per year</v>
      </c>
      <c r="B68" s="231">
        <f>(B66-B65)/B67</f>
        <v>0.0009464</v>
      </c>
      <c r="C68" s="206" t="s">
        <v>109</v>
      </c>
      <c r="D68" s="211"/>
      <c r="E68" s="211"/>
      <c r="F68" s="211"/>
      <c r="G68" s="211"/>
      <c r="H68" s="211"/>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c r="AG68" s="229"/>
      <c r="AH68" s="229"/>
      <c r="AI68" s="229"/>
      <c r="AJ68" s="229"/>
      <c r="AK68" s="229"/>
      <c r="AL68" s="229"/>
      <c r="AM68" s="229"/>
      <c r="AN68" s="229"/>
      <c r="AO68" s="229"/>
      <c r="AP68" s="229"/>
      <c r="AQ68" s="229"/>
      <c r="AR68" s="229"/>
    </row>
    <row r="69">
      <c r="A69" s="169"/>
      <c r="B69" s="232"/>
      <c r="C69" s="40"/>
      <c r="D69" s="159"/>
      <c r="E69" s="159"/>
      <c r="F69" s="159"/>
      <c r="G69" s="159"/>
      <c r="H69" s="159"/>
      <c r="I69" s="184"/>
      <c r="J69" s="184"/>
      <c r="K69" s="184"/>
      <c r="L69" s="184"/>
      <c r="M69" s="184"/>
      <c r="N69" s="184"/>
      <c r="O69" s="184"/>
      <c r="P69" s="184"/>
      <c r="Q69" s="184"/>
      <c r="R69" s="184"/>
      <c r="S69" s="184"/>
      <c r="T69" s="184"/>
      <c r="U69" s="184"/>
      <c r="V69" s="184"/>
      <c r="W69" s="184"/>
      <c r="X69" s="184"/>
      <c r="Y69" s="184"/>
      <c r="Z69" s="184"/>
      <c r="AA69" s="184"/>
      <c r="AB69" s="184"/>
      <c r="AC69" s="184"/>
      <c r="AD69" s="184"/>
      <c r="AE69" s="184"/>
      <c r="AF69" s="184"/>
      <c r="AG69" s="184"/>
      <c r="AH69" s="184"/>
      <c r="AI69" s="184"/>
      <c r="AJ69" s="184"/>
      <c r="AK69" s="184"/>
      <c r="AL69" s="184"/>
      <c r="AM69" s="184"/>
      <c r="AN69" s="184"/>
      <c r="AO69" s="184"/>
      <c r="AP69" s="184"/>
      <c r="AQ69" s="184"/>
      <c r="AR69" s="184"/>
    </row>
    <row r="70">
      <c r="A70" s="160" t="s">
        <v>165</v>
      </c>
      <c r="B70" s="85"/>
      <c r="C70" s="161"/>
      <c r="D70" s="120"/>
      <c r="E70" s="120"/>
      <c r="F70" s="121"/>
      <c r="G70" s="122"/>
      <c r="H70" s="123"/>
      <c r="I70" s="123"/>
      <c r="J70" s="123"/>
      <c r="K70" s="123"/>
      <c r="L70" s="123"/>
      <c r="M70" s="123"/>
      <c r="N70" s="123"/>
      <c r="O70" s="123"/>
      <c r="P70" s="123"/>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row>
    <row r="71">
      <c r="A71" s="81" t="s">
        <v>166</v>
      </c>
      <c r="B71" s="233">
        <v>5.12</v>
      </c>
      <c r="C71" s="40" t="s">
        <v>167</v>
      </c>
      <c r="D71" s="132" t="s">
        <v>168</v>
      </c>
      <c r="E71" s="234" t="s">
        <v>169</v>
      </c>
      <c r="F71" s="125"/>
      <c r="G71" s="137"/>
      <c r="H71" s="138"/>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7"/>
      <c r="AM71" s="127"/>
      <c r="AN71" s="127"/>
      <c r="AO71" s="127"/>
      <c r="AP71" s="127"/>
      <c r="AQ71" s="127"/>
      <c r="AR71" s="127"/>
    </row>
    <row r="72">
      <c r="A72" s="81" t="s">
        <v>170</v>
      </c>
      <c r="B72" s="235">
        <f>B55</f>
        <v>0.037856</v>
      </c>
      <c r="C72" s="159" t="s">
        <v>171</v>
      </c>
      <c r="D72" s="65" t="s">
        <v>172</v>
      </c>
      <c r="E72" s="81"/>
      <c r="F72" s="125"/>
      <c r="G72" s="126"/>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27"/>
    </row>
    <row r="73">
      <c r="A73" s="81" t="s">
        <v>173</v>
      </c>
      <c r="B73" s="236">
        <f>B71*B72</f>
        <v>0.19382272</v>
      </c>
      <c r="C73" s="237" t="s">
        <v>174</v>
      </c>
      <c r="D73" s="81"/>
      <c r="E73" s="81"/>
      <c r="F73" s="125"/>
      <c r="G73" s="126"/>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27"/>
    </row>
    <row r="74">
      <c r="A74" s="137" t="s">
        <v>175</v>
      </c>
      <c r="B74" s="238">
        <v>0.0</v>
      </c>
      <c r="C74" s="81" t="s">
        <v>171</v>
      </c>
      <c r="D74" s="81" t="s">
        <v>176</v>
      </c>
      <c r="E74" s="81"/>
      <c r="F74" s="125"/>
      <c r="G74" s="126"/>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27"/>
    </row>
    <row r="75">
      <c r="A75" s="137" t="s">
        <v>177</v>
      </c>
      <c r="B75" s="238">
        <v>0.0</v>
      </c>
      <c r="C75" s="81" t="s">
        <v>171</v>
      </c>
      <c r="D75" s="81" t="s">
        <v>152</v>
      </c>
      <c r="E75" s="81"/>
      <c r="F75" s="125"/>
      <c r="G75" s="126"/>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row>
    <row r="76">
      <c r="A76" s="81" t="s">
        <v>178</v>
      </c>
      <c r="B76" s="236">
        <f>B73*(1+B74)*(1+B75)</f>
        <v>0.19382272</v>
      </c>
      <c r="C76" s="237" t="s">
        <v>174</v>
      </c>
      <c r="D76" s="81"/>
      <c r="E76" s="81"/>
      <c r="F76" s="125"/>
      <c r="G76" s="126"/>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row>
    <row r="77">
      <c r="A77" s="81" t="s">
        <v>179</v>
      </c>
      <c r="B77" s="239">
        <f>0.5*0.75</f>
        <v>0.375</v>
      </c>
      <c r="C77" s="81" t="s">
        <v>180</v>
      </c>
      <c r="D77" s="240" t="s">
        <v>181</v>
      </c>
      <c r="E77" s="81" t="s">
        <v>182</v>
      </c>
      <c r="F77" s="140" t="s">
        <v>183</v>
      </c>
      <c r="G77" s="126"/>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row>
    <row r="78">
      <c r="A78" s="81" t="s">
        <v>184</v>
      </c>
      <c r="B78" s="241">
        <f>B76*B77</f>
        <v>0.07268352</v>
      </c>
      <c r="C78" s="81" t="s">
        <v>185</v>
      </c>
      <c r="F78" s="125"/>
      <c r="G78" s="126"/>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27"/>
    </row>
    <row r="79">
      <c r="A79" s="81" t="s">
        <v>186</v>
      </c>
      <c r="B79" s="242">
        <v>0.0067</v>
      </c>
      <c r="C79" s="81" t="s">
        <v>171</v>
      </c>
      <c r="D79" s="81" t="s">
        <v>187</v>
      </c>
      <c r="E79" s="154" t="s">
        <v>188</v>
      </c>
      <c r="F79" s="125"/>
      <c r="G79" s="126"/>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c r="AH79" s="127"/>
      <c r="AI79" s="127"/>
      <c r="AJ79" s="127"/>
      <c r="AK79" s="127"/>
      <c r="AL79" s="127"/>
      <c r="AM79" s="127"/>
      <c r="AN79" s="127"/>
      <c r="AO79" s="127"/>
      <c r="AP79" s="127"/>
      <c r="AQ79" s="127"/>
      <c r="AR79" s="127"/>
    </row>
    <row r="80">
      <c r="A80" s="81" t="s">
        <v>189</v>
      </c>
      <c r="B80" s="243">
        <f>B78*B79</f>
        <v>0.000486979584</v>
      </c>
      <c r="C80" s="81" t="s">
        <v>171</v>
      </c>
      <c r="D80" s="81"/>
      <c r="E80" s="81"/>
      <c r="F80" s="125"/>
      <c r="G80" s="126"/>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c r="AM80" s="127"/>
      <c r="AN80" s="127"/>
      <c r="AO80" s="127"/>
      <c r="AP80" s="127"/>
      <c r="AQ80" s="127"/>
      <c r="AR80" s="127"/>
    </row>
    <row r="81">
      <c r="A81" s="81" t="s">
        <v>190</v>
      </c>
      <c r="B81" s="244">
        <v>1.5</v>
      </c>
      <c r="C81" s="81"/>
      <c r="D81" s="81" t="s">
        <v>191</v>
      </c>
      <c r="E81" s="81"/>
      <c r="F81" s="125"/>
      <c r="G81" s="126"/>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c r="AH81" s="127"/>
      <c r="AI81" s="127"/>
      <c r="AJ81" s="127"/>
      <c r="AK81" s="127"/>
      <c r="AL81" s="127"/>
      <c r="AM81" s="127"/>
      <c r="AN81" s="127"/>
      <c r="AO81" s="127"/>
      <c r="AP81" s="127"/>
      <c r="AQ81" s="127"/>
      <c r="AR81" s="127"/>
    </row>
    <row r="82">
      <c r="A82" s="81" t="s">
        <v>192</v>
      </c>
      <c r="B82" s="244">
        <f>(2+B81)/2</f>
        <v>1.75</v>
      </c>
      <c r="C82" s="81" t="s">
        <v>193</v>
      </c>
      <c r="D82" s="81" t="s">
        <v>194</v>
      </c>
      <c r="E82" s="81"/>
      <c r="F82" s="132"/>
      <c r="G82" s="126"/>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row>
    <row r="83">
      <c r="A83" s="81" t="s">
        <v>195</v>
      </c>
      <c r="B83" s="245">
        <f>log(1+B80,2)*B82</f>
        <v>0.001229186034</v>
      </c>
      <c r="C83" s="81" t="s">
        <v>96</v>
      </c>
      <c r="D83" s="81" t="s">
        <v>196</v>
      </c>
      <c r="E83" s="81"/>
      <c r="F83" s="140"/>
      <c r="G83" s="126"/>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row>
    <row r="84">
      <c r="A84" s="81" t="s">
        <v>197</v>
      </c>
      <c r="B84" s="245">
        <f>B83*B26</f>
        <v>0.0004916744136</v>
      </c>
      <c r="C84" s="81" t="s">
        <v>198</v>
      </c>
      <c r="D84" s="81" t="s">
        <v>199</v>
      </c>
      <c r="E84" s="81"/>
      <c r="F84" s="125"/>
      <c r="G84" s="126"/>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row>
    <row r="85">
      <c r="A85" s="81" t="s">
        <v>200</v>
      </c>
      <c r="B85" s="246">
        <f>65-20</f>
        <v>45</v>
      </c>
      <c r="C85" s="81" t="s">
        <v>163</v>
      </c>
      <c r="D85" s="81" t="s">
        <v>201</v>
      </c>
      <c r="E85" s="81"/>
      <c r="F85" s="125"/>
      <c r="G85" s="126"/>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row>
    <row r="86">
      <c r="A86" s="81" t="s">
        <v>202</v>
      </c>
      <c r="B86" s="247">
        <f>-PV(B28,B85,B84)</f>
        <v>0.01018751337</v>
      </c>
      <c r="C86" s="81" t="s">
        <v>203</v>
      </c>
      <c r="D86" s="81"/>
      <c r="E86" s="81"/>
      <c r="F86" s="125"/>
      <c r="G86" s="126"/>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c r="AM86" s="127"/>
      <c r="AN86" s="127"/>
      <c r="AO86" s="127"/>
      <c r="AP86" s="127"/>
      <c r="AQ86" s="127"/>
      <c r="AR86" s="127"/>
    </row>
    <row r="87">
      <c r="A87" s="81" t="s">
        <v>204</v>
      </c>
      <c r="B87" s="246">
        <v>15.0</v>
      </c>
      <c r="C87" s="81" t="s">
        <v>163</v>
      </c>
      <c r="D87" s="81" t="s">
        <v>205</v>
      </c>
      <c r="E87" s="81"/>
      <c r="F87" s="140"/>
      <c r="G87" s="13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c r="AJ87" s="127"/>
      <c r="AK87" s="127"/>
      <c r="AL87" s="127"/>
      <c r="AM87" s="127"/>
      <c r="AN87" s="127"/>
      <c r="AO87" s="127"/>
      <c r="AP87" s="127"/>
      <c r="AQ87" s="127"/>
      <c r="AR87" s="127"/>
    </row>
    <row r="88">
      <c r="A88" s="81" t="s">
        <v>206</v>
      </c>
      <c r="B88" s="247">
        <f>B86*(1-B28)^B87</f>
        <v>0.005522512243</v>
      </c>
      <c r="C88" s="81" t="s">
        <v>203</v>
      </c>
      <c r="D88" s="81"/>
      <c r="E88" s="81"/>
      <c r="F88" s="140"/>
      <c r="G88" s="126"/>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c r="AM88" s="127"/>
      <c r="AN88" s="127"/>
      <c r="AO88" s="127"/>
      <c r="AP88" s="127"/>
      <c r="AQ88" s="127"/>
      <c r="AR88" s="127"/>
    </row>
    <row r="89">
      <c r="A89" s="84" t="s">
        <v>207</v>
      </c>
      <c r="B89" s="248">
        <f>B88*B30</f>
        <v>3262.744413</v>
      </c>
      <c r="C89" s="84" t="s">
        <v>208</v>
      </c>
      <c r="D89" s="81" t="s">
        <v>209</v>
      </c>
      <c r="E89" s="81"/>
      <c r="F89" s="125"/>
      <c r="G89" s="137"/>
      <c r="H89" s="138"/>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c r="AH89" s="127"/>
      <c r="AI89" s="127"/>
      <c r="AJ89" s="127"/>
      <c r="AK89" s="127"/>
      <c r="AL89" s="127"/>
      <c r="AM89" s="127"/>
      <c r="AN89" s="127"/>
      <c r="AO89" s="127"/>
      <c r="AP89" s="127"/>
      <c r="AQ89" s="127"/>
      <c r="AR89" s="127"/>
    </row>
    <row r="90">
      <c r="A90" s="249"/>
      <c r="B90" s="250"/>
      <c r="C90" s="81"/>
      <c r="D90" s="81"/>
      <c r="E90" s="81"/>
      <c r="F90" s="140"/>
      <c r="G90" s="126"/>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row>
    <row r="91">
      <c r="A91" s="251" t="s">
        <v>210</v>
      </c>
      <c r="B91" s="252"/>
      <c r="C91" s="252"/>
      <c r="D91" s="224" t="s">
        <v>211</v>
      </c>
      <c r="E91" s="253"/>
      <c r="F91" s="253"/>
      <c r="G91" s="253"/>
      <c r="H91" s="253"/>
      <c r="I91" s="254"/>
      <c r="J91" s="254"/>
      <c r="K91" s="254"/>
      <c r="L91" s="254"/>
      <c r="M91" s="254"/>
      <c r="N91" s="254"/>
      <c r="O91" s="254"/>
      <c r="P91" s="254"/>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row>
    <row r="92">
      <c r="A92" s="227" t="s">
        <v>212</v>
      </c>
      <c r="B92" s="255">
        <v>2.0</v>
      </c>
      <c r="C92" s="213"/>
      <c r="D92" s="227" t="s">
        <v>213</v>
      </c>
      <c r="E92" s="211"/>
      <c r="F92" s="211"/>
      <c r="G92" s="211"/>
      <c r="H92" s="211"/>
      <c r="I92" s="229"/>
      <c r="J92" s="229"/>
      <c r="K92" s="229"/>
      <c r="L92" s="229"/>
      <c r="M92" s="229"/>
      <c r="N92" s="229"/>
      <c r="O92" s="229"/>
      <c r="P92" s="229"/>
      <c r="Q92" s="229"/>
      <c r="R92" s="229"/>
      <c r="S92" s="229"/>
      <c r="T92" s="229"/>
      <c r="U92" s="229"/>
      <c r="V92" s="229"/>
      <c r="W92" s="229"/>
      <c r="X92" s="229"/>
      <c r="Y92" s="229"/>
      <c r="Z92" s="229"/>
      <c r="AA92" s="229"/>
      <c r="AB92" s="229"/>
      <c r="AC92" s="229"/>
      <c r="AD92" s="229"/>
      <c r="AE92" s="229"/>
      <c r="AF92" s="229"/>
      <c r="AG92" s="229"/>
      <c r="AH92" s="229"/>
      <c r="AI92" s="229"/>
      <c r="AJ92" s="229"/>
      <c r="AK92" s="229"/>
      <c r="AL92" s="229"/>
      <c r="AM92" s="229"/>
      <c r="AN92" s="229"/>
      <c r="AO92" s="229"/>
      <c r="AP92" s="229"/>
      <c r="AQ92" s="229"/>
      <c r="AR92" s="229"/>
    </row>
    <row r="93">
      <c r="A93" s="227" t="s">
        <v>214</v>
      </c>
      <c r="B93" s="207">
        <f>B89*(1+B92)</f>
        <v>9788.23324</v>
      </c>
      <c r="C93" s="206" t="s">
        <v>203</v>
      </c>
      <c r="D93" s="227"/>
      <c r="E93" s="227"/>
      <c r="F93" s="211"/>
      <c r="G93" s="211"/>
      <c r="H93" s="211"/>
      <c r="I93" s="229"/>
      <c r="J93" s="229"/>
      <c r="K93" s="229"/>
      <c r="L93" s="229"/>
      <c r="M93" s="229"/>
      <c r="N93" s="229"/>
      <c r="O93" s="229"/>
      <c r="P93" s="229"/>
      <c r="Q93" s="229"/>
      <c r="R93" s="229"/>
      <c r="S93" s="229"/>
      <c r="T93" s="229"/>
      <c r="U93" s="229"/>
      <c r="V93" s="229"/>
      <c r="W93" s="229"/>
      <c r="X93" s="229"/>
      <c r="Y93" s="229"/>
      <c r="Z93" s="229"/>
      <c r="AA93" s="229"/>
      <c r="AB93" s="229"/>
      <c r="AC93" s="229"/>
      <c r="AD93" s="229"/>
      <c r="AE93" s="229"/>
      <c r="AF93" s="229"/>
      <c r="AG93" s="229"/>
      <c r="AH93" s="229"/>
      <c r="AI93" s="229"/>
      <c r="AJ93" s="229"/>
      <c r="AK93" s="229"/>
      <c r="AL93" s="229"/>
      <c r="AM93" s="229"/>
      <c r="AN93" s="229"/>
      <c r="AO93" s="229"/>
      <c r="AP93" s="229"/>
      <c r="AQ93" s="229"/>
      <c r="AR93" s="229"/>
    </row>
    <row r="94">
      <c r="A94" s="81"/>
      <c r="B94" s="256"/>
      <c r="C94" s="81"/>
      <c r="D94" s="81"/>
      <c r="E94" s="257"/>
      <c r="F94" s="159"/>
      <c r="G94" s="159"/>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row>
    <row r="95">
      <c r="A95" s="160" t="s">
        <v>215</v>
      </c>
      <c r="B95" s="85"/>
      <c r="C95" s="161"/>
      <c r="D95" s="120"/>
      <c r="E95" s="120"/>
      <c r="F95" s="121"/>
      <c r="G95" s="122"/>
      <c r="H95" s="123"/>
      <c r="I95" s="123"/>
      <c r="J95" s="123"/>
      <c r="K95" s="123"/>
      <c r="L95" s="123"/>
      <c r="M95" s="123"/>
      <c r="N95" s="123"/>
      <c r="O95" s="123"/>
      <c r="P95" s="123"/>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row>
    <row r="96">
      <c r="A96" s="84" t="s">
        <v>216</v>
      </c>
      <c r="B96" s="258">
        <f>B62+B89</f>
        <v>5563.177821</v>
      </c>
      <c r="C96" s="84" t="s">
        <v>203</v>
      </c>
      <c r="D96" s="84"/>
      <c r="E96" s="84"/>
      <c r="F96" s="259"/>
      <c r="G96" s="260"/>
      <c r="H96" s="261"/>
      <c r="I96" s="142"/>
      <c r="J96" s="142"/>
      <c r="K96" s="142"/>
      <c r="L96" s="142"/>
      <c r="M96" s="142"/>
      <c r="N96" s="142"/>
      <c r="O96" s="142"/>
      <c r="P96" s="142"/>
      <c r="Q96" s="142"/>
      <c r="R96" s="142"/>
      <c r="S96" s="142"/>
      <c r="T96" s="142"/>
      <c r="U96" s="142"/>
      <c r="V96" s="142"/>
      <c r="W96" s="142"/>
      <c r="X96" s="142"/>
      <c r="Y96" s="142"/>
      <c r="Z96" s="142"/>
      <c r="AA96" s="142"/>
      <c r="AB96" s="142"/>
      <c r="AC96" s="142"/>
      <c r="AD96" s="142"/>
      <c r="AE96" s="142"/>
      <c r="AF96" s="142"/>
      <c r="AG96" s="142"/>
      <c r="AH96" s="142"/>
      <c r="AI96" s="142"/>
      <c r="AJ96" s="142"/>
      <c r="AK96" s="142"/>
      <c r="AL96" s="142"/>
      <c r="AM96" s="142"/>
      <c r="AN96" s="142"/>
      <c r="AO96" s="142"/>
      <c r="AP96" s="142"/>
      <c r="AQ96" s="142"/>
      <c r="AR96" s="142"/>
    </row>
    <row r="97">
      <c r="A97" s="84"/>
      <c r="B97" s="83"/>
      <c r="C97" s="84"/>
      <c r="D97" s="81"/>
      <c r="E97" s="81"/>
      <c r="F97" s="125"/>
      <c r="G97" s="137"/>
      <c r="H97" s="138"/>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row>
    <row r="98">
      <c r="A98" s="262" t="s">
        <v>217</v>
      </c>
      <c r="B98" s="263">
        <f>B62/B96</f>
        <v>0.4135106735</v>
      </c>
      <c r="C98" s="262" t="s">
        <v>109</v>
      </c>
      <c r="D98" s="217" t="s">
        <v>218</v>
      </c>
      <c r="E98" s="262"/>
      <c r="F98" s="220"/>
      <c r="G98" s="262"/>
      <c r="H98" s="219"/>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row>
    <row r="99">
      <c r="A99" s="84"/>
      <c r="B99" s="83"/>
      <c r="C99" s="84"/>
      <c r="D99" s="81"/>
      <c r="E99" s="81"/>
      <c r="F99" s="125"/>
      <c r="G99" s="137"/>
      <c r="H99" s="138"/>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c r="AM99" s="127"/>
      <c r="AN99" s="127"/>
      <c r="AO99" s="127"/>
      <c r="AP99" s="127"/>
      <c r="AQ99" s="127"/>
      <c r="AR99" s="127"/>
    </row>
    <row r="100" ht="27.0" customHeight="1">
      <c r="A100" s="107" t="s">
        <v>60</v>
      </c>
      <c r="B100" s="63"/>
      <c r="C100" s="108"/>
      <c r="D100" s="63"/>
      <c r="E100" s="63"/>
      <c r="F100" s="109"/>
      <c r="G100" s="110"/>
      <c r="H100" s="111"/>
      <c r="I100" s="111"/>
      <c r="J100" s="111"/>
      <c r="K100" s="111"/>
      <c r="L100" s="111"/>
      <c r="M100" s="111"/>
      <c r="N100" s="111"/>
      <c r="O100" s="111"/>
      <c r="P100" s="112"/>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row>
    <row r="101">
      <c r="A101" s="128"/>
      <c r="B101" s="81"/>
      <c r="C101" s="81"/>
      <c r="D101" s="81"/>
      <c r="E101" s="81"/>
      <c r="F101" s="125"/>
      <c r="G101" s="137"/>
      <c r="H101" s="138"/>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c r="AM101" s="127"/>
      <c r="AN101" s="127"/>
      <c r="AO101" s="127"/>
      <c r="AP101" s="127"/>
      <c r="AQ101" s="127"/>
      <c r="AR101" s="127"/>
    </row>
    <row r="102">
      <c r="A102" s="160" t="str">
        <f>"Number of "&amp;$B$5&amp;"s can reach a year when at scale"</f>
        <v>Number of countrys can reach a year when at scale</v>
      </c>
      <c r="B102" s="264"/>
      <c r="C102" s="160"/>
      <c r="D102" s="265"/>
      <c r="E102" s="265"/>
      <c r="F102" s="266"/>
      <c r="G102" s="267"/>
      <c r="H102" s="268"/>
      <c r="I102" s="123"/>
      <c r="J102" s="123"/>
      <c r="K102" s="123"/>
      <c r="L102" s="123"/>
      <c r="M102" s="123"/>
      <c r="N102" s="123"/>
      <c r="O102" s="123"/>
      <c r="P102" s="123"/>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row>
    <row r="103">
      <c r="A103" s="249" t="s">
        <v>219</v>
      </c>
      <c r="B103" s="269">
        <v>3.0</v>
      </c>
      <c r="C103" s="81" t="s">
        <v>220</v>
      </c>
      <c r="D103" s="132" t="s">
        <v>221</v>
      </c>
      <c r="E103" s="84"/>
      <c r="F103" s="73"/>
      <c r="G103" s="260"/>
      <c r="H103" s="261"/>
      <c r="I103" s="142"/>
      <c r="J103" s="142"/>
      <c r="K103" s="142"/>
      <c r="L103" s="142"/>
      <c r="M103" s="142"/>
      <c r="N103" s="142"/>
      <c r="O103" s="142"/>
      <c r="P103" s="142"/>
      <c r="Q103" s="142"/>
      <c r="R103" s="142"/>
      <c r="S103" s="142"/>
      <c r="T103" s="142"/>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row>
    <row r="104">
      <c r="A104" s="84"/>
      <c r="B104" s="83"/>
      <c r="C104" s="84"/>
      <c r="D104" s="81"/>
      <c r="E104" s="81"/>
      <c r="F104" s="125"/>
      <c r="G104" s="137"/>
      <c r="H104" s="138"/>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7"/>
      <c r="AM104" s="127"/>
      <c r="AN104" s="127"/>
      <c r="AO104" s="127"/>
      <c r="AP104" s="127"/>
      <c r="AQ104" s="127"/>
      <c r="AR104" s="127"/>
    </row>
    <row r="105">
      <c r="A105" s="270" t="s">
        <v>222</v>
      </c>
      <c r="B105" s="271"/>
      <c r="C105" s="271"/>
      <c r="D105" s="271"/>
      <c r="E105" s="271"/>
      <c r="F105" s="272"/>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73"/>
      <c r="AC105" s="273"/>
      <c r="AD105" s="274"/>
      <c r="AE105" s="274"/>
      <c r="AF105" s="274"/>
      <c r="AG105" s="274"/>
      <c r="AH105" s="274"/>
      <c r="AI105" s="274"/>
      <c r="AJ105" s="274"/>
      <c r="AK105" s="274"/>
      <c r="AL105" s="274"/>
      <c r="AM105" s="274"/>
      <c r="AN105" s="274"/>
      <c r="AO105" s="274"/>
      <c r="AP105" s="274"/>
      <c r="AQ105" s="274"/>
      <c r="AR105" s="274"/>
    </row>
    <row r="106">
      <c r="A106" s="81" t="s">
        <v>223</v>
      </c>
      <c r="B106" s="275">
        <f>B103</f>
        <v>3</v>
      </c>
      <c r="C106" s="81" t="s">
        <v>224</v>
      </c>
      <c r="D106" s="81"/>
      <c r="E106" s="81"/>
      <c r="F106" s="140"/>
      <c r="G106" s="137"/>
      <c r="H106" s="138"/>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7"/>
      <c r="AM106" s="127"/>
      <c r="AN106" s="127"/>
      <c r="AO106" s="127"/>
      <c r="AP106" s="127"/>
      <c r="AQ106" s="127"/>
      <c r="AR106" s="127"/>
    </row>
    <row r="107">
      <c r="A107" s="81" t="s">
        <v>225</v>
      </c>
      <c r="B107" s="276">
        <f>B$22</f>
        <v>645490.2917</v>
      </c>
      <c r="C107" s="81" t="s">
        <v>226</v>
      </c>
      <c r="D107" s="81"/>
      <c r="E107" s="81"/>
      <c r="F107" s="140"/>
      <c r="G107" s="137"/>
      <c r="H107" s="138"/>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c r="AM107" s="127"/>
      <c r="AN107" s="127"/>
      <c r="AO107" s="127"/>
      <c r="AP107" s="127"/>
      <c r="AQ107" s="127"/>
      <c r="AR107" s="127"/>
    </row>
    <row r="108">
      <c r="A108" s="81" t="s">
        <v>227</v>
      </c>
      <c r="B108" s="275">
        <f>B96*B106</f>
        <v>16689.53346</v>
      </c>
      <c r="C108" s="81" t="s">
        <v>228</v>
      </c>
      <c r="D108" s="81"/>
      <c r="E108" s="81"/>
      <c r="F108" s="140"/>
      <c r="G108" s="137"/>
      <c r="H108" s="138"/>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row>
    <row r="109">
      <c r="A109" s="81" t="s">
        <v>229</v>
      </c>
      <c r="B109" s="276">
        <f>B107/B108</f>
        <v>38.67635324</v>
      </c>
      <c r="C109" s="81" t="s">
        <v>230</v>
      </c>
      <c r="D109" s="81"/>
      <c r="E109" s="81"/>
      <c r="F109" s="277"/>
      <c r="G109" s="137"/>
      <c r="H109" s="138"/>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c r="AM109" s="127"/>
      <c r="AN109" s="127"/>
      <c r="AO109" s="127"/>
      <c r="AP109" s="127"/>
      <c r="AQ109" s="127"/>
      <c r="AR109" s="127"/>
    </row>
    <row r="110">
      <c r="A110" s="81" t="s">
        <v>231</v>
      </c>
      <c r="B110" s="278">
        <f>1000*(1/B109)</f>
        <v>25.85559176</v>
      </c>
      <c r="C110" s="81" t="s">
        <v>232</v>
      </c>
      <c r="D110" s="81"/>
      <c r="E110" s="81"/>
      <c r="F110" s="125"/>
      <c r="G110" s="137"/>
      <c r="H110" s="138"/>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7"/>
      <c r="AM110" s="127"/>
      <c r="AN110" s="127"/>
      <c r="AO110" s="127"/>
      <c r="AP110" s="127"/>
      <c r="AQ110" s="127"/>
      <c r="AR110" s="127"/>
    </row>
    <row r="111">
      <c r="A111" s="84"/>
      <c r="B111" s="83"/>
      <c r="C111" s="84"/>
      <c r="D111" s="81"/>
      <c r="E111" s="81"/>
      <c r="F111" s="125"/>
      <c r="G111" s="137"/>
      <c r="H111" s="138"/>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7"/>
      <c r="AM111" s="127"/>
      <c r="AN111" s="127"/>
      <c r="AO111" s="127"/>
      <c r="AP111" s="127"/>
      <c r="AQ111" s="127"/>
      <c r="AR111" s="127"/>
    </row>
    <row r="112">
      <c r="A112" s="279" t="s">
        <v>233</v>
      </c>
      <c r="B112" s="280">
        <f>B13/B107</f>
        <v>0.4337787936</v>
      </c>
      <c r="C112" s="84"/>
      <c r="D112" s="81"/>
      <c r="E112" s="81"/>
      <c r="F112" s="125"/>
      <c r="G112" s="137"/>
      <c r="H112" s="138"/>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7"/>
      <c r="AM112" s="127"/>
      <c r="AN112" s="127"/>
      <c r="AO112" s="127"/>
      <c r="AP112" s="127"/>
      <c r="AQ112" s="127"/>
      <c r="AR112" s="127"/>
    </row>
    <row r="113">
      <c r="A113" s="84"/>
      <c r="B113" s="83"/>
      <c r="C113" s="84"/>
      <c r="D113" s="81"/>
      <c r="E113" s="81"/>
      <c r="F113" s="125"/>
      <c r="G113" s="137"/>
      <c r="H113" s="138"/>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c r="AM113" s="127"/>
      <c r="AN113" s="127"/>
      <c r="AO113" s="127"/>
      <c r="AP113" s="127"/>
      <c r="AQ113" s="127"/>
      <c r="AR113" s="127"/>
    </row>
    <row r="114" ht="27.0" customHeight="1">
      <c r="A114" s="107" t="s">
        <v>61</v>
      </c>
      <c r="B114" s="63"/>
      <c r="C114" s="108"/>
      <c r="D114" s="63"/>
      <c r="E114" s="63"/>
      <c r="F114" s="109"/>
      <c r="G114" s="110"/>
      <c r="H114" s="111"/>
      <c r="I114" s="111"/>
      <c r="J114" s="111"/>
      <c r="K114" s="111"/>
      <c r="L114" s="111"/>
      <c r="M114" s="111"/>
      <c r="N114" s="111"/>
      <c r="O114" s="111"/>
      <c r="P114" s="112"/>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row>
    <row r="115">
      <c r="A115" s="281" t="s">
        <v>234</v>
      </c>
      <c r="B115" s="282"/>
      <c r="C115" s="283"/>
      <c r="D115" s="284"/>
      <c r="E115" s="284"/>
      <c r="F115" s="285"/>
      <c r="G115" s="286"/>
      <c r="H115" s="287"/>
      <c r="I115" s="287"/>
      <c r="J115" s="287"/>
      <c r="K115" s="287"/>
      <c r="L115" s="287"/>
      <c r="M115" s="287"/>
      <c r="N115" s="287"/>
      <c r="O115" s="287"/>
      <c r="P115" s="287"/>
      <c r="Q115" s="148"/>
      <c r="R115" s="148"/>
      <c r="S115" s="148"/>
      <c r="T115" s="148"/>
      <c r="U115" s="148"/>
      <c r="V115" s="148"/>
      <c r="W115" s="148"/>
      <c r="X115" s="148"/>
      <c r="Y115" s="148"/>
      <c r="Z115" s="148"/>
      <c r="AA115" s="148"/>
      <c r="AB115" s="148"/>
      <c r="AC115" s="148"/>
      <c r="AD115" s="148"/>
      <c r="AE115" s="148"/>
      <c r="AF115" s="148"/>
      <c r="AG115" s="148"/>
      <c r="AH115" s="148"/>
      <c r="AI115" s="148"/>
      <c r="AJ115" s="148"/>
      <c r="AK115" s="148"/>
      <c r="AL115" s="148"/>
      <c r="AM115" s="148"/>
      <c r="AN115" s="148"/>
      <c r="AO115" s="148"/>
      <c r="AP115" s="148"/>
      <c r="AQ115" s="148"/>
      <c r="AR115" s="148"/>
    </row>
    <row r="116">
      <c r="A116" s="81" t="s">
        <v>235</v>
      </c>
      <c r="B116" s="238">
        <v>0.2</v>
      </c>
      <c r="C116" s="81" t="s">
        <v>109</v>
      </c>
      <c r="D116" s="132" t="s">
        <v>236</v>
      </c>
      <c r="E116" s="81"/>
      <c r="F116" s="73"/>
      <c r="G116" s="13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c r="AM116" s="127"/>
      <c r="AN116" s="127"/>
      <c r="AO116" s="127"/>
      <c r="AP116" s="127"/>
      <c r="AQ116" s="127"/>
      <c r="AR116" s="127"/>
    </row>
    <row r="117" ht="16.5" customHeight="1">
      <c r="A117" s="81" t="s">
        <v>237</v>
      </c>
      <c r="B117" s="288">
        <v>4.0</v>
      </c>
      <c r="C117" s="81" t="s">
        <v>163</v>
      </c>
      <c r="D117" s="132" t="s">
        <v>238</v>
      </c>
      <c r="E117" s="128"/>
      <c r="F117" s="125"/>
      <c r="G117" s="289"/>
      <c r="H117" s="290"/>
      <c r="I117" s="290"/>
      <c r="J117" s="290"/>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7"/>
      <c r="AM117" s="127"/>
      <c r="AN117" s="127"/>
      <c r="AO117" s="127"/>
      <c r="AP117" s="127"/>
      <c r="AQ117" s="127"/>
      <c r="AR117" s="127"/>
    </row>
    <row r="118" ht="16.5" customHeight="1">
      <c r="A118" s="81" t="s">
        <v>239</v>
      </c>
      <c r="B118" s="238">
        <v>0.4</v>
      </c>
      <c r="C118" s="81" t="s">
        <v>109</v>
      </c>
      <c r="D118" s="81"/>
      <c r="E118" s="128"/>
      <c r="F118" s="140"/>
      <c r="G118" s="289"/>
      <c r="H118" s="290"/>
      <c r="I118" s="290"/>
      <c r="J118" s="290"/>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c r="AM118" s="127"/>
      <c r="AN118" s="127"/>
      <c r="AO118" s="127"/>
      <c r="AP118" s="127"/>
      <c r="AQ118" s="127"/>
      <c r="AR118" s="127"/>
    </row>
    <row r="119" ht="16.5" customHeight="1">
      <c r="A119" s="81"/>
      <c r="B119" s="257"/>
      <c r="C119" s="81"/>
      <c r="D119" s="128"/>
      <c r="E119" s="128"/>
      <c r="F119" s="125"/>
      <c r="G119" s="289"/>
      <c r="H119" s="290"/>
      <c r="I119" s="290"/>
      <c r="J119" s="290"/>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c r="AK119" s="127"/>
      <c r="AL119" s="127"/>
      <c r="AM119" s="127"/>
      <c r="AN119" s="127"/>
      <c r="AO119" s="127"/>
      <c r="AP119" s="127"/>
      <c r="AQ119" s="127"/>
      <c r="AR119" s="127"/>
    </row>
    <row r="120">
      <c r="A120" s="281" t="s">
        <v>240</v>
      </c>
      <c r="B120" s="282"/>
      <c r="C120" s="283"/>
      <c r="D120" s="284"/>
      <c r="E120" s="284"/>
      <c r="F120" s="285"/>
      <c r="G120" s="286"/>
      <c r="H120" s="287"/>
      <c r="I120" s="287"/>
      <c r="J120" s="287"/>
      <c r="K120" s="287"/>
      <c r="L120" s="287"/>
      <c r="M120" s="287"/>
      <c r="N120" s="287"/>
      <c r="O120" s="287"/>
      <c r="P120" s="287"/>
      <c r="Q120" s="148"/>
      <c r="R120" s="148"/>
      <c r="S120" s="148"/>
      <c r="T120" s="148"/>
      <c r="U120" s="148"/>
      <c r="V120" s="148"/>
      <c r="W120" s="148"/>
      <c r="X120" s="148"/>
      <c r="Y120" s="148"/>
      <c r="Z120" s="148"/>
      <c r="AA120" s="148"/>
      <c r="AB120" s="148"/>
      <c r="AC120" s="148"/>
      <c r="AD120" s="148"/>
      <c r="AE120" s="148"/>
      <c r="AF120" s="148"/>
      <c r="AG120" s="148"/>
      <c r="AH120" s="148"/>
      <c r="AI120" s="148"/>
      <c r="AJ120" s="148"/>
      <c r="AK120" s="148"/>
      <c r="AL120" s="148"/>
      <c r="AM120" s="148"/>
      <c r="AN120" s="148"/>
      <c r="AO120" s="148"/>
      <c r="AP120" s="148"/>
      <c r="AQ120" s="148"/>
      <c r="AR120" s="148"/>
    </row>
    <row r="121">
      <c r="A121" s="291" t="s">
        <v>241</v>
      </c>
      <c r="B121" s="292">
        <v>0.04</v>
      </c>
      <c r="C121" s="152" t="s">
        <v>98</v>
      </c>
      <c r="D121" s="293" t="s">
        <v>242</v>
      </c>
      <c r="E121" s="152"/>
      <c r="F121" s="294"/>
      <c r="G121" s="295"/>
      <c r="H121" s="296"/>
      <c r="I121" s="296"/>
      <c r="J121" s="296"/>
      <c r="K121" s="296"/>
      <c r="L121" s="296"/>
      <c r="M121" s="296"/>
      <c r="N121" s="296"/>
      <c r="O121" s="296"/>
      <c r="P121" s="296"/>
      <c r="Q121" s="296"/>
      <c r="R121" s="296"/>
      <c r="S121" s="296"/>
      <c r="T121" s="296"/>
      <c r="U121" s="296"/>
      <c r="V121" s="296"/>
      <c r="W121" s="296"/>
      <c r="X121" s="296"/>
      <c r="Y121" s="296"/>
      <c r="Z121" s="296"/>
      <c r="AA121" s="296"/>
      <c r="AB121" s="296"/>
      <c r="AC121" s="296"/>
      <c r="AD121" s="296"/>
      <c r="AE121" s="296"/>
      <c r="AF121" s="296"/>
      <c r="AG121" s="296"/>
      <c r="AH121" s="296"/>
      <c r="AI121" s="296"/>
      <c r="AJ121" s="296"/>
      <c r="AK121" s="296"/>
      <c r="AL121" s="296"/>
      <c r="AM121" s="296"/>
      <c r="AN121" s="296"/>
      <c r="AO121" s="296"/>
      <c r="AP121" s="296"/>
      <c r="AQ121" s="296"/>
      <c r="AR121" s="296"/>
    </row>
    <row r="122">
      <c r="A122" s="297" t="s">
        <v>243</v>
      </c>
      <c r="B122" s="298">
        <f>IFERROR(LOG(0.5,(1-B121)),"never")</f>
        <v>16.97974802</v>
      </c>
      <c r="C122" s="299" t="s">
        <v>163</v>
      </c>
      <c r="D122" s="300"/>
      <c r="E122" s="300"/>
      <c r="F122" s="301"/>
      <c r="G122" s="302"/>
      <c r="H122" s="303"/>
      <c r="I122" s="303"/>
      <c r="J122" s="303"/>
      <c r="K122" s="303"/>
      <c r="L122" s="303"/>
      <c r="M122" s="303"/>
      <c r="N122" s="303"/>
      <c r="O122" s="303"/>
      <c r="P122" s="303"/>
      <c r="Q122" s="303"/>
      <c r="R122" s="303"/>
      <c r="S122" s="303"/>
      <c r="T122" s="303"/>
      <c r="U122" s="303"/>
      <c r="V122" s="303"/>
      <c r="W122" s="303"/>
      <c r="X122" s="303"/>
      <c r="Y122" s="303"/>
      <c r="Z122" s="303"/>
      <c r="AA122" s="303"/>
      <c r="AB122" s="303"/>
      <c r="AC122" s="303"/>
      <c r="AD122" s="303"/>
      <c r="AE122" s="303"/>
      <c r="AF122" s="303"/>
      <c r="AG122" s="303"/>
      <c r="AH122" s="303"/>
      <c r="AI122" s="303"/>
      <c r="AJ122" s="303"/>
      <c r="AK122" s="303"/>
      <c r="AL122" s="303"/>
      <c r="AM122" s="303"/>
      <c r="AN122" s="303"/>
      <c r="AO122" s="303"/>
      <c r="AP122" s="303"/>
      <c r="AQ122" s="303"/>
      <c r="AR122" s="303"/>
    </row>
    <row r="123">
      <c r="A123" s="304" t="str">
        <f>"   In case useful: Total prob. change happens anyway within "&amp;B117&amp;"yrs"</f>
        <v>   In case useful: Total prob. change happens anyway within 4yrs</v>
      </c>
      <c r="B123" s="305">
        <f>1-(1-B121)^B117</f>
        <v>0.15065344</v>
      </c>
      <c r="C123" s="306" t="s">
        <v>109</v>
      </c>
      <c r="D123" s="307"/>
      <c r="E123" s="307"/>
      <c r="F123" s="301"/>
      <c r="G123" s="308"/>
      <c r="H123" s="309"/>
      <c r="I123" s="309"/>
      <c r="J123" s="309"/>
      <c r="K123" s="309"/>
      <c r="L123" s="309"/>
      <c r="M123" s="309"/>
      <c r="N123" s="309"/>
      <c r="O123" s="309"/>
      <c r="P123" s="309"/>
      <c r="Q123" s="309"/>
      <c r="R123" s="309"/>
      <c r="S123" s="309"/>
      <c r="T123" s="309"/>
      <c r="U123" s="309"/>
      <c r="V123" s="309"/>
      <c r="W123" s="309"/>
      <c r="X123" s="309"/>
      <c r="Y123" s="309"/>
      <c r="Z123" s="309"/>
      <c r="AA123" s="309"/>
      <c r="AB123" s="309"/>
      <c r="AC123" s="309"/>
      <c r="AD123" s="309"/>
      <c r="AE123" s="309"/>
      <c r="AF123" s="309"/>
      <c r="AG123" s="309"/>
      <c r="AH123" s="309"/>
      <c r="AI123" s="309"/>
      <c r="AJ123" s="309"/>
      <c r="AK123" s="309"/>
      <c r="AL123" s="309"/>
      <c r="AM123" s="309"/>
      <c r="AN123" s="309"/>
      <c r="AO123" s="309"/>
      <c r="AP123" s="309"/>
      <c r="AQ123" s="309"/>
      <c r="AR123" s="309"/>
    </row>
    <row r="124">
      <c r="A124" s="304" t="str">
        <f>"   In case useful: Total prob. change happens within "&amp;B117&amp;"yrs"</f>
        <v>   In case useful: Total prob. change happens within 4yrs</v>
      </c>
      <c r="B124" s="305">
        <f>1-(1-B116)*(1-B121)^B117</f>
        <v>0.320522752</v>
      </c>
      <c r="C124" s="306" t="s">
        <v>109</v>
      </c>
      <c r="D124" s="307"/>
      <c r="E124" s="307"/>
      <c r="F124" s="301"/>
      <c r="G124" s="308"/>
      <c r="H124" s="309"/>
      <c r="I124" s="309"/>
      <c r="J124" s="309"/>
      <c r="K124" s="309"/>
      <c r="L124" s="309"/>
      <c r="M124" s="309"/>
      <c r="N124" s="309"/>
      <c r="O124" s="309"/>
      <c r="P124" s="309"/>
      <c r="Q124" s="309"/>
      <c r="R124" s="309"/>
      <c r="S124" s="309"/>
      <c r="T124" s="309"/>
      <c r="U124" s="309"/>
      <c r="V124" s="309"/>
      <c r="W124" s="309"/>
      <c r="X124" s="309"/>
      <c r="Y124" s="309"/>
      <c r="Z124" s="309"/>
      <c r="AA124" s="309"/>
      <c r="AB124" s="309"/>
      <c r="AC124" s="309"/>
      <c r="AD124" s="309"/>
      <c r="AE124" s="309"/>
      <c r="AF124" s="309"/>
      <c r="AG124" s="309"/>
      <c r="AH124" s="309"/>
      <c r="AI124" s="309"/>
      <c r="AJ124" s="309"/>
      <c r="AK124" s="309"/>
      <c r="AL124" s="309"/>
      <c r="AM124" s="309"/>
      <c r="AN124" s="309"/>
      <c r="AO124" s="309"/>
      <c r="AP124" s="309"/>
      <c r="AQ124" s="309"/>
      <c r="AR124" s="309"/>
    </row>
    <row r="125">
      <c r="A125" s="84"/>
      <c r="B125" s="83"/>
      <c r="C125" s="84"/>
      <c r="D125" s="81"/>
      <c r="E125" s="81"/>
      <c r="F125" s="125"/>
      <c r="G125" s="137"/>
      <c r="H125" s="138"/>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c r="AM125" s="127"/>
      <c r="AN125" s="127"/>
      <c r="AO125" s="127"/>
      <c r="AP125" s="127"/>
      <c r="AQ125" s="127"/>
      <c r="AR125" s="127"/>
    </row>
    <row r="126">
      <c r="A126" s="84"/>
      <c r="B126" s="83"/>
      <c r="C126" s="84"/>
      <c r="D126" s="81"/>
      <c r="E126" s="81"/>
      <c r="F126" s="125"/>
      <c r="G126" s="137"/>
      <c r="H126" s="138"/>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c r="AM126" s="127"/>
      <c r="AN126" s="127"/>
      <c r="AO126" s="127"/>
      <c r="AP126" s="127"/>
      <c r="AQ126" s="127"/>
      <c r="AR126" s="127"/>
    </row>
    <row r="127">
      <c r="A127" s="270" t="s">
        <v>244</v>
      </c>
      <c r="B127" s="271"/>
      <c r="C127" s="271"/>
      <c r="D127" s="271"/>
      <c r="E127" s="271"/>
      <c r="F127" s="272"/>
      <c r="G127" s="273"/>
      <c r="H127" s="273"/>
      <c r="I127" s="273"/>
      <c r="J127" s="273"/>
      <c r="K127" s="273"/>
      <c r="L127" s="273"/>
      <c r="M127" s="273"/>
      <c r="N127" s="273"/>
      <c r="O127" s="273"/>
      <c r="P127" s="273"/>
      <c r="Q127" s="273"/>
      <c r="R127" s="273"/>
      <c r="S127" s="273"/>
      <c r="T127" s="273"/>
      <c r="U127" s="273"/>
      <c r="V127" s="273"/>
      <c r="W127" s="273"/>
      <c r="X127" s="273"/>
      <c r="Y127" s="273"/>
      <c r="Z127" s="273"/>
      <c r="AA127" s="273"/>
      <c r="AB127" s="273"/>
      <c r="AC127" s="273"/>
      <c r="AD127" s="274"/>
      <c r="AE127" s="274"/>
      <c r="AF127" s="274"/>
      <c r="AG127" s="274"/>
      <c r="AH127" s="274"/>
      <c r="AI127" s="274"/>
      <c r="AJ127" s="274"/>
      <c r="AK127" s="274"/>
      <c r="AL127" s="274"/>
      <c r="AM127" s="274"/>
      <c r="AN127" s="274"/>
      <c r="AO127" s="274"/>
      <c r="AP127" s="274"/>
      <c r="AQ127" s="274"/>
      <c r="AR127" s="274"/>
    </row>
    <row r="128">
      <c r="A128" s="64" t="s">
        <v>245</v>
      </c>
      <c r="B128" s="310">
        <f>B$109/(B$116-B$116*B$123)</f>
        <v>227.6829922</v>
      </c>
      <c r="C128" s="311" t="str">
        <f>"$/"&amp;$B$6</f>
        <v>$/DALY equivelents</v>
      </c>
      <c r="D128" s="157"/>
      <c r="E128" s="157"/>
      <c r="F128" s="116"/>
      <c r="G128" s="312"/>
      <c r="H128" s="312"/>
      <c r="I128" s="303"/>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row>
    <row r="129">
      <c r="A129" s="64" t="s">
        <v>246</v>
      </c>
      <c r="B129" s="313">
        <f>1000*(1/B128)</f>
        <v>4.392071583</v>
      </c>
      <c r="C129" s="311" t="str">
        <f>$B$6&amp;"/$1000"</f>
        <v>DALY equivelents/$1000</v>
      </c>
      <c r="D129" s="157"/>
      <c r="E129" s="157"/>
      <c r="F129" s="314"/>
      <c r="G129" s="312"/>
      <c r="H129" s="312"/>
      <c r="I129" s="303"/>
      <c r="J129" s="303"/>
      <c r="K129" s="303"/>
      <c r="L129" s="303"/>
      <c r="M129" s="303"/>
      <c r="N129" s="303"/>
      <c r="O129" s="303"/>
      <c r="P129" s="303"/>
      <c r="Q129" s="303"/>
      <c r="R129" s="303"/>
      <c r="S129" s="303"/>
      <c r="T129" s="303"/>
      <c r="U129" s="303"/>
      <c r="V129" s="303"/>
      <c r="W129" s="303"/>
      <c r="X129" s="303"/>
      <c r="Y129" s="303"/>
      <c r="Z129" s="303"/>
      <c r="AA129" s="303"/>
      <c r="AB129" s="303"/>
      <c r="AC129" s="303"/>
      <c r="AD129" s="303"/>
      <c r="AE129" s="303"/>
      <c r="AF129" s="303"/>
      <c r="AG129" s="303"/>
      <c r="AH129" s="303"/>
      <c r="AI129" s="303"/>
      <c r="AJ129" s="303"/>
      <c r="AK129" s="303"/>
      <c r="AL129" s="303"/>
      <c r="AM129" s="303"/>
      <c r="AN129" s="303"/>
      <c r="AO129" s="303"/>
      <c r="AP129" s="303"/>
      <c r="AQ129" s="303"/>
      <c r="AR129" s="303"/>
    </row>
    <row r="130">
      <c r="A130" s="84"/>
      <c r="B130" s="83"/>
      <c r="C130" s="84"/>
      <c r="D130" s="81"/>
      <c r="E130" s="81"/>
      <c r="F130" s="125"/>
      <c r="G130" s="137"/>
      <c r="H130" s="138"/>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c r="AH130" s="127"/>
      <c r="AI130" s="127"/>
      <c r="AJ130" s="127"/>
      <c r="AK130" s="127"/>
      <c r="AL130" s="127"/>
      <c r="AM130" s="127"/>
      <c r="AN130" s="127"/>
      <c r="AO130" s="127"/>
      <c r="AP130" s="127"/>
      <c r="AQ130" s="127"/>
      <c r="AR130" s="127"/>
    </row>
    <row r="131">
      <c r="A131" s="84"/>
      <c r="B131" s="83"/>
      <c r="C131" s="84"/>
      <c r="D131" s="81"/>
      <c r="E131" s="81"/>
      <c r="F131" s="125"/>
      <c r="G131" s="137"/>
      <c r="H131" s="138"/>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c r="AH131" s="127"/>
      <c r="AI131" s="127"/>
      <c r="AJ131" s="127"/>
      <c r="AK131" s="127"/>
      <c r="AL131" s="127"/>
      <c r="AM131" s="127"/>
      <c r="AN131" s="127"/>
      <c r="AO131" s="127"/>
      <c r="AP131" s="127"/>
      <c r="AQ131" s="127"/>
      <c r="AR131" s="127"/>
    </row>
    <row r="132" ht="27.0" customHeight="1">
      <c r="A132" s="107" t="s">
        <v>247</v>
      </c>
      <c r="B132" s="63"/>
      <c r="C132" s="108"/>
      <c r="D132" s="63"/>
      <c r="E132" s="63"/>
      <c r="F132" s="109"/>
      <c r="G132" s="110"/>
      <c r="H132" s="111"/>
      <c r="I132" s="111"/>
      <c r="J132" s="111"/>
      <c r="K132" s="111"/>
      <c r="L132" s="111"/>
      <c r="M132" s="111"/>
      <c r="N132" s="111"/>
      <c r="O132" s="111"/>
      <c r="P132" s="112"/>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row>
    <row r="133">
      <c r="A133" s="84"/>
      <c r="B133" s="83"/>
      <c r="C133" s="84"/>
      <c r="D133" s="81"/>
      <c r="E133" s="81"/>
      <c r="F133" s="125"/>
      <c r="G133" s="137"/>
      <c r="H133" s="138"/>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c r="AH133" s="127"/>
      <c r="AI133" s="127"/>
      <c r="AJ133" s="127"/>
      <c r="AK133" s="127"/>
      <c r="AL133" s="127"/>
      <c r="AM133" s="127"/>
      <c r="AN133" s="127"/>
      <c r="AO133" s="127"/>
      <c r="AP133" s="127"/>
      <c r="AQ133" s="127"/>
      <c r="AR133" s="127"/>
    </row>
    <row r="134">
      <c r="A134" s="160" t="s">
        <v>248</v>
      </c>
      <c r="B134" s="85"/>
      <c r="C134" s="161"/>
      <c r="D134" s="119"/>
      <c r="E134" s="120"/>
      <c r="F134" s="121"/>
      <c r="G134" s="122"/>
      <c r="H134" s="123"/>
      <c r="I134" s="123"/>
      <c r="J134" s="123"/>
      <c r="K134" s="123"/>
      <c r="L134" s="123"/>
      <c r="M134" s="123"/>
      <c r="N134" s="123"/>
      <c r="O134" s="123"/>
      <c r="P134" s="123"/>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row>
    <row r="135" ht="15.0" customHeight="1">
      <c r="A135" s="64" t="s">
        <v>249</v>
      </c>
      <c r="B135" s="151">
        <v>0.04</v>
      </c>
      <c r="C135" s="152" t="s">
        <v>98</v>
      </c>
      <c r="D135" s="132" t="s">
        <v>250</v>
      </c>
      <c r="E135" s="128"/>
      <c r="F135" s="140"/>
      <c r="G135" s="126"/>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7"/>
      <c r="AM135" s="127"/>
      <c r="AN135" s="127"/>
      <c r="AO135" s="127"/>
      <c r="AP135" s="127"/>
      <c r="AQ135" s="127"/>
      <c r="AR135" s="127"/>
    </row>
    <row r="136">
      <c r="A136" s="281" t="s">
        <v>251</v>
      </c>
      <c r="B136" s="282"/>
      <c r="C136" s="283"/>
      <c r="D136" s="284"/>
      <c r="E136" s="284"/>
      <c r="F136" s="285"/>
      <c r="G136" s="286"/>
      <c r="H136" s="287"/>
      <c r="I136" s="287"/>
      <c r="J136" s="287"/>
      <c r="K136" s="287"/>
      <c r="L136" s="287"/>
      <c r="M136" s="287"/>
      <c r="N136" s="287"/>
      <c r="O136" s="287"/>
      <c r="P136" s="287"/>
      <c r="Q136" s="148"/>
      <c r="R136" s="148"/>
      <c r="S136" s="148"/>
      <c r="T136" s="148"/>
      <c r="U136" s="148"/>
      <c r="V136" s="148"/>
      <c r="W136" s="148"/>
      <c r="X136" s="148"/>
      <c r="Y136" s="148"/>
      <c r="Z136" s="148"/>
      <c r="AA136" s="148"/>
      <c r="AB136" s="148"/>
      <c r="AC136" s="148"/>
      <c r="AD136" s="148"/>
      <c r="AE136" s="148"/>
      <c r="AF136" s="148"/>
      <c r="AG136" s="148"/>
      <c r="AH136" s="148"/>
      <c r="AI136" s="148"/>
      <c r="AJ136" s="148"/>
      <c r="AK136" s="148"/>
      <c r="AL136" s="148"/>
      <c r="AM136" s="148"/>
      <c r="AN136" s="148"/>
      <c r="AO136" s="148"/>
      <c r="AP136" s="148"/>
      <c r="AQ136" s="148"/>
      <c r="AR136" s="148"/>
    </row>
    <row r="137">
      <c r="A137" s="64" t="s">
        <v>252</v>
      </c>
      <c r="B137" s="315">
        <v>1.0</v>
      </c>
      <c r="C137" s="64" t="s">
        <v>253</v>
      </c>
      <c r="D137" s="64" t="s">
        <v>254</v>
      </c>
      <c r="E137" s="300"/>
      <c r="F137" s="314"/>
      <c r="G137" s="302"/>
      <c r="H137" s="303"/>
      <c r="I137" s="303"/>
      <c r="J137" s="303"/>
      <c r="K137" s="303"/>
      <c r="L137" s="303"/>
      <c r="M137" s="303"/>
      <c r="N137" s="303"/>
      <c r="O137" s="303"/>
      <c r="P137" s="303"/>
      <c r="Q137" s="303"/>
      <c r="R137" s="303"/>
      <c r="S137" s="303"/>
      <c r="T137" s="303"/>
      <c r="U137" s="303"/>
      <c r="V137" s="303"/>
      <c r="W137" s="303"/>
      <c r="X137" s="303"/>
      <c r="Y137" s="303"/>
      <c r="Z137" s="303"/>
      <c r="AA137" s="303"/>
      <c r="AB137" s="303"/>
      <c r="AC137" s="303"/>
      <c r="AD137" s="303"/>
      <c r="AE137" s="303"/>
      <c r="AF137" s="303"/>
      <c r="AG137" s="303"/>
      <c r="AH137" s="303"/>
      <c r="AI137" s="303"/>
      <c r="AJ137" s="303"/>
      <c r="AK137" s="303"/>
      <c r="AL137" s="303"/>
      <c r="AM137" s="303"/>
      <c r="AN137" s="303"/>
      <c r="AO137" s="303"/>
      <c r="AP137" s="303"/>
      <c r="AQ137" s="303"/>
      <c r="AR137" s="303"/>
    </row>
    <row r="138">
      <c r="A138" s="64" t="s">
        <v>255</v>
      </c>
      <c r="B138" s="315">
        <v>3.0</v>
      </c>
      <c r="C138" s="311" t="s">
        <v>253</v>
      </c>
      <c r="D138" s="64"/>
      <c r="E138" s="300"/>
      <c r="F138" s="314"/>
      <c r="G138" s="302"/>
      <c r="H138" s="303"/>
      <c r="I138" s="303"/>
      <c r="J138" s="303"/>
      <c r="K138" s="303"/>
      <c r="L138" s="303"/>
      <c r="M138" s="303"/>
      <c r="N138" s="303"/>
      <c r="O138" s="303"/>
      <c r="P138" s="303"/>
      <c r="Q138" s="303"/>
      <c r="R138" s="303"/>
      <c r="S138" s="303"/>
      <c r="T138" s="303"/>
      <c r="U138" s="303"/>
      <c r="V138" s="303"/>
      <c r="W138" s="303"/>
      <c r="X138" s="303"/>
      <c r="Y138" s="303"/>
      <c r="Z138" s="303"/>
      <c r="AA138" s="303"/>
      <c r="AB138" s="303"/>
      <c r="AC138" s="303"/>
      <c r="AD138" s="303"/>
      <c r="AE138" s="303"/>
      <c r="AF138" s="303"/>
      <c r="AG138" s="303"/>
      <c r="AH138" s="303"/>
      <c r="AI138" s="303"/>
      <c r="AJ138" s="303"/>
      <c r="AK138" s="303"/>
      <c r="AL138" s="303"/>
      <c r="AM138" s="303"/>
      <c r="AN138" s="303"/>
      <c r="AO138" s="303"/>
      <c r="AP138" s="303"/>
      <c r="AQ138" s="303"/>
      <c r="AR138" s="303"/>
    </row>
    <row r="139">
      <c r="A139" s="64" t="s">
        <v>256</v>
      </c>
      <c r="B139" s="129">
        <f>B$12</f>
        <v>130000</v>
      </c>
      <c r="C139" s="311" t="s">
        <v>52</v>
      </c>
      <c r="D139" s="64"/>
      <c r="E139" s="300"/>
      <c r="F139" s="314"/>
      <c r="G139" s="302"/>
      <c r="H139" s="303"/>
      <c r="I139" s="303"/>
      <c r="J139" s="303"/>
      <c r="K139" s="303"/>
      <c r="L139" s="303"/>
      <c r="M139" s="303"/>
      <c r="N139" s="303"/>
      <c r="O139" s="303"/>
      <c r="P139" s="303"/>
      <c r="Q139" s="303"/>
      <c r="R139" s="303"/>
      <c r="S139" s="303"/>
      <c r="T139" s="303"/>
      <c r="U139" s="303"/>
      <c r="V139" s="303"/>
      <c r="W139" s="303"/>
      <c r="X139" s="303"/>
      <c r="Y139" s="303"/>
      <c r="Z139" s="303"/>
      <c r="AA139" s="303"/>
      <c r="AB139" s="303"/>
      <c r="AC139" s="303"/>
      <c r="AD139" s="303"/>
      <c r="AE139" s="303"/>
      <c r="AF139" s="303"/>
      <c r="AG139" s="303"/>
      <c r="AH139" s="303"/>
      <c r="AI139" s="303"/>
      <c r="AJ139" s="303"/>
      <c r="AK139" s="303"/>
      <c r="AL139" s="303"/>
      <c r="AM139" s="303"/>
      <c r="AN139" s="303"/>
      <c r="AO139" s="303"/>
      <c r="AP139" s="303"/>
      <c r="AQ139" s="303"/>
      <c r="AR139" s="303"/>
    </row>
    <row r="140">
      <c r="A140" s="117" t="s">
        <v>257</v>
      </c>
      <c r="B140" s="129">
        <f>B$14</f>
        <v>280000</v>
      </c>
      <c r="C140" s="311" t="s">
        <v>52</v>
      </c>
      <c r="D140" s="300"/>
      <c r="E140" s="300"/>
      <c r="F140" s="314"/>
      <c r="G140" s="302"/>
      <c r="H140" s="303"/>
      <c r="I140" s="303"/>
      <c r="J140" s="303"/>
      <c r="K140" s="303"/>
      <c r="L140" s="303"/>
      <c r="M140" s="303"/>
      <c r="N140" s="303"/>
      <c r="O140" s="303"/>
      <c r="P140" s="303"/>
      <c r="Q140" s="303"/>
      <c r="R140" s="303"/>
      <c r="S140" s="303"/>
      <c r="T140" s="303"/>
      <c r="U140" s="303"/>
      <c r="V140" s="303"/>
      <c r="W140" s="303"/>
      <c r="X140" s="303"/>
      <c r="Y140" s="303"/>
      <c r="Z140" s="303"/>
      <c r="AA140" s="303"/>
      <c r="AB140" s="303"/>
      <c r="AC140" s="303"/>
      <c r="AD140" s="303"/>
      <c r="AE140" s="303"/>
      <c r="AF140" s="303"/>
      <c r="AG140" s="303"/>
      <c r="AH140" s="303"/>
      <c r="AI140" s="303"/>
      <c r="AJ140" s="303"/>
      <c r="AK140" s="303"/>
      <c r="AL140" s="303"/>
      <c r="AM140" s="303"/>
      <c r="AN140" s="303"/>
      <c r="AO140" s="303"/>
      <c r="AP140" s="303"/>
      <c r="AQ140" s="303"/>
      <c r="AR140" s="303"/>
    </row>
    <row r="141" hidden="1">
      <c r="A141" s="299" t="s">
        <v>258</v>
      </c>
      <c r="B141" s="316">
        <f>(B140-B139)/(B138-B137)</f>
        <v>75000</v>
      </c>
      <c r="C141" s="299" t="s">
        <v>52</v>
      </c>
      <c r="D141" s="317"/>
      <c r="E141" s="318"/>
      <c r="F141" s="314"/>
      <c r="G141" s="302"/>
      <c r="H141" s="303"/>
      <c r="I141" s="303"/>
      <c r="J141" s="303"/>
      <c r="K141" s="303"/>
      <c r="L141" s="303"/>
      <c r="M141" s="303"/>
      <c r="N141" s="303"/>
      <c r="O141" s="303"/>
      <c r="P141" s="303"/>
      <c r="Q141" s="303"/>
      <c r="R141" s="303"/>
      <c r="S141" s="303"/>
      <c r="T141" s="303"/>
      <c r="U141" s="303"/>
      <c r="V141" s="303"/>
      <c r="W141" s="303"/>
      <c r="X141" s="303"/>
      <c r="Y141" s="303"/>
      <c r="Z141" s="303"/>
      <c r="AA141" s="303"/>
      <c r="AB141" s="303"/>
      <c r="AC141" s="303"/>
      <c r="AD141" s="303"/>
      <c r="AE141" s="303"/>
      <c r="AF141" s="303"/>
      <c r="AG141" s="303"/>
      <c r="AH141" s="303"/>
      <c r="AI141" s="303"/>
      <c r="AJ141" s="303"/>
      <c r="AK141" s="303"/>
      <c r="AL141" s="303"/>
      <c r="AM141" s="303"/>
      <c r="AN141" s="303"/>
      <c r="AO141" s="303"/>
      <c r="AP141" s="303"/>
      <c r="AQ141" s="303"/>
      <c r="AR141" s="303"/>
    </row>
    <row r="142" hidden="1">
      <c r="A142" s="319" t="s">
        <v>259</v>
      </c>
      <c r="B142" s="320">
        <f>B138-B137+1</f>
        <v>3</v>
      </c>
      <c r="C142" s="319" t="s">
        <v>163</v>
      </c>
      <c r="D142" s="319"/>
      <c r="E142" s="321"/>
      <c r="F142" s="259"/>
      <c r="G142" s="141"/>
      <c r="H142" s="142"/>
      <c r="I142" s="142"/>
      <c r="J142" s="142"/>
      <c r="K142" s="142"/>
      <c r="L142" s="142"/>
      <c r="M142" s="142"/>
      <c r="N142" s="142"/>
      <c r="O142" s="142"/>
      <c r="P142" s="142"/>
      <c r="Q142" s="142"/>
      <c r="R142" s="142"/>
      <c r="S142" s="142"/>
      <c r="T142" s="142"/>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row>
    <row r="143" hidden="1">
      <c r="A143" s="319" t="s">
        <v>260</v>
      </c>
      <c r="B143" s="322">
        <f>(1-B$135)^B142</f>
        <v>0.884736</v>
      </c>
      <c r="C143" s="319" t="s">
        <v>109</v>
      </c>
      <c r="D143" s="319"/>
      <c r="E143" s="321"/>
      <c r="F143" s="259"/>
      <c r="G143" s="141"/>
      <c r="H143" s="142"/>
      <c r="I143" s="142"/>
      <c r="J143" s="142"/>
      <c r="K143" s="142"/>
      <c r="L143" s="142"/>
      <c r="M143" s="142"/>
      <c r="N143" s="142"/>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row>
    <row r="144" hidden="1">
      <c r="A144" s="319" t="s">
        <v>261</v>
      </c>
      <c r="B144" s="316">
        <f>((B139*((1-B143)) + B141*((1-B143)/(B$135)-1-(B142-1)*B143)) /(B$135))</f>
        <v>584848</v>
      </c>
      <c r="C144" s="319" t="s">
        <v>52</v>
      </c>
      <c r="D144" s="319" t="s">
        <v>262</v>
      </c>
      <c r="E144" s="321"/>
      <c r="F144" s="259"/>
      <c r="G144" s="141"/>
      <c r="H144" s="142"/>
      <c r="I144" s="142"/>
      <c r="J144" s="142"/>
      <c r="K144" s="142"/>
      <c r="L144" s="142"/>
      <c r="M144" s="142"/>
      <c r="N144" s="142"/>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row>
    <row r="145" hidden="1">
      <c r="A145" s="319" t="s">
        <v>263</v>
      </c>
      <c r="B145" s="316">
        <f>B144*(1-B$135)^(B137-1)</f>
        <v>584848</v>
      </c>
      <c r="C145" s="319" t="s">
        <v>52</v>
      </c>
      <c r="D145" s="319" t="s">
        <v>264</v>
      </c>
      <c r="E145" s="321"/>
      <c r="F145" s="259"/>
      <c r="G145" s="141"/>
      <c r="H145" s="142"/>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row>
    <row r="146">
      <c r="A146" s="137" t="s">
        <v>265</v>
      </c>
      <c r="B146" s="323">
        <f>((B139*((1-(1-B$135)^(B138-B137+1))) + ((B140-B139)/(B138-B137))*((1-(1-B$135)^(B138-B137+1))/(B$135)-1-((B138-B137+1)-1)*(1-B$135)^(B138-B137+1))) /(B$135))     *(1-B$135)^(B137-1)</f>
        <v>584848</v>
      </c>
      <c r="C146" s="262" t="s">
        <v>52</v>
      </c>
      <c r="D146" s="81"/>
      <c r="E146" s="321"/>
      <c r="F146" s="259"/>
      <c r="G146" s="141"/>
      <c r="H146" s="142"/>
      <c r="I146" s="142"/>
      <c r="J146" s="142"/>
      <c r="K146" s="142"/>
      <c r="L146" s="142"/>
      <c r="M146" s="142"/>
      <c r="N146" s="142"/>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row>
    <row r="147">
      <c r="A147" s="137" t="s">
        <v>266</v>
      </c>
      <c r="B147" s="324">
        <f>IF(B$117&lt;B137,0, IF(B$117&gt;B138,B146, ((B139*((1-(1-B$135)^(B$117-B137+1))) + B141*((1-(1-B$135)^(B$117-B137+1))/(B$135)-1-((B$117-B137+1)-1)*(1-B$135)^(B$117-B137+1))) /(B$135))  *(1-B$135)^(B137-1)  ))</f>
        <v>584848</v>
      </c>
      <c r="C147" s="81" t="s">
        <v>52</v>
      </c>
      <c r="D147" s="81"/>
      <c r="E147" s="321"/>
      <c r="F147" s="259"/>
      <c r="G147" s="141"/>
      <c r="H147" s="142"/>
      <c r="I147" s="142"/>
      <c r="J147" s="142"/>
      <c r="K147" s="142"/>
      <c r="L147" s="142"/>
      <c r="M147" s="142"/>
      <c r="N147" s="142"/>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row>
    <row r="148" ht="15.0" customHeight="1">
      <c r="A148" s="281" t="s">
        <v>267</v>
      </c>
      <c r="B148" s="283"/>
      <c r="C148" s="283"/>
      <c r="D148" s="325" t="s">
        <v>268</v>
      </c>
      <c r="E148" s="284"/>
      <c r="F148" s="285"/>
      <c r="G148" s="286"/>
      <c r="H148" s="287"/>
      <c r="I148" s="287"/>
      <c r="J148" s="287"/>
      <c r="K148" s="287"/>
      <c r="L148" s="287"/>
      <c r="M148" s="287"/>
      <c r="N148" s="287"/>
      <c r="O148" s="287"/>
      <c r="P148" s="287"/>
      <c r="Q148" s="148"/>
      <c r="R148" s="148"/>
      <c r="S148" s="148"/>
      <c r="T148" s="148"/>
      <c r="U148" s="148"/>
      <c r="V148" s="148"/>
      <c r="W148" s="148"/>
      <c r="X148" s="148"/>
      <c r="Y148" s="148"/>
      <c r="Z148" s="148"/>
      <c r="AA148" s="148"/>
      <c r="AB148" s="148"/>
      <c r="AC148" s="148"/>
      <c r="AD148" s="148"/>
      <c r="AE148" s="148"/>
      <c r="AF148" s="148"/>
      <c r="AG148" s="148"/>
      <c r="AH148" s="148"/>
      <c r="AI148" s="148"/>
      <c r="AJ148" s="148"/>
      <c r="AK148" s="148"/>
      <c r="AL148" s="148"/>
      <c r="AM148" s="148"/>
      <c r="AN148" s="148"/>
      <c r="AO148" s="148"/>
      <c r="AP148" s="148"/>
      <c r="AQ148" s="148"/>
      <c r="AR148" s="148"/>
    </row>
    <row r="149" ht="15.0" customHeight="1">
      <c r="A149" s="81" t="s">
        <v>269</v>
      </c>
      <c r="B149" s="326">
        <v>1.0</v>
      </c>
      <c r="C149" s="81" t="s">
        <v>253</v>
      </c>
      <c r="D149" s="81"/>
      <c r="E149" s="81"/>
      <c r="F149" s="125"/>
      <c r="G149" s="126"/>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c r="AH149" s="127"/>
      <c r="AI149" s="127"/>
      <c r="AJ149" s="127"/>
      <c r="AK149" s="127"/>
      <c r="AL149" s="127"/>
      <c r="AM149" s="127"/>
      <c r="AN149" s="127"/>
      <c r="AO149" s="127"/>
      <c r="AP149" s="127"/>
      <c r="AQ149" s="127"/>
      <c r="AR149" s="127"/>
    </row>
    <row r="150" ht="15.0" customHeight="1">
      <c r="A150" s="81" t="s">
        <v>270</v>
      </c>
      <c r="B150" s="326">
        <v>1.0</v>
      </c>
      <c r="C150" s="81" t="s">
        <v>253</v>
      </c>
      <c r="D150" s="81"/>
      <c r="E150" s="81"/>
      <c r="F150" s="125"/>
      <c r="G150" s="126"/>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c r="AH150" s="127"/>
      <c r="AI150" s="127"/>
      <c r="AJ150" s="127"/>
      <c r="AK150" s="127"/>
      <c r="AL150" s="127"/>
      <c r="AM150" s="127"/>
      <c r="AN150" s="127"/>
      <c r="AO150" s="127"/>
      <c r="AP150" s="127"/>
      <c r="AQ150" s="127"/>
      <c r="AR150" s="127"/>
    </row>
    <row r="151" ht="15.0" customHeight="1">
      <c r="A151" s="137" t="s">
        <v>271</v>
      </c>
      <c r="B151" s="129">
        <v>0.0</v>
      </c>
      <c r="C151" s="81"/>
      <c r="D151" s="81"/>
      <c r="E151" s="81"/>
      <c r="F151" s="125"/>
      <c r="G151" s="126"/>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c r="AM151" s="127"/>
      <c r="AN151" s="127"/>
      <c r="AO151" s="127"/>
      <c r="AP151" s="127"/>
      <c r="AQ151" s="127"/>
      <c r="AR151" s="127"/>
    </row>
    <row r="152" ht="15.0" customHeight="1">
      <c r="A152" s="137" t="s">
        <v>272</v>
      </c>
      <c r="B152" s="327">
        <f>(IF(B150="ongoing", B151/B$135, B151*((1-(1-B$135)^B150))/(B$135)) - B151*((1-(1-B$135)^(B149-1)))/(B$135))</f>
        <v>0</v>
      </c>
      <c r="C152" s="81" t="s">
        <v>52</v>
      </c>
      <c r="D152" s="81"/>
      <c r="E152" s="81"/>
      <c r="F152" s="125"/>
      <c r="G152" s="126"/>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c r="AM152" s="127"/>
      <c r="AN152" s="127"/>
      <c r="AO152" s="127"/>
      <c r="AP152" s="127"/>
      <c r="AQ152" s="127"/>
      <c r="AR152" s="127"/>
    </row>
    <row r="153" ht="15.0" customHeight="1">
      <c r="A153" s="137" t="s">
        <v>273</v>
      </c>
      <c r="B153" s="324">
        <f>IF(B$117&lt;B149,0,IF(B$117&gt;=B150,B152, ( #REF!*((1-(1-B$135)^B$117))/(B$135) - #REF!*((1-(1-B$135)^(B149-1)))/(B$135) )))</f>
        <v>0</v>
      </c>
      <c r="C153" s="137" t="s">
        <v>52</v>
      </c>
      <c r="D153" s="81"/>
      <c r="E153" s="81"/>
      <c r="F153" s="125"/>
      <c r="G153" s="126"/>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7"/>
      <c r="AM153" s="127"/>
      <c r="AN153" s="127"/>
      <c r="AO153" s="127"/>
      <c r="AP153" s="127"/>
      <c r="AQ153" s="127"/>
      <c r="AR153" s="127"/>
    </row>
    <row r="154" ht="15.0" customHeight="1">
      <c r="A154" s="281" t="s">
        <v>274</v>
      </c>
      <c r="B154" s="282"/>
      <c r="C154" s="283"/>
      <c r="D154" s="284"/>
      <c r="E154" s="284"/>
      <c r="F154" s="285"/>
      <c r="G154" s="286"/>
      <c r="H154" s="287"/>
      <c r="I154" s="287"/>
      <c r="J154" s="287"/>
      <c r="K154" s="287"/>
      <c r="L154" s="287"/>
      <c r="M154" s="287"/>
      <c r="N154" s="287"/>
      <c r="O154" s="287"/>
      <c r="P154" s="287"/>
      <c r="Q154" s="148"/>
      <c r="R154" s="148"/>
      <c r="S154" s="148"/>
      <c r="T154" s="148"/>
      <c r="U154" s="148"/>
      <c r="V154" s="148"/>
      <c r="W154" s="148"/>
      <c r="X154" s="148"/>
      <c r="Y154" s="148"/>
      <c r="Z154" s="148"/>
      <c r="AA154" s="148"/>
      <c r="AB154" s="148"/>
      <c r="AC154" s="148"/>
      <c r="AD154" s="148"/>
      <c r="AE154" s="148"/>
      <c r="AF154" s="148"/>
      <c r="AG154" s="148"/>
      <c r="AH154" s="148"/>
      <c r="AI154" s="148"/>
      <c r="AJ154" s="148"/>
      <c r="AK154" s="148"/>
      <c r="AL154" s="148"/>
      <c r="AM154" s="148"/>
      <c r="AN154" s="148"/>
      <c r="AO154" s="148"/>
      <c r="AP154" s="148"/>
      <c r="AQ154" s="148"/>
      <c r="AR154" s="148"/>
    </row>
    <row r="155" ht="15.0" customHeight="1">
      <c r="A155" s="81" t="s">
        <v>275</v>
      </c>
      <c r="B155" s="328">
        <f>B$138+1</f>
        <v>4</v>
      </c>
      <c r="C155" s="81" t="s">
        <v>253</v>
      </c>
      <c r="D155" s="81"/>
      <c r="E155" s="81"/>
      <c r="F155" s="125"/>
      <c r="G155" s="126"/>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c r="AH155" s="127"/>
      <c r="AI155" s="127"/>
      <c r="AJ155" s="127"/>
      <c r="AK155" s="127"/>
      <c r="AL155" s="127"/>
      <c r="AM155" s="127"/>
      <c r="AN155" s="127"/>
      <c r="AO155" s="127"/>
      <c r="AP155" s="127"/>
      <c r="AQ155" s="127"/>
      <c r="AR155" s="127"/>
    </row>
    <row r="156" ht="15.0" customHeight="1">
      <c r="A156" s="81" t="s">
        <v>276</v>
      </c>
      <c r="B156" s="326">
        <v>6.0</v>
      </c>
      <c r="C156" s="81" t="s">
        <v>253</v>
      </c>
      <c r="D156" s="81"/>
      <c r="E156" s="81"/>
      <c r="F156" s="125"/>
      <c r="G156" s="126"/>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c r="AH156" s="127"/>
      <c r="AI156" s="127"/>
      <c r="AJ156" s="127"/>
      <c r="AK156" s="127"/>
      <c r="AL156" s="127"/>
      <c r="AM156" s="127"/>
      <c r="AN156" s="127"/>
      <c r="AO156" s="127"/>
      <c r="AP156" s="127"/>
      <c r="AQ156" s="127"/>
      <c r="AR156" s="127"/>
    </row>
    <row r="157" ht="15.0" customHeight="1">
      <c r="A157" s="137" t="s">
        <v>271</v>
      </c>
      <c r="B157" s="324">
        <f>B$14</f>
        <v>280000</v>
      </c>
      <c r="C157" s="81"/>
      <c r="D157" s="81"/>
      <c r="E157" s="81"/>
      <c r="F157" s="125"/>
      <c r="G157" s="126"/>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c r="AM157" s="127"/>
      <c r="AN157" s="127"/>
      <c r="AO157" s="127"/>
      <c r="AP157" s="127"/>
      <c r="AQ157" s="127"/>
      <c r="AR157" s="127"/>
    </row>
    <row r="158" ht="15.0" customHeight="1">
      <c r="A158" s="137" t="s">
        <v>277</v>
      </c>
      <c r="B158" s="327">
        <f>(IF(B156="ongoing", B157/B$135, B157*((1-(1-B$135)^B156))/(B$135)) - B157*((1-(1-B$135)^(B155-1)))/(B$135))</f>
        <v>713847.4721</v>
      </c>
      <c r="C158" s="81" t="s">
        <v>52</v>
      </c>
      <c r="D158" s="81"/>
      <c r="E158" s="81"/>
      <c r="F158" s="125"/>
      <c r="G158" s="126"/>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7"/>
      <c r="AM158" s="127"/>
      <c r="AN158" s="127"/>
      <c r="AO158" s="127"/>
      <c r="AP158" s="127"/>
      <c r="AQ158" s="127"/>
      <c r="AR158" s="127"/>
    </row>
    <row r="159" ht="15.0" customHeight="1">
      <c r="A159" s="137" t="s">
        <v>278</v>
      </c>
      <c r="B159" s="324">
        <f>IF(B$117&lt;B155,0,IF(B$117&gt;=B156,B158, ( B157*((1-(1-B$135)^B$117))/(B$135) - B157*((1-(1-B$135)^(B155-1)))/(B$135) )))</f>
        <v>247726.08</v>
      </c>
      <c r="C159" s="137" t="s">
        <v>52</v>
      </c>
      <c r="D159" s="81"/>
      <c r="E159" s="81"/>
      <c r="F159" s="125"/>
      <c r="G159" s="126"/>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7"/>
      <c r="AM159" s="127"/>
      <c r="AN159" s="127"/>
      <c r="AO159" s="127"/>
      <c r="AP159" s="127"/>
      <c r="AQ159" s="127"/>
      <c r="AR159" s="127"/>
    </row>
    <row r="160">
      <c r="A160" s="84"/>
      <c r="B160" s="83"/>
      <c r="C160" s="84"/>
      <c r="D160" s="81"/>
      <c r="E160" s="81"/>
      <c r="F160" s="125"/>
      <c r="G160" s="137"/>
      <c r="H160" s="138"/>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7"/>
      <c r="AM160" s="127"/>
      <c r="AN160" s="127"/>
      <c r="AO160" s="127"/>
      <c r="AP160" s="127"/>
      <c r="AQ160" s="127"/>
      <c r="AR160" s="127"/>
    </row>
    <row r="161">
      <c r="A161" s="160" t="s">
        <v>279</v>
      </c>
      <c r="B161" s="85"/>
      <c r="C161" s="161"/>
      <c r="D161" s="120"/>
      <c r="E161" s="120"/>
      <c r="F161" s="121"/>
      <c r="G161" s="122"/>
      <c r="H161" s="123"/>
      <c r="I161" s="123"/>
      <c r="J161" s="123"/>
      <c r="K161" s="123"/>
      <c r="L161" s="123"/>
      <c r="M161" s="123"/>
      <c r="N161" s="123"/>
      <c r="O161" s="123"/>
      <c r="P161" s="123"/>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row>
    <row r="162">
      <c r="A162" s="81" t="s">
        <v>280</v>
      </c>
      <c r="B162" s="329">
        <v>0.0</v>
      </c>
      <c r="C162" s="330" t="s">
        <v>109</v>
      </c>
      <c r="D162" s="132" t="s">
        <v>281</v>
      </c>
      <c r="E162" s="331" t="s">
        <v>282</v>
      </c>
      <c r="F162" s="277"/>
      <c r="G162" s="261"/>
      <c r="H162" s="261"/>
      <c r="I162" s="261"/>
      <c r="J162" s="138"/>
      <c r="K162" s="332" t="s">
        <v>283</v>
      </c>
      <c r="L162" s="332" t="s">
        <v>283</v>
      </c>
      <c r="M162" s="138"/>
      <c r="N162" s="138"/>
      <c r="O162" s="138"/>
      <c r="P162" s="138"/>
      <c r="Q162" s="127"/>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7"/>
      <c r="AM162" s="127"/>
      <c r="AN162" s="127"/>
      <c r="AO162" s="127"/>
      <c r="AP162" s="127"/>
      <c r="AQ162" s="127"/>
      <c r="AR162" s="127"/>
    </row>
    <row r="163">
      <c r="A163" s="81" t="s">
        <v>284</v>
      </c>
      <c r="B163" s="329">
        <v>0.03</v>
      </c>
      <c r="C163" s="330" t="s">
        <v>109</v>
      </c>
      <c r="D163" s="132" t="s">
        <v>285</v>
      </c>
      <c r="E163" s="40"/>
      <c r="F163" s="333"/>
      <c r="G163" s="261"/>
      <c r="H163" s="261"/>
      <c r="I163" s="261"/>
      <c r="J163" s="138"/>
      <c r="K163" s="332" t="s">
        <v>283</v>
      </c>
      <c r="L163" s="332" t="s">
        <v>283</v>
      </c>
      <c r="M163" s="138"/>
      <c r="N163" s="138"/>
      <c r="O163" s="138"/>
      <c r="P163" s="138"/>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c r="AM163" s="127"/>
      <c r="AN163" s="127"/>
      <c r="AO163" s="127"/>
      <c r="AP163" s="127"/>
      <c r="AQ163" s="127"/>
      <c r="AR163" s="127"/>
    </row>
    <row r="164">
      <c r="A164" s="64" t="s">
        <v>286</v>
      </c>
      <c r="B164" s="173">
        <f>B$135</f>
        <v>0.04</v>
      </c>
      <c r="C164" s="334"/>
      <c r="D164" s="40"/>
      <c r="E164" s="40"/>
      <c r="F164" s="277"/>
      <c r="G164" s="261"/>
      <c r="H164" s="261"/>
      <c r="I164" s="261"/>
      <c r="J164" s="138"/>
      <c r="K164" s="335" t="s">
        <v>283</v>
      </c>
      <c r="L164" s="335" t="s">
        <v>283</v>
      </c>
      <c r="M164" s="312"/>
      <c r="N164" s="336"/>
      <c r="O164" s="336"/>
      <c r="P164" s="303"/>
      <c r="Q164" s="312"/>
      <c r="R164" s="312"/>
      <c r="S164" s="303"/>
      <c r="T164" s="303"/>
      <c r="U164" s="303"/>
      <c r="V164" s="303"/>
      <c r="W164" s="303"/>
      <c r="X164" s="303"/>
      <c r="Y164" s="303"/>
      <c r="Z164" s="303"/>
      <c r="AA164" s="303"/>
      <c r="AB164" s="303"/>
      <c r="AC164" s="303"/>
      <c r="AD164" s="303"/>
      <c r="AE164" s="303"/>
      <c r="AF164" s="303"/>
      <c r="AG164" s="303"/>
      <c r="AH164" s="303"/>
      <c r="AI164" s="303"/>
      <c r="AJ164" s="303"/>
      <c r="AK164" s="303"/>
      <c r="AL164" s="303"/>
      <c r="AM164" s="303"/>
      <c r="AN164" s="303"/>
      <c r="AO164" s="303"/>
      <c r="AP164" s="303"/>
      <c r="AQ164" s="303"/>
      <c r="AR164" s="303"/>
    </row>
    <row r="165">
      <c r="A165" s="64" t="s">
        <v>287</v>
      </c>
      <c r="B165" s="235">
        <f>IFERROR(__xludf.DUMMYFUNCTION("AVERAGE.WEIGHTED(B27,B62,B28,B96) + B$121 - (B162+B163)"),0.042393918409347836)</f>
        <v>0.04239391841</v>
      </c>
      <c r="C165" s="334"/>
      <c r="D165" s="40" t="s">
        <v>288</v>
      </c>
      <c r="E165" s="40"/>
      <c r="F165" s="277"/>
      <c r="G165" s="261"/>
      <c r="H165" s="261"/>
      <c r="I165" s="261"/>
      <c r="J165" s="138"/>
      <c r="K165" s="335" t="s">
        <v>283</v>
      </c>
      <c r="L165" s="335" t="s">
        <v>283</v>
      </c>
      <c r="M165" s="312"/>
      <c r="N165" s="336"/>
      <c r="O165" s="336"/>
      <c r="P165" s="303"/>
      <c r="Q165" s="312"/>
      <c r="R165" s="312"/>
      <c r="S165" s="303"/>
      <c r="T165" s="303"/>
      <c r="U165" s="303"/>
      <c r="V165" s="303"/>
      <c r="W165" s="303"/>
      <c r="X165" s="303"/>
      <c r="Y165" s="303"/>
      <c r="Z165" s="303"/>
      <c r="AA165" s="303"/>
      <c r="AB165" s="303"/>
      <c r="AC165" s="303"/>
      <c r="AD165" s="303"/>
      <c r="AE165" s="303"/>
      <c r="AF165" s="303"/>
      <c r="AG165" s="303"/>
      <c r="AH165" s="303"/>
      <c r="AI165" s="303"/>
      <c r="AJ165" s="303"/>
      <c r="AK165" s="303"/>
      <c r="AL165" s="303"/>
      <c r="AM165" s="303"/>
      <c r="AN165" s="303"/>
      <c r="AO165" s="303"/>
      <c r="AP165" s="303"/>
      <c r="AQ165" s="303"/>
      <c r="AR165" s="303"/>
    </row>
    <row r="166">
      <c r="A166" s="64" t="s">
        <v>289</v>
      </c>
      <c r="B166" s="235">
        <f>IFERROR(__xludf.DUMMYFUNCTION("AVERAGE.WEIGHTED(B27,B62,B28,B96) + B$121 - (B162)"),0.07239391840934783)</f>
        <v>0.07239391841</v>
      </c>
      <c r="C166" s="334"/>
      <c r="D166" s="40"/>
      <c r="E166" s="40"/>
      <c r="F166" s="277"/>
      <c r="G166" s="261"/>
      <c r="H166" s="261"/>
      <c r="I166" s="261"/>
      <c r="J166" s="138"/>
      <c r="K166" s="335"/>
      <c r="L166" s="335"/>
      <c r="M166" s="312"/>
      <c r="N166" s="312"/>
      <c r="O166" s="312"/>
      <c r="P166" s="303"/>
      <c r="Q166" s="312"/>
      <c r="R166" s="312"/>
      <c r="S166" s="303"/>
      <c r="T166" s="303"/>
      <c r="U166" s="303"/>
      <c r="V166" s="303"/>
      <c r="W166" s="303"/>
      <c r="X166" s="303"/>
      <c r="Y166" s="303"/>
      <c r="Z166" s="303"/>
      <c r="AA166" s="303"/>
      <c r="AB166" s="303"/>
      <c r="AC166" s="303"/>
      <c r="AD166" s="303"/>
      <c r="AE166" s="303"/>
      <c r="AF166" s="303"/>
      <c r="AG166" s="303"/>
      <c r="AH166" s="303"/>
      <c r="AI166" s="303"/>
      <c r="AJ166" s="303"/>
      <c r="AK166" s="303"/>
      <c r="AL166" s="303"/>
      <c r="AM166" s="303"/>
      <c r="AN166" s="303"/>
      <c r="AO166" s="303"/>
      <c r="AP166" s="303"/>
      <c r="AQ166" s="303"/>
      <c r="AR166" s="303"/>
    </row>
    <row r="167">
      <c r="A167" s="337" t="s">
        <v>290</v>
      </c>
      <c r="B167" s="338">
        <f>B$27+B$121-(B162+B163)</f>
        <v>0.024</v>
      </c>
      <c r="C167" s="339"/>
      <c r="D167" s="219" t="s">
        <v>291</v>
      </c>
      <c r="E167" s="219"/>
      <c r="F167" s="340"/>
      <c r="G167" s="341"/>
      <c r="H167" s="341"/>
      <c r="I167" s="341"/>
      <c r="J167" s="219"/>
      <c r="K167" s="342"/>
      <c r="L167" s="342"/>
      <c r="M167" s="343"/>
      <c r="N167" s="343"/>
      <c r="O167" s="343"/>
      <c r="P167" s="344"/>
      <c r="Q167" s="343"/>
      <c r="R167" s="343"/>
      <c r="S167" s="344"/>
      <c r="T167" s="344"/>
      <c r="U167" s="344"/>
      <c r="V167" s="344"/>
      <c r="W167" s="344"/>
      <c r="X167" s="344"/>
      <c r="Y167" s="344"/>
      <c r="Z167" s="344"/>
      <c r="AA167" s="344"/>
      <c r="AB167" s="344"/>
      <c r="AC167" s="344"/>
      <c r="AD167" s="344"/>
      <c r="AE167" s="344"/>
      <c r="AF167" s="344"/>
      <c r="AG167" s="344"/>
      <c r="AH167" s="344"/>
      <c r="AI167" s="344"/>
      <c r="AJ167" s="344"/>
      <c r="AK167" s="344"/>
      <c r="AL167" s="344"/>
      <c r="AM167" s="344"/>
      <c r="AN167" s="344"/>
      <c r="AO167" s="344"/>
      <c r="AP167" s="344"/>
      <c r="AQ167" s="344"/>
      <c r="AR167" s="344"/>
    </row>
    <row r="168">
      <c r="A168" s="281" t="s">
        <v>292</v>
      </c>
      <c r="B168" s="282"/>
      <c r="C168" s="283"/>
      <c r="D168" s="284"/>
      <c r="E168" s="284"/>
      <c r="F168" s="285"/>
      <c r="G168" s="286"/>
      <c r="H168" s="287"/>
      <c r="I168" s="287"/>
      <c r="J168" s="287"/>
      <c r="K168" s="287"/>
      <c r="L168" s="287"/>
      <c r="M168" s="287"/>
      <c r="N168" s="287"/>
      <c r="O168" s="287"/>
      <c r="P168" s="287"/>
      <c r="Q168" s="148"/>
      <c r="R168" s="148"/>
      <c r="S168" s="148"/>
      <c r="T168" s="148"/>
      <c r="U168" s="148"/>
      <c r="V168" s="148"/>
      <c r="W168" s="148"/>
      <c r="X168" s="148"/>
      <c r="Y168" s="148"/>
      <c r="Z168" s="148"/>
      <c r="AA168" s="148"/>
      <c r="AB168" s="148"/>
      <c r="AC168" s="148"/>
      <c r="AD168" s="148"/>
      <c r="AE168" s="148"/>
      <c r="AF168" s="148"/>
      <c r="AG168" s="148"/>
      <c r="AH168" s="148"/>
      <c r="AI168" s="148"/>
      <c r="AJ168" s="148"/>
      <c r="AK168" s="148"/>
      <c r="AL168" s="148"/>
      <c r="AM168" s="148"/>
      <c r="AN168" s="148"/>
      <c r="AO168" s="148"/>
      <c r="AP168" s="148"/>
      <c r="AQ168" s="148"/>
      <c r="AR168" s="148"/>
    </row>
    <row r="169">
      <c r="A169" s="64" t="s">
        <v>293</v>
      </c>
      <c r="B169" s="315">
        <v>3.0</v>
      </c>
      <c r="C169" s="64" t="s">
        <v>294</v>
      </c>
      <c r="D169" s="64"/>
      <c r="E169" s="300"/>
      <c r="F169" s="116"/>
      <c r="G169" s="302"/>
      <c r="H169" s="303"/>
      <c r="I169" s="303"/>
      <c r="J169" s="303"/>
      <c r="K169" s="303"/>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303"/>
      <c r="AI169" s="303"/>
      <c r="AJ169" s="303"/>
      <c r="AK169" s="303"/>
      <c r="AL169" s="303"/>
      <c r="AM169" s="303"/>
      <c r="AN169" s="303"/>
      <c r="AO169" s="303"/>
      <c r="AP169" s="303"/>
      <c r="AQ169" s="303"/>
      <c r="AR169" s="303"/>
    </row>
    <row r="170">
      <c r="A170" s="81" t="s">
        <v>295</v>
      </c>
      <c r="B170" s="345">
        <v>1.0</v>
      </c>
      <c r="C170" s="249" t="s">
        <v>296</v>
      </c>
      <c r="D170" s="81"/>
      <c r="E170" s="81"/>
      <c r="F170" s="140"/>
      <c r="G170" s="137"/>
      <c r="H170" s="138"/>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c r="AM170" s="127"/>
      <c r="AN170" s="127"/>
      <c r="AO170" s="127"/>
      <c r="AP170" s="127"/>
      <c r="AQ170" s="127"/>
      <c r="AR170" s="127"/>
    </row>
    <row r="171">
      <c r="A171" s="64" t="s">
        <v>297</v>
      </c>
      <c r="B171" s="315">
        <f>B169+3</f>
        <v>6</v>
      </c>
      <c r="C171" s="64" t="s">
        <v>294</v>
      </c>
      <c r="D171" s="64"/>
      <c r="E171" s="64"/>
      <c r="F171" s="116"/>
      <c r="G171" s="117"/>
      <c r="H171" s="303"/>
      <c r="I171" s="303"/>
      <c r="J171" s="303"/>
      <c r="K171" s="303"/>
      <c r="L171" s="303"/>
      <c r="M171" s="303"/>
      <c r="N171" s="303"/>
      <c r="O171" s="303"/>
      <c r="P171" s="303"/>
      <c r="Q171" s="303"/>
      <c r="R171" s="303"/>
      <c r="S171" s="303"/>
      <c r="T171" s="303"/>
      <c r="U171" s="303"/>
      <c r="V171" s="303"/>
      <c r="W171" s="303"/>
      <c r="X171" s="303"/>
      <c r="Y171" s="303"/>
      <c r="Z171" s="303"/>
      <c r="AA171" s="303"/>
      <c r="AB171" s="303"/>
      <c r="AC171" s="303"/>
      <c r="AD171" s="303"/>
      <c r="AE171" s="303"/>
      <c r="AF171" s="303"/>
      <c r="AG171" s="303"/>
      <c r="AH171" s="303"/>
      <c r="AI171" s="303"/>
      <c r="AJ171" s="303"/>
      <c r="AK171" s="303"/>
      <c r="AL171" s="303"/>
      <c r="AM171" s="303"/>
      <c r="AN171" s="303"/>
      <c r="AO171" s="303"/>
      <c r="AP171" s="303"/>
      <c r="AQ171" s="303"/>
      <c r="AR171" s="303"/>
    </row>
    <row r="172">
      <c r="A172" s="311" t="s">
        <v>298</v>
      </c>
      <c r="B172" s="276">
        <f>B19*B170</f>
        <v>121830.0972</v>
      </c>
      <c r="C172" s="81" t="s">
        <v>52</v>
      </c>
      <c r="D172" s="346"/>
      <c r="E172" s="346"/>
      <c r="F172" s="140"/>
      <c r="G172" s="137"/>
      <c r="H172" s="138"/>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7"/>
      <c r="AM172" s="127"/>
      <c r="AN172" s="127"/>
      <c r="AO172" s="127"/>
      <c r="AP172" s="127"/>
      <c r="AQ172" s="127"/>
      <c r="AR172" s="127"/>
    </row>
    <row r="173">
      <c r="A173" s="347" t="s">
        <v>299</v>
      </c>
      <c r="B173" s="348">
        <f>B$96*B170</f>
        <v>5563.177821</v>
      </c>
      <c r="C173" s="81" t="s">
        <v>300</v>
      </c>
      <c r="D173" s="346"/>
      <c r="E173" s="346"/>
      <c r="F173" s="140"/>
      <c r="G173" s="137"/>
      <c r="H173" s="138"/>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7"/>
      <c r="AM173" s="127"/>
      <c r="AN173" s="127"/>
      <c r="AO173" s="127"/>
      <c r="AP173" s="127"/>
      <c r="AQ173" s="127"/>
      <c r="AR173" s="127"/>
    </row>
    <row r="174">
      <c r="A174" s="81" t="s">
        <v>301</v>
      </c>
      <c r="B174" s="348">
        <f>B$103</f>
        <v>3</v>
      </c>
      <c r="C174" s="81" t="str">
        <f t="shared" ref="C174:C175" si="1">$B$5&amp;"/year"</f>
        <v>country/year</v>
      </c>
      <c r="D174" s="349"/>
      <c r="E174" s="81"/>
      <c r="F174" s="125"/>
      <c r="G174" s="137"/>
      <c r="H174" s="138"/>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7"/>
      <c r="AM174" s="127"/>
      <c r="AN174" s="127"/>
      <c r="AO174" s="127"/>
      <c r="AP174" s="127"/>
      <c r="AQ174" s="127"/>
      <c r="AR174" s="127"/>
    </row>
    <row r="175">
      <c r="A175" s="64" t="s">
        <v>302</v>
      </c>
      <c r="B175" s="350">
        <f>(B174-B170)/(B171-B169)</f>
        <v>0.6666666667</v>
      </c>
      <c r="C175" s="81" t="str">
        <f t="shared" si="1"/>
        <v>country/year</v>
      </c>
      <c r="D175" s="349"/>
      <c r="E175" s="311"/>
      <c r="F175" s="116"/>
      <c r="G175" s="351"/>
      <c r="H175" s="312"/>
      <c r="I175" s="303"/>
      <c r="J175" s="303"/>
      <c r="K175" s="303"/>
      <c r="L175" s="303"/>
      <c r="M175" s="303"/>
      <c r="N175" s="303"/>
      <c r="O175" s="303"/>
      <c r="P175" s="303"/>
      <c r="Q175" s="303"/>
      <c r="R175" s="303"/>
      <c r="S175" s="303"/>
      <c r="T175" s="303"/>
      <c r="U175" s="303"/>
      <c r="V175" s="303"/>
      <c r="W175" s="303"/>
      <c r="X175" s="303"/>
      <c r="Y175" s="303"/>
      <c r="Z175" s="303"/>
      <c r="AA175" s="303"/>
      <c r="AB175" s="303"/>
      <c r="AC175" s="303"/>
      <c r="AD175" s="303"/>
      <c r="AE175" s="303"/>
      <c r="AF175" s="303"/>
      <c r="AG175" s="303"/>
      <c r="AH175" s="303"/>
      <c r="AI175" s="303"/>
      <c r="AJ175" s="303"/>
      <c r="AK175" s="303"/>
      <c r="AL175" s="303"/>
      <c r="AM175" s="303"/>
      <c r="AN175" s="303"/>
      <c r="AO175" s="303"/>
      <c r="AP175" s="303"/>
      <c r="AQ175" s="303"/>
      <c r="AR175" s="303"/>
    </row>
    <row r="176">
      <c r="A176" s="64" t="s">
        <v>303</v>
      </c>
      <c r="B176" s="352">
        <f>B19*B175</f>
        <v>81220.06481</v>
      </c>
      <c r="C176" s="81" t="s">
        <v>226</v>
      </c>
      <c r="D176" s="81"/>
      <c r="E176" s="81"/>
      <c r="F176" s="140"/>
      <c r="G176" s="137"/>
      <c r="H176" s="138"/>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c r="AM176" s="127"/>
      <c r="AN176" s="127"/>
      <c r="AO176" s="127"/>
      <c r="AP176" s="127"/>
      <c r="AQ176" s="127"/>
      <c r="AR176" s="127"/>
    </row>
    <row r="177">
      <c r="A177" s="353" t="s">
        <v>304</v>
      </c>
      <c r="B177" s="275">
        <f>B$96*B175</f>
        <v>3708.785214</v>
      </c>
      <c r="C177" s="81" t="str">
        <f>$B$6&amp;"/year"</f>
        <v>DALY equivelents/year</v>
      </c>
      <c r="D177" s="81"/>
      <c r="E177" s="81"/>
      <c r="F177" s="125"/>
      <c r="G177" s="137"/>
      <c r="H177" s="138"/>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7"/>
      <c r="AM177" s="127"/>
      <c r="AN177" s="127"/>
      <c r="AO177" s="127"/>
      <c r="AP177" s="127"/>
      <c r="AQ177" s="127"/>
      <c r="AR177" s="127"/>
    </row>
    <row r="178">
      <c r="A178" s="81" t="s">
        <v>305</v>
      </c>
      <c r="B178" s="352">
        <f>((B172*((1-(1-B$164)^(B171-B169+1))) + B176*((1-(1-B$164)^(B171-B169+1))/(B$164)-1-((B171-B169+1)-1)*(1-B$164)^(B171-B169+1))) /(B$164))     *(1-B$164)^(B169-1)</f>
        <v>831379.1501</v>
      </c>
      <c r="C178" s="64" t="s">
        <v>52</v>
      </c>
      <c r="D178" s="64"/>
      <c r="E178" s="311"/>
      <c r="F178" s="140"/>
      <c r="G178" s="351"/>
      <c r="H178" s="312"/>
      <c r="I178" s="303"/>
      <c r="J178" s="303"/>
      <c r="K178" s="303"/>
      <c r="L178" s="303"/>
      <c r="M178" s="303"/>
      <c r="N178" s="303"/>
      <c r="O178" s="303"/>
      <c r="P178" s="303"/>
      <c r="Q178" s="303"/>
      <c r="R178" s="303"/>
      <c r="S178" s="303"/>
      <c r="T178" s="303"/>
      <c r="U178" s="303"/>
      <c r="V178" s="303"/>
      <c r="W178" s="303"/>
      <c r="X178" s="303"/>
      <c r="Y178" s="303"/>
      <c r="Z178" s="303"/>
      <c r="AA178" s="303"/>
      <c r="AB178" s="303"/>
      <c r="AC178" s="303"/>
      <c r="AD178" s="303"/>
      <c r="AE178" s="303"/>
      <c r="AF178" s="303"/>
      <c r="AG178" s="303"/>
      <c r="AH178" s="303"/>
      <c r="AI178" s="303"/>
      <c r="AJ178" s="303"/>
      <c r="AK178" s="303"/>
      <c r="AL178" s="303"/>
      <c r="AM178" s="303"/>
      <c r="AN178" s="303"/>
      <c r="AO178" s="303"/>
      <c r="AP178" s="303"/>
      <c r="AQ178" s="303"/>
      <c r="AR178" s="303"/>
    </row>
    <row r="179">
      <c r="A179" s="81" t="s">
        <v>306</v>
      </c>
      <c r="B179" s="352">
        <f>B118* IF(B$117&lt;B169,0, IF(B$117&gt;B171,B178, ((B$19*B170*((1-(1-B$164)^(B$117-B169+1))) + B176*((1-(1-B$164)^(B$117-B169+1))/(B$164)-1-((B$117-B169+1)-1)*(1-B$164)^(B$117-B169+1))) /(B$164))  *(1-B$164)^(B169-1)  ))</f>
        <v>116769.7623</v>
      </c>
      <c r="C179" s="64" t="s">
        <v>52</v>
      </c>
      <c r="D179" s="64"/>
      <c r="E179" s="311"/>
      <c r="F179" s="140"/>
      <c r="G179" s="351"/>
      <c r="H179" s="312"/>
      <c r="I179" s="303"/>
      <c r="J179" s="303"/>
      <c r="K179" s="303"/>
      <c r="L179" s="303"/>
      <c r="M179" s="303"/>
      <c r="N179" s="303"/>
      <c r="O179" s="303"/>
      <c r="P179" s="303"/>
      <c r="Q179" s="303"/>
      <c r="R179" s="303"/>
      <c r="S179" s="303"/>
      <c r="T179" s="303"/>
      <c r="U179" s="303"/>
      <c r="V179" s="303"/>
      <c r="W179" s="303"/>
      <c r="X179" s="303"/>
      <c r="Y179" s="303"/>
      <c r="Z179" s="303"/>
      <c r="AA179" s="303"/>
      <c r="AB179" s="303"/>
      <c r="AC179" s="303"/>
      <c r="AD179" s="303"/>
      <c r="AE179" s="303"/>
      <c r="AF179" s="303"/>
      <c r="AG179" s="303"/>
      <c r="AH179" s="303"/>
      <c r="AI179" s="303"/>
      <c r="AJ179" s="303"/>
      <c r="AK179" s="303"/>
      <c r="AL179" s="303"/>
      <c r="AM179" s="303"/>
      <c r="AN179" s="303"/>
      <c r="AO179" s="303"/>
      <c r="AP179" s="303"/>
      <c r="AQ179" s="303"/>
      <c r="AR179" s="303"/>
    </row>
    <row r="180">
      <c r="A180" s="81" t="s">
        <v>307</v>
      </c>
      <c r="B180" s="275">
        <f>((B173*((1-(1-B$165)^(B171-B169+1))) + B177*((1-(1-B$165)^(B171-B169+1))/(B$165)-1-((B171-B169+1)-1)*(1-B$165)^(B171-B169+1))) /(B$165))     *(1-B$165)^(B169-1)</f>
        <v>37598.46546</v>
      </c>
      <c r="C180" s="81" t="str">
        <f>$B$6</f>
        <v>DALY equivelents</v>
      </c>
      <c r="D180" s="64"/>
      <c r="E180" s="311"/>
      <c r="F180" s="140"/>
      <c r="G180" s="351"/>
      <c r="H180" s="312"/>
      <c r="I180" s="303"/>
      <c r="J180" s="303"/>
      <c r="K180" s="303"/>
      <c r="L180" s="303"/>
      <c r="M180" s="303"/>
      <c r="N180" s="303"/>
      <c r="O180" s="303"/>
      <c r="P180" s="303"/>
      <c r="Q180" s="303"/>
      <c r="R180" s="303"/>
      <c r="S180" s="303"/>
      <c r="T180" s="303"/>
      <c r="U180" s="303"/>
      <c r="V180" s="303"/>
      <c r="W180" s="303"/>
      <c r="X180" s="303"/>
      <c r="Y180" s="303"/>
      <c r="Z180" s="303"/>
      <c r="AA180" s="303"/>
      <c r="AB180" s="303"/>
      <c r="AC180" s="303"/>
      <c r="AD180" s="303"/>
      <c r="AE180" s="303"/>
      <c r="AF180" s="303"/>
      <c r="AG180" s="303"/>
      <c r="AH180" s="303"/>
      <c r="AI180" s="303"/>
      <c r="AJ180" s="303"/>
      <c r="AK180" s="303"/>
      <c r="AL180" s="303"/>
      <c r="AM180" s="303"/>
      <c r="AN180" s="303"/>
      <c r="AO180" s="303"/>
      <c r="AP180" s="303"/>
      <c r="AQ180" s="303"/>
      <c r="AR180" s="303"/>
    </row>
    <row r="181" ht="15.0" customHeight="1">
      <c r="A181" s="281" t="s">
        <v>308</v>
      </c>
      <c r="B181" s="282"/>
      <c r="C181" s="283"/>
      <c r="D181" s="284"/>
      <c r="E181" s="284"/>
      <c r="F181" s="285"/>
      <c r="G181" s="286"/>
      <c r="H181" s="287"/>
      <c r="I181" s="287"/>
      <c r="J181" s="287"/>
      <c r="K181" s="287"/>
      <c r="L181" s="287"/>
      <c r="M181" s="287"/>
      <c r="N181" s="287"/>
      <c r="O181" s="287"/>
      <c r="P181" s="287"/>
      <c r="Q181" s="148"/>
      <c r="R181" s="148"/>
      <c r="S181" s="148"/>
      <c r="T181" s="148"/>
      <c r="U181" s="148"/>
      <c r="V181" s="148"/>
      <c r="W181" s="148"/>
      <c r="X181" s="148"/>
      <c r="Y181" s="148"/>
      <c r="Z181" s="148"/>
      <c r="AA181" s="148"/>
      <c r="AB181" s="148"/>
      <c r="AC181" s="148"/>
      <c r="AD181" s="148"/>
      <c r="AE181" s="148"/>
      <c r="AF181" s="148"/>
      <c r="AG181" s="148"/>
      <c r="AH181" s="148"/>
      <c r="AI181" s="148"/>
      <c r="AJ181" s="148"/>
      <c r="AK181" s="148"/>
      <c r="AL181" s="148"/>
      <c r="AM181" s="148"/>
      <c r="AN181" s="148"/>
      <c r="AO181" s="148"/>
      <c r="AP181" s="148"/>
      <c r="AQ181" s="148"/>
      <c r="AR181" s="148"/>
    </row>
    <row r="182">
      <c r="A182" s="81" t="s">
        <v>309</v>
      </c>
      <c r="B182" s="354">
        <f>B$171+1</f>
        <v>7</v>
      </c>
      <c r="C182" s="64" t="s">
        <v>253</v>
      </c>
      <c r="D182" s="81"/>
      <c r="E182" s="81"/>
      <c r="F182" s="125"/>
      <c r="G182" s="137"/>
      <c r="H182" s="138"/>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c r="AH182" s="127"/>
      <c r="AI182" s="127"/>
      <c r="AJ182" s="127"/>
      <c r="AK182" s="127"/>
      <c r="AL182" s="127"/>
      <c r="AM182" s="127"/>
      <c r="AN182" s="127"/>
      <c r="AO182" s="127"/>
      <c r="AP182" s="127"/>
      <c r="AQ182" s="127"/>
      <c r="AR182" s="127"/>
    </row>
    <row r="183">
      <c r="A183" s="81" t="s">
        <v>310</v>
      </c>
      <c r="B183" s="315" t="s">
        <v>311</v>
      </c>
      <c r="C183" s="311" t="s">
        <v>253</v>
      </c>
      <c r="D183" s="81"/>
      <c r="E183" s="81"/>
      <c r="F183" s="125"/>
      <c r="G183" s="137"/>
      <c r="H183" s="138"/>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c r="AH183" s="127"/>
      <c r="AI183" s="127"/>
      <c r="AJ183" s="127"/>
      <c r="AK183" s="127"/>
      <c r="AL183" s="127"/>
      <c r="AM183" s="127"/>
      <c r="AN183" s="127"/>
      <c r="AO183" s="127"/>
      <c r="AP183" s="127"/>
      <c r="AQ183" s="127"/>
      <c r="AR183" s="127"/>
    </row>
    <row r="184">
      <c r="A184" s="81" t="s">
        <v>312</v>
      </c>
      <c r="B184" s="348">
        <f>B$103</f>
        <v>3</v>
      </c>
      <c r="C184" s="81" t="str">
        <f>$B$5&amp;"/year"</f>
        <v>country/year</v>
      </c>
      <c r="D184" s="81"/>
      <c r="E184" s="81"/>
      <c r="F184" s="125"/>
      <c r="G184" s="137"/>
      <c r="H184" s="138"/>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c r="AM184" s="127"/>
      <c r="AN184" s="127"/>
      <c r="AO184" s="127"/>
      <c r="AP184" s="127"/>
      <c r="AQ184" s="127"/>
      <c r="AR184" s="127"/>
    </row>
    <row r="185">
      <c r="A185" s="81" t="s">
        <v>313</v>
      </c>
      <c r="B185" s="276">
        <f>B19*B184</f>
        <v>365490.2917</v>
      </c>
      <c r="C185" s="81" t="s">
        <v>226</v>
      </c>
      <c r="D185" s="81"/>
      <c r="E185" s="81"/>
      <c r="F185" s="140"/>
      <c r="G185" s="137"/>
      <c r="H185" s="138"/>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c r="AH185" s="127"/>
      <c r="AI185" s="127"/>
      <c r="AJ185" s="127"/>
      <c r="AK185" s="127"/>
      <c r="AL185" s="127"/>
      <c r="AM185" s="127"/>
      <c r="AN185" s="127"/>
      <c r="AO185" s="127"/>
      <c r="AP185" s="127"/>
      <c r="AQ185" s="127"/>
      <c r="AR185" s="127"/>
    </row>
    <row r="186">
      <c r="A186" s="81" t="s">
        <v>314</v>
      </c>
      <c r="B186" s="275">
        <f>B$96*B184</f>
        <v>16689.53346</v>
      </c>
      <c r="C186" s="81" t="str">
        <f>$B$6&amp;"/year"</f>
        <v>DALY equivelents/year</v>
      </c>
      <c r="D186" s="81"/>
      <c r="E186" s="81"/>
      <c r="F186" s="125"/>
      <c r="G186" s="137"/>
      <c r="H186" s="138"/>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7"/>
      <c r="AM186" s="127"/>
      <c r="AN186" s="127"/>
      <c r="AO186" s="127"/>
      <c r="AP186" s="127"/>
      <c r="AQ186" s="127"/>
      <c r="AR186" s="127"/>
    </row>
    <row r="187">
      <c r="A187" s="137" t="s">
        <v>315</v>
      </c>
      <c r="B187" s="352">
        <f>(IF(B156="ongoing", B185/B$164, B185*((1-(1-B$164)^B156))/(B$164)) - B185*((1-(1-B$164)^(B182-1)))/(B$164))</f>
        <v>0</v>
      </c>
      <c r="C187" s="64" t="s">
        <v>52</v>
      </c>
      <c r="D187" s="355"/>
      <c r="E187" s="81"/>
      <c r="F187" s="140"/>
      <c r="G187" s="137"/>
      <c r="H187" s="138"/>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c r="AH187" s="127"/>
      <c r="AI187" s="127"/>
      <c r="AJ187" s="127"/>
      <c r="AK187" s="127"/>
      <c r="AL187" s="127"/>
      <c r="AM187" s="127"/>
      <c r="AN187" s="127"/>
      <c r="AO187" s="127"/>
      <c r="AP187" s="127"/>
      <c r="AQ187" s="127"/>
      <c r="AR187" s="127"/>
    </row>
    <row r="188">
      <c r="A188" s="137" t="s">
        <v>316</v>
      </c>
      <c r="B188" s="129">
        <f>B$118* IF(B$117&lt;B182,0,IF(B$117&gt;=B183,B187, ( B185*((1-(1-B$164)^B$117))/(B$164) - B185*((1-(1-B$164)^(B182-1)))/(B$164) ) ))</f>
        <v>0</v>
      </c>
      <c r="C188" s="64" t="s">
        <v>52</v>
      </c>
      <c r="D188" s="64"/>
      <c r="E188" s="311"/>
      <c r="F188" s="140"/>
      <c r="G188" s="351"/>
      <c r="H188" s="312"/>
      <c r="I188" s="303"/>
      <c r="J188" s="303"/>
      <c r="K188" s="303"/>
      <c r="L188" s="303"/>
      <c r="M188" s="303"/>
      <c r="N188" s="303"/>
      <c r="O188" s="303"/>
      <c r="P188" s="303"/>
      <c r="Q188" s="303"/>
      <c r="R188" s="303"/>
      <c r="S188" s="303"/>
      <c r="T188" s="303"/>
      <c r="U188" s="303"/>
      <c r="V188" s="303"/>
      <c r="W188" s="303"/>
      <c r="X188" s="303"/>
      <c r="Y188" s="303"/>
      <c r="Z188" s="303"/>
      <c r="AA188" s="303"/>
      <c r="AB188" s="303"/>
      <c r="AC188" s="303"/>
      <c r="AD188" s="303"/>
      <c r="AE188" s="303"/>
      <c r="AF188" s="303"/>
      <c r="AG188" s="303"/>
      <c r="AH188" s="303"/>
      <c r="AI188" s="303"/>
      <c r="AJ188" s="303"/>
      <c r="AK188" s="303"/>
      <c r="AL188" s="303"/>
      <c r="AM188" s="303"/>
      <c r="AN188" s="303"/>
      <c r="AO188" s="303"/>
      <c r="AP188" s="303"/>
      <c r="AQ188" s="303"/>
      <c r="AR188" s="303"/>
    </row>
    <row r="189">
      <c r="A189" s="137" t="s">
        <v>317</v>
      </c>
      <c r="B189" s="275">
        <f>(IF(B183="ongoing", B186/B$165, B186*((1-(1-B$165)^B183))/(B$165)) - B186*((1-(1-B$165)^(B182-1)))/(B$165))</f>
        <v>303572.2086</v>
      </c>
      <c r="C189" s="81" t="str">
        <f>$B$6</f>
        <v>DALY equivelents</v>
      </c>
      <c r="D189" s="81"/>
      <c r="E189" s="81"/>
      <c r="F189" s="125"/>
      <c r="G189" s="137"/>
      <c r="H189" s="138"/>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row>
    <row r="190" ht="15.0" customHeight="1">
      <c r="A190" s="281" t="s">
        <v>318</v>
      </c>
      <c r="B190" s="282"/>
      <c r="C190" s="283"/>
      <c r="D190" s="284"/>
      <c r="E190" s="284"/>
      <c r="F190" s="285"/>
      <c r="G190" s="286"/>
      <c r="H190" s="287"/>
      <c r="I190" s="287"/>
      <c r="J190" s="287"/>
      <c r="K190" s="287"/>
      <c r="L190" s="287"/>
      <c r="M190" s="287"/>
      <c r="N190" s="287"/>
      <c r="O190" s="287"/>
      <c r="P190" s="287"/>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row>
    <row r="191">
      <c r="A191" s="137" t="s">
        <v>319</v>
      </c>
      <c r="B191" s="276">
        <f>B$178+B$187</f>
        <v>831379.1501</v>
      </c>
      <c r="C191" s="84"/>
      <c r="D191" s="81"/>
      <c r="E191" s="81"/>
      <c r="F191" s="125"/>
      <c r="G191" s="137"/>
      <c r="H191" s="138"/>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row>
    <row r="192">
      <c r="A192" s="84"/>
      <c r="B192" s="83"/>
      <c r="C192" s="84"/>
      <c r="D192" s="81"/>
      <c r="E192" s="81"/>
      <c r="F192" s="125"/>
      <c r="G192" s="137"/>
      <c r="H192" s="138"/>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127"/>
      <c r="AP192" s="127"/>
      <c r="AQ192" s="127"/>
      <c r="AR192" s="127"/>
    </row>
    <row r="193">
      <c r="A193" s="84"/>
      <c r="B193" s="83"/>
      <c r="C193" s="84"/>
      <c r="D193" s="81"/>
      <c r="E193" s="81"/>
      <c r="F193" s="125"/>
      <c r="G193" s="137"/>
      <c r="H193" s="138"/>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c r="AH193" s="127"/>
      <c r="AI193" s="127"/>
      <c r="AJ193" s="127"/>
      <c r="AK193" s="127"/>
      <c r="AL193" s="127"/>
      <c r="AM193" s="127"/>
      <c r="AN193" s="127"/>
      <c r="AO193" s="127"/>
      <c r="AP193" s="127"/>
      <c r="AQ193" s="127"/>
      <c r="AR193" s="127"/>
    </row>
    <row r="194">
      <c r="A194" s="160" t="s">
        <v>320</v>
      </c>
      <c r="B194" s="85"/>
      <c r="C194" s="161"/>
      <c r="D194" s="120"/>
      <c r="E194" s="120"/>
      <c r="F194" s="121"/>
      <c r="G194" s="122"/>
      <c r="H194" s="123"/>
      <c r="I194" s="123"/>
      <c r="J194" s="123"/>
      <c r="K194" s="123"/>
      <c r="L194" s="123"/>
      <c r="M194" s="123"/>
      <c r="N194" s="123"/>
      <c r="O194" s="123"/>
      <c r="P194" s="123"/>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row>
    <row r="195">
      <c r="A195" s="81" t="s">
        <v>321</v>
      </c>
      <c r="B195" s="276">
        <f>B$146+B$152+B$158+B$178+B$187</f>
        <v>2130074.622</v>
      </c>
      <c r="C195" s="249" t="s">
        <v>52</v>
      </c>
      <c r="D195" s="81"/>
      <c r="E195" s="81"/>
      <c r="F195" s="125"/>
      <c r="G195" s="137"/>
      <c r="H195" s="138"/>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c r="AH195" s="127"/>
      <c r="AI195" s="127"/>
      <c r="AJ195" s="127"/>
      <c r="AK195" s="127"/>
      <c r="AL195" s="127"/>
      <c r="AM195" s="127"/>
      <c r="AN195" s="127"/>
      <c r="AO195" s="127"/>
      <c r="AP195" s="127"/>
      <c r="AQ195" s="127"/>
      <c r="AR195" s="127"/>
    </row>
    <row r="196">
      <c r="A196" s="81" t="s">
        <v>322</v>
      </c>
      <c r="B196" s="276">
        <f>B$147+B$153+B$159+B$179+B$188</f>
        <v>949343.8423</v>
      </c>
      <c r="C196" s="81" t="s">
        <v>52</v>
      </c>
      <c r="D196" s="81"/>
      <c r="E196" s="81"/>
      <c r="F196" s="125"/>
      <c r="G196" s="137"/>
      <c r="H196" s="138"/>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c r="AM196" s="127"/>
      <c r="AN196" s="127"/>
      <c r="AO196" s="127"/>
      <c r="AP196" s="127"/>
      <c r="AQ196" s="127"/>
      <c r="AR196" s="127"/>
    </row>
    <row r="197">
      <c r="A197" s="81" t="s">
        <v>323</v>
      </c>
      <c r="B197" s="356">
        <f>B195+((1-B$116)/B$116)*B196</f>
        <v>5927449.991</v>
      </c>
      <c r="C197" s="81" t="s">
        <v>52</v>
      </c>
      <c r="D197" s="81"/>
      <c r="E197" s="81"/>
      <c r="F197" s="125"/>
      <c r="G197" s="137"/>
      <c r="H197" s="138"/>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c r="AH197" s="127"/>
      <c r="AI197" s="127"/>
      <c r="AJ197" s="127"/>
      <c r="AK197" s="127"/>
      <c r="AL197" s="127"/>
      <c r="AM197" s="127"/>
      <c r="AN197" s="127"/>
      <c r="AO197" s="127"/>
      <c r="AP197" s="127"/>
      <c r="AQ197" s="127"/>
      <c r="AR197" s="127"/>
    </row>
    <row r="198">
      <c r="A198" s="84"/>
      <c r="B198" s="83"/>
      <c r="C198" s="84"/>
      <c r="D198" s="81"/>
      <c r="E198" s="81"/>
      <c r="F198" s="125"/>
      <c r="G198" s="137"/>
      <c r="H198" s="138"/>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c r="AO198" s="127"/>
      <c r="AP198" s="127"/>
      <c r="AQ198" s="127"/>
      <c r="AR198" s="127"/>
    </row>
    <row r="199">
      <c r="A199" s="160" t="s">
        <v>324</v>
      </c>
      <c r="B199" s="85"/>
      <c r="C199" s="161"/>
      <c r="D199" s="120"/>
      <c r="E199" s="120"/>
      <c r="F199" s="121"/>
      <c r="G199" s="122"/>
      <c r="H199" s="123"/>
      <c r="I199" s="123"/>
      <c r="J199" s="123"/>
      <c r="K199" s="123"/>
      <c r="L199" s="123"/>
      <c r="M199" s="123"/>
      <c r="N199" s="123"/>
      <c r="O199" s="123"/>
      <c r="P199" s="123"/>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row>
    <row r="200">
      <c r="A200" s="84" t="s">
        <v>325</v>
      </c>
      <c r="B200" s="258">
        <f>B197</f>
        <v>5927449.991</v>
      </c>
      <c r="C200" s="84" t="s">
        <v>52</v>
      </c>
      <c r="D200" s="84"/>
      <c r="E200" s="84"/>
      <c r="F200" s="259"/>
      <c r="G200" s="260"/>
      <c r="H200" s="261"/>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row>
    <row r="201">
      <c r="A201" s="84" t="s">
        <v>326</v>
      </c>
      <c r="B201" s="258">
        <f>B$180+B$189</f>
        <v>341170.674</v>
      </c>
      <c r="C201" s="84" t="str">
        <f>$B$6</f>
        <v>DALY equivelents</v>
      </c>
      <c r="D201" s="84"/>
      <c r="E201" s="84"/>
      <c r="F201" s="259"/>
      <c r="G201" s="260"/>
      <c r="H201" s="261"/>
      <c r="I201" s="142"/>
      <c r="J201" s="142"/>
      <c r="K201" s="142"/>
      <c r="L201" s="142"/>
      <c r="M201" s="142"/>
      <c r="N201" s="142"/>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row>
    <row r="202">
      <c r="A202" s="84"/>
      <c r="B202" s="83"/>
      <c r="C202" s="84"/>
      <c r="D202" s="81"/>
      <c r="E202" s="81"/>
      <c r="F202" s="125"/>
      <c r="G202" s="137"/>
      <c r="H202" s="138"/>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7"/>
      <c r="AM202" s="127"/>
      <c r="AN202" s="127"/>
      <c r="AO202" s="127"/>
      <c r="AP202" s="127"/>
      <c r="AQ202" s="127"/>
      <c r="AR202" s="127"/>
    </row>
    <row r="203" ht="27.0" hidden="1" customHeight="1">
      <c r="A203" s="357" t="s">
        <v>327</v>
      </c>
      <c r="B203" s="63"/>
      <c r="C203" s="108"/>
      <c r="D203" s="63"/>
      <c r="E203" s="63"/>
      <c r="F203" s="109"/>
      <c r="G203" s="110"/>
      <c r="H203" s="111"/>
      <c r="I203" s="111"/>
      <c r="J203" s="111"/>
      <c r="K203" s="111"/>
      <c r="L203" s="111"/>
      <c r="M203" s="111"/>
      <c r="N203" s="111"/>
      <c r="O203" s="111"/>
      <c r="P203" s="112"/>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row>
    <row r="204" hidden="1">
      <c r="A204" s="84"/>
      <c r="B204" s="83"/>
      <c r="C204" s="84"/>
      <c r="D204" s="81"/>
      <c r="E204" s="81"/>
      <c r="F204" s="125"/>
      <c r="G204" s="137"/>
      <c r="H204" s="138"/>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c r="AH204" s="127"/>
      <c r="AI204" s="127"/>
      <c r="AJ204" s="127"/>
      <c r="AK204" s="127"/>
      <c r="AL204" s="127"/>
      <c r="AM204" s="127"/>
      <c r="AN204" s="127"/>
      <c r="AO204" s="127"/>
      <c r="AP204" s="127"/>
      <c r="AQ204" s="127"/>
      <c r="AR204" s="127"/>
    </row>
    <row r="205" hidden="1">
      <c r="A205" s="358" t="s">
        <v>328</v>
      </c>
      <c r="B205" s="359"/>
      <c r="C205" s="360"/>
      <c r="D205" s="361"/>
      <c r="E205" s="361"/>
      <c r="F205" s="121"/>
      <c r="G205" s="122"/>
      <c r="H205" s="123"/>
      <c r="I205" s="123"/>
      <c r="J205" s="123"/>
      <c r="K205" s="123"/>
      <c r="L205" s="123"/>
      <c r="M205" s="123"/>
      <c r="N205" s="123"/>
      <c r="O205" s="123"/>
      <c r="P205" s="123"/>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row>
    <row r="206" hidden="1">
      <c r="A206" s="362" t="s">
        <v>329</v>
      </c>
      <c r="B206" s="363">
        <v>0.33</v>
      </c>
      <c r="C206" s="362" t="s">
        <v>109</v>
      </c>
      <c r="D206" s="346" t="s">
        <v>330</v>
      </c>
      <c r="E206" s="362"/>
      <c r="F206" s="125"/>
      <c r="G206" s="137"/>
      <c r="H206" s="138"/>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7"/>
      <c r="AM206" s="127"/>
      <c r="AN206" s="127"/>
      <c r="AO206" s="127"/>
      <c r="AP206" s="127"/>
      <c r="AQ206" s="127"/>
      <c r="AR206" s="127"/>
    </row>
    <row r="207" hidden="1">
      <c r="A207" s="362" t="s">
        <v>331</v>
      </c>
      <c r="B207" s="364"/>
      <c r="C207" s="362" t="s">
        <v>332</v>
      </c>
      <c r="D207" s="346"/>
      <c r="E207" s="362"/>
      <c r="F207" s="125"/>
      <c r="G207" s="137"/>
      <c r="H207" s="138"/>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c r="AH207" s="127"/>
      <c r="AI207" s="127"/>
      <c r="AJ207" s="127"/>
      <c r="AK207" s="127"/>
      <c r="AL207" s="127"/>
      <c r="AM207" s="127"/>
      <c r="AN207" s="127"/>
      <c r="AO207" s="127"/>
      <c r="AP207" s="127"/>
      <c r="AQ207" s="127"/>
      <c r="AR207" s="127"/>
    </row>
    <row r="208" hidden="1">
      <c r="A208" s="362" t="s">
        <v>333</v>
      </c>
      <c r="B208" s="364"/>
      <c r="C208" s="362" t="s">
        <v>334</v>
      </c>
      <c r="D208" s="346"/>
      <c r="E208" s="362"/>
      <c r="F208" s="125"/>
      <c r="G208" s="137"/>
      <c r="H208" s="138"/>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c r="AM208" s="127"/>
      <c r="AN208" s="127"/>
      <c r="AO208" s="127"/>
      <c r="AP208" s="127"/>
      <c r="AQ208" s="127"/>
      <c r="AR208" s="127"/>
    </row>
    <row r="209" hidden="1">
      <c r="A209" s="362" t="s">
        <v>335</v>
      </c>
      <c r="B209" s="365">
        <v>0.57</v>
      </c>
      <c r="C209" s="362"/>
      <c r="D209" s="346"/>
      <c r="E209" s="362"/>
      <c r="F209" s="125"/>
      <c r="G209" s="137"/>
      <c r="H209" s="138"/>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c r="AH209" s="127"/>
      <c r="AI209" s="127"/>
      <c r="AJ209" s="127"/>
      <c r="AK209" s="127"/>
      <c r="AL209" s="127"/>
      <c r="AM209" s="127"/>
      <c r="AN209" s="127"/>
      <c r="AO209" s="127"/>
      <c r="AP209" s="127"/>
      <c r="AQ209" s="127"/>
      <c r="AR209" s="127"/>
    </row>
    <row r="210" hidden="1">
      <c r="A210" s="362"/>
      <c r="B210" s="362"/>
      <c r="C210" s="362"/>
      <c r="D210" s="346"/>
      <c r="E210" s="362"/>
      <c r="F210" s="125"/>
      <c r="G210" s="137"/>
      <c r="H210" s="138"/>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c r="AM210" s="127"/>
      <c r="AN210" s="127"/>
      <c r="AO210" s="127"/>
      <c r="AP210" s="127"/>
      <c r="AQ210" s="127"/>
      <c r="AR210" s="127"/>
    </row>
    <row r="211" hidden="1">
      <c r="A211" s="358" t="s">
        <v>336</v>
      </c>
      <c r="B211" s="359"/>
      <c r="C211" s="360"/>
      <c r="D211" s="361"/>
      <c r="E211" s="361"/>
      <c r="F211" s="121"/>
      <c r="G211" s="122"/>
      <c r="H211" s="123"/>
      <c r="I211" s="123"/>
      <c r="J211" s="123"/>
      <c r="K211" s="123"/>
      <c r="L211" s="123"/>
      <c r="M211" s="123"/>
      <c r="N211" s="123"/>
      <c r="O211" s="123"/>
      <c r="P211" s="123"/>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row>
    <row r="212" hidden="1">
      <c r="A212" s="362" t="s">
        <v>337</v>
      </c>
      <c r="B212" s="366">
        <v>0.0</v>
      </c>
      <c r="C212" s="362" t="s">
        <v>52</v>
      </c>
      <c r="D212" s="367"/>
      <c r="E212" s="362"/>
      <c r="F212" s="125"/>
      <c r="G212" s="137"/>
      <c r="H212" s="138"/>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c r="AH212" s="127"/>
      <c r="AI212" s="127"/>
      <c r="AJ212" s="127"/>
      <c r="AK212" s="127"/>
      <c r="AL212" s="127"/>
      <c r="AM212" s="127"/>
      <c r="AN212" s="127"/>
      <c r="AO212" s="127"/>
      <c r="AP212" s="127"/>
      <c r="AQ212" s="127"/>
      <c r="AR212" s="127"/>
    </row>
    <row r="213" hidden="1">
      <c r="A213" s="362" t="s">
        <v>338</v>
      </c>
      <c r="B213" s="366">
        <v>0.0</v>
      </c>
      <c r="C213" s="362" t="s">
        <v>226</v>
      </c>
      <c r="D213" s="367"/>
      <c r="E213" s="362"/>
      <c r="F213" s="125"/>
      <c r="G213" s="137"/>
      <c r="H213" s="138"/>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c r="AH213" s="127"/>
      <c r="AI213" s="127"/>
      <c r="AJ213" s="127"/>
      <c r="AK213" s="127"/>
      <c r="AL213" s="127"/>
      <c r="AM213" s="127"/>
      <c r="AN213" s="127"/>
      <c r="AO213" s="127"/>
      <c r="AP213" s="127"/>
      <c r="AQ213" s="127"/>
      <c r="AR213" s="127"/>
    </row>
    <row r="214" hidden="1">
      <c r="A214" s="362" t="str">
        <f>"Variable costs to government or othe charities per "&amp;$B$5&amp;" per year"</f>
        <v>Variable costs to government or othe charities per country per year</v>
      </c>
      <c r="B214" s="366">
        <v>0.0</v>
      </c>
      <c r="C214" s="362" t="s">
        <v>226</v>
      </c>
      <c r="D214" s="367"/>
      <c r="E214" s="362"/>
      <c r="F214" s="125"/>
      <c r="G214" s="137"/>
      <c r="H214" s="138"/>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c r="AH214" s="127"/>
      <c r="AI214" s="127"/>
      <c r="AJ214" s="127"/>
      <c r="AK214" s="127"/>
      <c r="AL214" s="127"/>
      <c r="AM214" s="127"/>
      <c r="AN214" s="127"/>
      <c r="AO214" s="127"/>
      <c r="AP214" s="127"/>
      <c r="AQ214" s="127"/>
      <c r="AR214" s="127"/>
    </row>
    <row r="215" hidden="1">
      <c r="A215" s="84"/>
      <c r="B215" s="83"/>
      <c r="C215" s="84"/>
      <c r="D215" s="81"/>
      <c r="E215" s="81"/>
      <c r="F215" s="125"/>
      <c r="G215" s="137"/>
      <c r="H215" s="138"/>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c r="AM215" s="127"/>
      <c r="AN215" s="127"/>
      <c r="AO215" s="127"/>
      <c r="AP215" s="127"/>
      <c r="AQ215" s="127"/>
      <c r="AR215" s="127"/>
    </row>
    <row r="216" hidden="1">
      <c r="A216" s="358" t="s">
        <v>339</v>
      </c>
      <c r="B216" s="359"/>
      <c r="C216" s="360"/>
      <c r="D216" s="361"/>
      <c r="E216" s="361"/>
      <c r="F216" s="121"/>
      <c r="G216" s="122"/>
      <c r="H216" s="123"/>
      <c r="I216" s="123"/>
      <c r="J216" s="123"/>
      <c r="K216" s="123"/>
      <c r="L216" s="123"/>
      <c r="M216" s="123"/>
      <c r="N216" s="123"/>
      <c r="O216" s="123"/>
      <c r="P216" s="123"/>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row>
    <row r="217" hidden="1">
      <c r="A217" s="362" t="s">
        <v>340</v>
      </c>
      <c r="B217" s="368">
        <v>3.0</v>
      </c>
      <c r="C217" s="362" t="s">
        <v>294</v>
      </c>
      <c r="D217" s="367"/>
      <c r="E217" s="362"/>
      <c r="F217" s="125"/>
      <c r="G217" s="137"/>
      <c r="H217" s="138"/>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c r="AH217" s="127"/>
      <c r="AI217" s="127"/>
      <c r="AJ217" s="127"/>
      <c r="AK217" s="127"/>
      <c r="AL217" s="127"/>
      <c r="AM217" s="127"/>
      <c r="AN217" s="127"/>
      <c r="AO217" s="127"/>
      <c r="AP217" s="127"/>
      <c r="AQ217" s="127"/>
      <c r="AR217" s="127"/>
    </row>
    <row r="218" hidden="1">
      <c r="A218" s="362" t="s">
        <v>341</v>
      </c>
      <c r="B218" s="369">
        <f>B212*(1-B$135)^(B217-1)</f>
        <v>0</v>
      </c>
      <c r="C218" s="362" t="s">
        <v>52</v>
      </c>
      <c r="D218" s="367"/>
      <c r="E218" s="362"/>
      <c r="F218" s="125"/>
      <c r="G218" s="137"/>
      <c r="H218" s="138"/>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7"/>
      <c r="AI218" s="127"/>
      <c r="AJ218" s="127"/>
      <c r="AK218" s="127"/>
      <c r="AL218" s="127"/>
      <c r="AM218" s="127"/>
      <c r="AN218" s="127"/>
      <c r="AO218" s="127"/>
      <c r="AP218" s="127"/>
      <c r="AQ218" s="127"/>
      <c r="AR218" s="127"/>
    </row>
    <row r="219" hidden="1">
      <c r="A219" s="362" t="s">
        <v>342</v>
      </c>
      <c r="B219" s="368">
        <v>4.0</v>
      </c>
      <c r="C219" s="362" t="s">
        <v>294</v>
      </c>
      <c r="D219" s="367"/>
      <c r="E219" s="362"/>
      <c r="F219" s="125"/>
      <c r="G219" s="137"/>
      <c r="H219" s="138"/>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c r="AH219" s="127"/>
      <c r="AI219" s="127"/>
      <c r="AJ219" s="127"/>
      <c r="AK219" s="127"/>
      <c r="AL219" s="127"/>
      <c r="AM219" s="127"/>
      <c r="AN219" s="127"/>
      <c r="AO219" s="127"/>
      <c r="AP219" s="127"/>
      <c r="AQ219" s="127"/>
      <c r="AR219" s="127"/>
    </row>
    <row r="220" hidden="1">
      <c r="A220" s="362" t="s">
        <v>343</v>
      </c>
      <c r="B220" s="364" t="str">
        <f>B183</f>
        <v>ongoing</v>
      </c>
      <c r="C220" s="362" t="s">
        <v>294</v>
      </c>
      <c r="D220" s="367"/>
      <c r="E220" s="362"/>
      <c r="F220" s="125"/>
      <c r="G220" s="137"/>
      <c r="H220" s="138"/>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row>
    <row r="221" hidden="1">
      <c r="A221" s="362" t="s">
        <v>344</v>
      </c>
      <c r="B221" s="369">
        <f>(IF(B220="ongoing", B213/B$135, B213*((1-(1-B$135)^B220))/(B$135)) - B213*((1-(1-B$135)^(B219-1)))/(B$135))</f>
        <v>0</v>
      </c>
      <c r="C221" s="362" t="s">
        <v>52</v>
      </c>
      <c r="D221" s="367"/>
      <c r="E221" s="362"/>
      <c r="F221" s="125"/>
      <c r="G221" s="137"/>
      <c r="H221" s="138"/>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row>
    <row r="222" hidden="1">
      <c r="A222" s="362" t="str">
        <f>"Delay on variable costs to gov or others per "&amp;$B$5&amp;" per year"</f>
        <v>Delay on variable costs to gov or others per country per year</v>
      </c>
      <c r="B222" s="368">
        <v>3.0</v>
      </c>
      <c r="C222" s="362" t="s">
        <v>163</v>
      </c>
      <c r="D222" s="367"/>
      <c r="E222" s="362"/>
      <c r="F222" s="125"/>
      <c r="G222" s="137"/>
      <c r="H222" s="138"/>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row>
    <row r="223" hidden="1">
      <c r="A223" s="362" t="s">
        <v>345</v>
      </c>
      <c r="B223" s="369" t="str">
        <f>B214/#REF!*B$191*(1-B$164)^B222</f>
        <v>#REF!</v>
      </c>
      <c r="C223" s="362" t="s">
        <v>52</v>
      </c>
      <c r="D223" s="367"/>
      <c r="E223" s="362"/>
      <c r="F223" s="140"/>
      <c r="G223" s="137"/>
      <c r="H223" s="138"/>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row>
    <row r="224" hidden="1">
      <c r="A224" s="362" t="s">
        <v>346</v>
      </c>
      <c r="B224" s="369" t="str">
        <f>B223+B221+B218</f>
        <v>#REF!</v>
      </c>
      <c r="C224" s="84"/>
      <c r="D224" s="81"/>
      <c r="E224" s="81"/>
      <c r="F224" s="60"/>
      <c r="G224" s="346"/>
      <c r="H224" s="76"/>
    </row>
    <row r="225" hidden="1">
      <c r="A225" s="84"/>
      <c r="B225" s="83"/>
      <c r="C225" s="84"/>
      <c r="D225" s="81"/>
      <c r="E225" s="81"/>
      <c r="F225" s="60"/>
      <c r="G225" s="346"/>
      <c r="H225" s="76"/>
    </row>
    <row r="226" hidden="1">
      <c r="A226" s="358" t="s">
        <v>347</v>
      </c>
      <c r="B226" s="359"/>
      <c r="C226" s="360"/>
      <c r="D226" s="361"/>
      <c r="E226" s="361"/>
      <c r="F226" s="370"/>
      <c r="G226" s="361"/>
      <c r="H226" s="371"/>
      <c r="I226" s="371"/>
      <c r="J226" s="371"/>
      <c r="K226" s="371"/>
      <c r="L226" s="371"/>
      <c r="M226" s="371"/>
      <c r="N226" s="371"/>
      <c r="O226" s="371"/>
      <c r="P226" s="371"/>
      <c r="Q226" s="372"/>
      <c r="R226" s="372"/>
      <c r="S226" s="372"/>
      <c r="T226" s="372"/>
      <c r="U226" s="372"/>
      <c r="V226" s="372"/>
      <c r="W226" s="372"/>
      <c r="X226" s="372"/>
      <c r="Y226" s="372"/>
      <c r="Z226" s="372"/>
      <c r="AA226" s="372"/>
      <c r="AB226" s="372"/>
      <c r="AC226" s="372"/>
      <c r="AD226" s="372"/>
      <c r="AE226" s="372"/>
      <c r="AF226" s="372"/>
      <c r="AG226" s="372"/>
      <c r="AH226" s="372"/>
      <c r="AI226" s="372"/>
      <c r="AJ226" s="372"/>
      <c r="AK226" s="372"/>
      <c r="AL226" s="372"/>
      <c r="AM226" s="372"/>
      <c r="AN226" s="372"/>
      <c r="AO226" s="372"/>
      <c r="AP226" s="372"/>
      <c r="AQ226" s="372"/>
      <c r="AR226" s="372"/>
    </row>
    <row r="227" hidden="1">
      <c r="A227" s="362" t="s">
        <v>348</v>
      </c>
      <c r="B227" s="363">
        <f>B118/2</f>
        <v>0.2</v>
      </c>
      <c r="C227" s="362" t="s">
        <v>109</v>
      </c>
      <c r="D227" s="81"/>
      <c r="E227" s="81"/>
      <c r="F227" s="60"/>
      <c r="G227" s="346"/>
      <c r="H227" s="76"/>
    </row>
    <row r="228" hidden="1">
      <c r="A228" s="362" t="s">
        <v>349</v>
      </c>
      <c r="B228" s="369" t="str">
        <f>B227*B224</f>
        <v>#REF!</v>
      </c>
      <c r="C228" s="373" t="s">
        <v>52</v>
      </c>
      <c r="D228" s="81"/>
      <c r="E228" s="81"/>
      <c r="F228" s="60"/>
      <c r="G228" s="346"/>
      <c r="H228" s="76"/>
    </row>
    <row r="229" hidden="1">
      <c r="A229" s="362" t="s">
        <v>350</v>
      </c>
      <c r="B229" s="369" t="str">
        <f>B224+((1-B$116)/B$116)*B228</f>
        <v>#REF!</v>
      </c>
      <c r="C229" s="362" t="s">
        <v>52</v>
      </c>
      <c r="D229" s="81"/>
      <c r="E229" s="81"/>
      <c r="F229" s="60"/>
      <c r="G229" s="346"/>
      <c r="H229" s="76"/>
    </row>
    <row r="230" hidden="1">
      <c r="A230" s="84"/>
      <c r="B230" s="83"/>
      <c r="C230" s="84"/>
      <c r="D230" s="81"/>
      <c r="E230" s="81"/>
      <c r="F230" s="60"/>
      <c r="G230" s="346"/>
      <c r="H230" s="76"/>
    </row>
    <row r="231" hidden="1">
      <c r="A231" s="358" t="s">
        <v>351</v>
      </c>
      <c r="B231" s="359"/>
      <c r="C231" s="360"/>
      <c r="D231" s="361"/>
      <c r="E231" s="361"/>
      <c r="F231" s="370"/>
      <c r="G231" s="361"/>
      <c r="H231" s="371"/>
      <c r="I231" s="371"/>
      <c r="J231" s="371"/>
      <c r="K231" s="371"/>
      <c r="L231" s="371"/>
      <c r="M231" s="371"/>
      <c r="N231" s="371"/>
      <c r="O231" s="371"/>
      <c r="P231" s="371"/>
      <c r="Q231" s="372"/>
      <c r="R231" s="372"/>
      <c r="S231" s="372"/>
      <c r="T231" s="372"/>
      <c r="U231" s="372"/>
      <c r="V231" s="372"/>
      <c r="W231" s="372"/>
      <c r="X231" s="372"/>
      <c r="Y231" s="372"/>
      <c r="Z231" s="372"/>
      <c r="AA231" s="372"/>
      <c r="AB231" s="372"/>
      <c r="AC231" s="372"/>
      <c r="AD231" s="372"/>
      <c r="AE231" s="372"/>
      <c r="AF231" s="372"/>
      <c r="AG231" s="372"/>
      <c r="AH231" s="372"/>
      <c r="AI231" s="372"/>
      <c r="AJ231" s="372"/>
      <c r="AK231" s="372"/>
      <c r="AL231" s="372"/>
      <c r="AM231" s="372"/>
      <c r="AN231" s="372"/>
      <c r="AO231" s="372"/>
      <c r="AP231" s="372"/>
      <c r="AQ231" s="372"/>
      <c r="AR231" s="372"/>
    </row>
    <row r="232" hidden="1">
      <c r="A232" s="362" t="s">
        <v>352</v>
      </c>
      <c r="B232" s="374" t="str">
        <f>(B208*(10^9)*B209)/(B207*(10^6))</f>
        <v>#DIV/0!</v>
      </c>
      <c r="C232" s="362" t="s">
        <v>52</v>
      </c>
      <c r="D232" s="81"/>
      <c r="E232" s="81"/>
      <c r="F232" s="60"/>
      <c r="G232" s="346"/>
      <c r="H232" s="76"/>
    </row>
    <row r="233" hidden="1">
      <c r="A233" s="362" t="s">
        <v>353</v>
      </c>
      <c r="B233" s="375" t="str">
        <f>-B224*B206/(B207*(10^6))</f>
        <v>#REF!</v>
      </c>
      <c r="C233" s="362" t="s">
        <v>52</v>
      </c>
      <c r="D233" s="81"/>
      <c r="E233" s="81"/>
      <c r="F233" s="60"/>
      <c r="G233" s="346"/>
      <c r="H233" s="76"/>
    </row>
    <row r="234" hidden="1">
      <c r="A234" s="362" t="s">
        <v>354</v>
      </c>
      <c r="B234" s="376" t="str">
        <f>ln(1+(B233/B232))/ln(2)</f>
        <v>#REF!</v>
      </c>
      <c r="C234" s="362" t="s">
        <v>355</v>
      </c>
      <c r="D234" s="81"/>
      <c r="E234" s="81"/>
      <c r="F234" s="60"/>
      <c r="G234" s="346"/>
      <c r="H234" s="76"/>
    </row>
    <row r="235" hidden="1">
      <c r="A235" s="362" t="s">
        <v>356</v>
      </c>
      <c r="B235" s="377" t="str">
        <f>B234*(B207*10^6)</f>
        <v>#REF!</v>
      </c>
      <c r="C235" s="362" t="s">
        <v>355</v>
      </c>
      <c r="D235" s="81"/>
      <c r="E235" s="81"/>
      <c r="F235" s="60"/>
      <c r="G235" s="346"/>
      <c r="H235" s="76"/>
    </row>
    <row r="236" hidden="1">
      <c r="A236" s="362" t="s">
        <v>357</v>
      </c>
      <c r="B236" s="377" t="str">
        <f>B235*B$26</f>
        <v>#REF!</v>
      </c>
      <c r="C236" s="362" t="s">
        <v>300</v>
      </c>
      <c r="D236" s="81"/>
      <c r="E236" s="81"/>
      <c r="F236" s="60"/>
      <c r="G236" s="346"/>
      <c r="H236" s="76"/>
    </row>
    <row r="237" hidden="1">
      <c r="A237" s="362" t="str">
        <f>$B$6&amp;" total cost/benefit"</f>
        <v>DALY equivelents total cost/benefit</v>
      </c>
      <c r="B237" s="377" t="str">
        <f>IF(C237="[DALY]",B236,IF(C237="[Consumption doublings]",B235,"please fill"))</f>
        <v>please fill</v>
      </c>
      <c r="C237" s="362" t="str">
        <f>$B$6</f>
        <v>DALY equivelents</v>
      </c>
      <c r="D237" s="81"/>
      <c r="E237" s="81"/>
      <c r="F237" s="60"/>
      <c r="G237" s="346"/>
      <c r="H237" s="76"/>
    </row>
    <row r="238">
      <c r="A238" s="84"/>
      <c r="B238" s="83"/>
      <c r="C238" s="84"/>
      <c r="D238" s="81"/>
      <c r="E238" s="81"/>
      <c r="F238" s="60"/>
      <c r="G238" s="346"/>
      <c r="H238" s="76"/>
    </row>
    <row r="239">
      <c r="A239" s="84"/>
      <c r="B239" s="83"/>
      <c r="C239" s="84"/>
      <c r="D239" s="81"/>
      <c r="E239" s="81"/>
      <c r="F239" s="60"/>
      <c r="G239" s="346"/>
      <c r="H239" s="76"/>
    </row>
    <row r="240">
      <c r="A240" s="378" t="s">
        <v>66</v>
      </c>
      <c r="B240" s="379"/>
      <c r="C240" s="379"/>
      <c r="D240" s="379"/>
      <c r="E240" s="379"/>
      <c r="F240" s="380"/>
      <c r="G240" s="379"/>
      <c r="H240" s="381"/>
      <c r="I240" s="381"/>
      <c r="J240" s="381"/>
      <c r="K240" s="381"/>
      <c r="L240" s="381"/>
      <c r="M240" s="381"/>
      <c r="N240" s="381"/>
      <c r="O240" s="381"/>
      <c r="P240" s="381"/>
      <c r="Q240" s="381"/>
      <c r="R240" s="381"/>
      <c r="S240" s="381"/>
      <c r="T240" s="381"/>
      <c r="U240" s="381"/>
      <c r="V240" s="381"/>
      <c r="W240" s="381"/>
      <c r="X240" s="381"/>
      <c r="Y240" s="381"/>
      <c r="Z240" s="381"/>
      <c r="AA240" s="381"/>
      <c r="AB240" s="381"/>
      <c r="AC240" s="381"/>
      <c r="AD240" s="381"/>
      <c r="AE240" s="381"/>
      <c r="AF240" s="381"/>
      <c r="AG240" s="381"/>
      <c r="AH240" s="381"/>
      <c r="AI240" s="381"/>
      <c r="AJ240" s="381"/>
      <c r="AK240" s="381"/>
      <c r="AL240" s="381"/>
      <c r="AM240" s="381"/>
      <c r="AN240" s="381"/>
      <c r="AO240" s="381"/>
      <c r="AP240" s="381"/>
      <c r="AQ240" s="381"/>
      <c r="AR240" s="381"/>
    </row>
    <row r="241">
      <c r="A241" s="84" t="s">
        <v>253</v>
      </c>
      <c r="B241" s="36">
        <v>0.0</v>
      </c>
      <c r="C241" s="84">
        <v>1.0</v>
      </c>
      <c r="D241" s="84">
        <v>2.0</v>
      </c>
      <c r="E241" s="84">
        <v>3.0</v>
      </c>
      <c r="F241" s="216">
        <v>4.0</v>
      </c>
      <c r="G241" s="84">
        <v>5.0</v>
      </c>
      <c r="H241" s="84">
        <v>6.0</v>
      </c>
      <c r="I241" s="36">
        <v>7.0</v>
      </c>
      <c r="J241" s="84">
        <v>8.0</v>
      </c>
      <c r="K241" s="84">
        <v>9.0</v>
      </c>
      <c r="L241" s="84">
        <v>10.0</v>
      </c>
      <c r="M241" s="84">
        <v>11.0</v>
      </c>
      <c r="N241" s="84">
        <v>12.0</v>
      </c>
      <c r="O241" s="84">
        <v>13.0</v>
      </c>
      <c r="P241" s="36">
        <v>14.0</v>
      </c>
      <c r="Q241" s="84">
        <v>15.0</v>
      </c>
      <c r="R241" s="84">
        <v>16.0</v>
      </c>
      <c r="S241" s="84">
        <v>17.0</v>
      </c>
      <c r="T241" s="84">
        <v>18.0</v>
      </c>
      <c r="U241" s="84">
        <v>19.0</v>
      </c>
      <c r="V241" s="84">
        <v>20.0</v>
      </c>
      <c r="W241" s="36">
        <v>21.0</v>
      </c>
      <c r="X241" s="84">
        <v>22.0</v>
      </c>
      <c r="Y241" s="84">
        <v>23.0</v>
      </c>
      <c r="Z241" s="84">
        <v>24.0</v>
      </c>
      <c r="AA241" s="84">
        <v>25.0</v>
      </c>
      <c r="AB241" s="84">
        <v>26.0</v>
      </c>
      <c r="AC241" s="84">
        <v>27.0</v>
      </c>
      <c r="AD241" s="84">
        <v>28.0</v>
      </c>
      <c r="AE241" s="84">
        <v>29.0</v>
      </c>
      <c r="AF241" s="84">
        <v>30.0</v>
      </c>
      <c r="AG241" s="382">
        <v>31.0</v>
      </c>
      <c r="AH241" s="382"/>
      <c r="AI241" s="382"/>
      <c r="AJ241" s="382"/>
      <c r="AK241" s="382"/>
      <c r="AL241" s="382"/>
      <c r="AM241" s="382"/>
      <c r="AN241" s="382"/>
      <c r="AO241" s="382"/>
      <c r="AP241" s="382"/>
      <c r="AQ241" s="382"/>
      <c r="AR241" s="382"/>
    </row>
    <row r="242">
      <c r="A242" s="81"/>
      <c r="B242" s="40"/>
      <c r="C242" s="81"/>
      <c r="D242" s="81"/>
      <c r="E242" s="81"/>
      <c r="F242" s="132"/>
      <c r="G242" s="81"/>
      <c r="H242" s="81"/>
      <c r="I242" s="40"/>
      <c r="J242" s="81"/>
      <c r="K242" s="81"/>
      <c r="L242" s="81"/>
      <c r="M242" s="81"/>
      <c r="N242" s="81"/>
      <c r="O242" s="81"/>
      <c r="P242" s="40"/>
      <c r="Q242" s="81"/>
      <c r="R242" s="81"/>
      <c r="S242" s="81"/>
      <c r="T242" s="81"/>
      <c r="U242" s="81"/>
      <c r="V242" s="81"/>
      <c r="W242" s="40"/>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c r="A243" s="362" t="s">
        <v>358</v>
      </c>
      <c r="B243" s="383">
        <v>0.0</v>
      </c>
      <c r="C243" s="383">
        <f t="shared" ref="C243:AF243" si="2">IF(C$241=$B$137,$B$139,IF(C$241&gt;$B$137,IF($B$138&gt;=C$241,B243+$B$141,0),0))</f>
        <v>130000</v>
      </c>
      <c r="D243" s="383">
        <f t="shared" si="2"/>
        <v>205000</v>
      </c>
      <c r="E243" s="383">
        <f t="shared" si="2"/>
        <v>280000</v>
      </c>
      <c r="F243" s="384">
        <f t="shared" si="2"/>
        <v>0</v>
      </c>
      <c r="G243" s="383">
        <f t="shared" si="2"/>
        <v>0</v>
      </c>
      <c r="H243" s="383">
        <f t="shared" si="2"/>
        <v>0</v>
      </c>
      <c r="I243" s="383">
        <f t="shared" si="2"/>
        <v>0</v>
      </c>
      <c r="J243" s="383">
        <f t="shared" si="2"/>
        <v>0</v>
      </c>
      <c r="K243" s="383">
        <f t="shared" si="2"/>
        <v>0</v>
      </c>
      <c r="L243" s="383">
        <f t="shared" si="2"/>
        <v>0</v>
      </c>
      <c r="M243" s="383">
        <f t="shared" si="2"/>
        <v>0</v>
      </c>
      <c r="N243" s="383">
        <f t="shared" si="2"/>
        <v>0</v>
      </c>
      <c r="O243" s="383">
        <f t="shared" si="2"/>
        <v>0</v>
      </c>
      <c r="P243" s="383">
        <f t="shared" si="2"/>
        <v>0</v>
      </c>
      <c r="Q243" s="383">
        <f t="shared" si="2"/>
        <v>0</v>
      </c>
      <c r="R243" s="383">
        <f t="shared" si="2"/>
        <v>0</v>
      </c>
      <c r="S243" s="383">
        <f t="shared" si="2"/>
        <v>0</v>
      </c>
      <c r="T243" s="383">
        <f t="shared" si="2"/>
        <v>0</v>
      </c>
      <c r="U243" s="383">
        <f t="shared" si="2"/>
        <v>0</v>
      </c>
      <c r="V243" s="383">
        <f t="shared" si="2"/>
        <v>0</v>
      </c>
      <c r="W243" s="383">
        <f t="shared" si="2"/>
        <v>0</v>
      </c>
      <c r="X243" s="383">
        <f t="shared" si="2"/>
        <v>0</v>
      </c>
      <c r="Y243" s="383">
        <f t="shared" si="2"/>
        <v>0</v>
      </c>
      <c r="Z243" s="383">
        <f t="shared" si="2"/>
        <v>0</v>
      </c>
      <c r="AA243" s="383">
        <f t="shared" si="2"/>
        <v>0</v>
      </c>
      <c r="AB243" s="383">
        <f t="shared" si="2"/>
        <v>0</v>
      </c>
      <c r="AC243" s="383">
        <f t="shared" si="2"/>
        <v>0</v>
      </c>
      <c r="AD243" s="383">
        <f t="shared" si="2"/>
        <v>0</v>
      </c>
      <c r="AE243" s="383">
        <f t="shared" si="2"/>
        <v>0</v>
      </c>
      <c r="AF243" s="383">
        <f t="shared" si="2"/>
        <v>0</v>
      </c>
      <c r="AG243" s="383"/>
      <c r="AH243" s="383"/>
      <c r="AI243" s="383"/>
      <c r="AJ243" s="383"/>
      <c r="AK243" s="383"/>
      <c r="AL243" s="383"/>
      <c r="AM243" s="383"/>
      <c r="AN243" s="383"/>
      <c r="AO243" s="383"/>
      <c r="AP243" s="383"/>
      <c r="AQ243" s="383"/>
      <c r="AR243" s="383"/>
    </row>
    <row r="244">
      <c r="A244" s="362" t="s">
        <v>359</v>
      </c>
      <c r="B244" s="383">
        <v>0.0</v>
      </c>
      <c r="C244" s="383">
        <f t="shared" ref="C244:AF244" si="3">IF(C$241&gt;=$B$149,IF(C$241&lt;=$B$150,$B$151,0),0)</f>
        <v>0</v>
      </c>
      <c r="D244" s="383">
        <f t="shared" si="3"/>
        <v>0</v>
      </c>
      <c r="E244" s="383">
        <f t="shared" si="3"/>
        <v>0</v>
      </c>
      <c r="F244" s="384">
        <f t="shared" si="3"/>
        <v>0</v>
      </c>
      <c r="G244" s="383">
        <f t="shared" si="3"/>
        <v>0</v>
      </c>
      <c r="H244" s="383">
        <f t="shared" si="3"/>
        <v>0</v>
      </c>
      <c r="I244" s="383">
        <f t="shared" si="3"/>
        <v>0</v>
      </c>
      <c r="J244" s="383">
        <f t="shared" si="3"/>
        <v>0</v>
      </c>
      <c r="K244" s="383">
        <f t="shared" si="3"/>
        <v>0</v>
      </c>
      <c r="L244" s="383">
        <f t="shared" si="3"/>
        <v>0</v>
      </c>
      <c r="M244" s="383">
        <f t="shared" si="3"/>
        <v>0</v>
      </c>
      <c r="N244" s="383">
        <f t="shared" si="3"/>
        <v>0</v>
      </c>
      <c r="O244" s="383">
        <f t="shared" si="3"/>
        <v>0</v>
      </c>
      <c r="P244" s="383">
        <f t="shared" si="3"/>
        <v>0</v>
      </c>
      <c r="Q244" s="383">
        <f t="shared" si="3"/>
        <v>0</v>
      </c>
      <c r="R244" s="383">
        <f t="shared" si="3"/>
        <v>0</v>
      </c>
      <c r="S244" s="383">
        <f t="shared" si="3"/>
        <v>0</v>
      </c>
      <c r="T244" s="383">
        <f t="shared" si="3"/>
        <v>0</v>
      </c>
      <c r="U244" s="383">
        <f t="shared" si="3"/>
        <v>0</v>
      </c>
      <c r="V244" s="383">
        <f t="shared" si="3"/>
        <v>0</v>
      </c>
      <c r="W244" s="383">
        <f t="shared" si="3"/>
        <v>0</v>
      </c>
      <c r="X244" s="383">
        <f t="shared" si="3"/>
        <v>0</v>
      </c>
      <c r="Y244" s="383">
        <f t="shared" si="3"/>
        <v>0</v>
      </c>
      <c r="Z244" s="383">
        <f t="shared" si="3"/>
        <v>0</v>
      </c>
      <c r="AA244" s="383">
        <f t="shared" si="3"/>
        <v>0</v>
      </c>
      <c r="AB244" s="383">
        <f t="shared" si="3"/>
        <v>0</v>
      </c>
      <c r="AC244" s="383">
        <f t="shared" si="3"/>
        <v>0</v>
      </c>
      <c r="AD244" s="383">
        <f t="shared" si="3"/>
        <v>0</v>
      </c>
      <c r="AE244" s="383">
        <f t="shared" si="3"/>
        <v>0</v>
      </c>
      <c r="AF244" s="383">
        <f t="shared" si="3"/>
        <v>0</v>
      </c>
      <c r="AG244" s="383"/>
      <c r="AH244" s="383"/>
      <c r="AI244" s="383"/>
      <c r="AJ244" s="383"/>
      <c r="AK244" s="383"/>
      <c r="AL244" s="383"/>
      <c r="AM244" s="383"/>
      <c r="AN244" s="383"/>
      <c r="AO244" s="383"/>
      <c r="AP244" s="383"/>
      <c r="AQ244" s="383"/>
      <c r="AR244" s="383"/>
    </row>
    <row r="245">
      <c r="A245" s="362" t="s">
        <v>360</v>
      </c>
      <c r="B245" s="383">
        <v>0.0</v>
      </c>
      <c r="C245" s="383">
        <f t="shared" ref="C245:AF245" si="4">IF(C$241&gt;=$B$155,IF(C$241&lt;=$B$156,$B$157,0),0)</f>
        <v>0</v>
      </c>
      <c r="D245" s="383">
        <f t="shared" si="4"/>
        <v>0</v>
      </c>
      <c r="E245" s="383">
        <f t="shared" si="4"/>
        <v>0</v>
      </c>
      <c r="F245" s="384">
        <f t="shared" si="4"/>
        <v>280000</v>
      </c>
      <c r="G245" s="383">
        <f t="shared" si="4"/>
        <v>280000</v>
      </c>
      <c r="H245" s="383">
        <f t="shared" si="4"/>
        <v>280000</v>
      </c>
      <c r="I245" s="383">
        <f t="shared" si="4"/>
        <v>0</v>
      </c>
      <c r="J245" s="383">
        <f t="shared" si="4"/>
        <v>0</v>
      </c>
      <c r="K245" s="383">
        <f t="shared" si="4"/>
        <v>0</v>
      </c>
      <c r="L245" s="383">
        <f t="shared" si="4"/>
        <v>0</v>
      </c>
      <c r="M245" s="383">
        <f t="shared" si="4"/>
        <v>0</v>
      </c>
      <c r="N245" s="383">
        <f t="shared" si="4"/>
        <v>0</v>
      </c>
      <c r="O245" s="383">
        <f t="shared" si="4"/>
        <v>0</v>
      </c>
      <c r="P245" s="383">
        <f t="shared" si="4"/>
        <v>0</v>
      </c>
      <c r="Q245" s="383">
        <f t="shared" si="4"/>
        <v>0</v>
      </c>
      <c r="R245" s="383">
        <f t="shared" si="4"/>
        <v>0</v>
      </c>
      <c r="S245" s="383">
        <f t="shared" si="4"/>
        <v>0</v>
      </c>
      <c r="T245" s="383">
        <f t="shared" si="4"/>
        <v>0</v>
      </c>
      <c r="U245" s="383">
        <f t="shared" si="4"/>
        <v>0</v>
      </c>
      <c r="V245" s="383">
        <f t="shared" si="4"/>
        <v>0</v>
      </c>
      <c r="W245" s="383">
        <f t="shared" si="4"/>
        <v>0</v>
      </c>
      <c r="X245" s="383">
        <f t="shared" si="4"/>
        <v>0</v>
      </c>
      <c r="Y245" s="383">
        <f t="shared" si="4"/>
        <v>0</v>
      </c>
      <c r="Z245" s="383">
        <f t="shared" si="4"/>
        <v>0</v>
      </c>
      <c r="AA245" s="383">
        <f t="shared" si="4"/>
        <v>0</v>
      </c>
      <c r="AB245" s="383">
        <f t="shared" si="4"/>
        <v>0</v>
      </c>
      <c r="AC245" s="383">
        <f t="shared" si="4"/>
        <v>0</v>
      </c>
      <c r="AD245" s="383">
        <f t="shared" si="4"/>
        <v>0</v>
      </c>
      <c r="AE245" s="383">
        <f t="shared" si="4"/>
        <v>0</v>
      </c>
      <c r="AF245" s="383">
        <f t="shared" si="4"/>
        <v>0</v>
      </c>
      <c r="AG245" s="383"/>
      <c r="AH245" s="383"/>
      <c r="AI245" s="383"/>
      <c r="AJ245" s="383"/>
      <c r="AK245" s="383"/>
      <c r="AL245" s="383"/>
      <c r="AM245" s="383"/>
      <c r="AN245" s="383"/>
      <c r="AO245" s="383"/>
      <c r="AP245" s="383"/>
      <c r="AQ245" s="383"/>
      <c r="AR245" s="383"/>
    </row>
    <row r="246">
      <c r="A246" s="137" t="s">
        <v>361</v>
      </c>
      <c r="B246" s="385">
        <f t="shared" ref="B246:AF246" si="5">SUM(B243:B245)</f>
        <v>0</v>
      </c>
      <c r="C246" s="385">
        <f t="shared" si="5"/>
        <v>130000</v>
      </c>
      <c r="D246" s="385">
        <f t="shared" si="5"/>
        <v>205000</v>
      </c>
      <c r="E246" s="385">
        <f t="shared" si="5"/>
        <v>280000</v>
      </c>
      <c r="F246" s="386">
        <f t="shared" si="5"/>
        <v>280000</v>
      </c>
      <c r="G246" s="385">
        <f t="shared" si="5"/>
        <v>280000</v>
      </c>
      <c r="H246" s="385">
        <f t="shared" si="5"/>
        <v>280000</v>
      </c>
      <c r="I246" s="385">
        <f t="shared" si="5"/>
        <v>0</v>
      </c>
      <c r="J246" s="385">
        <f t="shared" si="5"/>
        <v>0</v>
      </c>
      <c r="K246" s="385">
        <f t="shared" si="5"/>
        <v>0</v>
      </c>
      <c r="L246" s="385">
        <f t="shared" si="5"/>
        <v>0</v>
      </c>
      <c r="M246" s="385">
        <f t="shared" si="5"/>
        <v>0</v>
      </c>
      <c r="N246" s="385">
        <f t="shared" si="5"/>
        <v>0</v>
      </c>
      <c r="O246" s="385">
        <f t="shared" si="5"/>
        <v>0</v>
      </c>
      <c r="P246" s="385">
        <f t="shared" si="5"/>
        <v>0</v>
      </c>
      <c r="Q246" s="385">
        <f t="shared" si="5"/>
        <v>0</v>
      </c>
      <c r="R246" s="385">
        <f t="shared" si="5"/>
        <v>0</v>
      </c>
      <c r="S246" s="385">
        <f t="shared" si="5"/>
        <v>0</v>
      </c>
      <c r="T246" s="385">
        <f t="shared" si="5"/>
        <v>0</v>
      </c>
      <c r="U246" s="385">
        <f t="shared" si="5"/>
        <v>0</v>
      </c>
      <c r="V246" s="385">
        <f t="shared" si="5"/>
        <v>0</v>
      </c>
      <c r="W246" s="385">
        <f t="shared" si="5"/>
        <v>0</v>
      </c>
      <c r="X246" s="385">
        <f t="shared" si="5"/>
        <v>0</v>
      </c>
      <c r="Y246" s="385">
        <f t="shared" si="5"/>
        <v>0</v>
      </c>
      <c r="Z246" s="385">
        <f t="shared" si="5"/>
        <v>0</v>
      </c>
      <c r="AA246" s="385">
        <f t="shared" si="5"/>
        <v>0</v>
      </c>
      <c r="AB246" s="385">
        <f t="shared" si="5"/>
        <v>0</v>
      </c>
      <c r="AC246" s="385">
        <f t="shared" si="5"/>
        <v>0</v>
      </c>
      <c r="AD246" s="385">
        <f t="shared" si="5"/>
        <v>0</v>
      </c>
      <c r="AE246" s="385">
        <f t="shared" si="5"/>
        <v>0</v>
      </c>
      <c r="AF246" s="385">
        <f t="shared" si="5"/>
        <v>0</v>
      </c>
      <c r="AG246" s="385"/>
      <c r="AH246" s="385"/>
      <c r="AI246" s="385"/>
      <c r="AJ246" s="385"/>
      <c r="AK246" s="385"/>
      <c r="AL246" s="385"/>
      <c r="AM246" s="385"/>
      <c r="AN246" s="385"/>
      <c r="AO246" s="385"/>
      <c r="AP246" s="385"/>
      <c r="AQ246" s="385"/>
      <c r="AR246" s="385"/>
    </row>
    <row r="247">
      <c r="A247" s="362" t="s">
        <v>362</v>
      </c>
      <c r="B247" s="383">
        <v>0.0</v>
      </c>
      <c r="C247" s="383">
        <f t="shared" ref="C247:AF247" si="6">IF(C$241=$B$169,$B$172,IF(C$241&gt;$B$169,IF($B$171&gt;=C$241,B247+$B$176,0),0))</f>
        <v>0</v>
      </c>
      <c r="D247" s="383">
        <f t="shared" si="6"/>
        <v>0</v>
      </c>
      <c r="E247" s="383">
        <f t="shared" si="6"/>
        <v>121830.0972</v>
      </c>
      <c r="F247" s="383">
        <f t="shared" si="6"/>
        <v>203050.162</v>
      </c>
      <c r="G247" s="383">
        <f t="shared" si="6"/>
        <v>284270.2268</v>
      </c>
      <c r="H247" s="383">
        <f t="shared" si="6"/>
        <v>365490.2917</v>
      </c>
      <c r="I247" s="383">
        <f t="shared" si="6"/>
        <v>0</v>
      </c>
      <c r="J247" s="383">
        <f t="shared" si="6"/>
        <v>0</v>
      </c>
      <c r="K247" s="383">
        <f t="shared" si="6"/>
        <v>0</v>
      </c>
      <c r="L247" s="383">
        <f t="shared" si="6"/>
        <v>0</v>
      </c>
      <c r="M247" s="383">
        <f t="shared" si="6"/>
        <v>0</v>
      </c>
      <c r="N247" s="383">
        <f t="shared" si="6"/>
        <v>0</v>
      </c>
      <c r="O247" s="383">
        <f t="shared" si="6"/>
        <v>0</v>
      </c>
      <c r="P247" s="383">
        <f t="shared" si="6"/>
        <v>0</v>
      </c>
      <c r="Q247" s="383">
        <f t="shared" si="6"/>
        <v>0</v>
      </c>
      <c r="R247" s="383">
        <f t="shared" si="6"/>
        <v>0</v>
      </c>
      <c r="S247" s="383">
        <f t="shared" si="6"/>
        <v>0</v>
      </c>
      <c r="T247" s="383">
        <f t="shared" si="6"/>
        <v>0</v>
      </c>
      <c r="U247" s="383">
        <f t="shared" si="6"/>
        <v>0</v>
      </c>
      <c r="V247" s="383">
        <f t="shared" si="6"/>
        <v>0</v>
      </c>
      <c r="W247" s="383">
        <f t="shared" si="6"/>
        <v>0</v>
      </c>
      <c r="X247" s="383">
        <f t="shared" si="6"/>
        <v>0</v>
      </c>
      <c r="Y247" s="383">
        <f t="shared" si="6"/>
        <v>0</v>
      </c>
      <c r="Z247" s="383">
        <f t="shared" si="6"/>
        <v>0</v>
      </c>
      <c r="AA247" s="383">
        <f t="shared" si="6"/>
        <v>0</v>
      </c>
      <c r="AB247" s="383">
        <f t="shared" si="6"/>
        <v>0</v>
      </c>
      <c r="AC247" s="383">
        <f t="shared" si="6"/>
        <v>0</v>
      </c>
      <c r="AD247" s="383">
        <f t="shared" si="6"/>
        <v>0</v>
      </c>
      <c r="AE247" s="383">
        <f t="shared" si="6"/>
        <v>0</v>
      </c>
      <c r="AF247" s="383">
        <f t="shared" si="6"/>
        <v>0</v>
      </c>
      <c r="AG247" s="383"/>
      <c r="AH247" s="383"/>
      <c r="AI247" s="383"/>
      <c r="AJ247" s="383"/>
      <c r="AK247" s="383"/>
      <c r="AL247" s="383"/>
      <c r="AM247" s="383"/>
      <c r="AN247" s="383"/>
      <c r="AO247" s="383"/>
      <c r="AP247" s="383"/>
      <c r="AQ247" s="383"/>
      <c r="AR247" s="383"/>
    </row>
    <row r="248">
      <c r="A248" s="362" t="s">
        <v>363</v>
      </c>
      <c r="B248" s="383">
        <v>0.0</v>
      </c>
      <c r="C248" s="383">
        <f t="shared" ref="C248:D248" si="7">IF(C$241&gt;=$B$182,IF(C$241&lt;=$B$183,$B$185,0),0)</f>
        <v>0</v>
      </c>
      <c r="D248" s="383">
        <f t="shared" si="7"/>
        <v>0</v>
      </c>
      <c r="E248" s="383">
        <f t="shared" ref="E248:AF248" si="8">IF(E$241&gt;=$B$182,IF(E$241&lt;=$B$156,$B$185,0),0)</f>
        <v>0</v>
      </c>
      <c r="F248" s="384">
        <f t="shared" si="8"/>
        <v>0</v>
      </c>
      <c r="G248" s="384">
        <f t="shared" si="8"/>
        <v>0</v>
      </c>
      <c r="H248" s="384">
        <f t="shared" si="8"/>
        <v>0</v>
      </c>
      <c r="I248" s="384">
        <f t="shared" si="8"/>
        <v>0</v>
      </c>
      <c r="J248" s="383">
        <f t="shared" si="8"/>
        <v>0</v>
      </c>
      <c r="K248" s="383">
        <f t="shared" si="8"/>
        <v>0</v>
      </c>
      <c r="L248" s="383">
        <f t="shared" si="8"/>
        <v>0</v>
      </c>
      <c r="M248" s="383">
        <f t="shared" si="8"/>
        <v>0</v>
      </c>
      <c r="N248" s="383">
        <f t="shared" si="8"/>
        <v>0</v>
      </c>
      <c r="O248" s="383">
        <f t="shared" si="8"/>
        <v>0</v>
      </c>
      <c r="P248" s="383">
        <f t="shared" si="8"/>
        <v>0</v>
      </c>
      <c r="Q248" s="383">
        <f t="shared" si="8"/>
        <v>0</v>
      </c>
      <c r="R248" s="383">
        <f t="shared" si="8"/>
        <v>0</v>
      </c>
      <c r="S248" s="383">
        <f t="shared" si="8"/>
        <v>0</v>
      </c>
      <c r="T248" s="383">
        <f t="shared" si="8"/>
        <v>0</v>
      </c>
      <c r="U248" s="383">
        <f t="shared" si="8"/>
        <v>0</v>
      </c>
      <c r="V248" s="383">
        <f t="shared" si="8"/>
        <v>0</v>
      </c>
      <c r="W248" s="383">
        <f t="shared" si="8"/>
        <v>0</v>
      </c>
      <c r="X248" s="383">
        <f t="shared" si="8"/>
        <v>0</v>
      </c>
      <c r="Y248" s="383">
        <f t="shared" si="8"/>
        <v>0</v>
      </c>
      <c r="Z248" s="383">
        <f t="shared" si="8"/>
        <v>0</v>
      </c>
      <c r="AA248" s="383">
        <f t="shared" si="8"/>
        <v>0</v>
      </c>
      <c r="AB248" s="383">
        <f t="shared" si="8"/>
        <v>0</v>
      </c>
      <c r="AC248" s="383">
        <f t="shared" si="8"/>
        <v>0</v>
      </c>
      <c r="AD248" s="383">
        <f t="shared" si="8"/>
        <v>0</v>
      </c>
      <c r="AE248" s="383">
        <f t="shared" si="8"/>
        <v>0</v>
      </c>
      <c r="AF248" s="383">
        <f t="shared" si="8"/>
        <v>0</v>
      </c>
      <c r="AG248" s="383"/>
      <c r="AH248" s="383"/>
      <c r="AI248" s="383"/>
      <c r="AJ248" s="383"/>
      <c r="AK248" s="383"/>
      <c r="AL248" s="383"/>
      <c r="AM248" s="383"/>
      <c r="AN248" s="383"/>
      <c r="AO248" s="383"/>
      <c r="AP248" s="383"/>
      <c r="AQ248" s="383"/>
      <c r="AR248" s="383"/>
    </row>
    <row r="249">
      <c r="A249" s="137" t="s">
        <v>364</v>
      </c>
      <c r="B249" s="385">
        <f t="shared" ref="B249:AF249" si="9">SUM(B247:B248)</f>
        <v>0</v>
      </c>
      <c r="C249" s="385">
        <f t="shared" si="9"/>
        <v>0</v>
      </c>
      <c r="D249" s="385">
        <f t="shared" si="9"/>
        <v>0</v>
      </c>
      <c r="E249" s="385">
        <f t="shared" si="9"/>
        <v>121830.0972</v>
      </c>
      <c r="F249" s="386">
        <f t="shared" si="9"/>
        <v>203050.162</v>
      </c>
      <c r="G249" s="385">
        <f t="shared" si="9"/>
        <v>284270.2268</v>
      </c>
      <c r="H249" s="385">
        <f t="shared" si="9"/>
        <v>365490.2917</v>
      </c>
      <c r="I249" s="385">
        <f t="shared" si="9"/>
        <v>0</v>
      </c>
      <c r="J249" s="385">
        <f t="shared" si="9"/>
        <v>0</v>
      </c>
      <c r="K249" s="385">
        <f t="shared" si="9"/>
        <v>0</v>
      </c>
      <c r="L249" s="385">
        <f t="shared" si="9"/>
        <v>0</v>
      </c>
      <c r="M249" s="385">
        <f t="shared" si="9"/>
        <v>0</v>
      </c>
      <c r="N249" s="385">
        <f t="shared" si="9"/>
        <v>0</v>
      </c>
      <c r="O249" s="385">
        <f t="shared" si="9"/>
        <v>0</v>
      </c>
      <c r="P249" s="385">
        <f t="shared" si="9"/>
        <v>0</v>
      </c>
      <c r="Q249" s="385">
        <f t="shared" si="9"/>
        <v>0</v>
      </c>
      <c r="R249" s="385">
        <f t="shared" si="9"/>
        <v>0</v>
      </c>
      <c r="S249" s="385">
        <f t="shared" si="9"/>
        <v>0</v>
      </c>
      <c r="T249" s="385">
        <f t="shared" si="9"/>
        <v>0</v>
      </c>
      <c r="U249" s="385">
        <f t="shared" si="9"/>
        <v>0</v>
      </c>
      <c r="V249" s="385">
        <f t="shared" si="9"/>
        <v>0</v>
      </c>
      <c r="W249" s="385">
        <f t="shared" si="9"/>
        <v>0</v>
      </c>
      <c r="X249" s="385">
        <f t="shared" si="9"/>
        <v>0</v>
      </c>
      <c r="Y249" s="385">
        <f t="shared" si="9"/>
        <v>0</v>
      </c>
      <c r="Z249" s="385">
        <f t="shared" si="9"/>
        <v>0</v>
      </c>
      <c r="AA249" s="385">
        <f t="shared" si="9"/>
        <v>0</v>
      </c>
      <c r="AB249" s="385">
        <f t="shared" si="9"/>
        <v>0</v>
      </c>
      <c r="AC249" s="385">
        <f t="shared" si="9"/>
        <v>0</v>
      </c>
      <c r="AD249" s="385">
        <f t="shared" si="9"/>
        <v>0</v>
      </c>
      <c r="AE249" s="385">
        <f t="shared" si="9"/>
        <v>0</v>
      </c>
      <c r="AF249" s="385">
        <f t="shared" si="9"/>
        <v>0</v>
      </c>
      <c r="AG249" s="385"/>
      <c r="AH249" s="385"/>
      <c r="AI249" s="385"/>
      <c r="AJ249" s="385"/>
      <c r="AK249" s="385"/>
      <c r="AL249" s="385"/>
      <c r="AM249" s="385"/>
      <c r="AN249" s="385"/>
      <c r="AO249" s="385"/>
      <c r="AP249" s="385"/>
      <c r="AQ249" s="385"/>
      <c r="AR249" s="385"/>
    </row>
    <row r="250">
      <c r="A250" s="137" t="s">
        <v>365</v>
      </c>
      <c r="B250" s="385">
        <f t="shared" ref="B250:AF250" si="10">B246+B249</f>
        <v>0</v>
      </c>
      <c r="C250" s="385">
        <f t="shared" si="10"/>
        <v>130000</v>
      </c>
      <c r="D250" s="385">
        <f t="shared" si="10"/>
        <v>205000</v>
      </c>
      <c r="E250" s="385">
        <f t="shared" si="10"/>
        <v>401830.0972</v>
      </c>
      <c r="F250" s="386">
        <f t="shared" si="10"/>
        <v>483050.162</v>
      </c>
      <c r="G250" s="385">
        <f t="shared" si="10"/>
        <v>564270.2268</v>
      </c>
      <c r="H250" s="385">
        <f t="shared" si="10"/>
        <v>645490.2917</v>
      </c>
      <c r="I250" s="385">
        <f t="shared" si="10"/>
        <v>0</v>
      </c>
      <c r="J250" s="385">
        <f t="shared" si="10"/>
        <v>0</v>
      </c>
      <c r="K250" s="385">
        <f t="shared" si="10"/>
        <v>0</v>
      </c>
      <c r="L250" s="385">
        <f t="shared" si="10"/>
        <v>0</v>
      </c>
      <c r="M250" s="385">
        <f t="shared" si="10"/>
        <v>0</v>
      </c>
      <c r="N250" s="385">
        <f t="shared" si="10"/>
        <v>0</v>
      </c>
      <c r="O250" s="385">
        <f t="shared" si="10"/>
        <v>0</v>
      </c>
      <c r="P250" s="385">
        <f t="shared" si="10"/>
        <v>0</v>
      </c>
      <c r="Q250" s="385">
        <f t="shared" si="10"/>
        <v>0</v>
      </c>
      <c r="R250" s="385">
        <f t="shared" si="10"/>
        <v>0</v>
      </c>
      <c r="S250" s="385">
        <f t="shared" si="10"/>
        <v>0</v>
      </c>
      <c r="T250" s="385">
        <f t="shared" si="10"/>
        <v>0</v>
      </c>
      <c r="U250" s="385">
        <f t="shared" si="10"/>
        <v>0</v>
      </c>
      <c r="V250" s="385">
        <f t="shared" si="10"/>
        <v>0</v>
      </c>
      <c r="W250" s="385">
        <f t="shared" si="10"/>
        <v>0</v>
      </c>
      <c r="X250" s="385">
        <f t="shared" si="10"/>
        <v>0</v>
      </c>
      <c r="Y250" s="385">
        <f t="shared" si="10"/>
        <v>0</v>
      </c>
      <c r="Z250" s="385">
        <f t="shared" si="10"/>
        <v>0</v>
      </c>
      <c r="AA250" s="385">
        <f t="shared" si="10"/>
        <v>0</v>
      </c>
      <c r="AB250" s="385">
        <f t="shared" si="10"/>
        <v>0</v>
      </c>
      <c r="AC250" s="385">
        <f t="shared" si="10"/>
        <v>0</v>
      </c>
      <c r="AD250" s="385">
        <f t="shared" si="10"/>
        <v>0</v>
      </c>
      <c r="AE250" s="385">
        <f t="shared" si="10"/>
        <v>0</v>
      </c>
      <c r="AF250" s="385">
        <f t="shared" si="10"/>
        <v>0</v>
      </c>
      <c r="AG250" s="385"/>
      <c r="AH250" s="385"/>
      <c r="AI250" s="385"/>
      <c r="AJ250" s="385"/>
      <c r="AK250" s="385"/>
      <c r="AL250" s="385"/>
      <c r="AM250" s="385"/>
      <c r="AN250" s="385"/>
      <c r="AO250" s="385"/>
      <c r="AP250" s="385"/>
      <c r="AQ250" s="385"/>
      <c r="AR250" s="385"/>
    </row>
    <row r="251">
      <c r="A251" s="362" t="s">
        <v>366</v>
      </c>
      <c r="B251" s="383">
        <f>B246 + B249</f>
        <v>0</v>
      </c>
      <c r="C251" s="383">
        <f t="shared" ref="C251:AF251" si="11">C246*(1-$B$135)^(C$241-1) + C249*(1-$B$164)^(C$241-1)</f>
        <v>130000</v>
      </c>
      <c r="D251" s="383">
        <f t="shared" si="11"/>
        <v>196800</v>
      </c>
      <c r="E251" s="383">
        <f t="shared" si="11"/>
        <v>370326.6176</v>
      </c>
      <c r="F251" s="384">
        <f t="shared" si="11"/>
        <v>427371.8682</v>
      </c>
      <c r="G251" s="383">
        <f t="shared" si="11"/>
        <v>479260.9761</v>
      </c>
      <c r="H251" s="383">
        <f t="shared" si="11"/>
        <v>526315.1604</v>
      </c>
      <c r="I251" s="383">
        <f t="shared" si="11"/>
        <v>0</v>
      </c>
      <c r="J251" s="383">
        <f t="shared" si="11"/>
        <v>0</v>
      </c>
      <c r="K251" s="383">
        <f t="shared" si="11"/>
        <v>0</v>
      </c>
      <c r="L251" s="383">
        <f t="shared" si="11"/>
        <v>0</v>
      </c>
      <c r="M251" s="383">
        <f t="shared" si="11"/>
        <v>0</v>
      </c>
      <c r="N251" s="383">
        <f t="shared" si="11"/>
        <v>0</v>
      </c>
      <c r="O251" s="383">
        <f t="shared" si="11"/>
        <v>0</v>
      </c>
      <c r="P251" s="383">
        <f t="shared" si="11"/>
        <v>0</v>
      </c>
      <c r="Q251" s="383">
        <f t="shared" si="11"/>
        <v>0</v>
      </c>
      <c r="R251" s="383">
        <f t="shared" si="11"/>
        <v>0</v>
      </c>
      <c r="S251" s="383">
        <f t="shared" si="11"/>
        <v>0</v>
      </c>
      <c r="T251" s="383">
        <f t="shared" si="11"/>
        <v>0</v>
      </c>
      <c r="U251" s="383">
        <f t="shared" si="11"/>
        <v>0</v>
      </c>
      <c r="V251" s="383">
        <f t="shared" si="11"/>
        <v>0</v>
      </c>
      <c r="W251" s="383">
        <f t="shared" si="11"/>
        <v>0</v>
      </c>
      <c r="X251" s="383">
        <f t="shared" si="11"/>
        <v>0</v>
      </c>
      <c r="Y251" s="383">
        <f t="shared" si="11"/>
        <v>0</v>
      </c>
      <c r="Z251" s="383">
        <f t="shared" si="11"/>
        <v>0</v>
      </c>
      <c r="AA251" s="383">
        <f t="shared" si="11"/>
        <v>0</v>
      </c>
      <c r="AB251" s="383">
        <f t="shared" si="11"/>
        <v>0</v>
      </c>
      <c r="AC251" s="383">
        <f t="shared" si="11"/>
        <v>0</v>
      </c>
      <c r="AD251" s="383">
        <f t="shared" si="11"/>
        <v>0</v>
      </c>
      <c r="AE251" s="383">
        <f t="shared" si="11"/>
        <v>0</v>
      </c>
      <c r="AF251" s="383">
        <f t="shared" si="11"/>
        <v>0</v>
      </c>
      <c r="AG251" s="383"/>
      <c r="AH251" s="383"/>
      <c r="AI251" s="383"/>
      <c r="AJ251" s="383"/>
      <c r="AK251" s="383"/>
      <c r="AL251" s="383"/>
      <c r="AM251" s="383"/>
      <c r="AN251" s="383"/>
      <c r="AO251" s="383"/>
      <c r="AP251" s="383"/>
      <c r="AQ251" s="383"/>
      <c r="AR251" s="383"/>
    </row>
    <row r="252">
      <c r="A252" s="81" t="s">
        <v>321</v>
      </c>
      <c r="B252" s="276">
        <f>SUM(B251:AC251)</f>
        <v>2130074.622</v>
      </c>
      <c r="C252" s="139" t="str">
        <f>IF(ROUND(B252,0)=ROUND(B195,0),"$","ERROR please check formulas are corect")</f>
        <v>$</v>
      </c>
      <c r="D252" s="385"/>
      <c r="E252" s="387"/>
      <c r="F252" s="386"/>
      <c r="G252" s="385"/>
      <c r="H252" s="385"/>
      <c r="I252" s="385"/>
      <c r="J252" s="385"/>
      <c r="K252" s="385"/>
      <c r="L252" s="385"/>
      <c r="M252" s="385"/>
      <c r="N252" s="385"/>
      <c r="O252" s="385"/>
      <c r="P252" s="385"/>
      <c r="Q252" s="385"/>
      <c r="R252" s="385"/>
      <c r="S252" s="385"/>
      <c r="T252" s="385"/>
      <c r="U252" s="385"/>
      <c r="V252" s="385"/>
      <c r="W252" s="385"/>
      <c r="X252" s="385"/>
      <c r="Y252" s="385"/>
      <c r="Z252" s="385"/>
      <c r="AA252" s="385"/>
      <c r="AB252" s="385"/>
      <c r="AC252" s="385"/>
      <c r="AD252" s="385"/>
      <c r="AE252" s="385"/>
      <c r="AF252" s="385"/>
      <c r="AG252" s="385"/>
      <c r="AH252" s="385"/>
      <c r="AI252" s="385"/>
      <c r="AJ252" s="385"/>
      <c r="AK252" s="385"/>
      <c r="AL252" s="385"/>
      <c r="AM252" s="385"/>
      <c r="AN252" s="385"/>
      <c r="AO252" s="385"/>
      <c r="AP252" s="385"/>
      <c r="AQ252" s="385"/>
      <c r="AR252" s="385"/>
    </row>
    <row r="253">
      <c r="A253" s="81"/>
      <c r="B253" s="81"/>
      <c r="C253" s="249"/>
      <c r="D253" s="385"/>
      <c r="E253" s="385"/>
      <c r="F253" s="386"/>
      <c r="G253" s="385"/>
      <c r="H253" s="385"/>
      <c r="I253" s="385"/>
      <c r="J253" s="385"/>
      <c r="K253" s="385"/>
      <c r="L253" s="385"/>
      <c r="M253" s="385"/>
      <c r="N253" s="385"/>
      <c r="O253" s="385"/>
      <c r="P253" s="385"/>
      <c r="Q253" s="385"/>
      <c r="R253" s="385"/>
      <c r="S253" s="385"/>
      <c r="T253" s="385"/>
      <c r="U253" s="385"/>
      <c r="V253" s="385"/>
      <c r="W253" s="385"/>
      <c r="X253" s="385"/>
      <c r="Y253" s="385"/>
      <c r="Z253" s="385"/>
      <c r="AA253" s="385"/>
      <c r="AB253" s="385"/>
      <c r="AC253" s="385"/>
      <c r="AD253" s="385"/>
      <c r="AE253" s="385"/>
      <c r="AF253" s="385"/>
      <c r="AG253" s="385"/>
      <c r="AH253" s="385"/>
      <c r="AI253" s="385"/>
      <c r="AJ253" s="385"/>
      <c r="AK253" s="385"/>
      <c r="AL253" s="385"/>
      <c r="AM253" s="385"/>
      <c r="AN253" s="385"/>
      <c r="AO253" s="385"/>
      <c r="AP253" s="385"/>
      <c r="AQ253" s="385"/>
      <c r="AR253" s="385"/>
    </row>
    <row r="254">
      <c r="A254" s="362" t="s">
        <v>367</v>
      </c>
      <c r="B254" s="383">
        <f t="shared" ref="B254:AF254" si="12">IF(B241&gt;$B$117,0,B246)</f>
        <v>0</v>
      </c>
      <c r="C254" s="383">
        <f t="shared" si="12"/>
        <v>130000</v>
      </c>
      <c r="D254" s="383">
        <f t="shared" si="12"/>
        <v>205000</v>
      </c>
      <c r="E254" s="383">
        <f t="shared" si="12"/>
        <v>280000</v>
      </c>
      <c r="F254" s="384">
        <f t="shared" si="12"/>
        <v>280000</v>
      </c>
      <c r="G254" s="383">
        <f t="shared" si="12"/>
        <v>0</v>
      </c>
      <c r="H254" s="383">
        <f t="shared" si="12"/>
        <v>0</v>
      </c>
      <c r="I254" s="383">
        <f t="shared" si="12"/>
        <v>0</v>
      </c>
      <c r="J254" s="383">
        <f t="shared" si="12"/>
        <v>0</v>
      </c>
      <c r="K254" s="383">
        <f t="shared" si="12"/>
        <v>0</v>
      </c>
      <c r="L254" s="383">
        <f t="shared" si="12"/>
        <v>0</v>
      </c>
      <c r="M254" s="383">
        <f t="shared" si="12"/>
        <v>0</v>
      </c>
      <c r="N254" s="383">
        <f t="shared" si="12"/>
        <v>0</v>
      </c>
      <c r="O254" s="383">
        <f t="shared" si="12"/>
        <v>0</v>
      </c>
      <c r="P254" s="383">
        <f t="shared" si="12"/>
        <v>0</v>
      </c>
      <c r="Q254" s="383">
        <f t="shared" si="12"/>
        <v>0</v>
      </c>
      <c r="R254" s="383">
        <f t="shared" si="12"/>
        <v>0</v>
      </c>
      <c r="S254" s="383">
        <f t="shared" si="12"/>
        <v>0</v>
      </c>
      <c r="T254" s="383">
        <f t="shared" si="12"/>
        <v>0</v>
      </c>
      <c r="U254" s="383">
        <f t="shared" si="12"/>
        <v>0</v>
      </c>
      <c r="V254" s="383">
        <f t="shared" si="12"/>
        <v>0</v>
      </c>
      <c r="W254" s="383">
        <f t="shared" si="12"/>
        <v>0</v>
      </c>
      <c r="X254" s="383">
        <f t="shared" si="12"/>
        <v>0</v>
      </c>
      <c r="Y254" s="383">
        <f t="shared" si="12"/>
        <v>0</v>
      </c>
      <c r="Z254" s="383">
        <f t="shared" si="12"/>
        <v>0</v>
      </c>
      <c r="AA254" s="383">
        <f t="shared" si="12"/>
        <v>0</v>
      </c>
      <c r="AB254" s="383">
        <f t="shared" si="12"/>
        <v>0</v>
      </c>
      <c r="AC254" s="383">
        <f t="shared" si="12"/>
        <v>0</v>
      </c>
      <c r="AD254" s="383">
        <f t="shared" si="12"/>
        <v>0</v>
      </c>
      <c r="AE254" s="383">
        <f t="shared" si="12"/>
        <v>0</v>
      </c>
      <c r="AF254" s="383">
        <f t="shared" si="12"/>
        <v>0</v>
      </c>
      <c r="AG254" s="383"/>
      <c r="AH254" s="383"/>
      <c r="AI254" s="383"/>
      <c r="AJ254" s="383"/>
      <c r="AK254" s="383"/>
      <c r="AL254" s="383"/>
      <c r="AM254" s="383"/>
      <c r="AN254" s="383"/>
      <c r="AO254" s="383"/>
      <c r="AP254" s="383"/>
      <c r="AQ254" s="383"/>
      <c r="AR254" s="383"/>
    </row>
    <row r="255">
      <c r="A255" s="362" t="s">
        <v>368</v>
      </c>
      <c r="B255" s="383">
        <f t="shared" ref="B255:AF255" si="13">IF(B$241&gt;$B$117,0,$B$118*B249)</f>
        <v>0</v>
      </c>
      <c r="C255" s="383">
        <f t="shared" si="13"/>
        <v>0</v>
      </c>
      <c r="D255" s="383">
        <f t="shared" si="13"/>
        <v>0</v>
      </c>
      <c r="E255" s="383">
        <f t="shared" si="13"/>
        <v>48732.03889</v>
      </c>
      <c r="F255" s="384">
        <f t="shared" si="13"/>
        <v>81220.06481</v>
      </c>
      <c r="G255" s="383">
        <f t="shared" si="13"/>
        <v>0</v>
      </c>
      <c r="H255" s="383">
        <f t="shared" si="13"/>
        <v>0</v>
      </c>
      <c r="I255" s="383">
        <f t="shared" si="13"/>
        <v>0</v>
      </c>
      <c r="J255" s="383">
        <f t="shared" si="13"/>
        <v>0</v>
      </c>
      <c r="K255" s="383">
        <f t="shared" si="13"/>
        <v>0</v>
      </c>
      <c r="L255" s="383">
        <f t="shared" si="13"/>
        <v>0</v>
      </c>
      <c r="M255" s="383">
        <f t="shared" si="13"/>
        <v>0</v>
      </c>
      <c r="N255" s="383">
        <f t="shared" si="13"/>
        <v>0</v>
      </c>
      <c r="O255" s="383">
        <f t="shared" si="13"/>
        <v>0</v>
      </c>
      <c r="P255" s="383">
        <f t="shared" si="13"/>
        <v>0</v>
      </c>
      <c r="Q255" s="383">
        <f t="shared" si="13"/>
        <v>0</v>
      </c>
      <c r="R255" s="383">
        <f t="shared" si="13"/>
        <v>0</v>
      </c>
      <c r="S255" s="383">
        <f t="shared" si="13"/>
        <v>0</v>
      </c>
      <c r="T255" s="383">
        <f t="shared" si="13"/>
        <v>0</v>
      </c>
      <c r="U255" s="383">
        <f t="shared" si="13"/>
        <v>0</v>
      </c>
      <c r="V255" s="383">
        <f t="shared" si="13"/>
        <v>0</v>
      </c>
      <c r="W255" s="383">
        <f t="shared" si="13"/>
        <v>0</v>
      </c>
      <c r="X255" s="383">
        <f t="shared" si="13"/>
        <v>0</v>
      </c>
      <c r="Y255" s="383">
        <f t="shared" si="13"/>
        <v>0</v>
      </c>
      <c r="Z255" s="383">
        <f t="shared" si="13"/>
        <v>0</v>
      </c>
      <c r="AA255" s="383">
        <f t="shared" si="13"/>
        <v>0</v>
      </c>
      <c r="AB255" s="383">
        <f t="shared" si="13"/>
        <v>0</v>
      </c>
      <c r="AC255" s="383">
        <f t="shared" si="13"/>
        <v>0</v>
      </c>
      <c r="AD255" s="383">
        <f t="shared" si="13"/>
        <v>0</v>
      </c>
      <c r="AE255" s="383">
        <f t="shared" si="13"/>
        <v>0</v>
      </c>
      <c r="AF255" s="383">
        <f t="shared" si="13"/>
        <v>0</v>
      </c>
      <c r="AG255" s="383"/>
      <c r="AH255" s="383"/>
      <c r="AI255" s="383"/>
      <c r="AJ255" s="383"/>
      <c r="AK255" s="383"/>
      <c r="AL255" s="383"/>
      <c r="AM255" s="383"/>
      <c r="AN255" s="383"/>
      <c r="AO255" s="383"/>
      <c r="AP255" s="383"/>
      <c r="AQ255" s="383"/>
      <c r="AR255" s="383"/>
    </row>
    <row r="256">
      <c r="A256" s="137" t="s">
        <v>369</v>
      </c>
      <c r="B256" s="388">
        <f t="shared" ref="B256:AF256" si="14">SUM(B254:B255)</f>
        <v>0</v>
      </c>
      <c r="C256" s="388">
        <f t="shared" si="14"/>
        <v>130000</v>
      </c>
      <c r="D256" s="388">
        <f t="shared" si="14"/>
        <v>205000</v>
      </c>
      <c r="E256" s="388">
        <f t="shared" si="14"/>
        <v>328732.0389</v>
      </c>
      <c r="F256" s="389">
        <f t="shared" si="14"/>
        <v>361220.0648</v>
      </c>
      <c r="G256" s="388">
        <f t="shared" si="14"/>
        <v>0</v>
      </c>
      <c r="H256" s="388">
        <f t="shared" si="14"/>
        <v>0</v>
      </c>
      <c r="I256" s="388">
        <f t="shared" si="14"/>
        <v>0</v>
      </c>
      <c r="J256" s="388">
        <f t="shared" si="14"/>
        <v>0</v>
      </c>
      <c r="K256" s="388">
        <f t="shared" si="14"/>
        <v>0</v>
      </c>
      <c r="L256" s="388">
        <f t="shared" si="14"/>
        <v>0</v>
      </c>
      <c r="M256" s="388">
        <f t="shared" si="14"/>
        <v>0</v>
      </c>
      <c r="N256" s="388">
        <f t="shared" si="14"/>
        <v>0</v>
      </c>
      <c r="O256" s="388">
        <f t="shared" si="14"/>
        <v>0</v>
      </c>
      <c r="P256" s="388">
        <f t="shared" si="14"/>
        <v>0</v>
      </c>
      <c r="Q256" s="388">
        <f t="shared" si="14"/>
        <v>0</v>
      </c>
      <c r="R256" s="388">
        <f t="shared" si="14"/>
        <v>0</v>
      </c>
      <c r="S256" s="388">
        <f t="shared" si="14"/>
        <v>0</v>
      </c>
      <c r="T256" s="388">
        <f t="shared" si="14"/>
        <v>0</v>
      </c>
      <c r="U256" s="388">
        <f t="shared" si="14"/>
        <v>0</v>
      </c>
      <c r="V256" s="388">
        <f t="shared" si="14"/>
        <v>0</v>
      </c>
      <c r="W256" s="388">
        <f t="shared" si="14"/>
        <v>0</v>
      </c>
      <c r="X256" s="388">
        <f t="shared" si="14"/>
        <v>0</v>
      </c>
      <c r="Y256" s="388">
        <f t="shared" si="14"/>
        <v>0</v>
      </c>
      <c r="Z256" s="388">
        <f t="shared" si="14"/>
        <v>0</v>
      </c>
      <c r="AA256" s="388">
        <f t="shared" si="14"/>
        <v>0</v>
      </c>
      <c r="AB256" s="388">
        <f t="shared" si="14"/>
        <v>0</v>
      </c>
      <c r="AC256" s="388">
        <f t="shared" si="14"/>
        <v>0</v>
      </c>
      <c r="AD256" s="388">
        <f t="shared" si="14"/>
        <v>0</v>
      </c>
      <c r="AE256" s="388">
        <f t="shared" si="14"/>
        <v>0</v>
      </c>
      <c r="AF256" s="388">
        <f t="shared" si="14"/>
        <v>0</v>
      </c>
      <c r="AG256" s="388"/>
      <c r="AH256" s="388"/>
      <c r="AI256" s="388"/>
      <c r="AJ256" s="388"/>
      <c r="AK256" s="388"/>
      <c r="AL256" s="388"/>
      <c r="AM256" s="388"/>
      <c r="AN256" s="388"/>
      <c r="AO256" s="388"/>
      <c r="AP256" s="388"/>
      <c r="AQ256" s="388"/>
      <c r="AR256" s="388"/>
    </row>
    <row r="257">
      <c r="A257" s="362" t="s">
        <v>370</v>
      </c>
      <c r="B257" s="383">
        <f t="shared" ref="B257:AF257" si="15">B254*(1-$B$135)^(B$241-1) + B255*(1-$B$164)^(B$241-1)</f>
        <v>0</v>
      </c>
      <c r="C257" s="383">
        <f t="shared" si="15"/>
        <v>130000</v>
      </c>
      <c r="D257" s="383">
        <f t="shared" si="15"/>
        <v>196800</v>
      </c>
      <c r="E257" s="383">
        <f t="shared" si="15"/>
        <v>302959.447</v>
      </c>
      <c r="F257" s="384">
        <f t="shared" si="15"/>
        <v>319584.3953</v>
      </c>
      <c r="G257" s="383">
        <f t="shared" si="15"/>
        <v>0</v>
      </c>
      <c r="H257" s="383">
        <f t="shared" si="15"/>
        <v>0</v>
      </c>
      <c r="I257" s="383">
        <f t="shared" si="15"/>
        <v>0</v>
      </c>
      <c r="J257" s="383">
        <f t="shared" si="15"/>
        <v>0</v>
      </c>
      <c r="K257" s="383">
        <f t="shared" si="15"/>
        <v>0</v>
      </c>
      <c r="L257" s="383">
        <f t="shared" si="15"/>
        <v>0</v>
      </c>
      <c r="M257" s="383">
        <f t="shared" si="15"/>
        <v>0</v>
      </c>
      <c r="N257" s="383">
        <f t="shared" si="15"/>
        <v>0</v>
      </c>
      <c r="O257" s="383">
        <f t="shared" si="15"/>
        <v>0</v>
      </c>
      <c r="P257" s="383">
        <f t="shared" si="15"/>
        <v>0</v>
      </c>
      <c r="Q257" s="383">
        <f t="shared" si="15"/>
        <v>0</v>
      </c>
      <c r="R257" s="383">
        <f t="shared" si="15"/>
        <v>0</v>
      </c>
      <c r="S257" s="383">
        <f t="shared" si="15"/>
        <v>0</v>
      </c>
      <c r="T257" s="383">
        <f t="shared" si="15"/>
        <v>0</v>
      </c>
      <c r="U257" s="383">
        <f t="shared" si="15"/>
        <v>0</v>
      </c>
      <c r="V257" s="383">
        <f t="shared" si="15"/>
        <v>0</v>
      </c>
      <c r="W257" s="383">
        <f t="shared" si="15"/>
        <v>0</v>
      </c>
      <c r="X257" s="383">
        <f t="shared" si="15"/>
        <v>0</v>
      </c>
      <c r="Y257" s="383">
        <f t="shared" si="15"/>
        <v>0</v>
      </c>
      <c r="Z257" s="383">
        <f t="shared" si="15"/>
        <v>0</v>
      </c>
      <c r="AA257" s="383">
        <f t="shared" si="15"/>
        <v>0</v>
      </c>
      <c r="AB257" s="383">
        <f t="shared" si="15"/>
        <v>0</v>
      </c>
      <c r="AC257" s="383">
        <f t="shared" si="15"/>
        <v>0</v>
      </c>
      <c r="AD257" s="383">
        <f t="shared" si="15"/>
        <v>0</v>
      </c>
      <c r="AE257" s="383">
        <f t="shared" si="15"/>
        <v>0</v>
      </c>
      <c r="AF257" s="383">
        <f t="shared" si="15"/>
        <v>0</v>
      </c>
      <c r="AG257" s="383"/>
      <c r="AH257" s="383"/>
      <c r="AI257" s="383"/>
      <c r="AJ257" s="383"/>
      <c r="AK257" s="383"/>
      <c r="AL257" s="383"/>
      <c r="AM257" s="383"/>
      <c r="AN257" s="383"/>
      <c r="AO257" s="383"/>
      <c r="AP257" s="383"/>
      <c r="AQ257" s="383"/>
      <c r="AR257" s="383"/>
    </row>
    <row r="258">
      <c r="A258" s="81" t="s">
        <v>371</v>
      </c>
      <c r="B258" s="276">
        <f>SUM(B257:AC257)</f>
        <v>949343.8423</v>
      </c>
      <c r="C258" s="139" t="str">
        <f>IF(ROUND(B258,0)=ROUND(B196,0),"$","ERROR please check formulas are corect")</f>
        <v>$</v>
      </c>
      <c r="D258" s="40"/>
      <c r="E258" s="40"/>
      <c r="F258" s="132"/>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row>
    <row r="259">
      <c r="A259" s="81"/>
      <c r="B259" s="81"/>
      <c r="C259" s="81"/>
      <c r="D259" s="40"/>
      <c r="E259" s="40"/>
      <c r="F259" s="132"/>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row>
    <row r="260">
      <c r="A260" s="362" t="s">
        <v>372</v>
      </c>
      <c r="B260" s="206">
        <v>0.0</v>
      </c>
      <c r="C260" s="390">
        <f t="shared" ref="C260:AG260" si="16">IF(C$241=$B$169,$B$170,IF(C$241&gt;$B$169,IF($B$171&gt;=C$241,B260+$B$175,0),0))</f>
        <v>0</v>
      </c>
      <c r="D260" s="391">
        <f t="shared" si="16"/>
        <v>0</v>
      </c>
      <c r="E260" s="391">
        <f t="shared" si="16"/>
        <v>1</v>
      </c>
      <c r="F260" s="392">
        <f t="shared" si="16"/>
        <v>1.666666667</v>
      </c>
      <c r="G260" s="391">
        <f t="shared" si="16"/>
        <v>2.333333333</v>
      </c>
      <c r="H260" s="391">
        <f t="shared" si="16"/>
        <v>3</v>
      </c>
      <c r="I260" s="391">
        <f t="shared" si="16"/>
        <v>0</v>
      </c>
      <c r="J260" s="391">
        <f t="shared" si="16"/>
        <v>0</v>
      </c>
      <c r="K260" s="391">
        <f t="shared" si="16"/>
        <v>0</v>
      </c>
      <c r="L260" s="391">
        <f t="shared" si="16"/>
        <v>0</v>
      </c>
      <c r="M260" s="391">
        <f t="shared" si="16"/>
        <v>0</v>
      </c>
      <c r="N260" s="391">
        <f t="shared" si="16"/>
        <v>0</v>
      </c>
      <c r="O260" s="391">
        <f t="shared" si="16"/>
        <v>0</v>
      </c>
      <c r="P260" s="391">
        <f t="shared" si="16"/>
        <v>0</v>
      </c>
      <c r="Q260" s="391">
        <f t="shared" si="16"/>
        <v>0</v>
      </c>
      <c r="R260" s="391">
        <f t="shared" si="16"/>
        <v>0</v>
      </c>
      <c r="S260" s="391">
        <f t="shared" si="16"/>
        <v>0</v>
      </c>
      <c r="T260" s="391">
        <f t="shared" si="16"/>
        <v>0</v>
      </c>
      <c r="U260" s="391">
        <f t="shared" si="16"/>
        <v>0</v>
      </c>
      <c r="V260" s="391">
        <f t="shared" si="16"/>
        <v>0</v>
      </c>
      <c r="W260" s="391">
        <f t="shared" si="16"/>
        <v>0</v>
      </c>
      <c r="X260" s="391">
        <f t="shared" si="16"/>
        <v>0</v>
      </c>
      <c r="Y260" s="391">
        <f t="shared" si="16"/>
        <v>0</v>
      </c>
      <c r="Z260" s="391">
        <f t="shared" si="16"/>
        <v>0</v>
      </c>
      <c r="AA260" s="391">
        <f t="shared" si="16"/>
        <v>0</v>
      </c>
      <c r="AB260" s="391">
        <f t="shared" si="16"/>
        <v>0</v>
      </c>
      <c r="AC260" s="391">
        <f t="shared" si="16"/>
        <v>0</v>
      </c>
      <c r="AD260" s="391">
        <f t="shared" si="16"/>
        <v>0</v>
      </c>
      <c r="AE260" s="391">
        <f t="shared" si="16"/>
        <v>0</v>
      </c>
      <c r="AF260" s="391">
        <f t="shared" si="16"/>
        <v>0</v>
      </c>
      <c r="AG260" s="391">
        <f t="shared" si="16"/>
        <v>0</v>
      </c>
      <c r="AH260" s="391"/>
      <c r="AI260" s="391"/>
      <c r="AJ260" s="391"/>
      <c r="AK260" s="391"/>
      <c r="AL260" s="391"/>
      <c r="AM260" s="391"/>
      <c r="AN260" s="391"/>
      <c r="AO260" s="391"/>
      <c r="AP260" s="391"/>
      <c r="AQ260" s="391"/>
      <c r="AR260" s="391"/>
    </row>
    <row r="261">
      <c r="A261" s="362" t="s">
        <v>373</v>
      </c>
      <c r="B261" s="206">
        <v>0.0</v>
      </c>
      <c r="C261" s="390">
        <f t="shared" ref="C261:AG261" si="17">IF(C$241&gt;=$B$182,IF(C$241="ongoing",$B$184,IF(C$241&lt;=$B$183,$B$184,0)),0)</f>
        <v>0</v>
      </c>
      <c r="D261" s="206">
        <f t="shared" si="17"/>
        <v>0</v>
      </c>
      <c r="E261" s="206">
        <f t="shared" si="17"/>
        <v>0</v>
      </c>
      <c r="F261" s="206">
        <f t="shared" si="17"/>
        <v>0</v>
      </c>
      <c r="G261" s="206">
        <f t="shared" si="17"/>
        <v>0</v>
      </c>
      <c r="H261" s="206">
        <f t="shared" si="17"/>
        <v>0</v>
      </c>
      <c r="I261" s="390">
        <f t="shared" si="17"/>
        <v>3</v>
      </c>
      <c r="J261" s="390">
        <f t="shared" si="17"/>
        <v>3</v>
      </c>
      <c r="K261" s="390">
        <f t="shared" si="17"/>
        <v>3</v>
      </c>
      <c r="L261" s="390">
        <f t="shared" si="17"/>
        <v>3</v>
      </c>
      <c r="M261" s="390">
        <f t="shared" si="17"/>
        <v>3</v>
      </c>
      <c r="N261" s="390">
        <f t="shared" si="17"/>
        <v>3</v>
      </c>
      <c r="O261" s="390">
        <f t="shared" si="17"/>
        <v>3</v>
      </c>
      <c r="P261" s="390">
        <f t="shared" si="17"/>
        <v>3</v>
      </c>
      <c r="Q261" s="390">
        <f t="shared" si="17"/>
        <v>3</v>
      </c>
      <c r="R261" s="390">
        <f t="shared" si="17"/>
        <v>3</v>
      </c>
      <c r="S261" s="390">
        <f t="shared" si="17"/>
        <v>3</v>
      </c>
      <c r="T261" s="390">
        <f t="shared" si="17"/>
        <v>3</v>
      </c>
      <c r="U261" s="390">
        <f t="shared" si="17"/>
        <v>3</v>
      </c>
      <c r="V261" s="390">
        <f t="shared" si="17"/>
        <v>3</v>
      </c>
      <c r="W261" s="390">
        <f t="shared" si="17"/>
        <v>3</v>
      </c>
      <c r="X261" s="390">
        <f t="shared" si="17"/>
        <v>3</v>
      </c>
      <c r="Y261" s="390">
        <f t="shared" si="17"/>
        <v>3</v>
      </c>
      <c r="Z261" s="390">
        <f t="shared" si="17"/>
        <v>3</v>
      </c>
      <c r="AA261" s="390">
        <f t="shared" si="17"/>
        <v>3</v>
      </c>
      <c r="AB261" s="390">
        <f t="shared" si="17"/>
        <v>3</v>
      </c>
      <c r="AC261" s="390">
        <f t="shared" si="17"/>
        <v>3</v>
      </c>
      <c r="AD261" s="390">
        <f t="shared" si="17"/>
        <v>3</v>
      </c>
      <c r="AE261" s="390">
        <f t="shared" si="17"/>
        <v>3</v>
      </c>
      <c r="AF261" s="390">
        <f t="shared" si="17"/>
        <v>3</v>
      </c>
      <c r="AG261" s="390">
        <f t="shared" si="17"/>
        <v>3</v>
      </c>
      <c r="AH261" s="206"/>
      <c r="AI261" s="206"/>
      <c r="AJ261" s="206"/>
      <c r="AK261" s="206"/>
      <c r="AL261" s="206"/>
      <c r="AM261" s="206"/>
      <c r="AN261" s="206"/>
      <c r="AO261" s="206"/>
      <c r="AP261" s="206"/>
      <c r="AQ261" s="206"/>
      <c r="AR261" s="206"/>
    </row>
    <row r="262">
      <c r="A262" s="362" t="s">
        <v>374</v>
      </c>
      <c r="B262" s="206">
        <f t="shared" ref="B262:AG262" si="18">B260+B261</f>
        <v>0</v>
      </c>
      <c r="C262" s="390">
        <f t="shared" si="18"/>
        <v>0</v>
      </c>
      <c r="D262" s="391">
        <f t="shared" si="18"/>
        <v>0</v>
      </c>
      <c r="E262" s="391">
        <f t="shared" si="18"/>
        <v>1</v>
      </c>
      <c r="F262" s="391">
        <f t="shared" si="18"/>
        <v>1.666666667</v>
      </c>
      <c r="G262" s="391">
        <f t="shared" si="18"/>
        <v>2.333333333</v>
      </c>
      <c r="H262" s="391">
        <f t="shared" si="18"/>
        <v>3</v>
      </c>
      <c r="I262" s="391">
        <f t="shared" si="18"/>
        <v>3</v>
      </c>
      <c r="J262" s="391">
        <f t="shared" si="18"/>
        <v>3</v>
      </c>
      <c r="K262" s="391">
        <f t="shared" si="18"/>
        <v>3</v>
      </c>
      <c r="L262" s="391">
        <f t="shared" si="18"/>
        <v>3</v>
      </c>
      <c r="M262" s="391">
        <f t="shared" si="18"/>
        <v>3</v>
      </c>
      <c r="N262" s="391">
        <f t="shared" si="18"/>
        <v>3</v>
      </c>
      <c r="O262" s="391">
        <f t="shared" si="18"/>
        <v>3</v>
      </c>
      <c r="P262" s="391">
        <f t="shared" si="18"/>
        <v>3</v>
      </c>
      <c r="Q262" s="391">
        <f t="shared" si="18"/>
        <v>3</v>
      </c>
      <c r="R262" s="391">
        <f t="shared" si="18"/>
        <v>3</v>
      </c>
      <c r="S262" s="391">
        <f t="shared" si="18"/>
        <v>3</v>
      </c>
      <c r="T262" s="391">
        <f t="shared" si="18"/>
        <v>3</v>
      </c>
      <c r="U262" s="391">
        <f t="shared" si="18"/>
        <v>3</v>
      </c>
      <c r="V262" s="391">
        <f t="shared" si="18"/>
        <v>3</v>
      </c>
      <c r="W262" s="391">
        <f t="shared" si="18"/>
        <v>3</v>
      </c>
      <c r="X262" s="391">
        <f t="shared" si="18"/>
        <v>3</v>
      </c>
      <c r="Y262" s="391">
        <f t="shared" si="18"/>
        <v>3</v>
      </c>
      <c r="Z262" s="391">
        <f t="shared" si="18"/>
        <v>3</v>
      </c>
      <c r="AA262" s="391">
        <f t="shared" si="18"/>
        <v>3</v>
      </c>
      <c r="AB262" s="391">
        <f t="shared" si="18"/>
        <v>3</v>
      </c>
      <c r="AC262" s="391">
        <f t="shared" si="18"/>
        <v>3</v>
      </c>
      <c r="AD262" s="391">
        <f t="shared" si="18"/>
        <v>3</v>
      </c>
      <c r="AE262" s="391">
        <f t="shared" si="18"/>
        <v>3</v>
      </c>
      <c r="AF262" s="391">
        <f t="shared" si="18"/>
        <v>3</v>
      </c>
      <c r="AG262" s="391">
        <f t="shared" si="18"/>
        <v>3</v>
      </c>
      <c r="AH262" s="206"/>
      <c r="AI262" s="206"/>
      <c r="AJ262" s="206"/>
      <c r="AK262" s="206"/>
      <c r="AL262" s="206"/>
      <c r="AM262" s="206"/>
      <c r="AN262" s="206"/>
      <c r="AO262" s="206"/>
      <c r="AP262" s="206"/>
      <c r="AQ262" s="206"/>
      <c r="AR262" s="206"/>
    </row>
    <row r="263">
      <c r="A263" s="362" t="s">
        <v>375</v>
      </c>
      <c r="B263" s="390">
        <f t="shared" ref="B263:AG263" si="19">IF(B$241=$B$169,$B$170*$B$96,IF(B$241&gt;$B$169,IF($B$171&gt;=B$241,($B$170+(B241-$B$169)*$B$175)*$B$96,0),0))</f>
        <v>0</v>
      </c>
      <c r="C263" s="390">
        <f t="shared" si="19"/>
        <v>0</v>
      </c>
      <c r="D263" s="390">
        <f t="shared" si="19"/>
        <v>0</v>
      </c>
      <c r="E263" s="390">
        <f t="shared" si="19"/>
        <v>5563.177821</v>
      </c>
      <c r="F263" s="390">
        <f t="shared" si="19"/>
        <v>9271.963036</v>
      </c>
      <c r="G263" s="390">
        <f t="shared" si="19"/>
        <v>12980.74825</v>
      </c>
      <c r="H263" s="390">
        <f t="shared" si="19"/>
        <v>16689.53346</v>
      </c>
      <c r="I263" s="390">
        <f t="shared" si="19"/>
        <v>0</v>
      </c>
      <c r="J263" s="390">
        <f t="shared" si="19"/>
        <v>0</v>
      </c>
      <c r="K263" s="390">
        <f t="shared" si="19"/>
        <v>0</v>
      </c>
      <c r="L263" s="390">
        <f t="shared" si="19"/>
        <v>0</v>
      </c>
      <c r="M263" s="390">
        <f t="shared" si="19"/>
        <v>0</v>
      </c>
      <c r="N263" s="390">
        <f t="shared" si="19"/>
        <v>0</v>
      </c>
      <c r="O263" s="390">
        <f t="shared" si="19"/>
        <v>0</v>
      </c>
      <c r="P263" s="390">
        <f t="shared" si="19"/>
        <v>0</v>
      </c>
      <c r="Q263" s="390">
        <f t="shared" si="19"/>
        <v>0</v>
      </c>
      <c r="R263" s="390">
        <f t="shared" si="19"/>
        <v>0</v>
      </c>
      <c r="S263" s="390">
        <f t="shared" si="19"/>
        <v>0</v>
      </c>
      <c r="T263" s="390">
        <f t="shared" si="19"/>
        <v>0</v>
      </c>
      <c r="U263" s="390">
        <f t="shared" si="19"/>
        <v>0</v>
      </c>
      <c r="V263" s="390">
        <f t="shared" si="19"/>
        <v>0</v>
      </c>
      <c r="W263" s="390">
        <f t="shared" si="19"/>
        <v>0</v>
      </c>
      <c r="X263" s="390">
        <f t="shared" si="19"/>
        <v>0</v>
      </c>
      <c r="Y263" s="390">
        <f t="shared" si="19"/>
        <v>0</v>
      </c>
      <c r="Z263" s="390">
        <f t="shared" si="19"/>
        <v>0</v>
      </c>
      <c r="AA263" s="390">
        <f t="shared" si="19"/>
        <v>0</v>
      </c>
      <c r="AB263" s="390">
        <f t="shared" si="19"/>
        <v>0</v>
      </c>
      <c r="AC263" s="390">
        <f t="shared" si="19"/>
        <v>0</v>
      </c>
      <c r="AD263" s="390">
        <f t="shared" si="19"/>
        <v>0</v>
      </c>
      <c r="AE263" s="390">
        <f t="shared" si="19"/>
        <v>0</v>
      </c>
      <c r="AF263" s="390">
        <f t="shared" si="19"/>
        <v>0</v>
      </c>
      <c r="AG263" s="390">
        <f t="shared" si="19"/>
        <v>0</v>
      </c>
      <c r="AH263" s="393"/>
      <c r="AI263" s="393"/>
      <c r="AJ263" s="393"/>
      <c r="AK263" s="393"/>
      <c r="AL263" s="393"/>
      <c r="AM263" s="393"/>
      <c r="AN263" s="393"/>
      <c r="AO263" s="393"/>
      <c r="AP263" s="393"/>
      <c r="AQ263" s="393"/>
      <c r="AR263" s="393"/>
    </row>
    <row r="264">
      <c r="A264" s="362" t="s">
        <v>376</v>
      </c>
      <c r="B264" s="390">
        <v>0.0</v>
      </c>
      <c r="C264" s="390">
        <f t="shared" ref="C264:AG264" si="20">IF(C$241&gt;=$B$182,IF(C$241&lt;=$B$183,$B$186,0),0)</f>
        <v>0</v>
      </c>
      <c r="D264" s="390">
        <f t="shared" si="20"/>
        <v>0</v>
      </c>
      <c r="E264" s="390">
        <f t="shared" si="20"/>
        <v>0</v>
      </c>
      <c r="F264" s="394">
        <f t="shared" si="20"/>
        <v>0</v>
      </c>
      <c r="G264" s="390">
        <f t="shared" si="20"/>
        <v>0</v>
      </c>
      <c r="H264" s="390">
        <f t="shared" si="20"/>
        <v>0</v>
      </c>
      <c r="I264" s="390">
        <f t="shared" si="20"/>
        <v>16689.53346</v>
      </c>
      <c r="J264" s="390">
        <f t="shared" si="20"/>
        <v>16689.53346</v>
      </c>
      <c r="K264" s="390">
        <f t="shared" si="20"/>
        <v>16689.53346</v>
      </c>
      <c r="L264" s="390">
        <f t="shared" si="20"/>
        <v>16689.53346</v>
      </c>
      <c r="M264" s="390">
        <f t="shared" si="20"/>
        <v>16689.53346</v>
      </c>
      <c r="N264" s="390">
        <f t="shared" si="20"/>
        <v>16689.53346</v>
      </c>
      <c r="O264" s="390">
        <f t="shared" si="20"/>
        <v>16689.53346</v>
      </c>
      <c r="P264" s="390">
        <f t="shared" si="20"/>
        <v>16689.53346</v>
      </c>
      <c r="Q264" s="390">
        <f t="shared" si="20"/>
        <v>16689.53346</v>
      </c>
      <c r="R264" s="390">
        <f t="shared" si="20"/>
        <v>16689.53346</v>
      </c>
      <c r="S264" s="390">
        <f t="shared" si="20"/>
        <v>16689.53346</v>
      </c>
      <c r="T264" s="390">
        <f t="shared" si="20"/>
        <v>16689.53346</v>
      </c>
      <c r="U264" s="390">
        <f t="shared" si="20"/>
        <v>16689.53346</v>
      </c>
      <c r="V264" s="390">
        <f t="shared" si="20"/>
        <v>16689.53346</v>
      </c>
      <c r="W264" s="390">
        <f t="shared" si="20"/>
        <v>16689.53346</v>
      </c>
      <c r="X264" s="390">
        <f t="shared" si="20"/>
        <v>16689.53346</v>
      </c>
      <c r="Y264" s="390">
        <f t="shared" si="20"/>
        <v>16689.53346</v>
      </c>
      <c r="Z264" s="390">
        <f t="shared" si="20"/>
        <v>16689.53346</v>
      </c>
      <c r="AA264" s="390">
        <f t="shared" si="20"/>
        <v>16689.53346</v>
      </c>
      <c r="AB264" s="390">
        <f t="shared" si="20"/>
        <v>16689.53346</v>
      </c>
      <c r="AC264" s="390">
        <f t="shared" si="20"/>
        <v>16689.53346</v>
      </c>
      <c r="AD264" s="390">
        <f t="shared" si="20"/>
        <v>16689.53346</v>
      </c>
      <c r="AE264" s="390">
        <f t="shared" si="20"/>
        <v>16689.53346</v>
      </c>
      <c r="AF264" s="390">
        <f t="shared" si="20"/>
        <v>16689.53346</v>
      </c>
      <c r="AG264" s="390">
        <f t="shared" si="20"/>
        <v>16689.53346</v>
      </c>
      <c r="AH264" s="393"/>
      <c r="AI264" s="393"/>
      <c r="AJ264" s="393"/>
      <c r="AK264" s="393"/>
      <c r="AL264" s="393"/>
      <c r="AM264" s="393"/>
      <c r="AN264" s="393"/>
      <c r="AO264" s="393"/>
      <c r="AP264" s="393"/>
      <c r="AQ264" s="393"/>
      <c r="AR264" s="393"/>
    </row>
    <row r="265">
      <c r="A265" s="81" t="s">
        <v>377</v>
      </c>
      <c r="B265" s="395">
        <f t="shared" ref="B265:AG265" si="21">SUM(B263:B264)</f>
        <v>0</v>
      </c>
      <c r="C265" s="395">
        <f t="shared" si="21"/>
        <v>0</v>
      </c>
      <c r="D265" s="395">
        <f t="shared" si="21"/>
        <v>0</v>
      </c>
      <c r="E265" s="395">
        <f t="shared" si="21"/>
        <v>5563.177821</v>
      </c>
      <c r="F265" s="293">
        <f t="shared" si="21"/>
        <v>9271.963036</v>
      </c>
      <c r="G265" s="395">
        <f t="shared" si="21"/>
        <v>12980.74825</v>
      </c>
      <c r="H265" s="395">
        <f t="shared" si="21"/>
        <v>16689.53346</v>
      </c>
      <c r="I265" s="395">
        <f t="shared" si="21"/>
        <v>16689.53346</v>
      </c>
      <c r="J265" s="395">
        <f t="shared" si="21"/>
        <v>16689.53346</v>
      </c>
      <c r="K265" s="395">
        <f t="shared" si="21"/>
        <v>16689.53346</v>
      </c>
      <c r="L265" s="395">
        <f t="shared" si="21"/>
        <v>16689.53346</v>
      </c>
      <c r="M265" s="395">
        <f t="shared" si="21"/>
        <v>16689.53346</v>
      </c>
      <c r="N265" s="395">
        <f t="shared" si="21"/>
        <v>16689.53346</v>
      </c>
      <c r="O265" s="395">
        <f t="shared" si="21"/>
        <v>16689.53346</v>
      </c>
      <c r="P265" s="395">
        <f t="shared" si="21"/>
        <v>16689.53346</v>
      </c>
      <c r="Q265" s="395">
        <f t="shared" si="21"/>
        <v>16689.53346</v>
      </c>
      <c r="R265" s="395">
        <f t="shared" si="21"/>
        <v>16689.53346</v>
      </c>
      <c r="S265" s="395">
        <f t="shared" si="21"/>
        <v>16689.53346</v>
      </c>
      <c r="T265" s="395">
        <f t="shared" si="21"/>
        <v>16689.53346</v>
      </c>
      <c r="U265" s="395">
        <f t="shared" si="21"/>
        <v>16689.53346</v>
      </c>
      <c r="V265" s="395">
        <f t="shared" si="21"/>
        <v>16689.53346</v>
      </c>
      <c r="W265" s="395">
        <f t="shared" si="21"/>
        <v>16689.53346</v>
      </c>
      <c r="X265" s="395">
        <f t="shared" si="21"/>
        <v>16689.53346</v>
      </c>
      <c r="Y265" s="395">
        <f t="shared" si="21"/>
        <v>16689.53346</v>
      </c>
      <c r="Z265" s="395">
        <f t="shared" si="21"/>
        <v>16689.53346</v>
      </c>
      <c r="AA265" s="395">
        <f t="shared" si="21"/>
        <v>16689.53346</v>
      </c>
      <c r="AB265" s="395">
        <f t="shared" si="21"/>
        <v>16689.53346</v>
      </c>
      <c r="AC265" s="395">
        <f t="shared" si="21"/>
        <v>16689.53346</v>
      </c>
      <c r="AD265" s="395">
        <f t="shared" si="21"/>
        <v>16689.53346</v>
      </c>
      <c r="AE265" s="395">
        <f t="shared" si="21"/>
        <v>16689.53346</v>
      </c>
      <c r="AF265" s="395">
        <f t="shared" si="21"/>
        <v>16689.53346</v>
      </c>
      <c r="AG265" s="395">
        <f t="shared" si="21"/>
        <v>16689.53346</v>
      </c>
      <c r="AH265" s="395"/>
      <c r="AI265" s="395"/>
      <c r="AJ265" s="395"/>
      <c r="AK265" s="395"/>
      <c r="AL265" s="395"/>
      <c r="AM265" s="395"/>
      <c r="AN265" s="395"/>
      <c r="AO265" s="395"/>
      <c r="AP265" s="395"/>
      <c r="AQ265" s="395"/>
      <c r="AR265" s="395"/>
    </row>
    <row r="266">
      <c r="A266" s="362" t="s">
        <v>378</v>
      </c>
      <c r="B266" s="206">
        <v>0.0</v>
      </c>
      <c r="C266" s="390">
        <f t="shared" ref="C266:L266" si="22">C265*(1-$B$165)^(C$241-1)</f>
        <v>0</v>
      </c>
      <c r="D266" s="390">
        <f t="shared" si="22"/>
        <v>0</v>
      </c>
      <c r="E266" s="390">
        <f t="shared" si="22"/>
        <v>5101.486398</v>
      </c>
      <c r="F266" s="394">
        <f t="shared" si="22"/>
        <v>8142.024</v>
      </c>
      <c r="G266" s="390">
        <f t="shared" si="22"/>
        <v>10915.59238</v>
      </c>
      <c r="H266" s="390">
        <f t="shared" si="22"/>
        <v>13439.36269</v>
      </c>
      <c r="I266" s="390">
        <f t="shared" si="22"/>
        <v>12869.61544</v>
      </c>
      <c r="J266" s="390">
        <f t="shared" si="22"/>
        <v>12324.02201</v>
      </c>
      <c r="K266" s="390">
        <f t="shared" si="22"/>
        <v>11801.55843</v>
      </c>
      <c r="L266" s="390">
        <f t="shared" si="22"/>
        <v>11301.24413</v>
      </c>
      <c r="M266" s="395">
        <f t="shared" ref="M266:AF266" si="23">M265*(1-$B$165)^10*(1-$B$166)^(M$241-11)</f>
        <v>10822.1401</v>
      </c>
      <c r="N266" s="395">
        <f t="shared" si="23"/>
        <v>10038.68298</v>
      </c>
      <c r="O266" s="395">
        <f t="shared" si="23"/>
        <v>9311.94338</v>
      </c>
      <c r="P266" s="395">
        <f t="shared" si="23"/>
        <v>8637.815311</v>
      </c>
      <c r="Q266" s="395">
        <f t="shared" si="23"/>
        <v>8012.490014</v>
      </c>
      <c r="R266" s="395">
        <f t="shared" si="23"/>
        <v>7432.434466</v>
      </c>
      <c r="S266" s="395">
        <f t="shared" si="23"/>
        <v>6894.371411</v>
      </c>
      <c r="T266" s="395">
        <f t="shared" si="23"/>
        <v>6395.26085</v>
      </c>
      <c r="U266" s="395">
        <f t="shared" si="23"/>
        <v>5932.282858</v>
      </c>
      <c r="V266" s="395">
        <f t="shared" si="23"/>
        <v>5502.821656</v>
      </c>
      <c r="W266" s="395">
        <f t="shared" si="23"/>
        <v>5104.450834</v>
      </c>
      <c r="X266" s="395">
        <f t="shared" si="23"/>
        <v>4734.919637</v>
      </c>
      <c r="Y266" s="395">
        <f t="shared" si="23"/>
        <v>4392.140251</v>
      </c>
      <c r="Z266" s="395">
        <f t="shared" si="23"/>
        <v>4074.176008</v>
      </c>
      <c r="AA266" s="395">
        <f t="shared" si="23"/>
        <v>3779.230443</v>
      </c>
      <c r="AB266" s="395">
        <f t="shared" si="23"/>
        <v>3505.637142</v>
      </c>
      <c r="AC266" s="395">
        <f t="shared" si="23"/>
        <v>3251.850333</v>
      </c>
      <c r="AD266" s="395">
        <f t="shared" si="23"/>
        <v>3016.436146</v>
      </c>
      <c r="AE266" s="395">
        <f t="shared" si="23"/>
        <v>2798.064513</v>
      </c>
      <c r="AF266" s="395">
        <f t="shared" si="23"/>
        <v>2595.501659</v>
      </c>
      <c r="AG266" s="396">
        <f>(AG265/B$166)*(1-$B$165)^10*(1-$B$166)^(AF$241-11)</f>
        <v>35852.48204</v>
      </c>
      <c r="AH266" s="390"/>
      <c r="AI266" s="390"/>
      <c r="AJ266" s="390"/>
      <c r="AK266" s="390"/>
      <c r="AL266" s="390"/>
      <c r="AM266" s="390"/>
      <c r="AN266" s="390"/>
      <c r="AO266" s="390"/>
      <c r="AP266" s="390"/>
      <c r="AQ266" s="390"/>
      <c r="AR266" s="390"/>
    </row>
    <row r="267">
      <c r="A267" s="84" t="s">
        <v>326</v>
      </c>
      <c r="B267" s="397">
        <f>SUM(B266:AK266)</f>
        <v>237980.0375</v>
      </c>
      <c r="C267" s="139" t="str">
        <f>IF(ROUND(B267,0)=ROUND(B201,0),$B$6,"ERROR please check formulas are corect")</f>
        <v>ERROR please check formulas are corect</v>
      </c>
      <c r="D267" s="346"/>
      <c r="E267" s="81"/>
      <c r="F267" s="60"/>
      <c r="G267" s="346"/>
      <c r="H267" s="76"/>
    </row>
    <row r="268">
      <c r="A268" s="84"/>
      <c r="B268" s="398"/>
      <c r="C268" s="84"/>
      <c r="D268" s="81"/>
      <c r="E268" s="81"/>
      <c r="F268" s="60"/>
      <c r="G268" s="346"/>
      <c r="H268" s="76"/>
    </row>
    <row r="269">
      <c r="A269" s="291"/>
      <c r="B269" s="398"/>
      <c r="C269" s="152"/>
      <c r="D269" s="152"/>
      <c r="E269" s="152"/>
      <c r="F269" s="293"/>
      <c r="G269" s="152"/>
      <c r="H269" s="395"/>
      <c r="I269" s="395"/>
      <c r="J269" s="395"/>
      <c r="K269" s="395"/>
      <c r="L269" s="395"/>
      <c r="M269" s="395"/>
      <c r="N269" s="395"/>
      <c r="O269" s="395"/>
      <c r="P269" s="395"/>
      <c r="Q269" s="395"/>
      <c r="R269" s="395"/>
      <c r="S269" s="395"/>
      <c r="T269" s="395"/>
      <c r="U269" s="395"/>
      <c r="V269" s="395"/>
      <c r="W269" s="395"/>
      <c r="X269" s="395"/>
      <c r="Y269" s="395"/>
      <c r="Z269" s="395"/>
      <c r="AA269" s="395"/>
      <c r="AB269" s="395"/>
      <c r="AC269" s="395"/>
      <c r="AD269" s="395"/>
      <c r="AE269" s="395"/>
      <c r="AF269" s="395"/>
      <c r="AG269" s="395"/>
      <c r="AH269" s="395"/>
      <c r="AI269" s="395"/>
      <c r="AJ269" s="395"/>
      <c r="AK269" s="395"/>
      <c r="AL269" s="395"/>
      <c r="AM269" s="395"/>
      <c r="AN269" s="395"/>
      <c r="AO269" s="395"/>
      <c r="AP269" s="395"/>
      <c r="AQ269" s="395"/>
      <c r="AR269" s="395"/>
    </row>
    <row r="270" ht="27.0" customHeight="1">
      <c r="A270" s="399" t="s">
        <v>65</v>
      </c>
      <c r="B270" s="400"/>
      <c r="C270" s="400"/>
      <c r="D270" s="400"/>
      <c r="E270" s="400"/>
      <c r="F270" s="401"/>
      <c r="G270" s="400"/>
      <c r="H270" s="402"/>
      <c r="I270" s="402"/>
      <c r="J270" s="402"/>
      <c r="K270" s="402"/>
      <c r="L270" s="402"/>
      <c r="M270" s="402"/>
      <c r="N270" s="402"/>
      <c r="O270" s="402"/>
      <c r="P270" s="402"/>
      <c r="Q270" s="402"/>
      <c r="R270" s="402"/>
      <c r="S270" s="402"/>
      <c r="T270" s="402"/>
      <c r="U270" s="402"/>
      <c r="V270" s="402"/>
      <c r="W270" s="402"/>
      <c r="X270" s="402"/>
      <c r="Y270" s="402"/>
      <c r="Z270" s="402"/>
      <c r="AA270" s="403"/>
      <c r="AB270" s="403"/>
      <c r="AC270" s="403"/>
      <c r="AD270" s="403"/>
      <c r="AE270" s="403"/>
      <c r="AF270" s="403"/>
      <c r="AG270" s="403"/>
      <c r="AH270" s="403"/>
      <c r="AI270" s="403"/>
      <c r="AJ270" s="403"/>
      <c r="AK270" s="403"/>
      <c r="AL270" s="403"/>
      <c r="AM270" s="403"/>
      <c r="AN270" s="403"/>
      <c r="AO270" s="403"/>
      <c r="AP270" s="403"/>
      <c r="AQ270" s="403"/>
      <c r="AR270" s="403"/>
    </row>
    <row r="271">
      <c r="A271" s="291"/>
      <c r="B271" s="152"/>
      <c r="C271" s="152"/>
      <c r="D271" s="152"/>
      <c r="E271" s="152"/>
      <c r="F271" s="293"/>
      <c r="G271" s="152"/>
      <c r="H271" s="395"/>
      <c r="I271" s="395"/>
      <c r="J271" s="395"/>
      <c r="K271" s="395"/>
      <c r="L271" s="395"/>
      <c r="M271" s="395"/>
      <c r="N271" s="395"/>
      <c r="O271" s="395"/>
      <c r="P271" s="395"/>
      <c r="Q271" s="395"/>
      <c r="R271" s="395"/>
      <c r="S271" s="395"/>
      <c r="T271" s="395"/>
      <c r="U271" s="395"/>
      <c r="V271" s="395"/>
      <c r="W271" s="395"/>
      <c r="X271" s="395"/>
      <c r="Y271" s="395"/>
      <c r="Z271" s="395"/>
      <c r="AA271" s="395"/>
      <c r="AB271" s="395"/>
      <c r="AC271" s="395"/>
      <c r="AD271" s="395"/>
      <c r="AE271" s="395"/>
      <c r="AF271" s="395"/>
      <c r="AG271" s="395"/>
      <c r="AH271" s="395"/>
      <c r="AI271" s="395"/>
      <c r="AJ271" s="395"/>
      <c r="AK271" s="395"/>
      <c r="AL271" s="395"/>
      <c r="AM271" s="395"/>
      <c r="AN271" s="395"/>
      <c r="AO271" s="395"/>
      <c r="AP271" s="395"/>
      <c r="AQ271" s="395"/>
      <c r="AR271" s="395"/>
    </row>
    <row r="272">
      <c r="A272" s="291"/>
      <c r="B272" s="152"/>
      <c r="C272" s="152"/>
      <c r="D272" s="152"/>
      <c r="E272" s="152"/>
      <c r="F272" s="293"/>
      <c r="G272" s="152"/>
      <c r="H272" s="395"/>
      <c r="I272" s="395"/>
      <c r="J272" s="395"/>
      <c r="K272" s="395"/>
      <c r="L272" s="395"/>
      <c r="M272" s="395"/>
      <c r="N272" s="395"/>
      <c r="O272" s="395"/>
      <c r="P272" s="395"/>
      <c r="Q272" s="395"/>
      <c r="R272" s="395"/>
      <c r="S272" s="395"/>
      <c r="T272" s="395"/>
      <c r="U272" s="395"/>
      <c r="V272" s="395"/>
      <c r="W272" s="395"/>
      <c r="X272" s="395"/>
      <c r="Y272" s="395"/>
      <c r="Z272" s="395"/>
      <c r="AA272" s="395"/>
      <c r="AB272" s="395"/>
      <c r="AC272" s="395"/>
      <c r="AD272" s="395"/>
      <c r="AE272" s="395"/>
      <c r="AF272" s="395"/>
      <c r="AG272" s="395"/>
      <c r="AH272" s="395"/>
      <c r="AI272" s="395"/>
      <c r="AJ272" s="395"/>
      <c r="AK272" s="395"/>
      <c r="AL272" s="395"/>
      <c r="AM272" s="395"/>
      <c r="AN272" s="395"/>
      <c r="AO272" s="395"/>
      <c r="AP272" s="395"/>
      <c r="AQ272" s="395"/>
      <c r="AR272" s="395"/>
    </row>
    <row r="273">
      <c r="A273" s="270" t="s">
        <v>379</v>
      </c>
      <c r="B273" s="271"/>
      <c r="C273" s="271"/>
      <c r="D273" s="404"/>
      <c r="E273" s="128"/>
      <c r="F273" s="60"/>
      <c r="G273" s="128"/>
    </row>
    <row r="274">
      <c r="A274" s="81" t="s">
        <v>380</v>
      </c>
      <c r="B274" s="276">
        <f>B$252</f>
        <v>2130074.622</v>
      </c>
      <c r="C274" s="81" t="s">
        <v>52</v>
      </c>
      <c r="D274" s="404"/>
      <c r="E274" s="128"/>
      <c r="F274" s="60"/>
      <c r="G274" s="128"/>
    </row>
    <row r="275">
      <c r="A275" s="81" t="s">
        <v>381</v>
      </c>
      <c r="B275" s="275">
        <f>B$267</f>
        <v>237980.0375</v>
      </c>
      <c r="C275" s="311" t="str">
        <f>$B$6</f>
        <v>DALY equivelents</v>
      </c>
      <c r="D275" s="404"/>
      <c r="E275" s="128"/>
      <c r="F275" s="60"/>
      <c r="G275" s="128"/>
    </row>
    <row r="276">
      <c r="A276" s="81" t="s">
        <v>382</v>
      </c>
      <c r="B276" s="405">
        <f>B274/B275</f>
        <v>8.950644115</v>
      </c>
      <c r="C276" s="311" t="str">
        <f>"$/"&amp;$B$6</f>
        <v>$/DALY equivelents</v>
      </c>
      <c r="D276" s="404"/>
      <c r="E276" s="128"/>
      <c r="F276" s="60"/>
      <c r="G276" s="128"/>
    </row>
    <row r="277">
      <c r="A277" s="81" t="s">
        <v>383</v>
      </c>
      <c r="B277" s="278">
        <f>1000*(1/B276)</f>
        <v>111.723803</v>
      </c>
      <c r="C277" s="311" t="str">
        <f>$B$6&amp;"/$1000"</f>
        <v>DALY equivelents/$1000</v>
      </c>
      <c r="D277" s="404"/>
      <c r="E277" s="128"/>
      <c r="F277" s="60"/>
      <c r="G277" s="128"/>
    </row>
    <row r="278">
      <c r="A278" s="81"/>
      <c r="B278" s="81"/>
      <c r="C278" s="81"/>
      <c r="D278" s="404"/>
      <c r="E278" s="128"/>
      <c r="F278" s="60"/>
      <c r="G278" s="128"/>
    </row>
    <row r="279">
      <c r="A279" s="81"/>
      <c r="B279" s="81"/>
      <c r="C279" s="81"/>
      <c r="D279" s="404"/>
      <c r="E279" s="128"/>
      <c r="F279" s="60"/>
      <c r="G279" s="128"/>
    </row>
    <row r="280">
      <c r="A280" s="270" t="s">
        <v>68</v>
      </c>
      <c r="B280" s="271"/>
      <c r="C280" s="271"/>
      <c r="D280" s="404"/>
      <c r="E280" s="128"/>
      <c r="F280" s="60"/>
      <c r="G280" s="128"/>
    </row>
    <row r="281">
      <c r="A281" s="81" t="s">
        <v>384</v>
      </c>
      <c r="B281" s="276">
        <f>B$252+((1-B$116)/B$116)*B$258</f>
        <v>5927449.991</v>
      </c>
      <c r="C281" s="81" t="s">
        <v>52</v>
      </c>
      <c r="D281" s="404"/>
      <c r="E281" s="128"/>
      <c r="F281" s="60"/>
      <c r="G281" s="128"/>
    </row>
    <row r="282">
      <c r="A282" s="81" t="s">
        <v>385</v>
      </c>
      <c r="B282" s="275">
        <f>B$267</f>
        <v>237980.0375</v>
      </c>
      <c r="C282" s="311" t="str">
        <f>$B$6</f>
        <v>DALY equivelents</v>
      </c>
      <c r="D282" s="404"/>
      <c r="E282" s="128"/>
      <c r="F282" s="60"/>
      <c r="G282" s="128"/>
    </row>
    <row r="283">
      <c r="A283" s="84" t="s">
        <v>70</v>
      </c>
      <c r="B283" s="406">
        <f>B281/B282</f>
        <v>24.90734119</v>
      </c>
      <c r="C283" s="279" t="str">
        <f>"$/"&amp;$B$6</f>
        <v>$/DALY equivelents</v>
      </c>
      <c r="D283" s="404"/>
      <c r="E283" s="128"/>
      <c r="F283" s="60"/>
      <c r="G283" s="128"/>
    </row>
    <row r="284">
      <c r="A284" s="84" t="s">
        <v>72</v>
      </c>
      <c r="B284" s="407">
        <f>1000*(1/B283)</f>
        <v>40.14880562</v>
      </c>
      <c r="C284" s="279" t="str">
        <f>$B$6&amp;"/$1000"</f>
        <v>DALY equivelents/$1000</v>
      </c>
      <c r="D284" s="404"/>
      <c r="E284" s="128"/>
      <c r="F284" s="60"/>
      <c r="G284" s="128"/>
    </row>
    <row r="285" ht="17.25" customHeight="1">
      <c r="A285" s="84" t="s">
        <v>70</v>
      </c>
      <c r="B285" s="406">
        <f>B283/2.5</f>
        <v>9.962936478</v>
      </c>
      <c r="C285" s="408" t="s">
        <v>386</v>
      </c>
      <c r="D285" s="404"/>
      <c r="E285" s="128"/>
      <c r="F285" s="60"/>
      <c r="G285" s="128"/>
    </row>
    <row r="286">
      <c r="A286" s="84" t="s">
        <v>72</v>
      </c>
      <c r="B286" s="407">
        <f>1000/B285</f>
        <v>100.372014</v>
      </c>
      <c r="C286" s="408" t="s">
        <v>387</v>
      </c>
      <c r="D286" s="404"/>
      <c r="E286" s="128"/>
      <c r="F286" s="60"/>
      <c r="G286" s="128"/>
    </row>
    <row r="287" hidden="1">
      <c r="A287" s="270" t="s">
        <v>388</v>
      </c>
      <c r="B287" s="271"/>
      <c r="C287" s="271"/>
      <c r="D287" s="404"/>
      <c r="E287" s="128"/>
      <c r="F287" s="60"/>
      <c r="G287" s="128"/>
    </row>
    <row r="288" ht="15.0" hidden="1" customHeight="1">
      <c r="A288" s="409" t="s">
        <v>389</v>
      </c>
      <c r="B288" s="410"/>
      <c r="C288" s="411"/>
      <c r="D288" s="128"/>
      <c r="E288" s="128"/>
      <c r="F288" s="60"/>
      <c r="G288" s="128"/>
    </row>
    <row r="289" hidden="1">
      <c r="A289" s="412" t="s">
        <v>390</v>
      </c>
      <c r="B289" s="413">
        <f>B281</f>
        <v>5927449.991</v>
      </c>
      <c r="C289" s="412" t="s">
        <v>52</v>
      </c>
      <c r="D289" s="128"/>
      <c r="E289" s="128"/>
      <c r="F289" s="60"/>
      <c r="G289" s="128"/>
    </row>
    <row r="290" hidden="1">
      <c r="A290" s="412" t="s">
        <v>391</v>
      </c>
      <c r="B290" s="414" t="str">
        <f>B282+B$237</f>
        <v>#VALUE!</v>
      </c>
      <c r="C290" s="415" t="str">
        <f>$B$6</f>
        <v>DALY equivelents</v>
      </c>
      <c r="D290" s="128"/>
      <c r="E290" s="128"/>
      <c r="F290" s="60"/>
      <c r="G290" s="128"/>
    </row>
    <row r="291" hidden="1">
      <c r="A291" s="412" t="s">
        <v>392</v>
      </c>
      <c r="B291" s="413" t="str">
        <f>B289/B290</f>
        <v>#VALUE!</v>
      </c>
      <c r="C291" s="415" t="str">
        <f>"$/"&amp;$B$6</f>
        <v>$/DALY equivelents</v>
      </c>
      <c r="D291" s="128"/>
      <c r="E291" s="128"/>
      <c r="F291" s="60"/>
      <c r="G291" s="128"/>
    </row>
    <row r="292" hidden="1">
      <c r="A292" s="412" t="s">
        <v>393</v>
      </c>
      <c r="B292" s="413" t="str">
        <f>1000*(1/B291)</f>
        <v>#VALUE!</v>
      </c>
      <c r="C292" s="415" t="str">
        <f>$B$6&amp;"/$1000"</f>
        <v>DALY equivelents/$1000</v>
      </c>
      <c r="D292" s="128"/>
      <c r="E292" s="128"/>
      <c r="F292" s="60"/>
      <c r="G292" s="128"/>
    </row>
    <row r="293" ht="15.0" hidden="1" customHeight="1">
      <c r="A293" s="128"/>
      <c r="B293" s="128"/>
      <c r="C293" s="128"/>
      <c r="D293" s="128"/>
      <c r="E293" s="128"/>
      <c r="F293" s="60"/>
      <c r="G293" s="128"/>
    </row>
    <row r="294" ht="15.0" hidden="1" customHeight="1">
      <c r="A294" s="416" t="s">
        <v>394</v>
      </c>
      <c r="B294" s="417"/>
      <c r="C294" s="418"/>
      <c r="D294" s="128"/>
      <c r="E294" s="128"/>
      <c r="F294" s="60"/>
      <c r="G294" s="128"/>
    </row>
    <row r="295" hidden="1">
      <c r="A295" s="362" t="s">
        <v>395</v>
      </c>
      <c r="B295" s="419" t="str">
        <f>B281+B206*B229</f>
        <v>#REF!</v>
      </c>
      <c r="C295" s="362" t="s">
        <v>52</v>
      </c>
      <c r="D295" s="128"/>
      <c r="E295" s="128"/>
      <c r="F295" s="60"/>
      <c r="G295" s="128"/>
    </row>
    <row r="296" hidden="1">
      <c r="A296" s="362" t="s">
        <v>396</v>
      </c>
      <c r="B296" s="420">
        <f>B282</f>
        <v>237980.0375</v>
      </c>
      <c r="C296" s="421" t="str">
        <f>$B$6</f>
        <v>DALY equivelents</v>
      </c>
      <c r="D296" s="128"/>
      <c r="E296" s="128"/>
      <c r="F296" s="60"/>
      <c r="G296" s="128"/>
    </row>
    <row r="297" hidden="1">
      <c r="A297" s="362" t="s">
        <v>397</v>
      </c>
      <c r="B297" s="419" t="str">
        <f>B295/B296</f>
        <v>#REF!</v>
      </c>
      <c r="C297" s="421" t="str">
        <f>"$/"&amp;$B$6</f>
        <v>$/DALY equivelents</v>
      </c>
      <c r="D297" s="128"/>
      <c r="E297" s="128"/>
      <c r="F297" s="60"/>
      <c r="G297" s="128"/>
    </row>
    <row r="298" hidden="1">
      <c r="A298" s="362" t="s">
        <v>398</v>
      </c>
      <c r="B298" s="419" t="str">
        <f>1000*(1/B297)</f>
        <v>#REF!</v>
      </c>
      <c r="C298" s="421" t="str">
        <f>$B$6&amp;"/$1000"</f>
        <v>DALY equivelents/$1000</v>
      </c>
      <c r="D298" s="128"/>
      <c r="E298" s="128"/>
      <c r="F298" s="60"/>
      <c r="G298" s="128"/>
    </row>
    <row r="299">
      <c r="A299" s="128"/>
      <c r="B299" s="128"/>
      <c r="C299" s="422"/>
      <c r="D299" s="128"/>
      <c r="E299" s="128"/>
      <c r="F299" s="60"/>
      <c r="G299" s="128"/>
    </row>
    <row r="300">
      <c r="A300" s="128"/>
      <c r="B300" s="128"/>
      <c r="C300" s="422"/>
      <c r="D300" s="128"/>
      <c r="E300" s="128"/>
      <c r="F300" s="60"/>
      <c r="G300" s="128"/>
    </row>
    <row r="301">
      <c r="A301" s="128"/>
      <c r="B301" s="128"/>
      <c r="C301" s="422"/>
      <c r="D301" s="128"/>
      <c r="E301" s="128"/>
      <c r="F301" s="60"/>
      <c r="G301" s="128"/>
    </row>
    <row r="302">
      <c r="A302" s="128"/>
      <c r="B302" s="128"/>
      <c r="C302" s="422"/>
      <c r="D302" s="128"/>
      <c r="E302" s="128"/>
      <c r="F302" s="60"/>
      <c r="G302" s="128"/>
    </row>
    <row r="303">
      <c r="A303" s="128"/>
      <c r="B303" s="128"/>
      <c r="C303" s="422"/>
      <c r="D303" s="128"/>
      <c r="E303" s="128"/>
      <c r="F303" s="60"/>
      <c r="G303" s="128"/>
    </row>
    <row r="304">
      <c r="A304" s="128"/>
      <c r="B304" s="128"/>
      <c r="C304" s="422"/>
      <c r="D304" s="128"/>
      <c r="E304" s="128"/>
      <c r="F304" s="60"/>
      <c r="G304" s="128"/>
    </row>
    <row r="305">
      <c r="A305" s="128"/>
      <c r="B305" s="128"/>
      <c r="C305" s="422"/>
      <c r="D305" s="128"/>
      <c r="E305" s="128"/>
      <c r="F305" s="60"/>
      <c r="G305" s="128"/>
    </row>
    <row r="306">
      <c r="A306" s="128"/>
      <c r="B306" s="128"/>
      <c r="C306" s="422"/>
      <c r="D306" s="128"/>
      <c r="E306" s="128"/>
      <c r="F306" s="60"/>
      <c r="G306" s="128"/>
    </row>
    <row r="307">
      <c r="A307" s="128"/>
      <c r="B307" s="128"/>
      <c r="C307" s="422"/>
      <c r="D307" s="128"/>
      <c r="E307" s="128"/>
      <c r="F307" s="60"/>
      <c r="G307" s="128"/>
    </row>
    <row r="308">
      <c r="A308" s="128"/>
      <c r="B308" s="128"/>
      <c r="C308" s="422"/>
      <c r="D308" s="128"/>
      <c r="E308" s="128"/>
      <c r="F308" s="60"/>
      <c r="G308" s="128"/>
    </row>
    <row r="309">
      <c r="A309" s="128"/>
      <c r="B309" s="128"/>
      <c r="C309" s="422"/>
      <c r="D309" s="128"/>
      <c r="E309" s="128"/>
      <c r="F309" s="60"/>
      <c r="G309" s="128"/>
    </row>
    <row r="310">
      <c r="A310" s="128"/>
      <c r="B310" s="128"/>
      <c r="C310" s="422"/>
      <c r="D310" s="128"/>
      <c r="E310" s="128"/>
      <c r="F310" s="60"/>
      <c r="G310" s="128"/>
    </row>
    <row r="311">
      <c r="A311" s="128"/>
      <c r="C311" s="423"/>
      <c r="F311" s="60"/>
    </row>
    <row r="312">
      <c r="A312" s="128"/>
      <c r="C312" s="423"/>
      <c r="F312" s="60"/>
    </row>
    <row r="313">
      <c r="A313" s="128"/>
      <c r="C313" s="423"/>
      <c r="F313" s="60"/>
    </row>
    <row r="314">
      <c r="A314" s="128"/>
      <c r="C314" s="423"/>
      <c r="F314" s="60"/>
    </row>
    <row r="315">
      <c r="A315" s="128"/>
      <c r="C315" s="423"/>
      <c r="F315" s="60"/>
    </row>
    <row r="316">
      <c r="A316" s="128"/>
      <c r="C316" s="423"/>
      <c r="F316" s="60"/>
    </row>
    <row r="317">
      <c r="A317" s="128"/>
      <c r="C317" s="423"/>
      <c r="F317" s="60"/>
    </row>
    <row r="318">
      <c r="A318" s="128"/>
      <c r="C318" s="423"/>
      <c r="F318" s="60"/>
    </row>
    <row r="319">
      <c r="A319" s="128"/>
      <c r="C319" s="423"/>
      <c r="F319" s="60"/>
    </row>
    <row r="320">
      <c r="A320" s="128"/>
      <c r="C320" s="423"/>
      <c r="F320" s="60"/>
    </row>
    <row r="321">
      <c r="A321" s="128"/>
      <c r="C321" s="423"/>
      <c r="F321" s="60"/>
    </row>
    <row r="322">
      <c r="A322" s="128"/>
      <c r="C322" s="423"/>
      <c r="F322" s="60"/>
    </row>
    <row r="323">
      <c r="A323" s="128"/>
      <c r="C323" s="423"/>
      <c r="F323" s="60"/>
    </row>
    <row r="324">
      <c r="A324" s="128"/>
      <c r="C324" s="423"/>
      <c r="F324" s="60"/>
    </row>
    <row r="325">
      <c r="A325" s="128"/>
      <c r="C325" s="423"/>
      <c r="F325" s="60"/>
    </row>
    <row r="326">
      <c r="A326" s="128"/>
      <c r="C326" s="423"/>
      <c r="F326" s="60"/>
    </row>
    <row r="327">
      <c r="A327" s="128"/>
      <c r="C327" s="423"/>
      <c r="F327" s="60"/>
    </row>
    <row r="328">
      <c r="A328" s="128"/>
      <c r="C328" s="423"/>
      <c r="F328" s="60"/>
    </row>
    <row r="329">
      <c r="A329" s="128"/>
      <c r="C329" s="423"/>
      <c r="F329" s="60"/>
    </row>
    <row r="330">
      <c r="A330" s="128"/>
      <c r="C330" s="423"/>
      <c r="F330" s="60"/>
    </row>
    <row r="331">
      <c r="A331" s="128"/>
      <c r="C331" s="423"/>
      <c r="F331" s="60"/>
    </row>
    <row r="332">
      <c r="A332" s="128"/>
      <c r="C332" s="423"/>
      <c r="F332" s="60"/>
    </row>
    <row r="333">
      <c r="A333" s="128"/>
      <c r="C333" s="423"/>
      <c r="F333" s="60"/>
    </row>
    <row r="334">
      <c r="A334" s="128"/>
      <c r="C334" s="423"/>
      <c r="F334" s="60"/>
    </row>
    <row r="335">
      <c r="A335" s="128"/>
      <c r="C335" s="423"/>
      <c r="F335" s="60"/>
    </row>
    <row r="336">
      <c r="A336" s="128"/>
      <c r="C336" s="423"/>
      <c r="F336" s="60"/>
    </row>
    <row r="337">
      <c r="A337" s="128"/>
      <c r="C337" s="423"/>
      <c r="F337" s="60"/>
    </row>
    <row r="338">
      <c r="A338" s="128"/>
      <c r="C338" s="423"/>
      <c r="F338" s="60"/>
    </row>
    <row r="339">
      <c r="A339" s="128"/>
      <c r="C339" s="423"/>
      <c r="F339" s="60"/>
    </row>
    <row r="340">
      <c r="A340" s="128"/>
      <c r="C340" s="423"/>
      <c r="F340" s="60"/>
    </row>
    <row r="341">
      <c r="A341" s="128"/>
      <c r="C341" s="423"/>
      <c r="F341" s="60"/>
    </row>
    <row r="342">
      <c r="A342" s="128"/>
      <c r="C342" s="423"/>
      <c r="F342" s="60"/>
    </row>
    <row r="343">
      <c r="A343" s="128"/>
      <c r="C343" s="423"/>
      <c r="F343" s="60"/>
    </row>
    <row r="344">
      <c r="A344" s="128"/>
      <c r="C344" s="423"/>
      <c r="F344" s="60"/>
    </row>
    <row r="345">
      <c r="A345" s="128"/>
      <c r="C345" s="423"/>
      <c r="F345" s="60"/>
    </row>
    <row r="346">
      <c r="A346" s="128"/>
      <c r="C346" s="423"/>
      <c r="F346" s="60"/>
    </row>
    <row r="347">
      <c r="A347" s="128"/>
      <c r="C347" s="423"/>
      <c r="F347" s="60"/>
    </row>
    <row r="348">
      <c r="A348" s="128"/>
      <c r="C348" s="423"/>
      <c r="F348" s="60"/>
    </row>
    <row r="349">
      <c r="A349" s="128"/>
      <c r="C349" s="423"/>
      <c r="F349" s="60"/>
    </row>
    <row r="350">
      <c r="A350" s="128"/>
      <c r="C350" s="423"/>
      <c r="F350" s="60"/>
    </row>
    <row r="351">
      <c r="A351" s="128"/>
      <c r="C351" s="423"/>
      <c r="F351" s="60"/>
    </row>
    <row r="352">
      <c r="A352" s="128"/>
      <c r="C352" s="423"/>
      <c r="F352" s="60"/>
    </row>
    <row r="353">
      <c r="A353" s="128"/>
      <c r="C353" s="423"/>
      <c r="F353" s="60"/>
    </row>
    <row r="354">
      <c r="A354" s="128"/>
      <c r="C354" s="423"/>
      <c r="F354" s="60"/>
    </row>
    <row r="355">
      <c r="A355" s="128"/>
      <c r="C355" s="423"/>
      <c r="F355" s="60"/>
    </row>
    <row r="356">
      <c r="A356" s="128"/>
      <c r="C356" s="423"/>
      <c r="F356" s="60"/>
    </row>
    <row r="357">
      <c r="A357" s="128"/>
      <c r="C357" s="423"/>
      <c r="F357" s="60"/>
    </row>
    <row r="358">
      <c r="A358" s="128"/>
      <c r="C358" s="423"/>
      <c r="F358" s="60"/>
    </row>
    <row r="359">
      <c r="A359" s="128"/>
      <c r="C359" s="423"/>
      <c r="F359" s="60"/>
    </row>
    <row r="360">
      <c r="A360" s="128"/>
      <c r="C360" s="423"/>
      <c r="F360" s="60"/>
    </row>
    <row r="361">
      <c r="A361" s="128"/>
      <c r="C361" s="423"/>
      <c r="F361" s="60"/>
    </row>
    <row r="362">
      <c r="A362" s="128"/>
      <c r="C362" s="423"/>
      <c r="F362" s="60"/>
    </row>
    <row r="363">
      <c r="A363" s="128"/>
      <c r="C363" s="423"/>
      <c r="F363" s="60"/>
    </row>
    <row r="364">
      <c r="A364" s="128"/>
      <c r="C364" s="423"/>
      <c r="F364" s="60"/>
    </row>
    <row r="365">
      <c r="A365" s="128"/>
      <c r="C365" s="423"/>
      <c r="F365" s="60"/>
    </row>
    <row r="366">
      <c r="A366" s="128"/>
      <c r="C366" s="423"/>
      <c r="F366" s="60"/>
    </row>
    <row r="367">
      <c r="A367" s="128"/>
      <c r="C367" s="423"/>
      <c r="F367" s="60"/>
    </row>
    <row r="368">
      <c r="A368" s="128"/>
      <c r="C368" s="423"/>
      <c r="F368" s="60"/>
    </row>
    <row r="369">
      <c r="A369" s="128"/>
      <c r="C369" s="423"/>
      <c r="F369" s="60"/>
    </row>
    <row r="370">
      <c r="A370" s="128"/>
      <c r="C370" s="423"/>
      <c r="F370" s="60"/>
    </row>
    <row r="371">
      <c r="A371" s="128"/>
      <c r="C371" s="423"/>
      <c r="F371" s="60"/>
    </row>
  </sheetData>
  <mergeCells count="1">
    <mergeCell ref="A3:E3"/>
  </mergeCells>
  <conditionalFormatting sqref="B112">
    <cfRule type="colorScale" priority="1">
      <colorScale>
        <cfvo type="formula" val="0"/>
        <cfvo type="formula" val="0.5"/>
        <cfvo type="formula" val="1"/>
        <color rgb="FF57BB8A"/>
        <color rgb="FFFFD666"/>
        <color rgb="FFE67C73"/>
      </colorScale>
    </cfRule>
  </conditionalFormatting>
  <conditionalFormatting sqref="F3:F198">
    <cfRule type="notContainsBlanks" dxfId="0" priority="2">
      <formula>LEN(TRIM(F3))&gt;0</formula>
    </cfRule>
  </conditionalFormatting>
  <conditionalFormatting sqref="G17:G18 G31:G38 G40:G41 G52:G69 G91:G94">
    <cfRule type="notContainsBlanks" dxfId="1" priority="3">
      <formula>LEN(TRIM(G17))&gt;0</formula>
    </cfRule>
  </conditionalFormatting>
  <conditionalFormatting sqref="A1">
    <cfRule type="beginsWith" dxfId="2" priority="4" operator="beginsWith" text="You have">
      <formula>LEFT((A1),LEN("You have"))=("You have")</formula>
    </cfRule>
  </conditionalFormatting>
  <conditionalFormatting sqref="B265:AR265">
    <cfRule type="colorScale" priority="5">
      <colorScale>
        <cfvo type="min"/>
        <cfvo type="max"/>
        <color rgb="FFFFFFFF"/>
        <color rgb="FFABDDC5"/>
      </colorScale>
    </cfRule>
  </conditionalFormatting>
  <conditionalFormatting sqref="B250:AR250 B256:AR256">
    <cfRule type="colorScale" priority="6">
      <colorScale>
        <cfvo type="min"/>
        <cfvo type="max"/>
        <color rgb="FFFFFFFF"/>
        <color rgb="FFDD7E6B"/>
      </colorScale>
    </cfRule>
  </conditionalFormatting>
  <conditionalFormatting sqref="C252 C258 C267">
    <cfRule type="containsText" dxfId="3" priority="7" operator="containsText" text="error">
      <formula>NOT(ISERROR(SEARCH(("error"),(C252))))</formula>
    </cfRule>
  </conditionalFormatting>
  <dataValidations>
    <dataValidation type="list" allowBlank="1" showErrorMessage="1" sqref="B27:B28">
      <formula1>"1.4%,4.0%"</formula1>
    </dataValidation>
    <dataValidation type="decimal" operator="greaterThan" allowBlank="1" showDropDown="1" showInputMessage="1" prompt="Effective discount rate should be greater than 0% or costs and impacts will not be measurable over the long run. If discount rate is 0 or below that might happen if the sale of a problem is increasing rapidly over time. But in this case, we will not expec" sqref="B164:B167">
      <formula1>0.0</formula1>
    </dataValidation>
  </dataValidations>
  <hyperlinks>
    <hyperlink r:id="rId2" ref="E29"/>
    <hyperlink r:id="rId3" ref="E30"/>
    <hyperlink r:id="rId4" ref="D37"/>
    <hyperlink r:id="rId5" ref="E59"/>
    <hyperlink r:id="rId6" ref="E71"/>
    <hyperlink r:id="rId7" location="gid=154585324" ref="E79"/>
    <hyperlink r:id="rId8" ref="E162"/>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4.38"/>
    <col customWidth="1" min="2" max="2" width="64.75"/>
    <col customWidth="1" min="3" max="5" width="16.13"/>
    <col customWidth="1" min="9" max="9" width="72.38"/>
  </cols>
  <sheetData>
    <row r="1">
      <c r="A1" s="36" t="s">
        <v>399</v>
      </c>
    </row>
    <row r="2">
      <c r="C2" s="52" t="s">
        <v>400</v>
      </c>
      <c r="D2" s="52" t="s">
        <v>401</v>
      </c>
      <c r="E2" s="52" t="s">
        <v>79</v>
      </c>
      <c r="F2" s="52" t="s">
        <v>29</v>
      </c>
      <c r="G2" s="53" t="s">
        <v>10</v>
      </c>
      <c r="H2" s="53" t="s">
        <v>30</v>
      </c>
      <c r="I2" s="424" t="s">
        <v>402</v>
      </c>
    </row>
    <row r="3">
      <c r="A3" s="40" t="s">
        <v>403</v>
      </c>
      <c r="C3" s="202">
        <v>927511.0</v>
      </c>
      <c r="D3" s="202">
        <v>78594.0</v>
      </c>
      <c r="E3" s="202">
        <v>131213.0</v>
      </c>
      <c r="F3" s="40" t="s">
        <v>404</v>
      </c>
      <c r="H3" s="234" t="s">
        <v>405</v>
      </c>
    </row>
    <row r="4">
      <c r="A4" s="40" t="s">
        <v>406</v>
      </c>
      <c r="C4" s="425">
        <v>0.21</v>
      </c>
      <c r="D4" s="426">
        <f>-6%</f>
        <v>-0.06</v>
      </c>
      <c r="E4" s="427">
        <v>0.14</v>
      </c>
      <c r="F4" s="40" t="s">
        <v>109</v>
      </c>
      <c r="G4" s="40" t="s">
        <v>407</v>
      </c>
      <c r="H4" s="234" t="s">
        <v>405</v>
      </c>
    </row>
    <row r="5">
      <c r="A5" s="40" t="s">
        <v>408</v>
      </c>
      <c r="C5" s="428">
        <f t="shared" ref="C5:E5" si="1">(1+C4)^(1/41)-1</f>
        <v>0.004660101721</v>
      </c>
      <c r="D5" s="428">
        <f t="shared" si="1"/>
        <v>-0.001508017985</v>
      </c>
      <c r="E5" s="428">
        <f t="shared" si="1"/>
        <v>0.003200923327</v>
      </c>
      <c r="F5" s="40" t="s">
        <v>109</v>
      </c>
    </row>
    <row r="6">
      <c r="A6" s="40" t="s">
        <v>409</v>
      </c>
      <c r="C6" s="429">
        <f t="shared" ref="C6:E6" si="2">C3*(1+C5)^3</f>
        <v>940538.4077</v>
      </c>
      <c r="D6" s="429">
        <f t="shared" si="2"/>
        <v>78238.97243</v>
      </c>
      <c r="E6" s="429">
        <f t="shared" si="2"/>
        <v>132477.0458</v>
      </c>
      <c r="F6" s="40" t="s">
        <v>404</v>
      </c>
    </row>
    <row r="7">
      <c r="A7" s="40" t="s">
        <v>410</v>
      </c>
    </row>
    <row r="8">
      <c r="A8" s="40"/>
      <c r="B8" s="40" t="s">
        <v>411</v>
      </c>
      <c r="C8" s="430">
        <v>0.35</v>
      </c>
      <c r="D8" s="430">
        <v>0.15</v>
      </c>
      <c r="E8" s="430">
        <v>0.15</v>
      </c>
      <c r="F8" s="40"/>
      <c r="G8" s="40" t="s">
        <v>412</v>
      </c>
    </row>
    <row r="9">
      <c r="A9" s="40"/>
      <c r="B9" s="40" t="s">
        <v>413</v>
      </c>
      <c r="C9" s="430">
        <v>0.15</v>
      </c>
      <c r="D9" s="430">
        <v>0.15</v>
      </c>
      <c r="E9" s="430">
        <v>0.15</v>
      </c>
      <c r="F9" s="40"/>
      <c r="G9" s="40" t="s">
        <v>414</v>
      </c>
    </row>
    <row r="10">
      <c r="A10" s="40"/>
      <c r="B10" s="40" t="s">
        <v>415</v>
      </c>
      <c r="C10" s="430">
        <v>0.2</v>
      </c>
      <c r="D10" s="430">
        <v>0.2</v>
      </c>
      <c r="E10" s="430">
        <v>0.2</v>
      </c>
      <c r="F10" s="40"/>
      <c r="G10" s="40" t="s">
        <v>416</v>
      </c>
    </row>
    <row r="11">
      <c r="A11" s="40"/>
      <c r="B11" s="40" t="s">
        <v>115</v>
      </c>
      <c r="C11" s="431"/>
      <c r="D11" s="431"/>
      <c r="E11" s="431"/>
      <c r="F11" s="40"/>
    </row>
    <row r="12">
      <c r="A12" s="40" t="s">
        <v>410</v>
      </c>
      <c r="C12" s="431">
        <f t="shared" ref="C12:E12" si="3">C8+C9*C10</f>
        <v>0.38</v>
      </c>
      <c r="D12" s="431">
        <f t="shared" si="3"/>
        <v>0.18</v>
      </c>
      <c r="E12" s="431">
        <f t="shared" si="3"/>
        <v>0.18</v>
      </c>
      <c r="F12" s="40"/>
    </row>
    <row r="13">
      <c r="A13" s="40" t="s">
        <v>417</v>
      </c>
      <c r="C13" s="429">
        <f t="shared" ref="C13:E13" si="4">C6*C12</f>
        <v>357404.5949</v>
      </c>
      <c r="D13" s="429">
        <f t="shared" si="4"/>
        <v>14083.01504</v>
      </c>
      <c r="E13" s="429">
        <f t="shared" si="4"/>
        <v>23845.86824</v>
      </c>
      <c r="F13" s="40" t="s">
        <v>404</v>
      </c>
    </row>
    <row r="15">
      <c r="A15" s="40" t="s">
        <v>140</v>
      </c>
    </row>
    <row r="16">
      <c r="A16" s="40" t="s">
        <v>418</v>
      </c>
    </row>
    <row r="17">
      <c r="A17" s="40"/>
      <c r="B17" s="40" t="s">
        <v>121</v>
      </c>
      <c r="C17" s="430">
        <v>0.8</v>
      </c>
      <c r="H17" s="40" t="s">
        <v>419</v>
      </c>
    </row>
    <row r="18">
      <c r="B18" s="40" t="s">
        <v>123</v>
      </c>
      <c r="C18" s="432">
        <v>0.5</v>
      </c>
      <c r="G18" s="40"/>
      <c r="H18" s="234" t="s">
        <v>420</v>
      </c>
    </row>
    <row r="19">
      <c r="B19" s="40" t="s">
        <v>421</v>
      </c>
      <c r="C19" s="432">
        <v>0.1</v>
      </c>
      <c r="H19" s="40" t="s">
        <v>126</v>
      </c>
    </row>
    <row r="20">
      <c r="B20" s="40" t="s">
        <v>127</v>
      </c>
      <c r="C20" s="431">
        <f>1-C19/C18</f>
        <v>0.8</v>
      </c>
      <c r="H20" s="40" t="s">
        <v>422</v>
      </c>
    </row>
    <row r="21">
      <c r="B21" s="40" t="s">
        <v>423</v>
      </c>
      <c r="C21" s="431">
        <f>C17*C20</f>
        <v>0.64</v>
      </c>
    </row>
    <row r="22">
      <c r="A22" s="40" t="s">
        <v>424</v>
      </c>
      <c r="B22" s="40"/>
      <c r="C22" s="40"/>
      <c r="G22" s="40"/>
    </row>
    <row r="23">
      <c r="B23" s="40" t="s">
        <v>425</v>
      </c>
      <c r="C23" s="432">
        <v>0.15</v>
      </c>
      <c r="G23" s="40" t="s">
        <v>426</v>
      </c>
    </row>
    <row r="24">
      <c r="B24" s="40" t="s">
        <v>427</v>
      </c>
      <c r="C24" s="432">
        <v>0.05</v>
      </c>
      <c r="G24" s="40" t="s">
        <v>428</v>
      </c>
    </row>
    <row r="25">
      <c r="A25" s="40"/>
      <c r="B25" s="40" t="s">
        <v>429</v>
      </c>
      <c r="C25" s="432">
        <v>0.4</v>
      </c>
      <c r="G25" s="40" t="s">
        <v>430</v>
      </c>
    </row>
    <row r="26">
      <c r="A26" s="40"/>
      <c r="B26" s="40" t="s">
        <v>431</v>
      </c>
      <c r="C26" s="432">
        <f>-average(1.04^7,1)+1</f>
        <v>-0.1579658896</v>
      </c>
      <c r="G26" s="40" t="s">
        <v>432</v>
      </c>
    </row>
    <row r="27">
      <c r="A27" s="40" t="s">
        <v>140</v>
      </c>
      <c r="C27" s="431">
        <f>C21*(1-C23)*(1-C24)*(1-C25)*(1-C26)</f>
        <v>0.3590620631</v>
      </c>
    </row>
    <row r="28">
      <c r="C28" s="186"/>
    </row>
    <row r="29">
      <c r="A29" s="40" t="s">
        <v>433</v>
      </c>
      <c r="C29" s="429">
        <f t="shared" ref="C29:E29" si="5">C13*$C$27</f>
        <v>128330.4312</v>
      </c>
      <c r="D29" s="429">
        <f t="shared" si="5"/>
        <v>5056.676433</v>
      </c>
      <c r="E29" s="429">
        <f t="shared" si="5"/>
        <v>8562.146644</v>
      </c>
      <c r="F29" s="40" t="s">
        <v>404</v>
      </c>
    </row>
    <row r="30">
      <c r="A30" s="40"/>
    </row>
    <row r="31">
      <c r="A31" s="40" t="s">
        <v>434</v>
      </c>
      <c r="C31" s="430">
        <v>0.05</v>
      </c>
      <c r="D31" s="432">
        <v>0.4</v>
      </c>
      <c r="E31" s="432">
        <v>0.35</v>
      </c>
      <c r="G31" s="40" t="s">
        <v>435</v>
      </c>
    </row>
    <row r="32">
      <c r="A32" s="40" t="s">
        <v>436</v>
      </c>
      <c r="C32" s="432">
        <v>0.99</v>
      </c>
      <c r="D32" s="432">
        <v>0.1</v>
      </c>
      <c r="E32" s="432">
        <v>0.2</v>
      </c>
      <c r="G32" s="40" t="s">
        <v>435</v>
      </c>
    </row>
    <row r="33">
      <c r="A33" s="40" t="s">
        <v>437</v>
      </c>
      <c r="C33" s="429">
        <f t="shared" ref="C33:E33" si="6">C29*C31*(1-C32)</f>
        <v>64.1652156</v>
      </c>
      <c r="D33" s="429">
        <f t="shared" si="6"/>
        <v>1820.403516</v>
      </c>
      <c r="E33" s="429">
        <f t="shared" si="6"/>
        <v>2397.40106</v>
      </c>
      <c r="F33" s="40" t="s">
        <v>404</v>
      </c>
    </row>
    <row r="34">
      <c r="A34" s="40"/>
      <c r="C34" s="40"/>
      <c r="G34" s="40"/>
    </row>
    <row r="35">
      <c r="A35" s="40" t="s">
        <v>438</v>
      </c>
      <c r="C35" s="433">
        <v>7.0</v>
      </c>
      <c r="D35" s="433">
        <f t="shared" ref="D35:E35" si="7">C35</f>
        <v>7</v>
      </c>
      <c r="E35" s="433">
        <f t="shared" si="7"/>
        <v>7</v>
      </c>
      <c r="F35" s="40" t="s">
        <v>439</v>
      </c>
      <c r="G35" s="40" t="s">
        <v>440</v>
      </c>
    </row>
    <row r="36">
      <c r="A36" s="40" t="s">
        <v>441</v>
      </c>
      <c r="C36" s="430">
        <v>0.85</v>
      </c>
      <c r="D36" s="430">
        <v>0.85</v>
      </c>
      <c r="E36" s="430">
        <v>0.85</v>
      </c>
      <c r="F36" s="40" t="s">
        <v>109</v>
      </c>
      <c r="G36" s="40" t="s">
        <v>442</v>
      </c>
    </row>
    <row r="37">
      <c r="A37" s="40" t="s">
        <v>443</v>
      </c>
      <c r="C37" s="429">
        <f t="shared" ref="C37:E37" si="8">C33*C35*C36</f>
        <v>381.7830328</v>
      </c>
      <c r="D37" s="429">
        <f t="shared" si="8"/>
        <v>10831.40092</v>
      </c>
      <c r="E37" s="429">
        <f t="shared" si="8"/>
        <v>14264.53631</v>
      </c>
      <c r="F37" s="40" t="s">
        <v>404</v>
      </c>
    </row>
    <row r="39">
      <c r="A39" s="40" t="s">
        <v>444</v>
      </c>
      <c r="C39" s="80" t="str">
        <f>'Main CEA - Top down GBD'!B14</f>
        <v>#REF!</v>
      </c>
      <c r="D39" s="80" t="str">
        <f t="shared" ref="D39:E39" si="9">C39</f>
        <v>#REF!</v>
      </c>
      <c r="E39" s="80" t="str">
        <f t="shared" si="9"/>
        <v>#REF!</v>
      </c>
      <c r="F39" s="40" t="s">
        <v>52</v>
      </c>
    </row>
    <row r="40">
      <c r="A40" s="40" t="s">
        <v>445</v>
      </c>
      <c r="C40" s="433">
        <v>3.0</v>
      </c>
      <c r="D40" s="433">
        <f t="shared" ref="D40:E40" si="10">C40</f>
        <v>3</v>
      </c>
      <c r="E40" s="433">
        <f t="shared" si="10"/>
        <v>3</v>
      </c>
      <c r="F40" s="40" t="s">
        <v>446</v>
      </c>
      <c r="G40" s="40" t="s">
        <v>447</v>
      </c>
    </row>
    <row r="41">
      <c r="A41" s="40" t="s">
        <v>365</v>
      </c>
      <c r="C41" s="352" t="str">
        <f t="shared" ref="C41:E41" si="11">C39*C40</f>
        <v>#REF!</v>
      </c>
      <c r="D41" s="352" t="str">
        <f t="shared" si="11"/>
        <v>#REF!</v>
      </c>
      <c r="E41" s="352" t="str">
        <f t="shared" si="11"/>
        <v>#REF!</v>
      </c>
      <c r="F41" s="40" t="s">
        <v>52</v>
      </c>
    </row>
    <row r="43">
      <c r="A43" s="40" t="s">
        <v>448</v>
      </c>
      <c r="C43" s="434" t="str">
        <f t="shared" ref="C43:E43" si="12">C41/C37</f>
        <v>#REF!</v>
      </c>
      <c r="D43" s="434" t="str">
        <f t="shared" si="12"/>
        <v>#REF!</v>
      </c>
      <c r="E43" s="434" t="str">
        <f t="shared" si="12"/>
        <v>#REF!</v>
      </c>
      <c r="F43" s="40" t="s">
        <v>449</v>
      </c>
    </row>
    <row r="46">
      <c r="A46" s="36" t="s">
        <v>450</v>
      </c>
    </row>
    <row r="47">
      <c r="B47" s="234" t="s">
        <v>451</v>
      </c>
    </row>
  </sheetData>
  <hyperlinks>
    <hyperlink r:id="rId1" ref="H3"/>
    <hyperlink r:id="rId2" ref="H4"/>
    <hyperlink r:id="rId3" ref="H18"/>
    <hyperlink r:id="rId4" location="gid=109713399" ref="B47"/>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outlineLevelRow="1"/>
  <cols>
    <col customWidth="1" min="1" max="1" width="4.38"/>
    <col customWidth="1" min="2" max="2" width="58.75"/>
    <col customWidth="1" min="3" max="5" width="16.13"/>
    <col customWidth="1" min="7" max="7" width="27.75"/>
  </cols>
  <sheetData>
    <row r="1">
      <c r="A1" s="36" t="s">
        <v>452</v>
      </c>
    </row>
    <row r="2">
      <c r="C2" s="52" t="s">
        <v>400</v>
      </c>
      <c r="D2" s="52" t="s">
        <v>401</v>
      </c>
      <c r="E2" s="52" t="s">
        <v>79</v>
      </c>
      <c r="F2" s="52" t="s">
        <v>29</v>
      </c>
      <c r="G2" s="53" t="s">
        <v>10</v>
      </c>
      <c r="H2" s="53" t="s">
        <v>30</v>
      </c>
    </row>
    <row r="3" collapsed="1">
      <c r="A3" s="40" t="s">
        <v>166</v>
      </c>
      <c r="C3" s="435">
        <v>7.87</v>
      </c>
      <c r="D3" s="436">
        <f>AVERAGE(D4:D6)</f>
        <v>2.96</v>
      </c>
      <c r="E3" s="233">
        <v>5.12</v>
      </c>
      <c r="F3" s="40" t="s">
        <v>167</v>
      </c>
      <c r="G3" s="40" t="s">
        <v>453</v>
      </c>
      <c r="H3" s="234" t="s">
        <v>169</v>
      </c>
    </row>
    <row r="4" hidden="1" outlineLevel="1">
      <c r="B4" s="40" t="s">
        <v>454</v>
      </c>
      <c r="D4" s="40">
        <v>3.06</v>
      </c>
    </row>
    <row r="5" hidden="1" outlineLevel="1">
      <c r="B5" s="40" t="s">
        <v>455</v>
      </c>
      <c r="D5" s="40">
        <v>2.65</v>
      </c>
    </row>
    <row r="6" hidden="1" outlineLevel="1">
      <c r="B6" s="40" t="s">
        <v>456</v>
      </c>
      <c r="D6" s="40">
        <v>3.17</v>
      </c>
    </row>
    <row r="8">
      <c r="A8" s="65" t="s">
        <v>170</v>
      </c>
      <c r="C8" s="437">
        <v>0.05</v>
      </c>
      <c r="F8" s="159" t="s">
        <v>171</v>
      </c>
      <c r="G8" s="64" t="s">
        <v>457</v>
      </c>
      <c r="H8" s="159"/>
    </row>
    <row r="9">
      <c r="A9" s="438" t="s">
        <v>173</v>
      </c>
      <c r="C9" s="439">
        <f t="shared" ref="C9:E9" si="1">C3*$C$8</f>
        <v>0.3935</v>
      </c>
      <c r="D9" s="439">
        <f t="shared" si="1"/>
        <v>0.148</v>
      </c>
      <c r="E9" s="439">
        <f t="shared" si="1"/>
        <v>0.256</v>
      </c>
      <c r="F9" s="159" t="s">
        <v>174</v>
      </c>
      <c r="G9" s="159"/>
      <c r="H9" s="159"/>
    </row>
    <row r="10">
      <c r="A10" s="438" t="s">
        <v>458</v>
      </c>
      <c r="C10" s="440">
        <v>0.0</v>
      </c>
      <c r="F10" s="441" t="s">
        <v>171</v>
      </c>
      <c r="G10" s="441" t="s">
        <v>176</v>
      </c>
      <c r="H10" s="157"/>
    </row>
    <row r="11">
      <c r="A11" s="438" t="s">
        <v>459</v>
      </c>
      <c r="C11" s="440">
        <v>0.0</v>
      </c>
      <c r="F11" s="441" t="s">
        <v>171</v>
      </c>
      <c r="G11" s="441" t="s">
        <v>152</v>
      </c>
      <c r="H11" s="157"/>
    </row>
    <row r="12">
      <c r="A12" s="438" t="s">
        <v>178</v>
      </c>
      <c r="C12" s="439">
        <f t="shared" ref="C12:E12" si="2">C9*(1+$C$10)*(1+$C$11)</f>
        <v>0.3935</v>
      </c>
      <c r="D12" s="439">
        <f t="shared" si="2"/>
        <v>0.148</v>
      </c>
      <c r="E12" s="439">
        <f t="shared" si="2"/>
        <v>0.256</v>
      </c>
      <c r="F12" s="442" t="s">
        <v>174</v>
      </c>
      <c r="G12" s="442"/>
      <c r="H12" s="157"/>
    </row>
    <row r="13">
      <c r="A13" s="438" t="s">
        <v>179</v>
      </c>
      <c r="C13" s="443">
        <v>0.15</v>
      </c>
      <c r="F13" s="444" t="s">
        <v>180</v>
      </c>
      <c r="G13" s="444" t="s">
        <v>460</v>
      </c>
      <c r="H13" s="445" t="s">
        <v>461</v>
      </c>
      <c r="I13" s="40" t="s">
        <v>462</v>
      </c>
    </row>
    <row r="14">
      <c r="A14" s="438" t="s">
        <v>184</v>
      </c>
      <c r="C14" s="446">
        <f t="shared" ref="C14:E14" si="3">C12*$C$13</f>
        <v>0.059025</v>
      </c>
      <c r="D14" s="446">
        <f t="shared" si="3"/>
        <v>0.0222</v>
      </c>
      <c r="E14" s="446">
        <f t="shared" si="3"/>
        <v>0.0384</v>
      </c>
      <c r="F14" s="300" t="s">
        <v>185</v>
      </c>
      <c r="G14" s="159"/>
      <c r="H14" s="157"/>
    </row>
    <row r="15">
      <c r="A15" s="438" t="s">
        <v>186</v>
      </c>
      <c r="C15" s="447">
        <v>0.0067</v>
      </c>
      <c r="F15" s="448" t="s">
        <v>171</v>
      </c>
      <c r="G15" s="449" t="s">
        <v>187</v>
      </c>
      <c r="H15" s="445" t="s">
        <v>188</v>
      </c>
    </row>
    <row r="16">
      <c r="A16" s="438" t="s">
        <v>189</v>
      </c>
      <c r="C16" s="450">
        <f t="shared" ref="C16:E16" si="4">C14*$C$15</f>
        <v>0.0003954675</v>
      </c>
      <c r="D16" s="450">
        <f t="shared" si="4"/>
        <v>0.00014874</v>
      </c>
      <c r="E16" s="450">
        <f t="shared" si="4"/>
        <v>0.00025728</v>
      </c>
      <c r="F16" s="441" t="s">
        <v>171</v>
      </c>
      <c r="G16" s="156"/>
      <c r="H16" s="157"/>
    </row>
    <row r="17">
      <c r="A17" s="438" t="s">
        <v>192</v>
      </c>
      <c r="C17" s="451">
        <v>2.0</v>
      </c>
      <c r="F17" s="449" t="s">
        <v>193</v>
      </c>
      <c r="G17" s="449" t="s">
        <v>463</v>
      </c>
      <c r="H17" s="157"/>
    </row>
    <row r="18">
      <c r="A18" s="438" t="s">
        <v>195</v>
      </c>
      <c r="C18" s="452">
        <f t="shared" ref="C18:E18" si="5">log(1+C16,2)*$C$17</f>
        <v>0.001140852432</v>
      </c>
      <c r="D18" s="452">
        <f t="shared" si="5"/>
        <v>0.0004291410063</v>
      </c>
      <c r="E18" s="452">
        <f t="shared" si="5"/>
        <v>0.0007422576803</v>
      </c>
      <c r="F18" s="300" t="s">
        <v>96</v>
      </c>
      <c r="G18" s="300" t="s">
        <v>196</v>
      </c>
      <c r="H18" s="159"/>
    </row>
    <row r="19">
      <c r="A19" s="438" t="s">
        <v>464</v>
      </c>
      <c r="C19" s="149">
        <f>1/2.3</f>
        <v>0.4347826087</v>
      </c>
      <c r="F19" s="453" t="s">
        <v>96</v>
      </c>
      <c r="G19" s="449" t="s">
        <v>187</v>
      </c>
      <c r="H19" s="159"/>
    </row>
    <row r="20">
      <c r="A20" s="438" t="s">
        <v>465</v>
      </c>
      <c r="C20" s="452">
        <f t="shared" ref="C20:E20" si="6">$C$19*C18</f>
        <v>0.0004960227965</v>
      </c>
      <c r="D20" s="452">
        <f t="shared" si="6"/>
        <v>0.0001865830462</v>
      </c>
      <c r="E20" s="452">
        <f t="shared" si="6"/>
        <v>0.0003227207306</v>
      </c>
      <c r="F20" s="449" t="s">
        <v>198</v>
      </c>
      <c r="G20" s="442"/>
      <c r="H20" s="157"/>
    </row>
    <row r="21">
      <c r="A21" s="438" t="s">
        <v>200</v>
      </c>
      <c r="C21" s="454">
        <f>65-20</f>
        <v>45</v>
      </c>
      <c r="F21" s="300" t="s">
        <v>163</v>
      </c>
      <c r="G21" s="300" t="s">
        <v>201</v>
      </c>
      <c r="H21" s="157"/>
    </row>
    <row r="22">
      <c r="A22" s="65" t="s">
        <v>99</v>
      </c>
      <c r="C22" s="455">
        <v>0.04</v>
      </c>
      <c r="F22" s="449"/>
      <c r="G22" s="442"/>
      <c r="H22" s="157"/>
    </row>
    <row r="23">
      <c r="A23" s="438" t="s">
        <v>202</v>
      </c>
      <c r="C23" s="456">
        <f t="shared" ref="C23:E23" si="7">-PV($C$22,$C$21,C20)</f>
        <v>0.01027761204</v>
      </c>
      <c r="D23" s="456">
        <f t="shared" si="7"/>
        <v>0.003866008126</v>
      </c>
      <c r="E23" s="456">
        <f t="shared" si="7"/>
        <v>0.006686786351</v>
      </c>
      <c r="F23" s="449" t="s">
        <v>203</v>
      </c>
      <c r="G23" s="442"/>
      <c r="H23" s="157"/>
    </row>
    <row r="24">
      <c r="A24" s="438" t="s">
        <v>204</v>
      </c>
      <c r="C24" s="454">
        <v>15.0</v>
      </c>
      <c r="F24" s="457" t="s">
        <v>163</v>
      </c>
      <c r="G24" s="457" t="s">
        <v>466</v>
      </c>
      <c r="H24" s="159"/>
    </row>
    <row r="25">
      <c r="A25" s="458" t="s">
        <v>206</v>
      </c>
      <c r="C25" s="459">
        <f t="shared" ref="C25:E25" si="8">C23*(1-$C$22)^$C$24</f>
        <v>0.005571353503</v>
      </c>
      <c r="D25" s="459">
        <f t="shared" si="8"/>
        <v>0.00209571035</v>
      </c>
      <c r="E25" s="459">
        <f t="shared" si="8"/>
        <v>0.003624815806</v>
      </c>
      <c r="F25" s="460" t="s">
        <v>203</v>
      </c>
      <c r="G25" s="159"/>
      <c r="H25" s="159"/>
    </row>
    <row r="26">
      <c r="A26" s="438" t="s">
        <v>467</v>
      </c>
      <c r="C26" s="461">
        <f>16/84</f>
        <v>0.1904761905</v>
      </c>
      <c r="F26" s="462" t="s">
        <v>109</v>
      </c>
      <c r="G26" s="300" t="s">
        <v>468</v>
      </c>
      <c r="H26" s="463" t="s">
        <v>469</v>
      </c>
    </row>
    <row r="27">
      <c r="A27" s="458" t="s">
        <v>470</v>
      </c>
      <c r="C27" s="464">
        <f t="shared" ref="C27:E27" si="9">$C$26*C25</f>
        <v>0.001061210191</v>
      </c>
      <c r="D27" s="464">
        <f t="shared" si="9"/>
        <v>0.0003991829237</v>
      </c>
      <c r="E27" s="464">
        <f t="shared" si="9"/>
        <v>0.0006904411058</v>
      </c>
      <c r="F27" s="460" t="s">
        <v>471</v>
      </c>
      <c r="G27" s="159"/>
      <c r="H27" s="159"/>
    </row>
    <row r="28">
      <c r="A28" s="458" t="s">
        <v>472</v>
      </c>
      <c r="C28" s="464">
        <f t="shared" ref="C28:E28" si="10">C27+C25</f>
        <v>0.006632563694</v>
      </c>
      <c r="D28" s="464">
        <f t="shared" si="10"/>
        <v>0.002494893273</v>
      </c>
      <c r="E28" s="464">
        <f t="shared" si="10"/>
        <v>0.004315256912</v>
      </c>
      <c r="F28" s="460" t="s">
        <v>203</v>
      </c>
    </row>
    <row r="29">
      <c r="A29" s="65" t="s">
        <v>473</v>
      </c>
      <c r="C29" s="454">
        <v>3489953.0</v>
      </c>
      <c r="D29" s="454">
        <v>503823.0</v>
      </c>
      <c r="E29" s="454">
        <v>591200.0</v>
      </c>
      <c r="F29" s="40" t="s">
        <v>474</v>
      </c>
    </row>
    <row r="30">
      <c r="A30" s="216" t="s">
        <v>207</v>
      </c>
      <c r="C30" s="258">
        <f t="shared" ref="C30:E30" si="11">C28*C29</f>
        <v>23147.33556</v>
      </c>
      <c r="D30" s="258">
        <f t="shared" si="11"/>
        <v>1256.984614</v>
      </c>
      <c r="E30" s="258">
        <f t="shared" si="11"/>
        <v>2551.179886</v>
      </c>
      <c r="F30" s="408" t="s">
        <v>208</v>
      </c>
    </row>
    <row r="32">
      <c r="A32" s="40" t="s">
        <v>434</v>
      </c>
      <c r="C32" s="430">
        <v>0.05</v>
      </c>
      <c r="D32" s="432">
        <v>0.4</v>
      </c>
      <c r="E32" s="432">
        <v>0.35</v>
      </c>
      <c r="G32" s="40" t="s">
        <v>435</v>
      </c>
    </row>
    <row r="33">
      <c r="A33" s="40" t="s">
        <v>475</v>
      </c>
      <c r="C33" s="397">
        <f t="shared" ref="C33:E33" si="12">C30*C32</f>
        <v>1157.366778</v>
      </c>
      <c r="D33" s="397">
        <f t="shared" si="12"/>
        <v>502.7938454</v>
      </c>
      <c r="E33" s="397">
        <f t="shared" si="12"/>
        <v>892.9129601</v>
      </c>
      <c r="F33" s="64" t="s">
        <v>208</v>
      </c>
    </row>
    <row r="35">
      <c r="A35" s="40" t="s">
        <v>438</v>
      </c>
      <c r="C35" s="433">
        <v>7.0</v>
      </c>
      <c r="D35" s="433">
        <f t="shared" ref="D35:E35" si="13">C35</f>
        <v>7</v>
      </c>
      <c r="E35" s="433">
        <f t="shared" si="13"/>
        <v>7</v>
      </c>
      <c r="F35" s="40" t="s">
        <v>439</v>
      </c>
      <c r="G35" s="40" t="s">
        <v>440</v>
      </c>
    </row>
    <row r="36">
      <c r="A36" s="40" t="s">
        <v>441</v>
      </c>
      <c r="C36" s="430">
        <v>0.85</v>
      </c>
      <c r="D36" s="430">
        <v>0.85</v>
      </c>
      <c r="E36" s="430">
        <v>0.85</v>
      </c>
      <c r="F36" s="40" t="s">
        <v>109</v>
      </c>
      <c r="G36" s="40" t="s">
        <v>442</v>
      </c>
    </row>
    <row r="37">
      <c r="A37" s="40" t="s">
        <v>443</v>
      </c>
      <c r="C37" s="429">
        <f t="shared" ref="C37:E37" si="14">C33*C35*C36</f>
        <v>6886.33233</v>
      </c>
      <c r="D37" s="429">
        <f t="shared" si="14"/>
        <v>2991.62338</v>
      </c>
      <c r="E37" s="429">
        <f t="shared" si="14"/>
        <v>5312.832113</v>
      </c>
      <c r="F37" s="64" t="s">
        <v>476</v>
      </c>
    </row>
    <row r="39">
      <c r="A39" s="40" t="s">
        <v>444</v>
      </c>
      <c r="C39" s="80" t="str">
        <f>'Main CEA - Top down GBD'!B14</f>
        <v>#REF!</v>
      </c>
      <c r="D39" s="80" t="str">
        <f t="shared" ref="D39:E39" si="15">C39</f>
        <v>#REF!</v>
      </c>
      <c r="E39" s="80" t="str">
        <f t="shared" si="15"/>
        <v>#REF!</v>
      </c>
      <c r="F39" s="40" t="s">
        <v>52</v>
      </c>
    </row>
    <row r="40">
      <c r="A40" s="40" t="s">
        <v>445</v>
      </c>
      <c r="C40" s="433">
        <v>3.0</v>
      </c>
      <c r="D40" s="433">
        <f t="shared" ref="D40:E40" si="16">C40</f>
        <v>3</v>
      </c>
      <c r="E40" s="433">
        <f t="shared" si="16"/>
        <v>3</v>
      </c>
      <c r="F40" s="40" t="s">
        <v>446</v>
      </c>
      <c r="G40" s="40" t="s">
        <v>447</v>
      </c>
    </row>
    <row r="41">
      <c r="A41" s="40" t="s">
        <v>365</v>
      </c>
      <c r="C41" s="352" t="str">
        <f t="shared" ref="C41:E41" si="17">C39*C40</f>
        <v>#REF!</v>
      </c>
      <c r="D41" s="352" t="str">
        <f t="shared" si="17"/>
        <v>#REF!</v>
      </c>
      <c r="E41" s="352" t="str">
        <f t="shared" si="17"/>
        <v>#REF!</v>
      </c>
      <c r="F41" s="40" t="s">
        <v>52</v>
      </c>
    </row>
    <row r="43">
      <c r="A43" s="40" t="s">
        <v>448</v>
      </c>
      <c r="C43" s="434" t="str">
        <f t="shared" ref="C43:E43" si="18">C41/C37</f>
        <v>#REF!</v>
      </c>
      <c r="D43" s="434" t="str">
        <f t="shared" si="18"/>
        <v>#REF!</v>
      </c>
      <c r="E43" s="434" t="str">
        <f t="shared" si="18"/>
        <v>#REF!</v>
      </c>
      <c r="F43" s="40" t="s">
        <v>477</v>
      </c>
    </row>
  </sheetData>
  <hyperlinks>
    <hyperlink r:id="rId2" ref="H3"/>
    <hyperlink r:id="rId3" location="heading=h.cqwbetxdrmad" ref="F13"/>
    <hyperlink r:id="rId4" ref="G13"/>
    <hyperlink r:id="rId5" location="heading=h.cqwbetxdrmad" ref="H13"/>
    <hyperlink r:id="rId6" location="gid=154585324" ref="F15"/>
    <hyperlink r:id="rId7" location="gid=154585324" ref="H15"/>
    <hyperlink r:id="rId8" ref="F26"/>
    <hyperlink r:id="rId9" ref="H26"/>
  </hyperlinks>
  <drawing r:id="rId10"/>
  <legacy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8"/>
    <col customWidth="1" min="3" max="3" width="58.75"/>
    <col customWidth="1" min="4" max="6" width="16.13"/>
  </cols>
  <sheetData>
    <row r="1">
      <c r="A1" s="36"/>
    </row>
    <row r="2">
      <c r="D2" s="52" t="s">
        <v>478</v>
      </c>
      <c r="E2" s="52" t="s">
        <v>479</v>
      </c>
      <c r="F2" s="52" t="s">
        <v>480</v>
      </c>
      <c r="G2" s="52" t="s">
        <v>29</v>
      </c>
      <c r="H2" s="53" t="s">
        <v>10</v>
      </c>
      <c r="I2" s="53" t="s">
        <v>30</v>
      </c>
    </row>
    <row r="3">
      <c r="A3" s="465" t="s">
        <v>481</v>
      </c>
      <c r="B3" s="40" t="s">
        <v>482</v>
      </c>
      <c r="D3" s="466">
        <v>0.127248</v>
      </c>
      <c r="E3" s="467">
        <f>AVERAGE(D3,F3)</f>
        <v>0.869862</v>
      </c>
      <c r="F3" s="466">
        <v>1.612476</v>
      </c>
      <c r="G3" s="40" t="s">
        <v>483</v>
      </c>
      <c r="H3" s="40" t="s">
        <v>484</v>
      </c>
      <c r="I3" s="234" t="s">
        <v>485</v>
      </c>
    </row>
    <row r="4">
      <c r="B4" s="40" t="s">
        <v>486</v>
      </c>
    </row>
    <row r="5">
      <c r="C5" s="40" t="s">
        <v>487</v>
      </c>
      <c r="D5" s="430">
        <v>0.05</v>
      </c>
      <c r="E5" s="430">
        <v>0.15</v>
      </c>
      <c r="F5" s="430">
        <v>0.25</v>
      </c>
      <c r="G5" s="40" t="s">
        <v>109</v>
      </c>
      <c r="H5" s="40" t="s">
        <v>488</v>
      </c>
    </row>
    <row r="6">
      <c r="C6" s="40" t="s">
        <v>489</v>
      </c>
      <c r="D6" s="430">
        <v>0.1</v>
      </c>
      <c r="E6" s="430">
        <v>0.25</v>
      </c>
      <c r="F6" s="430">
        <v>0.5</v>
      </c>
      <c r="G6" s="40" t="s">
        <v>109</v>
      </c>
      <c r="H6" s="40" t="s">
        <v>490</v>
      </c>
    </row>
    <row r="7">
      <c r="B7" s="40" t="s">
        <v>491</v>
      </c>
      <c r="D7" s="467">
        <f t="shared" ref="D7:F7" si="1">D3*(1+D5)*(1+D6)</f>
        <v>0.14697144</v>
      </c>
      <c r="E7" s="467">
        <f t="shared" si="1"/>
        <v>1.250426625</v>
      </c>
      <c r="F7" s="467">
        <f t="shared" si="1"/>
        <v>3.0233925</v>
      </c>
      <c r="G7" s="40" t="s">
        <v>483</v>
      </c>
    </row>
    <row r="8">
      <c r="B8" s="40" t="s">
        <v>492</v>
      </c>
      <c r="D8" s="430">
        <v>0.03</v>
      </c>
      <c r="E8" s="430">
        <v>0.04</v>
      </c>
      <c r="F8" s="430">
        <v>0.05</v>
      </c>
      <c r="G8" s="40" t="s">
        <v>109</v>
      </c>
      <c r="H8" s="40" t="s">
        <v>493</v>
      </c>
    </row>
    <row r="9">
      <c r="B9" s="40" t="s">
        <v>494</v>
      </c>
      <c r="D9" s="17">
        <f>2024-2013</f>
        <v>11</v>
      </c>
      <c r="E9" s="17">
        <f t="shared" ref="E9:F9" si="2">D9</f>
        <v>11</v>
      </c>
      <c r="F9" s="17">
        <f t="shared" si="2"/>
        <v>11</v>
      </c>
      <c r="G9" s="40" t="s">
        <v>439</v>
      </c>
    </row>
    <row r="10">
      <c r="B10" s="40" t="s">
        <v>495</v>
      </c>
      <c r="D10" s="467">
        <f t="shared" ref="D10:F10" si="3">D7*(1+D8)^D9</f>
        <v>0.2034428453</v>
      </c>
      <c r="E10" s="467">
        <f t="shared" si="3"/>
        <v>1.92497434</v>
      </c>
      <c r="F10" s="467">
        <f t="shared" si="3"/>
        <v>5.171027188</v>
      </c>
      <c r="G10" s="40" t="s">
        <v>483</v>
      </c>
    </row>
    <row r="11">
      <c r="B11" s="40" t="s">
        <v>496</v>
      </c>
      <c r="D11" s="430">
        <v>0.4</v>
      </c>
      <c r="E11" s="430">
        <v>0.2</v>
      </c>
      <c r="F11" s="430">
        <v>0.1</v>
      </c>
      <c r="G11" s="40" t="s">
        <v>109</v>
      </c>
      <c r="H11" s="40" t="s">
        <v>497</v>
      </c>
    </row>
    <row r="12">
      <c r="B12" s="40" t="s">
        <v>498</v>
      </c>
      <c r="D12" s="467">
        <f t="shared" ref="D12:F12" si="4">D10*(1-D11)</f>
        <v>0.1220657072</v>
      </c>
      <c r="E12" s="467">
        <f t="shared" si="4"/>
        <v>1.539979472</v>
      </c>
      <c r="F12" s="467">
        <f t="shared" si="4"/>
        <v>4.653924469</v>
      </c>
      <c r="G12" s="40" t="s">
        <v>483</v>
      </c>
    </row>
    <row r="14">
      <c r="B14" s="40" t="s">
        <v>499</v>
      </c>
      <c r="D14" s="468">
        <v>33.89055</v>
      </c>
      <c r="E14" s="468">
        <v>33.89055</v>
      </c>
      <c r="F14" s="468">
        <v>33.89055</v>
      </c>
      <c r="G14" s="40" t="s">
        <v>483</v>
      </c>
      <c r="I14" s="234" t="s">
        <v>405</v>
      </c>
    </row>
    <row r="15">
      <c r="B15" s="40" t="s">
        <v>408</v>
      </c>
      <c r="D15" s="469">
        <f>(1+0.55)^(1/41)-1</f>
        <v>0.01074647766</v>
      </c>
      <c r="E15" s="469">
        <f t="shared" ref="E15:F15" si="5">D15</f>
        <v>0.01074647766</v>
      </c>
      <c r="F15" s="469">
        <f t="shared" si="5"/>
        <v>0.01074647766</v>
      </c>
      <c r="G15" s="40" t="s">
        <v>109</v>
      </c>
      <c r="H15" s="40" t="s">
        <v>407</v>
      </c>
      <c r="I15" s="234" t="s">
        <v>405</v>
      </c>
    </row>
    <row r="16">
      <c r="B16" s="40" t="s">
        <v>500</v>
      </c>
      <c r="D16" s="470">
        <f t="shared" ref="D16:F16" si="6">D14*(1+D15)^3</f>
        <v>34.99494591</v>
      </c>
      <c r="E16" s="470">
        <f t="shared" si="6"/>
        <v>34.99494591</v>
      </c>
      <c r="F16" s="470">
        <f t="shared" si="6"/>
        <v>34.99494591</v>
      </c>
      <c r="G16" s="40" t="s">
        <v>483</v>
      </c>
    </row>
    <row r="17">
      <c r="B17" s="40" t="s">
        <v>501</v>
      </c>
      <c r="D17" s="432">
        <v>0.2</v>
      </c>
      <c r="E17" s="432">
        <v>0.2</v>
      </c>
      <c r="F17" s="432">
        <v>0.2</v>
      </c>
      <c r="H17" s="40" t="s">
        <v>502</v>
      </c>
    </row>
    <row r="18">
      <c r="B18" s="40" t="s">
        <v>503</v>
      </c>
      <c r="D18" s="470">
        <f t="shared" ref="D18:F18" si="7">D16*(1-D17)</f>
        <v>27.99595673</v>
      </c>
      <c r="E18" s="470">
        <f t="shared" si="7"/>
        <v>27.99595673</v>
      </c>
      <c r="F18" s="470">
        <f t="shared" si="7"/>
        <v>27.99595673</v>
      </c>
    </row>
    <row r="19">
      <c r="B19" s="40" t="s">
        <v>410</v>
      </c>
      <c r="D19" s="428">
        <f t="shared" ref="D19:F19" si="8">D12/D18</f>
        <v>0.004360119154</v>
      </c>
      <c r="E19" s="428">
        <f t="shared" si="8"/>
        <v>0.05500721004</v>
      </c>
      <c r="F19" s="428">
        <f t="shared" si="8"/>
        <v>0.166235593</v>
      </c>
    </row>
    <row r="21">
      <c r="A21" s="465" t="s">
        <v>504</v>
      </c>
      <c r="B21" s="40" t="s">
        <v>505</v>
      </c>
    </row>
    <row r="22">
      <c r="B22" s="40"/>
      <c r="C22" s="40" t="s">
        <v>506</v>
      </c>
      <c r="D22" s="471">
        <v>30000.0</v>
      </c>
      <c r="E22" s="471">
        <f>AVERAGE(D22,F22)</f>
        <v>20000</v>
      </c>
      <c r="F22" s="202">
        <v>10000.0</v>
      </c>
      <c r="G22" s="40" t="s">
        <v>446</v>
      </c>
      <c r="H22" s="40" t="s">
        <v>484</v>
      </c>
      <c r="I22" s="234" t="s">
        <v>485</v>
      </c>
    </row>
    <row r="23">
      <c r="B23" s="40"/>
      <c r="C23" s="40" t="s">
        <v>507</v>
      </c>
      <c r="D23" s="429">
        <f t="shared" ref="D23:F23" si="9">D22*(1+D8)^D9</f>
        <v>41527.01612</v>
      </c>
      <c r="E23" s="429">
        <f t="shared" si="9"/>
        <v>30789.08113</v>
      </c>
      <c r="F23" s="429">
        <f t="shared" si="9"/>
        <v>17103.39358</v>
      </c>
      <c r="G23" s="40" t="s">
        <v>446</v>
      </c>
    </row>
    <row r="24">
      <c r="B24" s="40"/>
      <c r="C24" s="40" t="s">
        <v>508</v>
      </c>
      <c r="D24" s="472">
        <v>2.0</v>
      </c>
      <c r="E24" s="472">
        <v>5.0</v>
      </c>
      <c r="F24" s="472">
        <v>10.0</v>
      </c>
      <c r="G24" s="40" t="s">
        <v>446</v>
      </c>
      <c r="H24" s="40" t="s">
        <v>509</v>
      </c>
    </row>
    <row r="25">
      <c r="B25" s="40"/>
      <c r="C25" s="40" t="s">
        <v>510</v>
      </c>
      <c r="D25" s="429">
        <f t="shared" ref="D25:F25" si="10">D24*90</f>
        <v>180</v>
      </c>
      <c r="E25" s="429">
        <f t="shared" si="10"/>
        <v>450</v>
      </c>
      <c r="F25" s="429">
        <f t="shared" si="10"/>
        <v>900</v>
      </c>
      <c r="G25" s="40" t="s">
        <v>446</v>
      </c>
    </row>
    <row r="26">
      <c r="B26" s="40"/>
      <c r="C26" s="40" t="s">
        <v>505</v>
      </c>
      <c r="D26" s="473">
        <f t="shared" ref="D26:F26" si="11">D23/D25</f>
        <v>230.7056451</v>
      </c>
      <c r="E26" s="473">
        <f t="shared" si="11"/>
        <v>68.42018028</v>
      </c>
      <c r="F26" s="473">
        <f t="shared" si="11"/>
        <v>19.00377065</v>
      </c>
      <c r="G26" s="40" t="s">
        <v>446</v>
      </c>
    </row>
    <row r="27">
      <c r="B27" s="40" t="s">
        <v>511</v>
      </c>
      <c r="D27" s="474">
        <f t="shared" ref="D27:F27" si="12">D12/D26</f>
        <v>0.000529097184</v>
      </c>
      <c r="E27" s="474">
        <f t="shared" si="12"/>
        <v>0.02250767925</v>
      </c>
      <c r="F27" s="474">
        <f t="shared" si="12"/>
        <v>0.2448947925</v>
      </c>
      <c r="G27" s="40" t="s">
        <v>483</v>
      </c>
    </row>
    <row r="28">
      <c r="B28" s="40" t="s">
        <v>512</v>
      </c>
      <c r="D28" s="475">
        <v>1.5</v>
      </c>
      <c r="E28" s="475">
        <v>3.0</v>
      </c>
      <c r="F28" s="475">
        <v>5.0</v>
      </c>
      <c r="G28" s="40" t="s">
        <v>513</v>
      </c>
      <c r="H28" s="40" t="s">
        <v>514</v>
      </c>
    </row>
    <row r="29">
      <c r="B29" s="40" t="s">
        <v>515</v>
      </c>
      <c r="D29" s="432">
        <v>0.8</v>
      </c>
      <c r="E29" s="432">
        <v>0.6</v>
      </c>
      <c r="F29" s="432">
        <v>0.3</v>
      </c>
      <c r="G29" s="40" t="s">
        <v>109</v>
      </c>
    </row>
    <row r="30">
      <c r="B30" s="40" t="s">
        <v>516</v>
      </c>
      <c r="D30" s="474">
        <f t="shared" ref="D30:F30" si="13">D27*D28*(1-D29)</f>
        <v>0.0001587291552</v>
      </c>
      <c r="E30" s="474">
        <f t="shared" si="13"/>
        <v>0.0270092151</v>
      </c>
      <c r="F30" s="474">
        <f t="shared" si="13"/>
        <v>0.8571317738</v>
      </c>
      <c r="G30" s="40" t="s">
        <v>483</v>
      </c>
    </row>
    <row r="31">
      <c r="B31" s="40" t="s">
        <v>517</v>
      </c>
      <c r="D31" s="476">
        <f t="shared" ref="D31:F31" si="14">D30/D33</f>
        <v>0.001298669562</v>
      </c>
      <c r="E31" s="476">
        <f t="shared" si="14"/>
        <v>0.01723638168</v>
      </c>
      <c r="F31" s="476">
        <f t="shared" si="14"/>
        <v>0.1555294913</v>
      </c>
      <c r="G31" s="40" t="s">
        <v>109</v>
      </c>
    </row>
    <row r="33">
      <c r="A33" s="36" t="s">
        <v>518</v>
      </c>
      <c r="D33" s="474">
        <f t="shared" ref="D33:F33" si="15">D30+D12</f>
        <v>0.1222244363</v>
      </c>
      <c r="E33" s="474">
        <f t="shared" si="15"/>
        <v>1.566988687</v>
      </c>
      <c r="F33" s="474">
        <f t="shared" si="15"/>
        <v>5.511056243</v>
      </c>
      <c r="G33" s="40" t="s">
        <v>483</v>
      </c>
    </row>
    <row r="34">
      <c r="A34" s="36" t="s">
        <v>519</v>
      </c>
      <c r="D34" s="470">
        <f t="shared" ref="D34:F34" si="16">D18</f>
        <v>27.99595673</v>
      </c>
      <c r="E34" s="470">
        <f t="shared" si="16"/>
        <v>27.99595673</v>
      </c>
      <c r="F34" s="470">
        <f t="shared" si="16"/>
        <v>27.99595673</v>
      </c>
      <c r="G34" s="40" t="s">
        <v>483</v>
      </c>
      <c r="H34" s="40" t="s">
        <v>520</v>
      </c>
    </row>
    <row r="35">
      <c r="A35" s="36" t="s">
        <v>521</v>
      </c>
      <c r="D35" s="477">
        <f t="shared" ref="D35:F35" si="17">D33/D34</f>
        <v>0.004365788871</v>
      </c>
      <c r="E35" s="477">
        <f t="shared" si="17"/>
        <v>0.05597196418</v>
      </c>
      <c r="F35" s="477">
        <f t="shared" si="17"/>
        <v>0.1968518632</v>
      </c>
      <c r="G35" s="36" t="s">
        <v>109</v>
      </c>
    </row>
    <row r="36">
      <c r="A36" s="478"/>
    </row>
    <row r="37">
      <c r="A37" s="478"/>
    </row>
    <row r="38">
      <c r="A38" s="36"/>
    </row>
    <row r="39">
      <c r="A39" s="478"/>
    </row>
    <row r="40">
      <c r="A40" s="478"/>
    </row>
    <row r="41">
      <c r="A41" s="478"/>
    </row>
  </sheetData>
  <mergeCells count="2">
    <mergeCell ref="A3:A19"/>
    <mergeCell ref="A21:A31"/>
  </mergeCells>
  <hyperlinks>
    <hyperlink r:id="rId1" ref="I3"/>
    <hyperlink r:id="rId2" ref="I14"/>
    <hyperlink r:id="rId3" ref="I15"/>
    <hyperlink r:id="rId4" ref="I22"/>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62.13"/>
  </cols>
  <sheetData>
    <row r="1">
      <c r="C1" s="52" t="s">
        <v>400</v>
      </c>
      <c r="D1" s="52" t="s">
        <v>401</v>
      </c>
      <c r="E1" s="52" t="s">
        <v>79</v>
      </c>
      <c r="F1" s="52" t="s">
        <v>29</v>
      </c>
      <c r="G1" s="53" t="s">
        <v>10</v>
      </c>
      <c r="H1" s="53" t="s">
        <v>30</v>
      </c>
    </row>
    <row r="2">
      <c r="A2" s="40" t="s">
        <v>522</v>
      </c>
      <c r="C2" s="429">
        <f>'Overall GBD ULAB recycling'!E3*10^6</f>
        <v>869862</v>
      </c>
      <c r="F2" s="40" t="s">
        <v>404</v>
      </c>
      <c r="H2" s="234" t="s">
        <v>523</v>
      </c>
    </row>
    <row r="3">
      <c r="A3" s="40" t="s">
        <v>524</v>
      </c>
      <c r="C3" s="471">
        <f>Average(10599,29241)</f>
        <v>19920</v>
      </c>
      <c r="F3" s="40" t="s">
        <v>525</v>
      </c>
      <c r="H3" s="234" t="s">
        <v>526</v>
      </c>
    </row>
    <row r="4">
      <c r="A4" s="40" t="s">
        <v>527</v>
      </c>
      <c r="C4" s="479">
        <f>C2/C3</f>
        <v>43.66777108</v>
      </c>
      <c r="F4" s="40" t="s">
        <v>528</v>
      </c>
      <c r="H4" s="103"/>
    </row>
    <row r="5">
      <c r="A5" s="40" t="s">
        <v>529</v>
      </c>
      <c r="C5" s="430">
        <v>-0.3</v>
      </c>
      <c r="D5" s="430">
        <v>0.1</v>
      </c>
      <c r="E5" s="430">
        <v>0.0</v>
      </c>
      <c r="F5" s="40" t="s">
        <v>109</v>
      </c>
      <c r="H5" s="103" t="s">
        <v>514</v>
      </c>
    </row>
    <row r="6">
      <c r="A6" s="40" t="s">
        <v>530</v>
      </c>
      <c r="C6" s="480">
        <f t="shared" ref="C6:E6" si="1">$C$4*(1-C5)</f>
        <v>56.76810241</v>
      </c>
      <c r="D6" s="480">
        <f t="shared" si="1"/>
        <v>39.30099398</v>
      </c>
      <c r="E6" s="480">
        <f t="shared" si="1"/>
        <v>43.66777108</v>
      </c>
      <c r="F6" s="40" t="s">
        <v>528</v>
      </c>
      <c r="H6" s="103"/>
    </row>
    <row r="8">
      <c r="A8" s="40" t="s">
        <v>531</v>
      </c>
      <c r="C8" s="471">
        <v>1.71466986E8</v>
      </c>
      <c r="D8" s="471">
        <v>4.5538402E7</v>
      </c>
      <c r="E8" s="471">
        <v>7.1702438E7</v>
      </c>
      <c r="H8" s="234" t="s">
        <v>532</v>
      </c>
    </row>
    <row r="9">
      <c r="A9" s="40" t="s">
        <v>533</v>
      </c>
      <c r="C9" s="479">
        <f t="shared" ref="C9:E9" si="2">C8/$C$8</f>
        <v>1</v>
      </c>
      <c r="D9" s="479">
        <f t="shared" si="2"/>
        <v>0.2655811656</v>
      </c>
      <c r="E9" s="479">
        <f t="shared" si="2"/>
        <v>0.4181705159</v>
      </c>
      <c r="G9" s="40" t="s">
        <v>534</v>
      </c>
      <c r="H9" s="103"/>
    </row>
    <row r="10">
      <c r="A10" s="40" t="s">
        <v>535</v>
      </c>
      <c r="C10" s="471">
        <v>1300.0</v>
      </c>
      <c r="D10" s="429">
        <f>C10*D9</f>
        <v>345.2555153</v>
      </c>
      <c r="E10" s="429">
        <f>C10*E9</f>
        <v>543.6216707</v>
      </c>
      <c r="F10" s="40" t="s">
        <v>536</v>
      </c>
      <c r="H10" s="234" t="s">
        <v>537</v>
      </c>
    </row>
    <row r="11">
      <c r="A11" s="481" t="s">
        <v>538</v>
      </c>
      <c r="C11" s="429">
        <f t="shared" ref="C11:E11" si="3">C10*C6</f>
        <v>73798.53313</v>
      </c>
      <c r="D11" s="429">
        <f t="shared" si="3"/>
        <v>13568.88493</v>
      </c>
      <c r="E11" s="429">
        <f t="shared" si="3"/>
        <v>23738.74667</v>
      </c>
    </row>
    <row r="12">
      <c r="A12" s="36"/>
    </row>
    <row r="13">
      <c r="A13" s="36"/>
    </row>
    <row r="14">
      <c r="A14" s="36" t="s">
        <v>539</v>
      </c>
    </row>
    <row r="15">
      <c r="A15" s="40" t="s">
        <v>140</v>
      </c>
      <c r="C15" s="431">
        <f>' Top Down - GBD'!C27</f>
        <v>0.3590620631</v>
      </c>
    </row>
    <row r="16">
      <c r="C16" s="186"/>
    </row>
    <row r="17">
      <c r="A17" s="40" t="s">
        <v>433</v>
      </c>
      <c r="C17" s="429">
        <f t="shared" ref="C17:E17" si="4">$C$15*C11</f>
        <v>26498.25356</v>
      </c>
      <c r="D17" s="429">
        <f t="shared" si="4"/>
        <v>4872.071815</v>
      </c>
      <c r="E17" s="429">
        <f t="shared" si="4"/>
        <v>8523.683355</v>
      </c>
      <c r="F17" s="40" t="s">
        <v>404</v>
      </c>
    </row>
    <row r="18">
      <c r="A18" s="40"/>
    </row>
    <row r="19">
      <c r="A19" s="40" t="s">
        <v>434</v>
      </c>
      <c r="C19" s="430">
        <v>0.05</v>
      </c>
      <c r="D19" s="430">
        <v>0.2</v>
      </c>
      <c r="E19" s="430">
        <v>0.1</v>
      </c>
      <c r="G19" s="40" t="s">
        <v>435</v>
      </c>
    </row>
    <row r="20">
      <c r="A20" s="40" t="s">
        <v>436</v>
      </c>
      <c r="C20" s="430">
        <v>0.4</v>
      </c>
      <c r="D20" s="430">
        <v>0.2</v>
      </c>
      <c r="E20" s="430">
        <v>0.3</v>
      </c>
      <c r="G20" s="40" t="s">
        <v>435</v>
      </c>
    </row>
    <row r="21">
      <c r="A21" s="40" t="s">
        <v>437</v>
      </c>
      <c r="C21" s="429">
        <f t="shared" ref="C21:E21" si="5">C17*C19*(1-C20)</f>
        <v>794.9476067</v>
      </c>
      <c r="D21" s="429">
        <f t="shared" si="5"/>
        <v>779.5314903</v>
      </c>
      <c r="E21" s="429">
        <f t="shared" si="5"/>
        <v>596.6578348</v>
      </c>
      <c r="F21" s="40" t="s">
        <v>404</v>
      </c>
    </row>
    <row r="22">
      <c r="A22" s="40"/>
      <c r="C22" s="40"/>
      <c r="G22" s="40"/>
    </row>
    <row r="23">
      <c r="A23" s="40" t="s">
        <v>438</v>
      </c>
      <c r="C23" s="433">
        <v>7.0</v>
      </c>
      <c r="D23" s="433">
        <f t="shared" ref="D23:E23" si="6">C23</f>
        <v>7</v>
      </c>
      <c r="E23" s="433">
        <f t="shared" si="6"/>
        <v>7</v>
      </c>
      <c r="F23" s="40" t="s">
        <v>439</v>
      </c>
      <c r="G23" s="40" t="s">
        <v>440</v>
      </c>
    </row>
    <row r="24">
      <c r="A24" s="40" t="s">
        <v>441</v>
      </c>
      <c r="C24" s="430">
        <v>0.85</v>
      </c>
      <c r="D24" s="430">
        <v>0.85</v>
      </c>
      <c r="E24" s="430">
        <v>0.85</v>
      </c>
      <c r="F24" s="40" t="s">
        <v>109</v>
      </c>
      <c r="G24" s="40" t="s">
        <v>442</v>
      </c>
    </row>
    <row r="25">
      <c r="A25" s="40" t="s">
        <v>443</v>
      </c>
      <c r="C25" s="429">
        <f t="shared" ref="C25:E25" si="7">C21*C23*C24</f>
        <v>4729.93826</v>
      </c>
      <c r="D25" s="429">
        <f t="shared" si="7"/>
        <v>4638.212367</v>
      </c>
      <c r="E25" s="429">
        <f t="shared" si="7"/>
        <v>3550.114117</v>
      </c>
      <c r="F25" s="40" t="s">
        <v>404</v>
      </c>
    </row>
    <row r="27">
      <c r="A27" s="40" t="s">
        <v>444</v>
      </c>
      <c r="C27" s="482" t="str">
        <f>'Main CEA - Top down GBD'!B14</f>
        <v>#REF!</v>
      </c>
      <c r="D27" s="80" t="str">
        <f t="shared" ref="D27:E27" si="8">C27</f>
        <v>#REF!</v>
      </c>
      <c r="E27" s="80" t="str">
        <f t="shared" si="8"/>
        <v>#REF!</v>
      </c>
      <c r="F27" s="40" t="s">
        <v>52</v>
      </c>
    </row>
    <row r="28">
      <c r="A28" s="40" t="s">
        <v>445</v>
      </c>
      <c r="C28" s="433">
        <v>3.0</v>
      </c>
      <c r="D28" s="433">
        <f t="shared" ref="D28:E28" si="9">C28</f>
        <v>3</v>
      </c>
      <c r="E28" s="433">
        <f t="shared" si="9"/>
        <v>3</v>
      </c>
      <c r="F28" s="40" t="s">
        <v>446</v>
      </c>
      <c r="G28" s="40" t="s">
        <v>447</v>
      </c>
    </row>
    <row r="29">
      <c r="A29" s="40" t="s">
        <v>365</v>
      </c>
      <c r="C29" s="352" t="str">
        <f t="shared" ref="C29:E29" si="10">C27*C28</f>
        <v>#REF!</v>
      </c>
      <c r="D29" s="352" t="str">
        <f t="shared" si="10"/>
        <v>#REF!</v>
      </c>
      <c r="E29" s="352" t="str">
        <f t="shared" si="10"/>
        <v>#REF!</v>
      </c>
      <c r="F29" s="40" t="s">
        <v>52</v>
      </c>
    </row>
    <row r="31">
      <c r="A31" s="40" t="s">
        <v>448</v>
      </c>
      <c r="C31" s="434" t="str">
        <f t="shared" ref="C31:E31" si="11">C29/C25</f>
        <v>#REF!</v>
      </c>
      <c r="D31" s="434" t="str">
        <f t="shared" si="11"/>
        <v>#REF!</v>
      </c>
      <c r="E31" s="434" t="str">
        <f t="shared" si="11"/>
        <v>#REF!</v>
      </c>
      <c r="F31" s="40" t="s">
        <v>449</v>
      </c>
    </row>
  </sheetData>
  <hyperlinks>
    <hyperlink r:id="rId1" ref="H2"/>
    <hyperlink r:id="rId2" ref="H3"/>
    <hyperlink r:id="rId3" ref="H8"/>
    <hyperlink r:id="rId4" ref="H10"/>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25"/>
    <col customWidth="1" min="2" max="2" width="10.13"/>
    <col customWidth="1" min="3" max="3" width="12.63"/>
    <col customWidth="1" min="4" max="5" width="10.13"/>
    <col customWidth="1" min="6" max="6" width="8.0"/>
    <col customWidth="1" min="7" max="7" width="8.25"/>
    <col customWidth="1" min="8" max="8" width="8.13"/>
    <col customWidth="1" hidden="1" min="9" max="9" width="4.63"/>
    <col customWidth="1" min="10" max="10" width="10.13"/>
    <col customWidth="1" min="11" max="11" width="7.75"/>
    <col customWidth="1" min="12" max="12" width="8.75"/>
    <col customWidth="1" min="13" max="13" width="3.63"/>
    <col customWidth="1" min="14" max="14" width="25.13"/>
    <col customWidth="1" min="15" max="15" width="15.13"/>
    <col customWidth="1" min="16" max="16" width="10.88"/>
    <col customWidth="1" min="17" max="26" width="10.13"/>
  </cols>
  <sheetData>
    <row r="1">
      <c r="A1" s="104" t="str">
        <f>IFERROR(IF(K4*L4*SUM(I3:I251)+COUNTA(I3:I251)=0,"Inputs",1/0),"YOU HAVE EDITED ROWS J K or L – PLEASE DO NOT DO THIS")</f>
        <v>Inputs</v>
      </c>
      <c r="B1" s="483" t="s">
        <v>540</v>
      </c>
      <c r="C1" s="484" t="s">
        <v>541</v>
      </c>
      <c r="D1" s="483" t="s">
        <v>542</v>
      </c>
      <c r="E1" s="483" t="s">
        <v>543</v>
      </c>
      <c r="F1" s="52" t="s">
        <v>544</v>
      </c>
      <c r="G1" s="52" t="s">
        <v>545</v>
      </c>
      <c r="H1" s="52" t="s">
        <v>546</v>
      </c>
      <c r="I1" s="485" t="s">
        <v>547</v>
      </c>
      <c r="J1" s="52" t="s">
        <v>29</v>
      </c>
      <c r="K1" s="486" t="s">
        <v>548</v>
      </c>
      <c r="L1" s="486" t="s">
        <v>549</v>
      </c>
      <c r="M1" s="52"/>
      <c r="N1" s="53" t="s">
        <v>10</v>
      </c>
      <c r="O1" s="53" t="s">
        <v>30</v>
      </c>
      <c r="P1" s="424" t="s">
        <v>550</v>
      </c>
      <c r="Q1" s="424" t="s">
        <v>32</v>
      </c>
      <c r="R1" s="53"/>
      <c r="S1" s="53"/>
      <c r="T1" s="53"/>
      <c r="U1" s="53"/>
      <c r="V1" s="53"/>
      <c r="W1" s="53"/>
      <c r="X1" s="53"/>
      <c r="Y1" s="53"/>
      <c r="Z1" s="53"/>
    </row>
    <row r="2" ht="27.0" customHeight="1">
      <c r="A2" s="487" t="s">
        <v>35</v>
      </c>
      <c r="B2" s="488"/>
      <c r="C2" s="488"/>
      <c r="D2" s="488"/>
      <c r="E2" s="488"/>
      <c r="F2" s="488"/>
      <c r="G2" s="488"/>
      <c r="H2" s="488"/>
      <c r="I2" s="489" t="s">
        <v>551</v>
      </c>
      <c r="J2" s="490"/>
      <c r="K2" s="491" t="s">
        <v>552</v>
      </c>
      <c r="M2" s="492"/>
      <c r="N2" s="488"/>
      <c r="O2" s="488"/>
      <c r="P2" s="488"/>
      <c r="Q2" s="493"/>
      <c r="R2" s="493"/>
      <c r="S2" s="488"/>
      <c r="T2" s="488"/>
      <c r="U2" s="488"/>
      <c r="V2" s="488"/>
      <c r="W2" s="488"/>
      <c r="X2" s="488"/>
      <c r="Y2" s="488"/>
      <c r="Z2" s="488"/>
    </row>
    <row r="3" ht="15.0" customHeight="1">
      <c r="A3" s="64" t="s">
        <v>36</v>
      </c>
      <c r="B3" s="169"/>
      <c r="C3" s="169"/>
      <c r="D3" s="169"/>
      <c r="E3" s="169"/>
      <c r="F3" s="169"/>
      <c r="G3" s="169"/>
      <c r="H3" s="169"/>
      <c r="I3" s="169"/>
      <c r="J3" s="169"/>
      <c r="K3" s="494" t="s">
        <v>283</v>
      </c>
      <c r="L3" s="494" t="s">
        <v>283</v>
      </c>
      <c r="M3" s="169"/>
      <c r="N3" s="169"/>
      <c r="O3" s="169"/>
      <c r="P3" s="169"/>
      <c r="Q3" s="169"/>
      <c r="R3" s="169"/>
      <c r="S3" s="169"/>
      <c r="T3" s="169"/>
      <c r="U3" s="169"/>
      <c r="V3" s="169"/>
      <c r="W3" s="169"/>
      <c r="X3" s="169"/>
      <c r="Y3" s="169"/>
      <c r="Z3" s="169"/>
    </row>
    <row r="4" ht="15.0" customHeight="1">
      <c r="A4" s="64" t="s">
        <v>553</v>
      </c>
      <c r="B4" s="169" t="s">
        <v>39</v>
      </c>
      <c r="C4" s="169"/>
      <c r="D4" s="169"/>
      <c r="E4" s="169"/>
      <c r="F4" s="169"/>
      <c r="G4" s="169"/>
      <c r="H4" s="169"/>
      <c r="I4" s="169"/>
      <c r="J4" s="169"/>
      <c r="K4" s="495" t="str">
        <f t="array" ref="K4:K223">SWITCH(C4:C223, 
"Normal", (D4:D223+E4:E223)/2, 
"Lognormal", EXP((LN(D4:D223)+LN(E4:E223))/2 + ((LN(E4:E223)-(LN(D4:D223)+LN(E4:E223))/2)/1.645)^2/2),
"Beta", F4:F223/(F4:F223+G4:G223),
"", "",
"output", "")</f>
        <v/>
      </c>
      <c r="L4" s="496" t="str">
        <f t="array" ref="L4:L223">SWITCH(C4:C223, "Normal", (D4:D223+E4:E223)/2, "Lognormal", EXP((LN(D4:D223)+LN(E4:E223))/2),
"Beta", "Not Implemented",
"", "",
"output", "")</f>
        <v/>
      </c>
      <c r="M4" s="169"/>
      <c r="N4" s="169"/>
      <c r="O4" s="169"/>
      <c r="P4" s="169"/>
      <c r="Q4" s="169"/>
      <c r="R4" s="169"/>
      <c r="S4" s="169"/>
      <c r="T4" s="169"/>
      <c r="U4" s="169"/>
      <c r="V4" s="169"/>
      <c r="W4" s="169"/>
      <c r="X4" s="169"/>
      <c r="Y4" s="169"/>
      <c r="Z4" s="169"/>
    </row>
    <row r="5" ht="15.0" customHeight="1">
      <c r="A5" s="64"/>
      <c r="B5" s="169"/>
      <c r="C5" s="169"/>
      <c r="D5" s="169"/>
      <c r="E5" s="169"/>
      <c r="F5" s="169"/>
      <c r="G5" s="169"/>
      <c r="H5" s="169"/>
      <c r="I5" s="169"/>
      <c r="J5" s="169"/>
      <c r="K5" s="494" t="s">
        <v>283</v>
      </c>
      <c r="L5" s="494" t="s">
        <v>283</v>
      </c>
      <c r="M5" s="169"/>
      <c r="N5" s="169"/>
      <c r="O5" s="169"/>
      <c r="P5" s="169"/>
      <c r="Q5" s="169"/>
      <c r="R5" s="169"/>
      <c r="S5" s="169"/>
      <c r="T5" s="169"/>
      <c r="U5" s="169"/>
      <c r="V5" s="169"/>
      <c r="W5" s="169"/>
      <c r="X5" s="169"/>
      <c r="Y5" s="169"/>
      <c r="Z5" s="169"/>
    </row>
    <row r="6" ht="15.0" customHeight="1">
      <c r="A6" s="64"/>
      <c r="B6" s="169"/>
      <c r="C6" s="169"/>
      <c r="D6" s="169"/>
      <c r="E6" s="169"/>
      <c r="F6" s="169"/>
      <c r="G6" s="169"/>
      <c r="H6" s="169"/>
      <c r="I6" s="169"/>
      <c r="J6" s="169"/>
      <c r="K6" s="494" t="s">
        <v>283</v>
      </c>
      <c r="L6" s="494" t="s">
        <v>283</v>
      </c>
      <c r="M6" s="169"/>
      <c r="N6" s="169"/>
      <c r="O6" s="169"/>
      <c r="P6" s="169"/>
      <c r="Q6" s="169"/>
      <c r="R6" s="169"/>
      <c r="S6" s="169"/>
      <c r="T6" s="169"/>
      <c r="U6" s="169"/>
      <c r="V6" s="169"/>
      <c r="W6" s="169"/>
      <c r="X6" s="169"/>
      <c r="Y6" s="169"/>
      <c r="Z6" s="169"/>
    </row>
    <row r="7" ht="27.0" customHeight="1">
      <c r="A7" s="487" t="s">
        <v>61</v>
      </c>
      <c r="B7" s="488"/>
      <c r="C7" s="488"/>
      <c r="D7" s="488"/>
      <c r="E7" s="488"/>
      <c r="F7" s="488"/>
      <c r="G7" s="488"/>
      <c r="H7" s="488"/>
      <c r="I7" s="488"/>
      <c r="J7" s="488"/>
      <c r="K7" s="497" t="s">
        <v>283</v>
      </c>
      <c r="L7" s="497" t="s">
        <v>283</v>
      </c>
      <c r="M7" s="488"/>
      <c r="N7" s="488"/>
      <c r="O7" s="488"/>
      <c r="P7" s="488"/>
      <c r="Q7" s="493"/>
      <c r="R7" s="493"/>
      <c r="S7" s="488"/>
      <c r="T7" s="488"/>
      <c r="U7" s="488"/>
      <c r="V7" s="488"/>
      <c r="W7" s="488"/>
      <c r="X7" s="488"/>
      <c r="Y7" s="488"/>
      <c r="Z7" s="488"/>
    </row>
    <row r="8">
      <c r="A8" s="283" t="s">
        <v>234</v>
      </c>
      <c r="B8" s="498"/>
      <c r="C8" s="498"/>
      <c r="D8" s="498"/>
      <c r="E8" s="498"/>
      <c r="F8" s="499"/>
      <c r="G8" s="499"/>
      <c r="H8" s="499"/>
      <c r="I8" s="499"/>
      <c r="J8" s="499"/>
      <c r="K8" s="500" t="s">
        <v>283</v>
      </c>
      <c r="L8" s="500" t="s">
        <v>283</v>
      </c>
      <c r="M8" s="499"/>
      <c r="N8" s="501"/>
      <c r="O8" s="501"/>
      <c r="P8" s="501"/>
      <c r="Q8" s="501"/>
      <c r="R8" s="501"/>
      <c r="S8" s="501"/>
      <c r="T8" s="501"/>
      <c r="U8" s="501"/>
      <c r="V8" s="501"/>
      <c r="W8" s="501"/>
      <c r="X8" s="501"/>
      <c r="Y8" s="501"/>
      <c r="Z8" s="501"/>
    </row>
    <row r="9">
      <c r="A9" s="291" t="s">
        <v>554</v>
      </c>
      <c r="B9" s="502"/>
      <c r="C9" s="503"/>
      <c r="D9" s="502"/>
      <c r="E9" s="502"/>
      <c r="F9" s="504"/>
      <c r="G9" s="504"/>
      <c r="H9" s="504"/>
      <c r="I9" s="395"/>
      <c r="J9" s="395" t="s">
        <v>109</v>
      </c>
      <c r="K9" s="505" t="s">
        <v>283</v>
      </c>
      <c r="L9" s="505" t="s">
        <v>283</v>
      </c>
      <c r="M9" s="395"/>
      <c r="N9" s="395"/>
      <c r="O9" s="395"/>
      <c r="P9" s="395"/>
      <c r="Q9" s="395"/>
      <c r="R9" s="395"/>
      <c r="S9" s="395"/>
      <c r="T9" s="395"/>
      <c r="U9" s="395"/>
      <c r="V9" s="395"/>
      <c r="W9" s="395"/>
      <c r="X9" s="395"/>
      <c r="Y9" s="395"/>
      <c r="Z9" s="395"/>
    </row>
    <row r="10">
      <c r="A10" s="210" t="s">
        <v>243</v>
      </c>
      <c r="B10" s="506" t="str">
        <f>IFERROR(LOG(0.5,(1-B9)),"never")</f>
        <v>never</v>
      </c>
      <c r="C10" s="507"/>
      <c r="D10" s="156"/>
      <c r="E10" s="156"/>
      <c r="F10" s="157"/>
      <c r="G10" s="157"/>
      <c r="H10" s="157"/>
      <c r="I10" s="157"/>
      <c r="J10" s="157"/>
      <c r="K10" s="508" t="s">
        <v>283</v>
      </c>
      <c r="L10" s="508" t="s">
        <v>283</v>
      </c>
      <c r="M10" s="157"/>
      <c r="N10" s="159"/>
      <c r="O10" s="159"/>
      <c r="P10" s="509"/>
      <c r="Q10" s="159"/>
      <c r="R10" s="159"/>
      <c r="S10" s="159"/>
      <c r="T10" s="159"/>
      <c r="U10" s="159"/>
      <c r="V10" s="159"/>
      <c r="W10" s="159"/>
      <c r="X10" s="159"/>
      <c r="Y10" s="159"/>
      <c r="Z10" s="159"/>
    </row>
    <row r="11">
      <c r="A11" s="81" t="s">
        <v>555</v>
      </c>
      <c r="B11" s="502">
        <v>0.9</v>
      </c>
      <c r="C11" s="503" t="s">
        <v>556</v>
      </c>
      <c r="D11" s="502">
        <v>0.85</v>
      </c>
      <c r="E11" s="502">
        <v>0.95</v>
      </c>
      <c r="F11" s="504"/>
      <c r="G11" s="504"/>
      <c r="H11" s="504"/>
      <c r="I11" s="40"/>
      <c r="J11" s="40" t="s">
        <v>109</v>
      </c>
      <c r="K11" s="510" t="e">
        <v>#DIV/0!</v>
      </c>
      <c r="L11" s="510" t="s">
        <v>557</v>
      </c>
      <c r="N11" s="102"/>
      <c r="O11" s="102"/>
    </row>
    <row r="12" ht="16.5" customHeight="1">
      <c r="A12" s="81" t="s">
        <v>558</v>
      </c>
      <c r="B12" s="433">
        <v>4.0</v>
      </c>
      <c r="C12" s="503" t="s">
        <v>559</v>
      </c>
      <c r="D12" s="433">
        <v>1.0</v>
      </c>
      <c r="E12" s="433">
        <v>6.0</v>
      </c>
      <c r="F12" s="504"/>
      <c r="G12" s="504"/>
      <c r="H12" s="504"/>
      <c r="I12" s="40"/>
      <c r="J12" s="40" t="s">
        <v>163</v>
      </c>
      <c r="K12" s="510">
        <v>3.5</v>
      </c>
      <c r="L12" s="510">
        <v>3.5</v>
      </c>
      <c r="N12" s="102"/>
      <c r="O12" s="102"/>
      <c r="Q12" s="511"/>
      <c r="R12" s="511"/>
      <c r="S12" s="511"/>
      <c r="T12" s="512"/>
    </row>
    <row r="13">
      <c r="A13" s="513" t="str">
        <f>"   In case useful: Total prob. change happens in timeframe ("&amp;B12&amp;"yrs)"</f>
        <v>   In case useful: Total prob. change happens in timeframe (4yrs)</v>
      </c>
      <c r="B13" s="514">
        <f>1-(1-B11)*(1-B9)^B12</f>
        <v>0.9</v>
      </c>
      <c r="C13" s="180"/>
      <c r="D13" s="180"/>
      <c r="E13" s="180"/>
      <c r="F13" s="180"/>
      <c r="G13" s="180"/>
      <c r="H13" s="180"/>
      <c r="I13" s="180"/>
      <c r="J13" s="180"/>
      <c r="K13" s="508" t="s">
        <v>283</v>
      </c>
      <c r="L13" s="508" t="s">
        <v>283</v>
      </c>
      <c r="M13" s="180"/>
      <c r="N13" s="180"/>
      <c r="O13" s="180"/>
      <c r="P13" s="509"/>
      <c r="Q13" s="180"/>
      <c r="R13" s="180"/>
      <c r="S13" s="180"/>
      <c r="T13" s="180"/>
      <c r="U13" s="180"/>
      <c r="V13" s="180"/>
      <c r="W13" s="180"/>
      <c r="X13" s="180"/>
      <c r="Y13" s="180"/>
      <c r="Z13" s="180"/>
    </row>
    <row r="14">
      <c r="A14" s="291"/>
      <c r="B14" s="395"/>
      <c r="C14" s="395"/>
      <c r="D14" s="395"/>
      <c r="E14" s="395"/>
      <c r="F14" s="395"/>
      <c r="G14" s="395"/>
      <c r="H14" s="395"/>
      <c r="I14" s="395"/>
      <c r="J14" s="395"/>
      <c r="K14" s="505" t="s">
        <v>283</v>
      </c>
      <c r="L14" s="505" t="s">
        <v>283</v>
      </c>
      <c r="M14" s="395"/>
      <c r="N14" s="395"/>
      <c r="O14" s="395"/>
      <c r="P14" s="395"/>
      <c r="Q14" s="395"/>
      <c r="R14" s="395"/>
      <c r="S14" s="395"/>
      <c r="T14" s="395"/>
      <c r="U14" s="395"/>
      <c r="V14" s="395"/>
      <c r="W14" s="395"/>
      <c r="X14" s="395"/>
      <c r="Y14" s="395"/>
      <c r="Z14" s="395"/>
    </row>
    <row r="15">
      <c r="A15" s="128"/>
      <c r="K15" s="510" t="s">
        <v>283</v>
      </c>
      <c r="L15" s="510" t="s">
        <v>283</v>
      </c>
    </row>
    <row r="16" ht="27.0" customHeight="1">
      <c r="A16" s="487" t="s">
        <v>560</v>
      </c>
      <c r="B16" s="488"/>
      <c r="C16" s="488"/>
      <c r="D16" s="488"/>
      <c r="E16" s="488"/>
      <c r="F16" s="488"/>
      <c r="G16" s="488"/>
      <c r="H16" s="488"/>
      <c r="I16" s="488"/>
      <c r="J16" s="488"/>
      <c r="K16" s="497" t="s">
        <v>283</v>
      </c>
      <c r="L16" s="497" t="s">
        <v>283</v>
      </c>
      <c r="M16" s="488"/>
      <c r="N16" s="488"/>
      <c r="O16" s="488"/>
      <c r="P16" s="488"/>
      <c r="Q16" s="493"/>
      <c r="R16" s="493"/>
      <c r="S16" s="488"/>
      <c r="T16" s="488"/>
      <c r="U16" s="488"/>
      <c r="V16" s="488"/>
      <c r="W16" s="488"/>
      <c r="X16" s="488"/>
      <c r="Y16" s="488"/>
      <c r="Z16" s="488"/>
    </row>
    <row r="17">
      <c r="A17" s="143" t="s">
        <v>561</v>
      </c>
      <c r="B17" s="515"/>
      <c r="C17" s="515"/>
      <c r="D17" s="515"/>
      <c r="E17" s="515"/>
      <c r="F17" s="516"/>
      <c r="G17" s="516"/>
      <c r="H17" s="516"/>
      <c r="I17" s="516"/>
      <c r="J17" s="516"/>
      <c r="K17" s="517" t="s">
        <v>283</v>
      </c>
      <c r="L17" s="517" t="s">
        <v>283</v>
      </c>
      <c r="M17" s="516"/>
      <c r="N17" s="518"/>
      <c r="O17" s="518"/>
      <c r="P17" s="518"/>
      <c r="Q17" s="518"/>
      <c r="R17" s="518"/>
      <c r="S17" s="518"/>
      <c r="T17" s="518"/>
      <c r="U17" s="518"/>
      <c r="V17" s="518"/>
      <c r="W17" s="518"/>
      <c r="X17" s="518"/>
      <c r="Y17" s="518"/>
      <c r="Z17" s="518"/>
    </row>
    <row r="18" ht="15.0" customHeight="1">
      <c r="A18" s="64" t="s">
        <v>562</v>
      </c>
      <c r="B18" s="519">
        <v>0.04</v>
      </c>
      <c r="C18" s="503"/>
      <c r="D18" s="519"/>
      <c r="E18" s="519"/>
      <c r="F18" s="504"/>
      <c r="G18" s="504"/>
      <c r="H18" s="504"/>
      <c r="I18" s="157"/>
      <c r="J18" s="157" t="s">
        <v>109</v>
      </c>
      <c r="K18" s="520" t="s">
        <v>283</v>
      </c>
      <c r="L18" s="520" t="s">
        <v>283</v>
      </c>
      <c r="M18" s="157"/>
      <c r="N18" s="102"/>
      <c r="O18" s="102"/>
    </row>
    <row r="19" ht="15.0" customHeight="1">
      <c r="A19" s="64"/>
      <c r="B19" s="169"/>
      <c r="C19" s="169"/>
      <c r="D19" s="169"/>
      <c r="E19" s="169"/>
      <c r="F19" s="169"/>
      <c r="G19" s="169"/>
      <c r="H19" s="169"/>
      <c r="I19" s="169"/>
      <c r="J19" s="169"/>
      <c r="K19" s="494" t="s">
        <v>283</v>
      </c>
      <c r="L19" s="494" t="s">
        <v>283</v>
      </c>
      <c r="M19" s="169"/>
      <c r="N19" s="169"/>
      <c r="O19" s="169"/>
      <c r="P19" s="169"/>
      <c r="Q19" s="169"/>
      <c r="R19" s="169"/>
      <c r="S19" s="169"/>
      <c r="T19" s="169"/>
      <c r="U19" s="169"/>
      <c r="V19" s="169"/>
      <c r="W19" s="169"/>
      <c r="X19" s="169"/>
      <c r="Y19" s="169"/>
      <c r="Z19" s="169"/>
    </row>
    <row r="20">
      <c r="A20" s="119" t="s">
        <v>563</v>
      </c>
      <c r="B20" s="521"/>
      <c r="C20" s="522"/>
      <c r="D20" s="521"/>
      <c r="E20" s="521"/>
      <c r="F20" s="523"/>
      <c r="G20" s="523"/>
      <c r="H20" s="523"/>
      <c r="I20" s="523"/>
      <c r="J20" s="521"/>
      <c r="K20" s="524" t="s">
        <v>283</v>
      </c>
      <c r="L20" s="524" t="s">
        <v>283</v>
      </c>
      <c r="M20" s="523"/>
      <c r="N20" s="525"/>
      <c r="O20" s="525"/>
      <c r="P20" s="525"/>
      <c r="Q20" s="525"/>
      <c r="R20" s="525"/>
      <c r="S20" s="525"/>
      <c r="T20" s="525"/>
      <c r="U20" s="525"/>
      <c r="V20" s="525"/>
      <c r="W20" s="525"/>
      <c r="X20" s="525"/>
      <c r="Y20" s="525"/>
      <c r="Z20" s="525"/>
    </row>
    <row r="21">
      <c r="A21" s="526" t="s">
        <v>564</v>
      </c>
      <c r="B21" s="527"/>
      <c r="C21" s="527"/>
      <c r="D21" s="527"/>
      <c r="E21" s="527"/>
      <c r="F21" s="528"/>
      <c r="G21" s="528"/>
      <c r="H21" s="528"/>
      <c r="I21" s="528"/>
      <c r="J21" s="528"/>
      <c r="K21" s="529" t="s">
        <v>283</v>
      </c>
      <c r="L21" s="529" t="s">
        <v>283</v>
      </c>
      <c r="M21" s="528"/>
      <c r="N21" s="530" t="s">
        <v>565</v>
      </c>
      <c r="O21" s="531"/>
      <c r="P21" s="531"/>
      <c r="Q21" s="531"/>
      <c r="R21" s="531"/>
      <c r="S21" s="531"/>
      <c r="T21" s="531"/>
      <c r="U21" s="531"/>
      <c r="V21" s="531"/>
      <c r="W21" s="531"/>
      <c r="X21" s="531"/>
      <c r="Y21" s="531"/>
      <c r="Z21" s="531"/>
    </row>
    <row r="22">
      <c r="A22" s="64" t="s">
        <v>566</v>
      </c>
      <c r="B22" s="532">
        <v>1.0</v>
      </c>
      <c r="C22" s="533"/>
      <c r="D22" s="532"/>
      <c r="E22" s="532"/>
      <c r="F22" s="534"/>
      <c r="G22" s="534"/>
      <c r="H22" s="534"/>
      <c r="I22" s="157"/>
      <c r="J22" s="169" t="s">
        <v>253</v>
      </c>
      <c r="K22" s="508" t="s">
        <v>283</v>
      </c>
      <c r="L22" s="508" t="s">
        <v>283</v>
      </c>
      <c r="M22" s="157"/>
      <c r="N22" s="438"/>
      <c r="O22" s="159"/>
      <c r="P22" s="159"/>
      <c r="Q22" s="159"/>
      <c r="R22" s="159"/>
      <c r="S22" s="159"/>
      <c r="T22" s="159"/>
      <c r="U22" s="159"/>
      <c r="V22" s="159"/>
      <c r="W22" s="159"/>
      <c r="X22" s="159"/>
      <c r="Y22" s="159"/>
      <c r="Z22" s="159"/>
    </row>
    <row r="23">
      <c r="A23" s="64" t="s">
        <v>567</v>
      </c>
      <c r="B23" s="532">
        <v>3.0</v>
      </c>
      <c r="C23" s="533" t="s">
        <v>559</v>
      </c>
      <c r="D23" s="532">
        <v>2.0</v>
      </c>
      <c r="E23" s="532">
        <v>4.0</v>
      </c>
      <c r="F23" s="535"/>
      <c r="G23" s="535"/>
      <c r="H23" s="535"/>
      <c r="I23" s="157"/>
      <c r="J23" s="157" t="s">
        <v>253</v>
      </c>
      <c r="K23" s="508">
        <v>3.0</v>
      </c>
      <c r="L23" s="508">
        <v>3.0</v>
      </c>
      <c r="M23" s="157"/>
      <c r="N23" s="536" t="s">
        <v>568</v>
      </c>
      <c r="O23" s="18"/>
      <c r="P23" s="159"/>
      <c r="Q23" s="159"/>
      <c r="R23" s="159"/>
      <c r="S23" s="159"/>
      <c r="T23" s="159"/>
      <c r="U23" s="159"/>
      <c r="V23" s="159"/>
      <c r="W23" s="159"/>
      <c r="X23" s="159"/>
      <c r="Y23" s="159"/>
      <c r="Z23" s="159"/>
    </row>
    <row r="24">
      <c r="A24" s="64" t="s">
        <v>569</v>
      </c>
      <c r="B24" s="537">
        <v>130000.0</v>
      </c>
      <c r="C24" s="533" t="s">
        <v>570</v>
      </c>
      <c r="D24" s="537">
        <v>100000.0</v>
      </c>
      <c r="E24" s="537">
        <v>170000.0</v>
      </c>
      <c r="F24" s="535"/>
      <c r="G24" s="535"/>
      <c r="H24" s="535"/>
      <c r="I24" s="157"/>
      <c r="J24" s="157" t="s">
        <v>52</v>
      </c>
      <c r="K24" s="538">
        <v>132090.95873405444</v>
      </c>
      <c r="L24" s="538">
        <v>130384.0481040531</v>
      </c>
      <c r="M24" s="157"/>
      <c r="N24" s="65" t="s">
        <v>83</v>
      </c>
      <c r="O24" s="18" t="s">
        <v>571</v>
      </c>
      <c r="P24" s="159"/>
      <c r="Q24" s="159"/>
      <c r="R24" s="159"/>
      <c r="S24" s="159"/>
      <c r="T24" s="159"/>
      <c r="U24" s="159"/>
      <c r="V24" s="159"/>
      <c r="W24" s="159"/>
      <c r="X24" s="159"/>
      <c r="Y24" s="159"/>
      <c r="Z24" s="159"/>
    </row>
    <row r="25">
      <c r="A25" s="64" t="s">
        <v>572</v>
      </c>
      <c r="B25" s="537">
        <v>250000.0</v>
      </c>
      <c r="C25" s="533" t="s">
        <v>570</v>
      </c>
      <c r="D25" s="537">
        <v>150000.0</v>
      </c>
      <c r="E25" s="537">
        <v>400000.0</v>
      </c>
      <c r="F25" s="535"/>
      <c r="G25" s="535"/>
      <c r="H25" s="535"/>
      <c r="I25" s="157"/>
      <c r="J25" s="157" t="s">
        <v>52</v>
      </c>
      <c r="K25" s="508">
        <v>256079.76998779303</v>
      </c>
      <c r="L25" s="508">
        <v>244948.9742783178</v>
      </c>
      <c r="M25" s="157"/>
      <c r="N25" s="159"/>
      <c r="O25" s="159"/>
      <c r="P25" s="159"/>
      <c r="Q25" s="159"/>
      <c r="R25" s="159"/>
      <c r="S25" s="159"/>
      <c r="T25" s="159"/>
      <c r="U25" s="159"/>
      <c r="V25" s="159"/>
      <c r="W25" s="159"/>
      <c r="X25" s="159"/>
      <c r="Y25" s="159"/>
      <c r="Z25" s="159"/>
    </row>
    <row r="26">
      <c r="A26" s="81" t="s">
        <v>573</v>
      </c>
      <c r="B26" s="327">
        <f>B30*(1-B$18)^(B22-1)</f>
        <v>542800</v>
      </c>
      <c r="C26" s="539"/>
      <c r="D26" s="169"/>
      <c r="E26" s="169"/>
      <c r="F26" s="36"/>
      <c r="G26" s="36"/>
      <c r="H26" s="36"/>
      <c r="I26" s="36"/>
      <c r="J26" s="40" t="s">
        <v>52</v>
      </c>
      <c r="K26" s="505" t="s">
        <v>283</v>
      </c>
      <c r="L26" s="505" t="s">
        <v>283</v>
      </c>
      <c r="M26" s="36"/>
      <c r="O26" s="540"/>
      <c r="P26" s="540"/>
      <c r="Q26" s="540"/>
      <c r="R26" s="540"/>
      <c r="S26" s="540"/>
      <c r="T26" s="540"/>
      <c r="U26" s="540"/>
      <c r="V26" s="540"/>
      <c r="W26" s="540"/>
      <c r="X26" s="540"/>
      <c r="Y26" s="540"/>
      <c r="Z26" s="540"/>
    </row>
    <row r="27">
      <c r="A27" s="337" t="s">
        <v>574</v>
      </c>
      <c r="B27" s="541">
        <f>(B25-B24)/(B23-B22)</f>
        <v>60000</v>
      </c>
      <c r="C27" s="542"/>
      <c r="D27" s="541"/>
      <c r="E27" s="541"/>
      <c r="F27" s="343"/>
      <c r="G27" s="343"/>
      <c r="H27" s="343"/>
      <c r="I27" s="343"/>
      <c r="J27" s="543" t="s">
        <v>52</v>
      </c>
      <c r="K27" s="342" t="s">
        <v>283</v>
      </c>
      <c r="L27" s="342" t="s">
        <v>283</v>
      </c>
      <c r="M27" s="343"/>
      <c r="N27" s="344"/>
      <c r="O27" s="344"/>
      <c r="P27" s="344"/>
      <c r="Q27" s="344"/>
      <c r="R27" s="344"/>
      <c r="S27" s="344"/>
      <c r="T27" s="344"/>
      <c r="U27" s="344"/>
      <c r="V27" s="344"/>
      <c r="W27" s="344"/>
      <c r="X27" s="344"/>
      <c r="Y27" s="344"/>
      <c r="Z27" s="344"/>
    </row>
    <row r="28">
      <c r="A28" s="262" t="s">
        <v>575</v>
      </c>
      <c r="B28" s="544">
        <f>B23-B22+1</f>
        <v>3</v>
      </c>
      <c r="C28" s="539"/>
      <c r="D28" s="544"/>
      <c r="E28" s="544"/>
      <c r="F28" s="36"/>
      <c r="G28" s="36"/>
      <c r="H28" s="36"/>
      <c r="I28" s="36"/>
      <c r="J28" s="219" t="s">
        <v>163</v>
      </c>
      <c r="K28" s="505" t="s">
        <v>283</v>
      </c>
      <c r="L28" s="505" t="s">
        <v>283</v>
      </c>
      <c r="M28" s="36"/>
      <c r="N28" s="40"/>
      <c r="O28" s="540"/>
      <c r="P28" s="540"/>
      <c r="Q28" s="540"/>
      <c r="R28" s="540"/>
      <c r="S28" s="540"/>
      <c r="T28" s="540"/>
      <c r="U28" s="540"/>
      <c r="V28" s="540"/>
      <c r="W28" s="540"/>
      <c r="X28" s="540"/>
      <c r="Y28" s="540"/>
      <c r="Z28" s="540"/>
    </row>
    <row r="29">
      <c r="A29" s="262" t="s">
        <v>576</v>
      </c>
      <c r="B29" s="545">
        <f>(1-B$18)^B28</f>
        <v>0.884736</v>
      </c>
      <c r="C29" s="539"/>
      <c r="D29" s="545"/>
      <c r="E29" s="545"/>
      <c r="F29" s="36"/>
      <c r="G29" s="36"/>
      <c r="H29" s="36"/>
      <c r="I29" s="36"/>
      <c r="J29" s="219" t="s">
        <v>109</v>
      </c>
      <c r="K29" s="505" t="s">
        <v>283</v>
      </c>
      <c r="L29" s="505" t="s">
        <v>283</v>
      </c>
      <c r="M29" s="36"/>
      <c r="N29" s="40"/>
      <c r="O29" s="540"/>
      <c r="P29" s="540"/>
      <c r="Q29" s="540"/>
      <c r="R29" s="540"/>
      <c r="S29" s="540"/>
      <c r="T29" s="540"/>
      <c r="U29" s="540"/>
      <c r="V29" s="540"/>
      <c r="W29" s="540"/>
      <c r="X29" s="540"/>
      <c r="Y29" s="540"/>
      <c r="Z29" s="540"/>
    </row>
    <row r="30">
      <c r="A30" s="262" t="s">
        <v>577</v>
      </c>
      <c r="B30" s="541">
        <f>((B24*((1-B29)) + B27*((1-B29)/(B$18)-1-(B28-1)*B29)) /(B$18))</f>
        <v>542800</v>
      </c>
      <c r="C30" s="539"/>
      <c r="D30" s="541"/>
      <c r="E30" s="541"/>
      <c r="F30" s="36"/>
      <c r="G30" s="36"/>
      <c r="H30" s="36"/>
      <c r="I30" s="36"/>
      <c r="J30" s="219" t="s">
        <v>52</v>
      </c>
      <c r="K30" s="505" t="s">
        <v>283</v>
      </c>
      <c r="L30" s="505" t="s">
        <v>283</v>
      </c>
      <c r="M30" s="36"/>
      <c r="N30" s="40" t="s">
        <v>578</v>
      </c>
      <c r="O30" s="540"/>
      <c r="P30" s="540"/>
      <c r="Q30" s="540"/>
      <c r="R30" s="540"/>
      <c r="S30" s="540"/>
      <c r="T30" s="540"/>
      <c r="U30" s="540"/>
      <c r="V30" s="540"/>
      <c r="W30" s="540"/>
      <c r="X30" s="540"/>
      <c r="Y30" s="540"/>
      <c r="Z30" s="540"/>
    </row>
    <row r="31">
      <c r="A31" s="262" t="s">
        <v>579</v>
      </c>
      <c r="B31" s="541">
        <f>((B24*((1-(1-B$18)^(B23-B22+1))) + ((B25-B24)/(B23-B22))*((1-(1-B$18)^(B23-B22+1))/(B$18)-1-((B23-B22+1)-1)*(1-B$18)^(B23-B22+1))) /(B$18))     *(1-B$64)^(B22-1)</f>
        <v>542800</v>
      </c>
      <c r="C31" s="539"/>
      <c r="D31" s="541"/>
      <c r="E31" s="541"/>
      <c r="F31" s="36"/>
      <c r="G31" s="36"/>
      <c r="H31" s="36"/>
      <c r="I31" s="36"/>
      <c r="J31" s="219" t="s">
        <v>52</v>
      </c>
      <c r="K31" s="505" t="s">
        <v>283</v>
      </c>
      <c r="L31" s="505" t="s">
        <v>283</v>
      </c>
      <c r="M31" s="36"/>
      <c r="N31" s="40"/>
      <c r="O31" s="540"/>
      <c r="P31" s="540"/>
      <c r="Q31" s="540"/>
      <c r="R31" s="540"/>
      <c r="S31" s="540"/>
      <c r="T31" s="540"/>
      <c r="U31" s="540"/>
      <c r="V31" s="540"/>
      <c r="W31" s="540"/>
      <c r="X31" s="540"/>
      <c r="Y31" s="540"/>
      <c r="Z31" s="540"/>
    </row>
    <row r="32">
      <c r="A32" s="137" t="s">
        <v>580</v>
      </c>
      <c r="B32" s="327">
        <f>IF(B$12&lt;B22,0, IF(B$12&gt;B23,B26, ((B24*((1-(1-B$18)^(B$12-B22+1))) + B27*((1-(1-B$18)^(B$12-B22+1))/(B$18)-1-((B$12-B22+1)-1)*(1-B$18)^(B$12-B22+1))) /(B$18))  *(1-B$18)^(B22-1)  ))</f>
        <v>542800</v>
      </c>
      <c r="C32" s="539"/>
      <c r="D32" s="169"/>
      <c r="E32" s="169"/>
      <c r="F32" s="36"/>
      <c r="G32" s="36"/>
      <c r="H32" s="36"/>
      <c r="I32" s="36"/>
      <c r="J32" s="40" t="s">
        <v>52</v>
      </c>
      <c r="K32" s="505" t="s">
        <v>283</v>
      </c>
      <c r="L32" s="505" t="s">
        <v>283</v>
      </c>
      <c r="M32" s="36"/>
      <c r="N32" s="40"/>
      <c r="O32" s="540"/>
      <c r="P32" s="540"/>
      <c r="Q32" s="540"/>
      <c r="R32" s="540"/>
      <c r="S32" s="540"/>
      <c r="T32" s="540"/>
      <c r="U32" s="540"/>
      <c r="V32" s="540"/>
      <c r="W32" s="540"/>
      <c r="X32" s="540"/>
      <c r="Y32" s="540"/>
      <c r="Z32" s="540"/>
    </row>
    <row r="33" ht="15.0" customHeight="1">
      <c r="A33" s="283" t="s">
        <v>581</v>
      </c>
      <c r="B33" s="546" t="s">
        <v>582</v>
      </c>
      <c r="C33" s="498"/>
      <c r="D33" s="498"/>
      <c r="E33" s="498"/>
      <c r="F33" s="499"/>
      <c r="G33" s="499"/>
      <c r="H33" s="499"/>
      <c r="I33" s="499"/>
      <c r="J33" s="546"/>
      <c r="K33" s="500" t="s">
        <v>283</v>
      </c>
      <c r="L33" s="500" t="s">
        <v>283</v>
      </c>
      <c r="M33" s="499"/>
      <c r="N33" s="501"/>
      <c r="O33" s="501"/>
      <c r="P33" s="501"/>
      <c r="Q33" s="501"/>
      <c r="R33" s="501"/>
      <c r="S33" s="501"/>
      <c r="T33" s="501"/>
      <c r="U33" s="501"/>
      <c r="V33" s="501"/>
      <c r="W33" s="501"/>
      <c r="X33" s="501"/>
      <c r="Y33" s="501"/>
      <c r="Z33" s="501"/>
    </row>
    <row r="34" ht="15.0" customHeight="1">
      <c r="A34" s="81" t="s">
        <v>583</v>
      </c>
      <c r="B34" s="547">
        <f>B23+1</f>
        <v>4</v>
      </c>
      <c r="C34" s="40"/>
      <c r="D34" s="169"/>
      <c r="E34" s="169"/>
      <c r="F34" s="40"/>
      <c r="G34" s="40"/>
      <c r="H34" s="40"/>
      <c r="I34" s="40"/>
      <c r="J34" s="40" t="s">
        <v>253</v>
      </c>
      <c r="K34" s="510" t="s">
        <v>283</v>
      </c>
      <c r="L34" s="510" t="s">
        <v>283</v>
      </c>
      <c r="M34" s="40"/>
      <c r="N34" s="40"/>
      <c r="O34" s="40"/>
    </row>
    <row r="35" ht="15.0" customHeight="1">
      <c r="A35" s="81" t="s">
        <v>584</v>
      </c>
      <c r="B35" s="548">
        <v>16.0</v>
      </c>
      <c r="C35" s="503" t="s">
        <v>570</v>
      </c>
      <c r="D35" s="548">
        <v>5.0</v>
      </c>
      <c r="E35" s="548">
        <v>35.0</v>
      </c>
      <c r="F35" s="504"/>
      <c r="G35" s="504"/>
      <c r="H35" s="504"/>
      <c r="I35" s="40"/>
      <c r="J35" s="40" t="s">
        <v>253</v>
      </c>
      <c r="K35" s="510">
        <v>15.757345950243517</v>
      </c>
      <c r="L35" s="510">
        <v>13.22875655532295</v>
      </c>
      <c r="M35" s="40"/>
      <c r="N35" s="27"/>
      <c r="O35" s="27"/>
    </row>
    <row r="36" ht="15.0" customHeight="1">
      <c r="A36" s="81" t="s">
        <v>585</v>
      </c>
      <c r="B36" s="537">
        <f>B25</f>
        <v>250000</v>
      </c>
      <c r="C36" s="40"/>
      <c r="D36" s="169"/>
      <c r="E36" s="169"/>
      <c r="F36" s="40"/>
      <c r="G36" s="40"/>
      <c r="H36" s="40"/>
      <c r="I36" s="157"/>
      <c r="J36" s="40" t="s">
        <v>52</v>
      </c>
      <c r="K36" s="510" t="s">
        <v>283</v>
      </c>
      <c r="L36" s="510" t="s">
        <v>283</v>
      </c>
      <c r="M36" s="40"/>
      <c r="N36" s="27"/>
      <c r="O36" s="27" t="s">
        <v>571</v>
      </c>
    </row>
    <row r="37" ht="15.0" customHeight="1">
      <c r="A37" s="81" t="s">
        <v>586</v>
      </c>
      <c r="B37" s="327">
        <f>(IF(B35="ongoing", B36/B$18, B36*((1-(1-B$18)^B35))/(B$18)) - B36*((1-(1-B$18)^(B34-1)))/(B$18))     *(1-B$18)^(B34-1)</f>
        <v>2014616.173</v>
      </c>
      <c r="C37" s="40"/>
      <c r="D37" s="169"/>
      <c r="E37" s="169"/>
      <c r="F37" s="40"/>
      <c r="G37" s="40"/>
      <c r="H37" s="40"/>
      <c r="I37" s="40"/>
      <c r="J37" s="40" t="s">
        <v>52</v>
      </c>
      <c r="K37" s="510" t="s">
        <v>283</v>
      </c>
      <c r="L37" s="510" t="s">
        <v>283</v>
      </c>
      <c r="M37" s="40"/>
      <c r="N37" s="40"/>
      <c r="O37" s="40"/>
    </row>
    <row r="38" ht="15.0" customHeight="1">
      <c r="A38" s="137" t="s">
        <v>587</v>
      </c>
      <c r="B38" s="327">
        <f>IF(B$12&lt;B34,0,IF(B$12&gt;B35,B37, B36*((1-(1-B$18)^B$12))/(B$18) - B36*((1-(1-B$18)^(B34-1)))/(B$18) )) *(1-B$18)^(B34-1)</f>
        <v>195689.4474</v>
      </c>
      <c r="C38" s="40"/>
      <c r="D38" s="169"/>
      <c r="E38" s="169"/>
      <c r="F38" s="40"/>
      <c r="G38" s="40"/>
      <c r="H38" s="40"/>
      <c r="I38" s="40"/>
      <c r="J38" s="138" t="s">
        <v>52</v>
      </c>
      <c r="K38" s="510" t="s">
        <v>283</v>
      </c>
      <c r="L38" s="510" t="s">
        <v>283</v>
      </c>
      <c r="M38" s="40"/>
      <c r="N38" s="40"/>
      <c r="O38" s="40"/>
    </row>
    <row r="39">
      <c r="A39" s="84"/>
      <c r="B39" s="549"/>
      <c r="C39" s="549"/>
      <c r="D39" s="549"/>
      <c r="E39" s="549"/>
      <c r="F39" s="36"/>
      <c r="G39" s="36"/>
      <c r="H39" s="36"/>
      <c r="I39" s="36"/>
      <c r="J39" s="36"/>
      <c r="K39" s="505" t="s">
        <v>283</v>
      </c>
      <c r="L39" s="505" t="s">
        <v>283</v>
      </c>
      <c r="M39" s="36"/>
      <c r="N39" s="540"/>
      <c r="O39" s="540"/>
      <c r="P39" s="540"/>
      <c r="Q39" s="540"/>
      <c r="R39" s="540"/>
      <c r="S39" s="540"/>
      <c r="T39" s="540"/>
      <c r="U39" s="540"/>
      <c r="V39" s="540"/>
      <c r="W39" s="540"/>
      <c r="X39" s="540"/>
      <c r="Y39" s="540"/>
      <c r="Z39" s="540"/>
    </row>
    <row r="40">
      <c r="A40" s="84"/>
      <c r="B40" s="549"/>
      <c r="C40" s="549"/>
      <c r="D40" s="549"/>
      <c r="E40" s="549"/>
      <c r="F40" s="36"/>
      <c r="G40" s="36"/>
      <c r="H40" s="36"/>
      <c r="I40" s="36"/>
      <c r="J40" s="36"/>
      <c r="K40" s="505" t="s">
        <v>283</v>
      </c>
      <c r="L40" s="505" t="s">
        <v>283</v>
      </c>
      <c r="M40" s="36"/>
      <c r="N40" s="540"/>
      <c r="O40" s="540"/>
      <c r="P40" s="540"/>
      <c r="Q40" s="540"/>
      <c r="R40" s="540"/>
      <c r="S40" s="540"/>
      <c r="T40" s="540"/>
      <c r="U40" s="540"/>
      <c r="V40" s="540"/>
      <c r="W40" s="540"/>
      <c r="X40" s="540"/>
      <c r="Y40" s="540"/>
      <c r="Z40" s="540"/>
    </row>
    <row r="41">
      <c r="A41" s="119" t="s">
        <v>87</v>
      </c>
      <c r="B41" s="522"/>
      <c r="C41" s="522"/>
      <c r="D41" s="522"/>
      <c r="E41" s="522"/>
      <c r="F41" s="523"/>
      <c r="G41" s="523"/>
      <c r="H41" s="523"/>
      <c r="I41" s="523"/>
      <c r="J41" s="523"/>
      <c r="K41" s="524" t="s">
        <v>283</v>
      </c>
      <c r="L41" s="524" t="s">
        <v>283</v>
      </c>
      <c r="M41" s="523"/>
      <c r="N41" s="525"/>
      <c r="O41" s="525"/>
      <c r="P41" s="525"/>
      <c r="Q41" s="525"/>
      <c r="R41" s="525"/>
      <c r="S41" s="525"/>
      <c r="T41" s="525"/>
      <c r="U41" s="525"/>
      <c r="V41" s="525"/>
      <c r="W41" s="525"/>
      <c r="X41" s="525"/>
      <c r="Y41" s="525"/>
      <c r="Z41" s="525"/>
    </row>
    <row r="42">
      <c r="A42" s="283" t="s">
        <v>50</v>
      </c>
      <c r="B42" s="498"/>
      <c r="C42" s="498"/>
      <c r="D42" s="498"/>
      <c r="E42" s="498"/>
      <c r="F42" s="499"/>
      <c r="G42" s="499"/>
      <c r="H42" s="499"/>
      <c r="I42" s="499"/>
      <c r="J42" s="499"/>
      <c r="K42" s="500" t="s">
        <v>283</v>
      </c>
      <c r="L42" s="500" t="s">
        <v>283</v>
      </c>
      <c r="M42" s="499"/>
      <c r="N42" s="501"/>
      <c r="O42" s="501"/>
      <c r="P42" s="501"/>
      <c r="Q42" s="501"/>
      <c r="R42" s="501"/>
      <c r="S42" s="501"/>
      <c r="T42" s="501"/>
      <c r="U42" s="501"/>
      <c r="V42" s="501"/>
      <c r="W42" s="501"/>
      <c r="X42" s="501"/>
      <c r="Y42" s="501"/>
      <c r="Z42" s="501"/>
    </row>
    <row r="43">
      <c r="A43" s="81" t="s">
        <v>588</v>
      </c>
      <c r="B43" s="550"/>
      <c r="C43" s="503"/>
      <c r="D43" s="551"/>
      <c r="E43" s="551"/>
      <c r="F43" s="504"/>
      <c r="G43" s="504"/>
      <c r="H43" s="504"/>
      <c r="I43" s="40"/>
      <c r="J43" s="40" t="s">
        <v>589</v>
      </c>
      <c r="K43" s="510" t="s">
        <v>283</v>
      </c>
      <c r="L43" s="510" t="s">
        <v>283</v>
      </c>
      <c r="M43" s="40"/>
      <c r="N43" s="27"/>
      <c r="O43" s="27"/>
      <c r="Q43" s="76"/>
      <c r="R43" s="76"/>
    </row>
    <row r="44">
      <c r="A44" s="81" t="s">
        <v>590</v>
      </c>
      <c r="B44" s="552"/>
      <c r="C44" s="503"/>
      <c r="D44" s="552"/>
      <c r="E44" s="552"/>
      <c r="F44" s="504"/>
      <c r="G44" s="504"/>
      <c r="H44" s="504"/>
      <c r="I44" s="40"/>
      <c r="J44" s="40" t="s">
        <v>52</v>
      </c>
      <c r="K44" s="510" t="s">
        <v>283</v>
      </c>
      <c r="L44" s="510" t="s">
        <v>283</v>
      </c>
      <c r="M44" s="40"/>
      <c r="N44" s="27"/>
      <c r="O44" s="27"/>
      <c r="P44" s="553"/>
      <c r="Q44" s="554"/>
      <c r="R44" s="76"/>
    </row>
    <row r="45">
      <c r="A45" s="81" t="s">
        <v>591</v>
      </c>
      <c r="B45" s="548"/>
      <c r="C45" s="503"/>
      <c r="D45" s="548"/>
      <c r="E45" s="548"/>
      <c r="F45" s="504"/>
      <c r="G45" s="504"/>
      <c r="H45" s="504"/>
      <c r="I45" s="40"/>
      <c r="J45" s="40" t="s">
        <v>592</v>
      </c>
      <c r="K45" s="510" t="s">
        <v>283</v>
      </c>
      <c r="L45" s="510" t="s">
        <v>283</v>
      </c>
      <c r="M45" s="40"/>
      <c r="N45" s="27"/>
      <c r="O45" s="27"/>
      <c r="P45" s="553"/>
      <c r="Q45" s="554"/>
      <c r="R45" s="76"/>
    </row>
    <row r="46">
      <c r="A46" s="81" t="s">
        <v>593</v>
      </c>
      <c r="B46" s="555">
        <f>B43+IF(B45="",0,B44/B45)</f>
        <v>0</v>
      </c>
      <c r="C46" s="330"/>
      <c r="D46" s="169"/>
      <c r="E46" s="169"/>
      <c r="F46" s="40"/>
      <c r="G46" s="40"/>
      <c r="H46" s="40"/>
      <c r="I46" s="40"/>
      <c r="J46" s="40" t="s">
        <v>589</v>
      </c>
      <c r="K46" s="510" t="s">
        <v>283</v>
      </c>
      <c r="L46" s="510" t="s">
        <v>283</v>
      </c>
      <c r="M46" s="40"/>
      <c r="N46" s="27"/>
      <c r="O46" s="27"/>
      <c r="P46" s="553"/>
      <c r="Q46" s="554"/>
      <c r="R46" s="76"/>
    </row>
    <row r="47">
      <c r="A47" s="81" t="s">
        <v>594</v>
      </c>
      <c r="B47" s="556" t="str">
        <f>B126</f>
        <v>#DIV/0!</v>
      </c>
      <c r="D47" s="169"/>
      <c r="E47" s="169"/>
      <c r="J47" s="40" t="s">
        <v>101</v>
      </c>
      <c r="K47" s="510" t="s">
        <v>283</v>
      </c>
      <c r="L47" s="510" t="s">
        <v>283</v>
      </c>
    </row>
    <row r="48">
      <c r="A48" s="81" t="s">
        <v>595</v>
      </c>
      <c r="B48" s="557" t="str">
        <f>B47*B46</f>
        <v>#DIV/0!</v>
      </c>
      <c r="C48" s="330"/>
      <c r="D48" s="169"/>
      <c r="E48" s="169"/>
      <c r="F48" s="40"/>
      <c r="G48" s="40"/>
      <c r="H48" s="40"/>
      <c r="I48" s="40"/>
      <c r="J48" s="40" t="s">
        <v>52</v>
      </c>
      <c r="K48" s="510" t="s">
        <v>283</v>
      </c>
      <c r="L48" s="510" t="s">
        <v>283</v>
      </c>
      <c r="M48" s="40"/>
      <c r="N48" s="27"/>
      <c r="O48" s="27"/>
      <c r="P48" s="553"/>
      <c r="Q48" s="554"/>
      <c r="R48" s="76"/>
    </row>
    <row r="49" ht="15.0" customHeight="1">
      <c r="A49" s="137" t="s">
        <v>596</v>
      </c>
      <c r="B49" s="550">
        <v>0.0</v>
      </c>
      <c r="C49" s="503"/>
      <c r="D49" s="550"/>
      <c r="E49" s="550"/>
      <c r="F49" s="504"/>
      <c r="G49" s="504"/>
      <c r="H49" s="504"/>
      <c r="I49" s="40"/>
      <c r="J49" s="138" t="s">
        <v>52</v>
      </c>
      <c r="K49" s="510" t="s">
        <v>283</v>
      </c>
      <c r="L49" s="510" t="s">
        <v>283</v>
      </c>
      <c r="M49" s="40"/>
      <c r="N49" s="40"/>
      <c r="O49" s="40"/>
    </row>
    <row r="50">
      <c r="A50" s="84"/>
      <c r="B50" s="558"/>
      <c r="C50" s="334"/>
      <c r="D50" s="558"/>
      <c r="E50" s="558"/>
      <c r="F50" s="36"/>
      <c r="G50" s="36"/>
      <c r="H50" s="36"/>
      <c r="I50" s="36"/>
      <c r="J50" s="36"/>
      <c r="K50" s="505" t="s">
        <v>283</v>
      </c>
      <c r="L50" s="505" t="s">
        <v>283</v>
      </c>
      <c r="M50" s="36"/>
      <c r="N50" s="40"/>
      <c r="O50" s="40"/>
      <c r="Q50" s="76"/>
      <c r="R50" s="76"/>
    </row>
    <row r="51">
      <c r="A51" s="119" t="s">
        <v>597</v>
      </c>
      <c r="B51" s="522"/>
      <c r="C51" s="522"/>
      <c r="D51" s="522"/>
      <c r="E51" s="522"/>
      <c r="F51" s="523"/>
      <c r="G51" s="523"/>
      <c r="H51" s="523"/>
      <c r="I51" s="523"/>
      <c r="J51" s="523"/>
      <c r="K51" s="524" t="s">
        <v>283</v>
      </c>
      <c r="L51" s="524" t="s">
        <v>283</v>
      </c>
      <c r="M51" s="523"/>
      <c r="N51" s="525"/>
      <c r="O51" s="525"/>
      <c r="P51" s="525"/>
      <c r="Q51" s="525"/>
      <c r="R51" s="525"/>
      <c r="S51" s="525"/>
      <c r="T51" s="525"/>
      <c r="U51" s="525"/>
      <c r="V51" s="525"/>
      <c r="W51" s="525"/>
      <c r="X51" s="525"/>
      <c r="Y51" s="525"/>
      <c r="Z51" s="525"/>
    </row>
    <row r="52">
      <c r="A52" s="81" t="s">
        <v>598</v>
      </c>
      <c r="B52" s="356" t="str">
        <f>B48+B37+B26</f>
        <v>#DIV/0!</v>
      </c>
      <c r="C52" s="334"/>
      <c r="D52" s="169"/>
      <c r="E52" s="169"/>
      <c r="F52" s="40"/>
      <c r="G52" s="40"/>
      <c r="H52" s="40"/>
      <c r="I52" s="40"/>
      <c r="J52" s="40" t="s">
        <v>52</v>
      </c>
      <c r="K52" s="505" t="s">
        <v>283</v>
      </c>
      <c r="L52" s="505" t="s">
        <v>283</v>
      </c>
      <c r="M52" s="40"/>
      <c r="N52" s="40"/>
      <c r="O52" s="40"/>
      <c r="Q52" s="76"/>
      <c r="R52" s="76"/>
    </row>
    <row r="53">
      <c r="A53" s="81" t="s">
        <v>599</v>
      </c>
      <c r="B53" s="356">
        <f>B49+B38+B32</f>
        <v>738489.4474</v>
      </c>
      <c r="C53" s="334"/>
      <c r="D53" s="169"/>
      <c r="E53" s="169"/>
      <c r="F53" s="36"/>
      <c r="G53" s="36"/>
      <c r="H53" s="36"/>
      <c r="I53" s="36"/>
      <c r="J53" s="138" t="s">
        <v>52</v>
      </c>
      <c r="K53" s="505" t="s">
        <v>283</v>
      </c>
      <c r="L53" s="505" t="s">
        <v>283</v>
      </c>
      <c r="M53" s="36"/>
      <c r="N53" s="40"/>
      <c r="O53" s="40"/>
      <c r="Q53" s="76"/>
      <c r="R53" s="76"/>
    </row>
    <row r="54">
      <c r="A54" s="84" t="s">
        <v>323</v>
      </c>
      <c r="B54" s="559" t="str">
        <f>B52+((1-B11)/B11)*B53</f>
        <v>#DIV/0!</v>
      </c>
      <c r="C54" s="334"/>
      <c r="D54" s="169"/>
      <c r="E54" s="169"/>
      <c r="F54" s="36"/>
      <c r="G54" s="36"/>
      <c r="H54" s="36"/>
      <c r="I54" s="36"/>
      <c r="J54" s="36" t="s">
        <v>52</v>
      </c>
      <c r="K54" s="505" t="s">
        <v>283</v>
      </c>
      <c r="L54" s="505" t="s">
        <v>283</v>
      </c>
      <c r="M54" s="36"/>
      <c r="N54" s="40"/>
      <c r="O54" s="40"/>
      <c r="Q54" s="76"/>
      <c r="R54" s="76"/>
    </row>
    <row r="55">
      <c r="A55" s="84"/>
      <c r="B55" s="558"/>
      <c r="C55" s="334"/>
      <c r="D55" s="558"/>
      <c r="E55" s="558"/>
      <c r="F55" s="36"/>
      <c r="G55" s="36"/>
      <c r="H55" s="36"/>
      <c r="I55" s="36"/>
      <c r="J55" s="36"/>
      <c r="K55" s="505" t="s">
        <v>283</v>
      </c>
      <c r="L55" s="505" t="s">
        <v>283</v>
      </c>
      <c r="M55" s="36"/>
      <c r="N55" s="40"/>
      <c r="O55" s="40"/>
      <c r="Q55" s="76"/>
      <c r="R55" s="76"/>
    </row>
    <row r="56">
      <c r="A56" s="119" t="s">
        <v>600</v>
      </c>
      <c r="B56" s="522"/>
      <c r="C56" s="522"/>
      <c r="D56" s="522"/>
      <c r="E56" s="522"/>
      <c r="F56" s="523"/>
      <c r="G56" s="523"/>
      <c r="H56" s="523"/>
      <c r="I56" s="523"/>
      <c r="J56" s="523"/>
      <c r="K56" s="524" t="s">
        <v>283</v>
      </c>
      <c r="L56" s="524" t="s">
        <v>283</v>
      </c>
      <c r="M56" s="523"/>
      <c r="N56" s="525"/>
      <c r="O56" s="525"/>
      <c r="P56" s="525"/>
      <c r="Q56" s="525"/>
      <c r="R56" s="525"/>
      <c r="S56" s="525"/>
      <c r="T56" s="525"/>
      <c r="U56" s="525"/>
      <c r="V56" s="525"/>
      <c r="W56" s="525"/>
      <c r="X56" s="525"/>
      <c r="Y56" s="525"/>
      <c r="Z56" s="525"/>
    </row>
    <row r="57">
      <c r="A57" s="81" t="s">
        <v>601</v>
      </c>
      <c r="B57" s="552">
        <v>0.0</v>
      </c>
      <c r="C57" s="503"/>
      <c r="D57" s="552"/>
      <c r="E57" s="552"/>
      <c r="F57" s="504"/>
      <c r="G57" s="504"/>
      <c r="H57" s="504"/>
      <c r="I57" s="40"/>
      <c r="J57" s="40" t="s">
        <v>226</v>
      </c>
      <c r="K57" s="510" t="s">
        <v>283</v>
      </c>
      <c r="L57" s="510" t="s">
        <v>283</v>
      </c>
      <c r="M57" s="40"/>
      <c r="O57" s="40"/>
      <c r="Q57" s="76"/>
      <c r="R57" s="76"/>
    </row>
    <row r="58">
      <c r="A58" s="81" t="s">
        <v>602</v>
      </c>
      <c r="B58" s="552">
        <v>0.0</v>
      </c>
      <c r="C58" s="503"/>
      <c r="D58" s="552"/>
      <c r="E58" s="552"/>
      <c r="F58" s="504"/>
      <c r="G58" s="504"/>
      <c r="H58" s="504"/>
      <c r="I58" s="40"/>
      <c r="J58" s="40" t="s">
        <v>226</v>
      </c>
      <c r="K58" s="510" t="s">
        <v>283</v>
      </c>
      <c r="L58" s="510" t="s">
        <v>283</v>
      </c>
      <c r="M58" s="40"/>
      <c r="N58" s="40"/>
      <c r="O58" s="40"/>
      <c r="Q58" s="76"/>
      <c r="R58" s="76"/>
    </row>
    <row r="59">
      <c r="A59" s="84"/>
      <c r="B59" s="560"/>
      <c r="C59" s="334"/>
      <c r="D59" s="560"/>
      <c r="E59" s="560"/>
      <c r="F59" s="36"/>
      <c r="G59" s="36"/>
      <c r="H59" s="36"/>
      <c r="I59" s="36"/>
      <c r="J59" s="36"/>
      <c r="K59" s="505" t="s">
        <v>283</v>
      </c>
      <c r="L59" s="505" t="s">
        <v>283</v>
      </c>
      <c r="M59" s="36"/>
      <c r="N59" s="27"/>
      <c r="O59" s="27"/>
      <c r="Q59" s="76"/>
      <c r="R59" s="76"/>
    </row>
    <row r="60">
      <c r="A60" s="84"/>
      <c r="B60" s="560"/>
      <c r="C60" s="334"/>
      <c r="D60" s="560"/>
      <c r="E60" s="560"/>
      <c r="F60" s="36"/>
      <c r="G60" s="36"/>
      <c r="H60" s="36"/>
      <c r="I60" s="36"/>
      <c r="J60" s="36"/>
      <c r="K60" s="505" t="s">
        <v>283</v>
      </c>
      <c r="L60" s="505" t="s">
        <v>283</v>
      </c>
      <c r="M60" s="36"/>
      <c r="N60" s="40"/>
      <c r="O60" s="40"/>
      <c r="Q60" s="76"/>
      <c r="R60" s="76"/>
    </row>
    <row r="61" ht="27.0" customHeight="1">
      <c r="A61" s="487" t="s">
        <v>603</v>
      </c>
      <c r="B61" s="488"/>
      <c r="C61" s="488"/>
      <c r="D61" s="488"/>
      <c r="E61" s="488"/>
      <c r="F61" s="488"/>
      <c r="G61" s="488"/>
      <c r="H61" s="488"/>
      <c r="I61" s="488"/>
      <c r="J61" s="488"/>
      <c r="K61" s="497" t="s">
        <v>283</v>
      </c>
      <c r="L61" s="497" t="s">
        <v>283</v>
      </c>
      <c r="M61" s="488"/>
      <c r="N61" s="488"/>
      <c r="O61" s="488"/>
      <c r="P61" s="488"/>
      <c r="Q61" s="493"/>
      <c r="R61" s="493"/>
      <c r="S61" s="488"/>
      <c r="T61" s="488"/>
      <c r="U61" s="488"/>
      <c r="V61" s="488"/>
      <c r="W61" s="488"/>
      <c r="X61" s="488"/>
      <c r="Y61" s="488"/>
      <c r="Z61" s="488"/>
    </row>
    <row r="62">
      <c r="A62" s="143" t="s">
        <v>94</v>
      </c>
      <c r="B62" s="515"/>
      <c r="C62" s="515"/>
      <c r="D62" s="515"/>
      <c r="E62" s="515"/>
      <c r="F62" s="516"/>
      <c r="G62" s="516"/>
      <c r="H62" s="516"/>
      <c r="I62" s="516"/>
      <c r="J62" s="516"/>
      <c r="K62" s="517" t="s">
        <v>283</v>
      </c>
      <c r="L62" s="517" t="s">
        <v>283</v>
      </c>
      <c r="M62" s="516"/>
      <c r="N62" s="518"/>
      <c r="O62" s="518"/>
      <c r="P62" s="518"/>
      <c r="Q62" s="518"/>
      <c r="R62" s="518"/>
      <c r="S62" s="518"/>
      <c r="T62" s="518"/>
      <c r="U62" s="518"/>
      <c r="V62" s="518"/>
      <c r="W62" s="518"/>
      <c r="X62" s="518"/>
      <c r="Y62" s="518"/>
      <c r="Z62" s="518"/>
    </row>
    <row r="63" ht="15.0" customHeight="1">
      <c r="A63" s="64" t="s">
        <v>604</v>
      </c>
      <c r="B63" s="561">
        <f>1/2.3</f>
        <v>0.4347826087</v>
      </c>
      <c r="C63" s="503"/>
      <c r="D63" s="561"/>
      <c r="E63" s="561"/>
      <c r="F63" s="504"/>
      <c r="G63" s="504"/>
      <c r="H63" s="504"/>
      <c r="I63" s="562"/>
      <c r="J63" s="562" t="s">
        <v>96</v>
      </c>
      <c r="K63" s="563" t="s">
        <v>283</v>
      </c>
      <c r="L63" s="563" t="s">
        <v>283</v>
      </c>
      <c r="M63" s="562"/>
      <c r="N63" s="27"/>
    </row>
    <row r="64" ht="15.0" customHeight="1">
      <c r="A64" s="64" t="s">
        <v>605</v>
      </c>
      <c r="B64" s="519">
        <v>0.04</v>
      </c>
      <c r="C64" s="503"/>
      <c r="D64" s="519"/>
      <c r="E64" s="519"/>
      <c r="F64" s="504"/>
      <c r="G64" s="504"/>
      <c r="H64" s="504"/>
      <c r="I64" s="157"/>
      <c r="J64" s="157" t="s">
        <v>109</v>
      </c>
      <c r="K64" s="508" t="s">
        <v>283</v>
      </c>
      <c r="L64" s="508" t="s">
        <v>283</v>
      </c>
      <c r="M64" s="157"/>
      <c r="N64" s="102"/>
      <c r="O64" s="102"/>
    </row>
    <row r="65" ht="15.0" customHeight="1">
      <c r="A65" s="64"/>
      <c r="B65" s="169"/>
      <c r="C65" s="169"/>
      <c r="D65" s="169"/>
      <c r="E65" s="169"/>
      <c r="F65" s="169"/>
      <c r="G65" s="169"/>
      <c r="H65" s="169"/>
      <c r="I65" s="169"/>
      <c r="J65" s="169"/>
      <c r="K65" s="494" t="s">
        <v>283</v>
      </c>
      <c r="L65" s="494" t="s">
        <v>283</v>
      </c>
      <c r="M65" s="169"/>
      <c r="N65" s="169"/>
      <c r="O65" s="169"/>
      <c r="P65" s="169"/>
      <c r="Q65" s="169"/>
      <c r="R65" s="169"/>
      <c r="S65" s="169"/>
      <c r="T65" s="169"/>
      <c r="U65" s="169"/>
      <c r="V65" s="169"/>
      <c r="W65" s="169"/>
      <c r="X65" s="169"/>
      <c r="Y65" s="169"/>
      <c r="Z65" s="169"/>
    </row>
    <row r="66">
      <c r="A66" s="160" t="s">
        <v>606</v>
      </c>
      <c r="B66" s="522"/>
      <c r="C66" s="522"/>
      <c r="D66" s="522"/>
      <c r="E66" s="522"/>
      <c r="F66" s="523"/>
      <c r="G66" s="523"/>
      <c r="H66" s="523"/>
      <c r="I66" s="523"/>
      <c r="J66" s="564"/>
      <c r="K66" s="524" t="s">
        <v>283</v>
      </c>
      <c r="L66" s="524" t="s">
        <v>283</v>
      </c>
      <c r="M66" s="523"/>
      <c r="N66" s="525"/>
      <c r="O66" s="525"/>
      <c r="P66" s="525"/>
      <c r="Q66" s="525"/>
      <c r="R66" s="525"/>
      <c r="S66" s="525"/>
      <c r="T66" s="525"/>
      <c r="U66" s="525"/>
      <c r="V66" s="525"/>
      <c r="W66" s="525"/>
      <c r="X66" s="525"/>
      <c r="Y66" s="525"/>
      <c r="Z66" s="525"/>
    </row>
    <row r="67">
      <c r="A67" s="283" t="s">
        <v>50</v>
      </c>
      <c r="B67" s="498"/>
      <c r="C67" s="498"/>
      <c r="D67" s="498"/>
      <c r="E67" s="498"/>
      <c r="F67" s="499"/>
      <c r="G67" s="499"/>
      <c r="H67" s="499"/>
      <c r="I67" s="499"/>
      <c r="J67" s="499"/>
      <c r="K67" s="500" t="s">
        <v>283</v>
      </c>
      <c r="L67" s="500" t="s">
        <v>283</v>
      </c>
      <c r="M67" s="499"/>
      <c r="N67" s="501"/>
      <c r="O67" s="501"/>
      <c r="P67" s="501"/>
      <c r="Q67" s="501"/>
      <c r="R67" s="501"/>
      <c r="S67" s="501"/>
      <c r="T67" s="501"/>
      <c r="U67" s="501"/>
      <c r="V67" s="501"/>
      <c r="W67" s="501"/>
      <c r="X67" s="501"/>
      <c r="Y67" s="501"/>
      <c r="Z67" s="501"/>
    </row>
    <row r="68">
      <c r="A68" s="81" t="s">
        <v>607</v>
      </c>
      <c r="B68" s="565"/>
      <c r="C68" s="503"/>
      <c r="D68" s="565"/>
      <c r="E68" s="565"/>
      <c r="F68" s="504"/>
      <c r="G68" s="504"/>
      <c r="H68" s="504"/>
      <c r="I68" s="40"/>
      <c r="J68" s="40" t="s">
        <v>220</v>
      </c>
      <c r="K68" s="510" t="s">
        <v>283</v>
      </c>
      <c r="L68" s="510" t="s">
        <v>283</v>
      </c>
      <c r="M68" s="40"/>
      <c r="N68" s="27"/>
      <c r="O68" s="27"/>
      <c r="Q68" s="76"/>
      <c r="R68" s="76"/>
    </row>
    <row r="69">
      <c r="A69" s="81" t="s">
        <v>608</v>
      </c>
      <c r="B69" s="502"/>
      <c r="C69" s="503"/>
      <c r="D69" s="502"/>
      <c r="E69" s="502"/>
      <c r="F69" s="504"/>
      <c r="G69" s="504"/>
      <c r="H69" s="504"/>
      <c r="I69" s="40"/>
      <c r="J69" s="40" t="s">
        <v>143</v>
      </c>
      <c r="K69" s="510" t="s">
        <v>283</v>
      </c>
      <c r="L69" s="510" t="s">
        <v>283</v>
      </c>
      <c r="M69" s="40"/>
    </row>
    <row r="70">
      <c r="A70" s="81" t="s">
        <v>609</v>
      </c>
      <c r="B70" s="566"/>
      <c r="C70" s="503"/>
      <c r="D70" s="566"/>
      <c r="E70" s="566"/>
      <c r="F70" s="504"/>
      <c r="G70" s="504"/>
      <c r="H70" s="504"/>
      <c r="I70" s="40"/>
      <c r="J70" s="40" t="s">
        <v>610</v>
      </c>
      <c r="K70" s="510" t="s">
        <v>283</v>
      </c>
      <c r="L70" s="510" t="s">
        <v>283</v>
      </c>
      <c r="M70" s="40"/>
      <c r="N70" s="27"/>
      <c r="O70" s="27"/>
      <c r="P70" s="553"/>
    </row>
    <row r="71">
      <c r="A71" s="137" t="s">
        <v>611</v>
      </c>
      <c r="B71" s="502"/>
      <c r="C71" s="503"/>
      <c r="D71" s="502"/>
      <c r="E71" s="502"/>
      <c r="F71" s="504"/>
      <c r="G71" s="504"/>
      <c r="H71" s="504"/>
      <c r="I71" s="40"/>
      <c r="J71" s="40" t="s">
        <v>171</v>
      </c>
      <c r="K71" s="510" t="s">
        <v>283</v>
      </c>
      <c r="L71" s="510" t="s">
        <v>283</v>
      </c>
      <c r="M71" s="40"/>
      <c r="N71" s="27"/>
      <c r="O71" s="27"/>
      <c r="P71" s="76"/>
    </row>
    <row r="72">
      <c r="A72" s="137" t="s">
        <v>612</v>
      </c>
      <c r="B72" s="502"/>
      <c r="C72" s="503"/>
      <c r="D72" s="502"/>
      <c r="E72" s="502"/>
      <c r="F72" s="504"/>
      <c r="G72" s="504"/>
      <c r="H72" s="504"/>
      <c r="I72" s="40"/>
      <c r="J72" s="40" t="s">
        <v>171</v>
      </c>
      <c r="K72" s="510" t="s">
        <v>283</v>
      </c>
      <c r="L72" s="510" t="s">
        <v>283</v>
      </c>
      <c r="M72" s="40"/>
      <c r="N72" s="27"/>
      <c r="O72" s="27"/>
      <c r="P72" s="76"/>
    </row>
    <row r="73">
      <c r="A73" s="137" t="s">
        <v>613</v>
      </c>
      <c r="B73" s="567">
        <f>B70*(1+B71)*(1+B72)</f>
        <v>0</v>
      </c>
      <c r="C73" s="503"/>
      <c r="D73" s="169"/>
      <c r="E73" s="169"/>
      <c r="F73" s="40"/>
      <c r="G73" s="40"/>
      <c r="H73" s="40"/>
      <c r="I73" s="40"/>
      <c r="J73" s="40" t="s">
        <v>610</v>
      </c>
      <c r="K73" s="510" t="s">
        <v>283</v>
      </c>
      <c r="L73" s="510" t="s">
        <v>283</v>
      </c>
      <c r="M73" s="40"/>
      <c r="N73" s="27"/>
      <c r="O73" s="27"/>
      <c r="P73" s="76"/>
    </row>
    <row r="74">
      <c r="A74" s="81" t="s">
        <v>614</v>
      </c>
      <c r="B74" s="547"/>
      <c r="C74" s="503"/>
      <c r="D74" s="169"/>
      <c r="E74" s="169"/>
      <c r="F74" s="40"/>
      <c r="G74" s="40"/>
      <c r="H74" s="40"/>
      <c r="I74" s="40"/>
      <c r="J74" s="40" t="s">
        <v>615</v>
      </c>
      <c r="K74" s="510" t="s">
        <v>283</v>
      </c>
      <c r="L74" s="510" t="s">
        <v>283</v>
      </c>
      <c r="M74" s="40"/>
    </row>
    <row r="75">
      <c r="A75" s="283" t="s">
        <v>50</v>
      </c>
      <c r="B75" s="498"/>
      <c r="C75" s="498"/>
      <c r="D75" s="498"/>
      <c r="E75" s="498"/>
      <c r="F75" s="499"/>
      <c r="G75" s="499"/>
      <c r="H75" s="499"/>
      <c r="I75" s="499"/>
      <c r="J75" s="499"/>
      <c r="K75" s="500" t="s">
        <v>283</v>
      </c>
      <c r="L75" s="500" t="s">
        <v>283</v>
      </c>
      <c r="M75" s="499"/>
      <c r="N75" s="501"/>
      <c r="O75" s="501"/>
      <c r="P75" s="501"/>
      <c r="Q75" s="501"/>
      <c r="R75" s="501"/>
      <c r="S75" s="501"/>
      <c r="T75" s="501"/>
      <c r="U75" s="501"/>
      <c r="V75" s="501"/>
      <c r="W75" s="501"/>
      <c r="X75" s="501"/>
      <c r="Y75" s="501"/>
      <c r="Z75" s="501"/>
    </row>
    <row r="76">
      <c r="A76" s="81" t="s">
        <v>607</v>
      </c>
      <c r="B76" s="565"/>
      <c r="C76" s="503"/>
      <c r="D76" s="565"/>
      <c r="E76" s="565"/>
      <c r="F76" s="504"/>
      <c r="G76" s="504"/>
      <c r="H76" s="504"/>
      <c r="I76" s="40"/>
      <c r="J76" s="40" t="s">
        <v>220</v>
      </c>
      <c r="K76" s="510" t="s">
        <v>283</v>
      </c>
      <c r="L76" s="510" t="s">
        <v>283</v>
      </c>
      <c r="M76" s="40"/>
      <c r="N76" s="27"/>
      <c r="O76" s="27"/>
      <c r="Q76" s="76"/>
      <c r="R76" s="76"/>
    </row>
    <row r="77">
      <c r="A77" s="81" t="s">
        <v>608</v>
      </c>
      <c r="B77" s="502"/>
      <c r="C77" s="503"/>
      <c r="D77" s="502"/>
      <c r="E77" s="502"/>
      <c r="F77" s="504"/>
      <c r="G77" s="504"/>
      <c r="H77" s="504"/>
      <c r="I77" s="40"/>
      <c r="J77" s="40" t="s">
        <v>143</v>
      </c>
      <c r="K77" s="510" t="s">
        <v>283</v>
      </c>
      <c r="L77" s="510" t="s">
        <v>283</v>
      </c>
      <c r="M77" s="40"/>
    </row>
    <row r="78">
      <c r="A78" s="81" t="s">
        <v>614</v>
      </c>
      <c r="B78" s="547"/>
      <c r="C78" s="503"/>
      <c r="D78" s="169"/>
      <c r="E78" s="169"/>
      <c r="F78" s="40"/>
      <c r="G78" s="40"/>
      <c r="H78" s="40"/>
      <c r="I78" s="40"/>
      <c r="J78" s="40" t="s">
        <v>615</v>
      </c>
      <c r="K78" s="510" t="s">
        <v>283</v>
      </c>
      <c r="L78" s="510" t="s">
        <v>283</v>
      </c>
      <c r="M78" s="40"/>
    </row>
    <row r="79">
      <c r="A79" s="283" t="s">
        <v>616</v>
      </c>
      <c r="B79" s="498"/>
      <c r="C79" s="498"/>
      <c r="D79" s="498"/>
      <c r="E79" s="498"/>
      <c r="F79" s="499"/>
      <c r="G79" s="499"/>
      <c r="H79" s="499"/>
      <c r="I79" s="499"/>
      <c r="J79" s="499"/>
      <c r="K79" s="500" t="s">
        <v>283</v>
      </c>
      <c r="L79" s="500" t="s">
        <v>283</v>
      </c>
      <c r="M79" s="499"/>
      <c r="N79" s="501"/>
      <c r="O79" s="501"/>
      <c r="P79" s="501"/>
      <c r="Q79" s="501"/>
      <c r="R79" s="501"/>
      <c r="S79" s="501"/>
      <c r="T79" s="501"/>
      <c r="U79" s="501"/>
      <c r="V79" s="501"/>
      <c r="W79" s="501"/>
      <c r="X79" s="501"/>
      <c r="Y79" s="501"/>
      <c r="Z79" s="501"/>
    </row>
    <row r="80">
      <c r="A80" s="81" t="s">
        <v>617</v>
      </c>
      <c r="B80" s="568"/>
      <c r="C80" s="395"/>
      <c r="D80" s="169"/>
      <c r="E80" s="169"/>
      <c r="F80" s="40"/>
      <c r="G80" s="40"/>
      <c r="H80" s="40"/>
      <c r="I80" s="40"/>
      <c r="J80" s="40"/>
      <c r="K80" s="510" t="s">
        <v>283</v>
      </c>
      <c r="L80" s="510" t="s">
        <v>283</v>
      </c>
      <c r="M80" s="40"/>
    </row>
    <row r="81">
      <c r="A81" s="81" t="s">
        <v>618</v>
      </c>
      <c r="B81" s="433">
        <v>1.0</v>
      </c>
      <c r="C81" s="503"/>
      <c r="D81" s="433"/>
      <c r="E81" s="433"/>
      <c r="F81" s="504"/>
      <c r="G81" s="504"/>
      <c r="H81" s="504"/>
      <c r="I81" s="40"/>
      <c r="J81" s="40"/>
      <c r="K81" s="510" t="s">
        <v>283</v>
      </c>
      <c r="L81" s="510" t="s">
        <v>283</v>
      </c>
      <c r="M81" s="40"/>
    </row>
    <row r="82">
      <c r="A82" s="81" t="s">
        <v>619</v>
      </c>
      <c r="B82" s="433">
        <v>0.0</v>
      </c>
      <c r="C82" s="503"/>
      <c r="D82" s="433"/>
      <c r="E82" s="433"/>
      <c r="F82" s="504"/>
      <c r="G82" s="504"/>
      <c r="H82" s="504"/>
      <c r="I82" s="40"/>
      <c r="J82" s="40"/>
      <c r="K82" s="510" t="s">
        <v>283</v>
      </c>
      <c r="L82" s="510" t="s">
        <v>283</v>
      </c>
      <c r="M82" s="40"/>
    </row>
    <row r="83">
      <c r="A83" s="81" t="s">
        <v>620</v>
      </c>
      <c r="B83" s="569">
        <f>IF(B81="ongoing", B80/B$64, B80*((1-(1-B$64)^B81))/(B$64)) *(1-B$64)^(B82)</f>
        <v>0</v>
      </c>
      <c r="C83" s="395"/>
      <c r="D83" s="169"/>
      <c r="E83" s="169"/>
      <c r="F83" s="40"/>
      <c r="G83" s="40"/>
      <c r="H83" s="40"/>
      <c r="I83" s="40"/>
      <c r="J83" s="40"/>
      <c r="K83" s="510" t="s">
        <v>283</v>
      </c>
      <c r="L83" s="510" t="s">
        <v>283</v>
      </c>
      <c r="M83" s="40"/>
    </row>
    <row r="84">
      <c r="A84" s="81"/>
      <c r="B84" s="40"/>
      <c r="C84" s="395"/>
      <c r="D84" s="40"/>
      <c r="E84" s="40"/>
      <c r="F84" s="40"/>
      <c r="G84" s="40"/>
      <c r="H84" s="40"/>
      <c r="I84" s="40"/>
      <c r="J84" s="40"/>
      <c r="K84" s="510" t="s">
        <v>283</v>
      </c>
      <c r="L84" s="510" t="s">
        <v>283</v>
      </c>
      <c r="M84" s="40"/>
    </row>
    <row r="85">
      <c r="A85" s="119" t="s">
        <v>621</v>
      </c>
      <c r="B85" s="522"/>
      <c r="C85" s="522"/>
      <c r="D85" s="522"/>
      <c r="E85" s="522"/>
      <c r="F85" s="523"/>
      <c r="G85" s="523"/>
      <c r="H85" s="523"/>
      <c r="I85" s="523"/>
      <c r="J85" s="523"/>
      <c r="K85" s="524" t="s">
        <v>283</v>
      </c>
      <c r="L85" s="524" t="s">
        <v>283</v>
      </c>
      <c r="M85" s="523"/>
      <c r="N85" s="525"/>
      <c r="O85" s="525"/>
      <c r="P85" s="525"/>
      <c r="Q85" s="525"/>
      <c r="R85" s="525"/>
      <c r="S85" s="525"/>
      <c r="T85" s="525"/>
      <c r="U85" s="525"/>
      <c r="V85" s="525"/>
      <c r="W85" s="525"/>
      <c r="X85" s="525"/>
      <c r="Y85" s="525"/>
      <c r="Z85" s="525"/>
    </row>
    <row r="86">
      <c r="A86" s="81" t="s">
        <v>620</v>
      </c>
      <c r="B86" s="570"/>
      <c r="C86" s="395"/>
      <c r="D86" s="169"/>
      <c r="E86" s="169"/>
      <c r="F86" s="40"/>
      <c r="G86" s="40"/>
      <c r="H86" s="40"/>
      <c r="I86" s="40"/>
      <c r="J86" s="40"/>
      <c r="K86" s="510" t="s">
        <v>283</v>
      </c>
      <c r="L86" s="510" t="s">
        <v>283</v>
      </c>
      <c r="M86" s="40"/>
      <c r="N86" s="40"/>
      <c r="O86" s="40"/>
      <c r="P86" s="76"/>
    </row>
    <row r="87">
      <c r="A87" s="81"/>
      <c r="B87" s="40"/>
      <c r="C87" s="40"/>
      <c r="D87" s="40"/>
      <c r="E87" s="40"/>
      <c r="F87" s="40"/>
      <c r="G87" s="40"/>
      <c r="H87" s="40"/>
      <c r="I87" s="40"/>
      <c r="J87" s="40"/>
      <c r="K87" s="510" t="s">
        <v>283</v>
      </c>
      <c r="L87" s="510" t="s">
        <v>283</v>
      </c>
      <c r="M87" s="40"/>
      <c r="N87" s="27"/>
      <c r="O87" s="27"/>
      <c r="P87" s="76"/>
    </row>
    <row r="88">
      <c r="A88" s="119" t="s">
        <v>622</v>
      </c>
      <c r="B88" s="571" t="s">
        <v>623</v>
      </c>
      <c r="C88" s="522"/>
      <c r="D88" s="522"/>
      <c r="E88" s="522"/>
      <c r="F88" s="523"/>
      <c r="G88" s="523"/>
      <c r="H88" s="523"/>
      <c r="I88" s="523"/>
      <c r="J88" s="571"/>
      <c r="K88" s="524" t="s">
        <v>283</v>
      </c>
      <c r="L88" s="524" t="s">
        <v>283</v>
      </c>
      <c r="M88" s="523"/>
      <c r="N88" s="525"/>
      <c r="O88" s="525"/>
      <c r="P88" s="525"/>
      <c r="Q88" s="525"/>
      <c r="R88" s="525"/>
      <c r="S88" s="525"/>
      <c r="T88" s="525"/>
      <c r="U88" s="525"/>
      <c r="V88" s="525"/>
      <c r="W88" s="525"/>
      <c r="X88" s="525"/>
      <c r="Y88" s="525"/>
      <c r="Z88" s="525"/>
    </row>
    <row r="89">
      <c r="A89" s="81" t="s">
        <v>624</v>
      </c>
      <c r="B89" s="572"/>
      <c r="C89" s="503"/>
      <c r="D89" s="572"/>
      <c r="E89" s="572"/>
      <c r="F89" s="504"/>
      <c r="G89" s="504"/>
      <c r="H89" s="504"/>
      <c r="I89" s="40"/>
      <c r="J89" s="40" t="s">
        <v>625</v>
      </c>
      <c r="K89" s="510" t="s">
        <v>283</v>
      </c>
      <c r="L89" s="510" t="s">
        <v>283</v>
      </c>
      <c r="M89" s="40"/>
      <c r="N89" s="27"/>
      <c r="O89" s="27"/>
      <c r="P89" s="76"/>
    </row>
    <row r="90">
      <c r="A90" s="81" t="s">
        <v>626</v>
      </c>
      <c r="B90" s="572"/>
      <c r="C90" s="503"/>
      <c r="D90" s="572"/>
      <c r="E90" s="572"/>
      <c r="F90" s="504"/>
      <c r="G90" s="504"/>
      <c r="H90" s="504"/>
      <c r="I90" s="40"/>
      <c r="J90" s="40" t="s">
        <v>627</v>
      </c>
      <c r="K90" s="510" t="s">
        <v>283</v>
      </c>
      <c r="L90" s="510" t="s">
        <v>283</v>
      </c>
      <c r="M90" s="40"/>
      <c r="N90" s="27"/>
      <c r="O90" s="27"/>
      <c r="P90" s="76"/>
    </row>
    <row r="91">
      <c r="A91" s="84"/>
      <c r="B91" s="560"/>
      <c r="C91" s="334"/>
      <c r="D91" s="560"/>
      <c r="E91" s="560"/>
      <c r="F91" s="36"/>
      <c r="G91" s="36"/>
      <c r="H91" s="36"/>
      <c r="I91" s="36"/>
      <c r="J91" s="36"/>
      <c r="K91" s="505" t="s">
        <v>283</v>
      </c>
      <c r="L91" s="505" t="s">
        <v>283</v>
      </c>
      <c r="M91" s="36"/>
      <c r="N91" s="27"/>
      <c r="O91" s="27"/>
      <c r="Q91" s="76"/>
      <c r="R91" s="76"/>
    </row>
    <row r="92">
      <c r="A92" s="119" t="s">
        <v>628</v>
      </c>
      <c r="B92" s="571" t="s">
        <v>629</v>
      </c>
      <c r="C92" s="522"/>
      <c r="D92" s="571"/>
      <c r="E92" s="571"/>
      <c r="F92" s="523"/>
      <c r="G92" s="523"/>
      <c r="H92" s="523"/>
      <c r="I92" s="523"/>
      <c r="J92" s="571"/>
      <c r="K92" s="524" t="s">
        <v>283</v>
      </c>
      <c r="L92" s="524" t="s">
        <v>283</v>
      </c>
      <c r="M92" s="523"/>
      <c r="N92" s="525"/>
      <c r="O92" s="525"/>
      <c r="P92" s="525"/>
      <c r="Q92" s="525"/>
      <c r="R92" s="525"/>
      <c r="S92" s="525"/>
      <c r="T92" s="525"/>
      <c r="U92" s="525"/>
      <c r="V92" s="525"/>
      <c r="W92" s="525"/>
      <c r="X92" s="525"/>
      <c r="Y92" s="525"/>
      <c r="Z92" s="525"/>
    </row>
    <row r="93">
      <c r="A93" s="84" t="s">
        <v>630</v>
      </c>
      <c r="B93" s="569">
        <f>B89+B86+B83</f>
        <v>0</v>
      </c>
      <c r="C93" s="334"/>
      <c r="D93" s="169"/>
      <c r="E93" s="169"/>
      <c r="F93" s="36"/>
      <c r="G93" s="36"/>
      <c r="H93" s="36"/>
      <c r="I93" s="36"/>
      <c r="J93" s="40" t="s">
        <v>625</v>
      </c>
      <c r="K93" s="505" t="s">
        <v>283</v>
      </c>
      <c r="L93" s="505" t="s">
        <v>283</v>
      </c>
      <c r="M93" s="36"/>
      <c r="N93" s="27"/>
      <c r="O93" s="27"/>
      <c r="Q93" s="76"/>
      <c r="R93" s="76"/>
    </row>
    <row r="94">
      <c r="A94" s="81"/>
      <c r="B94" s="40"/>
      <c r="C94" s="334"/>
      <c r="D94" s="40"/>
      <c r="E94" s="40"/>
      <c r="F94" s="36"/>
      <c r="G94" s="36"/>
      <c r="H94" s="36"/>
      <c r="I94" s="36"/>
      <c r="J94" s="40"/>
      <c r="K94" s="505" t="s">
        <v>283</v>
      </c>
      <c r="L94" s="505" t="s">
        <v>283</v>
      </c>
      <c r="M94" s="36"/>
      <c r="N94" s="27"/>
      <c r="O94" s="27"/>
      <c r="Q94" s="76"/>
      <c r="R94" s="76"/>
    </row>
    <row r="95">
      <c r="A95" s="81"/>
      <c r="B95" s="40"/>
      <c r="C95" s="334"/>
      <c r="D95" s="40"/>
      <c r="E95" s="40"/>
      <c r="F95" s="36"/>
      <c r="G95" s="36"/>
      <c r="H95" s="36"/>
      <c r="I95" s="36"/>
      <c r="J95" s="40"/>
      <c r="K95" s="505" t="s">
        <v>283</v>
      </c>
      <c r="L95" s="505" t="s">
        <v>283</v>
      </c>
      <c r="M95" s="36"/>
      <c r="N95" s="40"/>
      <c r="O95" s="40"/>
      <c r="Q95" s="76"/>
      <c r="R95" s="76"/>
    </row>
    <row r="96" ht="27.0" customHeight="1">
      <c r="A96" s="487" t="s">
        <v>631</v>
      </c>
      <c r="B96" s="488"/>
      <c r="C96" s="488"/>
      <c r="D96" s="488"/>
      <c r="E96" s="488"/>
      <c r="F96" s="488"/>
      <c r="G96" s="488"/>
      <c r="H96" s="488"/>
      <c r="I96" s="488"/>
      <c r="J96" s="488"/>
      <c r="K96" s="497" t="s">
        <v>283</v>
      </c>
      <c r="L96" s="497" t="s">
        <v>283</v>
      </c>
      <c r="M96" s="488"/>
      <c r="N96" s="488"/>
      <c r="O96" s="488"/>
      <c r="P96" s="488"/>
      <c r="Q96" s="493"/>
      <c r="R96" s="493"/>
      <c r="S96" s="488"/>
      <c r="T96" s="488"/>
      <c r="U96" s="488"/>
      <c r="V96" s="488"/>
      <c r="W96" s="488"/>
      <c r="X96" s="488"/>
      <c r="Y96" s="488"/>
      <c r="Z96" s="488"/>
    </row>
    <row r="97">
      <c r="A97" s="143" t="s">
        <v>94</v>
      </c>
      <c r="B97" s="515"/>
      <c r="C97" s="515"/>
      <c r="D97" s="515"/>
      <c r="E97" s="515"/>
      <c r="F97" s="516"/>
      <c r="G97" s="516"/>
      <c r="H97" s="516"/>
      <c r="I97" s="516"/>
      <c r="J97" s="516"/>
      <c r="K97" s="517" t="s">
        <v>283</v>
      </c>
      <c r="L97" s="517" t="s">
        <v>283</v>
      </c>
      <c r="M97" s="516"/>
      <c r="N97" s="518"/>
      <c r="O97" s="518"/>
      <c r="P97" s="518"/>
      <c r="Q97" s="518"/>
      <c r="R97" s="518"/>
      <c r="S97" s="518"/>
      <c r="T97" s="518"/>
      <c r="U97" s="518"/>
      <c r="V97" s="518"/>
      <c r="W97" s="518"/>
      <c r="X97" s="518"/>
      <c r="Y97" s="518"/>
      <c r="Z97" s="518"/>
    </row>
    <row r="98">
      <c r="A98" s="81" t="s">
        <v>632</v>
      </c>
      <c r="B98" s="573"/>
      <c r="C98" s="503"/>
      <c r="D98" s="573"/>
      <c r="E98" s="573"/>
      <c r="F98" s="504"/>
      <c r="G98" s="504"/>
      <c r="H98" s="504"/>
      <c r="I98" s="40"/>
      <c r="J98" s="40" t="s">
        <v>109</v>
      </c>
      <c r="K98" s="510" t="s">
        <v>283</v>
      </c>
      <c r="L98" s="510" t="s">
        <v>283</v>
      </c>
      <c r="M98" s="40"/>
      <c r="N98" s="27"/>
      <c r="O98" s="27"/>
      <c r="P98" s="76"/>
    </row>
    <row r="99">
      <c r="A99" s="81" t="s">
        <v>633</v>
      </c>
      <c r="B99" s="573"/>
      <c r="C99" s="503"/>
      <c r="D99" s="573"/>
      <c r="E99" s="573"/>
      <c r="F99" s="504"/>
      <c r="G99" s="504"/>
      <c r="H99" s="504"/>
      <c r="I99" s="40"/>
      <c r="J99" s="40" t="s">
        <v>109</v>
      </c>
      <c r="K99" s="510" t="s">
        <v>283</v>
      </c>
      <c r="L99" s="510" t="s">
        <v>283</v>
      </c>
      <c r="M99" s="40"/>
      <c r="N99" s="40"/>
      <c r="O99" s="40"/>
      <c r="P99" s="76"/>
    </row>
    <row r="100">
      <c r="A100" s="64" t="s">
        <v>634</v>
      </c>
      <c r="B100" s="173">
        <f>B18-(B98+B99)</f>
        <v>0.04</v>
      </c>
      <c r="C100" s="334"/>
      <c r="D100" s="40"/>
      <c r="E100" s="40"/>
      <c r="F100" s="36"/>
      <c r="G100" s="36"/>
      <c r="H100" s="36"/>
      <c r="I100" s="36"/>
      <c r="J100" s="40"/>
      <c r="K100" s="508" t="s">
        <v>283</v>
      </c>
      <c r="L100" s="508" t="s">
        <v>283</v>
      </c>
      <c r="M100" s="157"/>
      <c r="N100" s="574"/>
      <c r="O100" s="574"/>
      <c r="P100" s="159"/>
      <c r="Q100" s="157"/>
      <c r="R100" s="157"/>
      <c r="S100" s="159"/>
      <c r="T100" s="159"/>
      <c r="U100" s="159"/>
      <c r="V100" s="159"/>
      <c r="W100" s="159"/>
      <c r="X100" s="159"/>
      <c r="Y100" s="159"/>
      <c r="Z100" s="159"/>
    </row>
    <row r="101">
      <c r="A101" s="64" t="s">
        <v>635</v>
      </c>
      <c r="B101" s="173">
        <f>B64+B9-(B98+B99)</f>
        <v>0.04</v>
      </c>
      <c r="C101" s="334"/>
      <c r="D101" s="40"/>
      <c r="E101" s="40"/>
      <c r="F101" s="36"/>
      <c r="G101" s="36"/>
      <c r="H101" s="36"/>
      <c r="I101" s="36"/>
      <c r="J101" s="40"/>
      <c r="K101" s="508" t="s">
        <v>283</v>
      </c>
      <c r="L101" s="508" t="s">
        <v>283</v>
      </c>
      <c r="M101" s="157"/>
      <c r="N101" s="574"/>
      <c r="O101" s="574"/>
      <c r="P101" s="159"/>
      <c r="Q101" s="157"/>
      <c r="R101" s="157"/>
      <c r="S101" s="159"/>
      <c r="T101" s="159"/>
      <c r="U101" s="159"/>
      <c r="V101" s="159"/>
      <c r="W101" s="159"/>
      <c r="X101" s="159"/>
      <c r="Y101" s="159"/>
      <c r="Z101" s="159"/>
    </row>
    <row r="102">
      <c r="A102" s="128"/>
      <c r="B102" s="40"/>
      <c r="C102" s="334"/>
      <c r="D102" s="40"/>
      <c r="E102" s="40"/>
      <c r="F102" s="36"/>
      <c r="G102" s="36"/>
      <c r="H102" s="36"/>
      <c r="I102" s="36"/>
      <c r="J102" s="40"/>
      <c r="K102" s="505" t="s">
        <v>283</v>
      </c>
      <c r="L102" s="505" t="s">
        <v>283</v>
      </c>
      <c r="M102" s="36"/>
      <c r="N102" s="27"/>
      <c r="O102" s="27"/>
      <c r="Q102" s="76"/>
      <c r="R102" s="76"/>
    </row>
    <row r="103">
      <c r="A103" s="160" t="s">
        <v>636</v>
      </c>
      <c r="B103" s="522"/>
      <c r="C103" s="522"/>
      <c r="D103" s="522"/>
      <c r="E103" s="522"/>
      <c r="F103" s="523"/>
      <c r="G103" s="523"/>
      <c r="H103" s="523"/>
      <c r="I103" s="523"/>
      <c r="J103" s="564"/>
      <c r="K103" s="524" t="s">
        <v>283</v>
      </c>
      <c r="L103" s="524" t="s">
        <v>283</v>
      </c>
      <c r="M103" s="523"/>
      <c r="N103" s="525"/>
      <c r="O103" s="525"/>
      <c r="P103" s="525"/>
      <c r="Q103" s="525"/>
      <c r="R103" s="525"/>
      <c r="S103" s="525"/>
      <c r="T103" s="525"/>
      <c r="U103" s="525"/>
      <c r="V103" s="525"/>
      <c r="W103" s="525"/>
      <c r="X103" s="525"/>
      <c r="Y103" s="525"/>
      <c r="Z103" s="525"/>
    </row>
    <row r="104">
      <c r="A104" s="283" t="s">
        <v>50</v>
      </c>
      <c r="B104" s="498"/>
      <c r="C104" s="498"/>
      <c r="D104" s="498"/>
      <c r="E104" s="498"/>
      <c r="F104" s="499"/>
      <c r="G104" s="499"/>
      <c r="H104" s="499"/>
      <c r="I104" s="499"/>
      <c r="J104" s="499"/>
      <c r="K104" s="500" t="s">
        <v>283</v>
      </c>
      <c r="L104" s="500" t="s">
        <v>283</v>
      </c>
      <c r="M104" s="499"/>
      <c r="N104" s="501"/>
      <c r="O104" s="501"/>
      <c r="P104" s="501"/>
      <c r="Q104" s="501"/>
      <c r="R104" s="501"/>
      <c r="S104" s="501"/>
      <c r="T104" s="501"/>
      <c r="U104" s="501"/>
      <c r="V104" s="501"/>
      <c r="W104" s="501"/>
      <c r="X104" s="501"/>
      <c r="Y104" s="501"/>
      <c r="Z104" s="501"/>
    </row>
    <row r="105">
      <c r="A105" s="81" t="s">
        <v>607</v>
      </c>
      <c r="B105" s="565"/>
      <c r="C105" s="503"/>
      <c r="D105" s="565"/>
      <c r="E105" s="565"/>
      <c r="F105" s="504"/>
      <c r="G105" s="504"/>
      <c r="H105" s="504"/>
      <c r="I105" s="40"/>
      <c r="J105" s="40" t="s">
        <v>220</v>
      </c>
      <c r="K105" s="510" t="s">
        <v>283</v>
      </c>
      <c r="L105" s="510" t="s">
        <v>283</v>
      </c>
      <c r="M105" s="40"/>
      <c r="N105" s="27"/>
      <c r="O105" s="27"/>
      <c r="Q105" s="76"/>
      <c r="R105" s="76"/>
    </row>
    <row r="106">
      <c r="A106" s="81" t="s">
        <v>608</v>
      </c>
      <c r="B106" s="502"/>
      <c r="C106" s="503"/>
      <c r="D106" s="502"/>
      <c r="E106" s="502"/>
      <c r="F106" s="504"/>
      <c r="G106" s="504"/>
      <c r="H106" s="504"/>
      <c r="I106" s="40"/>
      <c r="J106" s="40" t="s">
        <v>143</v>
      </c>
      <c r="K106" s="510" t="s">
        <v>283</v>
      </c>
      <c r="L106" s="510" t="s">
        <v>283</v>
      </c>
      <c r="M106" s="40"/>
    </row>
    <row r="107">
      <c r="A107" s="81" t="s">
        <v>614</v>
      </c>
      <c r="B107" s="547"/>
      <c r="C107" s="503"/>
      <c r="D107" s="169"/>
      <c r="E107" s="169"/>
      <c r="F107" s="40"/>
      <c r="G107" s="40"/>
      <c r="H107" s="40"/>
      <c r="I107" s="40"/>
      <c r="J107" s="40" t="s">
        <v>615</v>
      </c>
      <c r="K107" s="510" t="s">
        <v>283</v>
      </c>
      <c r="L107" s="510" t="s">
        <v>283</v>
      </c>
      <c r="M107" s="40"/>
    </row>
    <row r="108">
      <c r="A108" s="81"/>
      <c r="B108" s="334"/>
      <c r="C108" s="334"/>
      <c r="D108" s="334"/>
      <c r="E108" s="334"/>
      <c r="F108" s="36"/>
      <c r="G108" s="36"/>
      <c r="H108" s="36"/>
      <c r="I108" s="36"/>
      <c r="J108" s="36"/>
      <c r="K108" s="505" t="s">
        <v>283</v>
      </c>
      <c r="L108" s="505" t="s">
        <v>283</v>
      </c>
      <c r="M108" s="36"/>
      <c r="N108" s="40"/>
      <c r="O108" s="40"/>
      <c r="Q108" s="76"/>
      <c r="R108" s="76"/>
    </row>
    <row r="109">
      <c r="A109" s="119" t="s">
        <v>637</v>
      </c>
      <c r="B109" s="523"/>
      <c r="C109" s="523"/>
      <c r="D109" s="523"/>
      <c r="E109" s="523"/>
      <c r="F109" s="523"/>
      <c r="G109" s="523"/>
      <c r="H109" s="523"/>
      <c r="I109" s="523"/>
      <c r="J109" s="523"/>
      <c r="K109" s="524" t="s">
        <v>283</v>
      </c>
      <c r="L109" s="524" t="s">
        <v>283</v>
      </c>
      <c r="M109" s="523"/>
      <c r="N109" s="523"/>
      <c r="O109" s="523"/>
      <c r="P109" s="523"/>
      <c r="Q109" s="523"/>
      <c r="R109" s="523"/>
      <c r="S109" s="523"/>
      <c r="T109" s="523"/>
      <c r="U109" s="523"/>
      <c r="V109" s="523"/>
      <c r="W109" s="523"/>
      <c r="X109" s="523"/>
      <c r="Y109" s="523"/>
      <c r="Z109" s="523"/>
    </row>
    <row r="110">
      <c r="A110" s="526" t="s">
        <v>564</v>
      </c>
      <c r="B110" s="527"/>
      <c r="C110" s="527"/>
      <c r="D110" s="527"/>
      <c r="E110" s="527"/>
      <c r="F110" s="528"/>
      <c r="G110" s="528"/>
      <c r="H110" s="528"/>
      <c r="I110" s="528"/>
      <c r="J110" s="528"/>
      <c r="K110" s="529" t="s">
        <v>283</v>
      </c>
      <c r="L110" s="529" t="s">
        <v>283</v>
      </c>
      <c r="M110" s="528"/>
      <c r="N110" s="531"/>
      <c r="O110" s="531"/>
      <c r="P110" s="531"/>
      <c r="Q110" s="531"/>
      <c r="R110" s="531"/>
      <c r="S110" s="531"/>
      <c r="T110" s="531"/>
      <c r="U110" s="531"/>
      <c r="V110" s="531"/>
      <c r="W110" s="531"/>
      <c r="X110" s="531"/>
      <c r="Y110" s="531"/>
      <c r="Z110" s="531"/>
    </row>
    <row r="111">
      <c r="A111" s="64" t="s">
        <v>638</v>
      </c>
      <c r="B111" s="575">
        <v>0.0</v>
      </c>
      <c r="C111" s="533"/>
      <c r="D111" s="532"/>
      <c r="E111" s="532"/>
      <c r="F111" s="534"/>
      <c r="G111" s="534"/>
      <c r="H111" s="534"/>
      <c r="I111" s="157"/>
      <c r="J111" s="169" t="s">
        <v>253</v>
      </c>
      <c r="K111" s="508" t="s">
        <v>283</v>
      </c>
      <c r="L111" s="508" t="s">
        <v>283</v>
      </c>
      <c r="M111" s="157"/>
      <c r="N111" s="438"/>
      <c r="O111" s="159"/>
      <c r="P111" s="159"/>
      <c r="Q111" s="159"/>
      <c r="R111" s="159"/>
      <c r="S111" s="159"/>
      <c r="T111" s="159"/>
      <c r="U111" s="159"/>
      <c r="V111" s="159"/>
      <c r="W111" s="159"/>
      <c r="X111" s="159"/>
      <c r="Y111" s="159"/>
      <c r="Z111" s="159"/>
    </row>
    <row r="112">
      <c r="A112" s="64" t="s">
        <v>639</v>
      </c>
      <c r="B112" s="575"/>
      <c r="C112" s="533"/>
      <c r="D112" s="576"/>
      <c r="E112" s="576"/>
      <c r="F112" s="535"/>
      <c r="G112" s="535"/>
      <c r="H112" s="535"/>
      <c r="I112" s="157"/>
      <c r="J112" s="157" t="s">
        <v>253</v>
      </c>
      <c r="K112" s="508" t="s">
        <v>283</v>
      </c>
      <c r="L112" s="508" t="s">
        <v>283</v>
      </c>
      <c r="M112" s="157"/>
      <c r="N112" s="18"/>
      <c r="O112" s="18"/>
      <c r="P112" s="159"/>
      <c r="Q112" s="159"/>
      <c r="R112" s="159"/>
      <c r="S112" s="159"/>
      <c r="T112" s="159"/>
      <c r="U112" s="159"/>
      <c r="V112" s="159"/>
      <c r="W112" s="159"/>
      <c r="X112" s="159"/>
      <c r="Y112" s="159"/>
      <c r="Z112" s="159"/>
    </row>
    <row r="113">
      <c r="A113" s="81" t="s">
        <v>640</v>
      </c>
      <c r="B113" s="575">
        <v>0.0</v>
      </c>
      <c r="C113" s="507"/>
      <c r="D113" s="532"/>
      <c r="E113" s="532"/>
      <c r="F113" s="535"/>
      <c r="G113" s="535"/>
      <c r="H113" s="535"/>
      <c r="I113" s="157"/>
      <c r="J113" s="481" t="s">
        <v>641</v>
      </c>
      <c r="K113" s="505" t="s">
        <v>283</v>
      </c>
      <c r="L113" s="505" t="s">
        <v>283</v>
      </c>
      <c r="M113" s="36"/>
      <c r="N113" s="27"/>
      <c r="O113" s="27"/>
      <c r="Q113" s="76"/>
      <c r="R113" s="76"/>
    </row>
    <row r="114">
      <c r="A114" s="81" t="s">
        <v>642</v>
      </c>
      <c r="B114" s="575"/>
      <c r="C114" s="507"/>
      <c r="D114" s="576"/>
      <c r="E114" s="576"/>
      <c r="F114" s="535"/>
      <c r="G114" s="535"/>
      <c r="H114" s="535"/>
      <c r="I114" s="157"/>
      <c r="J114" s="481" t="s">
        <v>641</v>
      </c>
      <c r="K114" s="505" t="s">
        <v>283</v>
      </c>
      <c r="L114" s="505" t="s">
        <v>283</v>
      </c>
      <c r="M114" s="36"/>
      <c r="N114" s="27"/>
      <c r="O114" s="27"/>
      <c r="Q114" s="76"/>
      <c r="R114" s="76"/>
    </row>
    <row r="115">
      <c r="A115" s="64" t="s">
        <v>643</v>
      </c>
      <c r="B115" s="569" t="str">
        <f>(B114-B113)/(B112-B111)</f>
        <v>#DIV/0!</v>
      </c>
      <c r="C115" s="507"/>
      <c r="D115" s="169"/>
      <c r="E115" s="169"/>
      <c r="F115" s="157"/>
      <c r="G115" s="157"/>
      <c r="H115" s="157"/>
      <c r="I115" s="157"/>
      <c r="J115" s="169"/>
      <c r="K115" s="508" t="s">
        <v>283</v>
      </c>
      <c r="L115" s="508" t="s">
        <v>283</v>
      </c>
      <c r="M115" s="157"/>
      <c r="N115" s="157"/>
      <c r="O115" s="157"/>
      <c r="P115" s="159"/>
      <c r="Q115" s="157"/>
      <c r="R115" s="157"/>
      <c r="S115" s="159"/>
      <c r="T115" s="159"/>
      <c r="U115" s="159"/>
      <c r="V115" s="159"/>
      <c r="W115" s="159"/>
      <c r="X115" s="159"/>
      <c r="Y115" s="159"/>
      <c r="Z115" s="159"/>
    </row>
    <row r="116">
      <c r="A116" s="81" t="s">
        <v>644</v>
      </c>
      <c r="B116" s="569" t="str">
        <f>((B113*((1-(1-B$100)^(B112-B111+1))) + B115*((1-(1-B$100)^(B112-B111+1))/(B$100)-1-((B112-B111+1)-1)*(1-B$100)^(B112-B111+1))) /(B$100))     *(1-B$100)^(B111-1)</f>
        <v>#DIV/0!</v>
      </c>
      <c r="C116" s="507"/>
      <c r="D116" s="169"/>
      <c r="E116" s="169"/>
      <c r="F116" s="157"/>
      <c r="G116" s="157"/>
      <c r="H116" s="157"/>
      <c r="I116" s="157"/>
      <c r="J116" s="169"/>
      <c r="K116" s="508" t="s">
        <v>283</v>
      </c>
      <c r="L116" s="508" t="s">
        <v>283</v>
      </c>
      <c r="M116" s="157"/>
      <c r="N116" s="157"/>
      <c r="O116" s="157"/>
      <c r="P116" s="159"/>
      <c r="Q116" s="157"/>
      <c r="R116" s="157"/>
      <c r="S116" s="159"/>
      <c r="T116" s="159"/>
      <c r="U116" s="159"/>
      <c r="V116" s="159"/>
      <c r="W116" s="159"/>
      <c r="X116" s="159"/>
      <c r="Y116" s="159"/>
      <c r="Z116" s="159"/>
    </row>
    <row r="117">
      <c r="A117" s="81" t="s">
        <v>645</v>
      </c>
      <c r="B117" s="569" t="str">
        <f>((B113*((1-(1-B$101)^(B112-B111+1))) + B115*((1-(1-B$101)^(B112-B111+1))/(B$101)-1-((B112-B111+1)-1)*(1-B$101)^(B112-B111+1))) /(B$101))     *(1-B$101)^(B111-1)</f>
        <v>#DIV/0!</v>
      </c>
      <c r="C117" s="507"/>
      <c r="D117" s="169"/>
      <c r="E117" s="169"/>
      <c r="F117" s="157"/>
      <c r="G117" s="157"/>
      <c r="H117" s="157"/>
      <c r="I117" s="157"/>
      <c r="J117" s="169"/>
      <c r="K117" s="508" t="s">
        <v>283</v>
      </c>
      <c r="L117" s="508" t="s">
        <v>283</v>
      </c>
      <c r="M117" s="157"/>
      <c r="N117" s="157"/>
      <c r="O117" s="157"/>
      <c r="P117" s="159"/>
      <c r="Q117" s="157"/>
      <c r="R117" s="157"/>
      <c r="S117" s="159"/>
      <c r="T117" s="159"/>
      <c r="U117" s="159"/>
      <c r="V117" s="159"/>
      <c r="W117" s="159"/>
      <c r="X117" s="159"/>
      <c r="Y117" s="159"/>
      <c r="Z117" s="159"/>
    </row>
    <row r="118" ht="15.0" customHeight="1">
      <c r="A118" s="283" t="s">
        <v>646</v>
      </c>
      <c r="B118" s="498"/>
      <c r="C118" s="498"/>
      <c r="D118" s="498"/>
      <c r="E118" s="498"/>
      <c r="F118" s="499"/>
      <c r="G118" s="499"/>
      <c r="H118" s="499"/>
      <c r="I118" s="499"/>
      <c r="J118" s="546"/>
      <c r="K118" s="500" t="s">
        <v>283</v>
      </c>
      <c r="L118" s="500" t="s">
        <v>283</v>
      </c>
      <c r="M118" s="499"/>
      <c r="N118" s="501"/>
      <c r="O118" s="501"/>
      <c r="P118" s="501"/>
      <c r="Q118" s="501"/>
      <c r="R118" s="501"/>
      <c r="S118" s="501"/>
      <c r="T118" s="501"/>
      <c r="U118" s="501"/>
      <c r="V118" s="501"/>
      <c r="W118" s="501"/>
      <c r="X118" s="501"/>
      <c r="Y118" s="501"/>
      <c r="Z118" s="501"/>
    </row>
    <row r="119">
      <c r="A119" s="81" t="s">
        <v>647</v>
      </c>
      <c r="B119" s="577">
        <f>B112+1</f>
        <v>1</v>
      </c>
      <c r="C119" s="533"/>
      <c r="D119" s="169"/>
      <c r="E119" s="169"/>
      <c r="F119" s="157"/>
      <c r="G119" s="157"/>
      <c r="H119" s="157"/>
      <c r="I119" s="157"/>
      <c r="J119" s="169" t="s">
        <v>253</v>
      </c>
      <c r="K119" s="505" t="s">
        <v>283</v>
      </c>
      <c r="L119" s="505" t="s">
        <v>283</v>
      </c>
      <c r="M119" s="36"/>
      <c r="N119" s="27"/>
      <c r="O119" s="27"/>
      <c r="Q119" s="76"/>
      <c r="R119" s="76"/>
    </row>
    <row r="120">
      <c r="A120" s="81" t="s">
        <v>648</v>
      </c>
      <c r="B120" s="548"/>
      <c r="C120" s="503"/>
      <c r="D120" s="548"/>
      <c r="E120" s="548"/>
      <c r="F120" s="535"/>
      <c r="G120" s="535"/>
      <c r="H120" s="535"/>
      <c r="I120" s="36"/>
      <c r="J120" s="157" t="s">
        <v>253</v>
      </c>
      <c r="K120" s="505" t="s">
        <v>283</v>
      </c>
      <c r="L120" s="505" t="s">
        <v>283</v>
      </c>
      <c r="M120" s="36"/>
      <c r="N120" s="27"/>
      <c r="O120" s="27"/>
      <c r="Q120" s="76"/>
      <c r="R120" s="76"/>
    </row>
    <row r="121">
      <c r="A121" s="81" t="s">
        <v>649</v>
      </c>
      <c r="B121" s="578" t="str">
        <f>B114</f>
        <v/>
      </c>
      <c r="C121" s="579"/>
      <c r="D121" s="578"/>
      <c r="E121" s="578"/>
      <c r="F121" s="535"/>
      <c r="G121" s="535"/>
      <c r="H121" s="535"/>
      <c r="I121" s="36"/>
      <c r="J121" s="481" t="s">
        <v>641</v>
      </c>
      <c r="K121" s="505" t="s">
        <v>283</v>
      </c>
      <c r="L121" s="505" t="s">
        <v>283</v>
      </c>
      <c r="M121" s="36"/>
      <c r="N121" s="27"/>
      <c r="O121" s="27"/>
      <c r="Q121" s="76"/>
      <c r="R121" s="76"/>
    </row>
    <row r="122">
      <c r="A122" s="81" t="s">
        <v>650</v>
      </c>
      <c r="B122" s="569">
        <f>IF(B120="ongoing", B121/B$100, B121*((1-(1-B$100)^B120))/(B$100)) - B121*((1-(1-B$100)^(B119-1)))/(B$100) </f>
        <v>0</v>
      </c>
      <c r="C122" s="507"/>
      <c r="D122" s="169"/>
      <c r="E122" s="169"/>
      <c r="F122" s="157"/>
      <c r="G122" s="157"/>
      <c r="H122" s="157"/>
      <c r="I122" s="36"/>
      <c r="J122" s="481" t="s">
        <v>641</v>
      </c>
      <c r="K122" s="505" t="s">
        <v>283</v>
      </c>
      <c r="L122" s="505" t="s">
        <v>283</v>
      </c>
      <c r="M122" s="36"/>
      <c r="N122" s="27"/>
      <c r="O122" s="27"/>
      <c r="Q122" s="76"/>
      <c r="R122" s="76"/>
    </row>
    <row r="123">
      <c r="A123" s="81" t="s">
        <v>651</v>
      </c>
      <c r="B123" s="569">
        <f>IF(B120="ongoing", B121/B$101, B121*((1-(1-B$101)^B120))/(B$101)) - B121*((1-(1-B$101)^(B119-1)))/(B$101) </f>
        <v>0</v>
      </c>
      <c r="C123" s="507"/>
      <c r="D123" s="169"/>
      <c r="E123" s="169"/>
      <c r="F123" s="157"/>
      <c r="G123" s="157"/>
      <c r="H123" s="157"/>
      <c r="I123" s="36"/>
      <c r="J123" s="481" t="s">
        <v>641</v>
      </c>
      <c r="K123" s="505" t="s">
        <v>283</v>
      </c>
      <c r="L123" s="505" t="s">
        <v>283</v>
      </c>
      <c r="M123" s="36"/>
      <c r="N123" s="27"/>
      <c r="O123" s="27"/>
      <c r="Q123" s="76"/>
      <c r="R123" s="76"/>
    </row>
    <row r="124">
      <c r="A124" s="84"/>
      <c r="B124" s="560"/>
      <c r="C124" s="334"/>
      <c r="D124" s="560"/>
      <c r="E124" s="560"/>
      <c r="F124" s="36"/>
      <c r="G124" s="36"/>
      <c r="H124" s="36"/>
      <c r="I124" s="36"/>
      <c r="J124" s="36"/>
      <c r="K124" s="505" t="s">
        <v>283</v>
      </c>
      <c r="L124" s="505" t="s">
        <v>283</v>
      </c>
      <c r="M124" s="36"/>
      <c r="N124" s="40"/>
      <c r="O124" s="40"/>
      <c r="Q124" s="76"/>
      <c r="R124" s="76"/>
    </row>
    <row r="125">
      <c r="A125" s="119" t="s">
        <v>652</v>
      </c>
      <c r="B125" s="523"/>
      <c r="C125" s="523"/>
      <c r="D125" s="523"/>
      <c r="E125" s="523"/>
      <c r="F125" s="523"/>
      <c r="G125" s="523"/>
      <c r="H125" s="523"/>
      <c r="I125" s="523"/>
      <c r="J125" s="523"/>
      <c r="K125" s="524" t="s">
        <v>283</v>
      </c>
      <c r="L125" s="524" t="s">
        <v>283</v>
      </c>
      <c r="M125" s="523"/>
      <c r="N125" s="523"/>
      <c r="O125" s="523"/>
      <c r="P125" s="523"/>
      <c r="Q125" s="523"/>
      <c r="R125" s="523"/>
      <c r="S125" s="523"/>
      <c r="T125" s="523"/>
      <c r="U125" s="523"/>
      <c r="V125" s="523"/>
      <c r="W125" s="523"/>
      <c r="X125" s="523"/>
      <c r="Y125" s="523"/>
      <c r="Z125" s="523"/>
    </row>
    <row r="126">
      <c r="A126" s="81" t="s">
        <v>653</v>
      </c>
      <c r="B126" s="580" t="str">
        <f t="shared" ref="B126:B127" si="1">B122+B116</f>
        <v>#DIV/0!</v>
      </c>
      <c r="C126" s="579"/>
      <c r="D126" s="169"/>
      <c r="E126" s="169"/>
      <c r="F126" s="169"/>
      <c r="G126" s="169"/>
      <c r="H126" s="169"/>
      <c r="I126" s="36"/>
      <c r="J126" s="481" t="s">
        <v>641</v>
      </c>
      <c r="K126" s="505" t="s">
        <v>283</v>
      </c>
      <c r="L126" s="505" t="s">
        <v>283</v>
      </c>
      <c r="M126" s="36"/>
      <c r="N126" s="27"/>
      <c r="O126" s="27"/>
      <c r="Q126" s="76"/>
      <c r="R126" s="76"/>
    </row>
    <row r="127">
      <c r="A127" s="81" t="s">
        <v>654</v>
      </c>
      <c r="B127" s="580" t="str">
        <f t="shared" si="1"/>
        <v>#DIV/0!</v>
      </c>
      <c r="C127" s="334"/>
      <c r="D127" s="560"/>
      <c r="E127" s="560"/>
      <c r="F127" s="36"/>
      <c r="G127" s="36"/>
      <c r="H127" s="36"/>
      <c r="I127" s="36"/>
      <c r="J127" s="36"/>
      <c r="K127" s="505" t="s">
        <v>283</v>
      </c>
      <c r="L127" s="505" t="s">
        <v>283</v>
      </c>
      <c r="M127" s="36"/>
      <c r="N127" s="40"/>
      <c r="O127" s="40"/>
      <c r="Q127" s="76"/>
      <c r="R127" s="76"/>
    </row>
    <row r="128">
      <c r="A128" s="84"/>
      <c r="B128" s="560"/>
      <c r="C128" s="334"/>
      <c r="D128" s="560"/>
      <c r="E128" s="560"/>
      <c r="F128" s="36"/>
      <c r="G128" s="36"/>
      <c r="H128" s="36"/>
      <c r="I128" s="36"/>
      <c r="J128" s="36"/>
      <c r="K128" s="505" t="s">
        <v>283</v>
      </c>
      <c r="L128" s="505" t="s">
        <v>283</v>
      </c>
      <c r="M128" s="36"/>
      <c r="N128" s="40"/>
      <c r="O128" s="40"/>
      <c r="Q128" s="76"/>
      <c r="R128" s="76"/>
    </row>
    <row r="129">
      <c r="A129" s="84"/>
      <c r="B129" s="560"/>
      <c r="C129" s="334"/>
      <c r="D129" s="560"/>
      <c r="E129" s="560"/>
      <c r="F129" s="36"/>
      <c r="G129" s="36"/>
      <c r="H129" s="36"/>
      <c r="I129" s="36"/>
      <c r="J129" s="36"/>
      <c r="K129" s="505" t="s">
        <v>283</v>
      </c>
      <c r="L129" s="505" t="s">
        <v>283</v>
      </c>
      <c r="M129" s="36"/>
      <c r="N129" s="40"/>
      <c r="O129" s="40"/>
      <c r="Q129" s="76"/>
      <c r="R129" s="76"/>
    </row>
    <row r="130">
      <c r="A130" s="378" t="s">
        <v>65</v>
      </c>
      <c r="B130" s="381"/>
      <c r="C130" s="381"/>
      <c r="D130" s="381"/>
      <c r="E130" s="381"/>
      <c r="F130" s="381"/>
      <c r="G130" s="381"/>
      <c r="H130" s="381"/>
      <c r="I130" s="381"/>
      <c r="J130" s="381"/>
      <c r="K130" s="581" t="s">
        <v>283</v>
      </c>
      <c r="L130" s="581" t="s">
        <v>283</v>
      </c>
      <c r="M130" s="381"/>
      <c r="N130" s="381"/>
      <c r="O130" s="381"/>
      <c r="P130" s="381"/>
      <c r="Q130" s="381"/>
      <c r="R130" s="381"/>
      <c r="S130" s="381"/>
      <c r="T130" s="381"/>
      <c r="U130" s="381"/>
      <c r="V130" s="381"/>
      <c r="W130" s="381"/>
      <c r="X130" s="381"/>
      <c r="Y130" s="381"/>
      <c r="Z130" s="381"/>
    </row>
    <row r="131">
      <c r="A131" s="291"/>
      <c r="B131" s="395"/>
      <c r="C131" s="395"/>
      <c r="D131" s="395"/>
      <c r="E131" s="395"/>
      <c r="F131" s="395"/>
      <c r="G131" s="395"/>
      <c r="H131" s="395"/>
      <c r="I131" s="395"/>
      <c r="J131" s="395"/>
      <c r="K131" s="505" t="s">
        <v>283</v>
      </c>
      <c r="L131" s="505" t="s">
        <v>283</v>
      </c>
      <c r="M131" s="395"/>
      <c r="N131" s="395"/>
      <c r="O131" s="395"/>
      <c r="P131" s="395"/>
      <c r="Q131" s="395"/>
      <c r="R131" s="395"/>
      <c r="S131" s="395"/>
      <c r="T131" s="395"/>
      <c r="U131" s="395"/>
      <c r="V131" s="395"/>
      <c r="W131" s="395"/>
      <c r="X131" s="395"/>
      <c r="Y131" s="395"/>
      <c r="Z131" s="395"/>
    </row>
    <row r="132">
      <c r="A132" s="81" t="s">
        <v>655</v>
      </c>
      <c r="B132" s="556">
        <f>B93</f>
        <v>0</v>
      </c>
      <c r="C132" s="582"/>
      <c r="D132" s="395"/>
      <c r="E132" s="395"/>
      <c r="F132" s="40"/>
      <c r="G132" s="40"/>
      <c r="H132" s="40"/>
      <c r="I132" s="40"/>
      <c r="J132" s="40" t="s">
        <v>625</v>
      </c>
      <c r="K132" s="510" t="s">
        <v>283</v>
      </c>
      <c r="L132" s="510" t="s">
        <v>283</v>
      </c>
      <c r="N132" s="582"/>
    </row>
    <row r="133">
      <c r="A133" s="81"/>
      <c r="B133" s="582"/>
      <c r="C133" s="582"/>
      <c r="D133" s="395"/>
      <c r="E133" s="395"/>
      <c r="F133" s="40"/>
      <c r="G133" s="40"/>
      <c r="H133" s="40"/>
      <c r="I133" s="40"/>
      <c r="K133" s="510" t="s">
        <v>283</v>
      </c>
      <c r="L133" s="510" t="s">
        <v>283</v>
      </c>
      <c r="N133" s="582"/>
    </row>
    <row r="134">
      <c r="A134" s="283" t="s">
        <v>656</v>
      </c>
      <c r="B134" s="499"/>
      <c r="C134" s="582"/>
      <c r="D134" s="395"/>
      <c r="E134" s="395"/>
      <c r="F134" s="40"/>
      <c r="G134" s="40"/>
      <c r="H134" s="40"/>
      <c r="I134" s="40"/>
      <c r="J134" s="40"/>
      <c r="K134" s="510" t="s">
        <v>283</v>
      </c>
      <c r="L134" s="510" t="s">
        <v>283</v>
      </c>
      <c r="N134" s="582"/>
    </row>
    <row r="135">
      <c r="A135" s="81" t="s">
        <v>642</v>
      </c>
      <c r="B135" s="556" t="str">
        <f>B121</f>
        <v/>
      </c>
      <c r="C135" s="582"/>
      <c r="D135" s="395"/>
      <c r="E135" s="395"/>
      <c r="F135" s="40"/>
      <c r="G135" s="40"/>
      <c r="H135" s="40"/>
      <c r="I135" s="40"/>
      <c r="J135" s="40" t="s">
        <v>657</v>
      </c>
      <c r="K135" s="510" t="s">
        <v>283</v>
      </c>
      <c r="L135" s="510" t="s">
        <v>283</v>
      </c>
      <c r="N135" s="582"/>
    </row>
    <row r="136">
      <c r="A136" s="81" t="s">
        <v>658</v>
      </c>
      <c r="B136" s="556">
        <f>B135*B132</f>
        <v>0</v>
      </c>
      <c r="C136" s="582"/>
      <c r="D136" s="395"/>
      <c r="E136" s="395"/>
      <c r="F136" s="40"/>
      <c r="G136" s="40"/>
      <c r="H136" s="40"/>
      <c r="I136" s="40"/>
      <c r="J136" s="40" t="s">
        <v>659</v>
      </c>
      <c r="K136" s="510" t="s">
        <v>283</v>
      </c>
      <c r="L136" s="510" t="s">
        <v>283</v>
      </c>
      <c r="N136" s="582"/>
    </row>
    <row r="137">
      <c r="A137" s="81" t="s">
        <v>660</v>
      </c>
      <c r="B137" s="583">
        <f>B135*B46+B36</f>
        <v>250000</v>
      </c>
      <c r="C137" s="582"/>
      <c r="D137" s="395"/>
      <c r="E137" s="395"/>
      <c r="F137" s="40"/>
      <c r="G137" s="40"/>
      <c r="H137" s="40"/>
      <c r="I137" s="40"/>
      <c r="J137" s="40" t="s">
        <v>226</v>
      </c>
      <c r="K137" s="510" t="s">
        <v>283</v>
      </c>
      <c r="L137" s="510" t="s">
        <v>283</v>
      </c>
      <c r="N137" s="582"/>
    </row>
    <row r="138">
      <c r="A138" s="84" t="s">
        <v>661</v>
      </c>
      <c r="B138" s="584" t="str">
        <f>B137/B136</f>
        <v>#DIV/0!</v>
      </c>
      <c r="C138" s="582"/>
      <c r="D138" s="395"/>
      <c r="E138" s="395"/>
      <c r="F138" s="40"/>
      <c r="G138" s="40"/>
      <c r="H138" s="40"/>
      <c r="I138" s="40"/>
      <c r="J138" s="36" t="s">
        <v>71</v>
      </c>
      <c r="K138" s="510" t="s">
        <v>283</v>
      </c>
      <c r="L138" s="510" t="s">
        <v>283</v>
      </c>
      <c r="N138" s="582"/>
    </row>
    <row r="139">
      <c r="A139" s="81" t="s">
        <v>662</v>
      </c>
      <c r="B139" s="583" t="str">
        <f>1000*(1/B138)</f>
        <v>#DIV/0!</v>
      </c>
      <c r="C139" s="582"/>
      <c r="D139" s="395"/>
      <c r="E139" s="395"/>
      <c r="F139" s="40"/>
      <c r="G139" s="40"/>
      <c r="H139" s="40"/>
      <c r="I139" s="40"/>
      <c r="J139" s="40" t="s">
        <v>73</v>
      </c>
      <c r="K139" s="510" t="s">
        <v>283</v>
      </c>
      <c r="L139" s="510" t="s">
        <v>283</v>
      </c>
      <c r="N139" s="582"/>
    </row>
    <row r="140">
      <c r="A140" s="81"/>
      <c r="C140" s="582"/>
      <c r="D140" s="395"/>
      <c r="E140" s="395"/>
      <c r="F140" s="40"/>
      <c r="G140" s="40"/>
      <c r="H140" s="40"/>
      <c r="I140" s="40"/>
      <c r="K140" s="510" t="s">
        <v>283</v>
      </c>
      <c r="L140" s="510" t="s">
        <v>283</v>
      </c>
      <c r="N140" s="582"/>
    </row>
    <row r="141">
      <c r="A141" s="283" t="s">
        <v>663</v>
      </c>
      <c r="B141" s="499"/>
      <c r="C141" s="582"/>
      <c r="D141" s="395"/>
      <c r="E141" s="395"/>
      <c r="F141" s="40"/>
      <c r="G141" s="40"/>
      <c r="H141" s="40"/>
      <c r="I141" s="40"/>
      <c r="J141" s="40"/>
      <c r="K141" s="510" t="s">
        <v>283</v>
      </c>
      <c r="L141" s="510" t="s">
        <v>283</v>
      </c>
      <c r="N141" s="582"/>
    </row>
    <row r="142">
      <c r="A142" s="81" t="s">
        <v>664</v>
      </c>
      <c r="B142" s="556" t="str">
        <f>B$127</f>
        <v>#DIV/0!</v>
      </c>
      <c r="C142" s="582"/>
      <c r="D142" s="395"/>
      <c r="E142" s="395"/>
      <c r="F142" s="40"/>
      <c r="G142" s="40"/>
      <c r="H142" s="40"/>
      <c r="I142" s="40"/>
      <c r="J142" s="40" t="s">
        <v>641</v>
      </c>
      <c r="K142" s="510" t="s">
        <v>283</v>
      </c>
      <c r="L142" s="510" t="s">
        <v>283</v>
      </c>
      <c r="N142" s="582"/>
    </row>
    <row r="143">
      <c r="A143" s="81" t="s">
        <v>665</v>
      </c>
      <c r="B143" s="556" t="str">
        <f>B$132*B142</f>
        <v>#DIV/0!</v>
      </c>
      <c r="C143" s="582"/>
      <c r="D143" s="395"/>
      <c r="E143" s="395"/>
      <c r="F143" s="40"/>
      <c r="G143" s="40"/>
      <c r="H143" s="40"/>
      <c r="I143" s="40"/>
      <c r="J143" s="40" t="s">
        <v>44</v>
      </c>
      <c r="K143" s="510" t="s">
        <v>283</v>
      </c>
      <c r="L143" s="510" t="s">
        <v>283</v>
      </c>
      <c r="N143" s="582"/>
    </row>
    <row r="144">
      <c r="A144" s="81" t="s">
        <v>666</v>
      </c>
      <c r="B144" s="583" t="str">
        <f>B$54</f>
        <v>#DIV/0!</v>
      </c>
      <c r="C144" s="582"/>
      <c r="D144" s="395"/>
      <c r="E144" s="395"/>
      <c r="F144" s="40"/>
      <c r="G144" s="40"/>
      <c r="H144" s="40"/>
      <c r="I144" s="40"/>
      <c r="J144" s="40" t="s">
        <v>52</v>
      </c>
      <c r="K144" s="510" t="s">
        <v>283</v>
      </c>
      <c r="L144" s="510" t="s">
        <v>283</v>
      </c>
      <c r="N144" s="582"/>
    </row>
    <row r="145">
      <c r="A145" s="84" t="s">
        <v>667</v>
      </c>
      <c r="B145" s="584" t="str">
        <f>B144/B143</f>
        <v>#DIV/0!</v>
      </c>
      <c r="C145" s="582"/>
      <c r="D145" s="395"/>
      <c r="E145" s="395"/>
      <c r="F145" s="40"/>
      <c r="G145" s="40"/>
      <c r="H145" s="40"/>
      <c r="I145" s="40"/>
      <c r="J145" s="36" t="s">
        <v>71</v>
      </c>
      <c r="K145" s="510" t="s">
        <v>283</v>
      </c>
      <c r="L145" s="510" t="s">
        <v>283</v>
      </c>
      <c r="N145" s="582"/>
    </row>
    <row r="146">
      <c r="A146" s="81" t="s">
        <v>668</v>
      </c>
      <c r="B146" s="583" t="str">
        <f>1000*(1/B145)</f>
        <v>#DIV/0!</v>
      </c>
      <c r="C146" s="585" t="s">
        <v>669</v>
      </c>
      <c r="D146" s="395"/>
      <c r="E146" s="395"/>
      <c r="F146" s="40"/>
      <c r="G146" s="40"/>
      <c r="H146" s="40"/>
      <c r="I146" s="40"/>
      <c r="J146" s="40" t="s">
        <v>73</v>
      </c>
      <c r="K146" s="510" t="s">
        <v>283</v>
      </c>
      <c r="L146" s="510" t="s">
        <v>283</v>
      </c>
      <c r="N146" s="582"/>
    </row>
    <row r="147">
      <c r="A147" s="128"/>
      <c r="B147" s="586" t="str">
        <f>"Use this box ''B"&amp;CELL("row",B146)&amp;"'' ↑ for Dagger"</f>
        <v>Use this box ''B146'' ↑ for Dagger</v>
      </c>
      <c r="C147" s="587"/>
      <c r="D147" s="395"/>
      <c r="E147" s="395"/>
      <c r="F147" s="40"/>
      <c r="G147" s="40"/>
      <c r="H147" s="40"/>
      <c r="I147" s="40"/>
      <c r="J147" s="586"/>
      <c r="K147" s="510" t="s">
        <v>283</v>
      </c>
      <c r="L147" s="510" t="s">
        <v>283</v>
      </c>
      <c r="N147" s="587"/>
    </row>
    <row r="148">
      <c r="K148" s="434" t="s">
        <v>283</v>
      </c>
      <c r="L148" s="434" t="s">
        <v>283</v>
      </c>
    </row>
    <row r="149">
      <c r="A149" s="588"/>
      <c r="D149" s="395"/>
      <c r="E149" s="395"/>
      <c r="F149" s="423"/>
      <c r="G149" s="423"/>
      <c r="H149" s="423"/>
      <c r="I149" s="423"/>
      <c r="J149" s="423"/>
      <c r="K149" s="589" t="s">
        <v>283</v>
      </c>
      <c r="L149" s="589" t="s">
        <v>283</v>
      </c>
      <c r="M149" s="423"/>
    </row>
    <row r="150">
      <c r="A150" s="283" t="s">
        <v>670</v>
      </c>
      <c r="B150" s="499"/>
      <c r="C150" s="582"/>
      <c r="D150" s="395"/>
      <c r="E150" s="395"/>
      <c r="F150" s="40"/>
      <c r="G150" s="40"/>
      <c r="H150" s="40"/>
      <c r="I150" s="40"/>
      <c r="J150" s="40"/>
      <c r="K150" s="510" t="s">
        <v>283</v>
      </c>
      <c r="L150" s="510" t="s">
        <v>283</v>
      </c>
      <c r="N150" s="582"/>
    </row>
    <row r="151">
      <c r="A151" s="81" t="s">
        <v>664</v>
      </c>
      <c r="B151" s="556" t="str">
        <f>B$127</f>
        <v>#DIV/0!</v>
      </c>
      <c r="C151" s="582"/>
      <c r="D151" s="395"/>
      <c r="E151" s="395"/>
      <c r="F151" s="40"/>
      <c r="G151" s="40"/>
      <c r="H151" s="40"/>
      <c r="I151" s="40"/>
      <c r="J151" s="40" t="s">
        <v>641</v>
      </c>
      <c r="K151" s="510" t="s">
        <v>283</v>
      </c>
      <c r="L151" s="510" t="s">
        <v>283</v>
      </c>
      <c r="N151" s="582"/>
    </row>
    <row r="152">
      <c r="A152" s="81" t="s">
        <v>665</v>
      </c>
      <c r="B152" s="556" t="str">
        <f>B$132*B151</f>
        <v>#DIV/0!</v>
      </c>
      <c r="C152" s="582"/>
      <c r="D152" s="395"/>
      <c r="E152" s="395"/>
      <c r="F152" s="40"/>
      <c r="G152" s="40"/>
      <c r="H152" s="40"/>
      <c r="I152" s="40"/>
      <c r="J152" s="40" t="s">
        <v>44</v>
      </c>
      <c r="K152" s="510" t="s">
        <v>283</v>
      </c>
      <c r="L152" s="510" t="s">
        <v>283</v>
      </c>
      <c r="N152" s="582"/>
    </row>
    <row r="153">
      <c r="A153" s="81" t="s">
        <v>671</v>
      </c>
      <c r="B153" s="583" t="str">
        <f>B$52</f>
        <v>#DIV/0!</v>
      </c>
      <c r="C153" s="582"/>
      <c r="D153" s="395"/>
      <c r="E153" s="395"/>
      <c r="F153" s="40"/>
      <c r="G153" s="40"/>
      <c r="H153" s="40"/>
      <c r="I153" s="40"/>
      <c r="J153" s="40" t="s">
        <v>52</v>
      </c>
      <c r="K153" s="510" t="s">
        <v>283</v>
      </c>
      <c r="L153" s="510" t="s">
        <v>283</v>
      </c>
      <c r="N153" s="582"/>
    </row>
    <row r="154">
      <c r="A154" s="84" t="s">
        <v>667</v>
      </c>
      <c r="B154" s="584" t="str">
        <f>B153/B152</f>
        <v>#DIV/0!</v>
      </c>
      <c r="C154" s="582"/>
      <c r="D154" s="395"/>
      <c r="E154" s="395"/>
      <c r="F154" s="40"/>
      <c r="G154" s="40"/>
      <c r="H154" s="40"/>
      <c r="I154" s="40"/>
      <c r="J154" s="36" t="s">
        <v>71</v>
      </c>
      <c r="K154" s="510" t="s">
        <v>283</v>
      </c>
      <c r="L154" s="510" t="s">
        <v>283</v>
      </c>
      <c r="N154" s="582"/>
    </row>
    <row r="155">
      <c r="A155" s="81" t="s">
        <v>668</v>
      </c>
      <c r="B155" s="583" t="str">
        <f>1000*(1/B154)</f>
        <v>#DIV/0!</v>
      </c>
      <c r="C155" s="582"/>
      <c r="D155" s="395"/>
      <c r="E155" s="395"/>
      <c r="F155" s="40"/>
      <c r="G155" s="40"/>
      <c r="H155" s="40"/>
      <c r="I155" s="40"/>
      <c r="J155" s="40" t="s">
        <v>73</v>
      </c>
      <c r="K155" s="510" t="s">
        <v>283</v>
      </c>
      <c r="L155" s="510" t="s">
        <v>283</v>
      </c>
      <c r="N155" s="582"/>
    </row>
    <row r="156">
      <c r="A156" s="590"/>
      <c r="D156" s="395"/>
      <c r="E156" s="395"/>
      <c r="F156" s="423"/>
      <c r="G156" s="423"/>
      <c r="H156" s="423"/>
      <c r="I156" s="423"/>
      <c r="J156" s="423"/>
      <c r="K156" s="589" t="s">
        <v>283</v>
      </c>
      <c r="L156" s="589" t="s">
        <v>283</v>
      </c>
      <c r="M156" s="423"/>
    </row>
    <row r="157">
      <c r="A157" s="590"/>
      <c r="D157" s="395"/>
      <c r="E157" s="395"/>
      <c r="F157" s="423"/>
      <c r="G157" s="423"/>
      <c r="H157" s="423"/>
      <c r="I157" s="423"/>
      <c r="J157" s="423"/>
      <c r="K157" s="589" t="s">
        <v>283</v>
      </c>
      <c r="L157" s="589" t="s">
        <v>283</v>
      </c>
      <c r="M157" s="423"/>
    </row>
    <row r="158">
      <c r="A158" s="283" t="s">
        <v>672</v>
      </c>
      <c r="B158" s="499"/>
      <c r="C158" s="582"/>
      <c r="D158" s="395"/>
      <c r="E158" s="395"/>
      <c r="F158" s="40"/>
      <c r="G158" s="40"/>
      <c r="H158" s="40"/>
      <c r="I158" s="40"/>
      <c r="J158" s="40"/>
      <c r="K158" s="510" t="s">
        <v>283</v>
      </c>
      <c r="L158" s="510" t="s">
        <v>283</v>
      </c>
      <c r="N158" s="582"/>
    </row>
    <row r="159">
      <c r="A159" s="81" t="s">
        <v>664</v>
      </c>
      <c r="B159" s="556" t="str">
        <f>B$126</f>
        <v>#DIV/0!</v>
      </c>
      <c r="C159" s="582"/>
      <c r="D159" s="395"/>
      <c r="E159" s="395"/>
      <c r="F159" s="40"/>
      <c r="G159" s="40"/>
      <c r="H159" s="40"/>
      <c r="I159" s="40"/>
      <c r="J159" s="40" t="s">
        <v>641</v>
      </c>
      <c r="K159" s="510" t="s">
        <v>283</v>
      </c>
      <c r="L159" s="510" t="s">
        <v>283</v>
      </c>
      <c r="N159" s="582"/>
    </row>
    <row r="160">
      <c r="A160" s="81" t="s">
        <v>665</v>
      </c>
      <c r="B160" s="556" t="str">
        <f>B$132*B159</f>
        <v>#DIV/0!</v>
      </c>
      <c r="C160" s="582"/>
      <c r="D160" s="395"/>
      <c r="E160" s="395"/>
      <c r="F160" s="40"/>
      <c r="G160" s="40"/>
      <c r="H160" s="40"/>
      <c r="I160" s="40"/>
      <c r="J160" s="40" t="s">
        <v>44</v>
      </c>
      <c r="K160" s="510" t="s">
        <v>283</v>
      </c>
      <c r="L160" s="510" t="s">
        <v>283</v>
      </c>
      <c r="N160" s="582"/>
    </row>
    <row r="161">
      <c r="A161" s="81" t="s">
        <v>671</v>
      </c>
      <c r="B161" s="583" t="str">
        <f>B$54</f>
        <v>#DIV/0!</v>
      </c>
      <c r="C161" s="582"/>
      <c r="D161" s="395"/>
      <c r="E161" s="395"/>
      <c r="F161" s="40"/>
      <c r="G161" s="40"/>
      <c r="H161" s="40"/>
      <c r="I161" s="40"/>
      <c r="J161" s="40" t="s">
        <v>52</v>
      </c>
      <c r="K161" s="510" t="s">
        <v>283</v>
      </c>
      <c r="L161" s="510" t="s">
        <v>283</v>
      </c>
      <c r="N161" s="582"/>
    </row>
    <row r="162">
      <c r="A162" s="84" t="s">
        <v>667</v>
      </c>
      <c r="B162" s="584" t="str">
        <f>B161/B160</f>
        <v>#DIV/0!</v>
      </c>
      <c r="C162" s="582"/>
      <c r="D162" s="395"/>
      <c r="E162" s="395"/>
      <c r="F162" s="40"/>
      <c r="G162" s="40"/>
      <c r="H162" s="40"/>
      <c r="I162" s="40"/>
      <c r="J162" s="36" t="s">
        <v>71</v>
      </c>
      <c r="K162" s="510" t="s">
        <v>283</v>
      </c>
      <c r="L162" s="510" t="s">
        <v>283</v>
      </c>
      <c r="N162" s="582"/>
    </row>
    <row r="163">
      <c r="A163" s="81" t="s">
        <v>668</v>
      </c>
      <c r="B163" s="583" t="str">
        <f>1000*(1/B162)</f>
        <v>#DIV/0!</v>
      </c>
      <c r="C163" s="582"/>
      <c r="D163" s="395"/>
      <c r="E163" s="395"/>
      <c r="F163" s="40"/>
      <c r="G163" s="40"/>
      <c r="H163" s="40"/>
      <c r="I163" s="40"/>
      <c r="J163" s="40" t="s">
        <v>73</v>
      </c>
      <c r="K163" s="510" t="s">
        <v>283</v>
      </c>
      <c r="L163" s="510" t="s">
        <v>283</v>
      </c>
      <c r="N163" s="582"/>
    </row>
    <row r="164">
      <c r="A164" s="128"/>
      <c r="D164" s="395"/>
      <c r="E164" s="395"/>
      <c r="F164" s="423"/>
      <c r="G164" s="423"/>
      <c r="H164" s="423"/>
      <c r="I164" s="423"/>
      <c r="J164" s="423"/>
      <c r="K164" s="589" t="s">
        <v>283</v>
      </c>
      <c r="L164" s="589" t="s">
        <v>283</v>
      </c>
      <c r="M164" s="423"/>
    </row>
    <row r="165">
      <c r="A165" s="64"/>
      <c r="D165" s="395"/>
      <c r="E165" s="395"/>
      <c r="F165" s="159"/>
      <c r="G165" s="159"/>
      <c r="H165" s="159"/>
      <c r="I165" s="159"/>
      <c r="J165" s="159"/>
      <c r="K165" s="508" t="s">
        <v>283</v>
      </c>
      <c r="L165" s="508" t="s">
        <v>283</v>
      </c>
      <c r="M165" s="159"/>
    </row>
    <row r="166">
      <c r="A166" s="283" t="s">
        <v>673</v>
      </c>
      <c r="B166" s="499"/>
      <c r="D166" s="395"/>
      <c r="E166" s="395"/>
      <c r="F166" s="423"/>
      <c r="G166" s="423"/>
      <c r="H166" s="423"/>
      <c r="I166" s="423"/>
      <c r="J166" s="423"/>
      <c r="K166" s="589" t="s">
        <v>283</v>
      </c>
      <c r="L166" s="589" t="s">
        <v>283</v>
      </c>
      <c r="M166" s="423"/>
    </row>
    <row r="167">
      <c r="A167" s="64" t="s">
        <v>674</v>
      </c>
      <c r="B167" s="591" t="str">
        <f>1/B166*1000</f>
        <v>#DIV/0!</v>
      </c>
      <c r="D167" s="395"/>
      <c r="E167" s="395"/>
      <c r="F167" s="159"/>
      <c r="G167" s="159"/>
      <c r="H167" s="159"/>
      <c r="I167" s="159"/>
      <c r="J167" s="159"/>
      <c r="K167" s="508" t="s">
        <v>283</v>
      </c>
      <c r="L167" s="508" t="s">
        <v>283</v>
      </c>
      <c r="M167" s="159"/>
    </row>
    <row r="168">
      <c r="A168" s="300"/>
      <c r="D168" s="395"/>
      <c r="E168" s="395"/>
      <c r="F168" s="159"/>
      <c r="G168" s="159"/>
      <c r="H168" s="159"/>
      <c r="I168" s="159"/>
      <c r="J168" s="159"/>
      <c r="K168" s="508" t="s">
        <v>283</v>
      </c>
      <c r="L168" s="508" t="s">
        <v>283</v>
      </c>
      <c r="M168" s="159"/>
    </row>
    <row r="169">
      <c r="A169" s="128"/>
      <c r="D169" s="395"/>
      <c r="E169" s="395"/>
      <c r="F169" s="423"/>
      <c r="G169" s="423"/>
      <c r="H169" s="423"/>
      <c r="I169" s="423"/>
      <c r="J169" s="423"/>
      <c r="K169" s="589" t="s">
        <v>283</v>
      </c>
      <c r="L169" s="589" t="s">
        <v>283</v>
      </c>
      <c r="M169" s="423"/>
    </row>
    <row r="170">
      <c r="A170" s="128"/>
      <c r="D170" s="395"/>
      <c r="E170" s="395"/>
      <c r="F170" s="423"/>
      <c r="G170" s="423"/>
      <c r="H170" s="423"/>
      <c r="I170" s="423"/>
      <c r="J170" s="423"/>
      <c r="K170" s="589" t="s">
        <v>283</v>
      </c>
      <c r="L170" s="589" t="s">
        <v>283</v>
      </c>
      <c r="M170" s="423"/>
    </row>
    <row r="171">
      <c r="A171" s="128"/>
      <c r="D171" s="395"/>
      <c r="E171" s="395"/>
      <c r="F171" s="423"/>
      <c r="G171" s="423"/>
      <c r="H171" s="423"/>
      <c r="I171" s="423"/>
      <c r="J171" s="423"/>
      <c r="K171" s="589" t="s">
        <v>283</v>
      </c>
      <c r="L171" s="589" t="s">
        <v>283</v>
      </c>
      <c r="M171" s="423"/>
    </row>
    <row r="172">
      <c r="A172" s="128"/>
      <c r="D172" s="395"/>
      <c r="E172" s="395"/>
      <c r="F172" s="423"/>
      <c r="G172" s="423"/>
      <c r="H172" s="423"/>
      <c r="I172" s="423"/>
      <c r="J172" s="423"/>
      <c r="K172" s="589" t="s">
        <v>283</v>
      </c>
      <c r="L172" s="589" t="s">
        <v>283</v>
      </c>
      <c r="M172" s="423"/>
    </row>
    <row r="173">
      <c r="A173" s="128"/>
      <c r="D173" s="395"/>
      <c r="E173" s="395"/>
      <c r="F173" s="423"/>
      <c r="G173" s="423"/>
      <c r="H173" s="423"/>
      <c r="I173" s="423"/>
      <c r="J173" s="423"/>
      <c r="K173" s="589" t="s">
        <v>283</v>
      </c>
      <c r="L173" s="589" t="s">
        <v>283</v>
      </c>
      <c r="M173" s="423"/>
    </row>
    <row r="174">
      <c r="A174" s="128"/>
      <c r="D174" s="395"/>
      <c r="E174" s="395"/>
      <c r="F174" s="423"/>
      <c r="G174" s="423"/>
      <c r="H174" s="423"/>
      <c r="I174" s="423"/>
      <c r="J174" s="423"/>
      <c r="K174" s="589" t="s">
        <v>283</v>
      </c>
      <c r="L174" s="589" t="s">
        <v>283</v>
      </c>
      <c r="M174" s="423"/>
    </row>
    <row r="175">
      <c r="A175" s="128"/>
      <c r="D175" s="395"/>
      <c r="E175" s="395"/>
      <c r="F175" s="423"/>
      <c r="G175" s="423"/>
      <c r="H175" s="423"/>
      <c r="I175" s="423"/>
      <c r="J175" s="423"/>
      <c r="K175" s="589" t="s">
        <v>283</v>
      </c>
      <c r="L175" s="589" t="s">
        <v>283</v>
      </c>
      <c r="M175" s="423"/>
    </row>
    <row r="176">
      <c r="A176" s="128"/>
      <c r="D176" s="395"/>
      <c r="E176" s="395"/>
      <c r="F176" s="423"/>
      <c r="G176" s="423"/>
      <c r="H176" s="423"/>
      <c r="I176" s="423"/>
      <c r="J176" s="423"/>
      <c r="K176" s="589" t="s">
        <v>283</v>
      </c>
      <c r="L176" s="589" t="s">
        <v>283</v>
      </c>
      <c r="M176" s="423"/>
    </row>
    <row r="177">
      <c r="A177" s="128"/>
      <c r="D177" s="395"/>
      <c r="E177" s="395"/>
      <c r="F177" s="423"/>
      <c r="G177" s="423"/>
      <c r="H177" s="423"/>
      <c r="I177" s="423"/>
      <c r="J177" s="423"/>
      <c r="K177" s="589" t="s">
        <v>283</v>
      </c>
      <c r="L177" s="589" t="s">
        <v>283</v>
      </c>
      <c r="M177" s="423"/>
    </row>
    <row r="178">
      <c r="A178" s="128"/>
      <c r="D178" s="395"/>
      <c r="E178" s="395"/>
      <c r="F178" s="423"/>
      <c r="G178" s="423"/>
      <c r="H178" s="423"/>
      <c r="I178" s="423"/>
      <c r="J178" s="423"/>
      <c r="K178" s="589" t="s">
        <v>283</v>
      </c>
      <c r="L178" s="589" t="s">
        <v>283</v>
      </c>
      <c r="M178" s="423"/>
    </row>
    <row r="179">
      <c r="A179" s="128"/>
      <c r="D179" s="395"/>
      <c r="E179" s="395"/>
      <c r="F179" s="423"/>
      <c r="G179" s="423"/>
      <c r="H179" s="423"/>
      <c r="I179" s="423"/>
      <c r="J179" s="423"/>
      <c r="K179" s="589" t="s">
        <v>283</v>
      </c>
      <c r="L179" s="589" t="s">
        <v>283</v>
      </c>
      <c r="M179" s="423"/>
    </row>
    <row r="180">
      <c r="A180" s="128"/>
      <c r="D180" s="395"/>
      <c r="E180" s="395"/>
      <c r="F180" s="423"/>
      <c r="G180" s="423"/>
      <c r="H180" s="423"/>
      <c r="I180" s="423"/>
      <c r="J180" s="423"/>
      <c r="K180" s="589" t="s">
        <v>283</v>
      </c>
      <c r="L180" s="589" t="s">
        <v>283</v>
      </c>
      <c r="M180" s="423"/>
    </row>
    <row r="181">
      <c r="A181" s="128"/>
      <c r="D181" s="395"/>
      <c r="E181" s="395"/>
      <c r="F181" s="423"/>
      <c r="G181" s="423"/>
      <c r="H181" s="423"/>
      <c r="I181" s="423"/>
      <c r="J181" s="423"/>
      <c r="K181" s="589" t="s">
        <v>283</v>
      </c>
      <c r="L181" s="589" t="s">
        <v>283</v>
      </c>
      <c r="M181" s="423"/>
    </row>
    <row r="182">
      <c r="A182" s="128"/>
      <c r="D182" s="395"/>
      <c r="E182" s="395"/>
      <c r="F182" s="423"/>
      <c r="G182" s="423"/>
      <c r="H182" s="423"/>
      <c r="I182" s="423"/>
      <c r="J182" s="423"/>
      <c r="K182" s="589" t="s">
        <v>283</v>
      </c>
      <c r="L182" s="589" t="s">
        <v>283</v>
      </c>
      <c r="M182" s="423"/>
    </row>
    <row r="183">
      <c r="A183" s="128"/>
      <c r="D183" s="395"/>
      <c r="E183" s="395"/>
      <c r="F183" s="423"/>
      <c r="G183" s="423"/>
      <c r="H183" s="423"/>
      <c r="I183" s="423"/>
      <c r="J183" s="423"/>
      <c r="K183" s="589" t="s">
        <v>283</v>
      </c>
      <c r="L183" s="589" t="s">
        <v>283</v>
      </c>
      <c r="M183" s="423"/>
    </row>
    <row r="184">
      <c r="A184" s="128"/>
      <c r="D184" s="395"/>
      <c r="E184" s="395"/>
      <c r="F184" s="423"/>
      <c r="G184" s="423"/>
      <c r="H184" s="423"/>
      <c r="I184" s="423"/>
      <c r="J184" s="423"/>
      <c r="K184" s="589" t="s">
        <v>283</v>
      </c>
      <c r="L184" s="589" t="s">
        <v>283</v>
      </c>
      <c r="M184" s="423"/>
    </row>
    <row r="185">
      <c r="A185" s="128"/>
      <c r="D185" s="395"/>
      <c r="E185" s="395"/>
      <c r="F185" s="423"/>
      <c r="G185" s="423"/>
      <c r="H185" s="423"/>
      <c r="I185" s="423"/>
      <c r="J185" s="423"/>
      <c r="K185" s="589" t="s">
        <v>283</v>
      </c>
      <c r="L185" s="589" t="s">
        <v>283</v>
      </c>
      <c r="M185" s="423"/>
    </row>
    <row r="186">
      <c r="A186" s="128"/>
      <c r="D186" s="395"/>
      <c r="E186" s="395"/>
      <c r="F186" s="423"/>
      <c r="G186" s="423"/>
      <c r="H186" s="423"/>
      <c r="I186" s="423"/>
      <c r="J186" s="423"/>
      <c r="K186" s="589" t="s">
        <v>283</v>
      </c>
      <c r="L186" s="589" t="s">
        <v>283</v>
      </c>
      <c r="M186" s="423"/>
    </row>
    <row r="187">
      <c r="A187" s="128"/>
      <c r="D187" s="395"/>
      <c r="E187" s="395"/>
      <c r="F187" s="423"/>
      <c r="G187" s="423"/>
      <c r="H187" s="423"/>
      <c r="I187" s="423"/>
      <c r="J187" s="423"/>
      <c r="K187" s="589" t="s">
        <v>283</v>
      </c>
      <c r="L187" s="589" t="s">
        <v>283</v>
      </c>
      <c r="M187" s="423"/>
    </row>
    <row r="188">
      <c r="A188" s="128"/>
      <c r="D188" s="395"/>
      <c r="E188" s="395"/>
      <c r="F188" s="423"/>
      <c r="G188" s="423"/>
      <c r="H188" s="423"/>
      <c r="I188" s="423"/>
      <c r="J188" s="423"/>
      <c r="K188" s="589" t="s">
        <v>283</v>
      </c>
      <c r="L188" s="589" t="s">
        <v>283</v>
      </c>
      <c r="M188" s="423"/>
    </row>
    <row r="189">
      <c r="A189" s="128"/>
      <c r="D189" s="395"/>
      <c r="E189" s="395"/>
      <c r="F189" s="423"/>
      <c r="G189" s="423"/>
      <c r="H189" s="423"/>
      <c r="I189" s="423"/>
      <c r="J189" s="423"/>
      <c r="K189" s="589" t="s">
        <v>283</v>
      </c>
      <c r="L189" s="589" t="s">
        <v>283</v>
      </c>
      <c r="M189" s="423"/>
    </row>
    <row r="190">
      <c r="A190" s="128"/>
      <c r="D190" s="395"/>
      <c r="E190" s="395"/>
      <c r="F190" s="423"/>
      <c r="G190" s="423"/>
      <c r="H190" s="423"/>
      <c r="I190" s="423"/>
      <c r="J190" s="423"/>
      <c r="K190" s="589" t="s">
        <v>283</v>
      </c>
      <c r="L190" s="589" t="s">
        <v>283</v>
      </c>
      <c r="M190" s="423"/>
    </row>
    <row r="191">
      <c r="A191" s="128"/>
      <c r="D191" s="395"/>
      <c r="E191" s="395"/>
      <c r="F191" s="423"/>
      <c r="G191" s="423"/>
      <c r="H191" s="423"/>
      <c r="I191" s="423"/>
      <c r="J191" s="423"/>
      <c r="K191" s="589" t="s">
        <v>283</v>
      </c>
      <c r="L191" s="589" t="s">
        <v>283</v>
      </c>
      <c r="M191" s="423"/>
    </row>
    <row r="192">
      <c r="A192" s="128"/>
      <c r="D192" s="395"/>
      <c r="E192" s="395"/>
      <c r="F192" s="423"/>
      <c r="G192" s="423"/>
      <c r="H192" s="423"/>
      <c r="I192" s="423"/>
      <c r="J192" s="423"/>
      <c r="K192" s="589" t="s">
        <v>283</v>
      </c>
      <c r="L192" s="589" t="s">
        <v>283</v>
      </c>
      <c r="M192" s="423"/>
    </row>
    <row r="193">
      <c r="A193" s="128"/>
      <c r="D193" s="395"/>
      <c r="E193" s="395"/>
      <c r="F193" s="423"/>
      <c r="G193" s="423"/>
      <c r="H193" s="423"/>
      <c r="I193" s="423"/>
      <c r="J193" s="423"/>
      <c r="K193" s="589" t="s">
        <v>283</v>
      </c>
      <c r="L193" s="589" t="s">
        <v>283</v>
      </c>
      <c r="M193" s="423"/>
    </row>
    <row r="194">
      <c r="A194" s="128"/>
      <c r="D194" s="395"/>
      <c r="E194" s="395"/>
      <c r="F194" s="423"/>
      <c r="G194" s="423"/>
      <c r="H194" s="423"/>
      <c r="I194" s="423"/>
      <c r="J194" s="423"/>
      <c r="K194" s="589" t="s">
        <v>283</v>
      </c>
      <c r="L194" s="589" t="s">
        <v>283</v>
      </c>
      <c r="M194" s="423"/>
    </row>
    <row r="195">
      <c r="A195" s="128"/>
      <c r="D195" s="395"/>
      <c r="E195" s="395"/>
      <c r="F195" s="423"/>
      <c r="G195" s="423"/>
      <c r="H195" s="423"/>
      <c r="I195" s="423"/>
      <c r="J195" s="423"/>
      <c r="K195" s="589" t="s">
        <v>283</v>
      </c>
      <c r="L195" s="589" t="s">
        <v>283</v>
      </c>
      <c r="M195" s="423"/>
    </row>
    <row r="196">
      <c r="A196" s="128"/>
      <c r="D196" s="395"/>
      <c r="E196" s="395"/>
      <c r="F196" s="423"/>
      <c r="G196" s="423"/>
      <c r="H196" s="423"/>
      <c r="I196" s="423"/>
      <c r="J196" s="423"/>
      <c r="K196" s="589" t="s">
        <v>283</v>
      </c>
      <c r="L196" s="589" t="s">
        <v>283</v>
      </c>
      <c r="M196" s="423"/>
    </row>
    <row r="197">
      <c r="A197" s="128"/>
      <c r="D197" s="395"/>
      <c r="E197" s="395"/>
      <c r="F197" s="423"/>
      <c r="G197" s="423"/>
      <c r="H197" s="423"/>
      <c r="I197" s="423"/>
      <c r="J197" s="423"/>
      <c r="K197" s="589" t="s">
        <v>283</v>
      </c>
      <c r="L197" s="589" t="s">
        <v>283</v>
      </c>
      <c r="M197" s="423"/>
    </row>
    <row r="198">
      <c r="A198" s="128"/>
      <c r="D198" s="395"/>
      <c r="E198" s="395"/>
      <c r="F198" s="423"/>
      <c r="G198" s="423"/>
      <c r="H198" s="423"/>
      <c r="I198" s="423"/>
      <c r="J198" s="423"/>
      <c r="K198" s="589" t="s">
        <v>283</v>
      </c>
      <c r="L198" s="589" t="s">
        <v>283</v>
      </c>
      <c r="M198" s="423"/>
    </row>
    <row r="199">
      <c r="A199" s="128"/>
      <c r="D199" s="395"/>
      <c r="E199" s="395"/>
      <c r="F199" s="423"/>
      <c r="G199" s="423"/>
      <c r="H199" s="423"/>
      <c r="I199" s="423"/>
      <c r="J199" s="423"/>
      <c r="K199" s="589" t="s">
        <v>283</v>
      </c>
      <c r="L199" s="589" t="s">
        <v>283</v>
      </c>
      <c r="M199" s="423"/>
    </row>
    <row r="200">
      <c r="A200" s="128"/>
      <c r="D200" s="395"/>
      <c r="E200" s="395"/>
      <c r="F200" s="423"/>
      <c r="G200" s="423"/>
      <c r="H200" s="423"/>
      <c r="I200" s="423"/>
      <c r="J200" s="423"/>
      <c r="K200" s="589" t="s">
        <v>283</v>
      </c>
      <c r="L200" s="589" t="s">
        <v>283</v>
      </c>
      <c r="M200" s="423"/>
    </row>
    <row r="201">
      <c r="A201" s="128"/>
      <c r="D201" s="395"/>
      <c r="E201" s="395"/>
      <c r="F201" s="423"/>
      <c r="G201" s="423"/>
      <c r="H201" s="423"/>
      <c r="I201" s="423"/>
      <c r="J201" s="423"/>
      <c r="K201" s="589" t="s">
        <v>283</v>
      </c>
      <c r="L201" s="589" t="s">
        <v>283</v>
      </c>
      <c r="M201" s="423"/>
    </row>
    <row r="202">
      <c r="A202" s="128"/>
      <c r="D202" s="395"/>
      <c r="E202" s="395"/>
      <c r="F202" s="423"/>
      <c r="G202" s="423"/>
      <c r="H202" s="423"/>
      <c r="I202" s="423"/>
      <c r="J202" s="423"/>
      <c r="K202" s="589" t="s">
        <v>283</v>
      </c>
      <c r="L202" s="589" t="s">
        <v>283</v>
      </c>
      <c r="M202" s="423"/>
    </row>
    <row r="203">
      <c r="A203" s="128"/>
      <c r="D203" s="395"/>
      <c r="E203" s="395"/>
      <c r="F203" s="423"/>
      <c r="G203" s="423"/>
      <c r="H203" s="423"/>
      <c r="I203" s="423"/>
      <c r="J203" s="423"/>
      <c r="K203" s="589" t="s">
        <v>283</v>
      </c>
      <c r="L203" s="589" t="s">
        <v>283</v>
      </c>
      <c r="M203" s="423"/>
    </row>
    <row r="204">
      <c r="A204" s="128"/>
      <c r="D204" s="395"/>
      <c r="E204" s="395"/>
      <c r="F204" s="423"/>
      <c r="G204" s="423"/>
      <c r="H204" s="423"/>
      <c r="I204" s="423"/>
      <c r="J204" s="423"/>
      <c r="K204" s="589" t="s">
        <v>283</v>
      </c>
      <c r="L204" s="589" t="s">
        <v>283</v>
      </c>
      <c r="M204" s="423"/>
    </row>
    <row r="205">
      <c r="A205" s="128"/>
      <c r="D205" s="395"/>
      <c r="E205" s="395"/>
      <c r="F205" s="423"/>
      <c r="G205" s="423"/>
      <c r="H205" s="423"/>
      <c r="I205" s="423"/>
      <c r="J205" s="423"/>
      <c r="K205" s="589" t="s">
        <v>283</v>
      </c>
      <c r="L205" s="589" t="s">
        <v>283</v>
      </c>
      <c r="M205" s="423"/>
    </row>
    <row r="206">
      <c r="A206" s="128"/>
      <c r="D206" s="395"/>
      <c r="E206" s="395"/>
      <c r="F206" s="423"/>
      <c r="G206" s="423"/>
      <c r="H206" s="423"/>
      <c r="I206" s="423"/>
      <c r="J206" s="423"/>
      <c r="K206" s="589" t="s">
        <v>283</v>
      </c>
      <c r="L206" s="589" t="s">
        <v>283</v>
      </c>
      <c r="M206" s="423"/>
    </row>
    <row r="207">
      <c r="A207" s="128"/>
      <c r="D207" s="395"/>
      <c r="E207" s="395"/>
      <c r="F207" s="423"/>
      <c r="G207" s="423"/>
      <c r="H207" s="423"/>
      <c r="I207" s="423"/>
      <c r="J207" s="423"/>
      <c r="K207" s="589" t="s">
        <v>283</v>
      </c>
      <c r="L207" s="589" t="s">
        <v>283</v>
      </c>
      <c r="M207" s="423"/>
    </row>
    <row r="208">
      <c r="A208" s="128"/>
      <c r="D208" s="395"/>
      <c r="E208" s="395"/>
      <c r="F208" s="423"/>
      <c r="G208" s="423"/>
      <c r="H208" s="423"/>
      <c r="I208" s="423"/>
      <c r="J208" s="423"/>
      <c r="K208" s="589" t="s">
        <v>283</v>
      </c>
      <c r="L208" s="589" t="s">
        <v>283</v>
      </c>
      <c r="M208" s="423"/>
    </row>
    <row r="209">
      <c r="A209" s="128"/>
      <c r="D209" s="395"/>
      <c r="E209" s="395"/>
      <c r="F209" s="423"/>
      <c r="G209" s="423"/>
      <c r="H209" s="423"/>
      <c r="I209" s="423"/>
      <c r="J209" s="423"/>
      <c r="K209" s="589" t="s">
        <v>283</v>
      </c>
      <c r="L209" s="589" t="s">
        <v>283</v>
      </c>
      <c r="M209" s="423"/>
    </row>
    <row r="210">
      <c r="A210" s="128"/>
      <c r="D210" s="395"/>
      <c r="E210" s="395"/>
      <c r="F210" s="423"/>
      <c r="G210" s="423"/>
      <c r="H210" s="423"/>
      <c r="I210" s="423"/>
      <c r="J210" s="423"/>
      <c r="K210" s="589" t="s">
        <v>283</v>
      </c>
      <c r="L210" s="589" t="s">
        <v>283</v>
      </c>
      <c r="M210" s="423"/>
    </row>
    <row r="211">
      <c r="A211" s="128"/>
      <c r="D211" s="395"/>
      <c r="E211" s="395"/>
      <c r="F211" s="423"/>
      <c r="G211" s="423"/>
      <c r="H211" s="423"/>
      <c r="I211" s="423"/>
      <c r="J211" s="423"/>
      <c r="K211" s="589" t="s">
        <v>283</v>
      </c>
      <c r="L211" s="589" t="s">
        <v>283</v>
      </c>
      <c r="M211" s="423"/>
    </row>
    <row r="212">
      <c r="A212" s="128"/>
      <c r="D212" s="395"/>
      <c r="E212" s="395"/>
      <c r="F212" s="423"/>
      <c r="G212" s="423"/>
      <c r="H212" s="423"/>
      <c r="I212" s="423"/>
      <c r="J212" s="423"/>
      <c r="K212" s="589" t="s">
        <v>283</v>
      </c>
      <c r="L212" s="589" t="s">
        <v>283</v>
      </c>
      <c r="M212" s="423"/>
    </row>
    <row r="213">
      <c r="A213" s="128"/>
      <c r="D213" s="395"/>
      <c r="E213" s="395"/>
      <c r="F213" s="423"/>
      <c r="G213" s="423"/>
      <c r="H213" s="423"/>
      <c r="I213" s="423"/>
      <c r="J213" s="423"/>
      <c r="K213" s="589" t="s">
        <v>283</v>
      </c>
      <c r="L213" s="589" t="s">
        <v>283</v>
      </c>
      <c r="M213" s="423"/>
    </row>
    <row r="214">
      <c r="A214" s="128"/>
      <c r="D214" s="395"/>
      <c r="E214" s="395"/>
      <c r="F214" s="423"/>
      <c r="G214" s="423"/>
      <c r="H214" s="423"/>
      <c r="I214" s="423"/>
      <c r="J214" s="423"/>
      <c r="K214" s="589" t="s">
        <v>283</v>
      </c>
      <c r="L214" s="589" t="s">
        <v>283</v>
      </c>
      <c r="M214" s="423"/>
    </row>
    <row r="215">
      <c r="A215" s="128"/>
      <c r="D215" s="395"/>
      <c r="E215" s="395"/>
      <c r="F215" s="423"/>
      <c r="G215" s="423"/>
      <c r="H215" s="423"/>
      <c r="I215" s="423"/>
      <c r="J215" s="423"/>
      <c r="K215" s="589" t="s">
        <v>283</v>
      </c>
      <c r="L215" s="589" t="s">
        <v>283</v>
      </c>
      <c r="M215" s="423"/>
    </row>
    <row r="216">
      <c r="A216" s="128"/>
      <c r="D216" s="395"/>
      <c r="E216" s="395"/>
      <c r="F216" s="423"/>
      <c r="G216" s="423"/>
      <c r="H216" s="423"/>
      <c r="I216" s="423"/>
      <c r="J216" s="423"/>
      <c r="K216" s="589" t="s">
        <v>283</v>
      </c>
      <c r="L216" s="589" t="s">
        <v>283</v>
      </c>
      <c r="M216" s="423"/>
    </row>
    <row r="217">
      <c r="A217" s="128"/>
      <c r="D217" s="395"/>
      <c r="E217" s="395"/>
      <c r="F217" s="423"/>
      <c r="G217" s="423"/>
      <c r="H217" s="423"/>
      <c r="I217" s="423"/>
      <c r="J217" s="423"/>
      <c r="K217" s="589" t="s">
        <v>283</v>
      </c>
      <c r="L217" s="589" t="s">
        <v>283</v>
      </c>
      <c r="M217" s="423"/>
    </row>
    <row r="218">
      <c r="A218" s="128"/>
      <c r="D218" s="395"/>
      <c r="E218" s="395"/>
      <c r="F218" s="423"/>
      <c r="G218" s="423"/>
      <c r="H218" s="423"/>
      <c r="I218" s="423"/>
      <c r="J218" s="423"/>
      <c r="K218" s="589" t="s">
        <v>283</v>
      </c>
      <c r="L218" s="589" t="s">
        <v>283</v>
      </c>
      <c r="M218" s="423"/>
    </row>
    <row r="219">
      <c r="A219" s="128"/>
      <c r="D219" s="395"/>
      <c r="E219" s="395"/>
      <c r="F219" s="423"/>
      <c r="G219" s="423"/>
      <c r="H219" s="423"/>
      <c r="I219" s="423"/>
      <c r="J219" s="423"/>
      <c r="K219" s="589" t="s">
        <v>283</v>
      </c>
      <c r="L219" s="589" t="s">
        <v>283</v>
      </c>
      <c r="M219" s="423"/>
    </row>
    <row r="220">
      <c r="A220" s="128"/>
      <c r="D220" s="395"/>
      <c r="E220" s="395"/>
      <c r="F220" s="423"/>
      <c r="G220" s="423"/>
      <c r="H220" s="423"/>
      <c r="I220" s="423"/>
      <c r="J220" s="423"/>
      <c r="K220" s="589" t="s">
        <v>283</v>
      </c>
      <c r="L220" s="589" t="s">
        <v>283</v>
      </c>
      <c r="M220" s="423"/>
    </row>
    <row r="221">
      <c r="A221" s="128"/>
      <c r="D221" s="395"/>
      <c r="E221" s="395"/>
      <c r="F221" s="423"/>
      <c r="G221" s="423"/>
      <c r="H221" s="423"/>
      <c r="I221" s="423"/>
      <c r="J221" s="423"/>
      <c r="K221" s="589" t="s">
        <v>283</v>
      </c>
      <c r="L221" s="589" t="s">
        <v>283</v>
      </c>
      <c r="M221" s="423"/>
    </row>
    <row r="222">
      <c r="A222" s="128"/>
      <c r="D222" s="395"/>
      <c r="E222" s="395"/>
      <c r="F222" s="423"/>
      <c r="G222" s="423"/>
      <c r="H222" s="423"/>
      <c r="I222" s="423"/>
      <c r="J222" s="423"/>
      <c r="K222" s="589" t="s">
        <v>283</v>
      </c>
      <c r="L222" s="589" t="s">
        <v>283</v>
      </c>
      <c r="M222" s="423"/>
    </row>
    <row r="223">
      <c r="A223" s="128"/>
      <c r="D223" s="395"/>
      <c r="E223" s="395"/>
      <c r="F223" s="423"/>
      <c r="G223" s="423"/>
      <c r="H223" s="423"/>
      <c r="I223" s="423"/>
      <c r="J223" s="423"/>
      <c r="K223" s="589" t="s">
        <v>283</v>
      </c>
      <c r="L223" s="589" t="s">
        <v>283</v>
      </c>
      <c r="M223" s="423"/>
    </row>
    <row r="224">
      <c r="A224" s="128"/>
      <c r="D224" s="395"/>
      <c r="E224" s="395"/>
      <c r="F224" s="423"/>
      <c r="G224" s="423"/>
      <c r="H224" s="423"/>
      <c r="I224" s="423"/>
      <c r="J224" s="423"/>
      <c r="K224" s="589"/>
      <c r="L224" s="589"/>
      <c r="M224" s="423"/>
    </row>
    <row r="225">
      <c r="A225" s="128"/>
      <c r="D225" s="395"/>
      <c r="E225" s="395"/>
      <c r="F225" s="423"/>
      <c r="G225" s="423"/>
      <c r="H225" s="423"/>
      <c r="I225" s="423"/>
      <c r="J225" s="423"/>
      <c r="K225" s="589"/>
      <c r="L225" s="589"/>
      <c r="M225" s="423"/>
    </row>
    <row r="226">
      <c r="A226" s="128"/>
      <c r="D226" s="395"/>
      <c r="E226" s="395"/>
      <c r="F226" s="423"/>
      <c r="G226" s="423"/>
      <c r="H226" s="423"/>
      <c r="I226" s="423"/>
      <c r="J226" s="423"/>
      <c r="K226" s="589"/>
      <c r="L226" s="589"/>
      <c r="M226" s="423"/>
    </row>
    <row r="227">
      <c r="A227" s="128"/>
      <c r="D227" s="395"/>
      <c r="E227" s="395"/>
      <c r="F227" s="423"/>
      <c r="G227" s="423"/>
      <c r="H227" s="423"/>
      <c r="I227" s="423"/>
      <c r="J227" s="423"/>
      <c r="K227" s="589"/>
      <c r="L227" s="589"/>
      <c r="M227" s="423"/>
    </row>
    <row r="228">
      <c r="A228" s="128"/>
      <c r="D228" s="395"/>
      <c r="E228" s="395"/>
      <c r="F228" s="423"/>
      <c r="G228" s="423"/>
      <c r="H228" s="423"/>
      <c r="I228" s="423"/>
      <c r="J228" s="423"/>
      <c r="K228" s="589"/>
      <c r="L228" s="589"/>
      <c r="M228" s="423"/>
    </row>
    <row r="229">
      <c r="A229" s="128"/>
      <c r="D229" s="395"/>
      <c r="E229" s="395"/>
      <c r="F229" s="423"/>
      <c r="G229" s="423"/>
      <c r="H229" s="423"/>
      <c r="I229" s="423"/>
      <c r="J229" s="423"/>
      <c r="K229" s="589"/>
      <c r="L229" s="589"/>
      <c r="M229" s="423"/>
    </row>
    <row r="230">
      <c r="A230" s="128"/>
      <c r="D230" s="395"/>
      <c r="E230" s="395"/>
      <c r="F230" s="423"/>
      <c r="G230" s="423"/>
      <c r="H230" s="423"/>
      <c r="I230" s="423"/>
      <c r="J230" s="423"/>
      <c r="K230" s="589"/>
      <c r="L230" s="589"/>
      <c r="M230" s="423"/>
    </row>
    <row r="231">
      <c r="A231" s="128"/>
      <c r="D231" s="395"/>
      <c r="E231" s="395"/>
      <c r="F231" s="423"/>
      <c r="G231" s="423"/>
      <c r="H231" s="423"/>
      <c r="I231" s="423"/>
      <c r="J231" s="423"/>
      <c r="K231" s="589"/>
      <c r="L231" s="589"/>
      <c r="M231" s="423"/>
    </row>
    <row r="232">
      <c r="A232" s="128"/>
      <c r="D232" s="395"/>
      <c r="E232" s="395"/>
      <c r="F232" s="423"/>
      <c r="G232" s="423"/>
      <c r="H232" s="423"/>
      <c r="I232" s="423"/>
      <c r="J232" s="423"/>
      <c r="K232" s="589"/>
      <c r="L232" s="589"/>
      <c r="M232" s="423"/>
    </row>
    <row r="233">
      <c r="A233" s="128"/>
      <c r="D233" s="395"/>
      <c r="E233" s="395"/>
      <c r="F233" s="423"/>
      <c r="G233" s="423"/>
      <c r="H233" s="423"/>
      <c r="I233" s="423"/>
      <c r="J233" s="423"/>
      <c r="K233" s="589"/>
      <c r="L233" s="589"/>
      <c r="M233" s="423"/>
    </row>
    <row r="234">
      <c r="A234" s="128"/>
      <c r="D234" s="395"/>
      <c r="E234" s="395"/>
      <c r="F234" s="423"/>
      <c r="G234" s="423"/>
      <c r="H234" s="423"/>
      <c r="I234" s="423"/>
      <c r="J234" s="423"/>
      <c r="K234" s="589"/>
      <c r="L234" s="589"/>
      <c r="M234" s="423"/>
    </row>
    <row r="235">
      <c r="A235" s="128"/>
      <c r="D235" s="395"/>
      <c r="E235" s="395"/>
      <c r="F235" s="423"/>
      <c r="G235" s="423"/>
      <c r="H235" s="423"/>
      <c r="I235" s="423"/>
      <c r="J235" s="423"/>
      <c r="K235" s="589"/>
      <c r="L235" s="589"/>
      <c r="M235" s="423"/>
    </row>
    <row r="236">
      <c r="A236" s="128"/>
      <c r="D236" s="395"/>
      <c r="E236" s="395"/>
      <c r="F236" s="423"/>
      <c r="G236" s="423"/>
      <c r="H236" s="423"/>
      <c r="I236" s="423"/>
      <c r="J236" s="423"/>
      <c r="K236" s="589"/>
      <c r="L236" s="589"/>
      <c r="M236" s="423"/>
    </row>
    <row r="237">
      <c r="A237" s="128"/>
      <c r="D237" s="395"/>
      <c r="E237" s="395"/>
      <c r="F237" s="423"/>
      <c r="G237" s="423"/>
      <c r="H237" s="423"/>
      <c r="I237" s="423"/>
      <c r="J237" s="423"/>
      <c r="K237" s="589"/>
      <c r="L237" s="589"/>
      <c r="M237" s="423"/>
    </row>
    <row r="238">
      <c r="A238" s="128"/>
      <c r="D238" s="395"/>
      <c r="E238" s="395"/>
      <c r="F238" s="423"/>
      <c r="G238" s="423"/>
      <c r="H238" s="423"/>
      <c r="I238" s="423"/>
      <c r="J238" s="423"/>
      <c r="K238" s="589"/>
      <c r="L238" s="589"/>
      <c r="M238" s="423"/>
    </row>
    <row r="239">
      <c r="A239" s="128"/>
      <c r="D239" s="395"/>
      <c r="E239" s="395"/>
      <c r="F239" s="423"/>
      <c r="G239" s="423"/>
      <c r="H239" s="423"/>
      <c r="I239" s="423"/>
      <c r="J239" s="423"/>
      <c r="K239" s="589"/>
      <c r="L239" s="589"/>
      <c r="M239" s="423"/>
    </row>
    <row r="240">
      <c r="A240" s="128"/>
      <c r="D240" s="395"/>
      <c r="E240" s="395"/>
      <c r="F240" s="423"/>
      <c r="G240" s="423"/>
      <c r="H240" s="423"/>
      <c r="I240" s="423"/>
      <c r="J240" s="423"/>
      <c r="K240" s="589"/>
      <c r="L240" s="589"/>
      <c r="M240" s="423"/>
    </row>
    <row r="241">
      <c r="A241" s="128"/>
      <c r="D241" s="395"/>
      <c r="E241" s="395"/>
      <c r="F241" s="423"/>
      <c r="G241" s="423"/>
      <c r="H241" s="423"/>
      <c r="I241" s="423"/>
      <c r="J241" s="423"/>
      <c r="K241" s="589"/>
      <c r="L241" s="589"/>
      <c r="M241" s="423"/>
    </row>
    <row r="242">
      <c r="A242" s="128"/>
      <c r="D242" s="395"/>
      <c r="E242" s="395"/>
      <c r="F242" s="423"/>
      <c r="G242" s="423"/>
      <c r="H242" s="423"/>
      <c r="I242" s="423"/>
      <c r="J242" s="423"/>
      <c r="K242" s="589"/>
      <c r="L242" s="589"/>
      <c r="M242" s="423"/>
    </row>
    <row r="243">
      <c r="A243" s="128"/>
      <c r="D243" s="395"/>
      <c r="E243" s="395"/>
      <c r="F243" s="423"/>
      <c r="G243" s="423"/>
      <c r="H243" s="423"/>
      <c r="I243" s="423"/>
      <c r="J243" s="423"/>
      <c r="K243" s="589"/>
      <c r="L243" s="589"/>
      <c r="M243" s="423"/>
    </row>
    <row r="244">
      <c r="A244" s="128"/>
      <c r="D244" s="395"/>
      <c r="E244" s="395"/>
      <c r="F244" s="423"/>
      <c r="G244" s="423"/>
      <c r="H244" s="423"/>
      <c r="I244" s="423"/>
      <c r="J244" s="423"/>
      <c r="K244" s="589"/>
      <c r="L244" s="589"/>
      <c r="M244" s="423"/>
    </row>
    <row r="245">
      <c r="A245" s="128"/>
      <c r="D245" s="395"/>
      <c r="E245" s="395"/>
      <c r="F245" s="423"/>
      <c r="G245" s="423"/>
      <c r="H245" s="423"/>
      <c r="I245" s="423"/>
      <c r="J245" s="423"/>
      <c r="K245" s="589"/>
      <c r="L245" s="589"/>
      <c r="M245" s="423"/>
    </row>
    <row r="246">
      <c r="A246" s="128"/>
      <c r="D246" s="395"/>
      <c r="E246" s="395"/>
      <c r="F246" s="423"/>
      <c r="G246" s="423"/>
      <c r="H246" s="423"/>
      <c r="I246" s="423"/>
      <c r="J246" s="423"/>
      <c r="K246" s="589"/>
      <c r="L246" s="589"/>
      <c r="M246" s="423"/>
    </row>
    <row r="247">
      <c r="A247" s="128"/>
      <c r="D247" s="395"/>
      <c r="E247" s="395"/>
      <c r="F247" s="423"/>
      <c r="G247" s="423"/>
      <c r="H247" s="423"/>
      <c r="I247" s="423"/>
      <c r="J247" s="423"/>
      <c r="K247" s="589"/>
      <c r="L247" s="589"/>
      <c r="M247" s="423"/>
    </row>
    <row r="248">
      <c r="A248" s="128"/>
      <c r="D248" s="395"/>
      <c r="E248" s="395"/>
      <c r="F248" s="423"/>
      <c r="G248" s="423"/>
      <c r="H248" s="423"/>
      <c r="I248" s="423"/>
      <c r="J248" s="423"/>
      <c r="K248" s="589"/>
      <c r="L248" s="589"/>
      <c r="M248" s="423"/>
    </row>
    <row r="249">
      <c r="A249" s="128"/>
      <c r="D249" s="395"/>
      <c r="E249" s="395"/>
      <c r="F249" s="423"/>
      <c r="G249" s="423"/>
      <c r="H249" s="423"/>
      <c r="I249" s="423"/>
      <c r="J249" s="423"/>
      <c r="K249" s="589"/>
      <c r="L249" s="589"/>
      <c r="M249" s="423"/>
    </row>
    <row r="250">
      <c r="A250" s="128"/>
      <c r="D250" s="395"/>
      <c r="E250" s="395"/>
      <c r="F250" s="423"/>
      <c r="G250" s="423"/>
      <c r="H250" s="423"/>
      <c r="I250" s="423"/>
      <c r="J250" s="423"/>
      <c r="K250" s="589"/>
      <c r="L250" s="589"/>
      <c r="M250" s="423"/>
    </row>
    <row r="251">
      <c r="A251" s="128"/>
      <c r="D251" s="395"/>
      <c r="E251" s="395"/>
      <c r="F251" s="423"/>
      <c r="G251" s="423"/>
      <c r="H251" s="423"/>
      <c r="I251" s="423"/>
      <c r="J251" s="423"/>
      <c r="K251" s="589"/>
      <c r="L251" s="589"/>
      <c r="M251" s="423"/>
    </row>
  </sheetData>
  <mergeCells count="1">
    <mergeCell ref="K2:L2"/>
  </mergeCells>
  <conditionalFormatting sqref="A1">
    <cfRule type="beginsWith" dxfId="2" priority="1" operator="beginsWith" text="You have">
      <formula>LEFT((A1),LEN("You have"))=("You have")</formula>
    </cfRule>
  </conditionalFormatting>
  <dataValidations>
    <dataValidation type="decimal" operator="greaterThan" allowBlank="1" showDropDown="1" showInputMessage="1" prompt="Effective discount rate should be greater than 0% or costs and impacts will not be measurable" sqref="B100:B101">
      <formula1>0.0</formula1>
    </dataValidation>
    <dataValidation type="list" allowBlank="1" showErrorMessage="1" sqref="C9:C12 C18 C22:C25 C35 C43:C45 C49 C57:C58 C63:C64 C68:C74 C76:C78 C81:C82 C89:C90 C98:C99 C105:C107 C111:C112 C119:C121 C126">
      <formula1>"Normal,LogNormal,Beta,Uniform,PERT"</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6" width="12.63"/>
  </cols>
  <sheetData>
    <row r="1">
      <c r="A1" s="592" t="s">
        <v>675</v>
      </c>
      <c r="B1" s="593" t="s">
        <v>676</v>
      </c>
      <c r="C1" s="159"/>
      <c r="D1" s="159"/>
      <c r="E1" s="159"/>
      <c r="F1" s="594" t="s">
        <v>677</v>
      </c>
      <c r="G1" s="595" t="s">
        <v>678</v>
      </c>
      <c r="H1" s="159"/>
      <c r="I1" s="594" t="s">
        <v>677</v>
      </c>
      <c r="J1" s="159"/>
      <c r="K1" s="596" t="s">
        <v>679</v>
      </c>
      <c r="L1" s="159" t="str">
        <f>IF(COUNTIF(L3:L1001,"ERROR – NOT LISTED. Add alt spelling to ''Countries'' tab")&gt;1,"CHECK SPELLINGS","")</f>
        <v/>
      </c>
      <c r="M1" s="597" t="s">
        <v>680</v>
      </c>
      <c r="N1" s="598"/>
      <c r="O1" s="598"/>
      <c r="P1" s="598"/>
      <c r="Q1" s="598"/>
      <c r="R1" s="598"/>
      <c r="S1" s="598"/>
      <c r="T1" s="598"/>
      <c r="U1" s="598"/>
      <c r="V1" s="598"/>
      <c r="W1" s="599" t="s">
        <v>681</v>
      </c>
      <c r="X1" s="598"/>
      <c r="Y1" s="598"/>
      <c r="Z1" s="598"/>
      <c r="AA1" s="598"/>
      <c r="AB1" s="598"/>
      <c r="AC1" s="598"/>
      <c r="AD1" s="598"/>
      <c r="AE1" s="598"/>
      <c r="AF1" s="598"/>
      <c r="AG1" s="598"/>
      <c r="AH1" s="598"/>
      <c r="AI1" s="598"/>
      <c r="AJ1" s="598"/>
      <c r="AK1" s="598"/>
      <c r="AL1" s="598"/>
      <c r="AM1" s="598"/>
      <c r="AN1" s="598"/>
      <c r="AO1" s="598"/>
      <c r="AP1" s="598"/>
      <c r="AQ1" s="598"/>
      <c r="AR1" s="598"/>
      <c r="AS1" s="598"/>
      <c r="AT1" s="598"/>
      <c r="AU1" s="598"/>
      <c r="AV1" s="598"/>
      <c r="AW1" s="598"/>
      <c r="AX1" s="598"/>
      <c r="AY1" s="598"/>
      <c r="AZ1" s="598"/>
      <c r="BA1" s="598"/>
      <c r="BB1" s="598"/>
      <c r="BC1" s="598"/>
      <c r="BD1" s="598"/>
      <c r="BE1" s="598"/>
      <c r="BF1" s="598"/>
      <c r="BG1" s="598"/>
      <c r="BH1" s="598"/>
      <c r="BI1" s="598"/>
      <c r="BJ1" s="598"/>
      <c r="BK1" s="598"/>
      <c r="BL1" s="598"/>
      <c r="BM1" s="598"/>
      <c r="BN1" s="598"/>
      <c r="BO1" s="598"/>
      <c r="BP1" s="598"/>
      <c r="BQ1" s="598"/>
      <c r="BR1" s="598"/>
      <c r="BS1" s="598"/>
      <c r="BT1" s="598"/>
      <c r="BU1" s="598"/>
      <c r="BV1" s="598"/>
      <c r="BW1" s="598"/>
      <c r="BX1" s="598"/>
      <c r="BY1" s="598"/>
      <c r="BZ1" s="598"/>
      <c r="CA1" s="598"/>
      <c r="CB1" s="598"/>
      <c r="CC1" s="598"/>
    </row>
    <row r="2">
      <c r="A2" s="600" t="s">
        <v>682</v>
      </c>
      <c r="B2" s="601" t="s">
        <v>683</v>
      </c>
      <c r="C2" s="601" t="s">
        <v>684</v>
      </c>
      <c r="D2" s="602" t="str">
        <f t="shared" ref="D2:F2" si="1">G2</f>
        <v>Median salary of working people</v>
      </c>
      <c r="E2" s="603" t="str">
        <f t="shared" si="1"/>
        <v/>
      </c>
      <c r="F2" s="603" t="str">
        <f t="shared" si="1"/>
        <v/>
      </c>
      <c r="G2" s="604" t="s">
        <v>685</v>
      </c>
      <c r="H2" s="605"/>
      <c r="I2" s="605"/>
      <c r="J2" s="606"/>
      <c r="L2" s="607" t="s">
        <v>686</v>
      </c>
      <c r="M2" s="608" t="s">
        <v>687</v>
      </c>
      <c r="N2" s="609" t="s">
        <v>688</v>
      </c>
      <c r="O2" s="610" t="s">
        <v>689</v>
      </c>
      <c r="P2" s="611" t="s">
        <v>690</v>
      </c>
      <c r="Q2" s="611" t="s">
        <v>691</v>
      </c>
      <c r="R2" s="610" t="s">
        <v>685</v>
      </c>
      <c r="S2" s="612"/>
      <c r="T2" s="612"/>
      <c r="U2" s="612"/>
      <c r="V2" s="612"/>
      <c r="W2" s="612"/>
      <c r="X2" s="612"/>
      <c r="Y2" s="612"/>
      <c r="Z2" s="612"/>
      <c r="AA2" s="612"/>
      <c r="AB2" s="612"/>
      <c r="AC2" s="612"/>
      <c r="AD2" s="612"/>
      <c r="AE2" s="612"/>
      <c r="AF2" s="612"/>
      <c r="AG2" s="612"/>
      <c r="AH2" s="612"/>
      <c r="AI2" s="612"/>
      <c r="AJ2" s="612"/>
      <c r="AK2" s="612"/>
      <c r="AL2" s="612"/>
      <c r="AM2" s="612"/>
      <c r="AN2" s="612"/>
      <c r="AO2" s="612"/>
      <c r="AP2" s="612"/>
      <c r="AQ2" s="612"/>
      <c r="AR2" s="612"/>
      <c r="AS2" s="612"/>
      <c r="AT2" s="612"/>
      <c r="AU2" s="612"/>
      <c r="AV2" s="612"/>
      <c r="AW2" s="612"/>
      <c r="AX2" s="612"/>
      <c r="AY2" s="612"/>
      <c r="AZ2" s="612"/>
      <c r="BA2" s="612"/>
      <c r="BB2" s="612"/>
      <c r="BC2" s="612"/>
      <c r="BD2" s="612"/>
      <c r="BE2" s="612"/>
      <c r="BF2" s="612"/>
      <c r="BG2" s="612"/>
      <c r="BH2" s="612"/>
      <c r="BI2" s="612"/>
      <c r="BJ2" s="612"/>
      <c r="BK2" s="612"/>
      <c r="BL2" s="612"/>
      <c r="BM2" s="612"/>
      <c r="BN2" s="612"/>
      <c r="BO2" s="612"/>
      <c r="BP2" s="612"/>
      <c r="BQ2" s="612"/>
      <c r="BR2" s="612"/>
      <c r="BS2" s="612"/>
      <c r="BT2" s="612"/>
      <c r="BU2" s="612"/>
      <c r="BV2" s="612"/>
      <c r="BW2" s="612"/>
      <c r="BX2" s="612"/>
      <c r="BY2" s="612"/>
      <c r="BZ2" s="612"/>
      <c r="CA2" s="612"/>
      <c r="CB2" s="159"/>
      <c r="CC2" s="159"/>
    </row>
    <row r="3">
      <c r="A3" s="613" t="str">
        <f>Countries!B2</f>
        <v>Afghanistan</v>
      </c>
      <c r="B3" s="614" t="str">
        <f>Countries!I2</f>
        <v>South Asia</v>
      </c>
      <c r="C3" s="615">
        <f>IFERROR(IFERROR(IFERROR(IFERROR(IFERROR(IFERROR(IFERROR(MATCH(Countries!$B2,$M$3:$M$1003,0),MATCH(Countries!$C2,$M$3:$M$1003,0)),MATCH(Countries!$D2,$M$3:$M$1003,0)),MATCH(Countries!$E2,$M$3:$M$1003,0)),MATCH(Countries!$F2,$M$3:$M$1003,0)),MATCH(Countries!$G2,$M$3:$M$1003,0)),MATCH(Countries!$H2,$M$3:$M$1003,0)),"X")</f>
        <v>1</v>
      </c>
      <c r="D3" s="616">
        <f t="shared" ref="D3:F3" si="2">IF(G$2="","",IF($C3="X","",INDEX($N$3:$CC$1003,$C3,MATCH(G$2,$N$2:$CC$2,0))))</f>
        <v>7827.001811</v>
      </c>
      <c r="E3" s="603" t="str">
        <f t="shared" si="2"/>
        <v/>
      </c>
      <c r="F3" s="603" t="str">
        <f t="shared" si="2"/>
        <v/>
      </c>
      <c r="G3" s="617">
        <f t="shared" ref="G3:G272" si="5">IF(A3="","",IF(G$2="","", IF(D3="",IF($K$16="Use global average",D$276,IF($K$16="Use regional average",INDEX(D$280:D$296,MATCH($B3,$B$280:$B$296,0)),IF($K$16="Leave blank","",IF($K$16="Fill with zeros", 0,IF($K$16="Use global median",D$277,"Fill out I16"))))), D3)))</f>
        <v>7827.001811</v>
      </c>
      <c r="H3" s="618" t="str">
        <f t="shared" ref="H3:I3" si="3">IF(H$2="","", IF(E3="",IF($K$16="Use global average",E$276,IF($K$16="Use regional average",INDEX(E$280:E$296,MATCH($B3,$B$280:$B$296,0)),IF($K$16="Leave blank","",IF($K$16="Fill with zeros", 0,IF($K$16="Use global median",E$277,"Fill out I16"))))), E3))</f>
        <v/>
      </c>
      <c r="I3" s="618" t="str">
        <f t="shared" si="3"/>
        <v/>
      </c>
      <c r="J3" s="619" t="s">
        <v>692</v>
      </c>
      <c r="K3" s="159"/>
      <c r="L3" s="159" t="str">
        <f>IF(M3="","",IF(COUNTIF(Countries!$B$1:$H$271,M3)&gt;0,"",IF(COUNTIF(Countries!$M$1:$S$271,M3)&gt;0,"Not a country","ERROR – NOT LISTED. Add alt spelling to ''Countries'' tab")))</f>
        <v/>
      </c>
      <c r="M3" s="606" t="s">
        <v>693</v>
      </c>
      <c r="N3" s="620" t="s">
        <v>694</v>
      </c>
      <c r="O3" s="621">
        <f>N4*365*1.28</f>
        <v>5636.63111</v>
      </c>
      <c r="P3" s="192">
        <v>0.8383609</v>
      </c>
      <c r="Q3" s="622">
        <v>0.141</v>
      </c>
      <c r="R3" s="621">
        <f t="shared" ref="R3:R199" si="7">IFERROR(O3/(P3*(1-Q3)),"")</f>
        <v>7827.001811</v>
      </c>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59"/>
      <c r="BY3" s="159"/>
      <c r="BZ3" s="159"/>
      <c r="CA3" s="159"/>
      <c r="CB3" s="159"/>
      <c r="CC3" s="159"/>
    </row>
    <row r="4">
      <c r="A4" s="613" t="str">
        <f>Countries!B3</f>
        <v>Albania</v>
      </c>
      <c r="B4" s="614" t="str">
        <f>Countries!I3</f>
        <v>Europe</v>
      </c>
      <c r="C4" s="615">
        <f>IFERROR(IFERROR(IFERROR(IFERROR(IFERROR(IFERROR(IFERROR(MATCH(Countries!$B3,$M$3:$M$1003,0),MATCH(Countries!$C3,$M$3:$M$1003,0)),MATCH(Countries!$D3,$M$3:$M$1003,0)),MATCH(Countries!$E3,$M$3:$M$1003,0)),MATCH(Countries!$F3,$M$3:$M$1003,0)),MATCH(Countries!$G3,$M$3:$M$1003,0)),MATCH(Countries!$H3,$M$3:$M$1003,0)),"X")</f>
        <v>2</v>
      </c>
      <c r="D4" s="616">
        <f t="shared" ref="D4:F4" si="4">IF(G$2="","",IF($C4="X","",INDEX($N$3:$CC$1003,$C4,MATCH(G$2,$N$2:$CC$2,0))))</f>
        <v>0</v>
      </c>
      <c r="E4" s="603" t="str">
        <f t="shared" si="4"/>
        <v/>
      </c>
      <c r="F4" s="603" t="str">
        <f t="shared" si="4"/>
        <v/>
      </c>
      <c r="G4" s="617">
        <f t="shared" si="5"/>
        <v>0</v>
      </c>
      <c r="H4" s="618" t="str">
        <f t="shared" ref="H4:I4" si="6">IF(H$2="","", IF(E4="",IF($K$16="Use global average",E$276,IF($K$16="Use regional average",INDEX(E$280:E$296,MATCH($B4,$B$280:$B$296,0)),IF($K$16="Leave blank","",IF($K$16="Fill with zeros", 0,IF($K$16="Use global median",E$277,"Fill out I16"))))), E4))</f>
        <v/>
      </c>
      <c r="I4" s="618" t="str">
        <f t="shared" si="6"/>
        <v/>
      </c>
      <c r="K4" s="623" t="s">
        <v>695</v>
      </c>
      <c r="L4" s="159" t="str">
        <f>IF(M4="","",IF(COUNTIF(Countries!$B$1:$H$271,M4)&gt;0,"",IF(COUNTIF(Countries!$M$1:$S$271,M4)&gt;0,"Not a country","ERROR – NOT LISTED. Add alt spelling to ''Countries'' tab")))</f>
        <v/>
      </c>
      <c r="M4" s="606" t="s">
        <v>696</v>
      </c>
      <c r="N4" s="624">
        <v>12.064707</v>
      </c>
      <c r="O4" s="625"/>
      <c r="P4" s="192">
        <v>0.50014008</v>
      </c>
      <c r="Q4" s="622">
        <v>0.11628999999999999</v>
      </c>
      <c r="R4" s="621">
        <f t="shared" si="7"/>
        <v>0</v>
      </c>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59"/>
      <c r="BY4" s="159"/>
      <c r="BZ4" s="159"/>
      <c r="CA4" s="159"/>
      <c r="CB4" s="159"/>
      <c r="CC4" s="159"/>
    </row>
    <row r="5">
      <c r="A5" s="613" t="str">
        <f>Countries!B4</f>
        <v>Algeria</v>
      </c>
      <c r="B5" s="614" t="str">
        <f>Countries!I4</f>
        <v>North Africa</v>
      </c>
      <c r="C5" s="615">
        <f>IFERROR(IFERROR(IFERROR(IFERROR(IFERROR(IFERROR(IFERROR(MATCH(Countries!$B4,$M$3:$M$1003,0),MATCH(Countries!$C4,$M$3:$M$1003,0)),MATCH(Countries!$D4,$M$3:$M$1003,0)),MATCH(Countries!$E4,$M$3:$M$1003,0)),MATCH(Countries!$F4,$M$3:$M$1003,0)),MATCH(Countries!$G4,$M$3:$M$1003,0)),MATCH(Countries!$H4,$M$3:$M$1003,0)),"X")</f>
        <v>3</v>
      </c>
      <c r="D5" s="616">
        <f t="shared" ref="D5:F5" si="8">IF(G$2="","",IF($C5="X","",INDEX($N$3:$CC$1003,$C5,MATCH(G$2,$N$2:$CC$2,0))))</f>
        <v>7307.180842</v>
      </c>
      <c r="E5" s="603" t="str">
        <f t="shared" si="8"/>
        <v/>
      </c>
      <c r="F5" s="603" t="str">
        <f t="shared" si="8"/>
        <v/>
      </c>
      <c r="G5" s="617">
        <f t="shared" si="5"/>
        <v>7307.180842</v>
      </c>
      <c r="H5" s="618" t="str">
        <f t="shared" ref="H5:I5" si="9">IF(H$2="","", IF(E5="",IF($K$16="Use global average",E$276,IF($K$16="Use regional average",INDEX(E$280:E$296,MATCH($B5,$B$280:$B$296,0)),IF($K$16="Leave blank","",IF($K$16="Fill with zeros", 0,IF($K$16="Use global median",E$277,"Fill out I16"))))), E5))</f>
        <v/>
      </c>
      <c r="I5" s="618" t="str">
        <f t="shared" si="9"/>
        <v/>
      </c>
      <c r="K5" s="626"/>
      <c r="L5" s="159" t="str">
        <f>IF(M5="","",IF(COUNTIF(Countries!$B$1:$H$271,M5)&gt;0,"",IF(COUNTIF(Countries!$M$1:$S$271,M5)&gt;0,"Not a country","ERROR – NOT LISTED. Add alt spelling to ''Countries'' tab")))</f>
        <v/>
      </c>
      <c r="M5" s="606" t="s">
        <v>697</v>
      </c>
      <c r="N5" s="624">
        <v>8.04364</v>
      </c>
      <c r="O5" s="621">
        <f t="shared" ref="O5:O199" si="12">N5*365*1.28</f>
        <v>3757.988608</v>
      </c>
      <c r="P5" s="192">
        <v>0.5876962</v>
      </c>
      <c r="Q5" s="622">
        <v>0.12491</v>
      </c>
      <c r="R5" s="621">
        <f t="shared" si="7"/>
        <v>7307.180842</v>
      </c>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59"/>
      <c r="BE5" s="159"/>
      <c r="BF5" s="159"/>
      <c r="BG5" s="159"/>
      <c r="BH5" s="159"/>
      <c r="BI5" s="159"/>
      <c r="BJ5" s="159"/>
      <c r="BK5" s="159"/>
      <c r="BL5" s="159"/>
      <c r="BM5" s="159"/>
      <c r="BN5" s="159"/>
      <c r="BO5" s="159"/>
      <c r="BP5" s="159"/>
      <c r="BQ5" s="159"/>
      <c r="BR5" s="159"/>
      <c r="BS5" s="159"/>
      <c r="BT5" s="159"/>
      <c r="BU5" s="159"/>
      <c r="BV5" s="159"/>
      <c r="BW5" s="159"/>
      <c r="BX5" s="159"/>
      <c r="BY5" s="159"/>
      <c r="BZ5" s="159"/>
      <c r="CA5" s="159"/>
      <c r="CB5" s="159"/>
      <c r="CC5" s="159"/>
    </row>
    <row r="6">
      <c r="A6" s="613" t="str">
        <f>Countries!B5</f>
        <v>Andorra</v>
      </c>
      <c r="B6" s="614" t="str">
        <f>Countries!I5</f>
        <v>Europe</v>
      </c>
      <c r="C6" s="615">
        <f>IFERROR(IFERROR(IFERROR(IFERROR(IFERROR(IFERROR(IFERROR(MATCH(Countries!$B5,$M$3:$M$1003,0),MATCH(Countries!$C5,$M$3:$M$1003,0)),MATCH(Countries!$D5,$M$3:$M$1003,0)),MATCH(Countries!$E5,$M$3:$M$1003,0)),MATCH(Countries!$F5,$M$3:$M$1003,0)),MATCH(Countries!$G5,$M$3:$M$1003,0)),MATCH(Countries!$H5,$M$3:$M$1003,0)),"X")</f>
        <v>4</v>
      </c>
      <c r="D6" s="627" t="str">
        <f t="shared" ref="D6:F6" si="10">IF(G$2="","",IF($C6="X","",INDEX($N$3:$CC$1003,$C6,MATCH(G$2,$N$2:$CC$2,0))))</f>
        <v/>
      </c>
      <c r="E6" s="603" t="str">
        <f t="shared" si="10"/>
        <v/>
      </c>
      <c r="F6" s="603" t="str">
        <f t="shared" si="10"/>
        <v/>
      </c>
      <c r="G6" s="628">
        <f t="shared" si="5"/>
        <v>33026.35635</v>
      </c>
      <c r="H6" s="618" t="str">
        <f t="shared" ref="H6:I6" si="11">IF(H$2="","", IF(E6="",IF($K$16="Use global average",E$276,IF($K$16="Use regional average",INDEX(E$280:E$296,MATCH($B6,$B$280:$B$296,0)),IF($K$16="Leave blank","",IF($K$16="Fill with zeros", 0,IF($K$16="Use global median",E$277,"Fill out I16"))))), E6))</f>
        <v/>
      </c>
      <c r="I6" s="618" t="str">
        <f t="shared" si="11"/>
        <v/>
      </c>
      <c r="K6" s="629" t="s">
        <v>698</v>
      </c>
      <c r="L6" s="606" t="str">
        <f>IF(M6="","",IF(COUNTIF(Countries!$B$1:$H$271,M6)&gt;0,"",IF(COUNTIF(Countries!$M$1:$S$271,M6)&gt;0,"Not a country","ERROR – NOT LISTED. Add alt spelling to ''Countries'' tab")))</f>
        <v/>
      </c>
      <c r="M6" s="606" t="s">
        <v>699</v>
      </c>
      <c r="N6" s="620" t="s">
        <v>694</v>
      </c>
      <c r="O6" s="630" t="str">
        <f t="shared" si="12"/>
        <v>#VALUE!</v>
      </c>
      <c r="P6" s="192">
        <v>0.3824098</v>
      </c>
      <c r="Q6" s="631" t="e">
        <v>#VALUE!</v>
      </c>
      <c r="R6" s="625" t="str">
        <f t="shared" si="7"/>
        <v/>
      </c>
      <c r="S6" s="159" t="str">
        <f>IFERROR(R6,"")</f>
        <v/>
      </c>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59"/>
      <c r="BY6" s="159"/>
      <c r="BZ6" s="159"/>
      <c r="CA6" s="159"/>
      <c r="CB6" s="159"/>
      <c r="CC6" s="159"/>
    </row>
    <row r="7">
      <c r="A7" s="613" t="str">
        <f>Countries!B6</f>
        <v>Angola</v>
      </c>
      <c r="B7" s="614" t="str">
        <f>Countries!I6</f>
        <v>Sub-Saharan Africa</v>
      </c>
      <c r="C7" s="615">
        <f>IFERROR(IFERROR(IFERROR(IFERROR(IFERROR(IFERROR(IFERROR(MATCH(Countries!$B6,$M$3:$M$1003,0),MATCH(Countries!$C6,$M$3:$M$1003,0)),MATCH(Countries!$D6,$M$3:$M$1003,0)),MATCH(Countries!$E6,$M$3:$M$1003,0)),MATCH(Countries!$F6,$M$3:$M$1003,0)),MATCH(Countries!$G6,$M$3:$M$1003,0)),MATCH(Countries!$H6,$M$3:$M$1003,0)),"X")</f>
        <v>5</v>
      </c>
      <c r="D7" s="616">
        <f t="shared" ref="D7:F7" si="13">IF(G$2="","",IF($C7="X","",INDEX($N$3:$CC$1003,$C7,MATCH(G$2,$N$2:$CC$2,0))))</f>
        <v>2074.956086</v>
      </c>
      <c r="E7" s="603" t="str">
        <f t="shared" si="13"/>
        <v/>
      </c>
      <c r="F7" s="603" t="str">
        <f t="shared" si="13"/>
        <v/>
      </c>
      <c r="G7" s="617">
        <f t="shared" si="5"/>
        <v>2074.956086</v>
      </c>
      <c r="H7" s="618" t="str">
        <f t="shared" ref="H7:I7" si="14">IF(H$2="","", IF(E7="",IF($K$16="Use global average",E$276,IF($K$16="Use regional average",INDEX(E$280:E$296,MATCH($B7,$B$280:$B$296,0)),IF($K$16="Leave blank","",IF($K$16="Fill with zeros", 0,IF($K$16="Use global median",E$277,"Fill out I16"))))), E7))</f>
        <v/>
      </c>
      <c r="I7" s="618" t="str">
        <f t="shared" si="14"/>
        <v/>
      </c>
      <c r="K7" s="632"/>
      <c r="L7" s="606" t="str">
        <f>IF(M7="","",IF(COUNTIF(Countries!$B$1:$H$271,M7)&gt;0,"",IF(COUNTIF(Countries!$M$1:$S$271,M7)&gt;0,"Not a country","ERROR – NOT LISTED. Add alt spelling to ''Countries'' tab")))</f>
        <v/>
      </c>
      <c r="M7" s="606" t="s">
        <v>700</v>
      </c>
      <c r="N7" s="624">
        <v>3.4205022</v>
      </c>
      <c r="O7" s="621">
        <f t="shared" si="12"/>
        <v>1598.058628</v>
      </c>
      <c r="P7" s="192">
        <v>0.9005461</v>
      </c>
      <c r="Q7" s="622">
        <v>0.14478</v>
      </c>
      <c r="R7" s="621">
        <f t="shared" si="7"/>
        <v>2074.956086</v>
      </c>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c r="BN7" s="159"/>
      <c r="BO7" s="159"/>
      <c r="BP7" s="159"/>
      <c r="BQ7" s="159"/>
      <c r="BR7" s="159"/>
      <c r="BS7" s="159"/>
      <c r="BT7" s="159"/>
      <c r="BU7" s="159"/>
      <c r="BV7" s="159"/>
      <c r="BW7" s="159"/>
      <c r="BX7" s="159"/>
      <c r="BY7" s="159"/>
      <c r="BZ7" s="159"/>
      <c r="CA7" s="159"/>
      <c r="CB7" s="159"/>
      <c r="CC7" s="159"/>
    </row>
    <row r="8">
      <c r="A8" s="613" t="str">
        <f>Countries!B7</f>
        <v>Antigua and Barbuda</v>
      </c>
      <c r="B8" s="614" t="str">
        <f>Countries!I7</f>
        <v>Caribbean</v>
      </c>
      <c r="C8" s="615">
        <f>IFERROR(IFERROR(IFERROR(IFERROR(IFERROR(IFERROR(IFERROR(MATCH(Countries!$B7,$M$3:$M$1003,0),MATCH(Countries!$C7,$M$3:$M$1003,0)),MATCH(Countries!$D7,$M$3:$M$1003,0)),MATCH(Countries!$E7,$M$3:$M$1003,0)),MATCH(Countries!$F7,$M$3:$M$1003,0)),MATCH(Countries!$G7,$M$3:$M$1003,0)),MATCH(Countries!$H7,$M$3:$M$1003,0)),"X")</f>
        <v>6</v>
      </c>
      <c r="D8" s="627" t="str">
        <f t="shared" ref="D8:F8" si="15">IF(G$2="","",IF($C8="X","",INDEX($N$3:$CC$1003,$C8,MATCH(G$2,$N$2:$CC$2,0))))</f>
        <v/>
      </c>
      <c r="E8" s="603" t="str">
        <f t="shared" si="15"/>
        <v/>
      </c>
      <c r="F8" s="603" t="str">
        <f t="shared" si="15"/>
        <v/>
      </c>
      <c r="G8" s="628">
        <f t="shared" si="5"/>
        <v>12713.17965</v>
      </c>
      <c r="H8" s="618" t="str">
        <f t="shared" ref="H8:I8" si="16">IF(H$2="","", IF(E8="",IF($K$16="Use global average",E$276,IF($K$16="Use regional average",INDEX(E$280:E$296,MATCH($B8,$B$280:$B$296,0)),IF($K$16="Leave blank","",IF($K$16="Fill with zeros", 0,IF($K$16="Use global median",E$277,"Fill out I16"))))), E8))</f>
        <v/>
      </c>
      <c r="I8" s="618" t="str">
        <f t="shared" si="16"/>
        <v/>
      </c>
      <c r="K8" s="633"/>
      <c r="L8" s="606" t="str">
        <f>IF(M8="","",IF(COUNTIF(Countries!$B$1:$H$271,M8)&gt;0,"",IF(COUNTIF(Countries!$M$1:$S$271,M8)&gt;0,"Not a country","ERROR – NOT LISTED. Add alt spelling to ''Countries'' tab")))</f>
        <v/>
      </c>
      <c r="M8" s="606" t="s">
        <v>701</v>
      </c>
      <c r="N8" s="620" t="s">
        <v>694</v>
      </c>
      <c r="O8" s="630" t="str">
        <f t="shared" si="12"/>
        <v>#VALUE!</v>
      </c>
      <c r="P8" s="192">
        <v>0.41747425</v>
      </c>
      <c r="Q8" s="631" t="e">
        <v>#VALUE!</v>
      </c>
      <c r="R8" s="625" t="str">
        <f t="shared" si="7"/>
        <v/>
      </c>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c r="CB8" s="159"/>
      <c r="CC8" s="159"/>
    </row>
    <row r="9">
      <c r="A9" s="613" t="str">
        <f>Countries!B8</f>
        <v>Argentina</v>
      </c>
      <c r="B9" s="614" t="str">
        <f>Countries!I8</f>
        <v>Latin America</v>
      </c>
      <c r="C9" s="615">
        <f>IFERROR(IFERROR(IFERROR(IFERROR(IFERROR(IFERROR(IFERROR(MATCH(Countries!$B8,$M$3:$M$1003,0),MATCH(Countries!$C8,$M$3:$M$1003,0)),MATCH(Countries!$D8,$M$3:$M$1003,0)),MATCH(Countries!$E8,$M$3:$M$1003,0)),MATCH(Countries!$F8,$M$3:$M$1003,0)),MATCH(Countries!$G8,$M$3:$M$1003,0)),MATCH(Countries!$H8,$M$3:$M$1003,0)),"X")</f>
        <v>7</v>
      </c>
      <c r="D9" s="627" t="str">
        <f t="shared" ref="D9:F9" si="17">IF(G$2="","",IF($C9="X","",INDEX($N$3:$CC$1003,$C9,MATCH(G$2,$N$2:$CC$2,0))))</f>
        <v/>
      </c>
      <c r="E9" s="603" t="str">
        <f t="shared" si="17"/>
        <v/>
      </c>
      <c r="F9" s="603" t="str">
        <f t="shared" si="17"/>
        <v/>
      </c>
      <c r="G9" s="628">
        <f t="shared" si="5"/>
        <v>11787.24828</v>
      </c>
      <c r="H9" s="618" t="str">
        <f t="shared" ref="H9:I9" si="18">IF(H$2="","", IF(E9="",IF($K$16="Use global average",E$276,IF($K$16="Use regional average",INDEX(E$280:E$296,MATCH($B9,$B$280:$B$296,0)),IF($K$16="Leave blank","",IF($K$16="Fill with zeros", 0,IF($K$16="Use global median",E$277,"Fill out I16"))))), E9))</f>
        <v/>
      </c>
      <c r="I9" s="618" t="str">
        <f t="shared" si="18"/>
        <v/>
      </c>
      <c r="K9" s="612"/>
      <c r="L9" s="159" t="str">
        <f>IF(M9="","",IF(COUNTIF(Countries!$B$1:$H$271,M9)&gt;0,"",IF(COUNTIF(Countries!$M$1:$S$271,M9)&gt;0,"Not a country","ERROR – NOT LISTED. Add alt spelling to ''Countries'' tab")))</f>
        <v/>
      </c>
      <c r="M9" s="606" t="s">
        <v>401</v>
      </c>
      <c r="N9" s="620" t="s">
        <v>694</v>
      </c>
      <c r="O9" s="630" t="str">
        <f t="shared" si="12"/>
        <v>#VALUE!</v>
      </c>
      <c r="P9" s="192">
        <v>0.5239750999999999</v>
      </c>
      <c r="Q9" s="622">
        <v>0.06805</v>
      </c>
      <c r="R9" s="625" t="str">
        <f t="shared" si="7"/>
        <v/>
      </c>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159"/>
      <c r="AV9" s="159"/>
      <c r="AW9" s="159"/>
      <c r="AX9" s="159"/>
      <c r="AY9" s="159"/>
      <c r="AZ9" s="159"/>
      <c r="BA9" s="159"/>
      <c r="BB9" s="159"/>
      <c r="BC9" s="159"/>
      <c r="BD9" s="159"/>
      <c r="BE9" s="159"/>
      <c r="BF9" s="159"/>
      <c r="BG9" s="159"/>
      <c r="BH9" s="159"/>
      <c r="BI9" s="159"/>
      <c r="BJ9" s="159"/>
      <c r="BK9" s="159"/>
      <c r="BL9" s="159"/>
      <c r="BM9" s="159"/>
      <c r="BN9" s="159"/>
      <c r="BO9" s="159"/>
      <c r="BP9" s="159"/>
      <c r="BQ9" s="159"/>
      <c r="BR9" s="159"/>
      <c r="BS9" s="159"/>
      <c r="BT9" s="159"/>
      <c r="BU9" s="159"/>
      <c r="BV9" s="159"/>
      <c r="BW9" s="159"/>
      <c r="BX9" s="159"/>
      <c r="BY9" s="159"/>
      <c r="BZ9" s="159"/>
      <c r="CA9" s="159"/>
      <c r="CB9" s="159"/>
      <c r="CC9" s="159"/>
    </row>
    <row r="10">
      <c r="A10" s="613" t="str">
        <f>Countries!B9</f>
        <v>Armenia</v>
      </c>
      <c r="B10" s="614" t="str">
        <f>Countries!I9</f>
        <v>Europe</v>
      </c>
      <c r="C10" s="615">
        <f>IFERROR(IFERROR(IFERROR(IFERROR(IFERROR(IFERROR(IFERROR(MATCH(Countries!$B9,$M$3:$M$1003,0),MATCH(Countries!$C9,$M$3:$M$1003,0)),MATCH(Countries!$D9,$M$3:$M$1003,0)),MATCH(Countries!$E9,$M$3:$M$1003,0)),MATCH(Countries!$F9,$M$3:$M$1003,0)),MATCH(Countries!$G9,$M$3:$M$1003,0)),MATCH(Countries!$H9,$M$3:$M$1003,0)),"X")</f>
        <v>8</v>
      </c>
      <c r="D10" s="616">
        <f t="shared" ref="D10:F10" si="19">IF(G$2="","",IF($C10="X","",INDEX($N$3:$CC$1003,$C10,MATCH(G$2,$N$2:$CC$2,0))))</f>
        <v>7046.443696</v>
      </c>
      <c r="E10" s="603" t="str">
        <f t="shared" si="19"/>
        <v/>
      </c>
      <c r="F10" s="603" t="str">
        <f t="shared" si="19"/>
        <v/>
      </c>
      <c r="G10" s="617">
        <f t="shared" si="5"/>
        <v>7046.443696</v>
      </c>
      <c r="H10" s="618" t="str">
        <f t="shared" ref="H10:I10" si="20">IF(H$2="","", IF(E10="",IF($K$16="Use global average",E$276,IF($K$16="Use regional average",INDEX(E$280:E$296,MATCH($B10,$B$280:$B$296,0)),IF($K$16="Leave blank","",IF($K$16="Fill with zeros", 0,IF($K$16="Use global median",E$277,"Fill out I16"))))), E10))</f>
        <v/>
      </c>
      <c r="I10" s="618" t="str">
        <f t="shared" si="20"/>
        <v/>
      </c>
      <c r="K10" s="623" t="s">
        <v>702</v>
      </c>
      <c r="L10" s="159" t="str">
        <f>IF(M10="","",IF(COUNTIF(Countries!$B$1:$H$271,M10)&gt;0,"",IF(COUNTIF(Countries!$M$1:$S$271,M10)&gt;0,"Not a country","ERROR – NOT LISTED. Add alt spelling to ''Countries'' tab")))</f>
        <v/>
      </c>
      <c r="M10" s="606" t="s">
        <v>703</v>
      </c>
      <c r="N10" s="624">
        <v>6.7156725</v>
      </c>
      <c r="O10" s="621">
        <f t="shared" si="12"/>
        <v>3137.562192</v>
      </c>
      <c r="P10" s="192">
        <v>0.48710114</v>
      </c>
      <c r="Q10" s="622">
        <v>0.08588</v>
      </c>
      <c r="R10" s="621">
        <f t="shared" si="7"/>
        <v>7046.443696</v>
      </c>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59"/>
      <c r="BK10" s="159"/>
      <c r="BL10" s="159"/>
      <c r="BM10" s="159"/>
      <c r="BN10" s="159"/>
      <c r="BO10" s="159"/>
      <c r="BP10" s="159"/>
      <c r="BQ10" s="159"/>
      <c r="BR10" s="159"/>
      <c r="BS10" s="159"/>
      <c r="BT10" s="159"/>
      <c r="BU10" s="159"/>
      <c r="BV10" s="159"/>
      <c r="BW10" s="159"/>
      <c r="BX10" s="159"/>
      <c r="BY10" s="159"/>
      <c r="BZ10" s="159"/>
      <c r="CA10" s="159"/>
      <c r="CB10" s="159"/>
      <c r="CC10" s="159"/>
    </row>
    <row r="11">
      <c r="A11" s="613" t="str">
        <f>Countries!B10</f>
        <v>Australia</v>
      </c>
      <c r="B11" s="614" t="str">
        <f>Countries!I10</f>
        <v>Australia</v>
      </c>
      <c r="C11" s="615">
        <f>IFERROR(IFERROR(IFERROR(IFERROR(IFERROR(IFERROR(IFERROR(MATCH(Countries!$B10,$M$3:$M$1003,0),MATCH(Countries!$C10,$M$3:$M$1003,0)),MATCH(Countries!$D10,$M$3:$M$1003,0)),MATCH(Countries!$E10,$M$3:$M$1003,0)),MATCH(Countries!$F10,$M$3:$M$1003,0)),MATCH(Countries!$G10,$M$3:$M$1003,0)),MATCH(Countries!$H10,$M$3:$M$1003,0)),"X")</f>
        <v>10</v>
      </c>
      <c r="D11" s="616">
        <f t="shared" ref="D11:F11" si="21">IF(G$2="","",IF($C11="X","",INDEX($N$3:$CC$1003,$C11,MATCH(G$2,$N$2:$CC$2,0))))</f>
        <v>46966.2632</v>
      </c>
      <c r="E11" s="603" t="str">
        <f t="shared" si="21"/>
        <v/>
      </c>
      <c r="F11" s="603" t="str">
        <f t="shared" si="21"/>
        <v/>
      </c>
      <c r="G11" s="617">
        <f t="shared" si="5"/>
        <v>46966.2632</v>
      </c>
      <c r="H11" s="618" t="str">
        <f t="shared" ref="H11:I11" si="22">IF(H$2="","", IF(E11="",IF($K$16="Use global average",E$276,IF($K$16="Use regional average",INDEX(E$280:E$296,MATCH($B11,$B$280:$B$296,0)),IF($K$16="Leave blank","",IF($K$16="Fill with zeros", 0,IF($K$16="Use global median",E$277,"Fill out I16"))))), E11))</f>
        <v/>
      </c>
      <c r="I11" s="618" t="str">
        <f t="shared" si="22"/>
        <v/>
      </c>
      <c r="K11" s="626"/>
      <c r="L11" s="634" t="str">
        <f>IF(M11="","",IF(COUNTIF(Countries!$B$1:$H$271,M11)&gt;0,"",IF(COUNTIF(Countries!$M$1:$S$271,M11)&gt;0,"Not a country","ERROR – NOT LISTED. Add alt spelling to ''Countries'' tab")))</f>
        <v>Not a country</v>
      </c>
      <c r="M11" s="606" t="s">
        <v>704</v>
      </c>
      <c r="N11" s="620" t="s">
        <v>694</v>
      </c>
      <c r="O11" s="630" t="str">
        <f t="shared" si="12"/>
        <v>#VALUE!</v>
      </c>
      <c r="P11" s="192">
        <v>0.5050401999999999</v>
      </c>
      <c r="Q11" s="631" t="e">
        <v>#VALUE!</v>
      </c>
      <c r="R11" s="625" t="str">
        <f t="shared" si="7"/>
        <v/>
      </c>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59"/>
      <c r="BK11" s="159"/>
      <c r="BL11" s="159"/>
      <c r="BM11" s="159"/>
      <c r="BN11" s="159"/>
      <c r="BO11" s="159"/>
      <c r="BP11" s="159"/>
      <c r="BQ11" s="159"/>
      <c r="BR11" s="159"/>
      <c r="BS11" s="159"/>
      <c r="BT11" s="159"/>
      <c r="BU11" s="159"/>
      <c r="BV11" s="159"/>
      <c r="BW11" s="159"/>
      <c r="BX11" s="159"/>
      <c r="BY11" s="159"/>
      <c r="BZ11" s="159"/>
      <c r="CA11" s="159"/>
      <c r="CB11" s="159"/>
      <c r="CC11" s="159"/>
    </row>
    <row r="12">
      <c r="A12" s="613" t="str">
        <f>Countries!B11</f>
        <v>Austria</v>
      </c>
      <c r="B12" s="614" t="str">
        <f>Countries!I11</f>
        <v>Europe</v>
      </c>
      <c r="C12" s="615">
        <f>IFERROR(IFERROR(IFERROR(IFERROR(IFERROR(IFERROR(IFERROR(MATCH(Countries!$B11,$M$3:$M$1003,0),MATCH(Countries!$C11,$M$3:$M$1003,0)),MATCH(Countries!$D11,$M$3:$M$1003,0)),MATCH(Countries!$E11,$M$3:$M$1003,0)),MATCH(Countries!$F11,$M$3:$M$1003,0)),MATCH(Countries!$G11,$M$3:$M$1003,0)),MATCH(Countries!$H11,$M$3:$M$1003,0)),"X")</f>
        <v>11</v>
      </c>
      <c r="D12" s="616">
        <f t="shared" ref="D12:F12" si="23">IF(G$2="","",IF($C12="X","",INDEX($N$3:$CC$1003,$C12,MATCH(G$2,$N$2:$CC$2,0))))</f>
        <v>54507.98555</v>
      </c>
      <c r="E12" s="603" t="str">
        <f t="shared" si="23"/>
        <v/>
      </c>
      <c r="F12" s="603" t="str">
        <f t="shared" si="23"/>
        <v/>
      </c>
      <c r="G12" s="617">
        <f t="shared" si="5"/>
        <v>54507.98555</v>
      </c>
      <c r="H12" s="618" t="str">
        <f t="shared" ref="H12:I12" si="24">IF(H$2="","", IF(E12="",IF($K$16="Use global average",E$276,IF($K$16="Use regional average",INDEX(E$280:E$296,MATCH($B12,$B$280:$B$296,0)),IF($K$16="Leave blank","",IF($K$16="Fill with zeros", 0,IF($K$16="Use global median",E$277,"Fill out I16"))))), E12))</f>
        <v/>
      </c>
      <c r="I12" s="618" t="str">
        <f t="shared" si="24"/>
        <v/>
      </c>
      <c r="K12" s="635" t="s">
        <v>705</v>
      </c>
      <c r="L12" s="606" t="str">
        <f>IF(M12="","",IF(COUNTIF(Countries!$B$1:$H$271,M12)&gt;0,"",IF(COUNTIF(Countries!$M$1:$S$271,M12)&gt;0,"Not a country","ERROR – NOT LISTED. Add alt spelling to ''Countries'' tab")))</f>
        <v/>
      </c>
      <c r="M12" s="606" t="s">
        <v>706</v>
      </c>
      <c r="N12" s="624">
        <v>53.050495</v>
      </c>
      <c r="O12" s="621">
        <f t="shared" si="12"/>
        <v>24785.19126</v>
      </c>
      <c r="P12" s="192">
        <v>0.5479992699999999</v>
      </c>
      <c r="Q12" s="622">
        <v>0.037000000000000005</v>
      </c>
      <c r="R12" s="621">
        <f t="shared" si="7"/>
        <v>46966.2632</v>
      </c>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59"/>
      <c r="BK12" s="159"/>
      <c r="BL12" s="159"/>
      <c r="BM12" s="159"/>
      <c r="BN12" s="159"/>
      <c r="BO12" s="159"/>
      <c r="BP12" s="159"/>
      <c r="BQ12" s="159"/>
      <c r="BR12" s="159"/>
      <c r="BS12" s="159"/>
      <c r="BT12" s="159"/>
      <c r="BU12" s="159"/>
      <c r="BV12" s="159"/>
      <c r="BW12" s="159"/>
      <c r="BX12" s="159"/>
      <c r="BY12" s="159"/>
      <c r="BZ12" s="159"/>
      <c r="CA12" s="159"/>
      <c r="CB12" s="159"/>
      <c r="CC12" s="159"/>
    </row>
    <row r="13">
      <c r="A13" s="613" t="str">
        <f>Countries!B12</f>
        <v>Azerbaijan</v>
      </c>
      <c r="B13" s="614" t="str">
        <f>Countries!I12</f>
        <v>West Asia</v>
      </c>
      <c r="C13" s="615">
        <f>IFERROR(IFERROR(IFERROR(IFERROR(IFERROR(IFERROR(IFERROR(MATCH(Countries!$B12,$M$3:$M$1003,0),MATCH(Countries!$C12,$M$3:$M$1003,0)),MATCH(Countries!$D12,$M$3:$M$1003,0)),MATCH(Countries!$E12,$M$3:$M$1003,0)),MATCH(Countries!$F12,$M$3:$M$1003,0)),MATCH(Countries!$G12,$M$3:$M$1003,0)),MATCH(Countries!$H12,$M$3:$M$1003,0)),"X")</f>
        <v>12</v>
      </c>
      <c r="D13" s="616">
        <f t="shared" ref="D13:F13" si="25">IF(G$2="","",IF($C13="X","",INDEX($N$3:$CC$1003,$C13,MATCH(G$2,$N$2:$CC$2,0))))</f>
        <v>9156.491195</v>
      </c>
      <c r="E13" s="603" t="str">
        <f t="shared" si="25"/>
        <v/>
      </c>
      <c r="F13" s="603" t="str">
        <f t="shared" si="25"/>
        <v/>
      </c>
      <c r="G13" s="617">
        <f t="shared" si="5"/>
        <v>9156.491195</v>
      </c>
      <c r="H13" s="618" t="str">
        <f t="shared" ref="H13:I13" si="26">IF(H$2="","", IF(E13="",IF($K$16="Use global average",E$276,IF($K$16="Use regional average",INDEX(E$280:E$296,MATCH($B13,$B$280:$B$296,0)),IF($K$16="Leave blank","",IF($K$16="Fill with zeros", 0,IF($K$16="Use global median",E$277,"Fill out I16"))))), E13))</f>
        <v/>
      </c>
      <c r="I13" s="618" t="str">
        <f t="shared" si="26"/>
        <v/>
      </c>
      <c r="J13" s="159"/>
      <c r="K13" s="612"/>
      <c r="L13" s="159" t="str">
        <f>IF(M13="","",IF(COUNTIF(Countries!$B$1:$H$271,M13)&gt;0,"",IF(COUNTIF(Countries!$M$1:$S$271,M13)&gt;0,"Not a country","ERROR – NOT LISTED. Add alt spelling to ''Countries'' tab")))</f>
        <v/>
      </c>
      <c r="M13" s="606" t="s">
        <v>707</v>
      </c>
      <c r="N13" s="624">
        <v>58.25852</v>
      </c>
      <c r="O13" s="621">
        <f t="shared" si="12"/>
        <v>27218.38054</v>
      </c>
      <c r="P13" s="192">
        <v>0.52557274</v>
      </c>
      <c r="Q13" s="622">
        <v>0.0499</v>
      </c>
      <c r="R13" s="621">
        <f t="shared" si="7"/>
        <v>54507.98555</v>
      </c>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159"/>
      <c r="AV13" s="159"/>
      <c r="AW13" s="159"/>
      <c r="AX13" s="159"/>
      <c r="AY13" s="159"/>
      <c r="AZ13" s="159"/>
      <c r="BA13" s="159"/>
      <c r="BB13" s="159"/>
      <c r="BC13" s="159"/>
      <c r="BD13" s="159"/>
      <c r="BE13" s="159"/>
      <c r="BF13" s="159"/>
      <c r="BG13" s="159"/>
      <c r="BH13" s="159"/>
      <c r="BI13" s="159"/>
      <c r="BJ13" s="159"/>
      <c r="BK13" s="159"/>
      <c r="BL13" s="159"/>
      <c r="BM13" s="159"/>
      <c r="BN13" s="159"/>
      <c r="BO13" s="159"/>
      <c r="BP13" s="159"/>
      <c r="BQ13" s="159"/>
      <c r="BR13" s="159"/>
      <c r="BS13" s="159"/>
      <c r="BT13" s="159"/>
      <c r="BU13" s="159"/>
      <c r="BV13" s="159"/>
      <c r="BW13" s="159"/>
      <c r="BX13" s="159"/>
      <c r="BY13" s="159"/>
      <c r="BZ13" s="159"/>
      <c r="CA13" s="159"/>
      <c r="CB13" s="159"/>
      <c r="CC13" s="159"/>
    </row>
    <row r="14">
      <c r="A14" s="613" t="str">
        <f>Countries!B13</f>
        <v>Bahamas</v>
      </c>
      <c r="B14" s="614" t="str">
        <f>Countries!I13</f>
        <v>Caribbean</v>
      </c>
      <c r="C14" s="615">
        <f>IFERROR(IFERROR(IFERROR(IFERROR(IFERROR(IFERROR(IFERROR(MATCH(Countries!$B13,$M$3:$M$1003,0),MATCH(Countries!$C13,$M$3:$M$1003,0)),MATCH(Countries!$D13,$M$3:$M$1003,0)),MATCH(Countries!$E13,$M$3:$M$1003,0)),MATCH(Countries!$F13,$M$3:$M$1003,0)),MATCH(Countries!$G13,$M$3:$M$1003,0)),MATCH(Countries!$H13,$M$3:$M$1003,0)),"X")</f>
        <v>13</v>
      </c>
      <c r="D14" s="627" t="str">
        <f t="shared" ref="D14:F14" si="27">IF(G$2="","",IF($C14="X","",INDEX($N$3:$CC$1003,$C14,MATCH(G$2,$N$2:$CC$2,0))))</f>
        <v/>
      </c>
      <c r="E14" s="603" t="str">
        <f t="shared" si="27"/>
        <v/>
      </c>
      <c r="F14" s="603" t="str">
        <f t="shared" si="27"/>
        <v/>
      </c>
      <c r="G14" s="628">
        <f t="shared" si="5"/>
        <v>12713.17965</v>
      </c>
      <c r="H14" s="618" t="str">
        <f t="shared" ref="H14:I14" si="28">IF(H$2="","", IF(E14="",IF($K$16="Use global average",E$276,IF($K$16="Use regional average",INDEX(E$280:E$296,MATCH($B14,$B$280:$B$296,0)),IF($K$16="Leave blank","",IF($K$16="Fill with zeros", 0,IF($K$16="Use global median",E$277,"Fill out I16"))))), E14))</f>
        <v/>
      </c>
      <c r="I14" s="618" t="str">
        <f t="shared" si="28"/>
        <v/>
      </c>
      <c r="J14" s="159"/>
      <c r="K14" s="623" t="s">
        <v>708</v>
      </c>
      <c r="L14" s="159" t="str">
        <f>IF(M14="","",IF(COUNTIF(Countries!$B$1:$H$271,M14)&gt;0,"",IF(COUNTIF(Countries!$M$1:$S$271,M14)&gt;0,"Not a country","ERROR – NOT LISTED. Add alt spelling to ''Countries'' tab")))</f>
        <v/>
      </c>
      <c r="M14" s="606" t="s">
        <v>709</v>
      </c>
      <c r="N14" s="624">
        <v>8.059334</v>
      </c>
      <c r="O14" s="621">
        <f t="shared" si="12"/>
        <v>3765.320845</v>
      </c>
      <c r="P14" s="192">
        <v>0.43584393</v>
      </c>
      <c r="Q14" s="622">
        <v>0.0565</v>
      </c>
      <c r="R14" s="621">
        <f t="shared" si="7"/>
        <v>9156.491195</v>
      </c>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59"/>
      <c r="AQ14" s="159"/>
      <c r="AR14" s="159"/>
      <c r="AS14" s="159"/>
      <c r="AT14" s="159"/>
      <c r="AU14" s="159"/>
      <c r="AV14" s="159"/>
      <c r="AW14" s="159"/>
      <c r="AX14" s="159"/>
      <c r="AY14" s="159"/>
      <c r="AZ14" s="159"/>
      <c r="BA14" s="159"/>
      <c r="BB14" s="159"/>
      <c r="BC14" s="159"/>
      <c r="BD14" s="159"/>
      <c r="BE14" s="159"/>
      <c r="BF14" s="159"/>
      <c r="BG14" s="159"/>
      <c r="BH14" s="159"/>
      <c r="BI14" s="159"/>
      <c r="BJ14" s="159"/>
      <c r="BK14" s="159"/>
      <c r="BL14" s="159"/>
      <c r="BM14" s="159"/>
      <c r="BN14" s="159"/>
      <c r="BO14" s="159"/>
      <c r="BP14" s="159"/>
      <c r="BQ14" s="159"/>
      <c r="BR14" s="159"/>
      <c r="BS14" s="159"/>
      <c r="BT14" s="159"/>
      <c r="BU14" s="159"/>
      <c r="BV14" s="159"/>
      <c r="BW14" s="159"/>
      <c r="BX14" s="159"/>
      <c r="BY14" s="159"/>
      <c r="BZ14" s="159"/>
      <c r="CA14" s="159"/>
      <c r="CB14" s="159"/>
      <c r="CC14" s="159"/>
    </row>
    <row r="15">
      <c r="A15" s="613" t="str">
        <f>Countries!B14</f>
        <v>Bahrain</v>
      </c>
      <c r="B15" s="614" t="str">
        <f>Countries!I14</f>
        <v>West Asia</v>
      </c>
      <c r="C15" s="615">
        <f>IFERROR(IFERROR(IFERROR(IFERROR(IFERROR(IFERROR(IFERROR(MATCH(Countries!$B14,$M$3:$M$1003,0),MATCH(Countries!$C14,$M$3:$M$1003,0)),MATCH(Countries!$D14,$M$3:$M$1003,0)),MATCH(Countries!$E14,$M$3:$M$1003,0)),MATCH(Countries!$F14,$M$3:$M$1003,0)),MATCH(Countries!$G14,$M$3:$M$1003,0)),MATCH(Countries!$H14,$M$3:$M$1003,0)),"X")</f>
        <v>14</v>
      </c>
      <c r="D15" s="627" t="str">
        <f t="shared" ref="D15:F15" si="29">IF(G$2="","",IF($C15="X","",INDEX($N$3:$CC$1003,$C15,MATCH(G$2,$N$2:$CC$2,0))))</f>
        <v/>
      </c>
      <c r="E15" s="603" t="str">
        <f t="shared" si="29"/>
        <v/>
      </c>
      <c r="F15" s="603" t="str">
        <f t="shared" si="29"/>
        <v/>
      </c>
      <c r="G15" s="628">
        <f t="shared" si="5"/>
        <v>24646.4047</v>
      </c>
      <c r="H15" s="618" t="str">
        <f t="shared" ref="H15:I15" si="30">IF(H$2="","", IF(E15="",IF($K$16="Use global average",E$276,IF($K$16="Use regional average",INDEX(E$280:E$296,MATCH($B15,$B$280:$B$296,0)),IF($K$16="Leave blank","",IF($K$16="Fill with zeros", 0,IF($K$16="Use global median",E$277,"Fill out I16"))))), E15))</f>
        <v/>
      </c>
      <c r="I15" s="618" t="str">
        <f t="shared" si="30"/>
        <v/>
      </c>
      <c r="J15" s="159"/>
      <c r="K15" s="626"/>
      <c r="L15" s="159" t="str">
        <f>IF(M15="","",IF(COUNTIF(Countries!$B$1:$H$271,M15)&gt;0,"",IF(COUNTIF(Countries!$M$1:$S$271,M15)&gt;0,"Not a country","ERROR – NOT LISTED. Add alt spelling to ''Countries'' tab")))</f>
        <v/>
      </c>
      <c r="M15" s="606" t="s">
        <v>710</v>
      </c>
      <c r="N15" s="620" t="s">
        <v>694</v>
      </c>
      <c r="O15" s="630" t="str">
        <f t="shared" si="12"/>
        <v>#VALUE!</v>
      </c>
      <c r="P15" s="192">
        <v>0.4247221</v>
      </c>
      <c r="Q15" s="622">
        <v>0.10089000000000001</v>
      </c>
      <c r="R15" s="625" t="str">
        <f t="shared" si="7"/>
        <v/>
      </c>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59"/>
      <c r="BQ15" s="159"/>
      <c r="BR15" s="159"/>
      <c r="BS15" s="159"/>
      <c r="BT15" s="159"/>
      <c r="BU15" s="159"/>
      <c r="BV15" s="159"/>
      <c r="BW15" s="159"/>
      <c r="BX15" s="159"/>
      <c r="BY15" s="159"/>
      <c r="BZ15" s="159"/>
      <c r="CA15" s="159"/>
      <c r="CB15" s="159"/>
      <c r="CC15" s="159"/>
    </row>
    <row r="16">
      <c r="A16" s="613" t="str">
        <f>Countries!B15</f>
        <v>Bangladesh</v>
      </c>
      <c r="B16" s="614" t="str">
        <f>Countries!I15</f>
        <v>South Asia</v>
      </c>
      <c r="C16" s="615">
        <f>IFERROR(IFERROR(IFERROR(IFERROR(IFERROR(IFERROR(IFERROR(MATCH(Countries!$B15,$M$3:$M$1003,0),MATCH(Countries!$C15,$M$3:$M$1003,0)),MATCH(Countries!$D15,$M$3:$M$1003,0)),MATCH(Countries!$E15,$M$3:$M$1003,0)),MATCH(Countries!$F15,$M$3:$M$1003,0)),MATCH(Countries!$G15,$M$3:$M$1003,0)),MATCH(Countries!$H15,$M$3:$M$1003,0)),"X")</f>
        <v>15</v>
      </c>
      <c r="D16" s="616">
        <f t="shared" ref="D16:F16" si="31">IF(G$2="","",IF($C16="X","",INDEX($N$3:$CC$1003,$C16,MATCH(G$2,$N$2:$CC$2,0))))</f>
        <v>4395.304657</v>
      </c>
      <c r="E16" s="603" t="str">
        <f t="shared" si="31"/>
        <v/>
      </c>
      <c r="F16" s="603" t="str">
        <f t="shared" si="31"/>
        <v/>
      </c>
      <c r="G16" s="617">
        <f t="shared" si="5"/>
        <v>4395.304657</v>
      </c>
      <c r="H16" s="618" t="str">
        <f t="shared" ref="H16:I16" si="32">IF(H$2="","", IF(E16="",IF($K$16="Use global average",E$276,IF($K$16="Use regional average",INDEX(E$280:E$296,MATCH($B16,$B$280:$B$296,0)),IF($K$16="Leave blank","",IF($K$16="Fill with zeros", 0,IF($K$16="Use global median",E$277,"Fill out I16"))))), E16))</f>
        <v/>
      </c>
      <c r="I16" s="618" t="str">
        <f t="shared" si="32"/>
        <v/>
      </c>
      <c r="J16" s="636"/>
      <c r="K16" s="637" t="s">
        <v>711</v>
      </c>
      <c r="L16" s="606" t="str">
        <f>IF(M16="","",IF(COUNTIF(Countries!$B$1:$H$271,M16)&gt;0,"",IF(COUNTIF(Countries!$M$1:$S$271,M16)&gt;0,"Not a country","ERROR – NOT LISTED. Add alt spelling to ''Countries'' tab")))</f>
        <v/>
      </c>
      <c r="M16" s="606" t="s">
        <v>712</v>
      </c>
      <c r="N16" s="620" t="s">
        <v>694</v>
      </c>
      <c r="O16" s="630" t="str">
        <f t="shared" si="12"/>
        <v>#VALUE!</v>
      </c>
      <c r="P16" s="192">
        <v>0.29246946</v>
      </c>
      <c r="Q16" s="622">
        <v>0.013389999999999999</v>
      </c>
      <c r="R16" s="625" t="str">
        <f t="shared" si="7"/>
        <v/>
      </c>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159"/>
      <c r="AV16" s="159"/>
      <c r="AW16" s="159"/>
      <c r="AX16" s="159"/>
      <c r="AY16" s="159"/>
      <c r="AZ16" s="159"/>
      <c r="BA16" s="159"/>
      <c r="BB16" s="159"/>
      <c r="BC16" s="159"/>
      <c r="BD16" s="159"/>
      <c r="BE16" s="159"/>
      <c r="BF16" s="159"/>
      <c r="BG16" s="159"/>
      <c r="BH16" s="159"/>
      <c r="BI16" s="159"/>
      <c r="BJ16" s="159"/>
      <c r="BK16" s="159"/>
      <c r="BL16" s="159"/>
      <c r="BM16" s="159"/>
      <c r="BN16" s="159"/>
      <c r="BO16" s="159"/>
      <c r="BP16" s="159"/>
      <c r="BQ16" s="159"/>
      <c r="BR16" s="159"/>
      <c r="BS16" s="159"/>
      <c r="BT16" s="159"/>
      <c r="BU16" s="159"/>
      <c r="BV16" s="159"/>
      <c r="BW16" s="159"/>
      <c r="BX16" s="159"/>
      <c r="BY16" s="159"/>
      <c r="BZ16" s="159"/>
      <c r="CA16" s="159"/>
      <c r="CB16" s="159"/>
      <c r="CC16" s="159"/>
    </row>
    <row r="17">
      <c r="A17" s="613" t="str">
        <f>Countries!B16</f>
        <v>Barbados</v>
      </c>
      <c r="B17" s="614" t="str">
        <f>Countries!I16</f>
        <v>Caribbean</v>
      </c>
      <c r="C17" s="615">
        <f>IFERROR(IFERROR(IFERROR(IFERROR(IFERROR(IFERROR(IFERROR(MATCH(Countries!$B16,$M$3:$M$1003,0),MATCH(Countries!$C16,$M$3:$M$1003,0)),MATCH(Countries!$D16,$M$3:$M$1003,0)),MATCH(Countries!$E16,$M$3:$M$1003,0)),MATCH(Countries!$F16,$M$3:$M$1003,0)),MATCH(Countries!$G16,$M$3:$M$1003,0)),MATCH(Countries!$H16,$M$3:$M$1003,0)),"X")</f>
        <v>16</v>
      </c>
      <c r="D17" s="627" t="str">
        <f t="shared" ref="D17:F17" si="33">IF(G$2="","",IF($C17="X","",INDEX($N$3:$CC$1003,$C17,MATCH(G$2,$N$2:$CC$2,0))))</f>
        <v/>
      </c>
      <c r="E17" s="603" t="str">
        <f t="shared" si="33"/>
        <v/>
      </c>
      <c r="F17" s="603" t="str">
        <f t="shared" si="33"/>
        <v/>
      </c>
      <c r="G17" s="628">
        <f t="shared" si="5"/>
        <v>12713.17965</v>
      </c>
      <c r="H17" s="618" t="str">
        <f t="shared" ref="H17:I17" si="34">IF(H$2="","", IF(E17="",IF($K$16="Use global average",E$276,IF($K$16="Use regional average",INDEX(E$280:E$296,MATCH($B17,$B$280:$B$296,0)),IF($K$16="Leave blank","",IF($K$16="Fill with zeros", 0,IF($K$16="Use global median",E$277,"Fill out I16"))))), E17))</f>
        <v/>
      </c>
      <c r="I17" s="618" t="str">
        <f t="shared" si="34"/>
        <v/>
      </c>
      <c r="J17" s="159"/>
      <c r="K17" s="638" t="s">
        <v>713</v>
      </c>
      <c r="L17" s="159" t="str">
        <f>IF(M17="","",IF(COUNTIF(Countries!$B$1:$H$271,M17)&gt;0,"",IF(COUNTIF(Countries!$M$1:$S$271,M17)&gt;0,"Not a country","ERROR – NOT LISTED. Add alt spelling to ''Countries'' tab")))</f>
        <v/>
      </c>
      <c r="M17" s="606" t="s">
        <v>400</v>
      </c>
      <c r="N17" s="624">
        <v>4.7816916</v>
      </c>
      <c r="O17" s="621">
        <f t="shared" si="12"/>
        <v>2234.006316</v>
      </c>
      <c r="P17" s="192">
        <v>0.53094788</v>
      </c>
      <c r="Q17" s="622">
        <v>0.04271</v>
      </c>
      <c r="R17" s="621">
        <f t="shared" si="7"/>
        <v>4395.304657</v>
      </c>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59"/>
      <c r="AX17" s="159"/>
      <c r="AY17" s="159"/>
      <c r="AZ17" s="159"/>
      <c r="BA17" s="159"/>
      <c r="BB17" s="159"/>
      <c r="BC17" s="159"/>
      <c r="BD17" s="159"/>
      <c r="BE17" s="159"/>
      <c r="BF17" s="159"/>
      <c r="BG17" s="159"/>
      <c r="BH17" s="159"/>
      <c r="BI17" s="159"/>
      <c r="BJ17" s="159"/>
      <c r="BK17" s="159"/>
      <c r="BL17" s="159"/>
      <c r="BM17" s="159"/>
      <c r="BN17" s="159"/>
      <c r="BO17" s="159"/>
      <c r="BP17" s="159"/>
      <c r="BQ17" s="159"/>
      <c r="BR17" s="159"/>
      <c r="BS17" s="159"/>
      <c r="BT17" s="159"/>
      <c r="BU17" s="159"/>
      <c r="BV17" s="159"/>
      <c r="BW17" s="159"/>
      <c r="BX17" s="159"/>
      <c r="BY17" s="159"/>
      <c r="BZ17" s="159"/>
      <c r="CA17" s="159"/>
      <c r="CB17" s="159"/>
      <c r="CC17" s="159"/>
    </row>
    <row r="18">
      <c r="A18" s="613" t="str">
        <f>Countries!B17</f>
        <v>Belarus</v>
      </c>
      <c r="B18" s="614" t="str">
        <f>Countries!I17</f>
        <v>Europe</v>
      </c>
      <c r="C18" s="615">
        <f>IFERROR(IFERROR(IFERROR(IFERROR(IFERROR(IFERROR(IFERROR(MATCH(Countries!$B17,$M$3:$M$1003,0),MATCH(Countries!$C17,$M$3:$M$1003,0)),MATCH(Countries!$D17,$M$3:$M$1003,0)),MATCH(Countries!$E17,$M$3:$M$1003,0)),MATCH(Countries!$F17,$M$3:$M$1003,0)),MATCH(Countries!$G17,$M$3:$M$1003,0)),MATCH(Countries!$H17,$M$3:$M$1003,0)),"X")</f>
        <v>17</v>
      </c>
      <c r="D18" s="616">
        <f t="shared" ref="D18:F18" si="35">IF(G$2="","",IF($C18="X","",INDEX($N$3:$CC$1003,$C18,MATCH(G$2,$N$2:$CC$2,0))))</f>
        <v>16404.61783</v>
      </c>
      <c r="E18" s="603" t="str">
        <f t="shared" si="35"/>
        <v/>
      </c>
      <c r="F18" s="603" t="str">
        <f t="shared" si="35"/>
        <v/>
      </c>
      <c r="G18" s="617">
        <f t="shared" si="5"/>
        <v>16404.61783</v>
      </c>
      <c r="H18" s="618" t="str">
        <f t="shared" ref="H18:I18" si="36">IF(H$2="","", IF(E18="",IF($K$16="Use global average",E$276,IF($K$16="Use regional average",INDEX(E$280:E$296,MATCH($B18,$B$280:$B$296,0)),IF($K$16="Leave blank","",IF($K$16="Fill with zeros", 0,IF($K$16="Use global median",E$277,"Fill out I16"))))), E18))</f>
        <v/>
      </c>
      <c r="I18" s="618" t="str">
        <f t="shared" si="36"/>
        <v/>
      </c>
      <c r="J18" s="159"/>
      <c r="L18" s="159" t="str">
        <f>IF(M18="","",IF(COUNTIF(Countries!$B$1:$H$271,M18)&gt;0,"",IF(COUNTIF(Countries!$M$1:$S$271,M18)&gt;0,"Not a country","ERROR – NOT LISTED. Add alt spelling to ''Countries'' tab")))</f>
        <v/>
      </c>
      <c r="M18" s="606" t="s">
        <v>714</v>
      </c>
      <c r="N18" s="620" t="s">
        <v>694</v>
      </c>
      <c r="O18" s="630" t="str">
        <f t="shared" si="12"/>
        <v>#VALUE!</v>
      </c>
      <c r="P18" s="192">
        <v>0.5055671</v>
      </c>
      <c r="Q18" s="622">
        <v>0.08500999999999999</v>
      </c>
      <c r="R18" s="625" t="str">
        <f t="shared" si="7"/>
        <v/>
      </c>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159"/>
      <c r="AV18" s="159"/>
      <c r="AW18" s="159"/>
      <c r="AX18" s="159"/>
      <c r="AY18" s="159"/>
      <c r="AZ18" s="159"/>
      <c r="BA18" s="159"/>
      <c r="BB18" s="159"/>
      <c r="BC18" s="159"/>
      <c r="BD18" s="159"/>
      <c r="BE18" s="159"/>
      <c r="BF18" s="159"/>
      <c r="BG18" s="159"/>
      <c r="BH18" s="159"/>
      <c r="BI18" s="159"/>
      <c r="BJ18" s="159"/>
      <c r="BK18" s="159"/>
      <c r="BL18" s="159"/>
      <c r="BM18" s="159"/>
      <c r="BN18" s="159"/>
      <c r="BO18" s="159"/>
      <c r="BP18" s="159"/>
      <c r="BQ18" s="159"/>
      <c r="BR18" s="159"/>
      <c r="BS18" s="159"/>
      <c r="BT18" s="159"/>
      <c r="BU18" s="159"/>
      <c r="BV18" s="159"/>
      <c r="BW18" s="159"/>
      <c r="BX18" s="159"/>
      <c r="BY18" s="159"/>
      <c r="BZ18" s="159"/>
      <c r="CA18" s="159"/>
      <c r="CB18" s="159"/>
      <c r="CC18" s="159"/>
    </row>
    <row r="19">
      <c r="A19" s="613" t="str">
        <f>Countries!B18</f>
        <v>Belgium</v>
      </c>
      <c r="B19" s="614" t="str">
        <f>Countries!I18</f>
        <v>Europe</v>
      </c>
      <c r="C19" s="615">
        <f>IFERROR(IFERROR(IFERROR(IFERROR(IFERROR(IFERROR(IFERROR(MATCH(Countries!$B18,$M$3:$M$1003,0),MATCH(Countries!$C18,$M$3:$M$1003,0)),MATCH(Countries!$D18,$M$3:$M$1003,0)),MATCH(Countries!$E18,$M$3:$M$1003,0)),MATCH(Countries!$F18,$M$3:$M$1003,0)),MATCH(Countries!$G18,$M$3:$M$1003,0)),MATCH(Countries!$H18,$M$3:$M$1003,0)),"X")</f>
        <v>18</v>
      </c>
      <c r="D19" s="616">
        <f t="shared" ref="D19:F19" si="37">IF(G$2="","",IF($C19="X","",INDEX($N$3:$CC$1003,$C19,MATCH(G$2,$N$2:$CC$2,0))))</f>
        <v>47062.9719</v>
      </c>
      <c r="E19" s="603" t="str">
        <f t="shared" si="37"/>
        <v/>
      </c>
      <c r="F19" s="603" t="str">
        <f t="shared" si="37"/>
        <v/>
      </c>
      <c r="G19" s="617">
        <f t="shared" si="5"/>
        <v>47062.9719</v>
      </c>
      <c r="H19" s="618" t="str">
        <f t="shared" ref="H19:I19" si="38">IF(H$2="","", IF(E19="",IF($K$16="Use global average",E$276,IF($K$16="Use regional average",INDEX(E$280:E$296,MATCH($B19,$B$280:$B$296,0)),IF($K$16="Leave blank","",IF($K$16="Fill with zeros", 0,IF($K$16="Use global median",E$277,"Fill out I16"))))), E19))</f>
        <v/>
      </c>
      <c r="I19" s="618" t="str">
        <f t="shared" si="38"/>
        <v/>
      </c>
      <c r="J19" s="159"/>
      <c r="L19" s="159" t="str">
        <f>IF(M19="","",IF(COUNTIF(Countries!$B$1:$H$271,M19)&gt;0,"",IF(COUNTIF(Countries!$M$1:$S$271,M19)&gt;0,"Not a country","ERROR – NOT LISTED. Add alt spelling to ''Countries'' tab")))</f>
        <v/>
      </c>
      <c r="M19" s="606" t="s">
        <v>715</v>
      </c>
      <c r="N19" s="624">
        <v>17.238052</v>
      </c>
      <c r="O19" s="621">
        <f t="shared" si="12"/>
        <v>8053.617894</v>
      </c>
      <c r="P19" s="192">
        <v>0.5091113</v>
      </c>
      <c r="Q19" s="622">
        <v>0.035699999999999996</v>
      </c>
      <c r="R19" s="621">
        <f t="shared" si="7"/>
        <v>16404.61783</v>
      </c>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59"/>
      <c r="BA19" s="159"/>
      <c r="BB19" s="159"/>
      <c r="BC19" s="159"/>
      <c r="BD19" s="159"/>
      <c r="BE19" s="159"/>
      <c r="BF19" s="159"/>
      <c r="BG19" s="159"/>
      <c r="BH19" s="159"/>
      <c r="BI19" s="159"/>
      <c r="BJ19" s="159"/>
      <c r="BK19" s="159"/>
      <c r="BL19" s="159"/>
      <c r="BM19" s="159"/>
      <c r="BN19" s="159"/>
      <c r="BO19" s="159"/>
      <c r="BP19" s="159"/>
      <c r="BQ19" s="159"/>
      <c r="BR19" s="159"/>
      <c r="BS19" s="159"/>
      <c r="BT19" s="159"/>
      <c r="BU19" s="159"/>
      <c r="BV19" s="159"/>
      <c r="BW19" s="159"/>
      <c r="BX19" s="159"/>
      <c r="BY19" s="159"/>
      <c r="BZ19" s="159"/>
      <c r="CA19" s="159"/>
      <c r="CB19" s="159"/>
      <c r="CC19" s="159"/>
    </row>
    <row r="20">
      <c r="A20" s="613" t="str">
        <f>Countries!B19</f>
        <v>Belize</v>
      </c>
      <c r="B20" s="614" t="str">
        <f>Countries!I19</f>
        <v>Latin America</v>
      </c>
      <c r="C20" s="615">
        <f>IFERROR(IFERROR(IFERROR(IFERROR(IFERROR(IFERROR(IFERROR(MATCH(Countries!$B19,$M$3:$M$1003,0),MATCH(Countries!$C19,$M$3:$M$1003,0)),MATCH(Countries!$D19,$M$3:$M$1003,0)),MATCH(Countries!$E19,$M$3:$M$1003,0)),MATCH(Countries!$F19,$M$3:$M$1003,0)),MATCH(Countries!$G19,$M$3:$M$1003,0)),MATCH(Countries!$H19,$M$3:$M$1003,0)),"X")</f>
        <v>19</v>
      </c>
      <c r="D20" s="616">
        <f t="shared" ref="D20:F20" si="39">IF(G$2="","",IF($C20="X","",INDEX($N$3:$CC$1003,$C20,MATCH(G$2,$N$2:$CC$2,0))))</f>
        <v>5051.34124</v>
      </c>
      <c r="E20" s="603" t="str">
        <f t="shared" si="39"/>
        <v/>
      </c>
      <c r="F20" s="603" t="str">
        <f t="shared" si="39"/>
        <v/>
      </c>
      <c r="G20" s="617">
        <f t="shared" si="5"/>
        <v>5051.34124</v>
      </c>
      <c r="H20" s="618" t="str">
        <f t="shared" ref="H20:I20" si="40">IF(H$2="","", IF(E20="",IF($K$16="Use global average",E$276,IF($K$16="Use regional average",INDEX(E$280:E$296,MATCH($B20,$B$280:$B$296,0)),IF($K$16="Leave blank","",IF($K$16="Fill with zeros", 0,IF($K$16="Use global median",E$277,"Fill out I16"))))), E20))</f>
        <v/>
      </c>
      <c r="I20" s="618" t="str">
        <f t="shared" si="40"/>
        <v/>
      </c>
      <c r="J20" s="159"/>
      <c r="L20" s="159" t="str">
        <f>IF(M20="","",IF(COUNTIF(Countries!$B$1:$H$271,M20)&gt;0,"",IF(COUNTIF(Countries!$M$1:$S$271,M20)&gt;0,"Not a country","ERROR – NOT LISTED. Add alt spelling to ''Countries'' tab")))</f>
        <v/>
      </c>
      <c r="M20" s="606" t="s">
        <v>716</v>
      </c>
      <c r="N20" s="624">
        <v>54.49564</v>
      </c>
      <c r="O20" s="621">
        <f t="shared" si="12"/>
        <v>25460.36301</v>
      </c>
      <c r="P20" s="192">
        <v>0.57283463</v>
      </c>
      <c r="Q20" s="622">
        <v>0.0556</v>
      </c>
      <c r="R20" s="621">
        <f t="shared" si="7"/>
        <v>47062.9719</v>
      </c>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59"/>
      <c r="AV20" s="159"/>
      <c r="AW20" s="159"/>
      <c r="AX20" s="159"/>
      <c r="AY20" s="159"/>
      <c r="AZ20" s="159"/>
      <c r="BA20" s="159"/>
      <c r="BB20" s="159"/>
      <c r="BC20" s="159"/>
      <c r="BD20" s="159"/>
      <c r="BE20" s="159"/>
      <c r="BF20" s="159"/>
      <c r="BG20" s="159"/>
      <c r="BH20" s="159"/>
      <c r="BI20" s="159"/>
      <c r="BJ20" s="159"/>
      <c r="BK20" s="159"/>
      <c r="BL20" s="159"/>
      <c r="BM20" s="159"/>
      <c r="BN20" s="159"/>
      <c r="BO20" s="159"/>
      <c r="BP20" s="159"/>
      <c r="BQ20" s="159"/>
      <c r="BR20" s="159"/>
      <c r="BS20" s="159"/>
      <c r="BT20" s="159"/>
      <c r="BU20" s="159"/>
      <c r="BV20" s="159"/>
      <c r="BW20" s="159"/>
      <c r="BX20" s="159"/>
      <c r="BY20" s="159"/>
      <c r="BZ20" s="159"/>
      <c r="CA20" s="159"/>
      <c r="CB20" s="159"/>
      <c r="CC20" s="159"/>
    </row>
    <row r="21">
      <c r="A21" s="613" t="str">
        <f>Countries!B20</f>
        <v>Benin</v>
      </c>
      <c r="B21" s="614" t="str">
        <f>Countries!I20</f>
        <v>Sub-Saharan Africa</v>
      </c>
      <c r="C21" s="615">
        <f>IFERROR(IFERROR(IFERROR(IFERROR(IFERROR(IFERROR(IFERROR(MATCH(Countries!$B20,$M$3:$M$1003,0),MATCH(Countries!$C20,$M$3:$M$1003,0)),MATCH(Countries!$D20,$M$3:$M$1003,0)),MATCH(Countries!$E20,$M$3:$M$1003,0)),MATCH(Countries!$F20,$M$3:$M$1003,0)),MATCH(Countries!$G20,$M$3:$M$1003,0)),MATCH(Countries!$H20,$M$3:$M$1003,0)),"X")</f>
        <v>20</v>
      </c>
      <c r="D21" s="616">
        <f t="shared" ref="D21:F21" si="41">IF(G$2="","",IF($C21="X","",INDEX($N$3:$CC$1003,$C21,MATCH(G$2,$N$2:$CC$2,0))))</f>
        <v>2326.285988</v>
      </c>
      <c r="E21" s="603" t="str">
        <f t="shared" si="41"/>
        <v/>
      </c>
      <c r="F21" s="603" t="str">
        <f t="shared" si="41"/>
        <v/>
      </c>
      <c r="G21" s="617">
        <f t="shared" si="5"/>
        <v>2326.285988</v>
      </c>
      <c r="H21" s="618" t="str">
        <f t="shared" ref="H21:I21" si="42">IF(H$2="","", IF(E21="",IF($K$16="Use global average",E$276,IF($K$16="Use regional average",INDEX(E$280:E$296,MATCH($B21,$B$280:$B$296,0)),IF($K$16="Leave blank","",IF($K$16="Fill with zeros", 0,IF($K$16="Use global median",E$277,"Fill out I16"))))), E21))</f>
        <v/>
      </c>
      <c r="I21" s="618" t="str">
        <f t="shared" si="42"/>
        <v/>
      </c>
      <c r="J21" s="159"/>
      <c r="L21" s="159" t="str">
        <f>IF(M21="","",IF(COUNTIF(Countries!$B$1:$H$271,M21)&gt;0,"",IF(COUNTIF(Countries!$M$1:$S$271,M21)&gt;0,"Not a country","ERROR – NOT LISTED. Add alt spelling to ''Countries'' tab")))</f>
        <v/>
      </c>
      <c r="M21" s="606" t="s">
        <v>717</v>
      </c>
      <c r="N21" s="624">
        <v>4.6116567</v>
      </c>
      <c r="O21" s="621">
        <f t="shared" si="12"/>
        <v>2154.56601</v>
      </c>
      <c r="P21" s="192">
        <v>0.4670347</v>
      </c>
      <c r="Q21" s="622">
        <v>0.08672</v>
      </c>
      <c r="R21" s="621">
        <f t="shared" si="7"/>
        <v>5051.34124</v>
      </c>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159"/>
      <c r="AV21" s="159"/>
      <c r="AW21" s="159"/>
      <c r="AX21" s="159"/>
      <c r="AY21" s="159"/>
      <c r="AZ21" s="159"/>
      <c r="BA21" s="159"/>
      <c r="BB21" s="159"/>
      <c r="BC21" s="159"/>
      <c r="BD21" s="159"/>
      <c r="BE21" s="159"/>
      <c r="BF21" s="159"/>
      <c r="BG21" s="159"/>
      <c r="BH21" s="159"/>
      <c r="BI21" s="159"/>
      <c r="BJ21" s="159"/>
      <c r="BK21" s="159"/>
      <c r="BL21" s="159"/>
      <c r="BM21" s="159"/>
      <c r="BN21" s="159"/>
      <c r="BO21" s="159"/>
      <c r="BP21" s="159"/>
      <c r="BQ21" s="159"/>
      <c r="BR21" s="159"/>
      <c r="BS21" s="159"/>
      <c r="BT21" s="159"/>
      <c r="BU21" s="159"/>
      <c r="BV21" s="159"/>
      <c r="BW21" s="159"/>
      <c r="BX21" s="159"/>
      <c r="BY21" s="159"/>
      <c r="BZ21" s="159"/>
      <c r="CA21" s="159"/>
      <c r="CB21" s="159"/>
      <c r="CC21" s="159"/>
    </row>
    <row r="22">
      <c r="A22" s="613" t="str">
        <f>Countries!B21</f>
        <v>Bhutan</v>
      </c>
      <c r="B22" s="614" t="str">
        <f>Countries!I21</f>
        <v>South Asia</v>
      </c>
      <c r="C22" s="615">
        <f>IFERROR(IFERROR(IFERROR(IFERROR(IFERROR(IFERROR(IFERROR(MATCH(Countries!$B21,$M$3:$M$1003,0),MATCH(Countries!$C21,$M$3:$M$1003,0)),MATCH(Countries!$D21,$M$3:$M$1003,0)),MATCH(Countries!$E21,$M$3:$M$1003,0)),MATCH(Countries!$F21,$M$3:$M$1003,0)),MATCH(Countries!$G21,$M$3:$M$1003,0)),MATCH(Countries!$H21,$M$3:$M$1003,0)),"X")</f>
        <v>22</v>
      </c>
      <c r="D22" s="616">
        <f t="shared" ref="D22:F22" si="43">IF(G$2="","",IF($C22="X","",INDEX($N$3:$CC$1003,$C22,MATCH(G$2,$N$2:$CC$2,0))))</f>
        <v>17858.16438</v>
      </c>
      <c r="E22" s="603" t="str">
        <f t="shared" si="43"/>
        <v/>
      </c>
      <c r="F22" s="603" t="str">
        <f t="shared" si="43"/>
        <v/>
      </c>
      <c r="G22" s="617">
        <f t="shared" si="5"/>
        <v>17858.16438</v>
      </c>
      <c r="H22" s="618" t="str">
        <f t="shared" ref="H22:I22" si="44">IF(H$2="","", IF(E22="",IF($K$16="Use global average",E$276,IF($K$16="Use regional average",INDEX(E$280:E$296,MATCH($B22,$B$280:$B$296,0)),IF($K$16="Leave blank","",IF($K$16="Fill with zeros", 0,IF($K$16="Use global median",E$277,"Fill out I16"))))), E22))</f>
        <v/>
      </c>
      <c r="I22" s="618" t="str">
        <f t="shared" si="44"/>
        <v/>
      </c>
      <c r="J22" s="159"/>
      <c r="L22" s="159" t="str">
        <f>IF(M22="","",IF(COUNTIF(Countries!$B$1:$H$271,M22)&gt;0,"",IF(COUNTIF(Countries!$M$1:$S$271,M22)&gt;0,"Not a country","ERROR – NOT LISTED. Add alt spelling to ''Countries'' tab")))</f>
        <v/>
      </c>
      <c r="M22" s="606" t="s">
        <v>718</v>
      </c>
      <c r="N22" s="624">
        <v>4.0014644</v>
      </c>
      <c r="O22" s="621">
        <f t="shared" si="12"/>
        <v>1869.484168</v>
      </c>
      <c r="P22" s="192">
        <v>0.8156740600000001</v>
      </c>
      <c r="Q22" s="622">
        <v>0.01476</v>
      </c>
      <c r="R22" s="621">
        <f t="shared" si="7"/>
        <v>2326.285988</v>
      </c>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AZ22" s="159"/>
      <c r="BA22" s="159"/>
      <c r="BB22" s="159"/>
      <c r="BC22" s="159"/>
      <c r="BD22" s="159"/>
      <c r="BE22" s="159"/>
      <c r="BF22" s="159"/>
      <c r="BG22" s="159"/>
      <c r="BH22" s="159"/>
      <c r="BI22" s="159"/>
      <c r="BJ22" s="159"/>
      <c r="BK22" s="159"/>
      <c r="BL22" s="159"/>
      <c r="BM22" s="159"/>
      <c r="BN22" s="159"/>
      <c r="BO22" s="159"/>
      <c r="BP22" s="159"/>
      <c r="BQ22" s="159"/>
      <c r="BR22" s="159"/>
      <c r="BS22" s="159"/>
      <c r="BT22" s="159"/>
      <c r="BU22" s="159"/>
      <c r="BV22" s="159"/>
      <c r="BW22" s="159"/>
      <c r="BX22" s="159"/>
      <c r="BY22" s="159"/>
      <c r="BZ22" s="159"/>
      <c r="CA22" s="159"/>
      <c r="CB22" s="159"/>
      <c r="CC22" s="159"/>
    </row>
    <row r="23">
      <c r="A23" s="613" t="str">
        <f>Countries!B22</f>
        <v>Bolivia</v>
      </c>
      <c r="B23" s="614" t="str">
        <f>Countries!I22</f>
        <v>Latin America</v>
      </c>
      <c r="C23" s="615">
        <f>IFERROR(IFERROR(IFERROR(IFERROR(IFERROR(IFERROR(IFERROR(MATCH(Countries!$B22,$M$3:$M$1003,0),MATCH(Countries!$C22,$M$3:$M$1003,0)),MATCH(Countries!$D22,$M$3:$M$1003,0)),MATCH(Countries!$E22,$M$3:$M$1003,0)),MATCH(Countries!$F22,$M$3:$M$1003,0)),MATCH(Countries!$G22,$M$3:$M$1003,0)),MATCH(Countries!$H22,$M$3:$M$1003,0)),"X")</f>
        <v>23</v>
      </c>
      <c r="D23" s="616">
        <f t="shared" ref="D23:F23" si="45">IF(G$2="","",IF($C23="X","",INDEX($N$3:$CC$1003,$C23,MATCH(G$2,$N$2:$CC$2,0))))</f>
        <v>13015.2324</v>
      </c>
      <c r="E23" s="603" t="str">
        <f t="shared" si="45"/>
        <v/>
      </c>
      <c r="F23" s="603" t="str">
        <f t="shared" si="45"/>
        <v/>
      </c>
      <c r="G23" s="617">
        <f t="shared" si="5"/>
        <v>13015.2324</v>
      </c>
      <c r="H23" s="618" t="str">
        <f t="shared" ref="H23:I23" si="46">IF(H$2="","", IF(E23="",IF($K$16="Use global average",E$276,IF($K$16="Use regional average",INDEX(E$280:E$296,MATCH($B23,$B$280:$B$296,0)),IF($K$16="Leave blank","",IF($K$16="Fill with zeros", 0,IF($K$16="Use global median",E$277,"Fill out I16"))))), E23))</f>
        <v/>
      </c>
      <c r="I23" s="618" t="str">
        <f t="shared" si="46"/>
        <v/>
      </c>
      <c r="J23" s="159"/>
      <c r="L23" s="634" t="str">
        <f>IF(M23="","",IF(COUNTIF(Countries!$B$1:$H$271,M23)&gt;0,"",IF(COUNTIF(Countries!$M$1:$S$271,M23)&gt;0,"Not a country","ERROR – NOT LISTED. Add alt spelling to ''Countries'' tab")))</f>
        <v>Not a country</v>
      </c>
      <c r="M23" s="606" t="s">
        <v>719</v>
      </c>
      <c r="N23" s="620" t="s">
        <v>694</v>
      </c>
      <c r="O23" s="630" t="str">
        <f t="shared" si="12"/>
        <v>#VALUE!</v>
      </c>
      <c r="P23" s="192">
        <v>0.5333538999999999</v>
      </c>
      <c r="Q23" s="631" t="e">
        <v>#VALUE!</v>
      </c>
      <c r="R23" s="625" t="str">
        <f t="shared" si="7"/>
        <v/>
      </c>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9"/>
      <c r="BG23" s="159"/>
      <c r="BH23" s="159"/>
      <c r="BI23" s="159"/>
      <c r="BJ23" s="159"/>
      <c r="BK23" s="159"/>
      <c r="BL23" s="159"/>
      <c r="BM23" s="159"/>
      <c r="BN23" s="159"/>
      <c r="BO23" s="159"/>
      <c r="BP23" s="159"/>
      <c r="BQ23" s="159"/>
      <c r="BR23" s="159"/>
      <c r="BS23" s="159"/>
      <c r="BT23" s="159"/>
      <c r="BU23" s="159"/>
      <c r="BV23" s="159"/>
      <c r="BW23" s="159"/>
      <c r="BX23" s="159"/>
      <c r="BY23" s="159"/>
      <c r="BZ23" s="159"/>
      <c r="CA23" s="159"/>
      <c r="CB23" s="159"/>
      <c r="CC23" s="159"/>
    </row>
    <row r="24">
      <c r="A24" s="613" t="str">
        <f>Countries!B23</f>
        <v>Bosnia</v>
      </c>
      <c r="B24" s="614" t="str">
        <f>Countries!I23</f>
        <v>Europe</v>
      </c>
      <c r="C24" s="615">
        <f>IFERROR(IFERROR(IFERROR(IFERROR(IFERROR(IFERROR(IFERROR(MATCH(Countries!$B23,$M$3:$M$1003,0),MATCH(Countries!$C23,$M$3:$M$1003,0)),MATCH(Countries!$D23,$M$3:$M$1003,0)),MATCH(Countries!$E23,$M$3:$M$1003,0)),MATCH(Countries!$F23,$M$3:$M$1003,0)),MATCH(Countries!$G23,$M$3:$M$1003,0)),MATCH(Countries!$H23,$M$3:$M$1003,0)),"X")</f>
        <v>24</v>
      </c>
      <c r="D24" s="616">
        <f t="shared" ref="D24:F24" si="47">IF(G$2="","",IF($C24="X","",INDEX($N$3:$CC$1003,$C24,MATCH(G$2,$N$2:$CC$2,0))))</f>
        <v>17603.56596</v>
      </c>
      <c r="E24" s="603" t="str">
        <f t="shared" si="47"/>
        <v/>
      </c>
      <c r="F24" s="603" t="str">
        <f t="shared" si="47"/>
        <v/>
      </c>
      <c r="G24" s="617">
        <f t="shared" si="5"/>
        <v>17603.56596</v>
      </c>
      <c r="H24" s="618" t="str">
        <f t="shared" ref="H24:I24" si="48">IF(H$2="","", IF(E24="",IF($K$16="Use global average",E$276,IF($K$16="Use regional average",INDEX(E$280:E$296,MATCH($B24,$B$280:$B$296,0)),IF($K$16="Leave blank","",IF($K$16="Fill with zeros", 0,IF($K$16="Use global median",E$277,"Fill out I16"))))), E24))</f>
        <v/>
      </c>
      <c r="I24" s="618" t="str">
        <f t="shared" si="48"/>
        <v/>
      </c>
      <c r="J24" s="159"/>
      <c r="L24" s="159" t="str">
        <f>IF(M24="","",IF(COUNTIF(Countries!$B$1:$H$271,M24)&gt;0,"",IF(COUNTIF(Countries!$M$1:$S$271,M24)&gt;0,"Not a country","ERROR – NOT LISTED. Add alt spelling to ''Countries'' tab")))</f>
        <v/>
      </c>
      <c r="M24" s="606" t="s">
        <v>720</v>
      </c>
      <c r="N24" s="624">
        <v>13.86247</v>
      </c>
      <c r="O24" s="621">
        <f t="shared" si="12"/>
        <v>6476.545984</v>
      </c>
      <c r="P24" s="192">
        <v>0.3856096</v>
      </c>
      <c r="Q24" s="622">
        <v>0.059500000000000004</v>
      </c>
      <c r="R24" s="621">
        <f t="shared" si="7"/>
        <v>17858.16438</v>
      </c>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159"/>
      <c r="AV24" s="159"/>
      <c r="AW24" s="159"/>
      <c r="AX24" s="159"/>
      <c r="AY24" s="159"/>
      <c r="AZ24" s="159"/>
      <c r="BA24" s="159"/>
      <c r="BB24" s="159"/>
      <c r="BC24" s="159"/>
      <c r="BD24" s="159"/>
      <c r="BE24" s="159"/>
      <c r="BF24" s="159"/>
      <c r="BG24" s="159"/>
      <c r="BH24" s="159"/>
      <c r="BI24" s="159"/>
      <c r="BJ24" s="159"/>
      <c r="BK24" s="159"/>
      <c r="BL24" s="159"/>
      <c r="BM24" s="159"/>
      <c r="BN24" s="159"/>
      <c r="BO24" s="159"/>
      <c r="BP24" s="159"/>
      <c r="BQ24" s="159"/>
      <c r="BR24" s="159"/>
      <c r="BS24" s="159"/>
      <c r="BT24" s="159"/>
      <c r="BU24" s="159"/>
      <c r="BV24" s="159"/>
      <c r="BW24" s="159"/>
      <c r="BX24" s="159"/>
      <c r="BY24" s="159"/>
      <c r="BZ24" s="159"/>
      <c r="CA24" s="159"/>
      <c r="CB24" s="159"/>
      <c r="CC24" s="159"/>
    </row>
    <row r="25">
      <c r="A25" s="613" t="str">
        <f>Countries!B24</f>
        <v>Botswana</v>
      </c>
      <c r="B25" s="614" t="str">
        <f>Countries!I24</f>
        <v>Sub-Saharan Africa</v>
      </c>
      <c r="C25" s="615">
        <f>IFERROR(IFERROR(IFERROR(IFERROR(IFERROR(IFERROR(IFERROR(MATCH(Countries!$B24,$M$3:$M$1003,0),MATCH(Countries!$C24,$M$3:$M$1003,0)),MATCH(Countries!$D24,$M$3:$M$1003,0)),MATCH(Countries!$E24,$M$3:$M$1003,0)),MATCH(Countries!$F24,$M$3:$M$1003,0)),MATCH(Countries!$G24,$M$3:$M$1003,0)),MATCH(Countries!$H24,$M$3:$M$1003,0)),"X")</f>
        <v>25</v>
      </c>
      <c r="D25" s="616">
        <f t="shared" ref="D25:F25" si="49">IF(G$2="","",IF($C25="X","",INDEX($N$3:$CC$1003,$C25,MATCH(G$2,$N$2:$CC$2,0))))</f>
        <v>5209.601843</v>
      </c>
      <c r="E25" s="603" t="str">
        <f t="shared" si="49"/>
        <v/>
      </c>
      <c r="F25" s="603" t="str">
        <f t="shared" si="49"/>
        <v/>
      </c>
      <c r="G25" s="617">
        <f t="shared" si="5"/>
        <v>5209.601843</v>
      </c>
      <c r="H25" s="618" t="str">
        <f t="shared" ref="H25:I25" si="50">IF(H$2="","", IF(E25="",IF($K$16="Use global average",E$276,IF($K$16="Use regional average",INDEX(E$280:E$296,MATCH($B25,$B$280:$B$296,0)),IF($K$16="Leave blank","",IF($K$16="Fill with zeros", 0,IF($K$16="Use global median",E$277,"Fill out I16"))))), E25))</f>
        <v/>
      </c>
      <c r="I25" s="618" t="str">
        <f t="shared" si="50"/>
        <v/>
      </c>
      <c r="J25" s="159"/>
      <c r="L25" s="159" t="str">
        <f>IF(M25="","",IF(COUNTIF(Countries!$B$1:$H$271,M25)&gt;0,"",IF(COUNTIF(Countries!$M$1:$S$271,M25)&gt;0,"Not a country","ERROR – NOT LISTED. Add alt spelling to ''Countries'' tab")))</f>
        <v/>
      </c>
      <c r="M25" s="606" t="s">
        <v>721</v>
      </c>
      <c r="N25" s="624">
        <v>14.911999</v>
      </c>
      <c r="O25" s="621">
        <f t="shared" si="12"/>
        <v>6966.885933</v>
      </c>
      <c r="P25" s="192">
        <v>0.55500072</v>
      </c>
      <c r="Q25" s="622">
        <v>0.03552</v>
      </c>
      <c r="R25" s="621">
        <f t="shared" si="7"/>
        <v>13015.2324</v>
      </c>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159"/>
      <c r="AV25" s="159"/>
      <c r="AW25" s="159"/>
      <c r="AX25" s="159"/>
      <c r="AY25" s="159"/>
      <c r="AZ25" s="159"/>
      <c r="BA25" s="159"/>
      <c r="BB25" s="159"/>
      <c r="BC25" s="159"/>
      <c r="BD25" s="159"/>
      <c r="BE25" s="159"/>
      <c r="BF25" s="159"/>
      <c r="BG25" s="159"/>
      <c r="BH25" s="159"/>
      <c r="BI25" s="159"/>
      <c r="BJ25" s="159"/>
      <c r="BK25" s="159"/>
      <c r="BL25" s="159"/>
      <c r="BM25" s="159"/>
      <c r="BN25" s="159"/>
      <c r="BO25" s="159"/>
      <c r="BP25" s="159"/>
      <c r="BQ25" s="159"/>
      <c r="BR25" s="159"/>
      <c r="BS25" s="159"/>
      <c r="BT25" s="159"/>
      <c r="BU25" s="159"/>
      <c r="BV25" s="159"/>
      <c r="BW25" s="159"/>
      <c r="BX25" s="159"/>
      <c r="BY25" s="159"/>
      <c r="BZ25" s="159"/>
      <c r="CA25" s="159"/>
      <c r="CB25" s="159"/>
      <c r="CC25" s="159"/>
    </row>
    <row r="26">
      <c r="A26" s="613" t="str">
        <f>Countries!B25</f>
        <v>Brazil</v>
      </c>
      <c r="B26" s="614" t="str">
        <f>Countries!I25</f>
        <v>Latin America</v>
      </c>
      <c r="C26" s="615">
        <f>IFERROR(IFERROR(IFERROR(IFERROR(IFERROR(IFERROR(IFERROR(MATCH(Countries!$B25,$M$3:$M$1003,0),MATCH(Countries!$C25,$M$3:$M$1003,0)),MATCH(Countries!$D25,$M$3:$M$1003,0)),MATCH(Countries!$E25,$M$3:$M$1003,0)),MATCH(Countries!$F25,$M$3:$M$1003,0)),MATCH(Countries!$G25,$M$3:$M$1003,0)),MATCH(Countries!$H25,$M$3:$M$1003,0)),"X")</f>
        <v>26</v>
      </c>
      <c r="D26" s="616">
        <f t="shared" ref="D26:F26" si="51">IF(G$2="","",IF($C26="X","",INDEX($N$3:$CC$1003,$C26,MATCH(G$2,$N$2:$CC$2,0))))</f>
        <v>15188.62109</v>
      </c>
      <c r="E26" s="603" t="str">
        <f t="shared" si="51"/>
        <v/>
      </c>
      <c r="F26" s="603" t="str">
        <f t="shared" si="51"/>
        <v/>
      </c>
      <c r="G26" s="617">
        <f t="shared" si="5"/>
        <v>15188.62109</v>
      </c>
      <c r="H26" s="618" t="str">
        <f t="shared" ref="H26:I26" si="52">IF(H$2="","", IF(E26="",IF($K$16="Use global average",E$276,IF($K$16="Use regional average",INDEX(E$280:E$296,MATCH($B26,$B$280:$B$296,0)),IF($K$16="Leave blank","",IF($K$16="Fill with zeros", 0,IF($K$16="Use global median",E$277,"Fill out I16"))))), E26))</f>
        <v/>
      </c>
      <c r="I26" s="618" t="str">
        <f t="shared" si="52"/>
        <v/>
      </c>
      <c r="J26" s="159"/>
      <c r="L26" s="159" t="str">
        <f>IF(M26="","",IF(COUNTIF(Countries!$B$1:$H$271,M26)&gt;0,"",IF(COUNTIF(Countries!$M$1:$S$271,M26)&gt;0,"Not a country","ERROR – NOT LISTED. Add alt spelling to ''Countries'' tab")))</f>
        <v/>
      </c>
      <c r="M26" s="606" t="s">
        <v>722</v>
      </c>
      <c r="N26" s="624">
        <v>17.60119</v>
      </c>
      <c r="O26" s="621">
        <f t="shared" si="12"/>
        <v>8223.275968</v>
      </c>
      <c r="P26" s="192">
        <v>0.5348488</v>
      </c>
      <c r="Q26" s="622">
        <v>0.1266</v>
      </c>
      <c r="R26" s="621">
        <f t="shared" si="7"/>
        <v>17603.56596</v>
      </c>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59"/>
      <c r="AZ26" s="159"/>
      <c r="BA26" s="159"/>
      <c r="BB26" s="159"/>
      <c r="BC26" s="159"/>
      <c r="BD26" s="159"/>
      <c r="BE26" s="159"/>
      <c r="BF26" s="159"/>
      <c r="BG26" s="159"/>
      <c r="BH26" s="159"/>
      <c r="BI26" s="159"/>
      <c r="BJ26" s="159"/>
      <c r="BK26" s="159"/>
      <c r="BL26" s="159"/>
      <c r="BM26" s="159"/>
      <c r="BN26" s="159"/>
      <c r="BO26" s="159"/>
      <c r="BP26" s="159"/>
      <c r="BQ26" s="159"/>
      <c r="BR26" s="159"/>
      <c r="BS26" s="159"/>
      <c r="BT26" s="159"/>
      <c r="BU26" s="159"/>
      <c r="BV26" s="159"/>
      <c r="BW26" s="159"/>
      <c r="BX26" s="159"/>
      <c r="BY26" s="159"/>
      <c r="BZ26" s="159"/>
      <c r="CA26" s="159"/>
      <c r="CB26" s="159"/>
      <c r="CC26" s="159"/>
    </row>
    <row r="27">
      <c r="A27" s="613" t="str">
        <f>Countries!B26</f>
        <v>Brunei Darussalam</v>
      </c>
      <c r="B27" s="614" t="str">
        <f>Countries!I26</f>
        <v>Southeast Asia</v>
      </c>
      <c r="C27" s="615">
        <f>IFERROR(IFERROR(IFERROR(IFERROR(IFERROR(IFERROR(IFERROR(MATCH(Countries!$B26,$M$3:$M$1003,0),MATCH(Countries!$C26,$M$3:$M$1003,0)),MATCH(Countries!$D26,$M$3:$M$1003,0)),MATCH(Countries!$E26,$M$3:$M$1003,0)),MATCH(Countries!$F26,$M$3:$M$1003,0)),MATCH(Countries!$G26,$M$3:$M$1003,0)),MATCH(Countries!$H26,$M$3:$M$1003,0)),"X")</f>
        <v>27</v>
      </c>
      <c r="D27" s="627" t="str">
        <f t="shared" ref="D27:F27" si="53">IF(G$2="","",IF($C27="X","",INDEX($N$3:$CC$1003,$C27,MATCH(G$2,$N$2:$CC$2,0))))</f>
        <v/>
      </c>
      <c r="E27" s="603" t="str">
        <f t="shared" si="53"/>
        <v/>
      </c>
      <c r="F27" s="603" t="str">
        <f t="shared" si="53"/>
        <v/>
      </c>
      <c r="G27" s="628">
        <f t="shared" si="5"/>
        <v>9788.635641</v>
      </c>
      <c r="H27" s="618" t="str">
        <f t="shared" ref="H27:I27" si="54">IF(H$2="","", IF(E27="",IF($K$16="Use global average",E$276,IF($K$16="Use regional average",INDEX(E$280:E$296,MATCH($B27,$B$280:$B$296,0)),IF($K$16="Leave blank","",IF($K$16="Fill with zeros", 0,IF($K$16="Use global median",E$277,"Fill out I16"))))), E27))</f>
        <v/>
      </c>
      <c r="I27" s="618" t="str">
        <f t="shared" si="54"/>
        <v/>
      </c>
      <c r="J27" s="159"/>
      <c r="L27" s="159" t="str">
        <f>IF(M27="","",IF(COUNTIF(Countries!$B$1:$H$271,M27)&gt;0,"",IF(COUNTIF(Countries!$M$1:$S$271,M27)&gt;0,"Not a country","ERROR – NOT LISTED. Add alt spelling to ''Countries'' tab")))</f>
        <v/>
      </c>
      <c r="M27" s="606" t="s">
        <v>723</v>
      </c>
      <c r="N27" s="624">
        <v>4.842955</v>
      </c>
      <c r="O27" s="621">
        <f t="shared" si="12"/>
        <v>2262.628576</v>
      </c>
      <c r="P27" s="192">
        <v>0.5686291</v>
      </c>
      <c r="Q27" s="622">
        <v>0.23620000000000002</v>
      </c>
      <c r="R27" s="621">
        <f t="shared" si="7"/>
        <v>5209.601843</v>
      </c>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159"/>
      <c r="AV27" s="159"/>
      <c r="AW27" s="159"/>
      <c r="AX27" s="159"/>
      <c r="AY27" s="159"/>
      <c r="AZ27" s="159"/>
      <c r="BA27" s="159"/>
      <c r="BB27" s="159"/>
      <c r="BC27" s="159"/>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row>
    <row r="28">
      <c r="A28" s="613" t="str">
        <f>Countries!B27</f>
        <v>Bulgaria</v>
      </c>
      <c r="B28" s="614" t="str">
        <f>Countries!I27</f>
        <v>Europe</v>
      </c>
      <c r="C28" s="615">
        <f>IFERROR(IFERROR(IFERROR(IFERROR(IFERROR(IFERROR(IFERROR(MATCH(Countries!$B27,$M$3:$M$1003,0),MATCH(Countries!$C27,$M$3:$M$1003,0)),MATCH(Countries!$D27,$M$3:$M$1003,0)),MATCH(Countries!$E27,$M$3:$M$1003,0)),MATCH(Countries!$F27,$M$3:$M$1003,0)),MATCH(Countries!$G27,$M$3:$M$1003,0)),MATCH(Countries!$H27,$M$3:$M$1003,0)),"X")</f>
        <v>28</v>
      </c>
      <c r="D28" s="616">
        <f t="shared" ref="D28:F28" si="55">IF(G$2="","",IF($C28="X","",INDEX($N$3:$CC$1003,$C28,MATCH(G$2,$N$2:$CC$2,0))))</f>
        <v>19984.06902</v>
      </c>
      <c r="E28" s="603" t="str">
        <f t="shared" si="55"/>
        <v/>
      </c>
      <c r="F28" s="603" t="str">
        <f t="shared" si="55"/>
        <v/>
      </c>
      <c r="G28" s="617">
        <f t="shared" si="5"/>
        <v>19984.06902</v>
      </c>
      <c r="H28" s="618" t="str">
        <f t="shared" ref="H28:I28" si="56">IF(H$2="","", IF(E28="",IF($K$16="Use global average",E$276,IF($K$16="Use regional average",INDEX(E$280:E$296,MATCH($B28,$B$280:$B$296,0)),IF($K$16="Leave blank","",IF($K$16="Fill with zeros", 0,IF($K$16="Use global median",E$277,"Fill out I16"))))), E28))</f>
        <v/>
      </c>
      <c r="I28" s="618" t="str">
        <f t="shared" si="56"/>
        <v/>
      </c>
      <c r="J28" s="159"/>
      <c r="L28" s="159" t="str">
        <f>IF(M28="","",IF(COUNTIF(Countries!$B$1:$H$271,M28)&gt;0,"",IF(COUNTIF(Countries!$M$1:$S$271,M28)&gt;0,"Not a country","ERROR – NOT LISTED. Add alt spelling to ''Countries'' tab")))</f>
        <v/>
      </c>
      <c r="M28" s="606" t="s">
        <v>455</v>
      </c>
      <c r="N28" s="624">
        <v>12.991237</v>
      </c>
      <c r="O28" s="621">
        <f t="shared" si="12"/>
        <v>6069.505926</v>
      </c>
      <c r="P28" s="192">
        <v>0.44024320000000006</v>
      </c>
      <c r="Q28" s="622">
        <v>0.09230000000000001</v>
      </c>
      <c r="R28" s="621">
        <f t="shared" si="7"/>
        <v>15188.62109</v>
      </c>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59"/>
      <c r="BR28" s="159"/>
      <c r="BS28" s="159"/>
      <c r="BT28" s="159"/>
      <c r="BU28" s="159"/>
      <c r="BV28" s="159"/>
      <c r="BW28" s="159"/>
      <c r="BX28" s="159"/>
      <c r="BY28" s="159"/>
      <c r="BZ28" s="159"/>
      <c r="CA28" s="159"/>
      <c r="CB28" s="159"/>
      <c r="CC28" s="159"/>
    </row>
    <row r="29">
      <c r="A29" s="613" t="str">
        <f>Countries!B28</f>
        <v>Burkina Faso</v>
      </c>
      <c r="B29" s="614" t="str">
        <f>Countries!I28</f>
        <v>Sub-Saharan Africa</v>
      </c>
      <c r="C29" s="615">
        <f>IFERROR(IFERROR(IFERROR(IFERROR(IFERROR(IFERROR(IFERROR(MATCH(Countries!$B28,$M$3:$M$1003,0),MATCH(Countries!$C28,$M$3:$M$1003,0)),MATCH(Countries!$D28,$M$3:$M$1003,0)),MATCH(Countries!$E28,$M$3:$M$1003,0)),MATCH(Countries!$F28,$M$3:$M$1003,0)),MATCH(Countries!$G28,$M$3:$M$1003,0)),MATCH(Countries!$H28,$M$3:$M$1003,0)),"X")</f>
        <v>29</v>
      </c>
      <c r="D29" s="616">
        <f t="shared" ref="D29:F29" si="57">IF(G$2="","",IF($C29="X","",INDEX($N$3:$CC$1003,$C29,MATCH(G$2,$N$2:$CC$2,0))))</f>
        <v>1875.398427</v>
      </c>
      <c r="E29" s="603" t="str">
        <f t="shared" si="57"/>
        <v/>
      </c>
      <c r="F29" s="603" t="str">
        <f t="shared" si="57"/>
        <v/>
      </c>
      <c r="G29" s="617">
        <f t="shared" si="5"/>
        <v>1875.398427</v>
      </c>
      <c r="H29" s="618" t="str">
        <f t="shared" ref="H29:I29" si="58">IF(H$2="","", IF(E29="",IF($K$16="Use global average",E$276,IF($K$16="Use regional average",INDEX(E$280:E$296,MATCH($B29,$B$280:$B$296,0)),IF($K$16="Leave blank","",IF($K$16="Fill with zeros", 0,IF($K$16="Use global median",E$277,"Fill out I16"))))), E29))</f>
        <v/>
      </c>
      <c r="I29" s="618" t="str">
        <f t="shared" si="58"/>
        <v/>
      </c>
      <c r="J29" s="159"/>
      <c r="L29" s="159" t="str">
        <f>IF(M29="","",IF(COUNTIF(Countries!$B$1:$H$271,M29)&gt;0,"",IF(COUNTIF(Countries!$M$1:$S$271,M29)&gt;0,"Not a country","ERROR – NOT LISTED. Add alt spelling to ''Countries'' tab")))</f>
        <v/>
      </c>
      <c r="M29" s="606" t="s">
        <v>724</v>
      </c>
      <c r="N29" s="620" t="s">
        <v>694</v>
      </c>
      <c r="O29" s="630" t="str">
        <f t="shared" si="12"/>
        <v>#VALUE!</v>
      </c>
      <c r="P29" s="192">
        <v>0.3799826</v>
      </c>
      <c r="Q29" s="622">
        <v>0.04452</v>
      </c>
      <c r="R29" s="625" t="str">
        <f t="shared" si="7"/>
        <v/>
      </c>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159"/>
      <c r="AV29" s="159"/>
      <c r="AW29" s="159"/>
      <c r="AX29" s="159"/>
      <c r="AY29" s="159"/>
      <c r="AZ29" s="159"/>
      <c r="BA29" s="159"/>
      <c r="BB29" s="159"/>
      <c r="BC29" s="159"/>
      <c r="BD29" s="159"/>
      <c r="BE29" s="159"/>
      <c r="BF29" s="159"/>
      <c r="BG29" s="159"/>
      <c r="BH29" s="159"/>
      <c r="BI29" s="159"/>
      <c r="BJ29" s="159"/>
      <c r="BK29" s="159"/>
      <c r="BL29" s="159"/>
      <c r="BM29" s="159"/>
      <c r="BN29" s="159"/>
      <c r="BO29" s="159"/>
      <c r="BP29" s="159"/>
      <c r="BQ29" s="159"/>
      <c r="BR29" s="159"/>
      <c r="BS29" s="159"/>
      <c r="BT29" s="159"/>
      <c r="BU29" s="159"/>
      <c r="BV29" s="159"/>
      <c r="BW29" s="159"/>
      <c r="BX29" s="159"/>
      <c r="BY29" s="159"/>
      <c r="BZ29" s="159"/>
      <c r="CA29" s="159"/>
      <c r="CB29" s="159"/>
      <c r="CC29" s="159"/>
    </row>
    <row r="30">
      <c r="A30" s="613" t="str">
        <f>Countries!B29</f>
        <v>Burundi</v>
      </c>
      <c r="B30" s="614" t="str">
        <f>Countries!I29</f>
        <v>Sub-Saharan Africa</v>
      </c>
      <c r="C30" s="615">
        <f>IFERROR(IFERROR(IFERROR(IFERROR(IFERROR(IFERROR(IFERROR(MATCH(Countries!$B29,$M$3:$M$1003,0),MATCH(Countries!$C29,$M$3:$M$1003,0)),MATCH(Countries!$D29,$M$3:$M$1003,0)),MATCH(Countries!$E29,$M$3:$M$1003,0)),MATCH(Countries!$F29,$M$3:$M$1003,0)),MATCH(Countries!$G29,$M$3:$M$1003,0)),MATCH(Countries!$H29,$M$3:$M$1003,0)),"X")</f>
        <v>30</v>
      </c>
      <c r="D30" s="616">
        <f t="shared" ref="D30:F30" si="59">IF(G$2="","",IF($C30="X","",INDEX($N$3:$CC$1003,$C30,MATCH(G$2,$N$2:$CC$2,0))))</f>
        <v>921.8683842</v>
      </c>
      <c r="E30" s="603" t="str">
        <f t="shared" si="59"/>
        <v/>
      </c>
      <c r="F30" s="603" t="str">
        <f t="shared" si="59"/>
        <v/>
      </c>
      <c r="G30" s="617">
        <f t="shared" si="5"/>
        <v>921.8683842</v>
      </c>
      <c r="H30" s="618" t="str">
        <f t="shared" ref="H30:I30" si="60">IF(H$2="","", IF(E30="",IF($K$16="Use global average",E$276,IF($K$16="Use regional average",INDEX(E$280:E$296,MATCH($B30,$B$280:$B$296,0)),IF($K$16="Leave blank","",IF($K$16="Fill with zeros", 0,IF($K$16="Use global median",E$277,"Fill out I16"))))), E30))</f>
        <v/>
      </c>
      <c r="I30" s="618" t="str">
        <f t="shared" si="60"/>
        <v/>
      </c>
      <c r="J30" s="159"/>
      <c r="L30" s="159" t="str">
        <f>IF(M30="","",IF(COUNTIF(Countries!$B$1:$H$271,M30)&gt;0,"",IF(COUNTIF(Countries!$M$1:$S$271,M30)&gt;0,"Not a country","ERROR – NOT LISTED. Add alt spelling to ''Countries'' tab")))</f>
        <v/>
      </c>
      <c r="M30" s="606" t="s">
        <v>725</v>
      </c>
      <c r="N30" s="624">
        <v>23.402508</v>
      </c>
      <c r="O30" s="621">
        <f t="shared" si="12"/>
        <v>10933.65174</v>
      </c>
      <c r="P30" s="192">
        <v>0.5715224</v>
      </c>
      <c r="Q30" s="622">
        <v>0.042699999999999995</v>
      </c>
      <c r="R30" s="621">
        <f t="shared" si="7"/>
        <v>19984.06902</v>
      </c>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159"/>
      <c r="AV30" s="159"/>
      <c r="AW30" s="159"/>
      <c r="AX30" s="159"/>
      <c r="AY30" s="159"/>
      <c r="AZ30" s="159"/>
      <c r="BA30" s="159"/>
      <c r="BB30" s="159"/>
      <c r="BC30" s="159"/>
      <c r="BD30" s="159"/>
      <c r="BE30" s="159"/>
      <c r="BF30" s="159"/>
      <c r="BG30" s="159"/>
      <c r="BH30" s="159"/>
      <c r="BI30" s="159"/>
      <c r="BJ30" s="159"/>
      <c r="BK30" s="159"/>
      <c r="BL30" s="159"/>
      <c r="BM30" s="159"/>
      <c r="BN30" s="159"/>
      <c r="BO30" s="159"/>
      <c r="BP30" s="159"/>
      <c r="BQ30" s="159"/>
      <c r="BR30" s="159"/>
      <c r="BS30" s="159"/>
      <c r="BT30" s="159"/>
      <c r="BU30" s="159"/>
      <c r="BV30" s="159"/>
      <c r="BW30" s="159"/>
      <c r="BX30" s="159"/>
      <c r="BY30" s="159"/>
      <c r="BZ30" s="159"/>
      <c r="CA30" s="159"/>
      <c r="CB30" s="159"/>
      <c r="CC30" s="159"/>
    </row>
    <row r="31">
      <c r="A31" s="613" t="str">
        <f>Countries!B30</f>
        <v>Cambodia</v>
      </c>
      <c r="B31" s="614" t="str">
        <f>Countries!I30</f>
        <v>Southeast Asia</v>
      </c>
      <c r="C31" s="615">
        <f>IFERROR(IFERROR(IFERROR(IFERROR(IFERROR(IFERROR(IFERROR(MATCH(Countries!$B30,$M$3:$M$1003,0),MATCH(Countries!$C30,$M$3:$M$1003,0)),MATCH(Countries!$D30,$M$3:$M$1003,0)),MATCH(Countries!$E30,$M$3:$M$1003,0)),MATCH(Countries!$F30,$M$3:$M$1003,0)),MATCH(Countries!$G30,$M$3:$M$1003,0)),MATCH(Countries!$H30,$M$3:$M$1003,0)),"X")</f>
        <v>31</v>
      </c>
      <c r="D31" s="627" t="str">
        <f t="shared" ref="D31:F31" si="61">IF(G$2="","",IF($C31="X","",INDEX($N$3:$CC$1003,$C31,MATCH(G$2,$N$2:$CC$2,0))))</f>
        <v/>
      </c>
      <c r="E31" s="603" t="str">
        <f t="shared" si="61"/>
        <v/>
      </c>
      <c r="F31" s="603" t="str">
        <f t="shared" si="61"/>
        <v/>
      </c>
      <c r="G31" s="628">
        <f t="shared" si="5"/>
        <v>9788.635641</v>
      </c>
      <c r="H31" s="618" t="str">
        <f t="shared" ref="H31:I31" si="62">IF(H$2="","", IF(E31="",IF($K$16="Use global average",E$276,IF($K$16="Use regional average",INDEX(E$280:E$296,MATCH($B31,$B$280:$B$296,0)),IF($K$16="Leave blank","",IF($K$16="Fill with zeros", 0,IF($K$16="Use global median",E$277,"Fill out I16"))))), E31))</f>
        <v/>
      </c>
      <c r="I31" s="618" t="str">
        <f t="shared" si="62"/>
        <v/>
      </c>
      <c r="J31" s="159"/>
      <c r="L31" s="159" t="str">
        <f>IF(M31="","",IF(COUNTIF(Countries!$B$1:$H$271,M31)&gt;0,"",IF(COUNTIF(Countries!$M$1:$S$271,M31)&gt;0,"Not a country","ERROR – NOT LISTED. Add alt spelling to ''Countries'' tab")))</f>
        <v/>
      </c>
      <c r="M31" s="606" t="s">
        <v>726</v>
      </c>
      <c r="N31" s="624">
        <v>3.1207023</v>
      </c>
      <c r="O31" s="621">
        <f t="shared" si="12"/>
        <v>1457.992115</v>
      </c>
      <c r="P31" s="192">
        <v>0.8189082999999999</v>
      </c>
      <c r="Q31" s="622">
        <v>0.05065</v>
      </c>
      <c r="R31" s="621">
        <f t="shared" si="7"/>
        <v>1875.398427</v>
      </c>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159"/>
      <c r="AV31" s="159"/>
      <c r="AW31" s="159"/>
      <c r="AX31" s="159"/>
      <c r="AY31" s="159"/>
      <c r="AZ31" s="159"/>
      <c r="BA31" s="159"/>
      <c r="BB31" s="159"/>
      <c r="BC31" s="159"/>
      <c r="BD31" s="159"/>
      <c r="BE31" s="159"/>
      <c r="BF31" s="159"/>
      <c r="BG31" s="159"/>
      <c r="BH31" s="159"/>
      <c r="BI31" s="159"/>
      <c r="BJ31" s="159"/>
      <c r="BK31" s="159"/>
      <c r="BL31" s="159"/>
      <c r="BM31" s="159"/>
      <c r="BN31" s="159"/>
      <c r="BO31" s="159"/>
      <c r="BP31" s="159"/>
      <c r="BQ31" s="159"/>
      <c r="BR31" s="159"/>
      <c r="BS31" s="159"/>
      <c r="BT31" s="159"/>
      <c r="BU31" s="159"/>
      <c r="BV31" s="159"/>
      <c r="BW31" s="159"/>
      <c r="BX31" s="159"/>
      <c r="BY31" s="159"/>
      <c r="BZ31" s="159"/>
      <c r="CA31" s="159"/>
      <c r="CB31" s="159"/>
      <c r="CC31" s="159"/>
    </row>
    <row r="32">
      <c r="A32" s="613" t="str">
        <f>Countries!B31</f>
        <v>Cameroon</v>
      </c>
      <c r="B32" s="614" t="str">
        <f>Countries!I31</f>
        <v>Sub-Saharan Africa</v>
      </c>
      <c r="C32" s="615">
        <f>IFERROR(IFERROR(IFERROR(IFERROR(IFERROR(IFERROR(IFERROR(MATCH(Countries!$B31,$M$3:$M$1003,0),MATCH(Countries!$C31,$M$3:$M$1003,0)),MATCH(Countries!$D31,$M$3:$M$1003,0)),MATCH(Countries!$E31,$M$3:$M$1003,0)),MATCH(Countries!$F31,$M$3:$M$1003,0)),MATCH(Countries!$G31,$M$3:$M$1003,0)),MATCH(Countries!$H31,$M$3:$M$1003,0)),"X")</f>
        <v>32</v>
      </c>
      <c r="D32" s="616">
        <f t="shared" ref="D32:F32" si="63">IF(G$2="","",IF($C32="X","",INDEX($N$3:$CC$1003,$C32,MATCH(G$2,$N$2:$CC$2,0))))</f>
        <v>2363.543365</v>
      </c>
      <c r="E32" s="603" t="str">
        <f t="shared" si="63"/>
        <v/>
      </c>
      <c r="F32" s="603" t="str">
        <f t="shared" si="63"/>
        <v/>
      </c>
      <c r="G32" s="617">
        <f t="shared" si="5"/>
        <v>2363.543365</v>
      </c>
      <c r="H32" s="618" t="str">
        <f t="shared" ref="H32:I32" si="64">IF(H$2="","", IF(E32="",IF($K$16="Use global average",E$276,IF($K$16="Use regional average",INDEX(E$280:E$296,MATCH($B32,$B$280:$B$296,0)),IF($K$16="Leave blank","",IF($K$16="Fill with zeros", 0,IF($K$16="Use global median",E$277,"Fill out I16"))))), E32))</f>
        <v/>
      </c>
      <c r="I32" s="618" t="str">
        <f t="shared" si="64"/>
        <v/>
      </c>
      <c r="J32" s="159"/>
      <c r="L32" s="159" t="str">
        <f>IF(M32="","",IF(COUNTIF(Countries!$B$1:$H$271,M32)&gt;0,"",IF(COUNTIF(Countries!$M$1:$S$271,M32)&gt;0,"Not a country","ERROR – NOT LISTED. Add alt spelling to ''Countries'' tab")))</f>
        <v/>
      </c>
      <c r="M32" s="606" t="s">
        <v>727</v>
      </c>
      <c r="N32" s="624">
        <v>1.795875</v>
      </c>
      <c r="O32" s="621">
        <f t="shared" si="12"/>
        <v>839.0328</v>
      </c>
      <c r="P32" s="192">
        <v>0.9184650999999999</v>
      </c>
      <c r="Q32" s="622">
        <v>0.00906</v>
      </c>
      <c r="R32" s="621">
        <f t="shared" si="7"/>
        <v>921.8683842</v>
      </c>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159"/>
      <c r="AV32" s="159"/>
      <c r="AW32" s="159"/>
      <c r="AX32" s="159"/>
      <c r="AY32" s="159"/>
      <c r="AZ32" s="159"/>
      <c r="BA32" s="159"/>
      <c r="BB32" s="159"/>
      <c r="BC32" s="159"/>
      <c r="BD32" s="159"/>
      <c r="BE32" s="159"/>
      <c r="BF32" s="159"/>
      <c r="BG32" s="159"/>
      <c r="BH32" s="159"/>
      <c r="BI32" s="159"/>
      <c r="BJ32" s="159"/>
      <c r="BK32" s="159"/>
      <c r="BL32" s="159"/>
      <c r="BM32" s="159"/>
      <c r="BN32" s="159"/>
      <c r="BO32" s="159"/>
      <c r="BP32" s="159"/>
      <c r="BQ32" s="159"/>
      <c r="BR32" s="159"/>
      <c r="BS32" s="159"/>
      <c r="BT32" s="159"/>
      <c r="BU32" s="159"/>
      <c r="BV32" s="159"/>
      <c r="BW32" s="159"/>
      <c r="BX32" s="159"/>
      <c r="BY32" s="159"/>
      <c r="BZ32" s="159"/>
      <c r="CA32" s="159"/>
      <c r="CB32" s="159"/>
      <c r="CC32" s="159"/>
    </row>
    <row r="33">
      <c r="A33" s="613" t="str">
        <f>Countries!B32</f>
        <v>Canada</v>
      </c>
      <c r="B33" s="614" t="str">
        <f>Countries!I32</f>
        <v>North America</v>
      </c>
      <c r="C33" s="615">
        <f>IFERROR(IFERROR(IFERROR(IFERROR(IFERROR(IFERROR(IFERROR(MATCH(Countries!$B32,$M$3:$M$1003,0),MATCH(Countries!$C32,$M$3:$M$1003,0)),MATCH(Countries!$D32,$M$3:$M$1003,0)),MATCH(Countries!$E32,$M$3:$M$1003,0)),MATCH(Countries!$F32,$M$3:$M$1003,0)),MATCH(Countries!$G32,$M$3:$M$1003,0)),MATCH(Countries!$H32,$M$3:$M$1003,0)),"X")</f>
        <v>33</v>
      </c>
      <c r="D33" s="616">
        <f t="shared" ref="D33:F33" si="65">IF(G$2="","",IF($C33="X","",INDEX($N$3:$CC$1003,$C33,MATCH(G$2,$N$2:$CC$2,0))))</f>
        <v>52398.10287</v>
      </c>
      <c r="E33" s="603" t="str">
        <f t="shared" si="65"/>
        <v/>
      </c>
      <c r="F33" s="603" t="str">
        <f t="shared" si="65"/>
        <v/>
      </c>
      <c r="G33" s="617">
        <f t="shared" si="5"/>
        <v>52398.10287</v>
      </c>
      <c r="H33" s="618" t="str">
        <f t="shared" ref="H33:I33" si="66">IF(H$2="","", IF(E33="",IF($K$16="Use global average",E$276,IF($K$16="Use regional average",INDEX(E$280:E$296,MATCH($B33,$B$280:$B$296,0)),IF($K$16="Leave blank","",IF($K$16="Fill with zeros", 0,IF($K$16="Use global median",E$277,"Fill out I16"))))), E33))</f>
        <v/>
      </c>
      <c r="I33" s="618" t="str">
        <f t="shared" si="66"/>
        <v/>
      </c>
      <c r="J33" s="159"/>
      <c r="L33" s="159" t="str">
        <f>IF(M33="","",IF(COUNTIF(Countries!$B$1:$H$271,M33)&gt;0,"",IF(COUNTIF(Countries!$M$1:$S$271,M33)&gt;0,"Not a country","ERROR – NOT LISTED. Add alt spelling to ''Countries'' tab")))</f>
        <v/>
      </c>
      <c r="M33" s="606" t="s">
        <v>728</v>
      </c>
      <c r="N33" s="620" t="s">
        <v>694</v>
      </c>
      <c r="O33" s="630" t="str">
        <f t="shared" si="12"/>
        <v>#VALUE!</v>
      </c>
      <c r="P33" s="192">
        <v>0.56424873</v>
      </c>
      <c r="Q33" s="622">
        <v>0.00226</v>
      </c>
      <c r="R33" s="625" t="str">
        <f t="shared" si="7"/>
        <v/>
      </c>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c r="CB33" s="159"/>
      <c r="CC33" s="159"/>
    </row>
    <row r="34">
      <c r="A34" s="613" t="str">
        <f>Countries!B33</f>
        <v>Cape Verde</v>
      </c>
      <c r="B34" s="614" t="str">
        <f>Countries!I33</f>
        <v>Sub-Saharan Africa</v>
      </c>
      <c r="C34" s="615">
        <f>IFERROR(IFERROR(IFERROR(IFERROR(IFERROR(IFERROR(IFERROR(MATCH(Countries!$B33,$M$3:$M$1003,0),MATCH(Countries!$C33,$M$3:$M$1003,0)),MATCH(Countries!$D33,$M$3:$M$1003,0)),MATCH(Countries!$E33,$M$3:$M$1003,0)),MATCH(Countries!$F33,$M$3:$M$1003,0)),MATCH(Countries!$G33,$M$3:$M$1003,0)),MATCH(Countries!$H33,$M$3:$M$1003,0)),"X")</f>
        <v>34</v>
      </c>
      <c r="D34" s="616">
        <f t="shared" ref="D34:F34" si="67">IF(G$2="","",IF($C34="X","",INDEX($N$3:$CC$1003,$C34,MATCH(G$2,$N$2:$CC$2,0))))</f>
        <v>7304.754314</v>
      </c>
      <c r="E34" s="603" t="str">
        <f t="shared" si="67"/>
        <v/>
      </c>
      <c r="F34" s="603" t="str">
        <f t="shared" si="67"/>
        <v/>
      </c>
      <c r="G34" s="617">
        <f t="shared" si="5"/>
        <v>7304.754314</v>
      </c>
      <c r="H34" s="618" t="str">
        <f t="shared" ref="H34:I34" si="68">IF(H$2="","", IF(E34="",IF($K$16="Use global average",E$276,IF($K$16="Use regional average",INDEX(E$280:E$296,MATCH($B34,$B$280:$B$296,0)),IF($K$16="Leave blank","",IF($K$16="Fill with zeros", 0,IF($K$16="Use global median",E$277,"Fill out I16"))))), E34))</f>
        <v/>
      </c>
      <c r="I34" s="618" t="str">
        <f t="shared" si="68"/>
        <v/>
      </c>
      <c r="J34" s="159"/>
      <c r="L34" s="159" t="str">
        <f>IF(M34="","",IF(COUNTIF(Countries!$B$1:$H$271,M34)&gt;0,"",IF(COUNTIF(Countries!$M$1:$S$271,M34)&gt;0,"Not a country","ERROR – NOT LISTED. Add alt spelling to ''Countries'' tab")))</f>
        <v/>
      </c>
      <c r="M34" s="606" t="s">
        <v>729</v>
      </c>
      <c r="N34" s="624">
        <v>3.9085712</v>
      </c>
      <c r="O34" s="621">
        <f t="shared" si="12"/>
        <v>1826.084465</v>
      </c>
      <c r="P34" s="192">
        <v>0.802948</v>
      </c>
      <c r="Q34" s="622">
        <v>0.03779</v>
      </c>
      <c r="R34" s="621">
        <f t="shared" si="7"/>
        <v>2363.543365</v>
      </c>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159"/>
      <c r="AV34" s="159"/>
      <c r="AW34" s="159"/>
      <c r="AX34" s="159"/>
      <c r="AY34" s="159"/>
      <c r="AZ34" s="159"/>
      <c r="BA34" s="159"/>
      <c r="BB34" s="159"/>
      <c r="BC34" s="159"/>
      <c r="BD34" s="159"/>
      <c r="BE34" s="159"/>
      <c r="BF34" s="159"/>
      <c r="BG34" s="159"/>
      <c r="BH34" s="159"/>
      <c r="BI34" s="159"/>
      <c r="BJ34" s="159"/>
      <c r="BK34" s="159"/>
      <c r="BL34" s="159"/>
      <c r="BM34" s="159"/>
      <c r="BN34" s="159"/>
      <c r="BO34" s="159"/>
      <c r="BP34" s="159"/>
      <c r="BQ34" s="159"/>
      <c r="BR34" s="159"/>
      <c r="BS34" s="159"/>
      <c r="BT34" s="159"/>
      <c r="BU34" s="159"/>
      <c r="BV34" s="159"/>
      <c r="BW34" s="159"/>
      <c r="BX34" s="159"/>
      <c r="BY34" s="159"/>
      <c r="BZ34" s="159"/>
      <c r="CA34" s="159"/>
      <c r="CB34" s="159"/>
      <c r="CC34" s="159"/>
    </row>
    <row r="35">
      <c r="A35" s="613" t="str">
        <f>Countries!B34</f>
        <v>Central African Republic</v>
      </c>
      <c r="B35" s="614" t="str">
        <f>Countries!I34</f>
        <v>Sub-Saharan Africa</v>
      </c>
      <c r="C35" s="615">
        <f>IFERROR(IFERROR(IFERROR(IFERROR(IFERROR(IFERROR(IFERROR(MATCH(Countries!$B34,$M$3:$M$1003,0),MATCH(Countries!$C34,$M$3:$M$1003,0)),MATCH(Countries!$D34,$M$3:$M$1003,0)),MATCH(Countries!$E34,$M$3:$M$1003,0)),MATCH(Countries!$F34,$M$3:$M$1003,0)),MATCH(Countries!$G34,$M$3:$M$1003,0)),MATCH(Countries!$H34,$M$3:$M$1003,0)),"X")</f>
        <v>35</v>
      </c>
      <c r="D35" s="616">
        <f t="shared" ref="D35:F35" si="69">IF(G$2="","",IF($C35="X","",INDEX($N$3:$CC$1003,$C35,MATCH(G$2,$N$2:$CC$2,0))))</f>
        <v>742.9967538</v>
      </c>
      <c r="E35" s="603" t="str">
        <f t="shared" si="69"/>
        <v/>
      </c>
      <c r="F35" s="603" t="str">
        <f t="shared" si="69"/>
        <v/>
      </c>
      <c r="G35" s="617">
        <f t="shared" si="5"/>
        <v>742.9967538</v>
      </c>
      <c r="H35" s="618" t="str">
        <f t="shared" ref="H35:I35" si="70">IF(H$2="","", IF(E35="",IF($K$16="Use global average",E$276,IF($K$16="Use regional average",INDEX(E$280:E$296,MATCH($B35,$B$280:$B$296,0)),IF($K$16="Leave blank","",IF($K$16="Fill with zeros", 0,IF($K$16="Use global median",E$277,"Fill out I16"))))), E35))</f>
        <v/>
      </c>
      <c r="I35" s="618" t="str">
        <f t="shared" si="70"/>
        <v/>
      </c>
      <c r="J35" s="159"/>
      <c r="L35" s="159" t="str">
        <f>IF(M35="","",IF(COUNTIF(Countries!$B$1:$H$271,M35)&gt;0,"",IF(COUNTIF(Countries!$M$1:$S$271,M35)&gt;0,"Not a country","ERROR – NOT LISTED. Add alt spelling to ''Countries'' tab")))</f>
        <v/>
      </c>
      <c r="M35" s="606" t="s">
        <v>730</v>
      </c>
      <c r="N35" s="624">
        <v>56.303295</v>
      </c>
      <c r="O35" s="621">
        <f t="shared" si="12"/>
        <v>26304.89942</v>
      </c>
      <c r="P35" s="192">
        <v>0.5300043</v>
      </c>
      <c r="Q35" s="622">
        <v>0.0528</v>
      </c>
      <c r="R35" s="621">
        <f t="shared" si="7"/>
        <v>52398.10287</v>
      </c>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59"/>
      <c r="AV35" s="159"/>
      <c r="AW35" s="159"/>
      <c r="AX35" s="159"/>
      <c r="AY35" s="159"/>
      <c r="AZ35" s="159"/>
      <c r="BA35" s="159"/>
      <c r="BB35" s="159"/>
      <c r="BC35" s="159"/>
      <c r="BD35" s="159"/>
      <c r="BE35" s="159"/>
      <c r="BF35" s="159"/>
      <c r="BG35" s="159"/>
      <c r="BH35" s="159"/>
      <c r="BI35" s="159"/>
      <c r="BJ35" s="159"/>
      <c r="BK35" s="159"/>
      <c r="BL35" s="159"/>
      <c r="BM35" s="159"/>
      <c r="BN35" s="159"/>
      <c r="BO35" s="159"/>
      <c r="BP35" s="159"/>
      <c r="BQ35" s="159"/>
      <c r="BR35" s="159"/>
      <c r="BS35" s="159"/>
      <c r="BT35" s="159"/>
      <c r="BU35" s="159"/>
      <c r="BV35" s="159"/>
      <c r="BW35" s="159"/>
      <c r="BX35" s="159"/>
      <c r="BY35" s="159"/>
      <c r="BZ35" s="159"/>
      <c r="CA35" s="159"/>
      <c r="CB35" s="159"/>
      <c r="CC35" s="159"/>
    </row>
    <row r="36">
      <c r="A36" s="613" t="str">
        <f>Countries!B35</f>
        <v>Chad</v>
      </c>
      <c r="B36" s="614" t="str">
        <f>Countries!I35</f>
        <v>Sub-Saharan Africa</v>
      </c>
      <c r="C36" s="615">
        <f>IFERROR(IFERROR(IFERROR(IFERROR(IFERROR(IFERROR(IFERROR(MATCH(Countries!$B35,$M$3:$M$1003,0),MATCH(Countries!$C35,$M$3:$M$1003,0)),MATCH(Countries!$D35,$M$3:$M$1003,0)),MATCH(Countries!$E35,$M$3:$M$1003,0)),MATCH(Countries!$F35,$M$3:$M$1003,0)),MATCH(Countries!$G35,$M$3:$M$1003,0)),MATCH(Countries!$H35,$M$3:$M$1003,0)),"X")</f>
        <v>36</v>
      </c>
      <c r="D36" s="616">
        <f t="shared" ref="D36:F36" si="71">IF(G$2="","",IF($C36="X","",INDEX($N$3:$CC$1003,$C36,MATCH(G$2,$N$2:$CC$2,0))))</f>
        <v>1539.038291</v>
      </c>
      <c r="E36" s="603" t="str">
        <f t="shared" si="71"/>
        <v/>
      </c>
      <c r="F36" s="603" t="str">
        <f t="shared" si="71"/>
        <v/>
      </c>
      <c r="G36" s="617">
        <f t="shared" si="5"/>
        <v>1539.038291</v>
      </c>
      <c r="H36" s="618" t="str">
        <f t="shared" ref="H36:I36" si="72">IF(H$2="","", IF(E36="",IF($K$16="Use global average",E$276,IF($K$16="Use regional average",INDEX(E$280:E$296,MATCH($B36,$B$280:$B$296,0)),IF($K$16="Leave blank","",IF($K$16="Fill with zeros", 0,IF($K$16="Use global median",E$277,"Fill out I16"))))), E36))</f>
        <v/>
      </c>
      <c r="I36" s="618" t="str">
        <f t="shared" si="72"/>
        <v/>
      </c>
      <c r="J36" s="159"/>
      <c r="L36" s="159" t="str">
        <f>IF(M36="","",IF(COUNTIF(Countries!$B$1:$H$271,M36)&gt;0,"",IF(COUNTIF(Countries!$M$1:$S$271,M36)&gt;0,"Not a country","ERROR – NOT LISTED. Add alt spelling to ''Countries'' tab")))</f>
        <v/>
      </c>
      <c r="M36" s="606" t="s">
        <v>731</v>
      </c>
      <c r="N36" s="624">
        <v>6.7278094</v>
      </c>
      <c r="O36" s="621">
        <f t="shared" si="12"/>
        <v>3143.232552</v>
      </c>
      <c r="P36" s="192">
        <v>0.49143394</v>
      </c>
      <c r="Q36" s="622">
        <v>0.1244</v>
      </c>
      <c r="R36" s="621">
        <f t="shared" si="7"/>
        <v>7304.754314</v>
      </c>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159"/>
      <c r="AV36" s="159"/>
      <c r="AW36" s="159"/>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159"/>
      <c r="BT36" s="159"/>
      <c r="BU36" s="159"/>
      <c r="BV36" s="159"/>
      <c r="BW36" s="159"/>
      <c r="BX36" s="159"/>
      <c r="BY36" s="159"/>
      <c r="BZ36" s="159"/>
      <c r="CA36" s="159"/>
      <c r="CB36" s="159"/>
      <c r="CC36" s="159"/>
    </row>
    <row r="37">
      <c r="A37" s="613" t="str">
        <f>Countries!B36</f>
        <v>Chile</v>
      </c>
      <c r="B37" s="614" t="str">
        <f>Countries!I36</f>
        <v>Latin America</v>
      </c>
      <c r="C37" s="615">
        <f>IFERROR(IFERROR(IFERROR(IFERROR(IFERROR(IFERROR(IFERROR(MATCH(Countries!$B36,$M$3:$M$1003,0),MATCH(Countries!$C36,$M$3:$M$1003,0)),MATCH(Countries!$D36,$M$3:$M$1003,0)),MATCH(Countries!$E36,$M$3:$M$1003,0)),MATCH(Countries!$F36,$M$3:$M$1003,0)),MATCH(Countries!$G36,$M$3:$M$1003,0)),MATCH(Countries!$H36,$M$3:$M$1003,0)),"X")</f>
        <v>37</v>
      </c>
      <c r="D37" s="616">
        <f t="shared" ref="D37:F37" si="73">IF(G$2="","",IF($C37="X","",INDEX($N$3:$CC$1003,$C37,MATCH(G$2,$N$2:$CC$2,0))))</f>
        <v>22587.33328</v>
      </c>
      <c r="E37" s="603" t="str">
        <f t="shared" si="73"/>
        <v/>
      </c>
      <c r="F37" s="603" t="str">
        <f t="shared" si="73"/>
        <v/>
      </c>
      <c r="G37" s="617">
        <f t="shared" si="5"/>
        <v>22587.33328</v>
      </c>
      <c r="H37" s="618" t="str">
        <f t="shared" ref="H37:I37" si="74">IF(H$2="","", IF(E37="",IF($K$16="Use global average",E$276,IF($K$16="Use regional average",INDEX(E$280:E$296,MATCH($B37,$B$280:$B$296,0)),IF($K$16="Leave blank","",IF($K$16="Fill with zeros", 0,IF($K$16="Use global median",E$277,"Fill out I16"))))), E37))</f>
        <v/>
      </c>
      <c r="I37" s="618" t="str">
        <f t="shared" si="74"/>
        <v/>
      </c>
      <c r="J37" s="159"/>
      <c r="L37" s="159" t="str">
        <f>IF(M37="","",IF(COUNTIF(Countries!$B$1:$H$271,M37)&gt;0,"",IF(COUNTIF(Countries!$M$1:$S$271,M37)&gt;0,"Not a country","ERROR – NOT LISTED. Add alt spelling to ''Countries'' tab")))</f>
        <v/>
      </c>
      <c r="M37" s="606" t="s">
        <v>732</v>
      </c>
      <c r="N37" s="624">
        <v>1.5665926</v>
      </c>
      <c r="O37" s="621">
        <f t="shared" si="12"/>
        <v>731.9120627</v>
      </c>
      <c r="P37" s="192">
        <v>1.0517741</v>
      </c>
      <c r="Q37" s="622">
        <v>0.06341000000000001</v>
      </c>
      <c r="R37" s="621">
        <f t="shared" si="7"/>
        <v>742.9967538</v>
      </c>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59"/>
      <c r="BI37" s="159"/>
      <c r="BJ37" s="159"/>
      <c r="BK37" s="159"/>
      <c r="BL37" s="159"/>
      <c r="BM37" s="159"/>
      <c r="BN37" s="159"/>
      <c r="BO37" s="159"/>
      <c r="BP37" s="159"/>
      <c r="BQ37" s="159"/>
      <c r="BR37" s="159"/>
      <c r="BS37" s="159"/>
      <c r="BT37" s="159"/>
      <c r="BU37" s="159"/>
      <c r="BV37" s="159"/>
      <c r="BW37" s="159"/>
      <c r="BX37" s="159"/>
      <c r="BY37" s="159"/>
      <c r="BZ37" s="159"/>
      <c r="CA37" s="159"/>
      <c r="CB37" s="159"/>
      <c r="CC37" s="159"/>
    </row>
    <row r="38">
      <c r="A38" s="613" t="str">
        <f>Countries!B37</f>
        <v>China</v>
      </c>
      <c r="B38" s="614" t="str">
        <f>Countries!I37</f>
        <v>East Asia</v>
      </c>
      <c r="C38" s="615">
        <f>IFERROR(IFERROR(IFERROR(IFERROR(IFERROR(IFERROR(IFERROR(MATCH(Countries!$B37,$M$3:$M$1003,0),MATCH(Countries!$C37,$M$3:$M$1003,0)),MATCH(Countries!$D37,$M$3:$M$1003,0)),MATCH(Countries!$E37,$M$3:$M$1003,0)),MATCH(Countries!$F37,$M$3:$M$1003,0)),MATCH(Countries!$G37,$M$3:$M$1003,0)),MATCH(Countries!$H37,$M$3:$M$1003,0)),"X")</f>
        <v>38</v>
      </c>
      <c r="D38" s="616">
        <f t="shared" ref="D38:F38" si="75">IF(G$2="","",IF($C38="X","",INDEX($N$3:$CC$1003,$C38,MATCH(G$2,$N$2:$CC$2,0))))</f>
        <v>11426.32947</v>
      </c>
      <c r="E38" s="603" t="str">
        <f t="shared" si="75"/>
        <v/>
      </c>
      <c r="F38" s="603" t="str">
        <f t="shared" si="75"/>
        <v/>
      </c>
      <c r="G38" s="617">
        <f t="shared" si="5"/>
        <v>11426.32947</v>
      </c>
      <c r="H38" s="618" t="str">
        <f t="shared" ref="H38:I38" si="76">IF(H$2="","", IF(E38="",IF($K$16="Use global average",E$276,IF($K$16="Use regional average",INDEX(E$280:E$296,MATCH($B38,$B$280:$B$296,0)),IF($K$16="Leave blank","",IF($K$16="Fill with zeros", 0,IF($K$16="Use global median",E$277,"Fill out I16"))))), E38))</f>
        <v/>
      </c>
      <c r="I38" s="618" t="str">
        <f t="shared" si="76"/>
        <v/>
      </c>
      <c r="J38" s="159"/>
      <c r="L38" s="159" t="str">
        <f>IF(M38="","",IF(COUNTIF(Countries!$B$1:$H$271,M38)&gt;0,"",IF(COUNTIF(Countries!$M$1:$S$271,M38)&gt;0,"Not a country","ERROR – NOT LISTED. Add alt spelling to ''Countries'' tab")))</f>
        <v/>
      </c>
      <c r="M38" s="606" t="s">
        <v>733</v>
      </c>
      <c r="N38" s="624">
        <v>3.106669</v>
      </c>
      <c r="O38" s="621">
        <f t="shared" si="12"/>
        <v>1451.435757</v>
      </c>
      <c r="P38" s="192">
        <v>0.95356895</v>
      </c>
      <c r="Q38" s="622">
        <v>0.011000000000000001</v>
      </c>
      <c r="R38" s="621">
        <f t="shared" si="7"/>
        <v>1539.038291</v>
      </c>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59"/>
      <c r="BK38" s="159"/>
      <c r="BL38" s="159"/>
      <c r="BM38" s="159"/>
      <c r="BN38" s="159"/>
      <c r="BO38" s="159"/>
      <c r="BP38" s="159"/>
      <c r="BQ38" s="159"/>
      <c r="BR38" s="159"/>
      <c r="BS38" s="159"/>
      <c r="BT38" s="159"/>
      <c r="BU38" s="159"/>
      <c r="BV38" s="159"/>
      <c r="BW38" s="159"/>
      <c r="BX38" s="159"/>
      <c r="BY38" s="159"/>
      <c r="BZ38" s="159"/>
      <c r="CA38" s="159"/>
      <c r="CB38" s="159"/>
      <c r="CC38" s="159"/>
    </row>
    <row r="39">
      <c r="A39" s="613" t="str">
        <f>Countries!B38</f>
        <v>Colombia</v>
      </c>
      <c r="B39" s="614" t="str">
        <f>Countries!I38</f>
        <v>Latin America</v>
      </c>
      <c r="C39" s="615">
        <f>IFERROR(IFERROR(IFERROR(IFERROR(IFERROR(IFERROR(IFERROR(MATCH(Countries!$B38,$M$3:$M$1003,0),MATCH(Countries!$C38,$M$3:$M$1003,0)),MATCH(Countries!$D38,$M$3:$M$1003,0)),MATCH(Countries!$E38,$M$3:$M$1003,0)),MATCH(Countries!$F38,$M$3:$M$1003,0)),MATCH(Countries!$G38,$M$3:$M$1003,0)),MATCH(Countries!$H38,$M$3:$M$1003,0)),"X")</f>
        <v>39</v>
      </c>
      <c r="D39" s="616">
        <f t="shared" ref="D39:F39" si="77">IF(G$2="","",IF($C39="X","",INDEX($N$3:$CC$1003,$C39,MATCH(G$2,$N$2:$CC$2,0))))</f>
        <v>11818.44794</v>
      </c>
      <c r="E39" s="603" t="str">
        <f t="shared" si="77"/>
        <v/>
      </c>
      <c r="F39" s="603" t="str">
        <f t="shared" si="77"/>
        <v/>
      </c>
      <c r="G39" s="617">
        <f t="shared" si="5"/>
        <v>11818.44794</v>
      </c>
      <c r="H39" s="618" t="str">
        <f t="shared" ref="H39:I39" si="78">IF(H$2="","", IF(E39="",IF($K$16="Use global average",E$276,IF($K$16="Use regional average",INDEX(E$280:E$296,MATCH($B39,$B$280:$B$296,0)),IF($K$16="Leave blank","",IF($K$16="Fill with zeros", 0,IF($K$16="Use global median",E$277,"Fill out I16"))))), E39))</f>
        <v/>
      </c>
      <c r="I39" s="618" t="str">
        <f t="shared" si="78"/>
        <v/>
      </c>
      <c r="J39" s="159"/>
      <c r="L39" s="159" t="str">
        <f>IF(M39="","",IF(COUNTIF(Countries!$B$1:$H$271,M39)&gt;0,"",IF(COUNTIF(Countries!$M$1:$S$271,M39)&gt;0,"Not a country","ERROR – NOT LISTED. Add alt spelling to ''Countries'' tab")))</f>
        <v/>
      </c>
      <c r="M39" s="606" t="s">
        <v>734</v>
      </c>
      <c r="N39" s="624">
        <v>19.984573</v>
      </c>
      <c r="O39" s="621">
        <f t="shared" si="12"/>
        <v>9336.792506</v>
      </c>
      <c r="P39" s="192">
        <v>0.45053307</v>
      </c>
      <c r="Q39" s="622">
        <v>0.0825</v>
      </c>
      <c r="R39" s="621">
        <f t="shared" si="7"/>
        <v>22587.33328</v>
      </c>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S39" s="159"/>
      <c r="BT39" s="159"/>
      <c r="BU39" s="159"/>
      <c r="BV39" s="159"/>
      <c r="BW39" s="159"/>
      <c r="BX39" s="159"/>
      <c r="BY39" s="159"/>
      <c r="BZ39" s="159"/>
      <c r="CA39" s="159"/>
      <c r="CB39" s="159"/>
      <c r="CC39" s="159"/>
    </row>
    <row r="40">
      <c r="A40" s="613" t="str">
        <f>Countries!B39</f>
        <v>Comoros</v>
      </c>
      <c r="B40" s="614" t="str">
        <f>Countries!I39</f>
        <v>Sub-Saharan Africa</v>
      </c>
      <c r="C40" s="615">
        <f>IFERROR(IFERROR(IFERROR(IFERROR(IFERROR(IFERROR(IFERROR(MATCH(Countries!$B39,$M$3:$M$1003,0),MATCH(Countries!$C39,$M$3:$M$1003,0)),MATCH(Countries!$D39,$M$3:$M$1003,0)),MATCH(Countries!$E39,$M$3:$M$1003,0)),MATCH(Countries!$F39,$M$3:$M$1003,0)),MATCH(Countries!$G39,$M$3:$M$1003,0)),MATCH(Countries!$H39,$M$3:$M$1003,0)),"X")</f>
        <v>40</v>
      </c>
      <c r="D40" s="616">
        <f t="shared" ref="D40:F40" si="79">IF(G$2="","",IF($C40="X","",INDEX($N$3:$CC$1003,$C40,MATCH(G$2,$N$2:$CC$2,0))))</f>
        <v>3020.023007</v>
      </c>
      <c r="E40" s="603" t="str">
        <f t="shared" si="79"/>
        <v/>
      </c>
      <c r="F40" s="603" t="str">
        <f t="shared" si="79"/>
        <v/>
      </c>
      <c r="G40" s="617">
        <f t="shared" si="5"/>
        <v>3020.023007</v>
      </c>
      <c r="H40" s="618" t="str">
        <f t="shared" ref="H40:I40" si="80">IF(H$2="","", IF(E40="",IF($K$16="Use global average",E$276,IF($K$16="Use regional average",INDEX(E$280:E$296,MATCH($B40,$B$280:$B$296,0)),IF($K$16="Leave blank","",IF($K$16="Fill with zeros", 0,IF($K$16="Use global median",E$277,"Fill out I16"))))), E40))</f>
        <v/>
      </c>
      <c r="I40" s="618" t="str">
        <f t="shared" si="80"/>
        <v/>
      </c>
      <c r="J40" s="159"/>
      <c r="L40" s="159" t="str">
        <f>IF(M40="","",IF(COUNTIF(Countries!$B$1:$H$271,M40)&gt;0,"",IF(COUNTIF(Countries!$M$1:$S$271,M40)&gt;0,"Not a country","ERROR – NOT LISTED. Add alt spelling to ''Countries'' tab")))</f>
        <v/>
      </c>
      <c r="M40" s="606" t="s">
        <v>735</v>
      </c>
      <c r="N40" s="624">
        <v>10.393845</v>
      </c>
      <c r="O40" s="621">
        <f t="shared" si="12"/>
        <v>4856.004384</v>
      </c>
      <c r="P40" s="192">
        <v>0.44725716</v>
      </c>
      <c r="Q40" s="622">
        <v>0.049800000000000004</v>
      </c>
      <c r="R40" s="621">
        <f t="shared" si="7"/>
        <v>11426.32947</v>
      </c>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59"/>
      <c r="AT40" s="159"/>
      <c r="AU40" s="159"/>
      <c r="AV40" s="159"/>
      <c r="AW40" s="159"/>
      <c r="AX40" s="159"/>
      <c r="AY40" s="159"/>
      <c r="AZ40" s="159"/>
      <c r="BA40" s="159"/>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row>
    <row r="41">
      <c r="A41" s="613" t="str">
        <f>Countries!B40</f>
        <v>Congo</v>
      </c>
      <c r="B41" s="614" t="str">
        <f>Countries!I40</f>
        <v>Sub-Saharan Africa</v>
      </c>
      <c r="C41" s="615">
        <f>IFERROR(IFERROR(IFERROR(IFERROR(IFERROR(IFERROR(IFERROR(MATCH(Countries!$B40,$M$3:$M$1003,0),MATCH(Countries!$C40,$M$3:$M$1003,0)),MATCH(Countries!$D40,$M$3:$M$1003,0)),MATCH(Countries!$E40,$M$3:$M$1003,0)),MATCH(Countries!$F40,$M$3:$M$1003,0)),MATCH(Countries!$G40,$M$3:$M$1003,0)),MATCH(Countries!$H40,$M$3:$M$1003,0)),"X")</f>
        <v>41</v>
      </c>
      <c r="D41" s="616">
        <f t="shared" ref="D41:F41" si="81">IF(G$2="","",IF($C41="X","",INDEX($N$3:$CC$1003,$C41,MATCH(G$2,$N$2:$CC$2,0))))</f>
        <v>2246.853646</v>
      </c>
      <c r="E41" s="603" t="str">
        <f t="shared" si="81"/>
        <v/>
      </c>
      <c r="F41" s="603" t="str">
        <f t="shared" si="81"/>
        <v/>
      </c>
      <c r="G41" s="617">
        <f t="shared" si="5"/>
        <v>2246.853646</v>
      </c>
      <c r="H41" s="618" t="str">
        <f t="shared" ref="H41:I41" si="82">IF(H$2="","", IF(E41="",IF($K$16="Use global average",E$276,IF($K$16="Use regional average",INDEX(E$280:E$296,MATCH($B41,$B$280:$B$296,0)),IF($K$16="Leave blank","",IF($K$16="Fill with zeros", 0,IF($K$16="Use global median",E$277,"Fill out I16"))))), E41))</f>
        <v/>
      </c>
      <c r="I41" s="618" t="str">
        <f t="shared" si="82"/>
        <v/>
      </c>
      <c r="J41" s="159"/>
      <c r="L41" s="159" t="str">
        <f>IF(M41="","",IF(COUNTIF(Countries!$B$1:$H$271,M41)&gt;0,"",IF(COUNTIF(Countries!$M$1:$S$271,M41)&gt;0,"Not a country","ERROR – NOT LISTED. Add alt spelling to ''Countries'' tab")))</f>
        <v/>
      </c>
      <c r="M41" s="606" t="s">
        <v>454</v>
      </c>
      <c r="N41" s="624">
        <v>9.6840725</v>
      </c>
      <c r="O41" s="621">
        <f t="shared" si="12"/>
        <v>4524.398672</v>
      </c>
      <c r="P41" s="192">
        <v>0.42797665</v>
      </c>
      <c r="Q41" s="622">
        <v>0.10550000000000001</v>
      </c>
      <c r="R41" s="621">
        <f t="shared" si="7"/>
        <v>11818.44794</v>
      </c>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159"/>
      <c r="AV41" s="159"/>
      <c r="AW41" s="159"/>
      <c r="AX41" s="159"/>
      <c r="AY41" s="159"/>
      <c r="AZ41" s="159"/>
      <c r="BA41" s="159"/>
      <c r="BB41" s="159"/>
      <c r="BC41" s="159"/>
      <c r="BD41" s="159"/>
      <c r="BE41" s="159"/>
      <c r="BF41" s="159"/>
      <c r="BG41" s="159"/>
      <c r="BH41" s="159"/>
      <c r="BI41" s="159"/>
      <c r="BJ41" s="159"/>
      <c r="BK41" s="159"/>
      <c r="BL41" s="159"/>
      <c r="BM41" s="159"/>
      <c r="BN41" s="159"/>
      <c r="BO41" s="159"/>
      <c r="BP41" s="159"/>
      <c r="BQ41" s="159"/>
      <c r="BR41" s="159"/>
      <c r="BS41" s="159"/>
      <c r="BT41" s="159"/>
      <c r="BU41" s="159"/>
      <c r="BV41" s="159"/>
      <c r="BW41" s="159"/>
      <c r="BX41" s="159"/>
      <c r="BY41" s="159"/>
      <c r="BZ41" s="159"/>
      <c r="CA41" s="159"/>
      <c r="CB41" s="159"/>
      <c r="CC41" s="159"/>
    </row>
    <row r="42">
      <c r="A42" s="613" t="str">
        <f>Countries!B41</f>
        <v>Cook Islands</v>
      </c>
      <c r="B42" s="614" t="str">
        <f>Countries!I41</f>
        <v>Oceania</v>
      </c>
      <c r="C42" s="615">
        <f>IFERROR(IFERROR(IFERROR(IFERROR(IFERROR(IFERROR(IFERROR(MATCH(Countries!$B41,$M$3:$M$1003,0),MATCH(Countries!$C41,$M$3:$M$1003,0)),MATCH(Countries!$D41,$M$3:$M$1003,0)),MATCH(Countries!$E41,$M$3:$M$1003,0)),MATCH(Countries!$F41,$M$3:$M$1003,0)),MATCH(Countries!$G41,$M$3:$M$1003,0)),MATCH(Countries!$H41,$M$3:$M$1003,0)),"X")</f>
        <v>42</v>
      </c>
      <c r="D42" s="627" t="str">
        <f t="shared" ref="D42:F42" si="83">IF(G$2="","",IF($C42="X","",INDEX($N$3:$CC$1003,$C42,MATCH(G$2,$N$2:$CC$2,0))))</f>
        <v/>
      </c>
      <c r="E42" s="603" t="str">
        <f t="shared" si="83"/>
        <v/>
      </c>
      <c r="F42" s="603" t="str">
        <f t="shared" si="83"/>
        <v/>
      </c>
      <c r="G42" s="628">
        <f t="shared" si="5"/>
        <v>4193.580108</v>
      </c>
      <c r="H42" s="618" t="str">
        <f t="shared" ref="H42:I42" si="84">IF(H$2="","", IF(E42="",IF($K$16="Use global average",E$276,IF($K$16="Use regional average",INDEX(E$280:E$296,MATCH($B42,$B$280:$B$296,0)),IF($K$16="Leave blank","",IF($K$16="Fill with zeros", 0,IF($K$16="Use global median",E$277,"Fill out I16"))))), E42))</f>
        <v/>
      </c>
      <c r="I42" s="618" t="str">
        <f t="shared" si="84"/>
        <v/>
      </c>
      <c r="J42" s="159"/>
      <c r="L42" s="159" t="str">
        <f>IF(M42="","",IF(COUNTIF(Countries!$B$1:$H$271,M42)&gt;0,"",IF(COUNTIF(Countries!$M$1:$S$271,M42)&gt;0,"Not a country","ERROR – NOT LISTED. Add alt spelling to ''Countries'' tab")))</f>
        <v/>
      </c>
      <c r="M42" s="606" t="s">
        <v>736</v>
      </c>
      <c r="N42" s="624">
        <v>4.389313</v>
      </c>
      <c r="O42" s="621">
        <f t="shared" si="12"/>
        <v>2050.687034</v>
      </c>
      <c r="P42" s="192">
        <v>0.7204183000000001</v>
      </c>
      <c r="Q42" s="622">
        <v>0.05745</v>
      </c>
      <c r="R42" s="621">
        <f t="shared" si="7"/>
        <v>3020.023007</v>
      </c>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59"/>
    </row>
    <row r="43">
      <c r="A43" s="613" t="str">
        <f>Countries!B42</f>
        <v>Costa Rica</v>
      </c>
      <c r="B43" s="614" t="str">
        <f>Countries!I42</f>
        <v>Latin America</v>
      </c>
      <c r="C43" s="615">
        <f>IFERROR(IFERROR(IFERROR(IFERROR(IFERROR(IFERROR(IFERROR(MATCH(Countries!$B42,$M$3:$M$1003,0),MATCH(Countries!$C42,$M$3:$M$1003,0)),MATCH(Countries!$D42,$M$3:$M$1003,0)),MATCH(Countries!$E42,$M$3:$M$1003,0)),MATCH(Countries!$F42,$M$3:$M$1003,0)),MATCH(Countries!$G42,$M$3:$M$1003,0)),MATCH(Countries!$H42,$M$3:$M$1003,0)),"X")</f>
        <v>43</v>
      </c>
      <c r="D43" s="616">
        <f t="shared" ref="D43:F43" si="85">IF(G$2="","",IF($C43="X","",INDEX($N$3:$CC$1003,$C43,MATCH(G$2,$N$2:$CC$2,0))))</f>
        <v>18562.65055</v>
      </c>
      <c r="E43" s="603" t="str">
        <f t="shared" si="85"/>
        <v/>
      </c>
      <c r="F43" s="603" t="str">
        <f t="shared" si="85"/>
        <v/>
      </c>
      <c r="G43" s="617">
        <f t="shared" si="5"/>
        <v>18562.65055</v>
      </c>
      <c r="H43" s="618" t="str">
        <f t="shared" ref="H43:I43" si="86">IF(H$2="","", IF(E43="",IF($K$16="Use global average",E$276,IF($K$16="Use regional average",INDEX(E$280:E$296,MATCH($B43,$B$280:$B$296,0)),IF($K$16="Leave blank","",IF($K$16="Fill with zeros", 0,IF($K$16="Use global median",E$277,"Fill out I16"))))), E43))</f>
        <v/>
      </c>
      <c r="I43" s="618" t="str">
        <f t="shared" si="86"/>
        <v/>
      </c>
      <c r="J43" s="159"/>
      <c r="L43" s="159" t="str">
        <f>IF(M43="","",IF(COUNTIF(Countries!$B$1:$H$271,M43)&gt;0,"",IF(COUNTIF(Countries!$M$1:$S$271,M43)&gt;0,"Not a country","ERROR – NOT LISTED. Add alt spelling to ''Countries'' tab")))</f>
        <v/>
      </c>
      <c r="M43" s="606" t="s">
        <v>737</v>
      </c>
      <c r="N43" s="624">
        <v>2.9803798</v>
      </c>
      <c r="O43" s="621">
        <f t="shared" si="12"/>
        <v>1392.433443</v>
      </c>
      <c r="P43" s="192">
        <v>0.7793040000000001</v>
      </c>
      <c r="Q43" s="622">
        <v>0.20477</v>
      </c>
      <c r="R43" s="621">
        <f t="shared" si="7"/>
        <v>2246.853646</v>
      </c>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row>
    <row r="44">
      <c r="A44" s="613" t="str">
        <f>Countries!B43</f>
        <v>Côte d'Ivoire</v>
      </c>
      <c r="B44" s="614" t="str">
        <f>Countries!I43</f>
        <v>Sub-Saharan Africa</v>
      </c>
      <c r="C44" s="615">
        <f>IFERROR(IFERROR(IFERROR(IFERROR(IFERROR(IFERROR(IFERROR(MATCH(Countries!$B43,$M$3:$M$1003,0),MATCH(Countries!$C43,$M$3:$M$1003,0)),MATCH(Countries!$D43,$M$3:$M$1003,0)),MATCH(Countries!$E43,$M$3:$M$1003,0)),MATCH(Countries!$F43,$M$3:$M$1003,0)),MATCH(Countries!$G43,$M$3:$M$1003,0)),MATCH(Countries!$H43,$M$3:$M$1003,0)),"X")</f>
        <v>44</v>
      </c>
      <c r="D44" s="616">
        <f t="shared" ref="D44:F44" si="87">IF(G$2="","",IF($C44="X","",INDEX($N$3:$CC$1003,$C44,MATCH(G$2,$N$2:$CC$2,0))))</f>
        <v>2661.219518</v>
      </c>
      <c r="E44" s="603" t="str">
        <f t="shared" si="87"/>
        <v/>
      </c>
      <c r="F44" s="603" t="str">
        <f t="shared" si="87"/>
        <v/>
      </c>
      <c r="G44" s="617">
        <f t="shared" si="5"/>
        <v>2661.219518</v>
      </c>
      <c r="H44" s="618" t="str">
        <f t="shared" ref="H44:I44" si="88">IF(H$2="","", IF(E44="",IF($K$16="Use global average",E$276,IF($K$16="Use regional average",INDEX(E$280:E$296,MATCH($B44,$B$280:$B$296,0)),IF($K$16="Leave blank","",IF($K$16="Fill with zeros", 0,IF($K$16="Use global median",E$277,"Fill out I16"))))), E44))</f>
        <v/>
      </c>
      <c r="I44" s="618" t="str">
        <f t="shared" si="88"/>
        <v/>
      </c>
      <c r="J44" s="159"/>
      <c r="K44" s="159"/>
      <c r="L44" s="159" t="str">
        <f>IF(M44="","",IF(COUNTIF(Countries!$B$1:$H$271,M44)&gt;0,"",IF(COUNTIF(Countries!$M$1:$S$271,M44)&gt;0,"Not a country","ERROR – NOT LISTED. Add alt spelling to ''Countries'' tab")))</f>
        <v/>
      </c>
      <c r="M44" s="606" t="s">
        <v>738</v>
      </c>
      <c r="N44" s="620" t="s">
        <v>694</v>
      </c>
      <c r="O44" s="630" t="str">
        <f t="shared" si="12"/>
        <v>#VALUE!</v>
      </c>
      <c r="P44" s="192">
        <v>0.6057497000000001</v>
      </c>
      <c r="Q44" s="631" t="e">
        <v>#VALUE!</v>
      </c>
      <c r="R44" s="625" t="str">
        <f t="shared" si="7"/>
        <v/>
      </c>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159"/>
      <c r="AV44" s="159"/>
      <c r="AW44" s="159"/>
      <c r="AX44" s="159"/>
      <c r="AY44" s="159"/>
      <c r="AZ44" s="159"/>
      <c r="BA44" s="159"/>
      <c r="BB44" s="159"/>
      <c r="BC44" s="159"/>
      <c r="BD44" s="159"/>
      <c r="BE44" s="159"/>
      <c r="BF44" s="159"/>
      <c r="BG44" s="159"/>
      <c r="BH44" s="159"/>
      <c r="BI44" s="159"/>
      <c r="BJ44" s="159"/>
      <c r="BK44" s="159"/>
      <c r="BL44" s="159"/>
      <c r="BM44" s="159"/>
      <c r="BN44" s="159"/>
      <c r="BO44" s="159"/>
      <c r="BP44" s="159"/>
      <c r="BQ44" s="159"/>
      <c r="BR44" s="159"/>
      <c r="BS44" s="159"/>
      <c r="BT44" s="159"/>
      <c r="BU44" s="159"/>
      <c r="BV44" s="159"/>
      <c r="BW44" s="159"/>
      <c r="BX44" s="159"/>
      <c r="BY44" s="159"/>
      <c r="BZ44" s="159"/>
      <c r="CA44" s="159"/>
      <c r="CB44" s="159"/>
      <c r="CC44" s="159"/>
    </row>
    <row r="45">
      <c r="A45" s="613" t="str">
        <f>Countries!B44</f>
        <v>Croatia</v>
      </c>
      <c r="B45" s="614" t="str">
        <f>Countries!I44</f>
        <v>Europe</v>
      </c>
      <c r="C45" s="615">
        <f>IFERROR(IFERROR(IFERROR(IFERROR(IFERROR(IFERROR(IFERROR(MATCH(Countries!$B44,$M$3:$M$1003,0),MATCH(Countries!$C44,$M$3:$M$1003,0)),MATCH(Countries!$D44,$M$3:$M$1003,0)),MATCH(Countries!$E44,$M$3:$M$1003,0)),MATCH(Countries!$F44,$M$3:$M$1003,0)),MATCH(Countries!$G44,$M$3:$M$1003,0)),MATCH(Countries!$H44,$M$3:$M$1003,0)),"X")</f>
        <v>45</v>
      </c>
      <c r="D45" s="616">
        <f t="shared" ref="D45:F45" si="89">IF(G$2="","",IF($C45="X","",INDEX($N$3:$CC$1003,$C45,MATCH(G$2,$N$2:$CC$2,0))))</f>
        <v>24645.27528</v>
      </c>
      <c r="E45" s="603" t="str">
        <f t="shared" si="89"/>
        <v/>
      </c>
      <c r="F45" s="603" t="str">
        <f t="shared" si="89"/>
        <v/>
      </c>
      <c r="G45" s="617">
        <f t="shared" si="5"/>
        <v>24645.27528</v>
      </c>
      <c r="H45" s="618" t="str">
        <f t="shared" ref="H45:I45" si="90">IF(H$2="","", IF(E45="",IF($K$16="Use global average",E$276,IF($K$16="Use regional average",INDEX(E$280:E$296,MATCH($B45,$B$280:$B$296,0)),IF($K$16="Leave blank","",IF($K$16="Fill with zeros", 0,IF($K$16="Use global median",E$277,"Fill out I16"))))), E45))</f>
        <v/>
      </c>
      <c r="I45" s="618" t="str">
        <f t="shared" si="90"/>
        <v/>
      </c>
      <c r="J45" s="159"/>
      <c r="K45" s="159"/>
      <c r="L45" s="159" t="str">
        <f>IF(M45="","",IF(COUNTIF(Countries!$B$1:$H$271,M45)&gt;0,"",IF(COUNTIF(Countries!$M$1:$S$271,M45)&gt;0,"Not a country","ERROR – NOT LISTED. Add alt spelling to ''Countries'' tab")))</f>
        <v/>
      </c>
      <c r="M45" s="606" t="s">
        <v>739</v>
      </c>
      <c r="N45" s="624">
        <v>15.86023</v>
      </c>
      <c r="O45" s="621">
        <f t="shared" si="12"/>
        <v>7409.899456</v>
      </c>
      <c r="P45" s="192">
        <v>0.450139</v>
      </c>
      <c r="Q45" s="622">
        <v>0.11320000000000001</v>
      </c>
      <c r="R45" s="621">
        <f t="shared" si="7"/>
        <v>18562.65055</v>
      </c>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159"/>
      <c r="AV45" s="159"/>
      <c r="AW45" s="159"/>
      <c r="AX45" s="159"/>
      <c r="AY45" s="159"/>
      <c r="AZ45" s="159"/>
      <c r="BA45" s="159"/>
      <c r="BB45" s="159"/>
      <c r="BC45" s="159"/>
      <c r="BD45" s="159"/>
      <c r="BE45" s="159"/>
      <c r="BF45" s="159"/>
      <c r="BG45" s="159"/>
      <c r="BH45" s="159"/>
      <c r="BI45" s="159"/>
      <c r="BJ45" s="159"/>
      <c r="BK45" s="159"/>
      <c r="BL45" s="159"/>
      <c r="BM45" s="159"/>
      <c r="BN45" s="159"/>
      <c r="BO45" s="159"/>
      <c r="BP45" s="159"/>
      <c r="BQ45" s="159"/>
      <c r="BR45" s="159"/>
      <c r="BS45" s="159"/>
      <c r="BT45" s="159"/>
      <c r="BU45" s="159"/>
      <c r="BV45" s="159"/>
      <c r="BW45" s="159"/>
      <c r="BX45" s="159"/>
      <c r="BY45" s="159"/>
      <c r="BZ45" s="159"/>
      <c r="CA45" s="159"/>
      <c r="CB45" s="159"/>
      <c r="CC45" s="159"/>
    </row>
    <row r="46">
      <c r="A46" s="613" t="str">
        <f>Countries!B45</f>
        <v>Cuba</v>
      </c>
      <c r="B46" s="614" t="str">
        <f>Countries!I45</f>
        <v>Caribbean</v>
      </c>
      <c r="C46" s="615">
        <f>IFERROR(IFERROR(IFERROR(IFERROR(IFERROR(IFERROR(IFERROR(MATCH(Countries!$B45,$M$3:$M$1003,0),MATCH(Countries!$C45,$M$3:$M$1003,0)),MATCH(Countries!$D45,$M$3:$M$1003,0)),MATCH(Countries!$E45,$M$3:$M$1003,0)),MATCH(Countries!$F45,$M$3:$M$1003,0)),MATCH(Countries!$G45,$M$3:$M$1003,0)),MATCH(Countries!$H45,$M$3:$M$1003,0)),"X")</f>
        <v>46</v>
      </c>
      <c r="D46" s="627" t="str">
        <f t="shared" ref="D46:F46" si="91">IF(G$2="","",IF($C46="X","",INDEX($N$3:$CC$1003,$C46,MATCH(G$2,$N$2:$CC$2,0))))</f>
        <v/>
      </c>
      <c r="E46" s="603" t="str">
        <f t="shared" si="91"/>
        <v/>
      </c>
      <c r="F46" s="603" t="str">
        <f t="shared" si="91"/>
        <v/>
      </c>
      <c r="G46" s="628">
        <f t="shared" si="5"/>
        <v>12713.17965</v>
      </c>
      <c r="H46" s="618" t="str">
        <f t="shared" ref="H46:I46" si="92">IF(H$2="","", IF(E46="",IF($K$16="Use global average",E$276,IF($K$16="Use regional average",INDEX(E$280:E$296,MATCH($B46,$B$280:$B$296,0)),IF($K$16="Leave blank","",IF($K$16="Fill with zeros", 0,IF($K$16="Use global median",E$277,"Fill out I16"))))), E46))</f>
        <v/>
      </c>
      <c r="I46" s="618" t="str">
        <f t="shared" si="92"/>
        <v/>
      </c>
      <c r="J46" s="159"/>
      <c r="K46" s="159"/>
      <c r="L46" s="159" t="str">
        <f>IF(M46="","",IF(COUNTIF(Countries!$B$1:$H$271,M46)&gt;0,"",IF(COUNTIF(Countries!$M$1:$S$271,M46)&gt;0,"Not a country","ERROR – NOT LISTED. Add alt spelling to ''Countries'' tab")))</f>
        <v/>
      </c>
      <c r="M46" s="606" t="s">
        <v>740</v>
      </c>
      <c r="N46" s="624">
        <v>4.336595</v>
      </c>
      <c r="O46" s="621">
        <f t="shared" si="12"/>
        <v>2026.057184</v>
      </c>
      <c r="P46" s="192">
        <v>0.7807597</v>
      </c>
      <c r="Q46" s="622">
        <v>0.02489</v>
      </c>
      <c r="R46" s="621">
        <f t="shared" si="7"/>
        <v>2661.219518</v>
      </c>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59"/>
      <c r="BT46" s="159"/>
      <c r="BU46" s="159"/>
      <c r="BV46" s="159"/>
      <c r="BW46" s="159"/>
      <c r="BX46" s="159"/>
      <c r="BY46" s="159"/>
      <c r="BZ46" s="159"/>
      <c r="CA46" s="159"/>
      <c r="CB46" s="159"/>
      <c r="CC46" s="159"/>
    </row>
    <row r="47">
      <c r="A47" s="613" t="str">
        <f>Countries!B46</f>
        <v>Cyprus</v>
      </c>
      <c r="B47" s="614" t="str">
        <f>Countries!I46</f>
        <v>Europe</v>
      </c>
      <c r="C47" s="615">
        <f>IFERROR(IFERROR(IFERROR(IFERROR(IFERROR(IFERROR(IFERROR(MATCH(Countries!$B46,$M$3:$M$1003,0),MATCH(Countries!$C46,$M$3:$M$1003,0)),MATCH(Countries!$D46,$M$3:$M$1003,0)),MATCH(Countries!$E46,$M$3:$M$1003,0)),MATCH(Countries!$F46,$M$3:$M$1003,0)),MATCH(Countries!$G46,$M$3:$M$1003,0)),MATCH(Countries!$H46,$M$3:$M$1003,0)),"X")</f>
        <v>48</v>
      </c>
      <c r="D47" s="616">
        <f t="shared" ref="D47:F47" si="93">IF(G$2="","",IF($C47="X","",INDEX($N$3:$CC$1003,$C47,MATCH(G$2,$N$2:$CC$2,0))))</f>
        <v>52479.12976</v>
      </c>
      <c r="E47" s="603" t="str">
        <f t="shared" si="93"/>
        <v/>
      </c>
      <c r="F47" s="603" t="str">
        <f t="shared" si="93"/>
        <v/>
      </c>
      <c r="G47" s="617">
        <f t="shared" si="5"/>
        <v>52479.12976</v>
      </c>
      <c r="H47" s="618" t="str">
        <f t="shared" ref="H47:I47" si="94">IF(H$2="","", IF(E47="",IF($K$16="Use global average",E$276,IF($K$16="Use regional average",INDEX(E$280:E$296,MATCH($B47,$B$280:$B$296,0)),IF($K$16="Leave blank","",IF($K$16="Fill with zeros", 0,IF($K$16="Use global median",E$277,"Fill out I16"))))), E47))</f>
        <v/>
      </c>
      <c r="I47" s="618" t="str">
        <f t="shared" si="94"/>
        <v/>
      </c>
      <c r="J47" s="159"/>
      <c r="K47" s="159"/>
      <c r="L47" s="159" t="str">
        <f>IF(M47="","",IF(COUNTIF(Countries!$B$1:$H$271,M47)&gt;0,"",IF(COUNTIF(Countries!$M$1:$S$271,M47)&gt;0,"Not a country","ERROR – NOT LISTED. Add alt spelling to ''Countries'' tab")))</f>
        <v/>
      </c>
      <c r="M47" s="606" t="s">
        <v>741</v>
      </c>
      <c r="N47" s="624">
        <v>28.754229</v>
      </c>
      <c r="O47" s="621">
        <f t="shared" si="12"/>
        <v>13433.97579</v>
      </c>
      <c r="P47" s="192">
        <v>0.5858699</v>
      </c>
      <c r="Q47" s="622">
        <v>0.0696</v>
      </c>
      <c r="R47" s="621">
        <f t="shared" si="7"/>
        <v>24645.27528</v>
      </c>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159"/>
      <c r="AV47" s="159"/>
      <c r="AW47" s="159"/>
      <c r="AX47" s="159"/>
      <c r="AY47" s="159"/>
      <c r="AZ47" s="159"/>
      <c r="BA47" s="159"/>
      <c r="BB47" s="159"/>
      <c r="BC47" s="159"/>
      <c r="BD47" s="159"/>
      <c r="BE47" s="159"/>
      <c r="BF47" s="159"/>
      <c r="BG47" s="159"/>
      <c r="BH47" s="159"/>
      <c r="BI47" s="159"/>
      <c r="BJ47" s="159"/>
      <c r="BK47" s="159"/>
      <c r="BL47" s="159"/>
      <c r="BM47" s="159"/>
      <c r="BN47" s="159"/>
      <c r="BO47" s="159"/>
      <c r="BP47" s="159"/>
      <c r="BQ47" s="159"/>
      <c r="BR47" s="159"/>
      <c r="BS47" s="159"/>
      <c r="BT47" s="159"/>
      <c r="BU47" s="159"/>
      <c r="BV47" s="159"/>
      <c r="BW47" s="159"/>
      <c r="BX47" s="159"/>
      <c r="BY47" s="159"/>
      <c r="BZ47" s="159"/>
      <c r="CA47" s="159"/>
      <c r="CB47" s="159"/>
      <c r="CC47" s="159"/>
    </row>
    <row r="48">
      <c r="A48" s="613" t="str">
        <f>Countries!B47</f>
        <v>Czechia</v>
      </c>
      <c r="B48" s="614" t="str">
        <f>Countries!I47</f>
        <v>Europe</v>
      </c>
      <c r="C48" s="615">
        <f>IFERROR(IFERROR(IFERROR(IFERROR(IFERROR(IFERROR(IFERROR(MATCH(Countries!$B47,$M$3:$M$1003,0),MATCH(Countries!$C47,$M$3:$M$1003,0)),MATCH(Countries!$D47,$M$3:$M$1003,0)),MATCH(Countries!$E47,$M$3:$M$1003,0)),MATCH(Countries!$F47,$M$3:$M$1003,0)),MATCH(Countries!$G47,$M$3:$M$1003,0)),MATCH(Countries!$H47,$M$3:$M$1003,0)),"X")</f>
        <v>49</v>
      </c>
      <c r="D48" s="616">
        <f t="shared" ref="D48:F48" si="95">IF(G$2="","",IF($C48="X","",INDEX($N$3:$CC$1003,$C48,MATCH(G$2,$N$2:$CC$2,0))))</f>
        <v>30930.22833</v>
      </c>
      <c r="E48" s="603" t="str">
        <f t="shared" si="95"/>
        <v/>
      </c>
      <c r="F48" s="603" t="str">
        <f t="shared" si="95"/>
        <v/>
      </c>
      <c r="G48" s="617">
        <f t="shared" si="5"/>
        <v>30930.22833</v>
      </c>
      <c r="H48" s="618" t="str">
        <f t="shared" ref="H48:I48" si="96">IF(H$2="","", IF(E48="",IF($K$16="Use global average",E$276,IF($K$16="Use regional average",INDEX(E$280:E$296,MATCH($B48,$B$280:$B$296,0)),IF($K$16="Leave blank","",IF($K$16="Fill with zeros", 0,IF($K$16="Use global median",E$277,"Fill out I16"))))), E48))</f>
        <v/>
      </c>
      <c r="I48" s="618" t="str">
        <f t="shared" si="96"/>
        <v/>
      </c>
      <c r="J48" s="159"/>
      <c r="K48" s="159"/>
      <c r="L48" s="159" t="str">
        <f>IF(M48="","",IF(COUNTIF(Countries!$B$1:$H$271,M48)&gt;0,"",IF(COUNTIF(Countries!$M$1:$S$271,M48)&gt;0,"Not a country","ERROR – NOT LISTED. Add alt spelling to ''Countries'' tab")))</f>
        <v/>
      </c>
      <c r="M48" s="606" t="s">
        <v>742</v>
      </c>
      <c r="N48" s="620" t="s">
        <v>694</v>
      </c>
      <c r="O48" s="630" t="str">
        <f t="shared" si="12"/>
        <v>#VALUE!</v>
      </c>
      <c r="P48" s="192">
        <v>0.46398045000000004</v>
      </c>
      <c r="Q48" s="622">
        <v>0.01254</v>
      </c>
      <c r="R48" s="625" t="str">
        <f t="shared" si="7"/>
        <v/>
      </c>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c r="BX48" s="159"/>
      <c r="BY48" s="159"/>
      <c r="BZ48" s="159"/>
      <c r="CA48" s="159"/>
      <c r="CB48" s="159"/>
      <c r="CC48" s="159"/>
    </row>
    <row r="49">
      <c r="A49" s="613" t="str">
        <f>Countries!B48</f>
        <v>Denmark</v>
      </c>
      <c r="B49" s="614" t="str">
        <f>Countries!I48</f>
        <v>Europe</v>
      </c>
      <c r="C49" s="615">
        <f>IFERROR(IFERROR(IFERROR(IFERROR(IFERROR(IFERROR(IFERROR(MATCH(Countries!$B48,$M$3:$M$1003,0),MATCH(Countries!$C48,$M$3:$M$1003,0)),MATCH(Countries!$D48,$M$3:$M$1003,0)),MATCH(Countries!$E48,$M$3:$M$1003,0)),MATCH(Countries!$F48,$M$3:$M$1003,0)),MATCH(Countries!$G48,$M$3:$M$1003,0)),MATCH(Countries!$H48,$M$3:$M$1003,0)),"X")</f>
        <v>51</v>
      </c>
      <c r="D49" s="616">
        <f t="shared" ref="D49:F49" si="97">IF(G$2="","",IF($C49="X","",INDEX($N$3:$CC$1003,$C49,MATCH(G$2,$N$2:$CC$2,0))))</f>
        <v>48649.70581</v>
      </c>
      <c r="E49" s="603" t="str">
        <f t="shared" si="97"/>
        <v/>
      </c>
      <c r="F49" s="603" t="str">
        <f t="shared" si="97"/>
        <v/>
      </c>
      <c r="G49" s="617">
        <f t="shared" si="5"/>
        <v>48649.70581</v>
      </c>
      <c r="H49" s="618" t="str">
        <f t="shared" ref="H49:I49" si="98">IF(H$2="","", IF(E49="",IF($K$16="Use global average",E$276,IF($K$16="Use regional average",INDEX(E$280:E$296,MATCH($B49,$B$280:$B$296,0)),IF($K$16="Leave blank","",IF($K$16="Fill with zeros", 0,IF($K$16="Use global median",E$277,"Fill out I16"))))), E49))</f>
        <v/>
      </c>
      <c r="I49" s="618" t="str">
        <f t="shared" si="98"/>
        <v/>
      </c>
      <c r="J49" s="159"/>
      <c r="K49" s="159"/>
      <c r="L49" s="634" t="str">
        <f>IF(M49="","",IF(COUNTIF(Countries!$B$1:$H$271,M49)&gt;0,"",IF(COUNTIF(Countries!$M$1:$S$271,M49)&gt;0,"Not a country","ERROR – NOT LISTED. Add alt spelling to ''Countries'' tab")))</f>
        <v>Not a country</v>
      </c>
      <c r="M49" s="606" t="s">
        <v>743</v>
      </c>
      <c r="N49" s="620" t="s">
        <v>694</v>
      </c>
      <c r="O49" s="630" t="str">
        <f t="shared" si="12"/>
        <v>#VALUE!</v>
      </c>
      <c r="P49" s="192">
        <v>0.46034683</v>
      </c>
      <c r="Q49" s="631" t="e">
        <v>#VALUE!</v>
      </c>
      <c r="R49" s="625" t="str">
        <f t="shared" si="7"/>
        <v/>
      </c>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59"/>
      <c r="AP49" s="159"/>
      <c r="AQ49" s="159"/>
      <c r="AR49" s="159"/>
      <c r="AS49" s="159"/>
      <c r="AT49" s="159"/>
      <c r="AU49" s="159"/>
      <c r="AV49" s="159"/>
      <c r="AW49" s="159"/>
      <c r="AX49" s="159"/>
      <c r="AY49" s="159"/>
      <c r="AZ49" s="159"/>
      <c r="BA49" s="159"/>
      <c r="BB49" s="159"/>
      <c r="BC49" s="159"/>
      <c r="BD49" s="159"/>
      <c r="BE49" s="159"/>
      <c r="BF49" s="159"/>
      <c r="BG49" s="159"/>
      <c r="BH49" s="159"/>
      <c r="BI49" s="159"/>
      <c r="BJ49" s="159"/>
      <c r="BK49" s="159"/>
      <c r="BL49" s="159"/>
      <c r="BM49" s="159"/>
      <c r="BN49" s="159"/>
      <c r="BO49" s="159"/>
      <c r="BP49" s="159"/>
      <c r="BQ49" s="159"/>
      <c r="BR49" s="159"/>
      <c r="BS49" s="159"/>
      <c r="BT49" s="159"/>
      <c r="BU49" s="159"/>
      <c r="BV49" s="159"/>
      <c r="BW49" s="159"/>
      <c r="BX49" s="159"/>
      <c r="BY49" s="159"/>
      <c r="BZ49" s="159"/>
      <c r="CA49" s="159"/>
      <c r="CB49" s="159"/>
      <c r="CC49" s="159"/>
    </row>
    <row r="50">
      <c r="A50" s="613" t="str">
        <f>Countries!B49</f>
        <v>Djibouti</v>
      </c>
      <c r="B50" s="614" t="str">
        <f>Countries!I49</f>
        <v>Sub-Saharan Africa</v>
      </c>
      <c r="C50" s="615">
        <f>IFERROR(IFERROR(IFERROR(IFERROR(IFERROR(IFERROR(IFERROR(MATCH(Countries!$B49,$M$3:$M$1003,0),MATCH(Countries!$C49,$M$3:$M$1003,0)),MATCH(Countries!$D49,$M$3:$M$1003,0)),MATCH(Countries!$E49,$M$3:$M$1003,0)),MATCH(Countries!$F49,$M$3:$M$1003,0)),MATCH(Countries!$G49,$M$3:$M$1003,0)),MATCH(Countries!$H49,$M$3:$M$1003,0)),"X")</f>
        <v>52</v>
      </c>
      <c r="D50" s="616">
        <f t="shared" ref="D50:F50" si="99">IF(G$2="","",IF($C50="X","",INDEX($N$3:$CC$1003,$C50,MATCH(G$2,$N$2:$CC$2,0))))</f>
        <v>4982.762035</v>
      </c>
      <c r="E50" s="603" t="str">
        <f t="shared" si="99"/>
        <v/>
      </c>
      <c r="F50" s="603" t="str">
        <f t="shared" si="99"/>
        <v/>
      </c>
      <c r="G50" s="617">
        <f t="shared" si="5"/>
        <v>4982.762035</v>
      </c>
      <c r="H50" s="618" t="str">
        <f t="shared" ref="H50:I50" si="100">IF(H$2="","", IF(E50="",IF($K$16="Use global average",E$276,IF($K$16="Use regional average",INDEX(E$280:E$296,MATCH($B50,$B$280:$B$296,0)),IF($K$16="Leave blank","",IF($K$16="Fill with zeros", 0,IF($K$16="Use global median",E$277,"Fill out I16"))))), E50))</f>
        <v/>
      </c>
      <c r="I50" s="618" t="str">
        <f t="shared" si="100"/>
        <v/>
      </c>
      <c r="J50" s="159"/>
      <c r="K50" s="159"/>
      <c r="L50" s="159" t="str">
        <f>IF(M50="","",IF(COUNTIF(Countries!$B$1:$H$271,M50)&gt;0,"",IF(COUNTIF(Countries!$M$1:$S$271,M50)&gt;0,"Not a country","ERROR – NOT LISTED. Add alt spelling to ''Countries'' tab")))</f>
        <v/>
      </c>
      <c r="M50" s="606" t="s">
        <v>744</v>
      </c>
      <c r="N50" s="624">
        <v>45.669167</v>
      </c>
      <c r="O50" s="621">
        <f t="shared" si="12"/>
        <v>21336.63482</v>
      </c>
      <c r="P50" s="192">
        <v>0.4361443</v>
      </c>
      <c r="Q50" s="622">
        <v>0.0678</v>
      </c>
      <c r="R50" s="621">
        <f t="shared" si="7"/>
        <v>52479.12976</v>
      </c>
      <c r="S50" s="159"/>
      <c r="T50" s="159"/>
      <c r="U50" s="159"/>
      <c r="V50" s="159"/>
      <c r="W50" s="159"/>
      <c r="X50" s="159"/>
      <c r="Y50" s="159"/>
      <c r="Z50" s="159"/>
      <c r="AA50" s="159"/>
      <c r="AB50" s="159"/>
      <c r="AC50" s="159"/>
      <c r="AD50" s="159"/>
      <c r="AE50" s="159"/>
      <c r="AF50" s="159"/>
      <c r="AG50" s="159"/>
      <c r="AH50" s="159"/>
      <c r="AI50" s="159"/>
      <c r="AJ50" s="159"/>
      <c r="AK50" s="159"/>
      <c r="AL50" s="159"/>
      <c r="AM50" s="159"/>
      <c r="AN50" s="159"/>
      <c r="AO50" s="159"/>
      <c r="AP50" s="159"/>
      <c r="AQ50" s="159"/>
      <c r="AR50" s="159"/>
      <c r="AS50" s="159"/>
      <c r="AT50" s="159"/>
      <c r="AU50" s="159"/>
      <c r="AV50" s="159"/>
      <c r="AW50" s="159"/>
      <c r="AX50" s="159"/>
      <c r="AY50" s="159"/>
      <c r="AZ50" s="159"/>
      <c r="BA50" s="159"/>
      <c r="BB50" s="159"/>
      <c r="BC50" s="159"/>
      <c r="BD50" s="159"/>
      <c r="BE50" s="159"/>
      <c r="BF50" s="159"/>
      <c r="BG50" s="159"/>
      <c r="BH50" s="159"/>
      <c r="BI50" s="159"/>
      <c r="BJ50" s="159"/>
      <c r="BK50" s="159"/>
      <c r="BL50" s="159"/>
      <c r="BM50" s="159"/>
      <c r="BN50" s="159"/>
      <c r="BO50" s="159"/>
      <c r="BP50" s="159"/>
      <c r="BQ50" s="159"/>
      <c r="BR50" s="159"/>
      <c r="BS50" s="159"/>
      <c r="BT50" s="159"/>
      <c r="BU50" s="159"/>
      <c r="BV50" s="159"/>
      <c r="BW50" s="159"/>
      <c r="BX50" s="159"/>
      <c r="BY50" s="159"/>
      <c r="BZ50" s="159"/>
      <c r="CA50" s="159"/>
      <c r="CB50" s="159"/>
      <c r="CC50" s="159"/>
    </row>
    <row r="51">
      <c r="A51" s="613" t="str">
        <f>Countries!B50</f>
        <v>Dominica</v>
      </c>
      <c r="B51" s="614" t="str">
        <f>Countries!I50</f>
        <v>Caribbean</v>
      </c>
      <c r="C51" s="615">
        <f>IFERROR(IFERROR(IFERROR(IFERROR(IFERROR(IFERROR(IFERROR(MATCH(Countries!$B50,$M$3:$M$1003,0),MATCH(Countries!$C50,$M$3:$M$1003,0)),MATCH(Countries!$D50,$M$3:$M$1003,0)),MATCH(Countries!$E50,$M$3:$M$1003,0)),MATCH(Countries!$F50,$M$3:$M$1003,0)),MATCH(Countries!$G50,$M$3:$M$1003,0)),MATCH(Countries!$H50,$M$3:$M$1003,0)),"X")</f>
        <v>53</v>
      </c>
      <c r="D51" s="627" t="str">
        <f t="shared" ref="D51:F51" si="101">IF(G$2="","",IF($C51="X","",INDEX($N$3:$CC$1003,$C51,MATCH(G$2,$N$2:$CC$2,0))))</f>
        <v/>
      </c>
      <c r="E51" s="603" t="str">
        <f t="shared" si="101"/>
        <v/>
      </c>
      <c r="F51" s="603" t="str">
        <f t="shared" si="101"/>
        <v/>
      </c>
      <c r="G51" s="628">
        <f t="shared" si="5"/>
        <v>12713.17965</v>
      </c>
      <c r="H51" s="618" t="str">
        <f t="shared" ref="H51:I51" si="102">IF(H$2="","", IF(E51="",IF($K$16="Use global average",E$276,IF($K$16="Use regional average",INDEX(E$280:E$296,MATCH($B51,$B$280:$B$296,0)),IF($K$16="Leave blank","",IF($K$16="Fill with zeros", 0,IF($K$16="Use global median",E$277,"Fill out I16"))))), E51))</f>
        <v/>
      </c>
      <c r="I51" s="618" t="str">
        <f t="shared" si="102"/>
        <v/>
      </c>
      <c r="J51" s="159"/>
      <c r="K51" s="159"/>
      <c r="L51" s="159" t="str">
        <f>IF(M51="","",IF(COUNTIF(Countries!$B$1:$H$271,M51)&gt;0,"",IF(COUNTIF(Countries!$M$1:$S$271,M51)&gt;0,"Not a country","ERROR – NOT LISTED. Add alt spelling to ''Countries'' tab")))</f>
        <v/>
      </c>
      <c r="M51" s="606" t="s">
        <v>745</v>
      </c>
      <c r="N51" s="624">
        <v>36.751797</v>
      </c>
      <c r="O51" s="621">
        <f t="shared" si="12"/>
        <v>17170.43956</v>
      </c>
      <c r="P51" s="192">
        <v>0.56773838</v>
      </c>
      <c r="Q51" s="622">
        <v>0.0222</v>
      </c>
      <c r="R51" s="621">
        <f t="shared" si="7"/>
        <v>30930.22833</v>
      </c>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59"/>
      <c r="AV51" s="159"/>
      <c r="AW51" s="159"/>
      <c r="AX51" s="159"/>
      <c r="AY51" s="159"/>
      <c r="AZ51" s="159"/>
      <c r="BA51" s="159"/>
      <c r="BB51" s="159"/>
      <c r="BC51" s="159"/>
      <c r="BD51" s="159"/>
      <c r="BE51" s="159"/>
      <c r="BF51" s="159"/>
      <c r="BG51" s="159"/>
      <c r="BH51" s="159"/>
      <c r="BI51" s="159"/>
      <c r="BJ51" s="159"/>
      <c r="BK51" s="159"/>
      <c r="BL51" s="159"/>
      <c r="BM51" s="159"/>
      <c r="BN51" s="159"/>
      <c r="BO51" s="159"/>
      <c r="BP51" s="159"/>
      <c r="BQ51" s="159"/>
      <c r="BR51" s="159"/>
      <c r="BS51" s="159"/>
      <c r="BT51" s="159"/>
      <c r="BU51" s="159"/>
      <c r="BV51" s="159"/>
      <c r="BW51" s="159"/>
      <c r="BX51" s="159"/>
      <c r="BY51" s="159"/>
      <c r="BZ51" s="159"/>
      <c r="CA51" s="159"/>
      <c r="CB51" s="159"/>
      <c r="CC51" s="159"/>
    </row>
    <row r="52">
      <c r="A52" s="613" t="str">
        <f>Countries!B51</f>
        <v>Dominican Republic</v>
      </c>
      <c r="B52" s="614" t="str">
        <f>Countries!I51</f>
        <v>Caribbean</v>
      </c>
      <c r="C52" s="615">
        <f>IFERROR(IFERROR(IFERROR(IFERROR(IFERROR(IFERROR(IFERROR(MATCH(Countries!$B51,$M$3:$M$1003,0),MATCH(Countries!$C51,$M$3:$M$1003,0)),MATCH(Countries!$D51,$M$3:$M$1003,0)),MATCH(Countries!$E51,$M$3:$M$1003,0)),MATCH(Countries!$F51,$M$3:$M$1003,0)),MATCH(Countries!$G51,$M$3:$M$1003,0)),MATCH(Countries!$H51,$M$3:$M$1003,0)),"X")</f>
        <v>54</v>
      </c>
      <c r="D52" s="616">
        <f t="shared" ref="D52:F52" si="103">IF(G$2="","",IF($C52="X","",INDEX($N$3:$CC$1003,$C52,MATCH(G$2,$N$2:$CC$2,0))))</f>
        <v>10647.23914</v>
      </c>
      <c r="E52" s="603" t="str">
        <f t="shared" si="103"/>
        <v/>
      </c>
      <c r="F52" s="603" t="str">
        <f t="shared" si="103"/>
        <v/>
      </c>
      <c r="G52" s="617">
        <f t="shared" si="5"/>
        <v>10647.23914</v>
      </c>
      <c r="H52" s="618" t="str">
        <f t="shared" ref="H52:I52" si="104">IF(H$2="","", IF(E52="",IF($K$16="Use global average",E$276,IF($K$16="Use regional average",INDEX(E$280:E$296,MATCH($B52,$B$280:$B$296,0)),IF($K$16="Leave blank","",IF($K$16="Fill with zeros", 0,IF($K$16="Use global median",E$277,"Fill out I16"))))), E52))</f>
        <v/>
      </c>
      <c r="I52" s="618" t="str">
        <f t="shared" si="104"/>
        <v/>
      </c>
      <c r="J52" s="159"/>
      <c r="K52" s="159"/>
      <c r="L52" s="159" t="str">
        <f>IF(M52="","",IF(COUNTIF(Countries!$B$1:$H$271,M52)&gt;0,"",IF(COUNTIF(Countries!$M$1:$S$271,M52)&gt;0,"Not a country","ERROR – NOT LISTED. Add alt spelling to ''Countries'' tab")))</f>
        <v/>
      </c>
      <c r="M52" s="606" t="s">
        <v>746</v>
      </c>
      <c r="N52" s="624">
        <v>1.1797127</v>
      </c>
      <c r="O52" s="621">
        <f t="shared" si="12"/>
        <v>551.1617734</v>
      </c>
      <c r="P52" s="192">
        <v>0.9668237999999999</v>
      </c>
      <c r="Q52" s="622">
        <v>0.046849999999999996</v>
      </c>
      <c r="R52" s="621">
        <f t="shared" si="7"/>
        <v>598.0954574</v>
      </c>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59"/>
      <c r="AT52" s="159"/>
      <c r="AU52" s="159"/>
      <c r="AV52" s="159"/>
      <c r="AW52" s="159"/>
      <c r="AX52" s="159"/>
      <c r="AY52" s="159"/>
      <c r="AZ52" s="159"/>
      <c r="BA52" s="159"/>
      <c r="BB52" s="159"/>
      <c r="BC52" s="159"/>
      <c r="BD52" s="159"/>
      <c r="BE52" s="159"/>
      <c r="BF52" s="159"/>
      <c r="BG52" s="159"/>
      <c r="BH52" s="159"/>
      <c r="BI52" s="159"/>
      <c r="BJ52" s="159"/>
      <c r="BK52" s="159"/>
      <c r="BL52" s="159"/>
      <c r="BM52" s="159"/>
      <c r="BN52" s="159"/>
      <c r="BO52" s="159"/>
      <c r="BP52" s="159"/>
      <c r="BQ52" s="159"/>
      <c r="BR52" s="159"/>
      <c r="BS52" s="159"/>
      <c r="BT52" s="159"/>
      <c r="BU52" s="159"/>
      <c r="BV52" s="159"/>
      <c r="BW52" s="159"/>
      <c r="BX52" s="159"/>
      <c r="BY52" s="159"/>
      <c r="BZ52" s="159"/>
      <c r="CA52" s="159"/>
      <c r="CB52" s="159"/>
      <c r="CC52" s="159"/>
    </row>
    <row r="53">
      <c r="A53" s="613" t="str">
        <f>Countries!B52</f>
        <v>DR Congo</v>
      </c>
      <c r="B53" s="614" t="str">
        <f>Countries!I52</f>
        <v>Sub-Saharan Africa</v>
      </c>
      <c r="C53" s="615">
        <f>IFERROR(IFERROR(IFERROR(IFERROR(IFERROR(IFERROR(IFERROR(MATCH(Countries!$B52,$M$3:$M$1003,0),MATCH(Countries!$C52,$M$3:$M$1003,0)),MATCH(Countries!$D52,$M$3:$M$1003,0)),MATCH(Countries!$E52,$M$3:$M$1003,0)),MATCH(Countries!$F52,$M$3:$M$1003,0)),MATCH(Countries!$G52,$M$3:$M$1003,0)),MATCH(Countries!$H52,$M$3:$M$1003,0)),"X")</f>
        <v>50</v>
      </c>
      <c r="D53" s="616">
        <f t="shared" ref="D53:F53" si="105">IF(G$2="","",IF($C53="X","",INDEX($N$3:$CC$1003,$C53,MATCH(G$2,$N$2:$CC$2,0))))</f>
        <v>598.0954574</v>
      </c>
      <c r="E53" s="603" t="str">
        <f t="shared" si="105"/>
        <v/>
      </c>
      <c r="F53" s="603" t="str">
        <f t="shared" si="105"/>
        <v/>
      </c>
      <c r="G53" s="617">
        <f t="shared" si="5"/>
        <v>598.0954574</v>
      </c>
      <c r="H53" s="618" t="str">
        <f t="shared" ref="H53:I53" si="106">IF(H$2="","", IF(E53="",IF($K$16="Use global average",E$276,IF($K$16="Use regional average",INDEX(E$280:E$296,MATCH($B53,$B$280:$B$296,0)),IF($K$16="Leave blank","",IF($K$16="Fill with zeros", 0,IF($K$16="Use global median",E$277,"Fill out I16"))))), E53))</f>
        <v/>
      </c>
      <c r="I53" s="618" t="str">
        <f t="shared" si="106"/>
        <v/>
      </c>
      <c r="J53" s="159"/>
      <c r="K53" s="159"/>
      <c r="L53" s="159" t="str">
        <f>IF(M53="","",IF(COUNTIF(Countries!$B$1:$H$271,M53)&gt;0,"",IF(COUNTIF(Countries!$M$1:$S$271,M53)&gt;0,"Not a country","ERROR – NOT LISTED. Add alt spelling to ''Countries'' tab")))</f>
        <v/>
      </c>
      <c r="M53" s="606" t="s">
        <v>747</v>
      </c>
      <c r="N53" s="624">
        <v>57.08956</v>
      </c>
      <c r="O53" s="621">
        <f t="shared" si="12"/>
        <v>26672.24243</v>
      </c>
      <c r="P53" s="192">
        <v>0.57366417</v>
      </c>
      <c r="Q53" s="622">
        <v>0.0443</v>
      </c>
      <c r="R53" s="621">
        <f t="shared" si="7"/>
        <v>48649.70581</v>
      </c>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159"/>
      <c r="AV53" s="159"/>
      <c r="AW53" s="159"/>
      <c r="AX53" s="159"/>
      <c r="AY53" s="159"/>
      <c r="AZ53" s="159"/>
      <c r="BA53" s="159"/>
      <c r="BB53" s="159"/>
      <c r="BC53" s="159"/>
      <c r="BD53" s="159"/>
      <c r="BE53" s="159"/>
      <c r="BF53" s="159"/>
      <c r="BG53" s="159"/>
      <c r="BH53" s="159"/>
      <c r="BI53" s="159"/>
      <c r="BJ53" s="159"/>
      <c r="BK53" s="159"/>
      <c r="BL53" s="159"/>
      <c r="BM53" s="159"/>
      <c r="BN53" s="159"/>
      <c r="BO53" s="159"/>
      <c r="BP53" s="159"/>
      <c r="BQ53" s="159"/>
      <c r="BR53" s="159"/>
      <c r="BS53" s="159"/>
      <c r="BT53" s="159"/>
      <c r="BU53" s="159"/>
      <c r="BV53" s="159"/>
      <c r="BW53" s="159"/>
      <c r="BX53" s="159"/>
      <c r="BY53" s="159"/>
      <c r="BZ53" s="159"/>
      <c r="CA53" s="159"/>
      <c r="CB53" s="159"/>
      <c r="CC53" s="159"/>
    </row>
    <row r="54">
      <c r="A54" s="613" t="str">
        <f>Countries!B53</f>
        <v>Ecuador</v>
      </c>
      <c r="B54" s="614" t="str">
        <f>Countries!I53</f>
        <v>Latin America</v>
      </c>
      <c r="C54" s="615">
        <f>IFERROR(IFERROR(IFERROR(IFERROR(IFERROR(IFERROR(IFERROR(MATCH(Countries!$B53,$M$3:$M$1003,0),MATCH(Countries!$C53,$M$3:$M$1003,0)),MATCH(Countries!$D53,$M$3:$M$1003,0)),MATCH(Countries!$E53,$M$3:$M$1003,0)),MATCH(Countries!$F53,$M$3:$M$1003,0)),MATCH(Countries!$G53,$M$3:$M$1003,0)),MATCH(Countries!$H53,$M$3:$M$1003,0)),"X")</f>
        <v>56</v>
      </c>
      <c r="D54" s="616">
        <f t="shared" ref="D54:F54" si="107">IF(G$2="","",IF($C54="X","",INDEX($N$3:$CC$1003,$C54,MATCH(G$2,$N$2:$CC$2,0))))</f>
        <v>10457.20263</v>
      </c>
      <c r="E54" s="603" t="str">
        <f t="shared" si="107"/>
        <v/>
      </c>
      <c r="F54" s="603" t="str">
        <f t="shared" si="107"/>
        <v/>
      </c>
      <c r="G54" s="617">
        <f t="shared" si="5"/>
        <v>10457.20263</v>
      </c>
      <c r="H54" s="618" t="str">
        <f t="shared" ref="H54:I54" si="108">IF(H$2="","", IF(E54="",IF($K$16="Use global average",E$276,IF($K$16="Use regional average",INDEX(E$280:E$296,MATCH($B54,$B$280:$B$296,0)),IF($K$16="Leave blank","",IF($K$16="Fill with zeros", 0,IF($K$16="Use global median",E$277,"Fill out I16"))))), E54))</f>
        <v/>
      </c>
      <c r="I54" s="618" t="str">
        <f t="shared" si="108"/>
        <v/>
      </c>
      <c r="J54" s="159"/>
      <c r="K54" s="159"/>
      <c r="L54" s="159" t="str">
        <f>IF(M54="","",IF(COUNTIF(Countries!$B$1:$H$271,M54)&gt;0,"",IF(COUNTIF(Countries!$M$1:$S$271,M54)&gt;0,"Not a country","ERROR – NOT LISTED. Add alt spelling to ''Countries'' tab")))</f>
        <v/>
      </c>
      <c r="M54" s="606" t="s">
        <v>748</v>
      </c>
      <c r="N54" s="624">
        <v>4.0851326</v>
      </c>
      <c r="O54" s="621">
        <f t="shared" si="12"/>
        <v>1908.573951</v>
      </c>
      <c r="P54" s="192">
        <v>0.52231617</v>
      </c>
      <c r="Q54" s="622">
        <v>0.26666</v>
      </c>
      <c r="R54" s="621">
        <f t="shared" si="7"/>
        <v>4982.762035</v>
      </c>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BK54" s="159"/>
      <c r="BL54" s="159"/>
      <c r="BM54" s="159"/>
      <c r="BN54" s="159"/>
      <c r="BO54" s="159"/>
      <c r="BP54" s="159"/>
      <c r="BQ54" s="159"/>
      <c r="BR54" s="159"/>
      <c r="BS54" s="159"/>
      <c r="BT54" s="159"/>
      <c r="BU54" s="159"/>
      <c r="BV54" s="159"/>
      <c r="BW54" s="159"/>
      <c r="BX54" s="159"/>
      <c r="BY54" s="159"/>
      <c r="BZ54" s="159"/>
      <c r="CA54" s="159"/>
      <c r="CB54" s="159"/>
      <c r="CC54" s="159"/>
    </row>
    <row r="55">
      <c r="A55" s="613" t="str">
        <f>Countries!B54</f>
        <v>Egypt</v>
      </c>
      <c r="B55" s="614" t="str">
        <f>Countries!I54</f>
        <v>North Africa</v>
      </c>
      <c r="C55" s="615">
        <f>IFERROR(IFERROR(IFERROR(IFERROR(IFERROR(IFERROR(IFERROR(MATCH(Countries!$B54,$M$3:$M$1003,0),MATCH(Countries!$C54,$M$3:$M$1003,0)),MATCH(Countries!$D54,$M$3:$M$1003,0)),MATCH(Countries!$E54,$M$3:$M$1003,0)),MATCH(Countries!$F54,$M$3:$M$1003,0)),MATCH(Countries!$G54,$M$3:$M$1003,0)),MATCH(Countries!$H54,$M$3:$M$1003,0)),"X")</f>
        <v>57</v>
      </c>
      <c r="D55" s="616">
        <f t="shared" ref="D55:F55" si="109">IF(G$2="","",IF($C55="X","",INDEX($N$3:$CC$1003,$C55,MATCH(G$2,$N$2:$CC$2,0))))</f>
        <v>4529.494752</v>
      </c>
      <c r="E55" s="603" t="str">
        <f t="shared" si="109"/>
        <v/>
      </c>
      <c r="F55" s="603" t="str">
        <f t="shared" si="109"/>
        <v/>
      </c>
      <c r="G55" s="617">
        <f t="shared" si="5"/>
        <v>4529.494752</v>
      </c>
      <c r="H55" s="618" t="str">
        <f t="shared" ref="H55:I55" si="110">IF(H$2="","", IF(E55="",IF($K$16="Use global average",E$276,IF($K$16="Use regional average",INDEX(E$280:E$296,MATCH($B55,$B$280:$B$296,0)),IF($K$16="Leave blank","",IF($K$16="Fill with zeros", 0,IF($K$16="Use global median",E$277,"Fill out I16"))))), E55))</f>
        <v/>
      </c>
      <c r="I55" s="618" t="str">
        <f t="shared" si="110"/>
        <v/>
      </c>
      <c r="J55" s="159"/>
      <c r="K55" s="159"/>
      <c r="L55" s="159" t="str">
        <f>IF(M55="","",IF(COUNTIF(Countries!$B$1:$H$271,M55)&gt;0,"",IF(COUNTIF(Countries!$M$1:$S$271,M55)&gt;0,"Not a country","ERROR – NOT LISTED. Add alt spelling to ''Countries'' tab")))</f>
        <v/>
      </c>
      <c r="M55" s="606" t="s">
        <v>749</v>
      </c>
      <c r="N55" s="620" t="s">
        <v>694</v>
      </c>
      <c r="O55" s="630" t="str">
        <f t="shared" si="12"/>
        <v>#VALUE!</v>
      </c>
      <c r="P55" s="192">
        <v>0.44637459999999995</v>
      </c>
      <c r="Q55" s="631" t="e">
        <v>#VALUE!</v>
      </c>
      <c r="R55" s="625" t="str">
        <f t="shared" si="7"/>
        <v/>
      </c>
      <c r="S55" s="159"/>
      <c r="T55" s="159"/>
      <c r="U55" s="159"/>
      <c r="V55" s="159"/>
      <c r="W55" s="159"/>
      <c r="X55" s="159"/>
      <c r="Y55" s="159"/>
      <c r="Z55" s="159"/>
      <c r="AA55" s="159"/>
      <c r="AB55" s="159"/>
      <c r="AC55" s="159"/>
      <c r="AD55" s="159"/>
      <c r="AE55" s="159"/>
      <c r="AF55" s="159"/>
      <c r="AG55" s="159"/>
      <c r="AH55" s="159"/>
      <c r="AI55" s="159"/>
      <c r="AJ55" s="159"/>
      <c r="AK55" s="159"/>
      <c r="AL55" s="159"/>
      <c r="AM55" s="159"/>
      <c r="AN55" s="159"/>
      <c r="AO55" s="159"/>
      <c r="AP55" s="159"/>
      <c r="AQ55" s="159"/>
      <c r="AR55" s="159"/>
      <c r="AS55" s="159"/>
      <c r="AT55" s="159"/>
      <c r="AU55" s="159"/>
      <c r="AV55" s="159"/>
      <c r="AW55" s="159"/>
      <c r="AX55" s="159"/>
      <c r="AY55" s="159"/>
      <c r="AZ55" s="159"/>
      <c r="BA55" s="159"/>
      <c r="BB55" s="159"/>
      <c r="BC55" s="159"/>
      <c r="BD55" s="159"/>
      <c r="BE55" s="159"/>
      <c r="BF55" s="159"/>
      <c r="BG55" s="159"/>
      <c r="BH55" s="159"/>
      <c r="BI55" s="159"/>
      <c r="BJ55" s="159"/>
      <c r="BK55" s="159"/>
      <c r="BL55" s="159"/>
      <c r="BM55" s="159"/>
      <c r="BN55" s="159"/>
      <c r="BO55" s="159"/>
      <c r="BP55" s="159"/>
      <c r="BQ55" s="159"/>
      <c r="BR55" s="159"/>
      <c r="BS55" s="159"/>
      <c r="BT55" s="159"/>
      <c r="BU55" s="159"/>
      <c r="BV55" s="159"/>
      <c r="BW55" s="159"/>
      <c r="BX55" s="159"/>
      <c r="BY55" s="159"/>
      <c r="BZ55" s="159"/>
      <c r="CA55" s="159"/>
      <c r="CB55" s="159"/>
      <c r="CC55" s="159"/>
    </row>
    <row r="56">
      <c r="A56" s="613" t="str">
        <f>Countries!B55</f>
        <v>El Salvador</v>
      </c>
      <c r="B56" s="614" t="str">
        <f>Countries!I55</f>
        <v>Latin America</v>
      </c>
      <c r="C56" s="615">
        <f>IFERROR(IFERROR(IFERROR(IFERROR(IFERROR(IFERROR(IFERROR(MATCH(Countries!$B55,$M$3:$M$1003,0),MATCH(Countries!$C55,$M$3:$M$1003,0)),MATCH(Countries!$D55,$M$3:$M$1003,0)),MATCH(Countries!$E55,$M$3:$M$1003,0)),MATCH(Countries!$F55,$M$3:$M$1003,0)),MATCH(Countries!$G55,$M$3:$M$1003,0)),MATCH(Countries!$H55,$M$3:$M$1003,0)),"X")</f>
        <v>58</v>
      </c>
      <c r="D56" s="616">
        <f t="shared" ref="D56:F56" si="111">IF(G$2="","",IF($C56="X","",INDEX($N$3:$CC$1003,$C56,MATCH(G$2,$N$2:$CC$2,0))))</f>
        <v>10031.11407</v>
      </c>
      <c r="E56" s="603" t="str">
        <f t="shared" si="111"/>
        <v/>
      </c>
      <c r="F56" s="603" t="str">
        <f t="shared" si="111"/>
        <v/>
      </c>
      <c r="G56" s="617">
        <f t="shared" si="5"/>
        <v>10031.11407</v>
      </c>
      <c r="H56" s="618" t="str">
        <f t="shared" ref="H56:I56" si="112">IF(H$2="","", IF(E56="",IF($K$16="Use global average",E$276,IF($K$16="Use regional average",INDEX(E$280:E$296,MATCH($B56,$B$280:$B$296,0)),IF($K$16="Leave blank","",IF($K$16="Fill with zeros", 0,IF($K$16="Use global median",E$277,"Fill out I16"))))), E56))</f>
        <v/>
      </c>
      <c r="I56" s="618" t="str">
        <f t="shared" si="112"/>
        <v/>
      </c>
      <c r="J56" s="159"/>
      <c r="K56" s="159"/>
      <c r="L56" s="159" t="str">
        <f>IF(M56="","",IF(COUNTIF(Countries!$B$1:$H$271,M56)&gt;0,"",IF(COUNTIF(Countries!$M$1:$S$271,M56)&gt;0,"Not a country","ERROR – NOT LISTED. Add alt spelling to ''Countries'' tab")))</f>
        <v/>
      </c>
      <c r="M56" s="606" t="s">
        <v>750</v>
      </c>
      <c r="N56" s="624">
        <v>11.336495</v>
      </c>
      <c r="O56" s="621">
        <f t="shared" si="12"/>
        <v>5296.410464</v>
      </c>
      <c r="P56" s="192">
        <v>0.52641857</v>
      </c>
      <c r="Q56" s="622">
        <v>0.05504</v>
      </c>
      <c r="R56" s="621">
        <f t="shared" si="7"/>
        <v>10647.23914</v>
      </c>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159"/>
      <c r="AV56" s="159"/>
      <c r="AW56" s="159"/>
      <c r="AX56" s="159"/>
      <c r="AY56" s="159"/>
      <c r="AZ56" s="159"/>
      <c r="BA56" s="159"/>
      <c r="BB56" s="159"/>
      <c r="BC56" s="159"/>
      <c r="BD56" s="159"/>
      <c r="BE56" s="159"/>
      <c r="BF56" s="159"/>
      <c r="BG56" s="159"/>
      <c r="BH56" s="159"/>
      <c r="BI56" s="159"/>
      <c r="BJ56" s="159"/>
      <c r="BK56" s="159"/>
      <c r="BL56" s="159"/>
      <c r="BM56" s="159"/>
      <c r="BN56" s="159"/>
      <c r="BO56" s="159"/>
      <c r="BP56" s="159"/>
      <c r="BQ56" s="159"/>
      <c r="BR56" s="159"/>
      <c r="BS56" s="159"/>
      <c r="BT56" s="159"/>
      <c r="BU56" s="159"/>
      <c r="BV56" s="159"/>
      <c r="BW56" s="159"/>
      <c r="BX56" s="159"/>
      <c r="BY56" s="159"/>
      <c r="BZ56" s="159"/>
      <c r="CA56" s="159"/>
      <c r="CB56" s="159"/>
      <c r="CC56" s="159"/>
    </row>
    <row r="57">
      <c r="A57" s="613" t="str">
        <f>Countries!B56</f>
        <v>Equatorial Guinea</v>
      </c>
      <c r="B57" s="614" t="str">
        <f>Countries!I56</f>
        <v>Sub-Saharan Africa</v>
      </c>
      <c r="C57" s="615">
        <f>IFERROR(IFERROR(IFERROR(IFERROR(IFERROR(IFERROR(IFERROR(MATCH(Countries!$B56,$M$3:$M$1003,0),MATCH(Countries!$C56,$M$3:$M$1003,0)),MATCH(Countries!$D56,$M$3:$M$1003,0)),MATCH(Countries!$E56,$M$3:$M$1003,0)),MATCH(Countries!$F56,$M$3:$M$1003,0)),MATCH(Countries!$G56,$M$3:$M$1003,0)),MATCH(Countries!$H56,$M$3:$M$1003,0)),"X")</f>
        <v>59</v>
      </c>
      <c r="D57" s="627" t="str">
        <f t="shared" ref="D57:F57" si="113">IF(G$2="","",IF($C57="X","",INDEX($N$3:$CC$1003,$C57,MATCH(G$2,$N$2:$CC$2,0))))</f>
        <v/>
      </c>
      <c r="E57" s="603" t="str">
        <f t="shared" si="113"/>
        <v/>
      </c>
      <c r="F57" s="603" t="str">
        <f t="shared" si="113"/>
        <v/>
      </c>
      <c r="G57" s="628">
        <f t="shared" si="5"/>
        <v>2791.469713</v>
      </c>
      <c r="H57" s="618" t="str">
        <f t="shared" ref="H57:I57" si="114">IF(H$2="","", IF(E57="",IF($K$16="Use global average",E$276,IF($K$16="Use regional average",INDEX(E$280:E$296,MATCH($B57,$B$280:$B$296,0)),IF($K$16="Leave blank","",IF($K$16="Fill with zeros", 0,IF($K$16="Use global median",E$277,"Fill out I16"))))), E57))</f>
        <v/>
      </c>
      <c r="I57" s="618" t="str">
        <f t="shared" si="114"/>
        <v/>
      </c>
      <c r="J57" s="159"/>
      <c r="K57" s="159"/>
      <c r="L57" s="159" t="str">
        <f>IF(M57="","",IF(COUNTIF(Countries!$B$1:$H$271,M57)&gt;0,"",IF(COUNTIF(Countries!$M$1:$S$271,M57)&gt;0,"Not a country","ERROR – NOT LISTED. Add alt spelling to ''Countries'' tab")))</f>
        <v/>
      </c>
      <c r="M57" s="606" t="s">
        <v>751</v>
      </c>
      <c r="N57" s="624">
        <v>2.8969195</v>
      </c>
      <c r="O57" s="621">
        <f t="shared" si="12"/>
        <v>1353.44079</v>
      </c>
      <c r="P57" s="192">
        <v>0.6546411999999999</v>
      </c>
      <c r="Q57" s="622">
        <v>0.01786</v>
      </c>
      <c r="R57" s="621">
        <f t="shared" si="7"/>
        <v>2105.050543</v>
      </c>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c r="BM57" s="159"/>
      <c r="BN57" s="159"/>
      <c r="BO57" s="159"/>
      <c r="BP57" s="159"/>
      <c r="BQ57" s="159"/>
      <c r="BR57" s="159"/>
      <c r="BS57" s="159"/>
      <c r="BT57" s="159"/>
      <c r="BU57" s="159"/>
      <c r="BV57" s="159"/>
      <c r="BW57" s="159"/>
      <c r="BX57" s="159"/>
      <c r="BY57" s="159"/>
      <c r="BZ57" s="159"/>
      <c r="CA57" s="159"/>
      <c r="CB57" s="159"/>
      <c r="CC57" s="159"/>
    </row>
    <row r="58">
      <c r="A58" s="613" t="str">
        <f>Countries!B57</f>
        <v>Eritrea</v>
      </c>
      <c r="B58" s="614" t="str">
        <f>Countries!I57</f>
        <v>Sub-Saharan Africa</v>
      </c>
      <c r="C58" s="615">
        <f>IFERROR(IFERROR(IFERROR(IFERROR(IFERROR(IFERROR(IFERROR(MATCH(Countries!$B57,$M$3:$M$1003,0),MATCH(Countries!$C57,$M$3:$M$1003,0)),MATCH(Countries!$D57,$M$3:$M$1003,0)),MATCH(Countries!$E57,$M$3:$M$1003,0)),MATCH(Countries!$F57,$M$3:$M$1003,0)),MATCH(Countries!$G57,$M$3:$M$1003,0)),MATCH(Countries!$H57,$M$3:$M$1003,0)),"X")</f>
        <v>60</v>
      </c>
      <c r="D58" s="627" t="str">
        <f t="shared" ref="D58:F58" si="115">IF(G$2="","",IF($C58="X","",INDEX($N$3:$CC$1003,$C58,MATCH(G$2,$N$2:$CC$2,0))))</f>
        <v/>
      </c>
      <c r="E58" s="603" t="str">
        <f t="shared" si="115"/>
        <v/>
      </c>
      <c r="F58" s="603" t="str">
        <f t="shared" si="115"/>
        <v/>
      </c>
      <c r="G58" s="628">
        <f t="shared" si="5"/>
        <v>2791.469713</v>
      </c>
      <c r="H58" s="618" t="str">
        <f t="shared" ref="H58:I58" si="116">IF(H$2="","", IF(E58="",IF($K$16="Use global average",E$276,IF($K$16="Use regional average",INDEX(E$280:E$296,MATCH($B58,$B$280:$B$296,0)),IF($K$16="Leave blank","",IF($K$16="Fill with zeros", 0,IF($K$16="Use global median",E$277,"Fill out I16"))))), E58))</f>
        <v/>
      </c>
      <c r="I58" s="618" t="str">
        <f t="shared" si="116"/>
        <v/>
      </c>
      <c r="J58" s="159"/>
      <c r="K58" s="159"/>
      <c r="L58" s="159" t="str">
        <f>IF(M58="","",IF(COUNTIF(Countries!$B$1:$H$271,M58)&gt;0,"",IF(COUNTIF(Countries!$M$1:$S$271,M58)&gt;0,"Not a country","ERROR – NOT LISTED. Add alt spelling to ''Countries'' tab")))</f>
        <v/>
      </c>
      <c r="M58" s="606" t="s">
        <v>752</v>
      </c>
      <c r="N58" s="624">
        <v>10.6552725</v>
      </c>
      <c r="O58" s="621">
        <f t="shared" si="12"/>
        <v>4978.143312</v>
      </c>
      <c r="P58" s="192">
        <v>0.494648</v>
      </c>
      <c r="Q58" s="622">
        <v>0.037599999999999995</v>
      </c>
      <c r="R58" s="621">
        <f t="shared" si="7"/>
        <v>10457.20263</v>
      </c>
      <c r="S58" s="159"/>
      <c r="T58" s="159"/>
      <c r="U58" s="159"/>
      <c r="V58" s="159"/>
      <c r="W58" s="159"/>
      <c r="X58" s="159"/>
      <c r="Y58" s="159"/>
      <c r="Z58" s="159"/>
      <c r="AA58" s="159"/>
      <c r="AB58" s="159"/>
      <c r="AC58" s="159"/>
      <c r="AD58" s="159"/>
      <c r="AE58" s="159"/>
      <c r="AF58" s="159"/>
      <c r="AG58" s="159"/>
      <c r="AH58" s="159"/>
      <c r="AI58" s="159"/>
      <c r="AJ58" s="159"/>
      <c r="AK58" s="159"/>
      <c r="AL58" s="159"/>
      <c r="AM58" s="159"/>
      <c r="AN58" s="159"/>
      <c r="AO58" s="159"/>
      <c r="AP58" s="159"/>
      <c r="AQ58" s="159"/>
      <c r="AR58" s="159"/>
      <c r="AS58" s="159"/>
      <c r="AT58" s="159"/>
      <c r="AU58" s="159"/>
      <c r="AV58" s="159"/>
      <c r="AW58" s="159"/>
      <c r="AX58" s="159"/>
      <c r="AY58" s="159"/>
      <c r="AZ58" s="159"/>
      <c r="BA58" s="159"/>
      <c r="BB58" s="159"/>
      <c r="BC58" s="159"/>
      <c r="BD58" s="159"/>
      <c r="BE58" s="159"/>
      <c r="BF58" s="159"/>
      <c r="BG58" s="159"/>
      <c r="BH58" s="159"/>
      <c r="BI58" s="159"/>
      <c r="BJ58" s="159"/>
      <c r="BK58" s="159"/>
      <c r="BL58" s="159"/>
      <c r="BM58" s="159"/>
      <c r="BN58" s="159"/>
      <c r="BO58" s="159"/>
      <c r="BP58" s="159"/>
      <c r="BQ58" s="159"/>
      <c r="BR58" s="159"/>
      <c r="BS58" s="159"/>
      <c r="BT58" s="159"/>
      <c r="BU58" s="159"/>
      <c r="BV58" s="159"/>
      <c r="BW58" s="159"/>
      <c r="BX58" s="159"/>
      <c r="BY58" s="159"/>
      <c r="BZ58" s="159"/>
      <c r="CA58" s="159"/>
      <c r="CB58" s="159"/>
      <c r="CC58" s="159"/>
    </row>
    <row r="59">
      <c r="A59" s="613" t="str">
        <f>Countries!B58</f>
        <v>Estonia</v>
      </c>
      <c r="B59" s="614" t="str">
        <f>Countries!I58</f>
        <v>Europe</v>
      </c>
      <c r="C59" s="615">
        <f>IFERROR(IFERROR(IFERROR(IFERROR(IFERROR(IFERROR(IFERROR(MATCH(Countries!$B58,$M$3:$M$1003,0),MATCH(Countries!$C58,$M$3:$M$1003,0)),MATCH(Countries!$D58,$M$3:$M$1003,0)),MATCH(Countries!$E58,$M$3:$M$1003,0)),MATCH(Countries!$F58,$M$3:$M$1003,0)),MATCH(Countries!$G58,$M$3:$M$1003,0)),MATCH(Countries!$H58,$M$3:$M$1003,0)),"X")</f>
        <v>61</v>
      </c>
      <c r="D59" s="616">
        <f t="shared" ref="D59:F59" si="117">IF(G$2="","",IF($C59="X","",INDEX($N$3:$CC$1003,$C59,MATCH(G$2,$N$2:$CC$2,0))))</f>
        <v>33931.19161</v>
      </c>
      <c r="E59" s="603" t="str">
        <f t="shared" si="117"/>
        <v/>
      </c>
      <c r="F59" s="603" t="str">
        <f t="shared" si="117"/>
        <v/>
      </c>
      <c r="G59" s="617">
        <f t="shared" si="5"/>
        <v>33931.19161</v>
      </c>
      <c r="H59" s="618" t="str">
        <f t="shared" ref="H59:I59" si="118">IF(H$2="","", IF(E59="",IF($K$16="Use global average",E$276,IF($K$16="Use regional average",INDEX(E$280:E$296,MATCH($B59,$B$280:$B$296,0)),IF($K$16="Leave blank","",IF($K$16="Fill with zeros", 0,IF($K$16="Use global median",E$277,"Fill out I16"))))), E59))</f>
        <v/>
      </c>
      <c r="I59" s="618" t="str">
        <f t="shared" si="118"/>
        <v/>
      </c>
      <c r="J59" s="159"/>
      <c r="K59" s="159"/>
      <c r="L59" s="159" t="str">
        <f>IF(M59="","",IF(COUNTIF(Countries!$B$1:$H$271,M59)&gt;0,"",IF(COUNTIF(Countries!$M$1:$S$271,M59)&gt;0,"Not a country","ERROR – NOT LISTED. Add alt spelling to ''Countries'' tab")))</f>
        <v/>
      </c>
      <c r="M59" s="606" t="s">
        <v>753</v>
      </c>
      <c r="N59" s="624">
        <v>5.422779</v>
      </c>
      <c r="O59" s="621">
        <f t="shared" si="12"/>
        <v>2533.522349</v>
      </c>
      <c r="P59" s="192">
        <v>0.59756508</v>
      </c>
      <c r="Q59" s="622">
        <v>0.06397</v>
      </c>
      <c r="R59" s="621">
        <f t="shared" si="7"/>
        <v>4529.494752</v>
      </c>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159"/>
      <c r="AV59" s="159"/>
      <c r="AW59" s="159"/>
      <c r="AX59" s="159"/>
      <c r="AY59" s="159"/>
      <c r="AZ59" s="159"/>
      <c r="BA59" s="159"/>
      <c r="BB59" s="159"/>
      <c r="BC59" s="159"/>
      <c r="BD59" s="159"/>
      <c r="BE59" s="159"/>
      <c r="BF59" s="159"/>
      <c r="BG59" s="159"/>
      <c r="BH59" s="159"/>
      <c r="BI59" s="159"/>
      <c r="BJ59" s="159"/>
      <c r="BK59" s="159"/>
      <c r="BL59" s="159"/>
      <c r="BM59" s="159"/>
      <c r="BN59" s="159"/>
      <c r="BO59" s="159"/>
      <c r="BP59" s="159"/>
      <c r="BQ59" s="159"/>
      <c r="BR59" s="159"/>
      <c r="BS59" s="159"/>
      <c r="BT59" s="159"/>
      <c r="BU59" s="159"/>
      <c r="BV59" s="159"/>
      <c r="BW59" s="159"/>
      <c r="BX59" s="159"/>
      <c r="BY59" s="159"/>
      <c r="BZ59" s="159"/>
      <c r="CA59" s="159"/>
      <c r="CB59" s="159"/>
      <c r="CC59" s="159"/>
    </row>
    <row r="60">
      <c r="A60" s="613" t="str">
        <f>Countries!B59</f>
        <v>Eswatini</v>
      </c>
      <c r="B60" s="614" t="str">
        <f>Countries!I59</f>
        <v>Sub-Saharan Africa</v>
      </c>
      <c r="C60" s="615">
        <f>IFERROR(IFERROR(IFERROR(IFERROR(IFERROR(IFERROR(IFERROR(MATCH(Countries!$B59,$M$3:$M$1003,0),MATCH(Countries!$C59,$M$3:$M$1003,0)),MATCH(Countries!$D59,$M$3:$M$1003,0)),MATCH(Countries!$E59,$M$3:$M$1003,0)),MATCH(Countries!$F59,$M$3:$M$1003,0)),MATCH(Countries!$G59,$M$3:$M$1003,0)),MATCH(Countries!$H59,$M$3:$M$1003,0)),"X")</f>
        <v>62</v>
      </c>
      <c r="D60" s="616">
        <f t="shared" ref="D60:F60" si="119">IF(G$2="","",IF($C60="X","",INDEX($N$3:$CC$1003,$C60,MATCH(G$2,$N$2:$CC$2,0))))</f>
        <v>2933.488824</v>
      </c>
      <c r="E60" s="603" t="str">
        <f t="shared" si="119"/>
        <v/>
      </c>
      <c r="F60" s="603" t="str">
        <f t="shared" si="119"/>
        <v/>
      </c>
      <c r="G60" s="617">
        <f t="shared" si="5"/>
        <v>2933.488824</v>
      </c>
      <c r="H60" s="618" t="str">
        <f t="shared" ref="H60:I60" si="120">IF(H$2="","", IF(E60="",IF($K$16="Use global average",E$276,IF($K$16="Use regional average",INDEX(E$280:E$296,MATCH($B60,$B$280:$B$296,0)),IF($K$16="Leave blank","",IF($K$16="Fill with zeros", 0,IF($K$16="Use global median",E$277,"Fill out I16"))))), E60))</f>
        <v/>
      </c>
      <c r="I60" s="618" t="str">
        <f t="shared" si="120"/>
        <v/>
      </c>
      <c r="J60" s="159"/>
      <c r="K60" s="159"/>
      <c r="L60" s="159" t="str">
        <f>IF(M60="","",IF(COUNTIF(Countries!$B$1:$H$271,M60)&gt;0,"",IF(COUNTIF(Countries!$M$1:$S$271,M60)&gt;0,"Not a country","ERROR – NOT LISTED. Add alt spelling to ''Countries'' tab")))</f>
        <v/>
      </c>
      <c r="M60" s="606" t="s">
        <v>754</v>
      </c>
      <c r="N60" s="624">
        <v>10.355628</v>
      </c>
      <c r="O60" s="621">
        <f t="shared" si="12"/>
        <v>4838.149402</v>
      </c>
      <c r="P60" s="192">
        <v>0.49723120000000004</v>
      </c>
      <c r="Q60" s="622">
        <v>0.03</v>
      </c>
      <c r="R60" s="621">
        <f t="shared" si="7"/>
        <v>10031.11407</v>
      </c>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159"/>
      <c r="AV60" s="159"/>
      <c r="AW60" s="159"/>
      <c r="AX60" s="159"/>
      <c r="AY60" s="159"/>
      <c r="AZ60" s="159"/>
      <c r="BA60" s="159"/>
      <c r="BB60" s="159"/>
      <c r="BC60" s="159"/>
      <c r="BD60" s="159"/>
      <c r="BE60" s="159"/>
      <c r="BF60" s="159"/>
      <c r="BG60" s="159"/>
      <c r="BH60" s="159"/>
      <c r="BI60" s="159"/>
      <c r="BJ60" s="159"/>
      <c r="BK60" s="159"/>
      <c r="BL60" s="159"/>
      <c r="BM60" s="159"/>
      <c r="BN60" s="159"/>
      <c r="BO60" s="159"/>
      <c r="BP60" s="159"/>
      <c r="BQ60" s="159"/>
      <c r="BR60" s="159"/>
      <c r="BS60" s="159"/>
      <c r="BT60" s="159"/>
      <c r="BU60" s="159"/>
      <c r="BV60" s="159"/>
      <c r="BW60" s="159"/>
      <c r="BX60" s="159"/>
      <c r="BY60" s="159"/>
      <c r="BZ60" s="159"/>
      <c r="CA60" s="159"/>
      <c r="CB60" s="159"/>
      <c r="CC60" s="159"/>
    </row>
    <row r="61">
      <c r="A61" s="613" t="str">
        <f>Countries!B60</f>
        <v>Ethiopia</v>
      </c>
      <c r="B61" s="614" t="str">
        <f>Countries!I60</f>
        <v>Sub-Saharan Africa</v>
      </c>
      <c r="C61" s="615">
        <f>IFERROR(IFERROR(IFERROR(IFERROR(IFERROR(IFERROR(IFERROR(MATCH(Countries!$B60,$M$3:$M$1003,0),MATCH(Countries!$C60,$M$3:$M$1003,0)),MATCH(Countries!$D60,$M$3:$M$1003,0)),MATCH(Countries!$E60,$M$3:$M$1003,0)),MATCH(Countries!$F60,$M$3:$M$1003,0)),MATCH(Countries!$G60,$M$3:$M$1003,0)),MATCH(Countries!$H60,$M$3:$M$1003,0)),"X")</f>
        <v>63</v>
      </c>
      <c r="D61" s="616">
        <f t="shared" ref="D61:F61" si="121">IF(G$2="","",IF($C61="X","",INDEX($N$3:$CC$1003,$C61,MATCH(G$2,$N$2:$CC$2,0))))</f>
        <v>2000.81077</v>
      </c>
      <c r="E61" s="603" t="str">
        <f t="shared" si="121"/>
        <v/>
      </c>
      <c r="F61" s="603" t="str">
        <f t="shared" si="121"/>
        <v/>
      </c>
      <c r="G61" s="617">
        <f t="shared" si="5"/>
        <v>2000.81077</v>
      </c>
      <c r="H61" s="618" t="str">
        <f t="shared" ref="H61:I61" si="122">IF(H$2="","", IF(E61="",IF($K$16="Use global average",E$276,IF($K$16="Use regional average",INDEX(E$280:E$296,MATCH($B61,$B$280:$B$296,0)),IF($K$16="Leave blank","",IF($K$16="Fill with zeros", 0,IF($K$16="Use global median",E$277,"Fill out I16"))))), E61))</f>
        <v/>
      </c>
      <c r="I61" s="618" t="str">
        <f t="shared" si="122"/>
        <v/>
      </c>
      <c r="J61" s="159"/>
      <c r="K61" s="159"/>
      <c r="L61" s="159" t="str">
        <f>IF(M61="","",IF(COUNTIF(Countries!$B$1:$H$271,M61)&gt;0,"",IF(COUNTIF(Countries!$M$1:$S$271,M61)&gt;0,"Not a country","ERROR – NOT LISTED. Add alt spelling to ''Countries'' tab")))</f>
        <v/>
      </c>
      <c r="M61" s="606" t="s">
        <v>755</v>
      </c>
      <c r="N61" s="620" t="s">
        <v>694</v>
      </c>
      <c r="O61" s="630" t="str">
        <f t="shared" si="12"/>
        <v>#VALUE!</v>
      </c>
      <c r="P61" s="192">
        <v>0.6980037</v>
      </c>
      <c r="Q61" s="622">
        <v>0.08584</v>
      </c>
      <c r="R61" s="625" t="str">
        <f t="shared" si="7"/>
        <v/>
      </c>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159"/>
      <c r="BT61" s="159"/>
      <c r="BU61" s="159"/>
      <c r="BV61" s="159"/>
      <c r="BW61" s="159"/>
      <c r="BX61" s="159"/>
      <c r="BY61" s="159"/>
      <c r="BZ61" s="159"/>
      <c r="CA61" s="159"/>
      <c r="CB61" s="159"/>
      <c r="CC61" s="159"/>
    </row>
    <row r="62">
      <c r="A62" s="613" t="str">
        <f>Countries!B61</f>
        <v>Fiji</v>
      </c>
      <c r="B62" s="614" t="str">
        <f>Countries!I61</f>
        <v>Oceania</v>
      </c>
      <c r="C62" s="615">
        <f>IFERROR(IFERROR(IFERROR(IFERROR(IFERROR(IFERROR(IFERROR(MATCH(Countries!$B61,$M$3:$M$1003,0),MATCH(Countries!$C61,$M$3:$M$1003,0)),MATCH(Countries!$D61,$M$3:$M$1003,0)),MATCH(Countries!$E61,$M$3:$M$1003,0)),MATCH(Countries!$F61,$M$3:$M$1003,0)),MATCH(Countries!$G61,$M$3:$M$1003,0)),MATCH(Countries!$H61,$M$3:$M$1003,0)),"X")</f>
        <v>64</v>
      </c>
      <c r="D62" s="616">
        <f t="shared" ref="D62:F62" si="123">IF(G$2="","",IF($C62="X","",INDEX($N$3:$CC$1003,$C62,MATCH(G$2,$N$2:$CC$2,0))))</f>
        <v>6390.018006</v>
      </c>
      <c r="E62" s="603" t="str">
        <f t="shared" si="123"/>
        <v/>
      </c>
      <c r="F62" s="603" t="str">
        <f t="shared" si="123"/>
        <v/>
      </c>
      <c r="G62" s="617">
        <f t="shared" si="5"/>
        <v>6390.018006</v>
      </c>
      <c r="H62" s="618" t="str">
        <f t="shared" ref="H62:I62" si="124">IF(H$2="","", IF(E62="",IF($K$16="Use global average",E$276,IF($K$16="Use regional average",INDEX(E$280:E$296,MATCH($B62,$B$280:$B$296,0)),IF($K$16="Leave blank","",IF($K$16="Fill with zeros", 0,IF($K$16="Use global median",E$277,"Fill out I16"))))), E62))</f>
        <v/>
      </c>
      <c r="I62" s="618" t="str">
        <f t="shared" si="124"/>
        <v/>
      </c>
      <c r="J62" s="159"/>
      <c r="K62" s="159"/>
      <c r="L62" s="159" t="str">
        <f>IF(M62="","",IF(COUNTIF(Countries!$B$1:$H$271,M62)&gt;0,"",IF(COUNTIF(Countries!$M$1:$S$271,M62)&gt;0,"Not a country","ERROR – NOT LISTED. Add alt spelling to ''Countries'' tab")))</f>
        <v/>
      </c>
      <c r="M62" s="606" t="s">
        <v>756</v>
      </c>
      <c r="N62" s="620" t="s">
        <v>694</v>
      </c>
      <c r="O62" s="630" t="str">
        <f t="shared" si="12"/>
        <v>#VALUE!</v>
      </c>
      <c r="P62" s="192">
        <v>0.7491229</v>
      </c>
      <c r="Q62" s="622">
        <v>0.05974</v>
      </c>
      <c r="R62" s="625" t="str">
        <f t="shared" si="7"/>
        <v/>
      </c>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59"/>
      <c r="AV62" s="159"/>
      <c r="AW62" s="159"/>
      <c r="AX62" s="159"/>
      <c r="AY62" s="159"/>
      <c r="AZ62" s="159"/>
      <c r="BA62" s="159"/>
      <c r="BB62" s="159"/>
      <c r="BC62" s="159"/>
      <c r="BD62" s="159"/>
      <c r="BE62" s="159"/>
      <c r="BF62" s="159"/>
      <c r="BG62" s="159"/>
      <c r="BH62" s="159"/>
      <c r="BI62" s="159"/>
      <c r="BJ62" s="159"/>
      <c r="BK62" s="159"/>
      <c r="BL62" s="159"/>
      <c r="BM62" s="159"/>
      <c r="BN62" s="159"/>
      <c r="BO62" s="159"/>
      <c r="BP62" s="159"/>
      <c r="BQ62" s="159"/>
      <c r="BR62" s="159"/>
      <c r="BS62" s="159"/>
      <c r="BT62" s="159"/>
      <c r="BU62" s="159"/>
      <c r="BV62" s="159"/>
      <c r="BW62" s="159"/>
      <c r="BX62" s="159"/>
      <c r="BY62" s="159"/>
      <c r="BZ62" s="159"/>
      <c r="CA62" s="159"/>
      <c r="CB62" s="159"/>
      <c r="CC62" s="159"/>
    </row>
    <row r="63">
      <c r="A63" s="613" t="str">
        <f>Countries!B62</f>
        <v>Finland</v>
      </c>
      <c r="B63" s="614" t="str">
        <f>Countries!I62</f>
        <v>Europe</v>
      </c>
      <c r="C63" s="615">
        <f>IFERROR(IFERROR(IFERROR(IFERROR(IFERROR(IFERROR(IFERROR(MATCH(Countries!$B62,$M$3:$M$1003,0),MATCH(Countries!$C62,$M$3:$M$1003,0)),MATCH(Countries!$D62,$M$3:$M$1003,0)),MATCH(Countries!$E62,$M$3:$M$1003,0)),MATCH(Countries!$F62,$M$3:$M$1003,0)),MATCH(Countries!$G62,$M$3:$M$1003,0)),MATCH(Countries!$H62,$M$3:$M$1003,0)),"X")</f>
        <v>65</v>
      </c>
      <c r="D63" s="616">
        <f t="shared" ref="D63:F63" si="125">IF(G$2="","",IF($C63="X","",INDEX($N$3:$CC$1003,$C63,MATCH(G$2,$N$2:$CC$2,0))))</f>
        <v>41473.72658</v>
      </c>
      <c r="E63" s="603" t="str">
        <f t="shared" si="125"/>
        <v/>
      </c>
      <c r="F63" s="603" t="str">
        <f t="shared" si="125"/>
        <v/>
      </c>
      <c r="G63" s="617">
        <f t="shared" si="5"/>
        <v>41473.72658</v>
      </c>
      <c r="H63" s="618" t="str">
        <f t="shared" ref="H63:I63" si="126">IF(H$2="","", IF(E63="",IF($K$16="Use global average",E$276,IF($K$16="Use regional average",INDEX(E$280:E$296,MATCH($B63,$B$280:$B$296,0)),IF($K$16="Leave blank","",IF($K$16="Fill with zeros", 0,IF($K$16="Use global median",E$277,"Fill out I16"))))), E63))</f>
        <v/>
      </c>
      <c r="I63" s="618" t="str">
        <f t="shared" si="126"/>
        <v/>
      </c>
      <c r="J63" s="159"/>
      <c r="K63" s="159"/>
      <c r="L63" s="159" t="str">
        <f>IF(M63="","",IF(COUNTIF(Countries!$B$1:$H$271,M63)&gt;0,"",IF(COUNTIF(Countries!$M$1:$S$271,M63)&gt;0,"Not a country","ERROR – NOT LISTED. Add alt spelling to ''Countries'' tab")))</f>
        <v/>
      </c>
      <c r="M63" s="606" t="s">
        <v>757</v>
      </c>
      <c r="N63" s="624">
        <v>40.0546</v>
      </c>
      <c r="O63" s="621">
        <f t="shared" si="12"/>
        <v>18713.50912</v>
      </c>
      <c r="P63" s="192">
        <v>0.58404476</v>
      </c>
      <c r="Q63" s="622">
        <v>0.0557</v>
      </c>
      <c r="R63" s="621">
        <f t="shared" si="7"/>
        <v>33931.19161</v>
      </c>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c r="BM63" s="159"/>
      <c r="BN63" s="159"/>
      <c r="BO63" s="159"/>
      <c r="BP63" s="159"/>
      <c r="BQ63" s="159"/>
      <c r="BR63" s="159"/>
      <c r="BS63" s="159"/>
      <c r="BT63" s="159"/>
      <c r="BU63" s="159"/>
      <c r="BV63" s="159"/>
      <c r="BW63" s="159"/>
      <c r="BX63" s="159"/>
      <c r="BY63" s="159"/>
      <c r="BZ63" s="159"/>
      <c r="CA63" s="159"/>
      <c r="CB63" s="159"/>
      <c r="CC63" s="159"/>
    </row>
    <row r="64">
      <c r="A64" s="613" t="str">
        <f>Countries!B63</f>
        <v>France</v>
      </c>
      <c r="B64" s="614" t="str">
        <f>Countries!I63</f>
        <v>Europe</v>
      </c>
      <c r="C64" s="615">
        <f>IFERROR(IFERROR(IFERROR(IFERROR(IFERROR(IFERROR(IFERROR(MATCH(Countries!$B63,$M$3:$M$1003,0),MATCH(Countries!$C63,$M$3:$M$1003,0)),MATCH(Countries!$D63,$M$3:$M$1003,0)),MATCH(Countries!$E63,$M$3:$M$1003,0)),MATCH(Countries!$F63,$M$3:$M$1003,0)),MATCH(Countries!$G63,$M$3:$M$1003,0)),MATCH(Countries!$H63,$M$3:$M$1003,0)),"X")</f>
        <v>66</v>
      </c>
      <c r="D64" s="616">
        <f t="shared" ref="D64:F64" si="127">IF(G$2="","",IF($C64="X","",INDEX($N$3:$CC$1003,$C64,MATCH(G$2,$N$2:$CC$2,0))))</f>
        <v>40069.4626</v>
      </c>
      <c r="E64" s="603" t="str">
        <f t="shared" si="127"/>
        <v/>
      </c>
      <c r="F64" s="603" t="str">
        <f t="shared" si="127"/>
        <v/>
      </c>
      <c r="G64" s="617">
        <f t="shared" si="5"/>
        <v>40069.4626</v>
      </c>
      <c r="H64" s="618" t="str">
        <f t="shared" ref="H64:I64" si="128">IF(H$2="","", IF(E64="",IF($K$16="Use global average",E$276,IF($K$16="Use regional average",INDEX(E$280:E$296,MATCH($B64,$B$280:$B$296,0)),IF($K$16="Leave blank","",IF($K$16="Fill with zeros", 0,IF($K$16="Use global median",E$277,"Fill out I16"))))), E64))</f>
        <v/>
      </c>
      <c r="I64" s="618" t="str">
        <f t="shared" si="128"/>
        <v/>
      </c>
      <c r="J64" s="159"/>
      <c r="K64" s="159"/>
      <c r="L64" s="159" t="str">
        <f>IF(M64="","",IF(COUNTIF(Countries!$B$1:$H$271,M64)&gt;0,"",IF(COUNTIF(Countries!$M$1:$S$271,M64)&gt;0,"Not a country","ERROR – NOT LISTED. Add alt spelling to ''Countries'' tab")))</f>
        <v/>
      </c>
      <c r="M64" s="606" t="s">
        <v>758</v>
      </c>
      <c r="N64" s="624">
        <v>2.9537303</v>
      </c>
      <c r="O64" s="621">
        <f t="shared" si="12"/>
        <v>1379.982796</v>
      </c>
      <c r="P64" s="192">
        <v>0.60812046</v>
      </c>
      <c r="Q64" s="622">
        <v>0.22643000000000002</v>
      </c>
      <c r="R64" s="621">
        <f t="shared" si="7"/>
        <v>2933.488824</v>
      </c>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c r="BS64" s="159"/>
      <c r="BT64" s="159"/>
      <c r="BU64" s="159"/>
      <c r="BV64" s="159"/>
      <c r="BW64" s="159"/>
      <c r="BX64" s="159"/>
      <c r="BY64" s="159"/>
      <c r="BZ64" s="159"/>
      <c r="CA64" s="159"/>
      <c r="CB64" s="159"/>
      <c r="CC64" s="159"/>
    </row>
    <row r="65">
      <c r="A65" s="613" t="str">
        <f>Countries!B64</f>
        <v>Gabon</v>
      </c>
      <c r="B65" s="614" t="str">
        <f>Countries!I64</f>
        <v>Sub-Saharan Africa</v>
      </c>
      <c r="C65" s="615">
        <f>IFERROR(IFERROR(IFERROR(IFERROR(IFERROR(IFERROR(IFERROR(MATCH(Countries!$B64,$M$3:$M$1003,0),MATCH(Countries!$C64,$M$3:$M$1003,0)),MATCH(Countries!$D64,$M$3:$M$1003,0)),MATCH(Countries!$E64,$M$3:$M$1003,0)),MATCH(Countries!$F64,$M$3:$M$1003,0)),MATCH(Countries!$G64,$M$3:$M$1003,0)),MATCH(Countries!$H64,$M$3:$M$1003,0)),"X")</f>
        <v>67</v>
      </c>
      <c r="D65" s="616">
        <f t="shared" ref="D65:F65" si="129">IF(G$2="","",IF($C65="X","",INDEX($N$3:$CC$1003,$C65,MATCH(G$2,$N$2:$CC$2,0))))</f>
        <v>8292.939973</v>
      </c>
      <c r="E65" s="603" t="str">
        <f t="shared" si="129"/>
        <v/>
      </c>
      <c r="F65" s="603" t="str">
        <f t="shared" si="129"/>
        <v/>
      </c>
      <c r="G65" s="617">
        <f t="shared" si="5"/>
        <v>8292.939973</v>
      </c>
      <c r="H65" s="618" t="str">
        <f t="shared" ref="H65:I65" si="130">IF(H$2="","", IF(E65="",IF($K$16="Use global average",E$276,IF($K$16="Use regional average",INDEX(E$280:E$296,MATCH($B65,$B$280:$B$296,0)),IF($K$16="Leave blank","",IF($K$16="Fill with zeros", 0,IF($K$16="Use global median",E$277,"Fill out I16"))))), E65))</f>
        <v/>
      </c>
      <c r="I65" s="618" t="str">
        <f t="shared" si="130"/>
        <v/>
      </c>
      <c r="J65" s="159"/>
      <c r="K65" s="159"/>
      <c r="L65" s="159" t="str">
        <f>IF(M65="","",IF(COUNTIF(Countries!$B$1:$H$271,M65)&gt;0,"",IF(COUNTIF(Countries!$M$1:$S$271,M65)&gt;0,"Not a country","ERROR – NOT LISTED. Add alt spelling to ''Countries'' tab")))</f>
        <v/>
      </c>
      <c r="M65" s="606" t="s">
        <v>759</v>
      </c>
      <c r="N65" s="624">
        <v>3.0618846</v>
      </c>
      <c r="O65" s="621">
        <f t="shared" si="12"/>
        <v>1430.512485</v>
      </c>
      <c r="P65" s="192">
        <v>0.7402458</v>
      </c>
      <c r="Q65" s="622">
        <v>0.03415</v>
      </c>
      <c r="R65" s="621">
        <f t="shared" si="7"/>
        <v>2000.81077</v>
      </c>
      <c r="S65" s="159"/>
      <c r="T65" s="159"/>
      <c r="U65" s="159"/>
      <c r="V65" s="159"/>
      <c r="W65" s="159"/>
      <c r="X65" s="159"/>
      <c r="Y65" s="159"/>
      <c r="Z65" s="159"/>
      <c r="AA65" s="159"/>
      <c r="AB65" s="159"/>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159"/>
      <c r="BA65" s="159"/>
      <c r="BB65" s="159"/>
      <c r="BC65" s="159"/>
      <c r="BD65" s="159"/>
      <c r="BE65" s="159"/>
      <c r="BF65" s="159"/>
      <c r="BG65" s="159"/>
      <c r="BH65" s="159"/>
      <c r="BI65" s="159"/>
      <c r="BJ65" s="159"/>
      <c r="BK65" s="159"/>
      <c r="BL65" s="159"/>
      <c r="BM65" s="159"/>
      <c r="BN65" s="159"/>
      <c r="BO65" s="159"/>
      <c r="BP65" s="159"/>
      <c r="BQ65" s="159"/>
      <c r="BR65" s="159"/>
      <c r="BS65" s="159"/>
      <c r="BT65" s="159"/>
      <c r="BU65" s="159"/>
      <c r="BV65" s="159"/>
      <c r="BW65" s="159"/>
      <c r="BX65" s="159"/>
      <c r="BY65" s="159"/>
      <c r="BZ65" s="159"/>
      <c r="CA65" s="159"/>
      <c r="CB65" s="159"/>
      <c r="CC65" s="159"/>
    </row>
    <row r="66">
      <c r="A66" s="613" t="str">
        <f>Countries!B65</f>
        <v>Gambia</v>
      </c>
      <c r="B66" s="614" t="str">
        <f>Countries!I65</f>
        <v>Sub-Saharan Africa</v>
      </c>
      <c r="C66" s="615">
        <f>IFERROR(IFERROR(IFERROR(IFERROR(IFERROR(IFERROR(IFERROR(MATCH(Countries!$B65,$M$3:$M$1003,0),MATCH(Countries!$C65,$M$3:$M$1003,0)),MATCH(Countries!$D65,$M$3:$M$1003,0)),MATCH(Countries!$E65,$M$3:$M$1003,0)),MATCH(Countries!$F65,$M$3:$M$1003,0)),MATCH(Countries!$G65,$M$3:$M$1003,0)),MATCH(Countries!$H65,$M$3:$M$1003,0)),"X")</f>
        <v>68</v>
      </c>
      <c r="D66" s="616">
        <f t="shared" ref="D66:F66" si="131">IF(G$2="","",IF($C66="X","",INDEX($N$3:$CC$1003,$C66,MATCH(G$2,$N$2:$CC$2,0))))</f>
        <v>2400.652421</v>
      </c>
      <c r="E66" s="603" t="str">
        <f t="shared" si="131"/>
        <v/>
      </c>
      <c r="F66" s="603" t="str">
        <f t="shared" si="131"/>
        <v/>
      </c>
      <c r="G66" s="617">
        <f t="shared" si="5"/>
        <v>2400.652421</v>
      </c>
      <c r="H66" s="618" t="str">
        <f t="shared" ref="H66:I66" si="132">IF(H$2="","", IF(E66="",IF($K$16="Use global average",E$276,IF($K$16="Use regional average",INDEX(E$280:E$296,MATCH($B66,$B$280:$B$296,0)),IF($K$16="Leave blank","",IF($K$16="Fill with zeros", 0,IF($K$16="Use global median",E$277,"Fill out I16"))))), E66))</f>
        <v/>
      </c>
      <c r="I66" s="618" t="str">
        <f t="shared" si="132"/>
        <v/>
      </c>
      <c r="J66" s="159"/>
      <c r="K66" s="159"/>
      <c r="L66" s="159" t="str">
        <f>IF(M66="","",IF(COUNTIF(Countries!$B$1:$H$271,M66)&gt;0,"",IF(COUNTIF(Countries!$M$1:$S$271,M66)&gt;0,"Not a country","ERROR – NOT LISTED. Add alt spelling to ''Countries'' tab")))</f>
        <v/>
      </c>
      <c r="M66" s="606" t="s">
        <v>760</v>
      </c>
      <c r="N66" s="624">
        <v>6.643387</v>
      </c>
      <c r="O66" s="621">
        <f t="shared" si="12"/>
        <v>3103.790406</v>
      </c>
      <c r="P66" s="192">
        <v>0.5089428</v>
      </c>
      <c r="Q66" s="622">
        <v>0.04562</v>
      </c>
      <c r="R66" s="621">
        <f t="shared" si="7"/>
        <v>6390.018006</v>
      </c>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row>
    <row r="67">
      <c r="A67" s="613" t="str">
        <f>Countries!B66</f>
        <v>Georgia</v>
      </c>
      <c r="B67" s="614" t="str">
        <f>Countries!I66</f>
        <v>Europe</v>
      </c>
      <c r="C67" s="615">
        <f>IFERROR(IFERROR(IFERROR(IFERROR(IFERROR(IFERROR(IFERROR(MATCH(Countries!$B66,$M$3:$M$1003,0),MATCH(Countries!$C66,$M$3:$M$1003,0)),MATCH(Countries!$D66,$M$3:$M$1003,0)),MATCH(Countries!$E66,$M$3:$M$1003,0)),MATCH(Countries!$F66,$M$3:$M$1003,0)),MATCH(Countries!$G66,$M$3:$M$1003,0)),MATCH(Countries!$H66,$M$3:$M$1003,0)),"X")</f>
        <v>69</v>
      </c>
      <c r="D67" s="616">
        <f t="shared" ref="D67:F67" si="133">IF(G$2="","",IF($C67="X","",INDEX($N$3:$CC$1003,$C67,MATCH(G$2,$N$2:$CC$2,0))))</f>
        <v>5875.057777</v>
      </c>
      <c r="E67" s="603" t="str">
        <f t="shared" si="133"/>
        <v/>
      </c>
      <c r="F67" s="603" t="str">
        <f t="shared" si="133"/>
        <v/>
      </c>
      <c r="G67" s="617">
        <f t="shared" si="5"/>
        <v>5875.057777</v>
      </c>
      <c r="H67" s="618" t="str">
        <f t="shared" ref="H67:I67" si="134">IF(H$2="","", IF(E67="",IF($K$16="Use global average",E$276,IF($K$16="Use regional average",INDEX(E$280:E$296,MATCH($B67,$B$280:$B$296,0)),IF($K$16="Leave blank","",IF($K$16="Fill with zeros", 0,IF($K$16="Use global median",E$277,"Fill out I16"))))), E67))</f>
        <v/>
      </c>
      <c r="I67" s="618" t="str">
        <f t="shared" si="134"/>
        <v/>
      </c>
      <c r="J67" s="159"/>
      <c r="K67" s="159"/>
      <c r="L67" s="159" t="str">
        <f>IF(M67="","",IF(COUNTIF(Countries!$B$1:$H$271,M67)&gt;0,"",IF(COUNTIF(Countries!$M$1:$S$271,M67)&gt;0,"Not a country","ERROR – NOT LISTED. Add alt spelling to ''Countries'' tab")))</f>
        <v/>
      </c>
      <c r="M67" s="606" t="s">
        <v>761</v>
      </c>
      <c r="N67" s="624">
        <v>51.83912</v>
      </c>
      <c r="O67" s="621">
        <f t="shared" si="12"/>
        <v>24219.23686</v>
      </c>
      <c r="P67" s="192">
        <v>0.62603535</v>
      </c>
      <c r="Q67" s="622">
        <v>0.0672</v>
      </c>
      <c r="R67" s="621">
        <f t="shared" si="7"/>
        <v>41473.72658</v>
      </c>
      <c r="S67" s="159"/>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row>
    <row r="68">
      <c r="A68" s="613" t="str">
        <f>Countries!B67</f>
        <v>Germany</v>
      </c>
      <c r="B68" s="614" t="str">
        <f>Countries!I67</f>
        <v>Europe</v>
      </c>
      <c r="C68" s="615">
        <f>IFERROR(IFERROR(IFERROR(IFERROR(IFERROR(IFERROR(IFERROR(MATCH(Countries!$B67,$M$3:$M$1003,0),MATCH(Countries!$C67,$M$3:$M$1003,0)),MATCH(Countries!$D67,$M$3:$M$1003,0)),MATCH(Countries!$E67,$M$3:$M$1003,0)),MATCH(Countries!$F67,$M$3:$M$1003,0)),MATCH(Countries!$G67,$M$3:$M$1003,0)),MATCH(Countries!$H67,$M$3:$M$1003,0)),"X")</f>
        <v>70</v>
      </c>
      <c r="D68" s="616">
        <f t="shared" ref="D68:F68" si="135">IF(G$2="","",IF($C68="X","",INDEX($N$3:$CC$1003,$C68,MATCH(G$2,$N$2:$CC$2,0))))</f>
        <v>46342.34403</v>
      </c>
      <c r="E68" s="603" t="str">
        <f t="shared" si="135"/>
        <v/>
      </c>
      <c r="F68" s="603" t="str">
        <f t="shared" si="135"/>
        <v/>
      </c>
      <c r="G68" s="617">
        <f t="shared" si="5"/>
        <v>46342.34403</v>
      </c>
      <c r="H68" s="618" t="str">
        <f t="shared" ref="H68:I68" si="136">IF(H$2="","", IF(E68="",IF($K$16="Use global average",E$276,IF($K$16="Use regional average",INDEX(E$280:E$296,MATCH($B68,$B$280:$B$296,0)),IF($K$16="Leave blank","",IF($K$16="Fill with zeros", 0,IF($K$16="Use global median",E$277,"Fill out I16"))))), E68))</f>
        <v/>
      </c>
      <c r="I68" s="618" t="str">
        <f t="shared" si="136"/>
        <v/>
      </c>
      <c r="J68" s="159"/>
      <c r="K68" s="159"/>
      <c r="L68" s="159" t="str">
        <f>IF(M68="","",IF(COUNTIF(Countries!$B$1:$H$271,M68)&gt;0,"",IF(COUNTIF(Countries!$M$1:$S$271,M68)&gt;0,"Not a country","ERROR – NOT LISTED. Add alt spelling to ''Countries'' tab")))</f>
        <v/>
      </c>
      <c r="M68" s="606" t="s">
        <v>762</v>
      </c>
      <c r="N68" s="624">
        <v>49.779552</v>
      </c>
      <c r="O68" s="621">
        <f t="shared" si="12"/>
        <v>23257.00669</v>
      </c>
      <c r="P68" s="192">
        <v>0.62619186</v>
      </c>
      <c r="Q68" s="622">
        <v>0.0731</v>
      </c>
      <c r="R68" s="621">
        <f t="shared" si="7"/>
        <v>40069.4626</v>
      </c>
      <c r="S68" s="159"/>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row>
    <row r="69">
      <c r="A69" s="613" t="str">
        <f>Countries!B68</f>
        <v>Ghana</v>
      </c>
      <c r="B69" s="614" t="str">
        <f>Countries!I68</f>
        <v>Sub-Saharan Africa</v>
      </c>
      <c r="C69" s="615">
        <f>IFERROR(IFERROR(IFERROR(IFERROR(IFERROR(IFERROR(IFERROR(MATCH(Countries!$B68,$M$3:$M$1003,0),MATCH(Countries!$C68,$M$3:$M$1003,0)),MATCH(Countries!$D68,$M$3:$M$1003,0)),MATCH(Countries!$E68,$M$3:$M$1003,0)),MATCH(Countries!$F68,$M$3:$M$1003,0)),MATCH(Countries!$G68,$M$3:$M$1003,0)),MATCH(Countries!$H68,$M$3:$M$1003,0)),"X")</f>
        <v>71</v>
      </c>
      <c r="D69" s="616">
        <f t="shared" ref="D69:F69" si="137">IF(G$2="","",IF($C69="X","",INDEX($N$3:$CC$1003,$C69,MATCH(G$2,$N$2:$CC$2,0))))</f>
        <v>2736.577102</v>
      </c>
      <c r="E69" s="603" t="str">
        <f t="shared" si="137"/>
        <v/>
      </c>
      <c r="F69" s="603" t="str">
        <f t="shared" si="137"/>
        <v/>
      </c>
      <c r="G69" s="617">
        <f t="shared" si="5"/>
        <v>2736.577102</v>
      </c>
      <c r="H69" s="618" t="str">
        <f t="shared" ref="H69:I69" si="138">IF(H$2="","", IF(E69="",IF($K$16="Use global average",E$276,IF($K$16="Use regional average",INDEX(E$280:E$296,MATCH($B69,$B$280:$B$296,0)),IF($K$16="Leave blank","",IF($K$16="Fill with zeros", 0,IF($K$16="Use global median",E$277,"Fill out I16"))))), E69))</f>
        <v/>
      </c>
      <c r="I69" s="618" t="str">
        <f t="shared" si="138"/>
        <v/>
      </c>
      <c r="J69" s="159"/>
      <c r="K69" s="159"/>
      <c r="L69" s="159" t="str">
        <f>IF(M69="","",IF(COUNTIF(Countries!$B$1:$H$271,M69)&gt;0,"",IF(COUNTIF(Countries!$M$1:$S$271,M69)&gt;0,"Not a country","ERROR – NOT LISTED. Add alt spelling to ''Countries'' tab")))</f>
        <v/>
      </c>
      <c r="M69" s="606" t="s">
        <v>763</v>
      </c>
      <c r="N69" s="624">
        <v>9.673192</v>
      </c>
      <c r="O69" s="621">
        <f t="shared" si="12"/>
        <v>4519.315302</v>
      </c>
      <c r="P69" s="192">
        <v>0.68643326</v>
      </c>
      <c r="Q69" s="622">
        <v>0.2061</v>
      </c>
      <c r="R69" s="621">
        <f t="shared" si="7"/>
        <v>8292.939973</v>
      </c>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row>
    <row r="70">
      <c r="A70" s="613" t="str">
        <f>Countries!B69</f>
        <v>Greece</v>
      </c>
      <c r="B70" s="614" t="str">
        <f>Countries!I69</f>
        <v>Europe</v>
      </c>
      <c r="C70" s="615">
        <f>IFERROR(IFERROR(IFERROR(IFERROR(IFERROR(IFERROR(IFERROR(MATCH(Countries!$B69,$M$3:$M$1003,0),MATCH(Countries!$C69,$M$3:$M$1003,0)),MATCH(Countries!$D69,$M$3:$M$1003,0)),MATCH(Countries!$E69,$M$3:$M$1003,0)),MATCH(Countries!$F69,$M$3:$M$1003,0)),MATCH(Countries!$G69,$M$3:$M$1003,0)),MATCH(Countries!$H69,$M$3:$M$1003,0)),"X")</f>
        <v>72</v>
      </c>
      <c r="D70" s="616">
        <f t="shared" ref="D70:F70" si="139">IF(G$2="","",IF($C70="X","",INDEX($N$3:$CC$1003,$C70,MATCH(G$2,$N$2:$CC$2,0))))</f>
        <v>23959.56799</v>
      </c>
      <c r="E70" s="603" t="str">
        <f t="shared" si="139"/>
        <v/>
      </c>
      <c r="F70" s="603" t="str">
        <f t="shared" si="139"/>
        <v/>
      </c>
      <c r="G70" s="617">
        <f t="shared" si="5"/>
        <v>23959.56799</v>
      </c>
      <c r="H70" s="618" t="str">
        <f t="shared" ref="H70:I70" si="140">IF(H$2="","", IF(E70="",IF($K$16="Use global average",E$276,IF($K$16="Use regional average",INDEX(E$280:E$296,MATCH($B70,$B$280:$B$296,0)),IF($K$16="Leave blank","",IF($K$16="Fill with zeros", 0,IF($K$16="Use global median",E$277,"Fill out I16"))))), E70))</f>
        <v/>
      </c>
      <c r="I70" s="618" t="str">
        <f t="shared" si="140"/>
        <v/>
      </c>
      <c r="J70" s="159"/>
      <c r="K70" s="159"/>
      <c r="L70" s="159" t="str">
        <f>IF(M70="","",IF(COUNTIF(Countries!$B$1:$H$271,M70)&gt;0,"",IF(COUNTIF(Countries!$M$1:$S$271,M70)&gt;0,"Not a country","ERROR – NOT LISTED. Add alt spelling to ''Countries'' tab")))</f>
        <v/>
      </c>
      <c r="M70" s="606" t="s">
        <v>764</v>
      </c>
      <c r="N70" s="624">
        <v>3.8196523</v>
      </c>
      <c r="O70" s="621">
        <f t="shared" si="12"/>
        <v>1784.541555</v>
      </c>
      <c r="P70" s="192">
        <v>0.7764735</v>
      </c>
      <c r="Q70" s="622">
        <v>0.042649999999999993</v>
      </c>
      <c r="R70" s="621">
        <f t="shared" si="7"/>
        <v>2400.652421</v>
      </c>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59"/>
      <c r="CA70" s="159"/>
      <c r="CB70" s="159"/>
      <c r="CC70" s="159"/>
    </row>
    <row r="71">
      <c r="A71" s="613" t="str">
        <f>Countries!B70</f>
        <v>Grenada</v>
      </c>
      <c r="B71" s="614" t="str">
        <f>Countries!I70</f>
        <v>Caribbean</v>
      </c>
      <c r="C71" s="615">
        <f>IFERROR(IFERROR(IFERROR(IFERROR(IFERROR(IFERROR(IFERROR(MATCH(Countries!$B70,$M$3:$M$1003,0),MATCH(Countries!$C70,$M$3:$M$1003,0)),MATCH(Countries!$D70,$M$3:$M$1003,0)),MATCH(Countries!$E70,$M$3:$M$1003,0)),MATCH(Countries!$F70,$M$3:$M$1003,0)),MATCH(Countries!$G70,$M$3:$M$1003,0)),MATCH(Countries!$H70,$M$3:$M$1003,0)),"X")</f>
        <v>73</v>
      </c>
      <c r="D71" s="627" t="str">
        <f t="shared" ref="D71:F71" si="141">IF(G$2="","",IF($C71="X","",INDEX($N$3:$CC$1003,$C71,MATCH(G$2,$N$2:$CC$2,0))))</f>
        <v/>
      </c>
      <c r="E71" s="603" t="str">
        <f t="shared" si="141"/>
        <v/>
      </c>
      <c r="F71" s="603" t="str">
        <f t="shared" si="141"/>
        <v/>
      </c>
      <c r="G71" s="628">
        <f t="shared" si="5"/>
        <v>12713.17965</v>
      </c>
      <c r="H71" s="618" t="str">
        <f t="shared" ref="H71:I71" si="142">IF(H$2="","", IF(E71="",IF($K$16="Use global average",E$276,IF($K$16="Use regional average",INDEX(E$280:E$296,MATCH($B71,$B$280:$B$296,0)),IF($K$16="Leave blank","",IF($K$16="Fill with zeros", 0,IF($K$16="Use global median",E$277,"Fill out I16"))))), E71))</f>
        <v/>
      </c>
      <c r="I71" s="618" t="str">
        <f t="shared" si="142"/>
        <v/>
      </c>
      <c r="J71" s="159"/>
      <c r="K71" s="159"/>
      <c r="L71" s="159" t="str">
        <f>IF(M71="","",IF(COUNTIF(Countries!$B$1:$H$271,M71)&gt;0,"",IF(COUNTIF(Countries!$M$1:$S$271,M71)&gt;0,"Not a country","ERROR – NOT LISTED. Add alt spelling to ''Countries'' tab")))</f>
        <v/>
      </c>
      <c r="M71" s="606" t="s">
        <v>765</v>
      </c>
      <c r="N71" s="624">
        <v>6.3433757</v>
      </c>
      <c r="O71" s="621">
        <f t="shared" si="12"/>
        <v>2963.625127</v>
      </c>
      <c r="P71" s="192">
        <v>0.57117188</v>
      </c>
      <c r="Q71" s="622">
        <v>0.11683</v>
      </c>
      <c r="R71" s="621">
        <f t="shared" si="7"/>
        <v>5875.057777</v>
      </c>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59"/>
      <c r="CA71" s="159"/>
      <c r="CB71" s="159"/>
      <c r="CC71" s="159"/>
    </row>
    <row r="72">
      <c r="A72" s="613" t="str">
        <f>Countries!B71</f>
        <v>Guatemala</v>
      </c>
      <c r="B72" s="614" t="str">
        <f>Countries!I71</f>
        <v>Latin America</v>
      </c>
      <c r="C72" s="615">
        <f>IFERROR(IFERROR(IFERROR(IFERROR(IFERROR(IFERROR(IFERROR(MATCH(Countries!$B71,$M$3:$M$1003,0),MATCH(Countries!$C71,$M$3:$M$1003,0)),MATCH(Countries!$D71,$M$3:$M$1003,0)),MATCH(Countries!$E71,$M$3:$M$1003,0)),MATCH(Countries!$F71,$M$3:$M$1003,0)),MATCH(Countries!$G71,$M$3:$M$1003,0)),MATCH(Countries!$H71,$M$3:$M$1003,0)),"X")</f>
        <v>74</v>
      </c>
      <c r="D72" s="616">
        <f t="shared" ref="D72:F72" si="143">IF(G$2="","",IF($C72="X","",INDEX($N$3:$CC$1003,$C72,MATCH(G$2,$N$2:$CC$2,0))))</f>
        <v>5090.14304</v>
      </c>
      <c r="E72" s="603" t="str">
        <f t="shared" si="143"/>
        <v/>
      </c>
      <c r="F72" s="603" t="str">
        <f t="shared" si="143"/>
        <v/>
      </c>
      <c r="G72" s="617">
        <f t="shared" si="5"/>
        <v>5090.14304</v>
      </c>
      <c r="H72" s="618" t="str">
        <f t="shared" ref="H72:I72" si="144">IF(H$2="","", IF(E72="",IF($K$16="Use global average",E$276,IF($K$16="Use regional average",INDEX(E$280:E$296,MATCH($B72,$B$280:$B$296,0)),IF($K$16="Leave blank","",IF($K$16="Fill with zeros", 0,IF($K$16="Use global median",E$277,"Fill out I16"))))), E72))</f>
        <v/>
      </c>
      <c r="I72" s="618" t="str">
        <f t="shared" si="144"/>
        <v/>
      </c>
      <c r="J72" s="159"/>
      <c r="K72" s="159"/>
      <c r="L72" s="159" t="str">
        <f>IF(M72="","",IF(COUNTIF(Countries!$B$1:$H$271,M72)&gt;0,"",IF(COUNTIF(Countries!$M$1:$S$271,M72)&gt;0,"Not a country","ERROR – NOT LISTED. Add alt spelling to ''Countries'' tab")))</f>
        <v/>
      </c>
      <c r="M72" s="606" t="s">
        <v>766</v>
      </c>
      <c r="N72" s="624">
        <v>55.684296</v>
      </c>
      <c r="O72" s="621">
        <f t="shared" si="12"/>
        <v>26015.70309</v>
      </c>
      <c r="P72" s="192">
        <v>0.5795796200000001</v>
      </c>
      <c r="Q72" s="622">
        <v>0.031400000000000004</v>
      </c>
      <c r="R72" s="621">
        <f t="shared" si="7"/>
        <v>46342.34403</v>
      </c>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c r="BS72" s="159"/>
      <c r="BT72" s="159"/>
      <c r="BU72" s="159"/>
      <c r="BV72" s="159"/>
      <c r="BW72" s="159"/>
      <c r="BX72" s="159"/>
      <c r="BY72" s="159"/>
      <c r="BZ72" s="159"/>
      <c r="CA72" s="159"/>
      <c r="CB72" s="159"/>
      <c r="CC72" s="159"/>
    </row>
    <row r="73">
      <c r="A73" s="613" t="str">
        <f>Countries!B72</f>
        <v>Guinea</v>
      </c>
      <c r="B73" s="614" t="str">
        <f>Countries!I72</f>
        <v>Sub-Saharan Africa</v>
      </c>
      <c r="C73" s="615">
        <f>IFERROR(IFERROR(IFERROR(IFERROR(IFERROR(IFERROR(IFERROR(MATCH(Countries!$B72,$M$3:$M$1003,0),MATCH(Countries!$C72,$M$3:$M$1003,0)),MATCH(Countries!$D72,$M$3:$M$1003,0)),MATCH(Countries!$E72,$M$3:$M$1003,0)),MATCH(Countries!$F72,$M$3:$M$1003,0)),MATCH(Countries!$G72,$M$3:$M$1003,0)),MATCH(Countries!$H72,$M$3:$M$1003,0)),"X")</f>
        <v>75</v>
      </c>
      <c r="D73" s="616">
        <f t="shared" ref="D73:F73" si="145">IF(G$2="","",IF($C73="X","",INDEX($N$3:$CC$1003,$C73,MATCH(G$2,$N$2:$CC$2,0))))</f>
        <v>2328.664993</v>
      </c>
      <c r="E73" s="603" t="str">
        <f t="shared" si="145"/>
        <v/>
      </c>
      <c r="F73" s="603" t="str">
        <f t="shared" si="145"/>
        <v/>
      </c>
      <c r="G73" s="617">
        <f t="shared" si="5"/>
        <v>2328.664993</v>
      </c>
      <c r="H73" s="618" t="str">
        <f t="shared" ref="H73:I73" si="146">IF(H$2="","", IF(E73="",IF($K$16="Use global average",E$276,IF($K$16="Use regional average",INDEX(E$280:E$296,MATCH($B73,$B$280:$B$296,0)),IF($K$16="Leave blank","",IF($K$16="Fill with zeros", 0,IF($K$16="Use global median",E$277,"Fill out I16"))))), E73))</f>
        <v/>
      </c>
      <c r="I73" s="618" t="str">
        <f t="shared" si="146"/>
        <v/>
      </c>
      <c r="J73" s="159"/>
      <c r="K73" s="159"/>
      <c r="L73" s="159" t="str">
        <f>IF(M73="","",IF(COUNTIF(Countries!$B$1:$H$271,M73)&gt;0,"",IF(COUNTIF(Countries!$M$1:$S$271,M73)&gt;0,"Not a country","ERROR – NOT LISTED. Add alt spelling to ''Countries'' tab")))</f>
        <v/>
      </c>
      <c r="M73" s="606" t="s">
        <v>767</v>
      </c>
      <c r="N73" s="624">
        <v>3.7379272</v>
      </c>
      <c r="O73" s="621">
        <f t="shared" si="12"/>
        <v>1746.359588</v>
      </c>
      <c r="P73" s="192">
        <v>0.6614236</v>
      </c>
      <c r="Q73" s="622">
        <v>0.035179999999999996</v>
      </c>
      <c r="R73" s="621">
        <f t="shared" si="7"/>
        <v>2736.577102</v>
      </c>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row>
    <row r="74">
      <c r="A74" s="613" t="str">
        <f>Countries!B73</f>
        <v>Guinea-Bissau</v>
      </c>
      <c r="B74" s="614" t="str">
        <f>Countries!I73</f>
        <v>Sub-Saharan Africa</v>
      </c>
      <c r="C74" s="615">
        <f>IFERROR(IFERROR(IFERROR(IFERROR(IFERROR(IFERROR(IFERROR(MATCH(Countries!$B73,$M$3:$M$1003,0),MATCH(Countries!$C73,$M$3:$M$1003,0)),MATCH(Countries!$D73,$M$3:$M$1003,0)),MATCH(Countries!$E73,$M$3:$M$1003,0)),MATCH(Countries!$F73,$M$3:$M$1003,0)),MATCH(Countries!$G73,$M$3:$M$1003,0)),MATCH(Countries!$H73,$M$3:$M$1003,0)),"X")</f>
        <v>76</v>
      </c>
      <c r="D74" s="616">
        <f t="shared" ref="D74:F74" si="147">IF(G$2="","",IF($C74="X","",INDEX($N$3:$CC$1003,$C74,MATCH(G$2,$N$2:$CC$2,0))))</f>
        <v>2042.586434</v>
      </c>
      <c r="E74" s="603" t="str">
        <f t="shared" si="147"/>
        <v/>
      </c>
      <c r="F74" s="603" t="str">
        <f t="shared" si="147"/>
        <v/>
      </c>
      <c r="G74" s="617">
        <f t="shared" si="5"/>
        <v>2042.586434</v>
      </c>
      <c r="H74" s="618" t="str">
        <f t="shared" ref="H74:I74" si="148">IF(H$2="","", IF(E74="",IF($K$16="Use global average",E$276,IF($K$16="Use regional average",INDEX(E$280:E$296,MATCH($B74,$B$280:$B$296,0)),IF($K$16="Leave blank","",IF($K$16="Fill with zeros", 0,IF($K$16="Use global median",E$277,"Fill out I16"))))), E74))</f>
        <v/>
      </c>
      <c r="I74" s="618" t="str">
        <f t="shared" si="148"/>
        <v/>
      </c>
      <c r="J74" s="159"/>
      <c r="K74" s="159"/>
      <c r="L74" s="159" t="str">
        <f>IF(M74="","",IF(COUNTIF(Countries!$B$1:$H$271,M74)&gt;0,"",IF(COUNTIF(Countries!$M$1:$S$271,M74)&gt;0,"Not a country","ERROR – NOT LISTED. Add alt spelling to ''Countries'' tab")))</f>
        <v/>
      </c>
      <c r="M74" s="606" t="s">
        <v>768</v>
      </c>
      <c r="N74" s="624">
        <v>26.430964</v>
      </c>
      <c r="O74" s="621">
        <f t="shared" si="12"/>
        <v>12348.54638</v>
      </c>
      <c r="P74" s="192">
        <v>0.58854748</v>
      </c>
      <c r="Q74" s="622">
        <v>0.1243</v>
      </c>
      <c r="R74" s="621">
        <f t="shared" si="7"/>
        <v>23959.56799</v>
      </c>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row>
    <row r="75">
      <c r="A75" s="613" t="str">
        <f>Countries!B74</f>
        <v>Guyana</v>
      </c>
      <c r="B75" s="614" t="str">
        <f>Countries!I74</f>
        <v>Latin America</v>
      </c>
      <c r="C75" s="615">
        <f>IFERROR(IFERROR(IFERROR(IFERROR(IFERROR(IFERROR(IFERROR(MATCH(Countries!$B74,$M$3:$M$1003,0),MATCH(Countries!$C74,$M$3:$M$1003,0)),MATCH(Countries!$D74,$M$3:$M$1003,0)),MATCH(Countries!$E74,$M$3:$M$1003,0)),MATCH(Countries!$F74,$M$3:$M$1003,0)),MATCH(Countries!$G74,$M$3:$M$1003,0)),MATCH(Countries!$H74,$M$3:$M$1003,0)),"X")</f>
        <v>77</v>
      </c>
      <c r="D75" s="616">
        <f t="shared" ref="D75:F75" si="149">IF(G$2="","",IF($C75="X","",INDEX($N$3:$CC$1003,$C75,MATCH(G$2,$N$2:$CC$2,0))))</f>
        <v>5772.80182</v>
      </c>
      <c r="E75" s="603" t="str">
        <f t="shared" si="149"/>
        <v/>
      </c>
      <c r="F75" s="603" t="str">
        <f t="shared" si="149"/>
        <v/>
      </c>
      <c r="G75" s="617">
        <f t="shared" si="5"/>
        <v>5772.80182</v>
      </c>
      <c r="H75" s="618" t="str">
        <f t="shared" ref="H75:I75" si="150">IF(H$2="","", IF(E75="",IF($K$16="Use global average",E$276,IF($K$16="Use regional average",INDEX(E$280:E$296,MATCH($B75,$B$280:$B$296,0)),IF($K$16="Leave blank","",IF($K$16="Fill with zeros", 0,IF($K$16="Use global median",E$277,"Fill out I16"))))), E75))</f>
        <v/>
      </c>
      <c r="I75" s="618" t="str">
        <f t="shared" si="150"/>
        <v/>
      </c>
      <c r="J75" s="159"/>
      <c r="K75" s="159"/>
      <c r="L75" s="159" t="str">
        <f>IF(M75="","",IF(COUNTIF(Countries!$B$1:$H$271,M75)&gt;0,"",IF(COUNTIF(Countries!$M$1:$S$271,M75)&gt;0,"Not a country","ERROR – NOT LISTED. Add alt spelling to ''Countries'' tab")))</f>
        <v/>
      </c>
      <c r="M75" s="606" t="s">
        <v>769</v>
      </c>
      <c r="N75" s="624">
        <v>14.055036</v>
      </c>
      <c r="O75" s="621">
        <f t="shared" si="12"/>
        <v>6566.512819</v>
      </c>
      <c r="P75" s="192">
        <v>0.4642951</v>
      </c>
      <c r="Q75" s="631" t="e">
        <v>#VALUE!</v>
      </c>
      <c r="R75" s="625" t="str">
        <f t="shared" si="7"/>
        <v/>
      </c>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c r="BS75" s="159"/>
      <c r="BT75" s="159"/>
      <c r="BU75" s="159"/>
      <c r="BV75" s="159"/>
      <c r="BW75" s="159"/>
      <c r="BX75" s="159"/>
      <c r="BY75" s="159"/>
      <c r="BZ75" s="159"/>
      <c r="CA75" s="159"/>
      <c r="CB75" s="159"/>
      <c r="CC75" s="159"/>
    </row>
    <row r="76">
      <c r="A76" s="613" t="str">
        <f>Countries!B75</f>
        <v>Haiti</v>
      </c>
      <c r="B76" s="614" t="str">
        <f>Countries!I75</f>
        <v>Caribbean</v>
      </c>
      <c r="C76" s="615">
        <f>IFERROR(IFERROR(IFERROR(IFERROR(IFERROR(IFERROR(IFERROR(MATCH(Countries!$B75,$M$3:$M$1003,0),MATCH(Countries!$C75,$M$3:$M$1003,0)),MATCH(Countries!$D75,$M$3:$M$1003,0)),MATCH(Countries!$E75,$M$3:$M$1003,0)),MATCH(Countries!$F75,$M$3:$M$1003,0)),MATCH(Countries!$G75,$M$3:$M$1003,0)),MATCH(Countries!$H75,$M$3:$M$1003,0)),"X")</f>
        <v>78</v>
      </c>
      <c r="D76" s="616">
        <f t="shared" ref="D76:F76" si="151">IF(G$2="","",IF($C76="X","",INDEX($N$3:$CC$1003,$C76,MATCH(G$2,$N$2:$CC$2,0))))</f>
        <v>1648.158535</v>
      </c>
      <c r="E76" s="603" t="str">
        <f t="shared" si="151"/>
        <v/>
      </c>
      <c r="F76" s="603" t="str">
        <f t="shared" si="151"/>
        <v/>
      </c>
      <c r="G76" s="617">
        <f t="shared" si="5"/>
        <v>1648.158535</v>
      </c>
      <c r="H76" s="618" t="str">
        <f t="shared" ref="H76:I76" si="152">IF(H$2="","", IF(E76="",IF($K$16="Use global average",E$276,IF($K$16="Use regional average",INDEX(E$280:E$296,MATCH($B76,$B$280:$B$296,0)),IF($K$16="Leave blank","",IF($K$16="Fill with zeros", 0,IF($K$16="Use global median",E$277,"Fill out I16"))))), E76))</f>
        <v/>
      </c>
      <c r="I76" s="618" t="str">
        <f t="shared" si="152"/>
        <v/>
      </c>
      <c r="J76" s="159"/>
      <c r="K76" s="159"/>
      <c r="L76" s="159" t="str">
        <f>IF(M76="","",IF(COUNTIF(Countries!$B$1:$H$271,M76)&gt;0,"",IF(COUNTIF(Countries!$M$1:$S$271,M76)&gt;0,"Not a country","ERROR – NOT LISTED. Add alt spelling to ''Countries'' tab")))</f>
        <v/>
      </c>
      <c r="M76" s="606" t="s">
        <v>770</v>
      </c>
      <c r="N76" s="624">
        <v>6.169567</v>
      </c>
      <c r="O76" s="621">
        <f t="shared" si="12"/>
        <v>2882.421702</v>
      </c>
      <c r="P76" s="192">
        <v>0.58408993</v>
      </c>
      <c r="Q76" s="622">
        <v>0.0305</v>
      </c>
      <c r="R76" s="621">
        <f t="shared" si="7"/>
        <v>5090.14304</v>
      </c>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c r="BS76" s="159"/>
      <c r="BT76" s="159"/>
      <c r="BU76" s="159"/>
      <c r="BV76" s="159"/>
      <c r="BW76" s="159"/>
      <c r="BX76" s="159"/>
      <c r="BY76" s="159"/>
      <c r="BZ76" s="159"/>
      <c r="CA76" s="159"/>
      <c r="CB76" s="159"/>
      <c r="CC76" s="159"/>
    </row>
    <row r="77">
      <c r="A77" s="613" t="str">
        <f>Countries!B76</f>
        <v>Honduras</v>
      </c>
      <c r="B77" s="614" t="str">
        <f>Countries!I76</f>
        <v>Latin America</v>
      </c>
      <c r="C77" s="615">
        <f>IFERROR(IFERROR(IFERROR(IFERROR(IFERROR(IFERROR(IFERROR(MATCH(Countries!$B76,$M$3:$M$1003,0),MATCH(Countries!$C76,$M$3:$M$1003,0)),MATCH(Countries!$D76,$M$3:$M$1003,0)),MATCH(Countries!$E76,$M$3:$M$1003,0)),MATCH(Countries!$F76,$M$3:$M$1003,0)),MATCH(Countries!$G76,$M$3:$M$1003,0)),MATCH(Countries!$H76,$M$3:$M$1003,0)),"X")</f>
        <v>79</v>
      </c>
      <c r="D77" s="616">
        <f t="shared" ref="D77:F77" si="153">IF(G$2="","",IF($C77="X","",INDEX($N$3:$CC$1003,$C77,MATCH(G$2,$N$2:$CC$2,0))))</f>
        <v>6381.804881</v>
      </c>
      <c r="E77" s="603" t="str">
        <f t="shared" si="153"/>
        <v/>
      </c>
      <c r="F77" s="603" t="str">
        <f t="shared" si="153"/>
        <v/>
      </c>
      <c r="G77" s="617">
        <f t="shared" si="5"/>
        <v>6381.804881</v>
      </c>
      <c r="H77" s="618" t="str">
        <f t="shared" ref="H77:I77" si="154">IF(H$2="","", IF(E77="",IF($K$16="Use global average",E$276,IF($K$16="Use regional average",INDEX(E$280:E$296,MATCH($B77,$B$280:$B$296,0)),IF($K$16="Leave blank","",IF($K$16="Fill with zeros", 0,IF($K$16="Use global median",E$277,"Fill out I16"))))), E77))</f>
        <v/>
      </c>
      <c r="I77" s="618" t="str">
        <f t="shared" si="154"/>
        <v/>
      </c>
      <c r="J77" s="159"/>
      <c r="K77" s="159"/>
      <c r="L77" s="159" t="str">
        <f>IF(M77="","",IF(COUNTIF(Countries!$B$1:$H$271,M77)&gt;0,"",IF(COUNTIF(Countries!$M$1:$S$271,M77)&gt;0,"Not a country","ERROR – NOT LISTED. Add alt spelling to ''Countries'' tab")))</f>
        <v/>
      </c>
      <c r="M77" s="606" t="s">
        <v>771</v>
      </c>
      <c r="N77" s="624">
        <v>3.8037891</v>
      </c>
      <c r="O77" s="621">
        <f t="shared" si="12"/>
        <v>1777.130268</v>
      </c>
      <c r="P77" s="192">
        <v>0.80779274</v>
      </c>
      <c r="Q77" s="622">
        <v>0.05526</v>
      </c>
      <c r="R77" s="621">
        <f t="shared" si="7"/>
        <v>2328.664993</v>
      </c>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row>
    <row r="78">
      <c r="A78" s="613" t="str">
        <f>Countries!B77</f>
        <v>Hungary</v>
      </c>
      <c r="B78" s="614" t="str">
        <f>Countries!I77</f>
        <v>Europe</v>
      </c>
      <c r="C78" s="615">
        <f>IFERROR(IFERROR(IFERROR(IFERROR(IFERROR(IFERROR(IFERROR(MATCH(Countries!$B77,$M$3:$M$1003,0),MATCH(Countries!$C77,$M$3:$M$1003,0)),MATCH(Countries!$D77,$M$3:$M$1003,0)),MATCH(Countries!$E77,$M$3:$M$1003,0)),MATCH(Countries!$F77,$M$3:$M$1003,0)),MATCH(Countries!$G77,$M$3:$M$1003,0)),MATCH(Countries!$H77,$M$3:$M$1003,0)),"X")</f>
        <v>80</v>
      </c>
      <c r="D78" s="616">
        <f t="shared" ref="D78:F78" si="155">IF(G$2="","",IF($C78="X","",INDEX($N$3:$CC$1003,$C78,MATCH(G$2,$N$2:$CC$2,0))))</f>
        <v>25580.55757</v>
      </c>
      <c r="E78" s="603" t="str">
        <f t="shared" si="155"/>
        <v/>
      </c>
      <c r="F78" s="603" t="str">
        <f t="shared" si="155"/>
        <v/>
      </c>
      <c r="G78" s="617">
        <f t="shared" si="5"/>
        <v>25580.55757</v>
      </c>
      <c r="H78" s="618" t="str">
        <f t="shared" ref="H78:I78" si="156">IF(H$2="","", IF(E78="",IF($K$16="Use global average",E$276,IF($K$16="Use regional average",INDEX(E$280:E$296,MATCH($B78,$B$280:$B$296,0)),IF($K$16="Leave blank","",IF($K$16="Fill with zeros", 0,IF($K$16="Use global median",E$277,"Fill out I16"))))), E78))</f>
        <v/>
      </c>
      <c r="I78" s="618" t="str">
        <f t="shared" si="156"/>
        <v/>
      </c>
      <c r="J78" s="159"/>
      <c r="K78" s="159"/>
      <c r="L78" s="159" t="str">
        <f>IF(M78="","",IF(COUNTIF(Countries!$B$1:$H$271,M78)&gt;0,"",IF(COUNTIF(Countries!$M$1:$S$271,M78)&gt;0,"Not a country","ERROR – NOT LISTED. Add alt spelling to ''Countries'' tab")))</f>
        <v/>
      </c>
      <c r="M78" s="606" t="s">
        <v>772</v>
      </c>
      <c r="N78" s="624">
        <v>3.1120498</v>
      </c>
      <c r="O78" s="621">
        <f t="shared" si="12"/>
        <v>1453.949667</v>
      </c>
      <c r="P78" s="192">
        <v>0.7356531</v>
      </c>
      <c r="Q78" s="622">
        <v>0.032400000000000005</v>
      </c>
      <c r="R78" s="621">
        <f t="shared" si="7"/>
        <v>2042.586434</v>
      </c>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c r="BS78" s="159"/>
      <c r="BT78" s="159"/>
      <c r="BU78" s="159"/>
      <c r="BV78" s="159"/>
      <c r="BW78" s="159"/>
      <c r="BX78" s="159"/>
      <c r="BY78" s="159"/>
      <c r="BZ78" s="159"/>
      <c r="CA78" s="159"/>
      <c r="CB78" s="159"/>
      <c r="CC78" s="159"/>
    </row>
    <row r="79">
      <c r="A79" s="613" t="str">
        <f>Countries!B78</f>
        <v>Iceland</v>
      </c>
      <c r="B79" s="614" t="str">
        <f>Countries!I78</f>
        <v>Europe</v>
      </c>
      <c r="C79" s="615">
        <f>IFERROR(IFERROR(IFERROR(IFERROR(IFERROR(IFERROR(IFERROR(MATCH(Countries!$B78,$M$3:$M$1003,0),MATCH(Countries!$C78,$M$3:$M$1003,0)),MATCH(Countries!$D78,$M$3:$M$1003,0)),MATCH(Countries!$E78,$M$3:$M$1003,0)),MATCH(Countries!$F78,$M$3:$M$1003,0)),MATCH(Countries!$G78,$M$3:$M$1003,0)),MATCH(Countries!$H78,$M$3:$M$1003,0)),"X")</f>
        <v>81</v>
      </c>
      <c r="D79" s="616">
        <f t="shared" ref="D79:F79" si="157">IF(G$2="","",IF($C79="X","",INDEX($N$3:$CC$1003,$C79,MATCH(G$2,$N$2:$CC$2,0))))</f>
        <v>54739.30086</v>
      </c>
      <c r="E79" s="603" t="str">
        <f t="shared" si="157"/>
        <v/>
      </c>
      <c r="F79" s="603" t="str">
        <f t="shared" si="157"/>
        <v/>
      </c>
      <c r="G79" s="617">
        <f t="shared" si="5"/>
        <v>54739.30086</v>
      </c>
      <c r="H79" s="618" t="str">
        <f t="shared" ref="H79:I79" si="158">IF(H$2="","", IF(E79="",IF($K$16="Use global average",E$276,IF($K$16="Use regional average",INDEX(E$280:E$296,MATCH($B79,$B$280:$B$296,0)),IF($K$16="Leave blank","",IF($K$16="Fill with zeros", 0,IF($K$16="Use global median",E$277,"Fill out I16"))))), E79))</f>
        <v/>
      </c>
      <c r="I79" s="618" t="str">
        <f t="shared" si="158"/>
        <v/>
      </c>
      <c r="J79" s="159"/>
      <c r="K79" s="159"/>
      <c r="L79" s="159" t="str">
        <f>IF(M79="","",IF(COUNTIF(Countries!$B$1:$H$271,M79)&gt;0,"",IF(COUNTIF(Countries!$M$1:$S$271,M79)&gt;0,"Not a country","ERROR – NOT LISTED. Add alt spelling to ''Countries'' tab")))</f>
        <v/>
      </c>
      <c r="M79" s="606" t="s">
        <v>773</v>
      </c>
      <c r="N79" s="624">
        <v>6.042705</v>
      </c>
      <c r="O79" s="621">
        <f t="shared" si="12"/>
        <v>2823.151776</v>
      </c>
      <c r="P79" s="192">
        <v>0.55763874</v>
      </c>
      <c r="Q79" s="622">
        <v>0.12301000000000001</v>
      </c>
      <c r="R79" s="621">
        <f t="shared" si="7"/>
        <v>5772.80182</v>
      </c>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c r="BS79" s="159"/>
      <c r="BT79" s="159"/>
      <c r="BU79" s="159"/>
      <c r="BV79" s="159"/>
      <c r="BW79" s="159"/>
      <c r="BX79" s="159"/>
      <c r="BY79" s="159"/>
      <c r="BZ79" s="159"/>
      <c r="CA79" s="159"/>
      <c r="CB79" s="159"/>
      <c r="CC79" s="159"/>
    </row>
    <row r="80">
      <c r="A80" s="613" t="str">
        <f>Countries!B79</f>
        <v>India</v>
      </c>
      <c r="B80" s="614" t="str">
        <f>Countries!I79</f>
        <v>South Asia</v>
      </c>
      <c r="C80" s="615">
        <f>IFERROR(IFERROR(IFERROR(IFERROR(IFERROR(IFERROR(IFERROR(MATCH(Countries!$B79,$M$3:$M$1003,0),MATCH(Countries!$C79,$M$3:$M$1003,0)),MATCH(Countries!$D79,$M$3:$M$1003,0)),MATCH(Countries!$E79,$M$3:$M$1003,0)),MATCH(Countries!$F79,$M$3:$M$1003,0)),MATCH(Countries!$G79,$M$3:$M$1003,0)),MATCH(Countries!$H79,$M$3:$M$1003,0)),"X")</f>
        <v>82</v>
      </c>
      <c r="D80" s="616">
        <f t="shared" ref="D80:F80" si="159">IF(G$2="","",IF($C80="X","",INDEX($N$3:$CC$1003,$C80,MATCH(G$2,$N$2:$CC$2,0))))</f>
        <v>4115.970245</v>
      </c>
      <c r="E80" s="603" t="str">
        <f t="shared" si="159"/>
        <v/>
      </c>
      <c r="F80" s="603" t="str">
        <f t="shared" si="159"/>
        <v/>
      </c>
      <c r="G80" s="617">
        <f t="shared" si="5"/>
        <v>4115.970245</v>
      </c>
      <c r="H80" s="618" t="str">
        <f t="shared" ref="H80:I80" si="160">IF(H$2="","", IF(E80="",IF($K$16="Use global average",E$276,IF($K$16="Use regional average",INDEX(E$280:E$296,MATCH($B80,$B$280:$B$296,0)),IF($K$16="Leave blank","",IF($K$16="Fill with zeros", 0,IF($K$16="Use global median",E$277,"Fill out I16"))))), E80))</f>
        <v/>
      </c>
      <c r="I80" s="618" t="str">
        <f t="shared" si="160"/>
        <v/>
      </c>
      <c r="J80" s="159"/>
      <c r="K80" s="159"/>
      <c r="L80" s="159" t="str">
        <f>IF(M80="","",IF(COUNTIF(Countries!$B$1:$H$271,M80)&gt;0,"",IF(COUNTIF(Countries!$M$1:$S$271,M80)&gt;0,"Not a country","ERROR – NOT LISTED. Add alt spelling to ''Countries'' tab")))</f>
        <v/>
      </c>
      <c r="M80" s="606" t="s">
        <v>774</v>
      </c>
      <c r="N80" s="624">
        <v>1.7051569</v>
      </c>
      <c r="O80" s="621">
        <f t="shared" si="12"/>
        <v>796.6493037</v>
      </c>
      <c r="P80" s="192">
        <v>0.5671609</v>
      </c>
      <c r="Q80" s="622">
        <v>0.14776</v>
      </c>
      <c r="R80" s="621">
        <f t="shared" si="7"/>
        <v>1648.158535</v>
      </c>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c r="BS80" s="159"/>
      <c r="BT80" s="159"/>
      <c r="BU80" s="159"/>
      <c r="BV80" s="159"/>
      <c r="BW80" s="159"/>
      <c r="BX80" s="159"/>
      <c r="BY80" s="159"/>
      <c r="BZ80" s="159"/>
      <c r="CA80" s="159"/>
      <c r="CB80" s="159"/>
      <c r="CC80" s="159"/>
    </row>
    <row r="81">
      <c r="A81" s="613" t="str">
        <f>Countries!B80</f>
        <v>Indonesia</v>
      </c>
      <c r="B81" s="614" t="str">
        <f>Countries!I80</f>
        <v>Southeast Asia</v>
      </c>
      <c r="C81" s="615">
        <f>IFERROR(IFERROR(IFERROR(IFERROR(IFERROR(IFERROR(IFERROR(MATCH(Countries!$B80,$M$3:$M$1003,0),MATCH(Countries!$C80,$M$3:$M$1003,0)),MATCH(Countries!$D80,$M$3:$M$1003,0)),MATCH(Countries!$E80,$M$3:$M$1003,0)),MATCH(Countries!$F80,$M$3:$M$1003,0)),MATCH(Countries!$G80,$M$3:$M$1003,0)),MATCH(Countries!$H80,$M$3:$M$1003,0)),"X")</f>
        <v>83</v>
      </c>
      <c r="D81" s="616">
        <f t="shared" ref="D81:F81" si="161">IF(G$2="","",IF($C81="X","",INDEX($N$3:$CC$1003,$C81,MATCH(G$2,$N$2:$CC$2,0))))</f>
        <v>6152.372222</v>
      </c>
      <c r="E81" s="603" t="str">
        <f t="shared" si="161"/>
        <v/>
      </c>
      <c r="F81" s="603" t="str">
        <f t="shared" si="161"/>
        <v/>
      </c>
      <c r="G81" s="617">
        <f t="shared" si="5"/>
        <v>6152.372222</v>
      </c>
      <c r="H81" s="618" t="str">
        <f t="shared" ref="H81:I81" si="162">IF(H$2="","", IF(E81="",IF($K$16="Use global average",E$276,IF($K$16="Use regional average",INDEX(E$280:E$296,MATCH($B81,$B$280:$B$296,0)),IF($K$16="Leave blank","",IF($K$16="Fill with zeros", 0,IF($K$16="Use global median",E$277,"Fill out I16"))))), E81))</f>
        <v/>
      </c>
      <c r="I81" s="618" t="str">
        <f t="shared" si="162"/>
        <v/>
      </c>
      <c r="J81" s="159"/>
      <c r="K81" s="159"/>
      <c r="L81" s="159" t="str">
        <f>IF(M81="","",IF(COUNTIF(Countries!$B$1:$H$271,M81)&gt;0,"",IF(COUNTIF(Countries!$M$1:$S$271,M81)&gt;0,"Not a country","ERROR – NOT LISTED. Add alt spelling to ''Countries'' tab")))</f>
        <v/>
      </c>
      <c r="M81" s="606" t="s">
        <v>775</v>
      </c>
      <c r="N81" s="624">
        <v>6.9277115</v>
      </c>
      <c r="O81" s="621">
        <f t="shared" si="12"/>
        <v>3236.626813</v>
      </c>
      <c r="P81" s="192">
        <v>0.54532677</v>
      </c>
      <c r="Q81" s="622">
        <v>0.06998</v>
      </c>
      <c r="R81" s="621">
        <f t="shared" si="7"/>
        <v>6381.804881</v>
      </c>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row>
    <row r="82">
      <c r="A82" s="613" t="str">
        <f>Countries!B81</f>
        <v>Iran</v>
      </c>
      <c r="B82" s="614" t="str">
        <f>Countries!I81</f>
        <v>West Asia</v>
      </c>
      <c r="C82" s="615">
        <f>IFERROR(IFERROR(IFERROR(IFERROR(IFERROR(IFERROR(IFERROR(MATCH(Countries!$B81,$M$3:$M$1003,0),MATCH(Countries!$C81,$M$3:$M$1003,0)),MATCH(Countries!$D81,$M$3:$M$1003,0)),MATCH(Countries!$E81,$M$3:$M$1003,0)),MATCH(Countries!$F81,$M$3:$M$1003,0)),MATCH(Countries!$G81,$M$3:$M$1003,0)),MATCH(Countries!$H81,$M$3:$M$1003,0)),"X")</f>
        <v>84</v>
      </c>
      <c r="D82" s="616">
        <f t="shared" ref="D82:F82" si="163">IF(G$2="","",IF($C82="X","",INDEX($N$3:$CC$1003,$C82,MATCH(G$2,$N$2:$CC$2,0))))</f>
        <v>12588.78904</v>
      </c>
      <c r="E82" s="603" t="str">
        <f t="shared" si="163"/>
        <v/>
      </c>
      <c r="F82" s="603" t="str">
        <f t="shared" si="163"/>
        <v/>
      </c>
      <c r="G82" s="617">
        <f t="shared" si="5"/>
        <v>12588.78904</v>
      </c>
      <c r="H82" s="618" t="str">
        <f t="shared" ref="H82:I82" si="164">IF(H$2="","", IF(E82="",IF($K$16="Use global average",E$276,IF($K$16="Use regional average",INDEX(E$280:E$296,MATCH($B82,$B$280:$B$296,0)),IF($K$16="Leave blank","",IF($K$16="Fill with zeros", 0,IF($K$16="Use global median",E$277,"Fill out I16"))))), E82))</f>
        <v/>
      </c>
      <c r="I82" s="618" t="str">
        <f t="shared" si="164"/>
        <v/>
      </c>
      <c r="J82" s="159"/>
      <c r="K82" s="159"/>
      <c r="L82" s="159" t="str">
        <f>IF(M82="","",IF(COUNTIF(Countries!$B$1:$H$271,M82)&gt;0,"",IF(COUNTIF(Countries!$M$1:$S$271,M82)&gt;0,"Not a country","ERROR – NOT LISTED. Add alt spelling to ''Countries'' tab")))</f>
        <v/>
      </c>
      <c r="M82" s="606" t="s">
        <v>776</v>
      </c>
      <c r="N82" s="624">
        <v>28.789747</v>
      </c>
      <c r="O82" s="621">
        <f t="shared" si="12"/>
        <v>13450.5698</v>
      </c>
      <c r="P82" s="192">
        <v>0.54550495</v>
      </c>
      <c r="Q82" s="622">
        <v>0.0361</v>
      </c>
      <c r="R82" s="621">
        <f t="shared" si="7"/>
        <v>25580.55757</v>
      </c>
      <c r="S82" s="159"/>
      <c r="T82" s="159"/>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c r="BS82" s="159"/>
      <c r="BT82" s="159"/>
      <c r="BU82" s="159"/>
      <c r="BV82" s="159"/>
      <c r="BW82" s="159"/>
      <c r="BX82" s="159"/>
      <c r="BY82" s="159"/>
      <c r="BZ82" s="159"/>
      <c r="CA82" s="159"/>
      <c r="CB82" s="159"/>
      <c r="CC82" s="159"/>
    </row>
    <row r="83">
      <c r="A83" s="613" t="str">
        <f>Countries!B82</f>
        <v>Iraq</v>
      </c>
      <c r="B83" s="614" t="str">
        <f>Countries!I82</f>
        <v>West Asia</v>
      </c>
      <c r="C83" s="615">
        <f>IFERROR(IFERROR(IFERROR(IFERROR(IFERROR(IFERROR(IFERROR(MATCH(Countries!$B82,$M$3:$M$1003,0),MATCH(Countries!$C82,$M$3:$M$1003,0)),MATCH(Countries!$D82,$M$3:$M$1003,0)),MATCH(Countries!$E82,$M$3:$M$1003,0)),MATCH(Countries!$F82,$M$3:$M$1003,0)),MATCH(Countries!$G82,$M$3:$M$1003,0)),MATCH(Countries!$H82,$M$3:$M$1003,0)),"X")</f>
        <v>85</v>
      </c>
      <c r="D83" s="616">
        <f t="shared" ref="D83:F83" si="165">IF(G$2="","",IF($C83="X","",INDEX($N$3:$CC$1003,$C83,MATCH(G$2,$N$2:$CC$2,0))))</f>
        <v>7797.012536</v>
      </c>
      <c r="E83" s="603" t="str">
        <f t="shared" si="165"/>
        <v/>
      </c>
      <c r="F83" s="603" t="str">
        <f t="shared" si="165"/>
        <v/>
      </c>
      <c r="G83" s="617">
        <f t="shared" si="5"/>
        <v>7797.012536</v>
      </c>
      <c r="H83" s="618" t="str">
        <f t="shared" ref="H83:I83" si="166">IF(H$2="","", IF(E83="",IF($K$16="Use global average",E$276,IF($K$16="Use regional average",INDEX(E$280:E$296,MATCH($B83,$B$280:$B$296,0)),IF($K$16="Leave blank","",IF($K$16="Fill with zeros", 0,IF($K$16="Use global median",E$277,"Fill out I16"))))), E83))</f>
        <v/>
      </c>
      <c r="I83" s="618" t="str">
        <f t="shared" si="166"/>
        <v/>
      </c>
      <c r="J83" s="159"/>
      <c r="K83" s="159"/>
      <c r="L83" s="159" t="str">
        <f>IF(M83="","",IF(COUNTIF(Countries!$B$1:$H$271,M83)&gt;0,"",IF(COUNTIF(Countries!$M$1:$S$271,M83)&gt;0,"Not a country","ERROR – NOT LISTED. Add alt spelling to ''Countries'' tab")))</f>
        <v/>
      </c>
      <c r="M83" s="606" t="s">
        <v>777</v>
      </c>
      <c r="N83" s="624">
        <v>56.521667</v>
      </c>
      <c r="O83" s="621">
        <f t="shared" si="12"/>
        <v>26406.92282</v>
      </c>
      <c r="P83" s="192">
        <v>0.5014161699999999</v>
      </c>
      <c r="Q83" s="622">
        <v>0.0379</v>
      </c>
      <c r="R83" s="621">
        <f t="shared" si="7"/>
        <v>54739.30086</v>
      </c>
      <c r="S83" s="159"/>
      <c r="T83" s="159"/>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c r="BS83" s="159"/>
      <c r="BT83" s="159"/>
      <c r="BU83" s="159"/>
      <c r="BV83" s="159"/>
      <c r="BW83" s="159"/>
      <c r="BX83" s="159"/>
      <c r="BY83" s="159"/>
      <c r="BZ83" s="159"/>
      <c r="CA83" s="159"/>
      <c r="CB83" s="159"/>
      <c r="CC83" s="159"/>
    </row>
    <row r="84">
      <c r="A84" s="613" t="str">
        <f>Countries!B83</f>
        <v>Ireland</v>
      </c>
      <c r="B84" s="614" t="str">
        <f>Countries!I83</f>
        <v>Europe</v>
      </c>
      <c r="C84" s="615">
        <f>IFERROR(IFERROR(IFERROR(IFERROR(IFERROR(IFERROR(IFERROR(MATCH(Countries!$B83,$M$3:$M$1003,0),MATCH(Countries!$C83,$M$3:$M$1003,0)),MATCH(Countries!$D83,$M$3:$M$1003,0)),MATCH(Countries!$E83,$M$3:$M$1003,0)),MATCH(Countries!$F83,$M$3:$M$1003,0)),MATCH(Countries!$G83,$M$3:$M$1003,0)),MATCH(Countries!$H83,$M$3:$M$1003,0)),"X")</f>
        <v>86</v>
      </c>
      <c r="D84" s="616">
        <f t="shared" ref="D84:F84" si="167">IF(G$2="","",IF($C84="X","",INDEX($N$3:$CC$1003,$C84,MATCH(G$2,$N$2:$CC$2,0))))</f>
        <v>46453.84481</v>
      </c>
      <c r="E84" s="603" t="str">
        <f t="shared" si="167"/>
        <v/>
      </c>
      <c r="F84" s="603" t="str">
        <f t="shared" si="167"/>
        <v/>
      </c>
      <c r="G84" s="617">
        <f t="shared" si="5"/>
        <v>46453.84481</v>
      </c>
      <c r="H84" s="618" t="str">
        <f t="shared" ref="H84:I84" si="168">IF(H$2="","", IF(E84="",IF($K$16="Use global average",E$276,IF($K$16="Use regional average",INDEX(E$280:E$296,MATCH($B84,$B$280:$B$296,0)),IF($K$16="Leave blank","",IF($K$16="Fill with zeros", 0,IF($K$16="Use global median",E$277,"Fill out I16"))))), E84))</f>
        <v/>
      </c>
      <c r="I84" s="618" t="str">
        <f t="shared" si="168"/>
        <v/>
      </c>
      <c r="J84" s="159"/>
      <c r="K84" s="159"/>
      <c r="L84" s="159" t="str">
        <f>IF(M84="","",IF(COUNTIF(Countries!$B$1:$H$271,M84)&gt;0,"",IF(COUNTIF(Countries!$M$1:$S$271,M84)&gt;0,"Not a country","ERROR – NOT LISTED. Add alt spelling to ''Countries'' tab")))</f>
        <v/>
      </c>
      <c r="M84" s="606" t="s">
        <v>778</v>
      </c>
      <c r="N84" s="624">
        <v>3.9418383</v>
      </c>
      <c r="O84" s="621">
        <f t="shared" si="12"/>
        <v>1841.626854</v>
      </c>
      <c r="P84" s="192">
        <v>0.47010280000000004</v>
      </c>
      <c r="Q84" s="622">
        <v>0.04822</v>
      </c>
      <c r="R84" s="621">
        <f t="shared" si="7"/>
        <v>4115.970245</v>
      </c>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c r="BS84" s="159"/>
      <c r="BT84" s="159"/>
      <c r="BU84" s="159"/>
      <c r="BV84" s="159"/>
      <c r="BW84" s="159"/>
      <c r="BX84" s="159"/>
      <c r="BY84" s="159"/>
      <c r="BZ84" s="159"/>
      <c r="CA84" s="159"/>
      <c r="CB84" s="159"/>
      <c r="CC84" s="159"/>
    </row>
    <row r="85">
      <c r="A85" s="613" t="str">
        <f>Countries!B84</f>
        <v>Israel</v>
      </c>
      <c r="B85" s="614" t="str">
        <f>Countries!I84</f>
        <v>West Asia</v>
      </c>
      <c r="C85" s="615">
        <f>IFERROR(IFERROR(IFERROR(IFERROR(IFERROR(IFERROR(IFERROR(MATCH(Countries!$B84,$M$3:$M$1003,0),MATCH(Countries!$C84,$M$3:$M$1003,0)),MATCH(Countries!$D84,$M$3:$M$1003,0)),MATCH(Countries!$E84,$M$3:$M$1003,0)),MATCH(Countries!$F84,$M$3:$M$1003,0)),MATCH(Countries!$G84,$M$3:$M$1003,0)),MATCH(Countries!$H84,$M$3:$M$1003,0)),"X")</f>
        <v>87</v>
      </c>
      <c r="D85" s="616">
        <f t="shared" ref="D85:F85" si="169">IF(G$2="","",IF($C85="X","",INDEX($N$3:$CC$1003,$C85,MATCH(G$2,$N$2:$CC$2,0))))</f>
        <v>23943.40895</v>
      </c>
      <c r="E85" s="603" t="str">
        <f t="shared" si="169"/>
        <v/>
      </c>
      <c r="F85" s="603" t="str">
        <f t="shared" si="169"/>
        <v/>
      </c>
      <c r="G85" s="617">
        <f t="shared" si="5"/>
        <v>23943.40895</v>
      </c>
      <c r="H85" s="618" t="str">
        <f t="shared" ref="H85:I85" si="170">IF(H$2="","", IF(E85="",IF($K$16="Use global average",E$276,IF($K$16="Use regional average",INDEX(E$280:E$296,MATCH($B85,$B$280:$B$296,0)),IF($K$16="Leave blank","",IF($K$16="Fill with zeros", 0,IF($K$16="Use global median",E$277,"Fill out I16"))))), E85))</f>
        <v/>
      </c>
      <c r="I85" s="618" t="str">
        <f t="shared" si="170"/>
        <v/>
      </c>
      <c r="J85" s="159"/>
      <c r="K85" s="159"/>
      <c r="L85" s="159" t="str">
        <f>IF(M85="","",IF(COUNTIF(Countries!$B$1:$H$271,M85)&gt;0,"",IF(COUNTIF(Countries!$M$1:$S$271,M85)&gt;0,"Not a country","ERROR – NOT LISTED. Add alt spelling to ''Countries'' tab")))</f>
        <v/>
      </c>
      <c r="M85" s="606" t="s">
        <v>779</v>
      </c>
      <c r="N85" s="624">
        <v>5.977867</v>
      </c>
      <c r="O85" s="621">
        <f t="shared" si="12"/>
        <v>2792.859462</v>
      </c>
      <c r="P85" s="192">
        <v>0.47021793</v>
      </c>
      <c r="Q85" s="622">
        <v>0.0346</v>
      </c>
      <c r="R85" s="621">
        <f t="shared" si="7"/>
        <v>6152.372222</v>
      </c>
      <c r="S85" s="159"/>
      <c r="T85" s="159"/>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S85" s="159"/>
      <c r="BT85" s="159"/>
      <c r="BU85" s="159"/>
      <c r="BV85" s="159"/>
      <c r="BW85" s="159"/>
      <c r="BX85" s="159"/>
      <c r="BY85" s="159"/>
      <c r="BZ85" s="159"/>
      <c r="CA85" s="159"/>
      <c r="CB85" s="159"/>
      <c r="CC85" s="159"/>
    </row>
    <row r="86">
      <c r="A86" s="613" t="str">
        <f>Countries!B85</f>
        <v>Italy</v>
      </c>
      <c r="B86" s="614" t="str">
        <f>Countries!I85</f>
        <v>Europe</v>
      </c>
      <c r="C86" s="615">
        <f>IFERROR(IFERROR(IFERROR(IFERROR(IFERROR(IFERROR(IFERROR(MATCH(Countries!$B85,$M$3:$M$1003,0),MATCH(Countries!$C85,$M$3:$M$1003,0)),MATCH(Countries!$D85,$M$3:$M$1003,0)),MATCH(Countries!$E85,$M$3:$M$1003,0)),MATCH(Countries!$F85,$M$3:$M$1003,0)),MATCH(Countries!$G85,$M$3:$M$1003,0)),MATCH(Countries!$H85,$M$3:$M$1003,0)),"X")</f>
        <v>88</v>
      </c>
      <c r="D86" s="616">
        <f t="shared" ref="D86:F86" si="171">IF(G$2="","",IF($C86="X","",INDEX($N$3:$CC$1003,$C86,MATCH(G$2,$N$2:$CC$2,0))))</f>
        <v>38618.31695</v>
      </c>
      <c r="E86" s="603" t="str">
        <f t="shared" si="171"/>
        <v/>
      </c>
      <c r="F86" s="603" t="str">
        <f t="shared" si="171"/>
        <v/>
      </c>
      <c r="G86" s="617">
        <f t="shared" si="5"/>
        <v>38618.31695</v>
      </c>
      <c r="H86" s="618" t="str">
        <f t="shared" ref="H86:I86" si="172">IF(H$2="","", IF(E86="",IF($K$16="Use global average",E$276,IF($K$16="Use regional average",INDEX(E$280:E$296,MATCH($B86,$B$280:$B$296,0)),IF($K$16="Leave blank","",IF($K$16="Fill with zeros", 0,IF($K$16="Use global median",E$277,"Fill out I16"))))), E86))</f>
        <v/>
      </c>
      <c r="I86" s="618" t="str">
        <f t="shared" si="172"/>
        <v/>
      </c>
      <c r="J86" s="159"/>
      <c r="K86" s="159"/>
      <c r="L86" s="159" t="str">
        <f>IF(M86="","",IF(COUNTIF(Countries!$B$1:$H$271,M86)&gt;0,"",IF(COUNTIF(Countries!$M$1:$S$271,M86)&gt;0,"Not a country","ERROR – NOT LISTED. Add alt spelling to ''Countries'' tab")))</f>
        <v/>
      </c>
      <c r="M86" s="606" t="s">
        <v>780</v>
      </c>
      <c r="N86" s="624">
        <v>10.912499</v>
      </c>
      <c r="O86" s="621">
        <f t="shared" si="12"/>
        <v>5098.319533</v>
      </c>
      <c r="P86" s="192">
        <v>0.44413980000000003</v>
      </c>
      <c r="Q86" s="622">
        <v>0.08814999999999999</v>
      </c>
      <c r="R86" s="621">
        <f t="shared" si="7"/>
        <v>12588.78904</v>
      </c>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c r="BS86" s="159"/>
      <c r="BT86" s="159"/>
      <c r="BU86" s="159"/>
      <c r="BV86" s="159"/>
      <c r="BW86" s="159"/>
      <c r="BX86" s="159"/>
      <c r="BY86" s="159"/>
      <c r="BZ86" s="159"/>
      <c r="CA86" s="159"/>
      <c r="CB86" s="159"/>
      <c r="CC86" s="159"/>
    </row>
    <row r="87">
      <c r="A87" s="613" t="str">
        <f>Countries!B86</f>
        <v>Jamaica</v>
      </c>
      <c r="B87" s="614" t="str">
        <f>Countries!I86</f>
        <v>Caribbean</v>
      </c>
      <c r="C87" s="615">
        <f>IFERROR(IFERROR(IFERROR(IFERROR(IFERROR(IFERROR(IFERROR(MATCH(Countries!$B86,$M$3:$M$1003,0),MATCH(Countries!$C86,$M$3:$M$1003,0)),MATCH(Countries!$D86,$M$3:$M$1003,0)),MATCH(Countries!$E86,$M$3:$M$1003,0)),MATCH(Countries!$F86,$M$3:$M$1003,0)),MATCH(Countries!$G86,$M$3:$M$1003,0)),MATCH(Countries!$H86,$M$3:$M$1003,0)),"X")</f>
        <v>89</v>
      </c>
      <c r="D87" s="616">
        <f t="shared" ref="D87:F87" si="173">IF(G$2="","",IF($C87="X","",INDEX($N$3:$CC$1003,$C87,MATCH(G$2,$N$2:$CC$2,0))))</f>
        <v>20307.33229</v>
      </c>
      <c r="E87" s="603" t="str">
        <f t="shared" si="173"/>
        <v/>
      </c>
      <c r="F87" s="603" t="str">
        <f t="shared" si="173"/>
        <v/>
      </c>
      <c r="G87" s="617">
        <f t="shared" si="5"/>
        <v>20307.33229</v>
      </c>
      <c r="H87" s="618" t="str">
        <f t="shared" ref="H87:I87" si="174">IF(H$2="","", IF(E87="",IF($K$16="Use global average",E$276,IF($K$16="Use regional average",INDEX(E$280:E$296,MATCH($B87,$B$280:$B$296,0)),IF($K$16="Leave blank","",IF($K$16="Fill with zeros", 0,IF($K$16="Use global median",E$277,"Fill out I16"))))), E87))</f>
        <v/>
      </c>
      <c r="I87" s="618" t="str">
        <f t="shared" si="174"/>
        <v/>
      </c>
      <c r="J87" s="159"/>
      <c r="K87" s="159"/>
      <c r="L87" s="159" t="str">
        <f>IF(M87="","",IF(COUNTIF(Countries!$B$1:$H$271,M87)&gt;0,"",IF(COUNTIF(Countries!$M$1:$S$271,M87)&gt;0,"Not a country","ERROR – NOT LISTED. Add alt spelling to ''Countries'' tab")))</f>
        <v/>
      </c>
      <c r="M87" s="606" t="s">
        <v>781</v>
      </c>
      <c r="N87" s="624">
        <v>9.614323</v>
      </c>
      <c r="O87" s="621">
        <f t="shared" si="12"/>
        <v>4491.811706</v>
      </c>
      <c r="P87" s="192">
        <v>0.6803348499999999</v>
      </c>
      <c r="Q87" s="622">
        <v>0.15322</v>
      </c>
      <c r="R87" s="621">
        <f t="shared" si="7"/>
        <v>7797.012536</v>
      </c>
      <c r="S87" s="159"/>
      <c r="T87" s="159"/>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c r="BS87" s="159"/>
      <c r="BT87" s="159"/>
      <c r="BU87" s="159"/>
      <c r="BV87" s="159"/>
      <c r="BW87" s="159"/>
      <c r="BX87" s="159"/>
      <c r="BY87" s="159"/>
      <c r="BZ87" s="159"/>
      <c r="CA87" s="159"/>
      <c r="CB87" s="159"/>
      <c r="CC87" s="159"/>
    </row>
    <row r="88">
      <c r="A88" s="613" t="str">
        <f>Countries!B87</f>
        <v>Japan</v>
      </c>
      <c r="B88" s="614" t="str">
        <f>Countries!I87</f>
        <v>East Asia</v>
      </c>
      <c r="C88" s="615">
        <f>IFERROR(IFERROR(IFERROR(IFERROR(IFERROR(IFERROR(IFERROR(MATCH(Countries!$B87,$M$3:$M$1003,0),MATCH(Countries!$C87,$M$3:$M$1003,0)),MATCH(Countries!$D87,$M$3:$M$1003,0)),MATCH(Countries!$E87,$M$3:$M$1003,0)),MATCH(Countries!$F87,$M$3:$M$1003,0)),MATCH(Countries!$G87,$M$3:$M$1003,0)),MATCH(Countries!$H87,$M$3:$M$1003,0)),"X")</f>
        <v>90</v>
      </c>
      <c r="D88" s="616">
        <f t="shared" ref="D88:F88" si="175">IF(G$2="","",IF($C88="X","",INDEX($N$3:$CC$1003,$C88,MATCH(G$2,$N$2:$CC$2,0))))</f>
        <v>28458.28149</v>
      </c>
      <c r="E88" s="603" t="str">
        <f t="shared" si="175"/>
        <v/>
      </c>
      <c r="F88" s="603" t="str">
        <f t="shared" si="175"/>
        <v/>
      </c>
      <c r="G88" s="617">
        <f t="shared" si="5"/>
        <v>28458.28149</v>
      </c>
      <c r="H88" s="618" t="str">
        <f t="shared" ref="H88:I88" si="176">IF(H$2="","", IF(E88="",IF($K$16="Use global average",E$276,IF($K$16="Use regional average",INDEX(E$280:E$296,MATCH($B88,$B$280:$B$296,0)),IF($K$16="Leave blank","",IF($K$16="Fill with zeros", 0,IF($K$16="Use global median",E$277,"Fill out I16"))))), E88))</f>
        <v/>
      </c>
      <c r="I88" s="618" t="str">
        <f t="shared" si="176"/>
        <v/>
      </c>
      <c r="J88" s="159"/>
      <c r="K88" s="159"/>
      <c r="L88" s="159" t="str">
        <f>IF(M88="","",IF(COUNTIF(Countries!$B$1:$H$271,M88)&gt;0,"",IF(COUNTIF(Countries!$M$1:$S$271,M88)&gt;0,"Not a country","ERROR – NOT LISTED. Add alt spelling to ''Countries'' tab")))</f>
        <v/>
      </c>
      <c r="M88" s="606" t="s">
        <v>782</v>
      </c>
      <c r="N88" s="624">
        <v>50.1327</v>
      </c>
      <c r="O88" s="621">
        <f t="shared" si="12"/>
        <v>23421.99744</v>
      </c>
      <c r="P88" s="192">
        <v>0.52784687</v>
      </c>
      <c r="Q88" s="622">
        <v>0.044800000000000006</v>
      </c>
      <c r="R88" s="621">
        <f t="shared" si="7"/>
        <v>46453.84481</v>
      </c>
      <c r="S88" s="159"/>
      <c r="T88" s="159"/>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c r="BS88" s="159"/>
      <c r="BT88" s="159"/>
      <c r="BU88" s="159"/>
      <c r="BV88" s="159"/>
      <c r="BW88" s="159"/>
      <c r="BX88" s="159"/>
      <c r="BY88" s="159"/>
      <c r="BZ88" s="159"/>
      <c r="CA88" s="159"/>
      <c r="CB88" s="159"/>
      <c r="CC88" s="159"/>
    </row>
    <row r="89">
      <c r="A89" s="613" t="str">
        <f>Countries!B88</f>
        <v>Jordan</v>
      </c>
      <c r="B89" s="614" t="str">
        <f>Countries!I88</f>
        <v>West Asia</v>
      </c>
      <c r="C89" s="615">
        <f>IFERROR(IFERROR(IFERROR(IFERROR(IFERROR(IFERROR(IFERROR(MATCH(Countries!$B88,$M$3:$M$1003,0),MATCH(Countries!$C88,$M$3:$M$1003,0)),MATCH(Countries!$D88,$M$3:$M$1003,0)),MATCH(Countries!$E88,$M$3:$M$1003,0)),MATCH(Countries!$F88,$M$3:$M$1003,0)),MATCH(Countries!$G88,$M$3:$M$1003,0)),MATCH(Countries!$H88,$M$3:$M$1003,0)),"X")</f>
        <v>91</v>
      </c>
      <c r="D89" s="616">
        <f t="shared" ref="D89:F89" si="177">IF(G$2="","",IF($C89="X","",INDEX($N$3:$CC$1003,$C89,MATCH(G$2,$N$2:$CC$2,0))))</f>
        <v>14037.91285</v>
      </c>
      <c r="E89" s="603" t="str">
        <f t="shared" si="177"/>
        <v/>
      </c>
      <c r="F89" s="603" t="str">
        <f t="shared" si="177"/>
        <v/>
      </c>
      <c r="G89" s="617">
        <f t="shared" si="5"/>
        <v>14037.91285</v>
      </c>
      <c r="H89" s="618" t="str">
        <f t="shared" ref="H89:I89" si="178">IF(H$2="","", IF(E89="",IF($K$16="Use global average",E$276,IF($K$16="Use regional average",INDEX(E$280:E$296,MATCH($B89,$B$280:$B$296,0)),IF($K$16="Leave blank","",IF($K$16="Fill with zeros", 0,IF($K$16="Use global median",E$277,"Fill out I16"))))), E89))</f>
        <v/>
      </c>
      <c r="I89" s="618" t="str">
        <f t="shared" si="178"/>
        <v/>
      </c>
      <c r="J89" s="159"/>
      <c r="K89" s="159"/>
      <c r="L89" s="159" t="str">
        <f>IF(M89="","",IF(COUNTIF(Countries!$B$1:$H$271,M89)&gt;0,"",IF(COUNTIF(Countries!$M$1:$S$271,M89)&gt;0,"Not a country","ERROR – NOT LISTED. Add alt spelling to ''Countries'' tab")))</f>
        <v/>
      </c>
      <c r="M89" s="606" t="s">
        <v>783</v>
      </c>
      <c r="N89" s="624">
        <v>32.92121</v>
      </c>
      <c r="O89" s="621">
        <f t="shared" si="12"/>
        <v>15380.78931</v>
      </c>
      <c r="P89" s="192">
        <v>0.6670275999999999</v>
      </c>
      <c r="Q89" s="622">
        <v>0.03695</v>
      </c>
      <c r="R89" s="621">
        <f t="shared" si="7"/>
        <v>23943.40895</v>
      </c>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c r="BO89" s="159"/>
      <c r="BP89" s="159"/>
      <c r="BQ89" s="159"/>
      <c r="BR89" s="159"/>
      <c r="BS89" s="159"/>
      <c r="BT89" s="159"/>
      <c r="BU89" s="159"/>
      <c r="BV89" s="159"/>
      <c r="BW89" s="159"/>
      <c r="BX89" s="159"/>
      <c r="BY89" s="159"/>
      <c r="BZ89" s="159"/>
      <c r="CA89" s="159"/>
      <c r="CB89" s="159"/>
      <c r="CC89" s="159"/>
    </row>
    <row r="90">
      <c r="A90" s="613" t="str">
        <f>Countries!B89</f>
        <v>Kazakhstan</v>
      </c>
      <c r="B90" s="614" t="str">
        <f>Countries!I89</f>
        <v>Central Asia</v>
      </c>
      <c r="C90" s="615">
        <f>IFERROR(IFERROR(IFERROR(IFERROR(IFERROR(IFERROR(IFERROR(MATCH(Countries!$B89,$M$3:$M$1003,0),MATCH(Countries!$C89,$M$3:$M$1003,0)),MATCH(Countries!$D89,$M$3:$M$1003,0)),MATCH(Countries!$E89,$M$3:$M$1003,0)),MATCH(Countries!$F89,$M$3:$M$1003,0)),MATCH(Countries!$G89,$M$3:$M$1003,0)),MATCH(Countries!$H89,$M$3:$M$1003,0)),"X")</f>
        <v>92</v>
      </c>
      <c r="D90" s="616">
        <f t="shared" ref="D90:F90" si="179">IF(G$2="","",IF($C90="X","",INDEX($N$3:$CC$1003,$C90,MATCH(G$2,$N$2:$CC$2,0))))</f>
        <v>8718.471298</v>
      </c>
      <c r="E90" s="603" t="str">
        <f t="shared" si="179"/>
        <v/>
      </c>
      <c r="F90" s="603" t="str">
        <f t="shared" si="179"/>
        <v/>
      </c>
      <c r="G90" s="617">
        <f t="shared" si="5"/>
        <v>8718.471298</v>
      </c>
      <c r="H90" s="618" t="str">
        <f t="shared" ref="H90:I90" si="180">IF(H$2="","", IF(E90="",IF($K$16="Use global average",E$276,IF($K$16="Use regional average",INDEX(E$280:E$296,MATCH($B90,$B$280:$B$296,0)),IF($K$16="Leave blank","",IF($K$16="Fill with zeros", 0,IF($K$16="Use global median",E$277,"Fill out I16"))))), E90))</f>
        <v/>
      </c>
      <c r="I90" s="618" t="str">
        <f t="shared" si="180"/>
        <v/>
      </c>
      <c r="J90" s="159"/>
      <c r="K90" s="159"/>
      <c r="L90" s="159" t="str">
        <f>IF(M90="","",IF(COUNTIF(Countries!$B$1:$H$271,M90)&gt;0,"",IF(COUNTIF(Countries!$M$1:$S$271,M90)&gt;0,"Not a country","ERROR – NOT LISTED. Add alt spelling to ''Countries'' tab")))</f>
        <v/>
      </c>
      <c r="M90" s="606" t="s">
        <v>784</v>
      </c>
      <c r="N90" s="624">
        <v>43.379395</v>
      </c>
      <c r="O90" s="621">
        <f t="shared" si="12"/>
        <v>20266.85334</v>
      </c>
      <c r="P90" s="192">
        <v>0.5708680300000001</v>
      </c>
      <c r="Q90" s="622">
        <v>0.08070000000000001</v>
      </c>
      <c r="R90" s="621">
        <f t="shared" si="7"/>
        <v>38618.31695</v>
      </c>
      <c r="S90" s="159"/>
      <c r="T90" s="159"/>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c r="BS90" s="159"/>
      <c r="BT90" s="159"/>
      <c r="BU90" s="159"/>
      <c r="BV90" s="159"/>
      <c r="BW90" s="159"/>
      <c r="BX90" s="159"/>
      <c r="BY90" s="159"/>
      <c r="BZ90" s="159"/>
      <c r="CA90" s="159"/>
      <c r="CB90" s="159"/>
      <c r="CC90" s="159"/>
    </row>
    <row r="91">
      <c r="A91" s="613" t="str">
        <f>Countries!B90</f>
        <v>Kenya</v>
      </c>
      <c r="B91" s="614" t="str">
        <f>Countries!I90</f>
        <v>Sub-Saharan Africa</v>
      </c>
      <c r="C91" s="615">
        <f>IFERROR(IFERROR(IFERROR(IFERROR(IFERROR(IFERROR(IFERROR(MATCH(Countries!$B90,$M$3:$M$1003,0),MATCH(Countries!$C90,$M$3:$M$1003,0)),MATCH(Countries!$D90,$M$3:$M$1003,0)),MATCH(Countries!$E90,$M$3:$M$1003,0)),MATCH(Countries!$F90,$M$3:$M$1003,0)),MATCH(Countries!$G90,$M$3:$M$1003,0)),MATCH(Countries!$H90,$M$3:$M$1003,0)),"X")</f>
        <v>93</v>
      </c>
      <c r="D91" s="616">
        <f t="shared" ref="D91:F91" si="181">IF(G$2="","",IF($C91="X","",INDEX($N$3:$CC$1003,$C91,MATCH(G$2,$N$2:$CC$2,0))))</f>
        <v>1912.272376</v>
      </c>
      <c r="E91" s="603" t="str">
        <f t="shared" si="181"/>
        <v/>
      </c>
      <c r="F91" s="603" t="str">
        <f t="shared" si="181"/>
        <v/>
      </c>
      <c r="G91" s="617">
        <f t="shared" si="5"/>
        <v>1912.272376</v>
      </c>
      <c r="H91" s="618" t="str">
        <f t="shared" ref="H91:I91" si="182">IF(H$2="","", IF(E91="",IF($K$16="Use global average",E$276,IF($K$16="Use regional average",INDEX(E$280:E$296,MATCH($B91,$B$280:$B$296,0)),IF($K$16="Leave blank","",IF($K$16="Fill with zeros", 0,IF($K$16="Use global median",E$277,"Fill out I16"))))), E91))</f>
        <v/>
      </c>
      <c r="I91" s="618" t="str">
        <f t="shared" si="182"/>
        <v/>
      </c>
      <c r="J91" s="159"/>
      <c r="K91" s="159"/>
      <c r="L91" s="159" t="str">
        <f>IF(M91="","",IF(COUNTIF(Countries!$B$1:$H$271,M91)&gt;0,"",IF(COUNTIF(Countries!$M$1:$S$271,M91)&gt;0,"Not a country","ERROR – NOT LISTED. Add alt spelling to ''Countries'' tab")))</f>
        <v/>
      </c>
      <c r="M91" s="606" t="s">
        <v>785</v>
      </c>
      <c r="N91" s="624">
        <v>15.188954</v>
      </c>
      <c r="O91" s="621">
        <f t="shared" si="12"/>
        <v>7096.279309</v>
      </c>
      <c r="P91" s="192">
        <v>0.36977829999999995</v>
      </c>
      <c r="Q91" s="622">
        <v>0.05499</v>
      </c>
      <c r="R91" s="621">
        <f t="shared" si="7"/>
        <v>20307.33229</v>
      </c>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c r="BS91" s="159"/>
      <c r="BT91" s="159"/>
      <c r="BU91" s="159"/>
      <c r="BV91" s="159"/>
      <c r="BW91" s="159"/>
      <c r="BX91" s="159"/>
      <c r="BY91" s="159"/>
      <c r="BZ91" s="159"/>
      <c r="CA91" s="159"/>
      <c r="CB91" s="159"/>
      <c r="CC91" s="159"/>
    </row>
    <row r="92">
      <c r="A92" s="613" t="str">
        <f>Countries!B91</f>
        <v>Kiribati</v>
      </c>
      <c r="B92" s="614" t="str">
        <f>Countries!I91</f>
        <v>Oceania</v>
      </c>
      <c r="C92" s="615">
        <f>IFERROR(IFERROR(IFERROR(IFERROR(IFERROR(IFERROR(IFERROR(MATCH(Countries!$B91,$M$3:$M$1003,0),MATCH(Countries!$C91,$M$3:$M$1003,0)),MATCH(Countries!$D91,$M$3:$M$1003,0)),MATCH(Countries!$E91,$M$3:$M$1003,0)),MATCH(Countries!$F91,$M$3:$M$1003,0)),MATCH(Countries!$G91,$M$3:$M$1003,0)),MATCH(Countries!$H91,$M$3:$M$1003,0)),"X")</f>
        <v>94</v>
      </c>
      <c r="D92" s="627" t="str">
        <f t="shared" ref="D92:F92" si="183">IF(G$2="","",IF($C92="X","",INDEX($N$3:$CC$1003,$C92,MATCH(G$2,$N$2:$CC$2,0))))</f>
        <v/>
      </c>
      <c r="E92" s="603" t="str">
        <f t="shared" si="183"/>
        <v/>
      </c>
      <c r="F92" s="603" t="str">
        <f t="shared" si="183"/>
        <v/>
      </c>
      <c r="G92" s="628">
        <f t="shared" si="5"/>
        <v>4193.580108</v>
      </c>
      <c r="H92" s="618" t="str">
        <f t="shared" ref="H92:I92" si="184">IF(H$2="","", IF(E92="",IF($K$16="Use global average",E$276,IF($K$16="Use regional average",INDEX(E$280:E$296,MATCH($B92,$B$280:$B$296,0)),IF($K$16="Leave blank","",IF($K$16="Fill with zeros", 0,IF($K$16="Use global median",E$277,"Fill out I16"))))), E92))</f>
        <v/>
      </c>
      <c r="I92" s="618" t="str">
        <f t="shared" si="184"/>
        <v/>
      </c>
      <c r="J92" s="159"/>
      <c r="K92" s="159"/>
      <c r="L92" s="159" t="str">
        <f>IF(M92="","",IF(COUNTIF(Countries!$B$1:$H$271,M92)&gt;0,"",IF(COUNTIF(Countries!$M$1:$S$271,M92)&gt;0,"Not a country","ERROR – NOT LISTED. Add alt spelling to ''Countries'' tab")))</f>
        <v/>
      </c>
      <c r="M92" s="606" t="s">
        <v>786</v>
      </c>
      <c r="N92" s="624">
        <v>41.49211</v>
      </c>
      <c r="O92" s="621">
        <f t="shared" si="12"/>
        <v>19385.11379</v>
      </c>
      <c r="P92" s="192">
        <v>0.6993599</v>
      </c>
      <c r="Q92" s="622">
        <v>0.026000000000000002</v>
      </c>
      <c r="R92" s="621">
        <f t="shared" si="7"/>
        <v>28458.28149</v>
      </c>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c r="BS92" s="159"/>
      <c r="BT92" s="159"/>
      <c r="BU92" s="159"/>
      <c r="BV92" s="159"/>
      <c r="BW92" s="159"/>
      <c r="BX92" s="159"/>
      <c r="BY92" s="159"/>
      <c r="BZ92" s="159"/>
      <c r="CA92" s="159"/>
      <c r="CB92" s="159"/>
      <c r="CC92" s="159"/>
    </row>
    <row r="93">
      <c r="A93" s="613" t="str">
        <f>Countries!B92</f>
        <v>Kuwait</v>
      </c>
      <c r="B93" s="614" t="str">
        <f>Countries!I92</f>
        <v>West Asia</v>
      </c>
      <c r="C93" s="615">
        <f>IFERROR(IFERROR(IFERROR(IFERROR(IFERROR(IFERROR(IFERROR(MATCH(Countries!$B92,$M$3:$M$1003,0),MATCH(Countries!$C92,$M$3:$M$1003,0)),MATCH(Countries!$D92,$M$3:$M$1003,0)),MATCH(Countries!$E92,$M$3:$M$1003,0)),MATCH(Countries!$F92,$M$3:$M$1003,0)),MATCH(Countries!$G92,$M$3:$M$1003,0)),MATCH(Countries!$H92,$M$3:$M$1003,0)),"X")</f>
        <v>96</v>
      </c>
      <c r="D93" s="627" t="str">
        <f t="shared" ref="D93:F93" si="185">IF(G$2="","",IF($C93="X","",INDEX($N$3:$CC$1003,$C93,MATCH(G$2,$N$2:$CC$2,0))))</f>
        <v/>
      </c>
      <c r="E93" s="603" t="str">
        <f t="shared" si="185"/>
        <v/>
      </c>
      <c r="F93" s="603" t="str">
        <f t="shared" si="185"/>
        <v/>
      </c>
      <c r="G93" s="628">
        <f t="shared" si="5"/>
        <v>24646.4047</v>
      </c>
      <c r="H93" s="618" t="str">
        <f t="shared" ref="H93:I93" si="186">IF(H$2="","", IF(E93="",IF($K$16="Use global average",E$276,IF($K$16="Use regional average",INDEX(E$280:E$296,MATCH($B93,$B$280:$B$296,0)),IF($K$16="Leave blank","",IF($K$16="Fill with zeros", 0,IF($K$16="Use global median",E$277,"Fill out I16"))))), E93))</f>
        <v/>
      </c>
      <c r="I93" s="618" t="str">
        <f t="shared" si="186"/>
        <v/>
      </c>
      <c r="J93" s="159"/>
      <c r="K93" s="159"/>
      <c r="L93" s="159" t="str">
        <f>IF(M93="","",IF(COUNTIF(Countries!$B$1:$H$271,M93)&gt;0,"",IF(COUNTIF(Countries!$M$1:$S$271,M93)&gt;0,"Not a country","ERROR – NOT LISTED. Add alt spelling to ''Countries'' tab")))</f>
        <v/>
      </c>
      <c r="M93" s="606" t="s">
        <v>787</v>
      </c>
      <c r="N93" s="624">
        <v>13.392007</v>
      </c>
      <c r="O93" s="621">
        <f t="shared" si="12"/>
        <v>6256.74567</v>
      </c>
      <c r="P93" s="192">
        <v>0.5515517</v>
      </c>
      <c r="Q93" s="622">
        <v>0.19191</v>
      </c>
      <c r="R93" s="621">
        <f t="shared" si="7"/>
        <v>14037.91285</v>
      </c>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c r="BS93" s="159"/>
      <c r="BT93" s="159"/>
      <c r="BU93" s="159"/>
      <c r="BV93" s="159"/>
      <c r="BW93" s="159"/>
      <c r="BX93" s="159"/>
      <c r="BY93" s="159"/>
      <c r="BZ93" s="159"/>
      <c r="CA93" s="159"/>
      <c r="CB93" s="159"/>
      <c r="CC93" s="159"/>
    </row>
    <row r="94">
      <c r="A94" s="613" t="str">
        <f>Countries!B93</f>
        <v>Kyrgyzstan</v>
      </c>
      <c r="B94" s="614" t="str">
        <f>Countries!I93</f>
        <v>Central Asia</v>
      </c>
      <c r="C94" s="615">
        <f>IFERROR(IFERROR(IFERROR(IFERROR(IFERROR(IFERROR(IFERROR(MATCH(Countries!$B93,$M$3:$M$1003,0),MATCH(Countries!$C93,$M$3:$M$1003,0)),MATCH(Countries!$D93,$M$3:$M$1003,0)),MATCH(Countries!$E93,$M$3:$M$1003,0)),MATCH(Countries!$F93,$M$3:$M$1003,0)),MATCH(Countries!$G93,$M$3:$M$1003,0)),MATCH(Countries!$H93,$M$3:$M$1003,0)),"X")</f>
        <v>97</v>
      </c>
      <c r="D94" s="616">
        <f t="shared" ref="D94:F94" si="187">IF(G$2="","",IF($C94="X","",INDEX($N$3:$CC$1003,$C94,MATCH(G$2,$N$2:$CC$2,0))))</f>
        <v>4662.002114</v>
      </c>
      <c r="E94" s="603" t="str">
        <f t="shared" si="187"/>
        <v/>
      </c>
      <c r="F94" s="603" t="str">
        <f t="shared" si="187"/>
        <v/>
      </c>
      <c r="G94" s="617">
        <f t="shared" si="5"/>
        <v>4662.002114</v>
      </c>
      <c r="H94" s="618" t="str">
        <f t="shared" ref="H94:I94" si="188">IF(H$2="","", IF(E94="",IF($K$16="Use global average",E$276,IF($K$16="Use regional average",INDEX(E$280:E$296,MATCH($B94,$B$280:$B$296,0)),IF($K$16="Leave blank","",IF($K$16="Fill with zeros", 0,IF($K$16="Use global median",E$277,"Fill out I16"))))), E94))</f>
        <v/>
      </c>
      <c r="I94" s="618" t="str">
        <f t="shared" si="188"/>
        <v/>
      </c>
      <c r="J94" s="159"/>
      <c r="K94" s="159"/>
      <c r="L94" s="159" t="str">
        <f>IF(M94="","",IF(COUNTIF(Countries!$B$1:$H$271,M94)&gt;0,"",IF(COUNTIF(Countries!$M$1:$S$271,M94)&gt;0,"Not a country","ERROR – NOT LISTED. Add alt spelling to ''Countries'' tab")))</f>
        <v/>
      </c>
      <c r="M94" s="606" t="s">
        <v>788</v>
      </c>
      <c r="N94" s="624">
        <v>10.810688</v>
      </c>
      <c r="O94" s="621">
        <f t="shared" si="12"/>
        <v>5050.753434</v>
      </c>
      <c r="P94" s="192">
        <v>0.6089094</v>
      </c>
      <c r="Q94" s="622">
        <v>0.048600000000000004</v>
      </c>
      <c r="R94" s="621">
        <f t="shared" si="7"/>
        <v>8718.471298</v>
      </c>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c r="BS94" s="159"/>
      <c r="BT94" s="159"/>
      <c r="BU94" s="159"/>
      <c r="BV94" s="159"/>
      <c r="BW94" s="159"/>
      <c r="BX94" s="159"/>
      <c r="BY94" s="159"/>
      <c r="BZ94" s="159"/>
      <c r="CA94" s="159"/>
      <c r="CB94" s="159"/>
      <c r="CC94" s="159"/>
    </row>
    <row r="95">
      <c r="A95" s="613" t="str">
        <f>Countries!B94</f>
        <v>Laos</v>
      </c>
      <c r="B95" s="614" t="str">
        <f>Countries!I94</f>
        <v>Southeast Asia</v>
      </c>
      <c r="C95" s="615">
        <f>IFERROR(IFERROR(IFERROR(IFERROR(IFERROR(IFERROR(IFERROR(MATCH(Countries!$B94,$M$3:$M$1003,0),MATCH(Countries!$C94,$M$3:$M$1003,0)),MATCH(Countries!$D94,$M$3:$M$1003,0)),MATCH(Countries!$E94,$M$3:$M$1003,0)),MATCH(Countries!$F94,$M$3:$M$1003,0)),MATCH(Countries!$G94,$M$3:$M$1003,0)),MATCH(Countries!$H94,$M$3:$M$1003,0)),"X")</f>
        <v>98</v>
      </c>
      <c r="D95" s="616">
        <f t="shared" ref="D95:F95" si="189">IF(G$2="","",IF($C95="X","",INDEX($N$3:$CC$1003,$C95,MATCH(G$2,$N$2:$CC$2,0))))</f>
        <v>4274.255358</v>
      </c>
      <c r="E95" s="603" t="str">
        <f t="shared" si="189"/>
        <v/>
      </c>
      <c r="F95" s="603" t="str">
        <f t="shared" si="189"/>
        <v/>
      </c>
      <c r="G95" s="617">
        <f t="shared" si="5"/>
        <v>4274.255358</v>
      </c>
      <c r="H95" s="618" t="str">
        <f t="shared" ref="H95:I95" si="190">IF(H$2="","", IF(E95="",IF($K$16="Use global average",E$276,IF($K$16="Use regional average",INDEX(E$280:E$296,MATCH($B95,$B$280:$B$296,0)),IF($K$16="Leave blank","",IF($K$16="Fill with zeros", 0,IF($K$16="Use global median",E$277,"Fill out I16"))))), E95))</f>
        <v/>
      </c>
      <c r="I95" s="618" t="str">
        <f t="shared" si="190"/>
        <v/>
      </c>
      <c r="J95" s="159"/>
      <c r="K95" s="159"/>
      <c r="L95" s="159" t="str">
        <f>IF(M95="","",IF(COUNTIF(Countries!$B$1:$H$271,M95)&gt;0,"",IF(COUNTIF(Countries!$M$1:$S$271,M95)&gt;0,"Not a country","ERROR – NOT LISTED. Add alt spelling to ''Countries'' tab")))</f>
        <v/>
      </c>
      <c r="M95" s="606" t="s">
        <v>789</v>
      </c>
      <c r="N95" s="624">
        <v>2.6132443</v>
      </c>
      <c r="O95" s="621">
        <f t="shared" si="12"/>
        <v>1220.907737</v>
      </c>
      <c r="P95" s="192">
        <v>0.6766492</v>
      </c>
      <c r="Q95" s="622">
        <v>0.056440000000000004</v>
      </c>
      <c r="R95" s="621">
        <f t="shared" si="7"/>
        <v>1912.272376</v>
      </c>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c r="BP95" s="159"/>
      <c r="BQ95" s="159"/>
      <c r="BR95" s="159"/>
      <c r="BS95" s="159"/>
      <c r="BT95" s="159"/>
      <c r="BU95" s="159"/>
      <c r="BV95" s="159"/>
      <c r="BW95" s="159"/>
      <c r="BX95" s="159"/>
      <c r="BY95" s="159"/>
      <c r="BZ95" s="159"/>
      <c r="CA95" s="159"/>
      <c r="CB95" s="159"/>
      <c r="CC95" s="159"/>
    </row>
    <row r="96">
      <c r="A96" s="613" t="str">
        <f>Countries!B95</f>
        <v>Latvia</v>
      </c>
      <c r="B96" s="614" t="str">
        <f>Countries!I95</f>
        <v>Europe</v>
      </c>
      <c r="C96" s="615">
        <f>IFERROR(IFERROR(IFERROR(IFERROR(IFERROR(IFERROR(IFERROR(MATCH(Countries!$B95,$M$3:$M$1003,0),MATCH(Countries!$C95,$M$3:$M$1003,0)),MATCH(Countries!$D95,$M$3:$M$1003,0)),MATCH(Countries!$E95,$M$3:$M$1003,0)),MATCH(Countries!$F95,$M$3:$M$1003,0)),MATCH(Countries!$G95,$M$3:$M$1003,0)),MATCH(Countries!$H95,$M$3:$M$1003,0)),"X")</f>
        <v>99</v>
      </c>
      <c r="D96" s="616">
        <f t="shared" ref="D96:F96" si="191">IF(G$2="","",IF($C96="X","",INDEX($N$3:$CC$1003,$C96,MATCH(G$2,$N$2:$CC$2,0))))</f>
        <v>26246.11685</v>
      </c>
      <c r="E96" s="603" t="str">
        <f t="shared" si="191"/>
        <v/>
      </c>
      <c r="F96" s="603" t="str">
        <f t="shared" si="191"/>
        <v/>
      </c>
      <c r="G96" s="617">
        <f t="shared" si="5"/>
        <v>26246.11685</v>
      </c>
      <c r="H96" s="618" t="str">
        <f t="shared" ref="H96:I96" si="192">IF(H$2="","", IF(E96="",IF($K$16="Use global average",E$276,IF($K$16="Use regional average",INDEX(E$280:E$296,MATCH($B96,$B$280:$B$296,0)),IF($K$16="Leave blank","",IF($K$16="Fill with zeros", 0,IF($K$16="Use global median",E$277,"Fill out I16"))))), E96))</f>
        <v/>
      </c>
      <c r="I96" s="618" t="str">
        <f t="shared" si="192"/>
        <v/>
      </c>
      <c r="J96" s="159"/>
      <c r="K96" s="159"/>
      <c r="L96" s="159" t="str">
        <f>IF(M96="","",IF(COUNTIF(Countries!$B$1:$H$271,M96)&gt;0,"",IF(COUNTIF(Countries!$M$1:$S$271,M96)&gt;0,"Not a country","ERROR – NOT LISTED. Add alt spelling to ''Countries'' tab")))</f>
        <v/>
      </c>
      <c r="M96" s="606" t="s">
        <v>790</v>
      </c>
      <c r="N96" s="624">
        <v>5.325838</v>
      </c>
      <c r="O96" s="621">
        <f t="shared" si="12"/>
        <v>2488.231514</v>
      </c>
      <c r="P96" s="192">
        <v>0.6406386999999999</v>
      </c>
      <c r="Q96" s="631" t="e">
        <v>#VALUE!</v>
      </c>
      <c r="R96" s="625" t="str">
        <f t="shared" si="7"/>
        <v/>
      </c>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c r="BS96" s="159"/>
      <c r="BT96" s="159"/>
      <c r="BU96" s="159"/>
      <c r="BV96" s="159"/>
      <c r="BW96" s="159"/>
      <c r="BX96" s="159"/>
      <c r="BY96" s="159"/>
      <c r="BZ96" s="159"/>
      <c r="CA96" s="159"/>
      <c r="CB96" s="159"/>
      <c r="CC96" s="159"/>
    </row>
    <row r="97">
      <c r="A97" s="613" t="str">
        <f>Countries!B96</f>
        <v>Lebanon</v>
      </c>
      <c r="B97" s="614" t="str">
        <f>Countries!I96</f>
        <v>West Asia</v>
      </c>
      <c r="C97" s="615">
        <f>IFERROR(IFERROR(IFERROR(IFERROR(IFERROR(IFERROR(IFERROR(MATCH(Countries!$B96,$M$3:$M$1003,0),MATCH(Countries!$C96,$M$3:$M$1003,0)),MATCH(Countries!$D96,$M$3:$M$1003,0)),MATCH(Countries!$E96,$M$3:$M$1003,0)),MATCH(Countries!$F96,$M$3:$M$1003,0)),MATCH(Countries!$G96,$M$3:$M$1003,0)),MATCH(Countries!$H96,$M$3:$M$1003,0)),"X")</f>
        <v>100</v>
      </c>
      <c r="D97" s="616">
        <f t="shared" ref="D97:F97" si="193">IF(G$2="","",IF($C97="X","",INDEX($N$3:$CC$1003,$C97,MATCH(G$2,$N$2:$CC$2,0))))</f>
        <v>24012.78738</v>
      </c>
      <c r="E97" s="603" t="str">
        <f t="shared" si="193"/>
        <v/>
      </c>
      <c r="F97" s="603" t="str">
        <f t="shared" si="193"/>
        <v/>
      </c>
      <c r="G97" s="617">
        <f t="shared" si="5"/>
        <v>24012.78738</v>
      </c>
      <c r="H97" s="618" t="str">
        <f t="shared" ref="H97:I97" si="194">IF(H$2="","", IF(E97="",IF($K$16="Use global average",E$276,IF($K$16="Use regional average",INDEX(E$280:E$296,MATCH($B97,$B$280:$B$296,0)),IF($K$16="Leave blank","",IF($K$16="Fill with zeros", 0,IF($K$16="Use global median",E$277,"Fill out I16"))))), E97))</f>
        <v/>
      </c>
      <c r="I97" s="618" t="str">
        <f t="shared" si="194"/>
        <v/>
      </c>
      <c r="J97" s="159"/>
      <c r="K97" s="159"/>
      <c r="L97" s="634" t="str">
        <f>IF(M97="","",IF(COUNTIF(Countries!$B$1:$H$271,M97)&gt;0,"",IF(COUNTIF(Countries!$M$1:$S$271,M97)&gt;0,"Not a country","ERROR – NOT LISTED. Add alt spelling to ''Countries'' tab")))</f>
        <v>Not a country</v>
      </c>
      <c r="M97" s="606" t="s">
        <v>791</v>
      </c>
      <c r="N97" s="624">
        <v>8.108823</v>
      </c>
      <c r="O97" s="621">
        <f t="shared" si="12"/>
        <v>3788.442106</v>
      </c>
      <c r="P97" s="192">
        <v>0.4479782</v>
      </c>
      <c r="Q97" s="631" t="e">
        <v>#VALUE!</v>
      </c>
      <c r="R97" s="625" t="str">
        <f t="shared" si="7"/>
        <v/>
      </c>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c r="BS97" s="159"/>
      <c r="BT97" s="159"/>
      <c r="BU97" s="159"/>
      <c r="BV97" s="159"/>
      <c r="BW97" s="159"/>
      <c r="BX97" s="159"/>
      <c r="BY97" s="159"/>
      <c r="BZ97" s="159"/>
      <c r="CA97" s="159"/>
      <c r="CB97" s="159"/>
      <c r="CC97" s="159"/>
    </row>
    <row r="98">
      <c r="A98" s="613" t="str">
        <f>Countries!B97</f>
        <v>Lesotho</v>
      </c>
      <c r="B98" s="614" t="str">
        <f>Countries!I97</f>
        <v>Sub-Saharan Africa</v>
      </c>
      <c r="C98" s="615">
        <f>IFERROR(IFERROR(IFERROR(IFERROR(IFERROR(IFERROR(IFERROR(MATCH(Countries!$B97,$M$3:$M$1003,0),MATCH(Countries!$C97,$M$3:$M$1003,0)),MATCH(Countries!$D97,$M$3:$M$1003,0)),MATCH(Countries!$E97,$M$3:$M$1003,0)),MATCH(Countries!$F97,$M$3:$M$1003,0)),MATCH(Countries!$G97,$M$3:$M$1003,0)),MATCH(Countries!$H97,$M$3:$M$1003,0)),"X")</f>
        <v>101</v>
      </c>
      <c r="D98" s="616">
        <f t="shared" ref="D98:F98" si="195">IF(G$2="","",IF($C98="X","",INDEX($N$3:$CC$1003,$C98,MATCH(G$2,$N$2:$CC$2,0))))</f>
        <v>2871.780398</v>
      </c>
      <c r="E98" s="603" t="str">
        <f t="shared" si="195"/>
        <v/>
      </c>
      <c r="F98" s="603" t="str">
        <f t="shared" si="195"/>
        <v/>
      </c>
      <c r="G98" s="617">
        <f t="shared" si="5"/>
        <v>2871.780398</v>
      </c>
      <c r="H98" s="618" t="str">
        <f t="shared" ref="H98:I98" si="196">IF(H$2="","", IF(E98="",IF($K$16="Use global average",E$276,IF($K$16="Use regional average",INDEX(E$280:E$296,MATCH($B98,$B$280:$B$296,0)),IF($K$16="Leave blank","",IF($K$16="Fill with zeros", 0,IF($K$16="Use global median",E$277,"Fill out I16"))))), E98))</f>
        <v/>
      </c>
      <c r="I98" s="618" t="str">
        <f t="shared" si="196"/>
        <v/>
      </c>
      <c r="J98" s="159"/>
      <c r="K98" s="159"/>
      <c r="L98" s="159" t="str">
        <f>IF(M98="","",IF(COUNTIF(Countries!$B$1:$H$271,M98)&gt;0,"",IF(COUNTIF(Countries!$M$1:$S$271,M98)&gt;0,"Not a country","ERROR – NOT LISTED. Add alt spelling to ''Countries'' tab")))</f>
        <v/>
      </c>
      <c r="M98" s="606" t="s">
        <v>792</v>
      </c>
      <c r="N98" s="620" t="s">
        <v>694</v>
      </c>
      <c r="O98" s="630" t="str">
        <f t="shared" si="12"/>
        <v>#VALUE!</v>
      </c>
      <c r="P98" s="192">
        <v>0.2747854</v>
      </c>
      <c r="Q98" s="622">
        <v>0.02198</v>
      </c>
      <c r="R98" s="625" t="str">
        <f t="shared" si="7"/>
        <v/>
      </c>
      <c r="S98" s="159"/>
      <c r="T98" s="159"/>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c r="BS98" s="159"/>
      <c r="BT98" s="159"/>
      <c r="BU98" s="159"/>
      <c r="BV98" s="159"/>
      <c r="BW98" s="159"/>
      <c r="BX98" s="159"/>
      <c r="BY98" s="159"/>
      <c r="BZ98" s="159"/>
      <c r="CA98" s="159"/>
      <c r="CB98" s="159"/>
      <c r="CC98" s="159"/>
    </row>
    <row r="99">
      <c r="A99" s="613" t="str">
        <f>Countries!B98</f>
        <v>Liberia</v>
      </c>
      <c r="B99" s="614" t="str">
        <f>Countries!I98</f>
        <v>Sub-Saharan Africa</v>
      </c>
      <c r="C99" s="615">
        <f>IFERROR(IFERROR(IFERROR(IFERROR(IFERROR(IFERROR(IFERROR(MATCH(Countries!$B98,$M$3:$M$1003,0),MATCH(Countries!$C98,$M$3:$M$1003,0)),MATCH(Countries!$D98,$M$3:$M$1003,0)),MATCH(Countries!$E98,$M$3:$M$1003,0)),MATCH(Countries!$F98,$M$3:$M$1003,0)),MATCH(Countries!$G98,$M$3:$M$1003,0)),MATCH(Countries!$H98,$M$3:$M$1003,0)),"X")</f>
        <v>102</v>
      </c>
      <c r="D99" s="616">
        <f t="shared" ref="D99:F99" si="197">IF(G$2="","",IF($C99="X","",INDEX($N$3:$CC$1003,$C99,MATCH(G$2,$N$2:$CC$2,0))))</f>
        <v>1954.599045</v>
      </c>
      <c r="E99" s="603" t="str">
        <f t="shared" si="197"/>
        <v/>
      </c>
      <c r="F99" s="603" t="str">
        <f t="shared" si="197"/>
        <v/>
      </c>
      <c r="G99" s="617">
        <f t="shared" si="5"/>
        <v>1954.599045</v>
      </c>
      <c r="H99" s="618" t="str">
        <f t="shared" ref="H99:I99" si="198">IF(H$2="","", IF(E99="",IF($K$16="Use global average",E$276,IF($K$16="Use regional average",INDEX(E$280:E$296,MATCH($B99,$B$280:$B$296,0)),IF($K$16="Leave blank","",IF($K$16="Fill with zeros", 0,IF($K$16="Use global median",E$277,"Fill out I16"))))), E99))</f>
        <v/>
      </c>
      <c r="I99" s="618" t="str">
        <f t="shared" si="198"/>
        <v/>
      </c>
      <c r="J99" s="159"/>
      <c r="K99" s="159"/>
      <c r="L99" s="159" t="str">
        <f>IF(M99="","",IF(COUNTIF(Countries!$B$1:$H$271,M99)&gt;0,"",IF(COUNTIF(Countries!$M$1:$S$271,M99)&gt;0,"Not a country","ERROR – NOT LISTED. Add alt spelling to ''Countries'' tab")))</f>
        <v/>
      </c>
      <c r="M99" s="606" t="s">
        <v>793</v>
      </c>
      <c r="N99" s="624">
        <v>5.89488</v>
      </c>
      <c r="O99" s="621">
        <f t="shared" si="12"/>
        <v>2754.087936</v>
      </c>
      <c r="P99" s="192">
        <v>0.6154758499999999</v>
      </c>
      <c r="Q99" s="622">
        <v>0.040170000000000004</v>
      </c>
      <c r="R99" s="621">
        <f t="shared" si="7"/>
        <v>4662.002114</v>
      </c>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c r="BS99" s="159"/>
      <c r="BT99" s="159"/>
      <c r="BU99" s="159"/>
      <c r="BV99" s="159"/>
      <c r="BW99" s="159"/>
      <c r="BX99" s="159"/>
      <c r="BY99" s="159"/>
      <c r="BZ99" s="159"/>
      <c r="CA99" s="159"/>
      <c r="CB99" s="159"/>
      <c r="CC99" s="159"/>
    </row>
    <row r="100">
      <c r="A100" s="613" t="str">
        <f>Countries!B99</f>
        <v>Libya</v>
      </c>
      <c r="B100" s="614" t="str">
        <f>Countries!I99</f>
        <v>North Africa</v>
      </c>
      <c r="C100" s="615">
        <f>IFERROR(IFERROR(IFERROR(IFERROR(IFERROR(IFERROR(IFERROR(MATCH(Countries!$B99,$M$3:$M$1003,0),MATCH(Countries!$C99,$M$3:$M$1003,0)),MATCH(Countries!$D99,$M$3:$M$1003,0)),MATCH(Countries!$E99,$M$3:$M$1003,0)),MATCH(Countries!$F99,$M$3:$M$1003,0)),MATCH(Countries!$G99,$M$3:$M$1003,0)),MATCH(Countries!$H99,$M$3:$M$1003,0)),"X")</f>
        <v>103</v>
      </c>
      <c r="D100" s="627" t="str">
        <f t="shared" ref="D100:F100" si="199">IF(G$2="","",IF($C100="X","",INDEX($N$3:$CC$1003,$C100,MATCH(G$2,$N$2:$CC$2,0))))</f>
        <v/>
      </c>
      <c r="E100" s="603" t="str">
        <f t="shared" si="199"/>
        <v/>
      </c>
      <c r="F100" s="603" t="str">
        <f t="shared" si="199"/>
        <v/>
      </c>
      <c r="G100" s="628">
        <f t="shared" si="5"/>
        <v>8263.324979</v>
      </c>
      <c r="H100" s="618" t="str">
        <f t="shared" ref="H100:I100" si="200">IF(H$2="","", IF(E100="",IF($K$16="Use global average",E$276,IF($K$16="Use regional average",INDEX(E$280:E$296,MATCH($B100,$B$280:$B$296,0)),IF($K$16="Leave blank","",IF($K$16="Fill with zeros", 0,IF($K$16="Use global median",E$277,"Fill out I16"))))), E100))</f>
        <v/>
      </c>
      <c r="I100" s="618" t="str">
        <f t="shared" si="200"/>
        <v/>
      </c>
      <c r="J100" s="159"/>
      <c r="K100" s="159"/>
      <c r="L100" s="159" t="str">
        <f>IF(M100="","",IF(COUNTIF(Countries!$B$1:$H$271,M100)&gt;0,"",IF(COUNTIF(Countries!$M$1:$S$271,M100)&gt;0,"Not a country","ERROR – NOT LISTED. Add alt spelling to ''Countries'' tab")))</f>
        <v/>
      </c>
      <c r="M100" s="606" t="s">
        <v>794</v>
      </c>
      <c r="N100" s="624">
        <v>4.7573843</v>
      </c>
      <c r="O100" s="621">
        <f t="shared" si="12"/>
        <v>2222.649945</v>
      </c>
      <c r="P100" s="192">
        <v>0.54065636</v>
      </c>
      <c r="Q100" s="622">
        <v>0.03819</v>
      </c>
      <c r="R100" s="621">
        <f t="shared" si="7"/>
        <v>4274.255358</v>
      </c>
      <c r="S100" s="159"/>
      <c r="T100" s="159"/>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c r="BX100" s="159"/>
      <c r="BY100" s="159"/>
      <c r="BZ100" s="159"/>
      <c r="CA100" s="159"/>
      <c r="CB100" s="159"/>
      <c r="CC100" s="159"/>
    </row>
    <row r="101">
      <c r="A101" s="613" t="str">
        <f>Countries!B100</f>
        <v>Liechtenstein</v>
      </c>
      <c r="B101" s="614" t="str">
        <f>Countries!I100</f>
        <v>Europe</v>
      </c>
      <c r="C101" s="615">
        <f>IFERROR(IFERROR(IFERROR(IFERROR(IFERROR(IFERROR(IFERROR(MATCH(Countries!$B100,$M$3:$M$1003,0),MATCH(Countries!$C100,$M$3:$M$1003,0)),MATCH(Countries!$D100,$M$3:$M$1003,0)),MATCH(Countries!$E100,$M$3:$M$1003,0)),MATCH(Countries!$F100,$M$3:$M$1003,0)),MATCH(Countries!$G100,$M$3:$M$1003,0)),MATCH(Countries!$H100,$M$3:$M$1003,0)),"X")</f>
        <v>104</v>
      </c>
      <c r="D101" s="627" t="str">
        <f t="shared" ref="D101:F101" si="201">IF(G$2="","",IF($C101="X","",INDEX($N$3:$CC$1003,$C101,MATCH(G$2,$N$2:$CC$2,0))))</f>
        <v/>
      </c>
      <c r="E101" s="603" t="str">
        <f t="shared" si="201"/>
        <v/>
      </c>
      <c r="F101" s="603" t="str">
        <f t="shared" si="201"/>
        <v/>
      </c>
      <c r="G101" s="628">
        <f t="shared" si="5"/>
        <v>33026.35635</v>
      </c>
      <c r="H101" s="618" t="str">
        <f t="shared" ref="H101:I101" si="202">IF(H$2="","", IF(E101="",IF($K$16="Use global average",E$276,IF($K$16="Use regional average",INDEX(E$280:E$296,MATCH($B101,$B$280:$B$296,0)),IF($K$16="Leave blank","",IF($K$16="Fill with zeros", 0,IF($K$16="Use global median",E$277,"Fill out I16"))))), E101))</f>
        <v/>
      </c>
      <c r="I101" s="618" t="str">
        <f t="shared" si="202"/>
        <v/>
      </c>
      <c r="J101" s="159"/>
      <c r="K101" s="159"/>
      <c r="L101" s="159" t="str">
        <f>IF(M101="","",IF(COUNTIF(Countries!$B$1:$H$271,M101)&gt;0,"",IF(COUNTIF(Countries!$M$1:$S$271,M101)&gt;0,"Not a country","ERROR – NOT LISTED. Add alt spelling to ''Countries'' tab")))</f>
        <v/>
      </c>
      <c r="M101" s="606" t="s">
        <v>795</v>
      </c>
      <c r="N101" s="624">
        <v>30.76944</v>
      </c>
      <c r="O101" s="621">
        <f t="shared" si="12"/>
        <v>14375.48237</v>
      </c>
      <c r="P101" s="192">
        <v>0.5877438</v>
      </c>
      <c r="Q101" s="622">
        <v>0.0681</v>
      </c>
      <c r="R101" s="621">
        <f t="shared" si="7"/>
        <v>26246.11685</v>
      </c>
      <c r="S101" s="159"/>
      <c r="T101" s="159"/>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c r="BS101" s="159"/>
      <c r="BT101" s="159"/>
      <c r="BU101" s="159"/>
      <c r="BV101" s="159"/>
      <c r="BW101" s="159"/>
      <c r="BX101" s="159"/>
      <c r="BY101" s="159"/>
      <c r="BZ101" s="159"/>
      <c r="CA101" s="159"/>
      <c r="CB101" s="159"/>
      <c r="CC101" s="159"/>
    </row>
    <row r="102">
      <c r="A102" s="613" t="str">
        <f>Countries!B101</f>
        <v>Lithuania</v>
      </c>
      <c r="B102" s="614" t="str">
        <f>Countries!I101</f>
        <v>Europe</v>
      </c>
      <c r="C102" s="615">
        <f>IFERROR(IFERROR(IFERROR(IFERROR(IFERROR(IFERROR(IFERROR(MATCH(Countries!$B101,$M$3:$M$1003,0),MATCH(Countries!$C101,$M$3:$M$1003,0)),MATCH(Countries!$D101,$M$3:$M$1003,0)),MATCH(Countries!$E101,$M$3:$M$1003,0)),MATCH(Countries!$F101,$M$3:$M$1003,0)),MATCH(Countries!$G101,$M$3:$M$1003,0)),MATCH(Countries!$H101,$M$3:$M$1003,0)),"X")</f>
        <v>105</v>
      </c>
      <c r="D102" s="616">
        <f t="shared" ref="D102:F102" si="203">IF(G$2="","",IF($C102="X","",INDEX($N$3:$CC$1003,$C102,MATCH(G$2,$N$2:$CC$2,0))))</f>
        <v>32587.65108</v>
      </c>
      <c r="E102" s="603" t="str">
        <f t="shared" si="203"/>
        <v/>
      </c>
      <c r="F102" s="603" t="str">
        <f t="shared" si="203"/>
        <v/>
      </c>
      <c r="G102" s="617">
        <f t="shared" si="5"/>
        <v>32587.65108</v>
      </c>
      <c r="H102" s="618" t="str">
        <f t="shared" ref="H102:I102" si="204">IF(H$2="","", IF(E102="",IF($K$16="Use global average",E$276,IF($K$16="Use regional average",INDEX(E$280:E$296,MATCH($B102,$B$280:$B$296,0)),IF($K$16="Leave blank","",IF($K$16="Fill with zeros", 0,IF($K$16="Use global median",E$277,"Fill out I16"))))), E102))</f>
        <v/>
      </c>
      <c r="I102" s="618" t="str">
        <f t="shared" si="204"/>
        <v/>
      </c>
      <c r="J102" s="159"/>
      <c r="K102" s="159"/>
      <c r="L102" s="159" t="str">
        <f>IF(M102="","",IF(COUNTIF(Countries!$B$1:$H$271,M102)&gt;0,"",IF(COUNTIF(Countries!$M$1:$S$271,M102)&gt;0,"Not a country","ERROR – NOT LISTED. Add alt spelling to ''Countries'' tab")))</f>
        <v/>
      </c>
      <c r="M102" s="606" t="s">
        <v>796</v>
      </c>
      <c r="N102" s="624">
        <v>26.116678</v>
      </c>
      <c r="O102" s="621">
        <f t="shared" si="12"/>
        <v>12201.71196</v>
      </c>
      <c r="P102" s="192">
        <v>0.57576958</v>
      </c>
      <c r="Q102" s="622">
        <v>0.11747</v>
      </c>
      <c r="R102" s="621">
        <f t="shared" si="7"/>
        <v>24012.78738</v>
      </c>
      <c r="S102" s="159"/>
      <c r="T102" s="159"/>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c r="BS102" s="159"/>
      <c r="BT102" s="159"/>
      <c r="BU102" s="159"/>
      <c r="BV102" s="159"/>
      <c r="BW102" s="159"/>
      <c r="BX102" s="159"/>
      <c r="BY102" s="159"/>
      <c r="BZ102" s="159"/>
      <c r="CA102" s="159"/>
      <c r="CB102" s="159"/>
      <c r="CC102" s="159"/>
    </row>
    <row r="103">
      <c r="A103" s="613" t="str">
        <f>Countries!B102</f>
        <v>Luxembourg</v>
      </c>
      <c r="B103" s="614" t="str">
        <f>Countries!I102</f>
        <v>Europe</v>
      </c>
      <c r="C103" s="615">
        <f>IFERROR(IFERROR(IFERROR(IFERROR(IFERROR(IFERROR(IFERROR(MATCH(Countries!$B102,$M$3:$M$1003,0),MATCH(Countries!$C102,$M$3:$M$1003,0)),MATCH(Countries!$D102,$M$3:$M$1003,0)),MATCH(Countries!$E102,$M$3:$M$1003,0)),MATCH(Countries!$F102,$M$3:$M$1003,0)),MATCH(Countries!$G102,$M$3:$M$1003,0)),MATCH(Countries!$H102,$M$3:$M$1003,0)),"X")</f>
        <v>106</v>
      </c>
      <c r="D103" s="616">
        <f t="shared" ref="D103:F103" si="205">IF(G$2="","",IF($C103="X","",INDEX($N$3:$CC$1003,$C103,MATCH(G$2,$N$2:$CC$2,0))))</f>
        <v>87203.58869</v>
      </c>
      <c r="E103" s="603" t="str">
        <f t="shared" si="205"/>
        <v/>
      </c>
      <c r="F103" s="603" t="str">
        <f t="shared" si="205"/>
        <v/>
      </c>
      <c r="G103" s="617">
        <f t="shared" si="5"/>
        <v>87203.58869</v>
      </c>
      <c r="H103" s="618" t="str">
        <f t="shared" ref="H103:I103" si="206">IF(H$2="","", IF(E103="",IF($K$16="Use global average",E$276,IF($K$16="Use regional average",INDEX(E$280:E$296,MATCH($B103,$B$280:$B$296,0)),IF($K$16="Leave blank","",IF($K$16="Fill with zeros", 0,IF($K$16="Use global median",E$277,"Fill out I16"))))), E103))</f>
        <v/>
      </c>
      <c r="I103" s="618" t="str">
        <f t="shared" si="206"/>
        <v/>
      </c>
      <c r="J103" s="159"/>
      <c r="K103" s="159"/>
      <c r="L103" s="159" t="str">
        <f>IF(M103="","",IF(COUNTIF(Countries!$B$1:$H$271,M103)&gt;0,"",IF(COUNTIF(Countries!$M$1:$S$271,M103)&gt;0,"Not a country","ERROR – NOT LISTED. Add alt spelling to ''Countries'' tab")))</f>
        <v/>
      </c>
      <c r="M103" s="606" t="s">
        <v>797</v>
      </c>
      <c r="N103" s="624">
        <v>3.2375739</v>
      </c>
      <c r="O103" s="621">
        <f t="shared" si="12"/>
        <v>1512.594526</v>
      </c>
      <c r="P103" s="192">
        <v>0.6326463</v>
      </c>
      <c r="Q103" s="622">
        <v>0.16745000000000002</v>
      </c>
      <c r="R103" s="621">
        <f t="shared" si="7"/>
        <v>2871.780398</v>
      </c>
      <c r="S103" s="159"/>
      <c r="T103" s="159"/>
      <c r="U103" s="159"/>
      <c r="V103" s="159"/>
      <c r="W103" s="159"/>
      <c r="X103" s="159"/>
      <c r="Y103" s="159"/>
      <c r="Z103" s="159"/>
      <c r="AA103" s="159"/>
      <c r="AB103" s="159"/>
      <c r="AC103" s="159"/>
      <c r="AD103" s="159"/>
      <c r="AE103" s="159"/>
      <c r="AF103" s="159"/>
      <c r="AG103" s="159"/>
      <c r="AH103" s="159"/>
      <c r="AI103" s="159"/>
      <c r="AJ103" s="159"/>
      <c r="AK103" s="159"/>
      <c r="AL103" s="159"/>
      <c r="AM103" s="159"/>
      <c r="AN103" s="159"/>
      <c r="AO103" s="159"/>
      <c r="AP103" s="159"/>
      <c r="AQ103" s="159"/>
      <c r="AR103" s="159"/>
      <c r="AS103" s="159"/>
      <c r="AT103" s="159"/>
      <c r="AU103" s="159"/>
      <c r="AV103" s="159"/>
      <c r="AW103" s="159"/>
      <c r="AX103" s="159"/>
      <c r="AY103" s="159"/>
      <c r="AZ103" s="159"/>
      <c r="BA103" s="159"/>
      <c r="BB103" s="159"/>
      <c r="BC103" s="159"/>
      <c r="BD103" s="159"/>
      <c r="BE103" s="159"/>
      <c r="BF103" s="159"/>
      <c r="BG103" s="159"/>
      <c r="BH103" s="159"/>
      <c r="BI103" s="159"/>
      <c r="BJ103" s="159"/>
      <c r="BK103" s="159"/>
      <c r="BL103" s="159"/>
      <c r="BM103" s="159"/>
      <c r="BN103" s="159"/>
      <c r="BO103" s="159"/>
      <c r="BP103" s="159"/>
      <c r="BQ103" s="159"/>
      <c r="BR103" s="159"/>
      <c r="BS103" s="159"/>
      <c r="BT103" s="159"/>
      <c r="BU103" s="159"/>
      <c r="BV103" s="159"/>
      <c r="BW103" s="159"/>
      <c r="BX103" s="159"/>
      <c r="BY103" s="159"/>
      <c r="BZ103" s="159"/>
      <c r="CA103" s="159"/>
      <c r="CB103" s="159"/>
      <c r="CC103" s="159"/>
    </row>
    <row r="104">
      <c r="A104" s="613" t="str">
        <f>Countries!B103</f>
        <v>Madagascar</v>
      </c>
      <c r="B104" s="614" t="str">
        <f>Countries!I103</f>
        <v>Sub-Saharan Africa</v>
      </c>
      <c r="C104" s="615">
        <f>IFERROR(IFERROR(IFERROR(IFERROR(IFERROR(IFERROR(IFERROR(MATCH(Countries!$B103,$M$3:$M$1003,0),MATCH(Countries!$C103,$M$3:$M$1003,0)),MATCH(Countries!$D103,$M$3:$M$1003,0)),MATCH(Countries!$E103,$M$3:$M$1003,0)),MATCH(Countries!$F103,$M$3:$M$1003,0)),MATCH(Countries!$G103,$M$3:$M$1003,0)),MATCH(Countries!$H103,$M$3:$M$1003,0)),"X")</f>
        <v>107</v>
      </c>
      <c r="D104" s="616">
        <f t="shared" ref="D104:F104" si="207">IF(G$2="","",IF($C104="X","",INDEX($N$3:$CC$1003,$C104,MATCH(G$2,$N$2:$CC$2,0))))</f>
        <v>708.9295285</v>
      </c>
      <c r="E104" s="603" t="str">
        <f t="shared" si="207"/>
        <v/>
      </c>
      <c r="F104" s="603" t="str">
        <f t="shared" si="207"/>
        <v/>
      </c>
      <c r="G104" s="617">
        <f t="shared" si="5"/>
        <v>708.9295285</v>
      </c>
      <c r="H104" s="618" t="str">
        <f t="shared" ref="H104:I104" si="208">IF(H$2="","", IF(E104="",IF($K$16="Use global average",E$276,IF($K$16="Use regional average",INDEX(E$280:E$296,MATCH($B104,$B$280:$B$296,0)),IF($K$16="Leave blank","",IF($K$16="Fill with zeros", 0,IF($K$16="Use global median",E$277,"Fill out I16"))))), E104))</f>
        <v/>
      </c>
      <c r="I104" s="618" t="str">
        <f t="shared" si="208"/>
        <v/>
      </c>
      <c r="J104" s="159"/>
      <c r="K104" s="159"/>
      <c r="L104" s="159" t="str">
        <f>IF(M104="","",IF(COUNTIF(Countries!$B$1:$H$271,M104)&gt;0,"",IF(COUNTIF(Countries!$M$1:$S$271,M104)&gt;0,"Not a country","ERROR – NOT LISTED. Add alt spelling to ''Countries'' tab")))</f>
        <v/>
      </c>
      <c r="M104" s="606" t="s">
        <v>798</v>
      </c>
      <c r="N104" s="624">
        <v>3.0950387</v>
      </c>
      <c r="O104" s="621">
        <f t="shared" si="12"/>
        <v>1446.002081</v>
      </c>
      <c r="P104" s="192">
        <v>0.7628716</v>
      </c>
      <c r="Q104" s="622">
        <v>0.03025</v>
      </c>
      <c r="R104" s="621">
        <f t="shared" si="7"/>
        <v>1954.599045</v>
      </c>
      <c r="S104" s="159"/>
      <c r="T104" s="159"/>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c r="BS104" s="159"/>
      <c r="BT104" s="159"/>
      <c r="BU104" s="159"/>
      <c r="BV104" s="159"/>
      <c r="BW104" s="159"/>
      <c r="BX104" s="159"/>
      <c r="BY104" s="159"/>
      <c r="BZ104" s="159"/>
      <c r="CA104" s="159"/>
      <c r="CB104" s="159"/>
      <c r="CC104" s="159"/>
    </row>
    <row r="105">
      <c r="A105" s="613" t="str">
        <f>Countries!B104</f>
        <v>Malawi</v>
      </c>
      <c r="B105" s="614" t="str">
        <f>Countries!I104</f>
        <v>Sub-Saharan Africa</v>
      </c>
      <c r="C105" s="615">
        <f>IFERROR(IFERROR(IFERROR(IFERROR(IFERROR(IFERROR(IFERROR(MATCH(Countries!$B104,$M$3:$M$1003,0),MATCH(Countries!$C104,$M$3:$M$1003,0)),MATCH(Countries!$D104,$M$3:$M$1003,0)),MATCH(Countries!$E104,$M$3:$M$1003,0)),MATCH(Countries!$F104,$M$3:$M$1003,0)),MATCH(Countries!$G104,$M$3:$M$1003,0)),MATCH(Countries!$H104,$M$3:$M$1003,0)),"X")</f>
        <v>108</v>
      </c>
      <c r="D105" s="616">
        <f t="shared" ref="D105:F105" si="209">IF(G$2="","",IF($C105="X","",INDEX($N$3:$CC$1003,$C105,MATCH(G$2,$N$2:$CC$2,0))))</f>
        <v>964.8443565</v>
      </c>
      <c r="E105" s="603" t="str">
        <f t="shared" si="209"/>
        <v/>
      </c>
      <c r="F105" s="603" t="str">
        <f t="shared" si="209"/>
        <v/>
      </c>
      <c r="G105" s="617">
        <f t="shared" si="5"/>
        <v>964.8443565</v>
      </c>
      <c r="H105" s="618" t="str">
        <f t="shared" ref="H105:I105" si="210">IF(H$2="","", IF(E105="",IF($K$16="Use global average",E$276,IF($K$16="Use regional average",INDEX(E$280:E$296,MATCH($B105,$B$280:$B$296,0)),IF($K$16="Leave blank","",IF($K$16="Fill with zeros", 0,IF($K$16="Use global median",E$277,"Fill out I16"))))), E105))</f>
        <v/>
      </c>
      <c r="I105" s="618" t="str">
        <f t="shared" si="210"/>
        <v/>
      </c>
      <c r="J105" s="159"/>
      <c r="K105" s="159"/>
      <c r="L105" s="159" t="str">
        <f>IF(M105="","",IF(COUNTIF(Countries!$B$1:$H$271,M105)&gt;0,"",IF(COUNTIF(Countries!$M$1:$S$271,M105)&gt;0,"Not a country","ERROR – NOT LISTED. Add alt spelling to ''Countries'' tab")))</f>
        <v/>
      </c>
      <c r="M105" s="606" t="s">
        <v>799</v>
      </c>
      <c r="N105" s="620" t="s">
        <v>694</v>
      </c>
      <c r="O105" s="630" t="str">
        <f t="shared" si="12"/>
        <v>#VALUE!</v>
      </c>
      <c r="P105" s="192">
        <v>0.48895705999999994</v>
      </c>
      <c r="Q105" s="622">
        <v>0.19302</v>
      </c>
      <c r="R105" s="625" t="str">
        <f t="shared" si="7"/>
        <v/>
      </c>
      <c r="S105" s="159"/>
      <c r="T105" s="159"/>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c r="BO105" s="159"/>
      <c r="BP105" s="159"/>
      <c r="BQ105" s="159"/>
      <c r="BR105" s="159"/>
      <c r="BS105" s="159"/>
      <c r="BT105" s="159"/>
      <c r="BU105" s="159"/>
      <c r="BV105" s="159"/>
      <c r="BW105" s="159"/>
      <c r="BX105" s="159"/>
      <c r="BY105" s="159"/>
      <c r="BZ105" s="159"/>
      <c r="CA105" s="159"/>
      <c r="CB105" s="159"/>
      <c r="CC105" s="159"/>
    </row>
    <row r="106">
      <c r="A106" s="613" t="str">
        <f>Countries!B105</f>
        <v>Malaysia</v>
      </c>
      <c r="B106" s="614" t="str">
        <f>Countries!I105</f>
        <v>Southeast Asia</v>
      </c>
      <c r="C106" s="615">
        <f>IFERROR(IFERROR(IFERROR(IFERROR(IFERROR(IFERROR(IFERROR(MATCH(Countries!$B105,$M$3:$M$1003,0),MATCH(Countries!$C105,$M$3:$M$1003,0)),MATCH(Countries!$D105,$M$3:$M$1003,0)),MATCH(Countries!$E105,$M$3:$M$1003,0)),MATCH(Countries!$F105,$M$3:$M$1003,0)),MATCH(Countries!$G105,$M$3:$M$1003,0)),MATCH(Countries!$H105,$M$3:$M$1003,0)),"X")</f>
        <v>109</v>
      </c>
      <c r="D106" s="616">
        <f t="shared" ref="D106:F106" si="211">IF(G$2="","",IF($C106="X","",INDEX($N$3:$CC$1003,$C106,MATCH(G$2,$N$2:$CC$2,0))))</f>
        <v>29630.47826</v>
      </c>
      <c r="E106" s="603" t="str">
        <f t="shared" si="211"/>
        <v/>
      </c>
      <c r="F106" s="603" t="str">
        <f t="shared" si="211"/>
        <v/>
      </c>
      <c r="G106" s="617">
        <f t="shared" si="5"/>
        <v>29630.47826</v>
      </c>
      <c r="H106" s="618" t="str">
        <f t="shared" ref="H106:I106" si="212">IF(H$2="","", IF(E106="",IF($K$16="Use global average",E$276,IF($K$16="Use regional average",INDEX(E$280:E$296,MATCH($B106,$B$280:$B$296,0)),IF($K$16="Leave blank","",IF($K$16="Fill with zeros", 0,IF($K$16="Use global median",E$277,"Fill out I16"))))), E106))</f>
        <v/>
      </c>
      <c r="I106" s="618" t="str">
        <f t="shared" si="212"/>
        <v/>
      </c>
      <c r="J106" s="159"/>
      <c r="K106" s="159"/>
      <c r="L106" s="159" t="str">
        <f>IF(M106="","",IF(COUNTIF(Countries!$B$1:$H$271,M106)&gt;0,"",IF(COUNTIF(Countries!$M$1:$S$271,M106)&gt;0,"Not a country","ERROR – NOT LISTED. Add alt spelling to ''Countries'' tab")))</f>
        <v/>
      </c>
      <c r="M106" s="606" t="s">
        <v>800</v>
      </c>
      <c r="N106" s="620" t="s">
        <v>694</v>
      </c>
      <c r="O106" s="630" t="str">
        <f t="shared" si="12"/>
        <v>#VALUE!</v>
      </c>
      <c r="P106" s="192">
        <v>0.52704006</v>
      </c>
      <c r="Q106" s="631" t="e">
        <v>#VALUE!</v>
      </c>
      <c r="R106" s="625" t="str">
        <f t="shared" si="7"/>
        <v/>
      </c>
      <c r="S106" s="159"/>
      <c r="T106" s="159"/>
      <c r="U106" s="159"/>
      <c r="V106" s="159"/>
      <c r="W106" s="159"/>
      <c r="X106" s="159"/>
      <c r="Y106" s="159"/>
      <c r="Z106" s="159"/>
      <c r="AA106" s="159"/>
      <c r="AB106" s="159"/>
      <c r="AC106" s="159"/>
      <c r="AD106" s="159"/>
      <c r="AE106" s="159"/>
      <c r="AF106" s="159"/>
      <c r="AG106" s="159"/>
      <c r="AH106" s="159"/>
      <c r="AI106" s="159"/>
      <c r="AJ106" s="159"/>
      <c r="AK106" s="159"/>
      <c r="AL106" s="159"/>
      <c r="AM106" s="159"/>
      <c r="AN106" s="159"/>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c r="BS106" s="159"/>
      <c r="BT106" s="159"/>
      <c r="BU106" s="159"/>
      <c r="BV106" s="159"/>
      <c r="BW106" s="159"/>
      <c r="BX106" s="159"/>
      <c r="BY106" s="159"/>
      <c r="BZ106" s="159"/>
      <c r="CA106" s="159"/>
      <c r="CB106" s="159"/>
      <c r="CC106" s="159"/>
    </row>
    <row r="107">
      <c r="A107" s="613" t="str">
        <f>Countries!B106</f>
        <v>Maldives</v>
      </c>
      <c r="B107" s="614" t="str">
        <f>Countries!I106</f>
        <v>South Asia</v>
      </c>
      <c r="C107" s="615">
        <f>IFERROR(IFERROR(IFERROR(IFERROR(IFERROR(IFERROR(IFERROR(MATCH(Countries!$B106,$M$3:$M$1003,0),MATCH(Countries!$C106,$M$3:$M$1003,0)),MATCH(Countries!$D106,$M$3:$M$1003,0)),MATCH(Countries!$E106,$M$3:$M$1003,0)),MATCH(Countries!$F106,$M$3:$M$1003,0)),MATCH(Countries!$G106,$M$3:$M$1003,0)),MATCH(Countries!$H106,$M$3:$M$1003,0)),"X")</f>
        <v>110</v>
      </c>
      <c r="D107" s="616">
        <f t="shared" ref="D107:F107" si="213">IF(G$2="","",IF($C107="X","",INDEX($N$3:$CC$1003,$C107,MATCH(G$2,$N$2:$CC$2,0))))</f>
        <v>23973.61832</v>
      </c>
      <c r="E107" s="603" t="str">
        <f t="shared" si="213"/>
        <v/>
      </c>
      <c r="F107" s="603" t="str">
        <f t="shared" si="213"/>
        <v/>
      </c>
      <c r="G107" s="617">
        <f t="shared" si="5"/>
        <v>23973.61832</v>
      </c>
      <c r="H107" s="618" t="str">
        <f t="shared" ref="H107:I107" si="214">IF(H$2="","", IF(E107="",IF($K$16="Use global average",E$276,IF($K$16="Use regional average",INDEX(E$280:E$296,MATCH($B107,$B$280:$B$296,0)),IF($K$16="Leave blank","",IF($K$16="Fill with zeros", 0,IF($K$16="Use global median",E$277,"Fill out I16"))))), E107))</f>
        <v/>
      </c>
      <c r="I107" s="618" t="str">
        <f t="shared" si="214"/>
        <v/>
      </c>
      <c r="J107" s="159"/>
      <c r="K107" s="159"/>
      <c r="L107" s="159" t="str">
        <f>IF(M107="","",IF(COUNTIF(Countries!$B$1:$H$271,M107)&gt;0,"",IF(COUNTIF(Countries!$M$1:$S$271,M107)&gt;0,"Not a country","ERROR – NOT LISTED. Add alt spelling to ''Countries'' tab")))</f>
        <v/>
      </c>
      <c r="M107" s="606" t="s">
        <v>801</v>
      </c>
      <c r="N107" s="624">
        <v>34.91118</v>
      </c>
      <c r="O107" s="621">
        <f t="shared" si="12"/>
        <v>16310.5033</v>
      </c>
      <c r="P107" s="192">
        <v>0.53223286</v>
      </c>
      <c r="Q107" s="622">
        <v>0.0596</v>
      </c>
      <c r="R107" s="621">
        <f t="shared" si="7"/>
        <v>32587.65108</v>
      </c>
      <c r="S107" s="159"/>
      <c r="T107" s="159"/>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c r="BS107" s="159"/>
      <c r="BT107" s="159"/>
      <c r="BU107" s="159"/>
      <c r="BV107" s="159"/>
      <c r="BW107" s="159"/>
      <c r="BX107" s="159"/>
      <c r="BY107" s="159"/>
      <c r="BZ107" s="159"/>
      <c r="CA107" s="159"/>
      <c r="CB107" s="159"/>
      <c r="CC107" s="159"/>
    </row>
    <row r="108">
      <c r="A108" s="613" t="str">
        <f>Countries!B107</f>
        <v>Mali</v>
      </c>
      <c r="B108" s="614" t="str">
        <f>Countries!I107</f>
        <v>Sub-Saharan Africa</v>
      </c>
      <c r="C108" s="615">
        <f>IFERROR(IFERROR(IFERROR(IFERROR(IFERROR(IFERROR(IFERROR(MATCH(Countries!$B107,$M$3:$M$1003,0),MATCH(Countries!$C107,$M$3:$M$1003,0)),MATCH(Countries!$D107,$M$3:$M$1003,0)),MATCH(Countries!$E107,$M$3:$M$1003,0)),MATCH(Countries!$F107,$M$3:$M$1003,0)),MATCH(Countries!$G107,$M$3:$M$1003,0)),MATCH(Countries!$H107,$M$3:$M$1003,0)),"X")</f>
        <v>111</v>
      </c>
      <c r="D108" s="616">
        <f t="shared" ref="D108:F108" si="215">IF(G$2="","",IF($C108="X","",INDEX($N$3:$CC$1003,$C108,MATCH(G$2,$N$2:$CC$2,0))))</f>
        <v>1690.302763</v>
      </c>
      <c r="E108" s="603" t="str">
        <f t="shared" si="215"/>
        <v/>
      </c>
      <c r="F108" s="603" t="str">
        <f t="shared" si="215"/>
        <v/>
      </c>
      <c r="G108" s="617">
        <f t="shared" si="5"/>
        <v>1690.302763</v>
      </c>
      <c r="H108" s="618" t="str">
        <f t="shared" ref="H108:I108" si="216">IF(H$2="","", IF(E108="",IF($K$16="Use global average",E$276,IF($K$16="Use regional average",INDEX(E$280:E$296,MATCH($B108,$B$280:$B$296,0)),IF($K$16="Leave blank","",IF($K$16="Fill with zeros", 0,IF($K$16="Use global median",E$277,"Fill out I16"))))), E108))</f>
        <v/>
      </c>
      <c r="I108" s="618" t="str">
        <f t="shared" si="216"/>
        <v/>
      </c>
      <c r="J108" s="159"/>
      <c r="K108" s="159"/>
      <c r="L108" s="159" t="str">
        <f>IF(M108="","",IF(COUNTIF(Countries!$B$1:$H$271,M108)&gt;0,"",IF(COUNTIF(Countries!$M$1:$S$271,M108)&gt;0,"Not a country","ERROR – NOT LISTED. Add alt spelling to ''Countries'' tab")))</f>
        <v/>
      </c>
      <c r="M108" s="606" t="s">
        <v>802</v>
      </c>
      <c r="N108" s="624">
        <v>79.70014</v>
      </c>
      <c r="O108" s="621">
        <f t="shared" si="12"/>
        <v>37235.90541</v>
      </c>
      <c r="P108" s="192">
        <v>0.44749496</v>
      </c>
      <c r="Q108" s="622">
        <v>0.0458</v>
      </c>
      <c r="R108" s="621">
        <f t="shared" si="7"/>
        <v>87203.58869</v>
      </c>
      <c r="S108" s="159"/>
      <c r="T108" s="159"/>
      <c r="U108" s="159"/>
      <c r="V108" s="159"/>
      <c r="W108" s="159"/>
      <c r="X108" s="159"/>
      <c r="Y108" s="159"/>
      <c r="Z108" s="159"/>
      <c r="AA108" s="159"/>
      <c r="AB108" s="159"/>
      <c r="AC108" s="159"/>
      <c r="AD108" s="159"/>
      <c r="AE108" s="159"/>
      <c r="AF108" s="159"/>
      <c r="AG108" s="159"/>
      <c r="AH108" s="159"/>
      <c r="AI108" s="159"/>
      <c r="AJ108" s="159"/>
      <c r="AK108" s="159"/>
      <c r="AL108" s="159"/>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c r="BS108" s="159"/>
      <c r="BT108" s="159"/>
      <c r="BU108" s="159"/>
      <c r="BV108" s="159"/>
      <c r="BW108" s="159"/>
      <c r="BX108" s="159"/>
      <c r="BY108" s="159"/>
      <c r="BZ108" s="159"/>
      <c r="CA108" s="159"/>
      <c r="CB108" s="159"/>
      <c r="CC108" s="159"/>
    </row>
    <row r="109">
      <c r="A109" s="613" t="str">
        <f>Countries!B108</f>
        <v>Malta</v>
      </c>
      <c r="B109" s="614" t="str">
        <f>Countries!I108</f>
        <v>Europe</v>
      </c>
      <c r="C109" s="615">
        <f>IFERROR(IFERROR(IFERROR(IFERROR(IFERROR(IFERROR(IFERROR(MATCH(Countries!$B108,$M$3:$M$1003,0),MATCH(Countries!$C108,$M$3:$M$1003,0)),MATCH(Countries!$D108,$M$3:$M$1003,0)),MATCH(Countries!$E108,$M$3:$M$1003,0)),MATCH(Countries!$F108,$M$3:$M$1003,0)),MATCH(Countries!$G108,$M$3:$M$1003,0)),MATCH(Countries!$H108,$M$3:$M$1003,0)),"X")</f>
        <v>112</v>
      </c>
      <c r="D109" s="616">
        <f t="shared" ref="D109:F109" si="217">IF(G$2="","",IF($C109="X","",INDEX($N$3:$CC$1003,$C109,MATCH(G$2,$N$2:$CC$2,0))))</f>
        <v>47156.30463</v>
      </c>
      <c r="E109" s="603" t="str">
        <f t="shared" si="217"/>
        <v/>
      </c>
      <c r="F109" s="603" t="str">
        <f t="shared" si="217"/>
        <v/>
      </c>
      <c r="G109" s="617">
        <f t="shared" si="5"/>
        <v>47156.30463</v>
      </c>
      <c r="H109" s="618" t="str">
        <f t="shared" ref="H109:I109" si="218">IF(H$2="","", IF(E109="",IF($K$16="Use global average",E$276,IF($K$16="Use regional average",INDEX(E$280:E$296,MATCH($B109,$B$280:$B$296,0)),IF($K$16="Leave blank","",IF($K$16="Fill with zeros", 0,IF($K$16="Use global median",E$277,"Fill out I16"))))), E109))</f>
        <v/>
      </c>
      <c r="I109" s="618" t="str">
        <f t="shared" si="218"/>
        <v/>
      </c>
      <c r="J109" s="159"/>
      <c r="K109" s="159"/>
      <c r="L109" s="159" t="str">
        <f>IF(M109="","",IF(COUNTIF(Countries!$B$1:$H$271,M109)&gt;0,"",IF(COUNTIF(Countries!$M$1:$S$271,M109)&gt;0,"Not a country","ERROR – NOT LISTED. Add alt spelling to ''Countries'' tab")))</f>
        <v/>
      </c>
      <c r="M109" s="606" t="s">
        <v>803</v>
      </c>
      <c r="N109" s="624">
        <v>1.1187238</v>
      </c>
      <c r="O109" s="621">
        <f t="shared" si="12"/>
        <v>522.6677594</v>
      </c>
      <c r="P109" s="192">
        <v>0.751535</v>
      </c>
      <c r="Q109" s="622">
        <v>0.01899</v>
      </c>
      <c r="R109" s="621">
        <f t="shared" si="7"/>
        <v>708.9295285</v>
      </c>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c r="BS109" s="159"/>
      <c r="BT109" s="159"/>
      <c r="BU109" s="159"/>
      <c r="BV109" s="159"/>
      <c r="BW109" s="159"/>
      <c r="BX109" s="159"/>
      <c r="BY109" s="159"/>
      <c r="BZ109" s="159"/>
      <c r="CA109" s="159"/>
      <c r="CB109" s="159"/>
      <c r="CC109" s="159"/>
    </row>
    <row r="110">
      <c r="A110" s="613" t="str">
        <f>Countries!B109</f>
        <v>Marshall Islands</v>
      </c>
      <c r="B110" s="614" t="str">
        <f>Countries!I109</f>
        <v>Oceania</v>
      </c>
      <c r="C110" s="615">
        <f>IFERROR(IFERROR(IFERROR(IFERROR(IFERROR(IFERROR(IFERROR(MATCH(Countries!$B109,$M$3:$M$1003,0),MATCH(Countries!$C109,$M$3:$M$1003,0)),MATCH(Countries!$D109,$M$3:$M$1003,0)),MATCH(Countries!$E109,$M$3:$M$1003,0)),MATCH(Countries!$F109,$M$3:$M$1003,0)),MATCH(Countries!$G109,$M$3:$M$1003,0)),MATCH(Countries!$H109,$M$3:$M$1003,0)),"X")</f>
        <v>113</v>
      </c>
      <c r="D110" s="627" t="str">
        <f t="shared" ref="D110:F110" si="219">IF(G$2="","",IF($C110="X","",INDEX($N$3:$CC$1003,$C110,MATCH(G$2,$N$2:$CC$2,0))))</f>
        <v/>
      </c>
      <c r="E110" s="603" t="str">
        <f t="shared" si="219"/>
        <v/>
      </c>
      <c r="F110" s="603" t="str">
        <f t="shared" si="219"/>
        <v/>
      </c>
      <c r="G110" s="628">
        <f t="shared" si="5"/>
        <v>4193.580108</v>
      </c>
      <c r="H110" s="618" t="str">
        <f t="shared" ref="H110:I110" si="220">IF(H$2="","", IF(E110="",IF($K$16="Use global average",E$276,IF($K$16="Use regional average",INDEX(E$280:E$296,MATCH($B110,$B$280:$B$296,0)),IF($K$16="Leave blank","",IF($K$16="Fill with zeros", 0,IF($K$16="Use global median",E$277,"Fill out I16"))))), E110))</f>
        <v/>
      </c>
      <c r="I110" s="618" t="str">
        <f t="shared" si="220"/>
        <v/>
      </c>
      <c r="J110" s="159"/>
      <c r="K110" s="159"/>
      <c r="L110" s="159" t="str">
        <f>IF(M110="","",IF(COUNTIF(Countries!$B$1:$H$271,M110)&gt;0,"",IF(COUNTIF(Countries!$M$1:$S$271,M110)&gt;0,"Not a country","ERROR – NOT LISTED. Add alt spelling to ''Countries'' tab")))</f>
        <v/>
      </c>
      <c r="M110" s="606" t="s">
        <v>804</v>
      </c>
      <c r="N110" s="624">
        <v>1.5339028</v>
      </c>
      <c r="O110" s="621">
        <f t="shared" si="12"/>
        <v>716.6393882</v>
      </c>
      <c r="P110" s="192">
        <v>0.7827828</v>
      </c>
      <c r="Q110" s="622">
        <v>0.05114</v>
      </c>
      <c r="R110" s="621">
        <f t="shared" si="7"/>
        <v>964.8443565</v>
      </c>
      <c r="S110" s="159"/>
      <c r="T110" s="159"/>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c r="BS110" s="159"/>
      <c r="BT110" s="159"/>
      <c r="BU110" s="159"/>
      <c r="BV110" s="159"/>
      <c r="BW110" s="159"/>
      <c r="BX110" s="159"/>
      <c r="BY110" s="159"/>
      <c r="BZ110" s="159"/>
      <c r="CA110" s="159"/>
      <c r="CB110" s="159"/>
      <c r="CC110" s="159"/>
    </row>
    <row r="111">
      <c r="A111" s="613" t="str">
        <f>Countries!B110</f>
        <v>Mauritania</v>
      </c>
      <c r="B111" s="614" t="str">
        <f>Countries!I110</f>
        <v>Sub-Saharan Africa</v>
      </c>
      <c r="C111" s="615">
        <f>IFERROR(IFERROR(IFERROR(IFERROR(IFERROR(IFERROR(IFERROR(MATCH(Countries!$B110,$M$3:$M$1003,0),MATCH(Countries!$C110,$M$3:$M$1003,0)),MATCH(Countries!$D110,$M$3:$M$1003,0)),MATCH(Countries!$E110,$M$3:$M$1003,0)),MATCH(Countries!$F110,$M$3:$M$1003,0)),MATCH(Countries!$G110,$M$3:$M$1003,0)),MATCH(Countries!$H110,$M$3:$M$1003,0)),"X")</f>
        <v>114</v>
      </c>
      <c r="D111" s="616">
        <f t="shared" ref="D111:F111" si="221">IF(G$2="","",IF($C111="X","",INDEX($N$3:$CC$1003,$C111,MATCH(G$2,$N$2:$CC$2,0))))</f>
        <v>3211.468245</v>
      </c>
      <c r="E111" s="603" t="str">
        <f t="shared" si="221"/>
        <v/>
      </c>
      <c r="F111" s="603" t="str">
        <f t="shared" si="221"/>
        <v/>
      </c>
      <c r="G111" s="617">
        <f t="shared" si="5"/>
        <v>3211.468245</v>
      </c>
      <c r="H111" s="618" t="str">
        <f t="shared" ref="H111:I111" si="222">IF(H$2="","", IF(E111="",IF($K$16="Use global average",E$276,IF($K$16="Use regional average",INDEX(E$280:E$296,MATCH($B111,$B$280:$B$296,0)),IF($K$16="Leave blank","",IF($K$16="Fill with zeros", 0,IF($K$16="Use global median",E$277,"Fill out I16"))))), E111))</f>
        <v/>
      </c>
      <c r="I111" s="618" t="str">
        <f t="shared" si="222"/>
        <v/>
      </c>
      <c r="J111" s="159"/>
      <c r="K111" s="159"/>
      <c r="L111" s="159" t="str">
        <f>IF(M111="","",IF(COUNTIF(Countries!$B$1:$H$271,M111)&gt;0,"",IF(COUNTIF(Countries!$M$1:$S$271,M111)&gt;0,"Not a country","ERROR – NOT LISTED. Add alt spelling to ''Countries'' tab")))</f>
        <v/>
      </c>
      <c r="M111" s="606" t="s">
        <v>805</v>
      </c>
      <c r="N111" s="624">
        <v>25.865078</v>
      </c>
      <c r="O111" s="621">
        <f t="shared" si="12"/>
        <v>12084.16444</v>
      </c>
      <c r="P111" s="192">
        <v>0.4231863</v>
      </c>
      <c r="Q111" s="622">
        <v>0.03629</v>
      </c>
      <c r="R111" s="621">
        <f t="shared" si="7"/>
        <v>29630.47826</v>
      </c>
      <c r="S111" s="159"/>
      <c r="T111" s="159"/>
      <c r="U111" s="159"/>
      <c r="V111" s="159"/>
      <c r="W111" s="159"/>
      <c r="X111" s="159"/>
      <c r="Y111" s="159"/>
      <c r="Z111" s="159"/>
      <c r="AA111" s="159"/>
      <c r="AB111" s="159"/>
      <c r="AC111" s="159"/>
      <c r="AD111" s="159"/>
      <c r="AE111" s="159"/>
      <c r="AF111" s="159"/>
      <c r="AG111" s="159"/>
      <c r="AH111" s="159"/>
      <c r="AI111" s="159"/>
      <c r="AJ111" s="159"/>
      <c r="AK111" s="159"/>
      <c r="AL111" s="159"/>
      <c r="AM111" s="159"/>
      <c r="AN111" s="159"/>
      <c r="AO111" s="159"/>
      <c r="AP111" s="159"/>
      <c r="AQ111" s="159"/>
      <c r="AR111" s="159"/>
      <c r="AS111" s="159"/>
      <c r="AT111" s="159"/>
      <c r="AU111" s="159"/>
      <c r="AV111" s="159"/>
      <c r="AW111" s="159"/>
      <c r="AX111" s="159"/>
      <c r="AY111" s="159"/>
      <c r="AZ111" s="159"/>
      <c r="BA111" s="159"/>
      <c r="BB111" s="159"/>
      <c r="BC111" s="159"/>
      <c r="BD111" s="159"/>
      <c r="BE111" s="159"/>
      <c r="BF111" s="159"/>
      <c r="BG111" s="159"/>
      <c r="BH111" s="159"/>
      <c r="BI111" s="159"/>
      <c r="BJ111" s="159"/>
      <c r="BK111" s="159"/>
      <c r="BL111" s="159"/>
      <c r="BM111" s="159"/>
      <c r="BN111" s="159"/>
      <c r="BO111" s="159"/>
      <c r="BP111" s="159"/>
      <c r="BQ111" s="159"/>
      <c r="BR111" s="159"/>
      <c r="BS111" s="159"/>
      <c r="BT111" s="159"/>
      <c r="BU111" s="159"/>
      <c r="BV111" s="159"/>
      <c r="BW111" s="159"/>
      <c r="BX111" s="159"/>
      <c r="BY111" s="159"/>
      <c r="BZ111" s="159"/>
      <c r="CA111" s="159"/>
      <c r="CB111" s="159"/>
      <c r="CC111" s="159"/>
    </row>
    <row r="112">
      <c r="A112" s="613" t="str">
        <f>Countries!B111</f>
        <v>Mauritius</v>
      </c>
      <c r="B112" s="614" t="str">
        <f>Countries!I111</f>
        <v>Sub-Saharan Africa</v>
      </c>
      <c r="C112" s="615">
        <f>IFERROR(IFERROR(IFERROR(IFERROR(IFERROR(IFERROR(IFERROR(MATCH(Countries!$B111,$M$3:$M$1003,0),MATCH(Countries!$C111,$M$3:$M$1003,0)),MATCH(Countries!$D111,$M$3:$M$1003,0)),MATCH(Countries!$E111,$M$3:$M$1003,0)),MATCH(Countries!$F111,$M$3:$M$1003,0)),MATCH(Countries!$G111,$M$3:$M$1003,0)),MATCH(Countries!$H111,$M$3:$M$1003,0)),"X")</f>
        <v>115</v>
      </c>
      <c r="D112" s="616">
        <f t="shared" ref="D112:F112" si="223">IF(G$2="","",IF($C112="X","",INDEX($N$3:$CC$1003,$C112,MATCH(G$2,$N$2:$CC$2,0))))</f>
        <v>16279.01</v>
      </c>
      <c r="E112" s="603" t="str">
        <f t="shared" si="223"/>
        <v/>
      </c>
      <c r="F112" s="603" t="str">
        <f t="shared" si="223"/>
        <v/>
      </c>
      <c r="G112" s="617">
        <f t="shared" si="5"/>
        <v>16279.01</v>
      </c>
      <c r="H112" s="618" t="str">
        <f t="shared" ref="H112:I112" si="224">IF(H$2="","", IF(E112="",IF($K$16="Use global average",E$276,IF($K$16="Use regional average",INDEX(E$280:E$296,MATCH($B112,$B$280:$B$296,0)),IF($K$16="Leave blank","",IF($K$16="Fill with zeros", 0,IF($K$16="Use global median",E$277,"Fill out I16"))))), E112))</f>
        <v/>
      </c>
      <c r="I112" s="618" t="str">
        <f t="shared" si="224"/>
        <v/>
      </c>
      <c r="J112" s="159"/>
      <c r="K112" s="159"/>
      <c r="L112" s="159" t="str">
        <f>IF(M112="","",IF(COUNTIF(Countries!$B$1:$H$271,M112)&gt;0,"",IF(COUNTIF(Countries!$M$1:$S$271,M112)&gt;0,"Not a country","ERROR – NOT LISTED. Add alt spelling to ''Countries'' tab")))</f>
        <v/>
      </c>
      <c r="M112" s="606" t="s">
        <v>806</v>
      </c>
      <c r="N112" s="624">
        <v>15.8306</v>
      </c>
      <c r="O112" s="621">
        <f t="shared" si="12"/>
        <v>7396.05632</v>
      </c>
      <c r="P112" s="192">
        <v>0.32265663000000006</v>
      </c>
      <c r="Q112" s="622">
        <v>0.04385</v>
      </c>
      <c r="R112" s="621">
        <f t="shared" si="7"/>
        <v>23973.61832</v>
      </c>
      <c r="S112" s="159"/>
      <c r="T112" s="159"/>
      <c r="U112" s="159"/>
      <c r="V112" s="159"/>
      <c r="W112" s="159"/>
      <c r="X112" s="159"/>
      <c r="Y112" s="159"/>
      <c r="Z112" s="159"/>
      <c r="AA112" s="159"/>
      <c r="AB112" s="159"/>
      <c r="AC112" s="159"/>
      <c r="AD112" s="159"/>
      <c r="AE112" s="159"/>
      <c r="AF112" s="159"/>
      <c r="AG112" s="159"/>
      <c r="AH112" s="159"/>
      <c r="AI112" s="159"/>
      <c r="AJ112" s="159"/>
      <c r="AK112" s="159"/>
      <c r="AL112" s="159"/>
      <c r="AM112" s="159"/>
      <c r="AN112" s="159"/>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c r="BS112" s="159"/>
      <c r="BT112" s="159"/>
      <c r="BU112" s="159"/>
      <c r="BV112" s="159"/>
      <c r="BW112" s="159"/>
      <c r="BX112" s="159"/>
      <c r="BY112" s="159"/>
      <c r="BZ112" s="159"/>
      <c r="CA112" s="159"/>
      <c r="CB112" s="159"/>
      <c r="CC112" s="159"/>
    </row>
    <row r="113">
      <c r="A113" s="613" t="str">
        <f>Countries!B112</f>
        <v>Mexico</v>
      </c>
      <c r="B113" s="614" t="str">
        <f>Countries!I112</f>
        <v>Latin America</v>
      </c>
      <c r="C113" s="615">
        <f>IFERROR(IFERROR(IFERROR(IFERROR(IFERROR(IFERROR(IFERROR(MATCH(Countries!$B112,$M$3:$M$1003,0),MATCH(Countries!$C112,$M$3:$M$1003,0)),MATCH(Countries!$D112,$M$3:$M$1003,0)),MATCH(Countries!$E112,$M$3:$M$1003,0)),MATCH(Countries!$F112,$M$3:$M$1003,0)),MATCH(Countries!$G112,$M$3:$M$1003,0)),MATCH(Countries!$H112,$M$3:$M$1003,0)),"X")</f>
        <v>116</v>
      </c>
      <c r="D113" s="616">
        <f t="shared" ref="D113:F113" si="225">IF(G$2="","",IF($C113="X","",INDEX($N$3:$CC$1003,$C113,MATCH(G$2,$N$2:$CC$2,0))))</f>
        <v>11452.57062</v>
      </c>
      <c r="E113" s="603" t="str">
        <f t="shared" si="225"/>
        <v/>
      </c>
      <c r="F113" s="603" t="str">
        <f t="shared" si="225"/>
        <v/>
      </c>
      <c r="G113" s="617">
        <f t="shared" si="5"/>
        <v>11452.57062</v>
      </c>
      <c r="H113" s="618" t="str">
        <f t="shared" ref="H113:I113" si="226">IF(H$2="","", IF(E113="",IF($K$16="Use global average",E$276,IF($K$16="Use regional average",INDEX(E$280:E$296,MATCH($B113,$B$280:$B$296,0)),IF($K$16="Leave blank","",IF($K$16="Fill with zeros", 0,IF($K$16="Use global median",E$277,"Fill out I16"))))), E113))</f>
        <v/>
      </c>
      <c r="I113" s="618" t="str">
        <f t="shared" si="226"/>
        <v/>
      </c>
      <c r="J113" s="159"/>
      <c r="K113" s="159"/>
      <c r="L113" s="159" t="str">
        <f>IF(M113="","",IF(COUNTIF(Countries!$B$1:$H$271,M113)&gt;0,"",IF(COUNTIF(Countries!$M$1:$S$271,M113)&gt;0,"Not a country","ERROR – NOT LISTED. Add alt spelling to ''Countries'' tab")))</f>
        <v/>
      </c>
      <c r="M113" s="606" t="s">
        <v>807</v>
      </c>
      <c r="N113" s="624">
        <v>3.3488104</v>
      </c>
      <c r="O113" s="621">
        <f t="shared" si="12"/>
        <v>1564.564219</v>
      </c>
      <c r="P113" s="192">
        <v>0.9556281</v>
      </c>
      <c r="Q113" s="622">
        <v>0.03141</v>
      </c>
      <c r="R113" s="621">
        <f t="shared" si="7"/>
        <v>1690.302763</v>
      </c>
      <c r="S113" s="159"/>
      <c r="T113" s="159"/>
      <c r="U113" s="159"/>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59"/>
      <c r="AT113" s="159"/>
      <c r="AU113" s="159"/>
      <c r="AV113" s="159"/>
      <c r="AW113" s="159"/>
      <c r="AX113" s="159"/>
      <c r="AY113" s="159"/>
      <c r="AZ113" s="159"/>
      <c r="BA113" s="159"/>
      <c r="BB113" s="159"/>
      <c r="BC113" s="159"/>
      <c r="BD113" s="159"/>
      <c r="BE113" s="159"/>
      <c r="BF113" s="159"/>
      <c r="BG113" s="159"/>
      <c r="BH113" s="159"/>
      <c r="BI113" s="159"/>
      <c r="BJ113" s="159"/>
      <c r="BK113" s="159"/>
      <c r="BL113" s="159"/>
      <c r="BM113" s="159"/>
      <c r="BN113" s="159"/>
      <c r="BO113" s="159"/>
      <c r="BP113" s="159"/>
      <c r="BQ113" s="159"/>
      <c r="BR113" s="159"/>
      <c r="BS113" s="159"/>
      <c r="BT113" s="159"/>
      <c r="BU113" s="159"/>
      <c r="BV113" s="159"/>
      <c r="BW113" s="159"/>
      <c r="BX113" s="159"/>
      <c r="BY113" s="159"/>
      <c r="BZ113" s="159"/>
      <c r="CA113" s="159"/>
      <c r="CB113" s="159"/>
      <c r="CC113" s="159"/>
    </row>
    <row r="114">
      <c r="A114" s="613" t="str">
        <f>Countries!B113</f>
        <v>Micronesia (Federated States of)</v>
      </c>
      <c r="B114" s="614" t="str">
        <f>Countries!I113</f>
        <v>Oceania</v>
      </c>
      <c r="C114" s="615">
        <f>IFERROR(IFERROR(IFERROR(IFERROR(IFERROR(IFERROR(IFERROR(MATCH(Countries!$B113,$M$3:$M$1003,0),MATCH(Countries!$C113,$M$3:$M$1003,0)),MATCH(Countries!$D113,$M$3:$M$1003,0)),MATCH(Countries!$E113,$M$3:$M$1003,0)),MATCH(Countries!$F113,$M$3:$M$1003,0)),MATCH(Countries!$G113,$M$3:$M$1003,0)),MATCH(Countries!$H113,$M$3:$M$1003,0)),"X")</f>
        <v>117</v>
      </c>
      <c r="D114" s="627" t="str">
        <f t="shared" ref="D114:F114" si="227">IF(G$2="","",IF($C114="X","",INDEX($N$3:$CC$1003,$C114,MATCH(G$2,$N$2:$CC$2,0))))</f>
        <v/>
      </c>
      <c r="E114" s="603" t="str">
        <f t="shared" si="227"/>
        <v/>
      </c>
      <c r="F114" s="603" t="str">
        <f t="shared" si="227"/>
        <v/>
      </c>
      <c r="G114" s="628">
        <f t="shared" si="5"/>
        <v>4193.580108</v>
      </c>
      <c r="H114" s="618" t="str">
        <f t="shared" ref="H114:I114" si="228">IF(H$2="","", IF(E114="",IF($K$16="Use global average",E$276,IF($K$16="Use regional average",INDEX(E$280:E$296,MATCH($B114,$B$280:$B$296,0)),IF($K$16="Leave blank","",IF($K$16="Fill with zeros", 0,IF($K$16="Use global median",E$277,"Fill out I16"))))), E114))</f>
        <v/>
      </c>
      <c r="I114" s="618" t="str">
        <f t="shared" si="228"/>
        <v/>
      </c>
      <c r="J114" s="159"/>
      <c r="K114" s="159"/>
      <c r="L114" s="159" t="str">
        <f>IF(M114="","",IF(COUNTIF(Countries!$B$1:$H$271,M114)&gt;0,"",IF(COUNTIF(Countries!$M$1:$S$271,M114)&gt;0,"Not a country","ERROR – NOT LISTED. Add alt spelling to ''Countries'' tab")))</f>
        <v/>
      </c>
      <c r="M114" s="606" t="s">
        <v>808</v>
      </c>
      <c r="N114" s="624">
        <v>48.106636</v>
      </c>
      <c r="O114" s="621">
        <f t="shared" si="12"/>
        <v>22475.42034</v>
      </c>
      <c r="P114" s="192">
        <v>0.49095116</v>
      </c>
      <c r="Q114" s="622">
        <v>0.0292</v>
      </c>
      <c r="R114" s="621">
        <f t="shared" si="7"/>
        <v>47156.30463</v>
      </c>
      <c r="S114" s="159"/>
      <c r="T114" s="159"/>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c r="BS114" s="159"/>
      <c r="BT114" s="159"/>
      <c r="BU114" s="159"/>
      <c r="BV114" s="159"/>
      <c r="BW114" s="159"/>
      <c r="BX114" s="159"/>
      <c r="BY114" s="159"/>
      <c r="BZ114" s="159"/>
      <c r="CA114" s="159"/>
      <c r="CB114" s="159"/>
      <c r="CC114" s="159"/>
    </row>
    <row r="115">
      <c r="A115" s="613" t="str">
        <f>Countries!B114</f>
        <v>Moldova</v>
      </c>
      <c r="B115" s="614" t="str">
        <f>Countries!I114</f>
        <v>Europe</v>
      </c>
      <c r="C115" s="615">
        <f>IFERROR(IFERROR(IFERROR(IFERROR(IFERROR(IFERROR(IFERROR(MATCH(Countries!$B114,$M$3:$M$1003,0),MATCH(Countries!$C114,$M$3:$M$1003,0)),MATCH(Countries!$D114,$M$3:$M$1003,0)),MATCH(Countries!$E114,$M$3:$M$1003,0)),MATCH(Countries!$F114,$M$3:$M$1003,0)),MATCH(Countries!$G114,$M$3:$M$1003,0)),MATCH(Countries!$H114,$M$3:$M$1003,0)),"X")</f>
        <v>118</v>
      </c>
      <c r="D115" s="616">
        <f t="shared" ref="D115:F115" si="229">IF(G$2="","",IF($C115="X","",INDEX($N$3:$CC$1003,$C115,MATCH(G$2,$N$2:$CC$2,0))))</f>
        <v>9048.103139</v>
      </c>
      <c r="E115" s="603" t="str">
        <f t="shared" si="229"/>
        <v/>
      </c>
      <c r="F115" s="603" t="str">
        <f t="shared" si="229"/>
        <v/>
      </c>
      <c r="G115" s="617">
        <f t="shared" si="5"/>
        <v>9048.103139</v>
      </c>
      <c r="H115" s="618" t="str">
        <f t="shared" ref="H115:I115" si="230">IF(H$2="","", IF(E115="",IF($K$16="Use global average",E$276,IF($K$16="Use regional average",INDEX(E$280:E$296,MATCH($B115,$B$280:$B$296,0)),IF($K$16="Leave blank","",IF($K$16="Fill with zeros", 0,IF($K$16="Use global median",E$277,"Fill out I16"))))), E115))</f>
        <v/>
      </c>
      <c r="I115" s="618" t="str">
        <f t="shared" si="230"/>
        <v/>
      </c>
      <c r="J115" s="159"/>
      <c r="K115" s="159"/>
      <c r="L115" s="159" t="str">
        <f>IF(M115="","",IF(COUNTIF(Countries!$B$1:$H$271,M115)&gt;0,"",IF(COUNTIF(Countries!$M$1:$S$271,M115)&gt;0,"Not a country","ERROR – NOT LISTED. Add alt spelling to ''Countries'' tab")))</f>
        <v/>
      </c>
      <c r="M115" s="606" t="s">
        <v>809</v>
      </c>
      <c r="N115" s="624">
        <v>9.188247</v>
      </c>
      <c r="O115" s="621">
        <f t="shared" si="12"/>
        <v>4292.748998</v>
      </c>
      <c r="P115" s="192">
        <v>0.6419002</v>
      </c>
      <c r="Q115" s="631" t="e">
        <v>#VALUE!</v>
      </c>
      <c r="R115" s="625" t="str">
        <f t="shared" si="7"/>
        <v/>
      </c>
      <c r="S115" s="159"/>
      <c r="T115" s="159"/>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c r="BS115" s="159"/>
      <c r="BT115" s="159"/>
      <c r="BU115" s="159"/>
      <c r="BV115" s="159"/>
      <c r="BW115" s="159"/>
      <c r="BX115" s="159"/>
      <c r="BY115" s="159"/>
      <c r="BZ115" s="159"/>
      <c r="CA115" s="159"/>
      <c r="CB115" s="159"/>
      <c r="CC115" s="159"/>
    </row>
    <row r="116">
      <c r="A116" s="613" t="str">
        <f>Countries!B115</f>
        <v>Monaco</v>
      </c>
      <c r="B116" s="614" t="str">
        <f>Countries!I115</f>
        <v>Europe</v>
      </c>
      <c r="C116" s="615">
        <f>IFERROR(IFERROR(IFERROR(IFERROR(IFERROR(IFERROR(IFERROR(MATCH(Countries!$B115,$M$3:$M$1003,0),MATCH(Countries!$C115,$M$3:$M$1003,0)),MATCH(Countries!$D115,$M$3:$M$1003,0)),MATCH(Countries!$E115,$M$3:$M$1003,0)),MATCH(Countries!$F115,$M$3:$M$1003,0)),MATCH(Countries!$G115,$M$3:$M$1003,0)),MATCH(Countries!$H115,$M$3:$M$1003,0)),"X")</f>
        <v>119</v>
      </c>
      <c r="D116" s="627" t="str">
        <f t="shared" ref="D116:F116" si="231">IF(G$2="","",IF($C116="X","",INDEX($N$3:$CC$1003,$C116,MATCH(G$2,$N$2:$CC$2,0))))</f>
        <v/>
      </c>
      <c r="E116" s="603" t="str">
        <f t="shared" si="231"/>
        <v/>
      </c>
      <c r="F116" s="603" t="str">
        <f t="shared" si="231"/>
        <v/>
      </c>
      <c r="G116" s="628">
        <f t="shared" si="5"/>
        <v>33026.35635</v>
      </c>
      <c r="H116" s="618" t="str">
        <f t="shared" ref="H116:I116" si="232">IF(H$2="","", IF(E116="",IF($K$16="Use global average",E$276,IF($K$16="Use regional average",INDEX(E$280:E$296,MATCH($B116,$B$280:$B$296,0)),IF($K$16="Leave blank","",IF($K$16="Fill with zeros", 0,IF($K$16="Use global median",E$277,"Fill out I16"))))), E116))</f>
        <v/>
      </c>
      <c r="I116" s="618" t="str">
        <f t="shared" si="232"/>
        <v/>
      </c>
      <c r="J116" s="159"/>
      <c r="K116" s="159"/>
      <c r="L116" s="159" t="str">
        <f>IF(M116="","",IF(COUNTIF(Countries!$B$1:$H$271,M116)&gt;0,"",IF(COUNTIF(Countries!$M$1:$S$271,M116)&gt;0,"Not a country","ERROR – NOT LISTED. Add alt spelling to ''Countries'' tab")))</f>
        <v/>
      </c>
      <c r="M116" s="606" t="s">
        <v>810</v>
      </c>
      <c r="N116" s="624">
        <v>5.2766995</v>
      </c>
      <c r="O116" s="621">
        <f t="shared" si="12"/>
        <v>2465.274006</v>
      </c>
      <c r="P116" s="192">
        <v>0.8605039999999999</v>
      </c>
      <c r="Q116" s="622">
        <v>0.10791</v>
      </c>
      <c r="R116" s="621">
        <f t="shared" si="7"/>
        <v>3211.468245</v>
      </c>
      <c r="S116" s="159"/>
      <c r="T116" s="159"/>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c r="BS116" s="159"/>
      <c r="BT116" s="159"/>
      <c r="BU116" s="159"/>
      <c r="BV116" s="159"/>
      <c r="BW116" s="159"/>
      <c r="BX116" s="159"/>
      <c r="BY116" s="159"/>
      <c r="BZ116" s="159"/>
      <c r="CA116" s="159"/>
      <c r="CB116" s="159"/>
      <c r="CC116" s="159"/>
    </row>
    <row r="117">
      <c r="A117" s="613" t="str">
        <f>Countries!B116</f>
        <v>Mongolia</v>
      </c>
      <c r="B117" s="614" t="str">
        <f>Countries!I116</f>
        <v>East Asia</v>
      </c>
      <c r="C117" s="615">
        <f>IFERROR(IFERROR(IFERROR(IFERROR(IFERROR(IFERROR(IFERROR(MATCH(Countries!$B116,$M$3:$M$1003,0),MATCH(Countries!$C116,$M$3:$M$1003,0)),MATCH(Countries!$D116,$M$3:$M$1003,0)),MATCH(Countries!$E116,$M$3:$M$1003,0)),MATCH(Countries!$F116,$M$3:$M$1003,0)),MATCH(Countries!$G116,$M$3:$M$1003,0)),MATCH(Countries!$H116,$M$3:$M$1003,0)),"X")</f>
        <v>120</v>
      </c>
      <c r="D117" s="616">
        <f t="shared" ref="D117:F117" si="233">IF(G$2="","",IF($C117="X","",INDEX($N$3:$CC$1003,$C117,MATCH(G$2,$N$2:$CC$2,0))))</f>
        <v>8573.151659</v>
      </c>
      <c r="E117" s="603" t="str">
        <f t="shared" si="233"/>
        <v/>
      </c>
      <c r="F117" s="603" t="str">
        <f t="shared" si="233"/>
        <v/>
      </c>
      <c r="G117" s="617">
        <f t="shared" si="5"/>
        <v>8573.151659</v>
      </c>
      <c r="H117" s="618" t="str">
        <f t="shared" ref="H117:I117" si="234">IF(H$2="","", IF(E117="",IF($K$16="Use global average",E$276,IF($K$16="Use regional average",INDEX(E$280:E$296,MATCH($B117,$B$280:$B$296,0)),IF($K$16="Leave blank","",IF($K$16="Fill with zeros", 0,IF($K$16="Use global median",E$277,"Fill out I16"))))), E117))</f>
        <v/>
      </c>
      <c r="I117" s="618" t="str">
        <f t="shared" si="234"/>
        <v/>
      </c>
      <c r="J117" s="159"/>
      <c r="K117" s="159"/>
      <c r="L117" s="159" t="str">
        <f>IF(M117="","",IF(COUNTIF(Countries!$B$1:$H$271,M117)&gt;0,"",IF(COUNTIF(Countries!$M$1:$S$271,M117)&gt;0,"Not a country","ERROR – NOT LISTED. Add alt spelling to ''Countries'' tab")))</f>
        <v/>
      </c>
      <c r="M117" s="606" t="s">
        <v>811</v>
      </c>
      <c r="N117" s="624">
        <v>12.731154</v>
      </c>
      <c r="O117" s="621">
        <f t="shared" si="12"/>
        <v>5947.995149</v>
      </c>
      <c r="P117" s="192">
        <v>0.39003628</v>
      </c>
      <c r="Q117" s="622">
        <v>0.06322</v>
      </c>
      <c r="R117" s="621">
        <f t="shared" si="7"/>
        <v>16279.01</v>
      </c>
      <c r="S117" s="159"/>
      <c r="T117" s="159"/>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c r="BS117" s="159"/>
      <c r="BT117" s="159"/>
      <c r="BU117" s="159"/>
      <c r="BV117" s="159"/>
      <c r="BW117" s="159"/>
      <c r="BX117" s="159"/>
      <c r="BY117" s="159"/>
      <c r="BZ117" s="159"/>
      <c r="CA117" s="159"/>
      <c r="CB117" s="159"/>
      <c r="CC117" s="159"/>
    </row>
    <row r="118">
      <c r="A118" s="613" t="str">
        <f>Countries!B117</f>
        <v>Montenegro</v>
      </c>
      <c r="B118" s="614" t="str">
        <f>Countries!I117</f>
        <v>Europe</v>
      </c>
      <c r="C118" s="615">
        <f>IFERROR(IFERROR(IFERROR(IFERROR(IFERROR(IFERROR(IFERROR(MATCH(Countries!$B117,$M$3:$M$1003,0),MATCH(Countries!$C117,$M$3:$M$1003,0)),MATCH(Countries!$D117,$M$3:$M$1003,0)),MATCH(Countries!$E117,$M$3:$M$1003,0)),MATCH(Countries!$F117,$M$3:$M$1003,0)),MATCH(Countries!$G117,$M$3:$M$1003,0)),MATCH(Countries!$H117,$M$3:$M$1003,0)),"X")</f>
        <v>121</v>
      </c>
      <c r="D118" s="616">
        <f t="shared" ref="D118:F118" si="235">IF(G$2="","",IF($C118="X","",INDEX($N$3:$CC$1003,$C118,MATCH(G$2,$N$2:$CC$2,0))))</f>
        <v>16095.09137</v>
      </c>
      <c r="E118" s="603" t="str">
        <f t="shared" si="235"/>
        <v/>
      </c>
      <c r="F118" s="603" t="str">
        <f t="shared" si="235"/>
        <v/>
      </c>
      <c r="G118" s="617">
        <f t="shared" si="5"/>
        <v>16095.09137</v>
      </c>
      <c r="H118" s="618" t="str">
        <f t="shared" ref="H118:I118" si="236">IF(H$2="","", IF(E118="",IF($K$16="Use global average",E$276,IF($K$16="Use regional average",INDEX(E$280:E$296,MATCH($B118,$B$280:$B$296,0)),IF($K$16="Leave blank","",IF($K$16="Fill with zeros", 0,IF($K$16="Use global median",E$277,"Fill out I16"))))), E118))</f>
        <v/>
      </c>
      <c r="I118" s="618" t="str">
        <f t="shared" si="236"/>
        <v/>
      </c>
      <c r="J118" s="159"/>
      <c r="K118" s="159"/>
      <c r="L118" s="159" t="str">
        <f>IF(M118="","",IF(COUNTIF(Countries!$B$1:$H$271,M118)&gt;0,"",IF(COUNTIF(Countries!$M$1:$S$271,M118)&gt;0,"Not a country","ERROR – NOT LISTED. Add alt spelling to ''Countries'' tab")))</f>
        <v/>
      </c>
      <c r="M118" s="606" t="s">
        <v>812</v>
      </c>
      <c r="N118" s="624">
        <v>11.628478</v>
      </c>
      <c r="O118" s="621">
        <f t="shared" si="12"/>
        <v>5432.824922</v>
      </c>
      <c r="P118" s="192">
        <v>0.49036181999999995</v>
      </c>
      <c r="Q118" s="622">
        <v>0.0326</v>
      </c>
      <c r="R118" s="621">
        <f t="shared" si="7"/>
        <v>11452.57062</v>
      </c>
      <c r="S118" s="159"/>
      <c r="T118" s="159"/>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c r="BS118" s="159"/>
      <c r="BT118" s="159"/>
      <c r="BU118" s="159"/>
      <c r="BV118" s="159"/>
      <c r="BW118" s="159"/>
      <c r="BX118" s="159"/>
      <c r="BY118" s="159"/>
      <c r="BZ118" s="159"/>
      <c r="CA118" s="159"/>
      <c r="CB118" s="159"/>
      <c r="CC118" s="159"/>
    </row>
    <row r="119">
      <c r="A119" s="613" t="str">
        <f>Countries!B118</f>
        <v>Morocco</v>
      </c>
      <c r="B119" s="614" t="str">
        <f>Countries!I118</f>
        <v>North Africa</v>
      </c>
      <c r="C119" s="615">
        <f>IFERROR(IFERROR(IFERROR(IFERROR(IFERROR(IFERROR(IFERROR(MATCH(Countries!$B118,$M$3:$M$1003,0),MATCH(Countries!$C118,$M$3:$M$1003,0)),MATCH(Countries!$D118,$M$3:$M$1003,0)),MATCH(Countries!$E118,$M$3:$M$1003,0)),MATCH(Countries!$F118,$M$3:$M$1003,0)),MATCH(Countries!$G118,$M$3:$M$1003,0)),MATCH(Countries!$H118,$M$3:$M$1003,0)),"X")</f>
        <v>123</v>
      </c>
      <c r="D119" s="616">
        <f t="shared" ref="D119:F119" si="237">IF(G$2="","",IF($C119="X","",INDEX($N$3:$CC$1003,$C119,MATCH(G$2,$N$2:$CC$2,0))))</f>
        <v>7819.18021</v>
      </c>
      <c r="E119" s="603" t="str">
        <f t="shared" si="237"/>
        <v/>
      </c>
      <c r="F119" s="603" t="str">
        <f t="shared" si="237"/>
        <v/>
      </c>
      <c r="G119" s="617">
        <f t="shared" si="5"/>
        <v>7819.18021</v>
      </c>
      <c r="H119" s="618" t="str">
        <f t="shared" ref="H119:I119" si="238">IF(H$2="","", IF(E119="",IF($K$16="Use global average",E$276,IF($K$16="Use regional average",INDEX(E$280:E$296,MATCH($B119,$B$280:$B$296,0)),IF($K$16="Leave blank","",IF($K$16="Fill with zeros", 0,IF($K$16="Use global median",E$277,"Fill out I16"))))), E119))</f>
        <v/>
      </c>
      <c r="I119" s="618" t="str">
        <f t="shared" si="238"/>
        <v/>
      </c>
      <c r="J119" s="159"/>
      <c r="K119" s="159"/>
      <c r="L119" s="159" t="str">
        <f>IF(M119="","",IF(COUNTIF(Countries!$B$1:$H$271,M119)&gt;0,"",IF(COUNTIF(Countries!$M$1:$S$271,M119)&gt;0,"Not a country","ERROR – NOT LISTED. Add alt spelling to ''Countries'' tab")))</f>
        <v/>
      </c>
      <c r="M119" s="606" t="s">
        <v>813</v>
      </c>
      <c r="N119" s="624">
        <v>4.2220106</v>
      </c>
      <c r="O119" s="621">
        <f t="shared" si="12"/>
        <v>1972.523352</v>
      </c>
      <c r="P119" s="192">
        <v>0.6093205300000001</v>
      </c>
      <c r="Q119" s="631" t="e">
        <v>#VALUE!</v>
      </c>
      <c r="R119" s="625" t="str">
        <f t="shared" si="7"/>
        <v/>
      </c>
      <c r="S119" s="159"/>
      <c r="T119" s="159"/>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c r="BS119" s="159"/>
      <c r="BT119" s="159"/>
      <c r="BU119" s="159"/>
      <c r="BV119" s="159"/>
      <c r="BW119" s="159"/>
      <c r="BX119" s="159"/>
      <c r="BY119" s="159"/>
      <c r="BZ119" s="159"/>
      <c r="CA119" s="159"/>
      <c r="CB119" s="159"/>
      <c r="CC119" s="159"/>
    </row>
    <row r="120">
      <c r="A120" s="613" t="str">
        <f>Countries!B119</f>
        <v>Mozambique</v>
      </c>
      <c r="B120" s="614" t="str">
        <f>Countries!I119</f>
        <v>Sub-Saharan Africa</v>
      </c>
      <c r="C120" s="615">
        <f>IFERROR(IFERROR(IFERROR(IFERROR(IFERROR(IFERROR(IFERROR(MATCH(Countries!$B119,$M$3:$M$1003,0),MATCH(Countries!$C119,$M$3:$M$1003,0)),MATCH(Countries!$D119,$M$3:$M$1003,0)),MATCH(Countries!$E119,$M$3:$M$1003,0)),MATCH(Countries!$F119,$M$3:$M$1003,0)),MATCH(Countries!$G119,$M$3:$M$1003,0)),MATCH(Countries!$H119,$M$3:$M$1003,0)),"X")</f>
        <v>124</v>
      </c>
      <c r="D120" s="616">
        <f t="shared" ref="D120:F120" si="239">IF(G$2="","",IF($C120="X","",INDEX($N$3:$CC$1003,$C120,MATCH(G$2,$N$2:$CC$2,0))))</f>
        <v>693.9047167</v>
      </c>
      <c r="E120" s="603" t="str">
        <f t="shared" si="239"/>
        <v/>
      </c>
      <c r="F120" s="603" t="str">
        <f t="shared" si="239"/>
        <v/>
      </c>
      <c r="G120" s="617">
        <f t="shared" si="5"/>
        <v>693.9047167</v>
      </c>
      <c r="H120" s="618" t="str">
        <f t="shared" ref="H120:I120" si="240">IF(H$2="","", IF(E120="",IF($K$16="Use global average",E$276,IF($K$16="Use regional average",INDEX(E$280:E$296,MATCH($B120,$B$280:$B$296,0)),IF($K$16="Leave blank","",IF($K$16="Fill with zeros", 0,IF($K$16="Use global median",E$277,"Fill out I16"))))), E120))</f>
        <v/>
      </c>
      <c r="I120" s="618" t="str">
        <f t="shared" si="240"/>
        <v/>
      </c>
      <c r="J120" s="159"/>
      <c r="K120" s="159"/>
      <c r="L120" s="159" t="str">
        <f>IF(M120="","",IF(COUNTIF(Countries!$B$1:$H$271,M120)&gt;0,"",IF(COUNTIF(Countries!$M$1:$S$271,M120)&gt;0,"Not a country","ERROR – NOT LISTED. Add alt spelling to ''Countries'' tab")))</f>
        <v/>
      </c>
      <c r="M120" s="606" t="s">
        <v>814</v>
      </c>
      <c r="N120" s="624">
        <v>10.60901</v>
      </c>
      <c r="O120" s="621">
        <f t="shared" si="12"/>
        <v>4956.529472</v>
      </c>
      <c r="P120" s="192">
        <v>0.55282837</v>
      </c>
      <c r="Q120" s="622">
        <v>0.0091</v>
      </c>
      <c r="R120" s="621">
        <f t="shared" si="7"/>
        <v>9048.103139</v>
      </c>
      <c r="S120" s="159"/>
      <c r="T120" s="159"/>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row>
    <row r="121">
      <c r="A121" s="613" t="str">
        <f>Countries!B120</f>
        <v>Myanmar</v>
      </c>
      <c r="B121" s="614" t="str">
        <f>Countries!I120</f>
        <v>Southeast Asia</v>
      </c>
      <c r="C121" s="615">
        <f>IFERROR(IFERROR(IFERROR(IFERROR(IFERROR(IFERROR(IFERROR(MATCH(Countries!$B120,$M$3:$M$1003,0),MATCH(Countries!$C120,$M$3:$M$1003,0)),MATCH(Countries!$D120,$M$3:$M$1003,0)),MATCH(Countries!$E120,$M$3:$M$1003,0)),MATCH(Countries!$F120,$M$3:$M$1003,0)),MATCH(Countries!$G120,$M$3:$M$1003,0)),MATCH(Countries!$H120,$M$3:$M$1003,0)),"X")</f>
        <v>125</v>
      </c>
      <c r="D121" s="616">
        <f t="shared" ref="D121:F121" si="241">IF(G$2="","",IF($C121="X","",INDEX($N$3:$CC$1003,$C121,MATCH(G$2,$N$2:$CC$2,0))))</f>
        <v>5700.381937</v>
      </c>
      <c r="E121" s="603" t="str">
        <f t="shared" si="241"/>
        <v/>
      </c>
      <c r="F121" s="603" t="str">
        <f t="shared" si="241"/>
        <v/>
      </c>
      <c r="G121" s="617">
        <f t="shared" si="5"/>
        <v>5700.381937</v>
      </c>
      <c r="H121" s="618" t="str">
        <f t="shared" ref="H121:I121" si="242">IF(H$2="","", IF(E121="",IF($K$16="Use global average",E$276,IF($K$16="Use regional average",INDEX(E$280:E$296,MATCH($B121,$B$280:$B$296,0)),IF($K$16="Leave blank","",IF($K$16="Fill with zeros", 0,IF($K$16="Use global median",E$277,"Fill out I16"))))), E121))</f>
        <v/>
      </c>
      <c r="I121" s="618" t="str">
        <f t="shared" si="242"/>
        <v/>
      </c>
      <c r="J121" s="159"/>
      <c r="K121" s="159"/>
      <c r="L121" s="159" t="str">
        <f>IF(M121="","",IF(COUNTIF(Countries!$B$1:$H$271,M121)&gt;0,"",IF(COUNTIF(Countries!$M$1:$S$271,M121)&gt;0,"Not a country","ERROR – NOT LISTED. Add alt spelling to ''Countries'' tab")))</f>
        <v/>
      </c>
      <c r="M121" s="606" t="s">
        <v>815</v>
      </c>
      <c r="N121" s="620" t="s">
        <v>694</v>
      </c>
      <c r="O121" s="630" t="str">
        <f t="shared" si="12"/>
        <v>#VALUE!</v>
      </c>
      <c r="P121" s="192">
        <v>0.9622248</v>
      </c>
      <c r="Q121" s="631" t="e">
        <v>#VALUE!</v>
      </c>
      <c r="R121" s="625" t="str">
        <f t="shared" si="7"/>
        <v/>
      </c>
      <c r="S121" s="159"/>
      <c r="T121" s="159"/>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c r="BS121" s="159"/>
      <c r="BT121" s="159"/>
      <c r="BU121" s="159"/>
      <c r="BV121" s="159"/>
      <c r="BW121" s="159"/>
      <c r="BX121" s="159"/>
      <c r="BY121" s="159"/>
      <c r="BZ121" s="159"/>
      <c r="CA121" s="159"/>
      <c r="CB121" s="159"/>
      <c r="CC121" s="159"/>
    </row>
    <row r="122">
      <c r="A122" s="613" t="str">
        <f>Countries!B121</f>
        <v>Namibia</v>
      </c>
      <c r="B122" s="614" t="str">
        <f>Countries!I121</f>
        <v>Sub-Saharan Africa</v>
      </c>
      <c r="C122" s="615">
        <f>IFERROR(IFERROR(IFERROR(IFERROR(IFERROR(IFERROR(IFERROR(MATCH(Countries!$B121,$M$3:$M$1003,0),MATCH(Countries!$C121,$M$3:$M$1003,0)),MATCH(Countries!$D121,$M$3:$M$1003,0)),MATCH(Countries!$E121,$M$3:$M$1003,0)),MATCH(Countries!$F121,$M$3:$M$1003,0)),MATCH(Countries!$G121,$M$3:$M$1003,0)),MATCH(Countries!$H121,$M$3:$M$1003,0)),"X")</f>
        <v>126</v>
      </c>
      <c r="D122" s="616">
        <f t="shared" ref="D122:F122" si="243">IF(G$2="","",IF($C122="X","",INDEX($N$3:$CC$1003,$C122,MATCH(G$2,$N$2:$CC$2,0))))</f>
        <v>4803.413827</v>
      </c>
      <c r="E122" s="603" t="str">
        <f t="shared" si="243"/>
        <v/>
      </c>
      <c r="F122" s="603" t="str">
        <f t="shared" si="243"/>
        <v/>
      </c>
      <c r="G122" s="617">
        <f t="shared" si="5"/>
        <v>4803.413827</v>
      </c>
      <c r="H122" s="618" t="str">
        <f t="shared" ref="H122:I122" si="244">IF(H$2="","", IF(E122="",IF($K$16="Use global average",E$276,IF($K$16="Use regional average",INDEX(E$280:E$296,MATCH($B122,$B$280:$B$296,0)),IF($K$16="Leave blank","",IF($K$16="Fill with zeros", 0,IF($K$16="Use global median",E$277,"Fill out I16"))))), E122))</f>
        <v/>
      </c>
      <c r="I122" s="618" t="str">
        <f t="shared" si="244"/>
        <v/>
      </c>
      <c r="J122" s="159"/>
      <c r="K122" s="159"/>
      <c r="L122" s="159" t="str">
        <f>IF(M122="","",IF(COUNTIF(Countries!$B$1:$H$271,M122)&gt;0,"",IF(COUNTIF(Countries!$M$1:$S$271,M122)&gt;0,"Not a country","ERROR – NOT LISTED. Add alt spelling to ''Countries'' tab")))</f>
        <v/>
      </c>
      <c r="M122" s="606" t="s">
        <v>816</v>
      </c>
      <c r="N122" s="624">
        <v>10.326545</v>
      </c>
      <c r="O122" s="621">
        <f t="shared" si="12"/>
        <v>4824.561824</v>
      </c>
      <c r="P122" s="192">
        <v>0.60001324</v>
      </c>
      <c r="Q122" s="622">
        <v>0.0621</v>
      </c>
      <c r="R122" s="621">
        <f t="shared" si="7"/>
        <v>8573.151659</v>
      </c>
      <c r="S122" s="159"/>
      <c r="T122" s="159"/>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c r="BS122" s="159"/>
      <c r="BT122" s="159"/>
      <c r="BU122" s="159"/>
      <c r="BV122" s="159"/>
      <c r="BW122" s="159"/>
      <c r="BX122" s="159"/>
      <c r="BY122" s="159"/>
      <c r="BZ122" s="159"/>
      <c r="CA122" s="159"/>
      <c r="CB122" s="159"/>
      <c r="CC122" s="159"/>
    </row>
    <row r="123">
      <c r="A123" s="613" t="str">
        <f>Countries!B122</f>
        <v>Nauru</v>
      </c>
      <c r="B123" s="614" t="str">
        <f>Countries!I122</f>
        <v>Oceania</v>
      </c>
      <c r="C123" s="615">
        <f>IFERROR(IFERROR(IFERROR(IFERROR(IFERROR(IFERROR(IFERROR(MATCH(Countries!$B122,$M$3:$M$1003,0),MATCH(Countries!$C122,$M$3:$M$1003,0)),MATCH(Countries!$D122,$M$3:$M$1003,0)),MATCH(Countries!$E122,$M$3:$M$1003,0)),MATCH(Countries!$F122,$M$3:$M$1003,0)),MATCH(Countries!$G122,$M$3:$M$1003,0)),MATCH(Countries!$H122,$M$3:$M$1003,0)),"X")</f>
        <v>127</v>
      </c>
      <c r="D123" s="627" t="str">
        <f t="shared" ref="D123:F123" si="245">IF(G$2="","",IF($C123="X","",INDEX($N$3:$CC$1003,$C123,MATCH(G$2,$N$2:$CC$2,0))))</f>
        <v/>
      </c>
      <c r="E123" s="603" t="str">
        <f t="shared" si="245"/>
        <v/>
      </c>
      <c r="F123" s="603" t="str">
        <f t="shared" si="245"/>
        <v/>
      </c>
      <c r="G123" s="628">
        <f t="shared" si="5"/>
        <v>4193.580108</v>
      </c>
      <c r="H123" s="618" t="str">
        <f t="shared" ref="H123:I123" si="246">IF(H$2="","", IF(E123="",IF($K$16="Use global average",E$276,IF($K$16="Use regional average",INDEX(E$280:E$296,MATCH($B123,$B$280:$B$296,0)),IF($K$16="Leave blank","",IF($K$16="Fill with zeros", 0,IF($K$16="Use global median",E$277,"Fill out I16"))))), E123))</f>
        <v/>
      </c>
      <c r="I123" s="618" t="str">
        <f t="shared" si="246"/>
        <v/>
      </c>
      <c r="J123" s="159"/>
      <c r="K123" s="159"/>
      <c r="L123" s="159" t="str">
        <f>IF(M123="","",IF(COUNTIF(Countries!$B$1:$H$271,M123)&gt;0,"",IF(COUNTIF(Countries!$M$1:$S$271,M123)&gt;0,"Not a country","ERROR – NOT LISTED. Add alt spelling to ''Countries'' tab")))</f>
        <v/>
      </c>
      <c r="M123" s="606" t="s">
        <v>817</v>
      </c>
      <c r="N123" s="624">
        <v>16.274788</v>
      </c>
      <c r="O123" s="621">
        <f t="shared" si="12"/>
        <v>7603.580954</v>
      </c>
      <c r="P123" s="192">
        <v>0.55743633</v>
      </c>
      <c r="Q123" s="622">
        <v>0.15252000000000002</v>
      </c>
      <c r="R123" s="621">
        <f t="shared" si="7"/>
        <v>16095.09137</v>
      </c>
      <c r="S123" s="159"/>
      <c r="T123" s="159"/>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c r="BS123" s="159"/>
      <c r="BT123" s="159"/>
      <c r="BU123" s="159"/>
      <c r="BV123" s="159"/>
      <c r="BW123" s="159"/>
      <c r="BX123" s="159"/>
      <c r="BY123" s="159"/>
      <c r="BZ123" s="159"/>
      <c r="CA123" s="159"/>
      <c r="CB123" s="159"/>
      <c r="CC123" s="159"/>
    </row>
    <row r="124">
      <c r="A124" s="613" t="str">
        <f>Countries!B123</f>
        <v>Nepal</v>
      </c>
      <c r="B124" s="614" t="str">
        <f>Countries!I123</f>
        <v>South Asia</v>
      </c>
      <c r="C124" s="615">
        <f>IFERROR(IFERROR(IFERROR(IFERROR(IFERROR(IFERROR(IFERROR(MATCH(Countries!$B123,$M$3:$M$1003,0),MATCH(Countries!$C123,$M$3:$M$1003,0)),MATCH(Countries!$D123,$M$3:$M$1003,0)),MATCH(Countries!$E123,$M$3:$M$1003,0)),MATCH(Countries!$F123,$M$3:$M$1003,0)),MATCH(Countries!$G123,$M$3:$M$1003,0)),MATCH(Countries!$H123,$M$3:$M$1003,0)),"X")</f>
        <v>128</v>
      </c>
      <c r="D124" s="616">
        <f t="shared" ref="D124:F124" si="247">IF(G$2="","",IF($C124="X","",INDEX($N$3:$CC$1003,$C124,MATCH(G$2,$N$2:$CC$2,0))))</f>
        <v>4077.964473</v>
      </c>
      <c r="E124" s="603" t="str">
        <f t="shared" si="247"/>
        <v/>
      </c>
      <c r="F124" s="603" t="str">
        <f t="shared" si="247"/>
        <v/>
      </c>
      <c r="G124" s="617">
        <f t="shared" si="5"/>
        <v>4077.964473</v>
      </c>
      <c r="H124" s="618" t="str">
        <f t="shared" ref="H124:I124" si="248">IF(H$2="","", IF(E124="",IF($K$16="Use global average",E$276,IF($K$16="Use regional average",INDEX(E$280:E$296,MATCH($B124,$B$280:$B$296,0)),IF($K$16="Leave blank","",IF($K$16="Fill with zeros", 0,IF($K$16="Use global median",E$277,"Fill out I16"))))), E124))</f>
        <v/>
      </c>
      <c r="I124" s="618" t="str">
        <f t="shared" si="248"/>
        <v/>
      </c>
      <c r="J124" s="159"/>
      <c r="K124" s="159"/>
      <c r="L124" s="634" t="str">
        <f>IF(M124="","",IF(COUNTIF(Countries!$B$1:$H$271,M124)&gt;0,"",IF(COUNTIF(Countries!$M$1:$S$271,M124)&gt;0,"Not a country","ERROR – NOT LISTED. Add alt spelling to ''Countries'' tab")))</f>
        <v>Not a country</v>
      </c>
      <c r="M124" s="606" t="s">
        <v>818</v>
      </c>
      <c r="N124" s="620" t="s">
        <v>694</v>
      </c>
      <c r="O124" s="630" t="str">
        <f t="shared" si="12"/>
        <v>#VALUE!</v>
      </c>
      <c r="P124" s="192">
        <v>0.5633802800000001</v>
      </c>
      <c r="Q124" s="631" t="e">
        <v>#VALUE!</v>
      </c>
      <c r="R124" s="625" t="str">
        <f t="shared" si="7"/>
        <v/>
      </c>
      <c r="S124" s="159"/>
      <c r="T124" s="159"/>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59"/>
      <c r="AV124" s="159"/>
      <c r="AW124" s="159"/>
      <c r="AX124" s="159"/>
      <c r="AY124" s="159"/>
      <c r="AZ124" s="159"/>
      <c r="BA124" s="159"/>
      <c r="BB124" s="159"/>
      <c r="BC124" s="159"/>
      <c r="BD124" s="159"/>
      <c r="BE124" s="159"/>
      <c r="BF124" s="159"/>
      <c r="BG124" s="159"/>
      <c r="BH124" s="159"/>
      <c r="BI124" s="159"/>
      <c r="BJ124" s="159"/>
      <c r="BK124" s="159"/>
      <c r="BL124" s="159"/>
      <c r="BM124" s="159"/>
      <c r="BN124" s="159"/>
      <c r="BO124" s="159"/>
      <c r="BP124" s="159"/>
      <c r="BQ124" s="159"/>
      <c r="BR124" s="159"/>
      <c r="BS124" s="159"/>
      <c r="BT124" s="159"/>
      <c r="BU124" s="159"/>
      <c r="BV124" s="159"/>
      <c r="BW124" s="159"/>
      <c r="BX124" s="159"/>
      <c r="BY124" s="159"/>
      <c r="BZ124" s="159"/>
      <c r="CA124" s="159"/>
      <c r="CB124" s="159"/>
      <c r="CC124" s="159"/>
    </row>
    <row r="125">
      <c r="A125" s="613" t="str">
        <f>Countries!B124</f>
        <v>Netherlands</v>
      </c>
      <c r="B125" s="614" t="str">
        <f>Countries!I124</f>
        <v>Europe</v>
      </c>
      <c r="C125" s="615">
        <f>IFERROR(IFERROR(IFERROR(IFERROR(IFERROR(IFERROR(IFERROR(MATCH(Countries!$B124,$M$3:$M$1003,0),MATCH(Countries!$C124,$M$3:$M$1003,0)),MATCH(Countries!$D124,$M$3:$M$1003,0)),MATCH(Countries!$E124,$M$3:$M$1003,0)),MATCH(Countries!$F124,$M$3:$M$1003,0)),MATCH(Countries!$G124,$M$3:$M$1003,0)),MATCH(Countries!$H124,$M$3:$M$1003,0)),"X")</f>
        <v>129</v>
      </c>
      <c r="D125" s="616">
        <f t="shared" ref="D125:F125" si="249">IF(G$2="","",IF($C125="X","",INDEX($N$3:$CC$1003,$C125,MATCH(G$2,$N$2:$CC$2,0))))</f>
        <v>52966.77529</v>
      </c>
      <c r="E125" s="603" t="str">
        <f t="shared" si="249"/>
        <v/>
      </c>
      <c r="F125" s="603" t="str">
        <f t="shared" si="249"/>
        <v/>
      </c>
      <c r="G125" s="617">
        <f t="shared" si="5"/>
        <v>52966.77529</v>
      </c>
      <c r="H125" s="618" t="str">
        <f t="shared" ref="H125:I125" si="250">IF(H$2="","", IF(E125="",IF($K$16="Use global average",E$276,IF($K$16="Use regional average",INDEX(E$280:E$296,MATCH($B125,$B$280:$B$296,0)),IF($K$16="Leave blank","",IF($K$16="Fill with zeros", 0,IF($K$16="Use global median",E$277,"Fill out I16"))))), E125))</f>
        <v/>
      </c>
      <c r="I125" s="618" t="str">
        <f t="shared" si="250"/>
        <v/>
      </c>
      <c r="J125" s="159"/>
      <c r="K125" s="159"/>
      <c r="L125" s="159" t="str">
        <f>IF(M125="","",IF(COUNTIF(Countries!$B$1:$H$271,M125)&gt;0,"",IF(COUNTIF(Countries!$M$1:$S$271,M125)&gt;0,"Not a country","ERROR – NOT LISTED. Add alt spelling to ''Countries'' tab")))</f>
        <v/>
      </c>
      <c r="M125" s="606" t="s">
        <v>819</v>
      </c>
      <c r="N125" s="624">
        <v>7.7121487</v>
      </c>
      <c r="O125" s="621">
        <f t="shared" si="12"/>
        <v>3603.115873</v>
      </c>
      <c r="P125" s="192">
        <v>0.51195984</v>
      </c>
      <c r="Q125" s="622">
        <v>0.09992000000000001</v>
      </c>
      <c r="R125" s="621">
        <f t="shared" si="7"/>
        <v>7819.18021</v>
      </c>
      <c r="S125" s="159"/>
      <c r="T125" s="159"/>
      <c r="U125" s="159"/>
      <c r="V125" s="159"/>
      <c r="W125" s="159"/>
      <c r="X125" s="159"/>
      <c r="Y125" s="159"/>
      <c r="Z125" s="159"/>
      <c r="AA125" s="159"/>
      <c r="AB125" s="159"/>
      <c r="AC125" s="159"/>
      <c r="AD125" s="159"/>
      <c r="AE125" s="159"/>
      <c r="AF125" s="159"/>
      <c r="AG125" s="159"/>
      <c r="AH125" s="159"/>
      <c r="AI125" s="159"/>
      <c r="AJ125" s="159"/>
      <c r="AK125" s="159"/>
      <c r="AL125" s="159"/>
      <c r="AM125" s="159"/>
      <c r="AN125" s="159"/>
      <c r="AO125" s="159"/>
      <c r="AP125" s="159"/>
      <c r="AQ125" s="159"/>
      <c r="AR125" s="159"/>
      <c r="AS125" s="159"/>
      <c r="AT125" s="159"/>
      <c r="AU125" s="159"/>
      <c r="AV125" s="159"/>
      <c r="AW125" s="159"/>
      <c r="AX125" s="159"/>
      <c r="AY125" s="159"/>
      <c r="AZ125" s="159"/>
      <c r="BA125" s="159"/>
      <c r="BB125" s="159"/>
      <c r="BC125" s="159"/>
      <c r="BD125" s="159"/>
      <c r="BE125" s="159"/>
      <c r="BF125" s="159"/>
      <c r="BG125" s="159"/>
      <c r="BH125" s="159"/>
      <c r="BI125" s="159"/>
      <c r="BJ125" s="159"/>
      <c r="BK125" s="159"/>
      <c r="BL125" s="159"/>
      <c r="BM125" s="159"/>
      <c r="BN125" s="159"/>
      <c r="BO125" s="159"/>
      <c r="BP125" s="159"/>
      <c r="BQ125" s="159"/>
      <c r="BR125" s="159"/>
      <c r="BS125" s="159"/>
      <c r="BT125" s="159"/>
      <c r="BU125" s="159"/>
      <c r="BV125" s="159"/>
      <c r="BW125" s="159"/>
      <c r="BX125" s="159"/>
      <c r="BY125" s="159"/>
      <c r="BZ125" s="159"/>
      <c r="CA125" s="159"/>
      <c r="CB125" s="159"/>
      <c r="CC125" s="159"/>
    </row>
    <row r="126">
      <c r="A126" s="613" t="str">
        <f>Countries!B125</f>
        <v>New Zealand</v>
      </c>
      <c r="B126" s="614" t="str">
        <f>Countries!I125</f>
        <v>Australia</v>
      </c>
      <c r="C126" s="615">
        <f>IFERROR(IFERROR(IFERROR(IFERROR(IFERROR(IFERROR(IFERROR(MATCH(Countries!$B125,$M$3:$M$1003,0),MATCH(Countries!$C125,$M$3:$M$1003,0)),MATCH(Countries!$D125,$M$3:$M$1003,0)),MATCH(Countries!$E125,$M$3:$M$1003,0)),MATCH(Countries!$F125,$M$3:$M$1003,0)),MATCH(Countries!$G125,$M$3:$M$1003,0)),MATCH(Countries!$H125,$M$3:$M$1003,0)),"X")</f>
        <v>130</v>
      </c>
      <c r="D126" s="627" t="str">
        <f t="shared" ref="D126:F126" si="251">IF(G$2="","",IF($C126="X","",INDEX($N$3:$CC$1003,$C126,MATCH(G$2,$N$2:$CC$2,0))))</f>
        <v/>
      </c>
      <c r="E126" s="603" t="str">
        <f t="shared" si="251"/>
        <v/>
      </c>
      <c r="F126" s="603" t="str">
        <f t="shared" si="251"/>
        <v/>
      </c>
      <c r="G126" s="628">
        <f t="shared" si="5"/>
        <v>46966.2632</v>
      </c>
      <c r="H126" s="618" t="str">
        <f t="shared" ref="H126:I126" si="252">IF(H$2="","", IF(E126="",IF($K$16="Use global average",E$276,IF($K$16="Use regional average",INDEX(E$280:E$296,MATCH($B126,$B$280:$B$296,0)),IF($K$16="Leave blank","",IF($K$16="Fill with zeros", 0,IF($K$16="Use global median",E$277,"Fill out I16"))))), E126))</f>
        <v/>
      </c>
      <c r="I126" s="618" t="str">
        <f t="shared" si="252"/>
        <v/>
      </c>
      <c r="J126" s="159"/>
      <c r="K126" s="159"/>
      <c r="L126" s="159" t="str">
        <f>IF(M126="","",IF(COUNTIF(Countries!$B$1:$H$271,M126)&gt;0,"",IF(COUNTIF(Countries!$M$1:$S$271,M126)&gt;0,"Not a country","ERROR – NOT LISTED. Add alt spelling to ''Countries'' tab")))</f>
        <v/>
      </c>
      <c r="M126" s="606" t="s">
        <v>820</v>
      </c>
      <c r="N126" s="624">
        <v>1.2939788</v>
      </c>
      <c r="O126" s="621">
        <f t="shared" si="12"/>
        <v>604.5468954</v>
      </c>
      <c r="P126" s="192">
        <v>0.9055447999999999</v>
      </c>
      <c r="Q126" s="622">
        <v>0.0379</v>
      </c>
      <c r="R126" s="621">
        <f t="shared" si="7"/>
        <v>693.9047167</v>
      </c>
      <c r="S126" s="159"/>
      <c r="T126" s="159"/>
      <c r="U126" s="159"/>
      <c r="V126" s="159"/>
      <c r="W126" s="159"/>
      <c r="X126" s="159"/>
      <c r="Y126" s="159"/>
      <c r="Z126" s="159"/>
      <c r="AA126" s="159"/>
      <c r="AB126" s="159"/>
      <c r="AC126" s="159"/>
      <c r="AD126" s="159"/>
      <c r="AE126" s="159"/>
      <c r="AF126" s="159"/>
      <c r="AG126" s="159"/>
      <c r="AH126" s="159"/>
      <c r="AI126" s="159"/>
      <c r="AJ126" s="159"/>
      <c r="AK126" s="159"/>
      <c r="AL126" s="159"/>
      <c r="AM126" s="159"/>
      <c r="AN126" s="159"/>
      <c r="AO126" s="159"/>
      <c r="AP126" s="159"/>
      <c r="AQ126" s="159"/>
      <c r="AR126" s="159"/>
      <c r="AS126" s="159"/>
      <c r="AT126" s="159"/>
      <c r="AU126" s="159"/>
      <c r="AV126" s="159"/>
      <c r="AW126" s="159"/>
      <c r="AX126" s="159"/>
      <c r="AY126" s="159"/>
      <c r="AZ126" s="159"/>
      <c r="BA126" s="159"/>
      <c r="BB126" s="159"/>
      <c r="BC126" s="159"/>
      <c r="BD126" s="159"/>
      <c r="BE126" s="159"/>
      <c r="BF126" s="159"/>
      <c r="BG126" s="159"/>
      <c r="BH126" s="159"/>
      <c r="BI126" s="159"/>
      <c r="BJ126" s="159"/>
      <c r="BK126" s="159"/>
      <c r="BL126" s="159"/>
      <c r="BM126" s="159"/>
      <c r="BN126" s="159"/>
      <c r="BO126" s="159"/>
      <c r="BP126" s="159"/>
      <c r="BQ126" s="159"/>
      <c r="BR126" s="159"/>
      <c r="BS126" s="159"/>
      <c r="BT126" s="159"/>
      <c r="BU126" s="159"/>
      <c r="BV126" s="159"/>
      <c r="BW126" s="159"/>
      <c r="BX126" s="159"/>
      <c r="BY126" s="159"/>
      <c r="BZ126" s="159"/>
      <c r="CA126" s="159"/>
      <c r="CB126" s="159"/>
      <c r="CC126" s="159"/>
    </row>
    <row r="127">
      <c r="A127" s="613" t="str">
        <f>Countries!B126</f>
        <v>Nicaragua</v>
      </c>
      <c r="B127" s="614" t="str">
        <f>Countries!I126</f>
        <v>Latin America</v>
      </c>
      <c r="C127" s="615">
        <f>IFERROR(IFERROR(IFERROR(IFERROR(IFERROR(IFERROR(IFERROR(MATCH(Countries!$B126,$M$3:$M$1003,0),MATCH(Countries!$C126,$M$3:$M$1003,0)),MATCH(Countries!$D126,$M$3:$M$1003,0)),MATCH(Countries!$E126,$M$3:$M$1003,0)),MATCH(Countries!$F126,$M$3:$M$1003,0)),MATCH(Countries!$G126,$M$3:$M$1003,0)),MATCH(Countries!$H126,$M$3:$M$1003,0)),"X")</f>
        <v>131</v>
      </c>
      <c r="D127" s="616">
        <f t="shared" ref="D127:F127" si="253">IF(G$2="","",IF($C127="X","",INDEX($N$3:$CC$1003,$C127,MATCH(G$2,$N$2:$CC$2,0))))</f>
        <v>7510.402457</v>
      </c>
      <c r="E127" s="603" t="str">
        <f t="shared" si="253"/>
        <v/>
      </c>
      <c r="F127" s="603" t="str">
        <f t="shared" si="253"/>
        <v/>
      </c>
      <c r="G127" s="617">
        <f t="shared" si="5"/>
        <v>7510.402457</v>
      </c>
      <c r="H127" s="618" t="str">
        <f t="shared" ref="H127:I127" si="254">IF(H$2="","", IF(E127="",IF($K$16="Use global average",E$276,IF($K$16="Use regional average",INDEX(E$280:E$296,MATCH($B127,$B$280:$B$296,0)),IF($K$16="Leave blank","",IF($K$16="Fill with zeros", 0,IF($K$16="Use global median",E$277,"Fill out I16"))))), E127))</f>
        <v/>
      </c>
      <c r="I127" s="618" t="str">
        <f t="shared" si="254"/>
        <v/>
      </c>
      <c r="J127" s="159"/>
      <c r="K127" s="159"/>
      <c r="L127" s="159" t="str">
        <f>IF(M127="","",IF(COUNTIF(Countries!$B$1:$H$271,M127)&gt;0,"",IF(COUNTIF(Countries!$M$1:$S$271,M127)&gt;0,"Not a country","ERROR – NOT LISTED. Add alt spelling to ''Countries'' tab")))</f>
        <v/>
      </c>
      <c r="M127" s="606" t="s">
        <v>821</v>
      </c>
      <c r="N127" s="624">
        <v>5.47138</v>
      </c>
      <c r="O127" s="621">
        <f t="shared" si="12"/>
        <v>2556.228736</v>
      </c>
      <c r="P127" s="192">
        <v>0.46209053</v>
      </c>
      <c r="Q127" s="622">
        <v>0.02956</v>
      </c>
      <c r="R127" s="621">
        <f t="shared" si="7"/>
        <v>5700.381937</v>
      </c>
      <c r="S127" s="159"/>
      <c r="T127" s="159"/>
      <c r="U127" s="159"/>
      <c r="V127" s="159"/>
      <c r="W127" s="159"/>
      <c r="X127" s="159"/>
      <c r="Y127" s="159"/>
      <c r="Z127" s="159"/>
      <c r="AA127" s="159"/>
      <c r="AB127" s="159"/>
      <c r="AC127" s="159"/>
      <c r="AD127" s="159"/>
      <c r="AE127" s="159"/>
      <c r="AF127" s="159"/>
      <c r="AG127" s="159"/>
      <c r="AH127" s="159"/>
      <c r="AI127" s="159"/>
      <c r="AJ127" s="159"/>
      <c r="AK127" s="159"/>
      <c r="AL127" s="159"/>
      <c r="AM127" s="159"/>
      <c r="AN127" s="159"/>
      <c r="AO127" s="159"/>
      <c r="AP127" s="159"/>
      <c r="AQ127" s="159"/>
      <c r="AR127" s="159"/>
      <c r="AS127" s="159"/>
      <c r="AT127" s="159"/>
      <c r="AU127" s="159"/>
      <c r="AV127" s="159"/>
      <c r="AW127" s="159"/>
      <c r="AX127" s="159"/>
      <c r="AY127" s="159"/>
      <c r="AZ127" s="159"/>
      <c r="BA127" s="159"/>
      <c r="BB127" s="159"/>
      <c r="BC127" s="159"/>
      <c r="BD127" s="159"/>
      <c r="BE127" s="159"/>
      <c r="BF127" s="159"/>
      <c r="BG127" s="159"/>
      <c r="BH127" s="159"/>
      <c r="BI127" s="159"/>
      <c r="BJ127" s="159"/>
      <c r="BK127" s="159"/>
      <c r="BL127" s="159"/>
      <c r="BM127" s="159"/>
      <c r="BN127" s="159"/>
      <c r="BO127" s="159"/>
      <c r="BP127" s="159"/>
      <c r="BQ127" s="159"/>
      <c r="BR127" s="159"/>
      <c r="BS127" s="159"/>
      <c r="BT127" s="159"/>
      <c r="BU127" s="159"/>
      <c r="BV127" s="159"/>
      <c r="BW127" s="159"/>
      <c r="BX127" s="159"/>
      <c r="BY127" s="159"/>
      <c r="BZ127" s="159"/>
      <c r="CA127" s="159"/>
      <c r="CB127" s="159"/>
      <c r="CC127" s="159"/>
    </row>
    <row r="128">
      <c r="A128" s="613" t="str">
        <f>Countries!B127</f>
        <v>Niger</v>
      </c>
      <c r="B128" s="614" t="str">
        <f>Countries!I127</f>
        <v>Sub-Saharan Africa</v>
      </c>
      <c r="C128" s="615">
        <f>IFERROR(IFERROR(IFERROR(IFERROR(IFERROR(IFERROR(IFERROR(MATCH(Countries!$B127,$M$3:$M$1003,0),MATCH(Countries!$C127,$M$3:$M$1003,0)),MATCH(Countries!$D127,$M$3:$M$1003,0)),MATCH(Countries!$E127,$M$3:$M$1003,0)),MATCH(Countries!$F127,$M$3:$M$1003,0)),MATCH(Countries!$G127,$M$3:$M$1003,0)),MATCH(Countries!$H127,$M$3:$M$1003,0)),"X")</f>
        <v>132</v>
      </c>
      <c r="D128" s="616">
        <f t="shared" ref="D128:F128" si="255">IF(G$2="","",IF($C128="X","",INDEX($N$3:$CC$1003,$C128,MATCH(G$2,$N$2:$CC$2,0))))</f>
        <v>1020.448933</v>
      </c>
      <c r="E128" s="603" t="str">
        <f t="shared" si="255"/>
        <v/>
      </c>
      <c r="F128" s="603" t="str">
        <f t="shared" si="255"/>
        <v/>
      </c>
      <c r="G128" s="617">
        <f t="shared" si="5"/>
        <v>1020.448933</v>
      </c>
      <c r="H128" s="618" t="str">
        <f t="shared" ref="H128:I128" si="256">IF(H$2="","", IF(E128="",IF($K$16="Use global average",E$276,IF($K$16="Use regional average",INDEX(E$280:E$296,MATCH($B128,$B$280:$B$296,0)),IF($K$16="Leave blank","",IF($K$16="Fill with zeros", 0,IF($K$16="Use global median",E$277,"Fill out I16"))))), E128))</f>
        <v/>
      </c>
      <c r="I128" s="618" t="str">
        <f t="shared" si="256"/>
        <v/>
      </c>
      <c r="J128" s="159"/>
      <c r="K128" s="159"/>
      <c r="L128" s="159" t="str">
        <f>IF(M128="","",IF(COUNTIF(Countries!$B$1:$H$271,M128)&gt;0,"",IF(COUNTIF(Countries!$M$1:$S$271,M128)&gt;0,"Not a country","ERROR – NOT LISTED. Add alt spelling to ''Countries'' tab")))</f>
        <v/>
      </c>
      <c r="M128" s="606" t="s">
        <v>822</v>
      </c>
      <c r="N128" s="624">
        <v>5.6841736</v>
      </c>
      <c r="O128" s="621">
        <f t="shared" si="12"/>
        <v>2655.645906</v>
      </c>
      <c r="P128" s="192">
        <v>0.6909793000000001</v>
      </c>
      <c r="Q128" s="622">
        <v>0.19988</v>
      </c>
      <c r="R128" s="621">
        <f t="shared" si="7"/>
        <v>4803.413827</v>
      </c>
      <c r="S128" s="159"/>
      <c r="T128" s="159"/>
      <c r="U128" s="159"/>
      <c r="V128" s="159"/>
      <c r="W128" s="159"/>
      <c r="X128" s="159"/>
      <c r="Y128" s="159"/>
      <c r="Z128" s="159"/>
      <c r="AA128" s="159"/>
      <c r="AB128" s="159"/>
      <c r="AC128" s="159"/>
      <c r="AD128" s="159"/>
      <c r="AE128" s="159"/>
      <c r="AF128" s="159"/>
      <c r="AG128" s="159"/>
      <c r="AH128" s="159"/>
      <c r="AI128" s="159"/>
      <c r="AJ128" s="159"/>
      <c r="AK128" s="159"/>
      <c r="AL128" s="159"/>
      <c r="AM128" s="159"/>
      <c r="AN128" s="159"/>
      <c r="AO128" s="159"/>
      <c r="AP128" s="159"/>
      <c r="AQ128" s="159"/>
      <c r="AR128" s="159"/>
      <c r="AS128" s="159"/>
      <c r="AT128" s="159"/>
      <c r="AU128" s="159"/>
      <c r="AV128" s="159"/>
      <c r="AW128" s="159"/>
      <c r="AX128" s="159"/>
      <c r="AY128" s="159"/>
      <c r="AZ128" s="159"/>
      <c r="BA128" s="159"/>
      <c r="BB128" s="159"/>
      <c r="BC128" s="159"/>
      <c r="BD128" s="159"/>
      <c r="BE128" s="159"/>
      <c r="BF128" s="159"/>
      <c r="BG128" s="159"/>
      <c r="BH128" s="159"/>
      <c r="BI128" s="159"/>
      <c r="BJ128" s="159"/>
      <c r="BK128" s="159"/>
      <c r="BL128" s="159"/>
      <c r="BM128" s="159"/>
      <c r="BN128" s="159"/>
      <c r="BO128" s="159"/>
      <c r="BP128" s="159"/>
      <c r="BQ128" s="159"/>
      <c r="BR128" s="159"/>
      <c r="BS128" s="159"/>
      <c r="BT128" s="159"/>
      <c r="BU128" s="159"/>
      <c r="BV128" s="159"/>
      <c r="BW128" s="159"/>
      <c r="BX128" s="159"/>
      <c r="BY128" s="159"/>
      <c r="BZ128" s="159"/>
      <c r="CA128" s="159"/>
      <c r="CB128" s="159"/>
      <c r="CC128" s="159"/>
    </row>
    <row r="129">
      <c r="A129" s="613" t="str">
        <f>Countries!B128</f>
        <v>Nigeria</v>
      </c>
      <c r="B129" s="614" t="str">
        <f>Countries!I128</f>
        <v>Sub-Saharan Africa</v>
      </c>
      <c r="C129" s="615">
        <f>IFERROR(IFERROR(IFERROR(IFERROR(IFERROR(IFERROR(IFERROR(MATCH(Countries!$B128,$M$3:$M$1003,0),MATCH(Countries!$C128,$M$3:$M$1003,0)),MATCH(Countries!$D128,$M$3:$M$1003,0)),MATCH(Countries!$E128,$M$3:$M$1003,0)),MATCH(Countries!$F128,$M$3:$M$1003,0)),MATCH(Countries!$G128,$M$3:$M$1003,0)),MATCH(Countries!$H128,$M$3:$M$1003,0)),"X")</f>
        <v>133</v>
      </c>
      <c r="D129" s="616">
        <f t="shared" ref="D129:F129" si="257">IF(G$2="","",IF($C129="X","",INDEX($N$3:$CC$1003,$C129,MATCH(G$2,$N$2:$CC$2,0))))</f>
        <v>1787.893315</v>
      </c>
      <c r="E129" s="603" t="str">
        <f t="shared" si="257"/>
        <v/>
      </c>
      <c r="F129" s="603" t="str">
        <f t="shared" si="257"/>
        <v/>
      </c>
      <c r="G129" s="617">
        <f t="shared" si="5"/>
        <v>1787.893315</v>
      </c>
      <c r="H129" s="618" t="str">
        <f t="shared" ref="H129:I129" si="258">IF(H$2="","", IF(E129="",IF($K$16="Use global average",E$276,IF($K$16="Use regional average",INDEX(E$280:E$296,MATCH($B129,$B$280:$B$296,0)),IF($K$16="Leave blank","",IF($K$16="Fill with zeros", 0,IF($K$16="Use global median",E$277,"Fill out I16"))))), E129))</f>
        <v/>
      </c>
      <c r="I129" s="618" t="str">
        <f t="shared" si="258"/>
        <v/>
      </c>
      <c r="J129" s="159"/>
      <c r="K129" s="159"/>
      <c r="L129" s="159" t="str">
        <f>IF(M129="","",IF(COUNTIF(Countries!$B$1:$H$271,M129)&gt;0,"",IF(COUNTIF(Countries!$M$1:$S$271,M129)&gt;0,"Not a country","ERROR – NOT LISTED. Add alt spelling to ''Countries'' tab")))</f>
        <v/>
      </c>
      <c r="M129" s="606" t="s">
        <v>823</v>
      </c>
      <c r="N129" s="624">
        <v>5.6519923</v>
      </c>
      <c r="O129" s="621">
        <f t="shared" si="12"/>
        <v>2640.610803</v>
      </c>
      <c r="P129" s="192">
        <v>0.69058105</v>
      </c>
      <c r="Q129" s="631" t="e">
        <v>#VALUE!</v>
      </c>
      <c r="R129" s="625" t="str">
        <f t="shared" si="7"/>
        <v/>
      </c>
      <c r="S129" s="159"/>
      <c r="T129" s="159"/>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59"/>
      <c r="AP129" s="159"/>
      <c r="AQ129" s="159"/>
      <c r="AR129" s="159"/>
      <c r="AS129" s="159"/>
      <c r="AT129" s="159"/>
      <c r="AU129" s="159"/>
      <c r="AV129" s="159"/>
      <c r="AW129" s="159"/>
      <c r="AX129" s="159"/>
      <c r="AY129" s="159"/>
      <c r="AZ129" s="159"/>
      <c r="BA129" s="159"/>
      <c r="BB129" s="159"/>
      <c r="BC129" s="159"/>
      <c r="BD129" s="159"/>
      <c r="BE129" s="159"/>
      <c r="BF129" s="159"/>
      <c r="BG129" s="159"/>
      <c r="BH129" s="159"/>
      <c r="BI129" s="159"/>
      <c r="BJ129" s="159"/>
      <c r="BK129" s="159"/>
      <c r="BL129" s="159"/>
      <c r="BM129" s="159"/>
      <c r="BN129" s="159"/>
      <c r="BO129" s="159"/>
      <c r="BP129" s="159"/>
      <c r="BQ129" s="159"/>
      <c r="BR129" s="159"/>
      <c r="BS129" s="159"/>
      <c r="BT129" s="159"/>
      <c r="BU129" s="159"/>
      <c r="BV129" s="159"/>
      <c r="BW129" s="159"/>
      <c r="BX129" s="159"/>
      <c r="BY129" s="159"/>
      <c r="BZ129" s="159"/>
      <c r="CA129" s="159"/>
      <c r="CB129" s="159"/>
      <c r="CC129" s="159"/>
    </row>
    <row r="130">
      <c r="A130" s="613" t="str">
        <f>Countries!B129</f>
        <v>Niue</v>
      </c>
      <c r="B130" s="614" t="str">
        <f>Countries!I129</f>
        <v>Oceania</v>
      </c>
      <c r="C130" s="614" t="str">
        <f>IFERROR(IFERROR(IFERROR(IFERROR(IFERROR(IFERROR(IFERROR(MATCH(Countries!$B129,$M$3:$M$1003,0),MATCH(Countries!$C129,$M$3:$M$1003,0)),MATCH(Countries!$D129,$M$3:$M$1003,0)),MATCH(Countries!$E129,$M$3:$M$1003,0)),MATCH(Countries!$F129,$M$3:$M$1003,0)),MATCH(Countries!$G129,$M$3:$M$1003,0)),MATCH(Countries!$H129,$M$3:$M$1003,0)),"X")</f>
        <v>X</v>
      </c>
      <c r="D130" s="603" t="str">
        <f t="shared" ref="D130:F130" si="259">IF(G$2="","",IF($C130="X","",INDEX($N$3:$CC$1003,$C130,MATCH(G$2,$N$2:$CC$2,0))))</f>
        <v/>
      </c>
      <c r="E130" s="603" t="str">
        <f t="shared" si="259"/>
        <v/>
      </c>
      <c r="F130" s="603" t="str">
        <f t="shared" si="259"/>
        <v/>
      </c>
      <c r="G130" s="628">
        <f t="shared" si="5"/>
        <v>4193.580108</v>
      </c>
      <c r="H130" s="618" t="str">
        <f t="shared" ref="H130:I130" si="260">IF(H$2="","", IF(E130="",IF($K$16="Use global average",E$276,IF($K$16="Use regional average",INDEX(E$280:E$296,MATCH($B130,$B$280:$B$296,0)),IF($K$16="Leave blank","",IF($K$16="Fill with zeros", 0,IF($K$16="Use global median",E$277,"Fill out I16"))))), E130))</f>
        <v/>
      </c>
      <c r="I130" s="618" t="str">
        <f t="shared" si="260"/>
        <v/>
      </c>
      <c r="J130" s="159"/>
      <c r="K130" s="159"/>
      <c r="L130" s="159" t="str">
        <f>IF(M130="","",IF(COUNTIF(Countries!$B$1:$H$271,M130)&gt;0,"",IF(COUNTIF(Countries!$M$1:$S$271,M130)&gt;0,"Not a country","ERROR – NOT LISTED. Add alt spelling to ''Countries'' tab")))</f>
        <v/>
      </c>
      <c r="M130" s="606" t="s">
        <v>824</v>
      </c>
      <c r="N130" s="624">
        <v>4.200243</v>
      </c>
      <c r="O130" s="621">
        <f t="shared" si="12"/>
        <v>1962.35353</v>
      </c>
      <c r="P130" s="192">
        <v>0.54021698</v>
      </c>
      <c r="Q130" s="622">
        <v>0.10923</v>
      </c>
      <c r="R130" s="621">
        <f t="shared" si="7"/>
        <v>4077.964473</v>
      </c>
      <c r="S130" s="159"/>
      <c r="T130" s="159"/>
      <c r="U130" s="159"/>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59"/>
      <c r="AT130" s="159"/>
      <c r="AU130" s="159"/>
      <c r="AV130" s="159"/>
      <c r="AW130" s="159"/>
      <c r="AX130" s="159"/>
      <c r="AY130" s="159"/>
      <c r="AZ130" s="159"/>
      <c r="BA130" s="159"/>
      <c r="BB130" s="159"/>
      <c r="BC130" s="159"/>
      <c r="BD130" s="159"/>
      <c r="BE130" s="159"/>
      <c r="BF130" s="159"/>
      <c r="BG130" s="159"/>
      <c r="BH130" s="159"/>
      <c r="BI130" s="159"/>
      <c r="BJ130" s="159"/>
      <c r="BK130" s="159"/>
      <c r="BL130" s="159"/>
      <c r="BM130" s="159"/>
      <c r="BN130" s="159"/>
      <c r="BO130" s="159"/>
      <c r="BP130" s="159"/>
      <c r="BQ130" s="159"/>
      <c r="BR130" s="159"/>
      <c r="BS130" s="159"/>
      <c r="BT130" s="159"/>
      <c r="BU130" s="159"/>
      <c r="BV130" s="159"/>
      <c r="BW130" s="159"/>
      <c r="BX130" s="159"/>
      <c r="BY130" s="159"/>
      <c r="BZ130" s="159"/>
      <c r="CA130" s="159"/>
      <c r="CB130" s="159"/>
      <c r="CC130" s="159"/>
    </row>
    <row r="131">
      <c r="A131" s="613" t="str">
        <f>Countries!B130</f>
        <v>North Korea</v>
      </c>
      <c r="B131" s="614" t="str">
        <f>Countries!I130</f>
        <v>East Asia</v>
      </c>
      <c r="C131" s="614" t="str">
        <f>IFERROR(IFERROR(IFERROR(IFERROR(IFERROR(IFERROR(IFERROR(MATCH(Countries!$B130,$M$3:$M$1003,0),MATCH(Countries!$C130,$M$3:$M$1003,0)),MATCH(Countries!$D130,$M$3:$M$1003,0)),MATCH(Countries!$E130,$M$3:$M$1003,0)),MATCH(Countries!$F130,$M$3:$M$1003,0)),MATCH(Countries!$G130,$M$3:$M$1003,0)),MATCH(Countries!$H130,$M$3:$M$1003,0)),"X")</f>
        <v>X</v>
      </c>
      <c r="D131" s="603" t="str">
        <f t="shared" ref="D131:F131" si="261">IF(G$2="","",IF($C131="X","",INDEX($N$3:$CC$1003,$C131,MATCH(G$2,$N$2:$CC$2,0))))</f>
        <v/>
      </c>
      <c r="E131" s="603" t="str">
        <f t="shared" si="261"/>
        <v/>
      </c>
      <c r="F131" s="603" t="str">
        <f t="shared" si="261"/>
        <v/>
      </c>
      <c r="G131" s="628">
        <f t="shared" si="5"/>
        <v>23032.43722</v>
      </c>
      <c r="H131" s="618" t="str">
        <f t="shared" ref="H131:I131" si="262">IF(H$2="","", IF(E131="",IF($K$16="Use global average",E$276,IF($K$16="Use regional average",INDEX(E$280:E$296,MATCH($B131,$B$280:$B$296,0)),IF($K$16="Leave blank","",IF($K$16="Fill with zeros", 0,IF($K$16="Use global median",E$277,"Fill out I16"))))), E131))</f>
        <v/>
      </c>
      <c r="I131" s="618" t="str">
        <f t="shared" si="262"/>
        <v/>
      </c>
      <c r="J131" s="159"/>
      <c r="K131" s="159"/>
      <c r="L131" s="159" t="str">
        <f>IF(M131="","",IF(COUNTIF(Countries!$B$1:$H$271,M131)&gt;0,"",IF(COUNTIF(Countries!$M$1:$S$271,M131)&gt;0,"Not a country","ERROR – NOT LISTED. Add alt spelling to ''Countries'' tab")))</f>
        <v/>
      </c>
      <c r="M131" s="606" t="s">
        <v>825</v>
      </c>
      <c r="N131" s="624">
        <v>59.726303</v>
      </c>
      <c r="O131" s="621">
        <f t="shared" si="12"/>
        <v>27904.12876</v>
      </c>
      <c r="P131" s="192">
        <v>0.546044</v>
      </c>
      <c r="Q131" s="622">
        <v>0.0352</v>
      </c>
      <c r="R131" s="621">
        <f t="shared" si="7"/>
        <v>52966.77529</v>
      </c>
      <c r="S131" s="159"/>
      <c r="T131" s="159"/>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59"/>
      <c r="BR131" s="159"/>
      <c r="BS131" s="159"/>
      <c r="BT131" s="159"/>
      <c r="BU131" s="159"/>
      <c r="BV131" s="159"/>
      <c r="BW131" s="159"/>
      <c r="BX131" s="159"/>
      <c r="BY131" s="159"/>
      <c r="BZ131" s="159"/>
      <c r="CA131" s="159"/>
      <c r="CB131" s="159"/>
      <c r="CC131" s="159"/>
    </row>
    <row r="132">
      <c r="A132" s="613" t="str">
        <f>Countries!B131</f>
        <v>North Macedonia</v>
      </c>
      <c r="B132" s="614" t="str">
        <f>Countries!I131</f>
        <v>Europe</v>
      </c>
      <c r="C132" s="615">
        <f>IFERROR(IFERROR(IFERROR(IFERROR(IFERROR(IFERROR(IFERROR(MATCH(Countries!$B131,$M$3:$M$1003,0),MATCH(Countries!$C131,$M$3:$M$1003,0)),MATCH(Countries!$D131,$M$3:$M$1003,0)),MATCH(Countries!$E131,$M$3:$M$1003,0)),MATCH(Countries!$F131,$M$3:$M$1003,0)),MATCH(Countries!$G131,$M$3:$M$1003,0)),MATCH(Countries!$H131,$M$3:$M$1003,0)),"X")</f>
        <v>134</v>
      </c>
      <c r="D132" s="616">
        <f t="shared" ref="D132:F132" si="263">IF(G$2="","",IF($C132="X","",INDEX($N$3:$CC$1003,$C132,MATCH(G$2,$N$2:$CC$2,0))))</f>
        <v>13927.00913</v>
      </c>
      <c r="E132" s="603" t="str">
        <f t="shared" si="263"/>
        <v/>
      </c>
      <c r="F132" s="603" t="str">
        <f t="shared" si="263"/>
        <v/>
      </c>
      <c r="G132" s="617">
        <f t="shared" si="5"/>
        <v>13927.00913</v>
      </c>
      <c r="H132" s="618" t="str">
        <f t="shared" ref="H132:I132" si="264">IF(H$2="","", IF(E132="",IF($K$16="Use global average",E$276,IF($K$16="Use regional average",INDEX(E$280:E$296,MATCH($B132,$B$280:$B$296,0)),IF($K$16="Leave blank","",IF($K$16="Fill with zeros", 0,IF($K$16="Use global median",E$277,"Fill out I16"))))), E132))</f>
        <v/>
      </c>
      <c r="I132" s="618" t="str">
        <f t="shared" si="264"/>
        <v/>
      </c>
      <c r="J132" s="159"/>
      <c r="K132" s="159"/>
      <c r="L132" s="159" t="str">
        <f>IF(M132="","",IF(COUNTIF(Countries!$B$1:$H$271,M132)&gt;0,"",IF(COUNTIF(Countries!$M$1:$S$271,M132)&gt;0,"Not a country","ERROR – NOT LISTED. Add alt spelling to ''Countries'' tab")))</f>
        <v/>
      </c>
      <c r="M132" s="606" t="s">
        <v>826</v>
      </c>
      <c r="N132" s="620" t="s">
        <v>694</v>
      </c>
      <c r="O132" s="630" t="str">
        <f t="shared" si="12"/>
        <v>#VALUE!</v>
      </c>
      <c r="P132" s="192">
        <v>0.54234253</v>
      </c>
      <c r="Q132" s="622">
        <v>0.033</v>
      </c>
      <c r="R132" s="625" t="str">
        <f t="shared" si="7"/>
        <v/>
      </c>
      <c r="S132" s="159"/>
      <c r="T132" s="159"/>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59"/>
      <c r="AW132" s="159"/>
      <c r="AX132" s="159"/>
      <c r="AY132" s="159"/>
      <c r="AZ132" s="159"/>
      <c r="BA132" s="159"/>
      <c r="BB132" s="159"/>
      <c r="BC132" s="159"/>
      <c r="BD132" s="159"/>
      <c r="BE132" s="159"/>
      <c r="BF132" s="159"/>
      <c r="BG132" s="159"/>
      <c r="BH132" s="159"/>
      <c r="BI132" s="159"/>
      <c r="BJ132" s="159"/>
      <c r="BK132" s="159"/>
      <c r="BL132" s="159"/>
      <c r="BM132" s="159"/>
      <c r="BN132" s="159"/>
      <c r="BO132" s="159"/>
      <c r="BP132" s="159"/>
      <c r="BQ132" s="159"/>
      <c r="BR132" s="159"/>
      <c r="BS132" s="159"/>
      <c r="BT132" s="159"/>
      <c r="BU132" s="159"/>
      <c r="BV132" s="159"/>
      <c r="BW132" s="159"/>
      <c r="BX132" s="159"/>
      <c r="BY132" s="159"/>
      <c r="BZ132" s="159"/>
      <c r="CA132" s="159"/>
      <c r="CB132" s="159"/>
      <c r="CC132" s="159"/>
    </row>
    <row r="133">
      <c r="A133" s="613" t="str">
        <f>Countries!B132</f>
        <v>Norway</v>
      </c>
      <c r="B133" s="614" t="str">
        <f>Countries!I132</f>
        <v>Europe</v>
      </c>
      <c r="C133" s="615">
        <f>IFERROR(IFERROR(IFERROR(IFERROR(IFERROR(IFERROR(IFERROR(MATCH(Countries!$B132,$M$3:$M$1003,0),MATCH(Countries!$C132,$M$3:$M$1003,0)),MATCH(Countries!$D132,$M$3:$M$1003,0)),MATCH(Countries!$E132,$M$3:$M$1003,0)),MATCH(Countries!$F132,$M$3:$M$1003,0)),MATCH(Countries!$G132,$M$3:$M$1003,0)),MATCH(Countries!$H132,$M$3:$M$1003,0)),"X")</f>
        <v>135</v>
      </c>
      <c r="D133" s="616">
        <f t="shared" ref="D133:F133" si="265">IF(G$2="","",IF($C133="X","",INDEX($N$3:$CC$1003,$C133,MATCH(G$2,$N$2:$CC$2,0))))</f>
        <v>58480.98116</v>
      </c>
      <c r="E133" s="603" t="str">
        <f t="shared" si="265"/>
        <v/>
      </c>
      <c r="F133" s="603" t="str">
        <f t="shared" si="265"/>
        <v/>
      </c>
      <c r="G133" s="617">
        <f t="shared" si="5"/>
        <v>58480.98116</v>
      </c>
      <c r="H133" s="618" t="str">
        <f t="shared" ref="H133:I133" si="266">IF(H$2="","", IF(E133="",IF($K$16="Use global average",E$276,IF($K$16="Use regional average",INDEX(E$280:E$296,MATCH($B133,$B$280:$B$296,0)),IF($K$16="Leave blank","",IF($K$16="Fill with zeros", 0,IF($K$16="Use global median",E$277,"Fill out I16"))))), E133))</f>
        <v/>
      </c>
      <c r="I133" s="618" t="str">
        <f t="shared" si="266"/>
        <v/>
      </c>
      <c r="J133" s="159"/>
      <c r="K133" s="159"/>
      <c r="L133" s="159" t="str">
        <f>IF(M133="","",IF(COUNTIF(Countries!$B$1:$H$271,M133)&gt;0,"",IF(COUNTIF(Countries!$M$1:$S$271,M133)&gt;0,"Not a country","ERROR – NOT LISTED. Add alt spelling to ''Countries'' tab")))</f>
        <v/>
      </c>
      <c r="M133" s="606" t="s">
        <v>827</v>
      </c>
      <c r="N133" s="624">
        <v>8.074234</v>
      </c>
      <c r="O133" s="621">
        <f t="shared" si="12"/>
        <v>3772.282125</v>
      </c>
      <c r="P133" s="192">
        <v>0.52865414</v>
      </c>
      <c r="Q133" s="622">
        <v>0.0499</v>
      </c>
      <c r="R133" s="621">
        <f t="shared" si="7"/>
        <v>7510.402457</v>
      </c>
      <c r="S133" s="159"/>
      <c r="T133" s="159"/>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c r="BC133" s="159"/>
      <c r="BD133" s="159"/>
      <c r="BE133" s="159"/>
      <c r="BF133" s="159"/>
      <c r="BG133" s="159"/>
      <c r="BH133" s="159"/>
      <c r="BI133" s="159"/>
      <c r="BJ133" s="159"/>
      <c r="BK133" s="159"/>
      <c r="BL133" s="159"/>
      <c r="BM133" s="159"/>
      <c r="BN133" s="159"/>
      <c r="BO133" s="159"/>
      <c r="BP133" s="159"/>
      <c r="BQ133" s="159"/>
      <c r="BR133" s="159"/>
      <c r="BS133" s="159"/>
      <c r="BT133" s="159"/>
      <c r="BU133" s="159"/>
      <c r="BV133" s="159"/>
      <c r="BW133" s="159"/>
      <c r="BX133" s="159"/>
      <c r="BY133" s="159"/>
      <c r="BZ133" s="159"/>
      <c r="CA133" s="159"/>
      <c r="CB133" s="159"/>
      <c r="CC133" s="159"/>
    </row>
    <row r="134">
      <c r="A134" s="613" t="str">
        <f>Countries!B133</f>
        <v>Oman</v>
      </c>
      <c r="B134" s="614" t="str">
        <f>Countries!I133</f>
        <v>West Asia</v>
      </c>
      <c r="C134" s="615">
        <f>IFERROR(IFERROR(IFERROR(IFERROR(IFERROR(IFERROR(IFERROR(MATCH(Countries!$B133,$M$3:$M$1003,0),MATCH(Countries!$C133,$M$3:$M$1003,0)),MATCH(Countries!$D133,$M$3:$M$1003,0)),MATCH(Countries!$E133,$M$3:$M$1003,0)),MATCH(Countries!$F133,$M$3:$M$1003,0)),MATCH(Countries!$G133,$M$3:$M$1003,0)),MATCH(Countries!$H133,$M$3:$M$1003,0)),"X")</f>
        <v>136</v>
      </c>
      <c r="D134" s="627" t="str">
        <f t="shared" ref="D134:F134" si="267">IF(G$2="","",IF($C134="X","",INDEX($N$3:$CC$1003,$C134,MATCH(G$2,$N$2:$CC$2,0))))</f>
        <v/>
      </c>
      <c r="E134" s="603" t="str">
        <f t="shared" si="267"/>
        <v/>
      </c>
      <c r="F134" s="603" t="str">
        <f t="shared" si="267"/>
        <v/>
      </c>
      <c r="G134" s="628">
        <f t="shared" si="5"/>
        <v>24646.4047</v>
      </c>
      <c r="H134" s="618" t="str">
        <f t="shared" ref="H134:I134" si="268">IF(H$2="","", IF(E134="",IF($K$16="Use global average",E$276,IF($K$16="Use regional average",INDEX(E$280:E$296,MATCH($B134,$B$280:$B$296,0)),IF($K$16="Leave blank","",IF($K$16="Fill with zeros", 0,IF($K$16="Use global median",E$277,"Fill out I16"))))), E134))</f>
        <v/>
      </c>
      <c r="I134" s="618" t="str">
        <f t="shared" si="268"/>
        <v/>
      </c>
      <c r="J134" s="159"/>
      <c r="K134" s="159"/>
      <c r="L134" s="159" t="str">
        <f>IF(M134="","",IF(COUNTIF(Countries!$B$1:$H$271,M134)&gt;0,"",IF(COUNTIF(Countries!$M$1:$S$271,M134)&gt;0,"Not a country","ERROR – NOT LISTED. Add alt spelling to ''Countries'' tab")))</f>
        <v/>
      </c>
      <c r="M134" s="606" t="s">
        <v>828</v>
      </c>
      <c r="N134" s="624">
        <v>2.1318378</v>
      </c>
      <c r="O134" s="621">
        <f t="shared" si="12"/>
        <v>995.9946202</v>
      </c>
      <c r="P134" s="192">
        <v>0.9816409</v>
      </c>
      <c r="Q134" s="622">
        <v>0.00571</v>
      </c>
      <c r="R134" s="621">
        <f t="shared" si="7"/>
        <v>1020.448933</v>
      </c>
      <c r="S134" s="159"/>
      <c r="T134" s="159"/>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c r="BS134" s="159"/>
      <c r="BT134" s="159"/>
      <c r="BU134" s="159"/>
      <c r="BV134" s="159"/>
      <c r="BW134" s="159"/>
      <c r="BX134" s="159"/>
      <c r="BY134" s="159"/>
      <c r="BZ134" s="159"/>
      <c r="CA134" s="159"/>
      <c r="CB134" s="159"/>
      <c r="CC134" s="159"/>
    </row>
    <row r="135">
      <c r="A135" s="613" t="str">
        <f>Countries!B134</f>
        <v>Pakistan</v>
      </c>
      <c r="B135" s="614" t="str">
        <f>Countries!I134</f>
        <v>South Asia</v>
      </c>
      <c r="C135" s="615">
        <f>IFERROR(IFERROR(IFERROR(IFERROR(IFERROR(IFERROR(IFERROR(MATCH(Countries!$B134,$M$3:$M$1003,0),MATCH(Countries!$C134,$M$3:$M$1003,0)),MATCH(Countries!$D134,$M$3:$M$1003,0)),MATCH(Countries!$E134,$M$3:$M$1003,0)),MATCH(Countries!$F134,$M$3:$M$1003,0)),MATCH(Countries!$G134,$M$3:$M$1003,0)),MATCH(Countries!$H134,$M$3:$M$1003,0)),"X")</f>
        <v>137</v>
      </c>
      <c r="D135" s="616">
        <f t="shared" ref="D135:F135" si="269">IF(G$2="","",IF($C135="X","",INDEX($N$3:$CC$1003,$C135,MATCH(G$2,$N$2:$CC$2,0))))</f>
        <v>2872.803972</v>
      </c>
      <c r="E135" s="603" t="str">
        <f t="shared" si="269"/>
        <v/>
      </c>
      <c r="F135" s="603" t="str">
        <f t="shared" si="269"/>
        <v/>
      </c>
      <c r="G135" s="617">
        <f t="shared" si="5"/>
        <v>2872.803972</v>
      </c>
      <c r="H135" s="618" t="str">
        <f t="shared" ref="H135:I135" si="270">IF(H$2="","", IF(E135="",IF($K$16="Use global average",E$276,IF($K$16="Use regional average",INDEX(E$280:E$296,MATCH($B135,$B$280:$B$296,0)),IF($K$16="Leave blank","",IF($K$16="Fill with zeros", 0,IF($K$16="Use global median",E$277,"Fill out I16"))))), E135))</f>
        <v/>
      </c>
      <c r="I135" s="618" t="str">
        <f t="shared" si="270"/>
        <v/>
      </c>
      <c r="J135" s="159"/>
      <c r="K135" s="159"/>
      <c r="L135" s="159" t="str">
        <f>IF(M135="","",IF(COUNTIF(Countries!$B$1:$H$271,M135)&gt;0,"",IF(COUNTIF(Countries!$M$1:$S$271,M135)&gt;0,"Not a country","ERROR – NOT LISTED. Add alt spelling to ''Countries'' tab")))</f>
        <v/>
      </c>
      <c r="M135" s="606" t="s">
        <v>829</v>
      </c>
      <c r="N135" s="624">
        <v>2.9532702</v>
      </c>
      <c r="O135" s="621">
        <f t="shared" si="12"/>
        <v>1379.767837</v>
      </c>
      <c r="P135" s="192">
        <v>0.8024626</v>
      </c>
      <c r="Q135" s="622">
        <v>0.0383</v>
      </c>
      <c r="R135" s="621">
        <f t="shared" si="7"/>
        <v>1787.893315</v>
      </c>
      <c r="S135" s="159"/>
      <c r="T135" s="159"/>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c r="BS135" s="159"/>
      <c r="BT135" s="159"/>
      <c r="BU135" s="159"/>
      <c r="BV135" s="159"/>
      <c r="BW135" s="159"/>
      <c r="BX135" s="159"/>
      <c r="BY135" s="159"/>
      <c r="BZ135" s="159"/>
      <c r="CA135" s="159"/>
      <c r="CB135" s="159"/>
      <c r="CC135" s="159"/>
    </row>
    <row r="136">
      <c r="A136" s="613" t="str">
        <f>Countries!B135</f>
        <v>Palau</v>
      </c>
      <c r="B136" s="614" t="str">
        <f>Countries!I135</f>
        <v>Oceania</v>
      </c>
      <c r="C136" s="614" t="str">
        <f>IFERROR(IFERROR(IFERROR(IFERROR(IFERROR(IFERROR(IFERROR(MATCH(Countries!$B135,$M$3:$M$1003,0),MATCH(Countries!$C135,$M$3:$M$1003,0)),MATCH(Countries!$D135,$M$3:$M$1003,0)),MATCH(Countries!$E135,$M$3:$M$1003,0)),MATCH(Countries!$F135,$M$3:$M$1003,0)),MATCH(Countries!$G135,$M$3:$M$1003,0)),MATCH(Countries!$H135,$M$3:$M$1003,0)),"X")</f>
        <v>X</v>
      </c>
      <c r="D136" s="603" t="str">
        <f t="shared" ref="D136:F136" si="271">IF(G$2="","",IF($C136="X","",INDEX($N$3:$CC$1003,$C136,MATCH(G$2,$N$2:$CC$2,0))))</f>
        <v/>
      </c>
      <c r="E136" s="603" t="str">
        <f t="shared" si="271"/>
        <v/>
      </c>
      <c r="F136" s="603" t="str">
        <f t="shared" si="271"/>
        <v/>
      </c>
      <c r="G136" s="628">
        <f t="shared" si="5"/>
        <v>4193.580108</v>
      </c>
      <c r="H136" s="618" t="str">
        <f t="shared" ref="H136:I136" si="272">IF(H$2="","", IF(E136="",IF($K$16="Use global average",E$276,IF($K$16="Use regional average",INDEX(E$280:E$296,MATCH($B136,$B$280:$B$296,0)),IF($K$16="Leave blank","",IF($K$16="Fill with zeros", 0,IF($K$16="Use global median",E$277,"Fill out I16"))))), E136))</f>
        <v/>
      </c>
      <c r="I136" s="618" t="str">
        <f t="shared" si="272"/>
        <v/>
      </c>
      <c r="J136" s="159"/>
      <c r="K136" s="159"/>
      <c r="L136" s="159" t="str">
        <f>IF(M136="","",IF(COUNTIF(Countries!$B$1:$H$271,M136)&gt;0,"",IF(COUNTIF(Countries!$M$1:$S$271,M136)&gt;0,"Not a country","ERROR – NOT LISTED. Add alt spelling to ''Countries'' tab")))</f>
        <v/>
      </c>
      <c r="M136" s="606" t="s">
        <v>830</v>
      </c>
      <c r="N136" s="624">
        <v>13.475552</v>
      </c>
      <c r="O136" s="621">
        <f t="shared" si="12"/>
        <v>6295.777894</v>
      </c>
      <c r="P136" s="192">
        <v>0.5282871</v>
      </c>
      <c r="Q136" s="622">
        <v>0.14429999999999998</v>
      </c>
      <c r="R136" s="621">
        <f t="shared" si="7"/>
        <v>13927.00913</v>
      </c>
      <c r="S136" s="159"/>
      <c r="T136" s="159"/>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c r="BS136" s="159"/>
      <c r="BT136" s="159"/>
      <c r="BU136" s="159"/>
      <c r="BV136" s="159"/>
      <c r="BW136" s="159"/>
      <c r="BX136" s="159"/>
      <c r="BY136" s="159"/>
      <c r="BZ136" s="159"/>
      <c r="CA136" s="159"/>
      <c r="CB136" s="159"/>
      <c r="CC136" s="159"/>
    </row>
    <row r="137">
      <c r="A137" s="613" t="str">
        <f>Countries!B136</f>
        <v>Palestine</v>
      </c>
      <c r="B137" s="614" t="str">
        <f>Countries!I136</f>
        <v>West Asia</v>
      </c>
      <c r="C137" s="615">
        <f>IFERROR(IFERROR(IFERROR(IFERROR(IFERROR(IFERROR(IFERROR(MATCH(Countries!$B136,$M$3:$M$1003,0),MATCH(Countries!$C136,$M$3:$M$1003,0)),MATCH(Countries!$D136,$M$3:$M$1003,0)),MATCH(Countries!$E136,$M$3:$M$1003,0)),MATCH(Countries!$F136,$M$3:$M$1003,0)),MATCH(Countries!$G136,$M$3:$M$1003,0)),MATCH(Countries!$H136,$M$3:$M$1003,0)),"X")</f>
        <v>138</v>
      </c>
      <c r="D137" s="616">
        <f t="shared" ref="D137:F137" si="273">IF(G$2="","",IF($C137="X","",INDEX($N$3:$CC$1003,$C137,MATCH(G$2,$N$2:$CC$2,0))))</f>
        <v>9680.649415</v>
      </c>
      <c r="E137" s="603" t="str">
        <f t="shared" si="273"/>
        <v/>
      </c>
      <c r="F137" s="603" t="str">
        <f t="shared" si="273"/>
        <v/>
      </c>
      <c r="G137" s="617">
        <f t="shared" si="5"/>
        <v>9680.649415</v>
      </c>
      <c r="H137" s="618" t="str">
        <f t="shared" ref="H137:I137" si="274">IF(H$2="","", IF(E137="",IF($K$16="Use global average",E$276,IF($K$16="Use regional average",INDEX(E$280:E$296,MATCH($B137,$B$280:$B$296,0)),IF($K$16="Leave blank","",IF($K$16="Fill with zeros", 0,IF($K$16="Use global median",E$277,"Fill out I16"))))), E137))</f>
        <v/>
      </c>
      <c r="I137" s="618" t="str">
        <f t="shared" si="274"/>
        <v/>
      </c>
      <c r="J137" s="159"/>
      <c r="K137" s="159"/>
      <c r="L137" s="159" t="str">
        <f>IF(M137="","",IF(COUNTIF(Countries!$B$1:$H$271,M137)&gt;0,"",IF(COUNTIF(Countries!$M$1:$S$271,M137)&gt;0,"Not a country","ERROR – NOT LISTED. Add alt spelling to ''Countries'' tab")))</f>
        <v/>
      </c>
      <c r="M137" s="606" t="s">
        <v>831</v>
      </c>
      <c r="N137" s="624">
        <v>65.29984</v>
      </c>
      <c r="O137" s="621">
        <f t="shared" si="12"/>
        <v>30508.08525</v>
      </c>
      <c r="P137" s="192">
        <v>0.5390878699999999</v>
      </c>
      <c r="Q137" s="622">
        <v>0.0323</v>
      </c>
      <c r="R137" s="621">
        <f t="shared" si="7"/>
        <v>58480.98116</v>
      </c>
      <c r="S137" s="159"/>
      <c r="T137" s="159"/>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c r="BS137" s="159"/>
      <c r="BT137" s="159"/>
      <c r="BU137" s="159"/>
      <c r="BV137" s="159"/>
      <c r="BW137" s="159"/>
      <c r="BX137" s="159"/>
      <c r="BY137" s="159"/>
      <c r="BZ137" s="159"/>
      <c r="CA137" s="159"/>
      <c r="CB137" s="159"/>
      <c r="CC137" s="159"/>
    </row>
    <row r="138">
      <c r="A138" s="613" t="str">
        <f>Countries!B137</f>
        <v>Panama</v>
      </c>
      <c r="B138" s="614" t="str">
        <f>Countries!I137</f>
        <v>Latin America</v>
      </c>
      <c r="C138" s="615">
        <f>IFERROR(IFERROR(IFERROR(IFERROR(IFERROR(IFERROR(IFERROR(MATCH(Countries!$B137,$M$3:$M$1003,0),MATCH(Countries!$C137,$M$3:$M$1003,0)),MATCH(Countries!$D137,$M$3:$M$1003,0)),MATCH(Countries!$E137,$M$3:$M$1003,0)),MATCH(Countries!$F137,$M$3:$M$1003,0)),MATCH(Countries!$G137,$M$3:$M$1003,0)),MATCH(Countries!$H137,$M$3:$M$1003,0)),"X")</f>
        <v>139</v>
      </c>
      <c r="D138" s="616">
        <f t="shared" ref="D138:F138" si="275">IF(G$2="","",IF($C138="X","",INDEX($N$3:$CC$1003,$C138,MATCH(G$2,$N$2:$CC$2,0))))</f>
        <v>19216.97015</v>
      </c>
      <c r="E138" s="603" t="str">
        <f t="shared" si="275"/>
        <v/>
      </c>
      <c r="F138" s="603" t="str">
        <f t="shared" si="275"/>
        <v/>
      </c>
      <c r="G138" s="617">
        <f t="shared" si="5"/>
        <v>19216.97015</v>
      </c>
      <c r="H138" s="618" t="str">
        <f t="shared" ref="H138:I138" si="276">IF(H$2="","", IF(E138="",IF($K$16="Use global average",E$276,IF($K$16="Use regional average",INDEX(E$280:E$296,MATCH($B138,$B$280:$B$296,0)),IF($K$16="Leave blank","",IF($K$16="Fill with zeros", 0,IF($K$16="Use global median",E$277,"Fill out I16"))))), E138))</f>
        <v/>
      </c>
      <c r="I138" s="618" t="str">
        <f t="shared" si="276"/>
        <v/>
      </c>
      <c r="J138" s="159"/>
      <c r="K138" s="159"/>
      <c r="L138" s="159" t="str">
        <f>IF(M138="","",IF(COUNTIF(Countries!$B$1:$H$271,M138)&gt;0,"",IF(COUNTIF(Countries!$M$1:$S$271,M138)&gt;0,"Not a country","ERROR – NOT LISTED. Add alt spelling to ''Countries'' tab")))</f>
        <v/>
      </c>
      <c r="M138" s="606" t="s">
        <v>832</v>
      </c>
      <c r="N138" s="620" t="s">
        <v>694</v>
      </c>
      <c r="O138" s="630" t="str">
        <f t="shared" si="12"/>
        <v>#VALUE!</v>
      </c>
      <c r="P138" s="192">
        <v>0.38672493</v>
      </c>
      <c r="Q138" s="622">
        <v>0.015309999999999999</v>
      </c>
      <c r="R138" s="625" t="str">
        <f t="shared" si="7"/>
        <v/>
      </c>
      <c r="S138" s="159"/>
      <c r="T138" s="159"/>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c r="BS138" s="159"/>
      <c r="BT138" s="159"/>
      <c r="BU138" s="159"/>
      <c r="BV138" s="159"/>
      <c r="BW138" s="159"/>
      <c r="BX138" s="159"/>
      <c r="BY138" s="159"/>
      <c r="BZ138" s="159"/>
      <c r="CA138" s="159"/>
      <c r="CB138" s="159"/>
      <c r="CC138" s="159"/>
    </row>
    <row r="139">
      <c r="A139" s="613" t="str">
        <f>Countries!B138</f>
        <v>Papua New Guinea</v>
      </c>
      <c r="B139" s="614" t="str">
        <f>Countries!I138</f>
        <v>Oceania</v>
      </c>
      <c r="C139" s="615">
        <f>IFERROR(IFERROR(IFERROR(IFERROR(IFERROR(IFERROR(IFERROR(MATCH(Countries!$B138,$M$3:$M$1003,0),MATCH(Countries!$C138,$M$3:$M$1003,0)),MATCH(Countries!$D138,$M$3:$M$1003,0)),MATCH(Countries!$E138,$M$3:$M$1003,0)),MATCH(Countries!$F138,$M$3:$M$1003,0)),MATCH(Countries!$G138,$M$3:$M$1003,0)),MATCH(Countries!$H138,$M$3:$M$1003,0)),"X")</f>
        <v>140</v>
      </c>
      <c r="D139" s="616">
        <f t="shared" ref="D139:F139" si="277">IF(G$2="","",IF($C139="X","",INDEX($N$3:$CC$1003,$C139,MATCH(G$2,$N$2:$CC$2,0))))</f>
        <v>2128.231083</v>
      </c>
      <c r="E139" s="603" t="str">
        <f t="shared" si="277"/>
        <v/>
      </c>
      <c r="F139" s="603" t="str">
        <f t="shared" si="277"/>
        <v/>
      </c>
      <c r="G139" s="617">
        <f t="shared" si="5"/>
        <v>2128.231083</v>
      </c>
      <c r="H139" s="618" t="str">
        <f t="shared" ref="H139:I139" si="278">IF(H$2="","", IF(E139="",IF($K$16="Use global average",E$276,IF($K$16="Use regional average",INDEX(E$280:E$296,MATCH($B139,$B$280:$B$296,0)),IF($K$16="Leave blank","",IF($K$16="Fill with zeros", 0,IF($K$16="Use global median",E$277,"Fill out I16"))))), E139))</f>
        <v/>
      </c>
      <c r="I139" s="618" t="str">
        <f t="shared" si="278"/>
        <v/>
      </c>
      <c r="J139" s="159"/>
      <c r="K139" s="159"/>
      <c r="L139" s="159" t="str">
        <f>IF(M139="","",IF(COUNTIF(Countries!$B$1:$H$271,M139)&gt;0,"",IF(COUNTIF(Countries!$M$1:$S$271,M139)&gt;0,"Not a country","ERROR – NOT LISTED. Add alt spelling to ''Countries'' tab")))</f>
        <v/>
      </c>
      <c r="M139" s="606" t="s">
        <v>833</v>
      </c>
      <c r="N139" s="624">
        <v>4.0731707</v>
      </c>
      <c r="O139" s="621">
        <f t="shared" si="12"/>
        <v>1902.985351</v>
      </c>
      <c r="P139" s="192">
        <v>0.7016724999999999</v>
      </c>
      <c r="Q139" s="622">
        <v>0.05595</v>
      </c>
      <c r="R139" s="621">
        <f t="shared" si="7"/>
        <v>2872.803972</v>
      </c>
      <c r="S139" s="159"/>
      <c r="T139" s="159"/>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59"/>
      <c r="AV139" s="159"/>
      <c r="AW139" s="159"/>
      <c r="AX139" s="159"/>
      <c r="AY139" s="159"/>
      <c r="AZ139" s="159"/>
      <c r="BA139" s="159"/>
      <c r="BB139" s="159"/>
      <c r="BC139" s="159"/>
      <c r="BD139" s="159"/>
      <c r="BE139" s="159"/>
      <c r="BF139" s="159"/>
      <c r="BG139" s="159"/>
      <c r="BH139" s="159"/>
      <c r="BI139" s="159"/>
      <c r="BJ139" s="159"/>
      <c r="BK139" s="159"/>
      <c r="BL139" s="159"/>
      <c r="BM139" s="159"/>
      <c r="BN139" s="159"/>
      <c r="BO139" s="159"/>
      <c r="BP139" s="159"/>
      <c r="BQ139" s="159"/>
      <c r="BR139" s="159"/>
      <c r="BS139" s="159"/>
      <c r="BT139" s="159"/>
      <c r="BU139" s="159"/>
      <c r="BV139" s="159"/>
      <c r="BW139" s="159"/>
      <c r="BX139" s="159"/>
      <c r="BY139" s="159"/>
      <c r="BZ139" s="159"/>
      <c r="CA139" s="159"/>
      <c r="CB139" s="159"/>
      <c r="CC139" s="159"/>
    </row>
    <row r="140">
      <c r="A140" s="613" t="str">
        <f>Countries!B139</f>
        <v>Paraguay</v>
      </c>
      <c r="B140" s="614" t="str">
        <f>Countries!I139</f>
        <v>Latin America</v>
      </c>
      <c r="C140" s="615">
        <f>IFERROR(IFERROR(IFERROR(IFERROR(IFERROR(IFERROR(IFERROR(MATCH(Countries!$B139,$M$3:$M$1003,0),MATCH(Countries!$C139,$M$3:$M$1003,0)),MATCH(Countries!$D139,$M$3:$M$1003,0)),MATCH(Countries!$E139,$M$3:$M$1003,0)),MATCH(Countries!$F139,$M$3:$M$1003,0)),MATCH(Countries!$G139,$M$3:$M$1003,0)),MATCH(Countries!$H139,$M$3:$M$1003,0)),"X")</f>
        <v>141</v>
      </c>
      <c r="D140" s="616">
        <f t="shared" ref="D140:F140" si="279">IF(G$2="","",IF($C140="X","",INDEX($N$3:$CC$1003,$C140,MATCH(G$2,$N$2:$CC$2,0))))</f>
        <v>11684.31701</v>
      </c>
      <c r="E140" s="603" t="str">
        <f t="shared" si="279"/>
        <v/>
      </c>
      <c r="F140" s="603" t="str">
        <f t="shared" si="279"/>
        <v/>
      </c>
      <c r="G140" s="617">
        <f t="shared" si="5"/>
        <v>11684.31701</v>
      </c>
      <c r="H140" s="618" t="str">
        <f t="shared" ref="H140:I140" si="280">IF(H$2="","", IF(E140="",IF($K$16="Use global average",E$276,IF($K$16="Use regional average",INDEX(E$280:E$296,MATCH($B140,$B$280:$B$296,0)),IF($K$16="Leave blank","",IF($K$16="Fill with zeros", 0,IF($K$16="Use global median",E$277,"Fill out I16"))))), E140))</f>
        <v/>
      </c>
      <c r="I140" s="618" t="str">
        <f t="shared" si="280"/>
        <v/>
      </c>
      <c r="J140" s="159"/>
      <c r="K140" s="159"/>
      <c r="L140" s="159" t="str">
        <f>IF(M140="","",IF(COUNTIF(Countries!$B$1:$H$271,M140)&gt;0,"",IF(COUNTIF(Countries!$M$1:$S$271,M140)&gt;0,"Not a country","ERROR – NOT LISTED. Add alt spelling to ''Countries'' tab")))</f>
        <v/>
      </c>
      <c r="M140" s="606" t="s">
        <v>834</v>
      </c>
      <c r="N140" s="624">
        <v>11.421007</v>
      </c>
      <c r="O140" s="621">
        <f t="shared" si="12"/>
        <v>5335.89447</v>
      </c>
      <c r="P140" s="192">
        <v>0.7292825999999999</v>
      </c>
      <c r="Q140" s="622">
        <v>0.24420000000000003</v>
      </c>
      <c r="R140" s="621">
        <f t="shared" si="7"/>
        <v>9680.649415</v>
      </c>
      <c r="S140" s="159"/>
      <c r="T140" s="159"/>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c r="BS140" s="159"/>
      <c r="BT140" s="159"/>
      <c r="BU140" s="159"/>
      <c r="BV140" s="159"/>
      <c r="BW140" s="159"/>
      <c r="BX140" s="159"/>
      <c r="BY140" s="159"/>
      <c r="BZ140" s="159"/>
      <c r="CA140" s="159"/>
      <c r="CB140" s="159"/>
      <c r="CC140" s="159"/>
    </row>
    <row r="141">
      <c r="A141" s="613" t="str">
        <f>Countries!B140</f>
        <v>Peru</v>
      </c>
      <c r="B141" s="614" t="str">
        <f>Countries!I140</f>
        <v>Latin America</v>
      </c>
      <c r="C141" s="615">
        <f>IFERROR(IFERROR(IFERROR(IFERROR(IFERROR(IFERROR(IFERROR(MATCH(Countries!$B140,$M$3:$M$1003,0),MATCH(Countries!$C140,$M$3:$M$1003,0)),MATCH(Countries!$D140,$M$3:$M$1003,0)),MATCH(Countries!$E140,$M$3:$M$1003,0)),MATCH(Countries!$F140,$M$3:$M$1003,0)),MATCH(Countries!$G140,$M$3:$M$1003,0)),MATCH(Countries!$H140,$M$3:$M$1003,0)),"X")</f>
        <v>142</v>
      </c>
      <c r="D141" s="616">
        <f t="shared" ref="D141:F141" si="281">IF(G$2="","",IF($C141="X","",INDEX($N$3:$CC$1003,$C141,MATCH(G$2,$N$2:$CC$2,0))))</f>
        <v>9124.968156</v>
      </c>
      <c r="E141" s="603" t="str">
        <f t="shared" si="281"/>
        <v/>
      </c>
      <c r="F141" s="603" t="str">
        <f t="shared" si="281"/>
        <v/>
      </c>
      <c r="G141" s="617">
        <f t="shared" si="5"/>
        <v>9124.968156</v>
      </c>
      <c r="H141" s="618" t="str">
        <f t="shared" ref="H141:I141" si="282">IF(H$2="","", IF(E141="",IF($K$16="Use global average",E$276,IF($K$16="Use regional average",INDEX(E$280:E$296,MATCH($B141,$B$280:$B$296,0)),IF($K$16="Leave blank","",IF($K$16="Fill with zeros", 0,IF($K$16="Use global median",E$277,"Fill out I16"))))), E141))</f>
        <v/>
      </c>
      <c r="I141" s="618" t="str">
        <f t="shared" si="282"/>
        <v/>
      </c>
      <c r="J141" s="159"/>
      <c r="K141" s="159"/>
      <c r="L141" s="159" t="str">
        <f>IF(M141="","",IF(COUNTIF(Countries!$B$1:$H$271,M141)&gt;0,"",IF(COUNTIF(Countries!$M$1:$S$271,M141)&gt;0,"Not a country","ERROR – NOT LISTED. Add alt spelling to ''Countries'' tab")))</f>
        <v/>
      </c>
      <c r="M141" s="606" t="s">
        <v>835</v>
      </c>
      <c r="N141" s="624">
        <v>19.735992</v>
      </c>
      <c r="O141" s="621">
        <f t="shared" si="12"/>
        <v>9220.655462</v>
      </c>
      <c r="P141" s="192">
        <v>0.52268936</v>
      </c>
      <c r="Q141" s="622">
        <v>0.08202</v>
      </c>
      <c r="R141" s="621">
        <f t="shared" si="7"/>
        <v>19216.97015</v>
      </c>
      <c r="S141" s="159"/>
      <c r="T141" s="159"/>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c r="BS141" s="159"/>
      <c r="BT141" s="159"/>
      <c r="BU141" s="159"/>
      <c r="BV141" s="159"/>
      <c r="BW141" s="159"/>
      <c r="BX141" s="159"/>
      <c r="BY141" s="159"/>
      <c r="BZ141" s="159"/>
      <c r="CA141" s="159"/>
      <c r="CB141" s="159"/>
      <c r="CC141" s="159"/>
    </row>
    <row r="142">
      <c r="A142" s="613" t="str">
        <f>Countries!B141</f>
        <v>Philippines</v>
      </c>
      <c r="B142" s="614" t="str">
        <f>Countries!I141</f>
        <v>Southeast Asia</v>
      </c>
      <c r="C142" s="615">
        <f>IFERROR(IFERROR(IFERROR(IFERROR(IFERROR(IFERROR(IFERROR(MATCH(Countries!$B141,$M$3:$M$1003,0),MATCH(Countries!$C141,$M$3:$M$1003,0)),MATCH(Countries!$D141,$M$3:$M$1003,0)),MATCH(Countries!$E141,$M$3:$M$1003,0)),MATCH(Countries!$F141,$M$3:$M$1003,0)),MATCH(Countries!$G141,$M$3:$M$1003,0)),MATCH(Countries!$H141,$M$3:$M$1003,0)),"X")</f>
        <v>143</v>
      </c>
      <c r="D142" s="616">
        <f t="shared" ref="D142:F142" si="283">IF(G$2="","",IF($C142="X","",INDEX($N$3:$CC$1003,$C142,MATCH(G$2,$N$2:$CC$2,0))))</f>
        <v>4649.872403</v>
      </c>
      <c r="E142" s="603" t="str">
        <f t="shared" si="283"/>
        <v/>
      </c>
      <c r="F142" s="603" t="str">
        <f t="shared" si="283"/>
        <v/>
      </c>
      <c r="G142" s="617">
        <f t="shared" si="5"/>
        <v>4649.872403</v>
      </c>
      <c r="H142" s="618" t="str">
        <f t="shared" ref="H142:I142" si="284">IF(H$2="","", IF(E142="",IF($K$16="Use global average",E$276,IF($K$16="Use regional average",INDEX(E$280:E$296,MATCH($B142,$B$280:$B$296,0)),IF($K$16="Leave blank","",IF($K$16="Fill with zeros", 0,IF($K$16="Use global median",E$277,"Fill out I16"))))), E142))</f>
        <v/>
      </c>
      <c r="I142" s="618" t="str">
        <f t="shared" si="284"/>
        <v/>
      </c>
      <c r="J142" s="159"/>
      <c r="K142" s="159"/>
      <c r="L142" s="159" t="str">
        <f>IF(M142="","",IF(COUNTIF(Countries!$B$1:$H$271,M142)&gt;0,"",IF(COUNTIF(Countries!$M$1:$S$271,M142)&gt;0,"Not a country","ERROR – NOT LISTED. Add alt spelling to ''Countries'' tab")))</f>
        <v/>
      </c>
      <c r="M142" s="606" t="s">
        <v>836</v>
      </c>
      <c r="N142" s="624">
        <v>2.6180224</v>
      </c>
      <c r="O142" s="621">
        <f t="shared" si="12"/>
        <v>1223.140065</v>
      </c>
      <c r="P142" s="192">
        <v>0.5911495</v>
      </c>
      <c r="Q142" s="622">
        <v>0.02779</v>
      </c>
      <c r="R142" s="621">
        <f t="shared" si="7"/>
        <v>2128.231083</v>
      </c>
      <c r="S142" s="159"/>
      <c r="T142" s="159"/>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c r="BS142" s="159"/>
      <c r="BT142" s="159"/>
      <c r="BU142" s="159"/>
      <c r="BV142" s="159"/>
      <c r="BW142" s="159"/>
      <c r="BX142" s="159"/>
      <c r="BY142" s="159"/>
      <c r="BZ142" s="159"/>
      <c r="CA142" s="159"/>
      <c r="CB142" s="159"/>
      <c r="CC142" s="159"/>
    </row>
    <row r="143">
      <c r="A143" s="613" t="str">
        <f>Countries!B142</f>
        <v>Poland</v>
      </c>
      <c r="B143" s="614" t="str">
        <f>Countries!I142</f>
        <v>Europe</v>
      </c>
      <c r="C143" s="615">
        <f>IFERROR(IFERROR(IFERROR(IFERROR(IFERROR(IFERROR(IFERROR(MATCH(Countries!$B142,$M$3:$M$1003,0),MATCH(Countries!$C142,$M$3:$M$1003,0)),MATCH(Countries!$D142,$M$3:$M$1003,0)),MATCH(Countries!$E142,$M$3:$M$1003,0)),MATCH(Countries!$F142,$M$3:$M$1003,0)),MATCH(Countries!$G142,$M$3:$M$1003,0)),MATCH(Countries!$H142,$M$3:$M$1003,0)),"X")</f>
        <v>144</v>
      </c>
      <c r="D143" s="616">
        <f t="shared" ref="D143:F143" si="285">IF(G$2="","",IF($C143="X","",INDEX($N$3:$CC$1003,$C143,MATCH(G$2,$N$2:$CC$2,0))))</f>
        <v>30746.52347</v>
      </c>
      <c r="E143" s="603" t="str">
        <f t="shared" si="285"/>
        <v/>
      </c>
      <c r="F143" s="603" t="str">
        <f t="shared" si="285"/>
        <v/>
      </c>
      <c r="G143" s="617">
        <f t="shared" si="5"/>
        <v>30746.52347</v>
      </c>
      <c r="H143" s="618" t="str">
        <f t="shared" ref="H143:I143" si="286">IF(H$2="","", IF(E143="",IF($K$16="Use global average",E$276,IF($K$16="Use regional average",INDEX(E$280:E$296,MATCH($B143,$B$280:$B$296,0)),IF($K$16="Leave blank","",IF($K$16="Fill with zeros", 0,IF($K$16="Use global median",E$277,"Fill out I16"))))), E143))</f>
        <v/>
      </c>
      <c r="I143" s="618" t="str">
        <f t="shared" si="286"/>
        <v/>
      </c>
      <c r="J143" s="159"/>
      <c r="K143" s="159"/>
      <c r="L143" s="159" t="str">
        <f>IF(M143="","",IF(COUNTIF(Countries!$B$1:$H$271,M143)&gt;0,"",IF(COUNTIF(Countries!$M$1:$S$271,M143)&gt;0,"Not a country","ERROR – NOT LISTED. Add alt spelling to ''Countries'' tab")))</f>
        <v/>
      </c>
      <c r="M143" s="606" t="s">
        <v>837</v>
      </c>
      <c r="N143" s="624">
        <v>12.639644</v>
      </c>
      <c r="O143" s="621">
        <f t="shared" si="12"/>
        <v>5905.241677</v>
      </c>
      <c r="P143" s="192">
        <v>0.5419828</v>
      </c>
      <c r="Q143" s="622">
        <v>0.0675</v>
      </c>
      <c r="R143" s="621">
        <f t="shared" si="7"/>
        <v>11684.31701</v>
      </c>
      <c r="S143" s="159"/>
      <c r="T143" s="159"/>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c r="BS143" s="159"/>
      <c r="BT143" s="159"/>
      <c r="BU143" s="159"/>
      <c r="BV143" s="159"/>
      <c r="BW143" s="159"/>
      <c r="BX143" s="159"/>
      <c r="BY143" s="159"/>
      <c r="BZ143" s="159"/>
      <c r="CA143" s="159"/>
      <c r="CB143" s="159"/>
      <c r="CC143" s="159"/>
    </row>
    <row r="144">
      <c r="A144" s="613" t="str">
        <f>Countries!B143</f>
        <v>Portugal</v>
      </c>
      <c r="B144" s="614" t="str">
        <f>Countries!I143</f>
        <v>Europe</v>
      </c>
      <c r="C144" s="615">
        <f>IFERROR(IFERROR(IFERROR(IFERROR(IFERROR(IFERROR(IFERROR(MATCH(Countries!$B143,$M$3:$M$1003,0),MATCH(Countries!$C143,$M$3:$M$1003,0)),MATCH(Countries!$D143,$M$3:$M$1003,0)),MATCH(Countries!$E143,$M$3:$M$1003,0)),MATCH(Countries!$F143,$M$3:$M$1003,0)),MATCH(Countries!$G143,$M$3:$M$1003,0)),MATCH(Countries!$H143,$M$3:$M$1003,0)),"X")</f>
        <v>145</v>
      </c>
      <c r="D144" s="616">
        <f t="shared" ref="D144:F144" si="287">IF(G$2="","",IF($C144="X","",INDEX($N$3:$CC$1003,$C144,MATCH(G$2,$N$2:$CC$2,0))))</f>
        <v>24760.88796</v>
      </c>
      <c r="E144" s="603" t="str">
        <f t="shared" si="287"/>
        <v/>
      </c>
      <c r="F144" s="603" t="str">
        <f t="shared" si="287"/>
        <v/>
      </c>
      <c r="G144" s="617">
        <f t="shared" si="5"/>
        <v>24760.88796</v>
      </c>
      <c r="H144" s="618" t="str">
        <f t="shared" ref="H144:I144" si="288">IF(H$2="","", IF(E144="",IF($K$16="Use global average",E$276,IF($K$16="Use regional average",INDEX(E$280:E$296,MATCH($B144,$B$280:$B$296,0)),IF($K$16="Leave blank","",IF($K$16="Fill with zeros", 0,IF($K$16="Use global median",E$277,"Fill out I16"))))), E144))</f>
        <v/>
      </c>
      <c r="I144" s="618" t="str">
        <f t="shared" si="288"/>
        <v/>
      </c>
      <c r="J144" s="159"/>
      <c r="K144" s="159"/>
      <c r="L144" s="159" t="str">
        <f>IF(M144="","",IF(COUNTIF(Countries!$B$1:$H$271,M144)&gt;0,"",IF(COUNTIF(Countries!$M$1:$S$271,M144)&gt;0,"Not a country","ERROR – NOT LISTED. Add alt spelling to ''Countries'' tab")))</f>
        <v/>
      </c>
      <c r="M144" s="606" t="s">
        <v>838</v>
      </c>
      <c r="N144" s="624">
        <v>9.394887</v>
      </c>
      <c r="O144" s="621">
        <f t="shared" si="12"/>
        <v>4389.291206</v>
      </c>
      <c r="P144" s="192">
        <v>0.5002807</v>
      </c>
      <c r="Q144" s="622">
        <v>0.0385</v>
      </c>
      <c r="R144" s="621">
        <f t="shared" si="7"/>
        <v>9124.968156</v>
      </c>
      <c r="S144" s="159"/>
      <c r="T144" s="159"/>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c r="BS144" s="159"/>
      <c r="BT144" s="159"/>
      <c r="BU144" s="159"/>
      <c r="BV144" s="159"/>
      <c r="BW144" s="159"/>
      <c r="BX144" s="159"/>
      <c r="BY144" s="159"/>
      <c r="BZ144" s="159"/>
      <c r="CA144" s="159"/>
      <c r="CB144" s="159"/>
      <c r="CC144" s="159"/>
    </row>
    <row r="145">
      <c r="A145" s="613" t="str">
        <f>Countries!B144</f>
        <v>Puerto Rico</v>
      </c>
      <c r="B145" s="614" t="str">
        <f>Countries!I144</f>
        <v>Caribbean</v>
      </c>
      <c r="C145" s="614" t="str">
        <f>IFERROR(IFERROR(IFERROR(IFERROR(IFERROR(IFERROR(IFERROR(MATCH(Countries!$B144,$M$3:$M$1003,0),MATCH(Countries!$C144,$M$3:$M$1003,0)),MATCH(Countries!$D144,$M$3:$M$1003,0)),MATCH(Countries!$E144,$M$3:$M$1003,0)),MATCH(Countries!$F144,$M$3:$M$1003,0)),MATCH(Countries!$G144,$M$3:$M$1003,0)),MATCH(Countries!$H144,$M$3:$M$1003,0)),"X")</f>
        <v>X</v>
      </c>
      <c r="D145" s="603" t="str">
        <f t="shared" ref="D145:F145" si="289">IF(G$2="","",IF($C145="X","",INDEX($N$3:$CC$1003,$C145,MATCH(G$2,$N$2:$CC$2,0))))</f>
        <v/>
      </c>
      <c r="E145" s="603" t="str">
        <f t="shared" si="289"/>
        <v/>
      </c>
      <c r="F145" s="603" t="str">
        <f t="shared" si="289"/>
        <v/>
      </c>
      <c r="G145" s="628">
        <f t="shared" si="5"/>
        <v>12713.17965</v>
      </c>
      <c r="H145" s="618" t="str">
        <f t="shared" ref="H145:I145" si="290">IF(H$2="","", IF(E145="",IF($K$16="Use global average",E$276,IF($K$16="Use regional average",INDEX(E$280:E$296,MATCH($B145,$B$280:$B$296,0)),IF($K$16="Leave blank","",IF($K$16="Fill with zeros", 0,IF($K$16="Use global median",E$277,"Fill out I16"))))), E145))</f>
        <v/>
      </c>
      <c r="I145" s="618" t="str">
        <f t="shared" si="290"/>
        <v/>
      </c>
      <c r="J145" s="159"/>
      <c r="K145" s="159"/>
      <c r="L145" s="159" t="str">
        <f>IF(M145="","",IF(COUNTIF(Countries!$B$1:$H$271,M145)&gt;0,"",IF(COUNTIF(Countries!$M$1:$S$271,M145)&gt;0,"Not a country","ERROR – NOT LISTED. Add alt spelling to ''Countries'' tab")))</f>
        <v/>
      </c>
      <c r="M145" s="606" t="s">
        <v>839</v>
      </c>
      <c r="N145" s="624">
        <v>4.9763155</v>
      </c>
      <c r="O145" s="621">
        <f t="shared" si="12"/>
        <v>2324.934602</v>
      </c>
      <c r="P145" s="192">
        <v>0.51216354</v>
      </c>
      <c r="Q145" s="622">
        <v>0.02375</v>
      </c>
      <c r="R145" s="621">
        <f t="shared" si="7"/>
        <v>4649.872403</v>
      </c>
      <c r="S145" s="159"/>
      <c r="T145" s="159"/>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c r="BS145" s="159"/>
      <c r="BT145" s="159"/>
      <c r="BU145" s="159"/>
      <c r="BV145" s="159"/>
      <c r="BW145" s="159"/>
      <c r="BX145" s="159"/>
      <c r="BY145" s="159"/>
      <c r="BZ145" s="159"/>
      <c r="CA145" s="159"/>
      <c r="CB145" s="159"/>
      <c r="CC145" s="159"/>
    </row>
    <row r="146">
      <c r="A146" s="613" t="str">
        <f>Countries!B145</f>
        <v>Qatar</v>
      </c>
      <c r="B146" s="614" t="str">
        <f>Countries!I145</f>
        <v>West Asia</v>
      </c>
      <c r="C146" s="615">
        <f>IFERROR(IFERROR(IFERROR(IFERROR(IFERROR(IFERROR(IFERROR(MATCH(Countries!$B145,$M$3:$M$1003,0),MATCH(Countries!$C145,$M$3:$M$1003,0)),MATCH(Countries!$D145,$M$3:$M$1003,0)),MATCH(Countries!$E145,$M$3:$M$1003,0)),MATCH(Countries!$F145,$M$3:$M$1003,0)),MATCH(Countries!$G145,$M$3:$M$1003,0)),MATCH(Countries!$H145,$M$3:$M$1003,0)),"X")</f>
        <v>146</v>
      </c>
      <c r="D146" s="627" t="str">
        <f t="shared" ref="D146:F146" si="291">IF(G$2="","",IF($C146="X","",INDEX($N$3:$CC$1003,$C146,MATCH(G$2,$N$2:$CC$2,0))))</f>
        <v/>
      </c>
      <c r="E146" s="603" t="str">
        <f t="shared" si="291"/>
        <v/>
      </c>
      <c r="F146" s="603" t="str">
        <f t="shared" si="291"/>
        <v/>
      </c>
      <c r="G146" s="628">
        <f t="shared" si="5"/>
        <v>24646.4047</v>
      </c>
      <c r="H146" s="618" t="str">
        <f t="shared" ref="H146:I146" si="292">IF(H$2="","", IF(E146="",IF($K$16="Use global average",E$276,IF($K$16="Use regional average",INDEX(E$280:E$296,MATCH($B146,$B$280:$B$296,0)),IF($K$16="Leave blank","",IF($K$16="Fill with zeros", 0,IF($K$16="Use global median",E$277,"Fill out I16"))))), E146))</f>
        <v/>
      </c>
      <c r="I146" s="618" t="str">
        <f t="shared" si="292"/>
        <v/>
      </c>
      <c r="J146" s="159"/>
      <c r="K146" s="159"/>
      <c r="L146" s="159" t="str">
        <f>IF(M146="","",IF(COUNTIF(Countries!$B$1:$H$271,M146)&gt;0,"",IF(COUNTIF(Countries!$M$1:$S$271,M146)&gt;0,"Not a country","ERROR – NOT LISTED. Add alt spelling to ''Countries'' tab")))</f>
        <v/>
      </c>
      <c r="M146" s="606" t="s">
        <v>840</v>
      </c>
      <c r="N146" s="624">
        <v>33.879444</v>
      </c>
      <c r="O146" s="621">
        <f t="shared" si="12"/>
        <v>15828.47624</v>
      </c>
      <c r="P146" s="192">
        <v>0.5301260400000001</v>
      </c>
      <c r="Q146" s="622">
        <v>0.028900000000000002</v>
      </c>
      <c r="R146" s="621">
        <f t="shared" si="7"/>
        <v>30746.52347</v>
      </c>
      <c r="S146" s="159"/>
      <c r="T146" s="159"/>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c r="BS146" s="159"/>
      <c r="BT146" s="159"/>
      <c r="BU146" s="159"/>
      <c r="BV146" s="159"/>
      <c r="BW146" s="159"/>
      <c r="BX146" s="159"/>
      <c r="BY146" s="159"/>
      <c r="BZ146" s="159"/>
      <c r="CA146" s="159"/>
      <c r="CB146" s="159"/>
      <c r="CC146" s="159"/>
    </row>
    <row r="147">
      <c r="A147" s="613" t="str">
        <f>Countries!B146</f>
        <v>Romania</v>
      </c>
      <c r="B147" s="614" t="str">
        <f>Countries!I146</f>
        <v>Europe</v>
      </c>
      <c r="C147" s="615">
        <f>IFERROR(IFERROR(IFERROR(IFERROR(IFERROR(IFERROR(IFERROR(MATCH(Countries!$B146,$M$3:$M$1003,0),MATCH(Countries!$C146,$M$3:$M$1003,0)),MATCH(Countries!$D146,$M$3:$M$1003,0)),MATCH(Countries!$E146,$M$3:$M$1003,0)),MATCH(Countries!$F146,$M$3:$M$1003,0)),MATCH(Countries!$G146,$M$3:$M$1003,0)),MATCH(Countries!$H146,$M$3:$M$1003,0)),"X")</f>
        <v>147</v>
      </c>
      <c r="D147" s="616">
        <f t="shared" ref="D147:F147" si="293">IF(G$2="","",IF($C147="X","",INDEX($N$3:$CC$1003,$C147,MATCH(G$2,$N$2:$CC$2,0))))</f>
        <v>20746.55561</v>
      </c>
      <c r="E147" s="603" t="str">
        <f t="shared" si="293"/>
        <v/>
      </c>
      <c r="F147" s="603" t="str">
        <f t="shared" si="293"/>
        <v/>
      </c>
      <c r="G147" s="617">
        <f t="shared" si="5"/>
        <v>20746.55561</v>
      </c>
      <c r="H147" s="618" t="str">
        <f t="shared" ref="H147:I147" si="294">IF(H$2="","", IF(E147="",IF($K$16="Use global average",E$276,IF($K$16="Use regional average",INDEX(E$280:E$296,MATCH($B147,$B$280:$B$296,0)),IF($K$16="Leave blank","",IF($K$16="Fill with zeros", 0,IF($K$16="Use global median",E$277,"Fill out I16"))))), E147))</f>
        <v/>
      </c>
      <c r="I147" s="618" t="str">
        <f t="shared" si="294"/>
        <v/>
      </c>
      <c r="J147" s="159"/>
      <c r="K147" s="159"/>
      <c r="L147" s="159" t="str">
        <f>IF(M147="","",IF(COUNTIF(Countries!$B$1:$H$271,M147)&gt;0,"",IF(COUNTIF(Countries!$M$1:$S$271,M147)&gt;0,"Not a country","ERROR – NOT LISTED. Add alt spelling to ''Countries'' tab")))</f>
        <v/>
      </c>
      <c r="M147" s="606" t="s">
        <v>841</v>
      </c>
      <c r="N147" s="624">
        <v>29.239334</v>
      </c>
      <c r="O147" s="621">
        <f t="shared" si="12"/>
        <v>13660.61684</v>
      </c>
      <c r="P147" s="192">
        <v>0.58697884</v>
      </c>
      <c r="Q147" s="622">
        <v>0.0601</v>
      </c>
      <c r="R147" s="621">
        <f t="shared" si="7"/>
        <v>24760.88796</v>
      </c>
      <c r="S147" s="159"/>
      <c r="T147" s="159"/>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c r="BS147" s="159"/>
      <c r="BT147" s="159"/>
      <c r="BU147" s="159"/>
      <c r="BV147" s="159"/>
      <c r="BW147" s="159"/>
      <c r="BX147" s="159"/>
      <c r="BY147" s="159"/>
      <c r="BZ147" s="159"/>
      <c r="CA147" s="159"/>
      <c r="CB147" s="159"/>
      <c r="CC147" s="159"/>
    </row>
    <row r="148">
      <c r="A148" s="613" t="str">
        <f>Countries!B147</f>
        <v>Russia</v>
      </c>
      <c r="B148" s="614" t="str">
        <f>Countries!I147</f>
        <v>Europe</v>
      </c>
      <c r="C148" s="615">
        <f>IFERROR(IFERROR(IFERROR(IFERROR(IFERROR(IFERROR(IFERROR(MATCH(Countries!$B147,$M$3:$M$1003,0),MATCH(Countries!$C147,$M$3:$M$1003,0)),MATCH(Countries!$D147,$M$3:$M$1003,0)),MATCH(Countries!$E147,$M$3:$M$1003,0)),MATCH(Countries!$F147,$M$3:$M$1003,0)),MATCH(Countries!$G147,$M$3:$M$1003,0)),MATCH(Countries!$H147,$M$3:$M$1003,0)),"X")</f>
        <v>148</v>
      </c>
      <c r="D148" s="616">
        <f t="shared" ref="D148:F148" si="295">IF(G$2="","",IF($C148="X","",INDEX($N$3:$CC$1003,$C148,MATCH(G$2,$N$2:$CC$2,0))))</f>
        <v>16338.70579</v>
      </c>
      <c r="E148" s="603" t="str">
        <f t="shared" si="295"/>
        <v/>
      </c>
      <c r="F148" s="603" t="str">
        <f t="shared" si="295"/>
        <v/>
      </c>
      <c r="G148" s="617">
        <f t="shared" si="5"/>
        <v>16338.70579</v>
      </c>
      <c r="H148" s="618" t="str">
        <f t="shared" ref="H148:I148" si="296">IF(H$2="","", IF(E148="",IF($K$16="Use global average",E$276,IF($K$16="Use regional average",INDEX(E$280:E$296,MATCH($B148,$B$280:$B$296,0)),IF($K$16="Leave blank","",IF($K$16="Fill with zeros", 0,IF($K$16="Use global median",E$277,"Fill out I16"))))), E148))</f>
        <v/>
      </c>
      <c r="I148" s="618" t="str">
        <f t="shared" si="296"/>
        <v/>
      </c>
      <c r="J148" s="159"/>
      <c r="K148" s="159"/>
      <c r="L148" s="159" t="str">
        <f>IF(M148="","",IF(COUNTIF(Countries!$B$1:$H$271,M148)&gt;0,"",IF(COUNTIF(Countries!$M$1:$S$271,M148)&gt;0,"Not a country","ERROR – NOT LISTED. Add alt spelling to ''Countries'' tab")))</f>
        <v/>
      </c>
      <c r="M148" s="606" t="s">
        <v>842</v>
      </c>
      <c r="N148" s="620" t="s">
        <v>694</v>
      </c>
      <c r="O148" s="630" t="str">
        <f t="shared" si="12"/>
        <v>#VALUE!</v>
      </c>
      <c r="P148" s="192">
        <v>0.20095161</v>
      </c>
      <c r="Q148" s="622">
        <v>0.0013</v>
      </c>
      <c r="R148" s="625" t="str">
        <f t="shared" si="7"/>
        <v/>
      </c>
      <c r="S148" s="159"/>
      <c r="T148" s="159"/>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row>
    <row r="149">
      <c r="A149" s="613" t="str">
        <f>Countries!B148</f>
        <v>Rwanda</v>
      </c>
      <c r="B149" s="614" t="str">
        <f>Countries!I148</f>
        <v>Sub-Saharan Africa</v>
      </c>
      <c r="C149" s="615">
        <f>IFERROR(IFERROR(IFERROR(IFERROR(IFERROR(IFERROR(IFERROR(MATCH(Countries!$B148,$M$3:$M$1003,0),MATCH(Countries!$C148,$M$3:$M$1003,0)),MATCH(Countries!$D148,$M$3:$M$1003,0)),MATCH(Countries!$E148,$M$3:$M$1003,0)),MATCH(Countries!$F148,$M$3:$M$1003,0)),MATCH(Countries!$G148,$M$3:$M$1003,0)),MATCH(Countries!$H148,$M$3:$M$1003,0)),"X")</f>
        <v>149</v>
      </c>
      <c r="D149" s="616">
        <f t="shared" ref="D149:F149" si="297">IF(G$2="","",IF($C149="X","",INDEX($N$3:$CC$1003,$C149,MATCH(G$2,$N$2:$CC$2,0))))</f>
        <v>1604.791787</v>
      </c>
      <c r="E149" s="603" t="str">
        <f t="shared" si="297"/>
        <v/>
      </c>
      <c r="F149" s="603" t="str">
        <f t="shared" si="297"/>
        <v/>
      </c>
      <c r="G149" s="617">
        <f t="shared" si="5"/>
        <v>1604.791787</v>
      </c>
      <c r="H149" s="618" t="str">
        <f t="shared" ref="H149:I149" si="298">IF(H$2="","", IF(E149="",IF($K$16="Use global average",E$276,IF($K$16="Use regional average",INDEX(E$280:E$296,MATCH($B149,$B$280:$B$296,0)),IF($K$16="Leave blank","",IF($K$16="Fill with zeros", 0,IF($K$16="Use global median",E$277,"Fill out I16"))))), E149))</f>
        <v/>
      </c>
      <c r="I149" s="618" t="str">
        <f t="shared" si="298"/>
        <v/>
      </c>
      <c r="J149" s="159"/>
      <c r="K149" s="159"/>
      <c r="L149" s="159" t="str">
        <f>IF(M149="","",IF(COUNTIF(Countries!$B$1:$H$271,M149)&gt;0,"",IF(COUNTIF(Countries!$M$1:$S$271,M149)&gt;0,"Not a country","ERROR – NOT LISTED. Add alt spelling to ''Countries'' tab")))</f>
        <v/>
      </c>
      <c r="M149" s="606" t="s">
        <v>843</v>
      </c>
      <c r="N149" s="624">
        <v>23.197407</v>
      </c>
      <c r="O149" s="621">
        <f t="shared" si="12"/>
        <v>10837.82855</v>
      </c>
      <c r="P149" s="192">
        <v>0.5534396699999999</v>
      </c>
      <c r="Q149" s="622">
        <v>0.056100000000000004</v>
      </c>
      <c r="R149" s="621">
        <f t="shared" si="7"/>
        <v>20746.55561</v>
      </c>
      <c r="S149" s="159"/>
      <c r="T149" s="159"/>
      <c r="U149" s="159"/>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59"/>
      <c r="AT149" s="159"/>
      <c r="AU149" s="159"/>
      <c r="AV149" s="159"/>
      <c r="AW149" s="159"/>
      <c r="AX149" s="159"/>
      <c r="AY149" s="159"/>
      <c r="AZ149" s="159"/>
      <c r="BA149" s="159"/>
      <c r="BB149" s="159"/>
      <c r="BC149" s="159"/>
      <c r="BD149" s="159"/>
      <c r="BE149" s="159"/>
      <c r="BF149" s="159"/>
      <c r="BG149" s="159"/>
      <c r="BH149" s="159"/>
      <c r="BI149" s="159"/>
      <c r="BJ149" s="159"/>
      <c r="BK149" s="159"/>
      <c r="BL149" s="159"/>
      <c r="BM149" s="159"/>
      <c r="BN149" s="159"/>
      <c r="BO149" s="159"/>
      <c r="BP149" s="159"/>
      <c r="BQ149" s="159"/>
      <c r="BR149" s="159"/>
      <c r="BS149" s="159"/>
      <c r="BT149" s="159"/>
      <c r="BU149" s="159"/>
      <c r="BV149" s="159"/>
      <c r="BW149" s="159"/>
      <c r="BX149" s="159"/>
      <c r="BY149" s="159"/>
      <c r="BZ149" s="159"/>
      <c r="CA149" s="159"/>
      <c r="CB149" s="159"/>
      <c r="CC149" s="159"/>
    </row>
    <row r="150">
      <c r="A150" s="613" t="str">
        <f>Countries!B149</f>
        <v>Saint Kitts and Nevis</v>
      </c>
      <c r="B150" s="614" t="str">
        <f>Countries!I149</f>
        <v>Caribbean</v>
      </c>
      <c r="C150" s="614" t="str">
        <f>IFERROR(IFERROR(IFERROR(IFERROR(IFERROR(IFERROR(IFERROR(MATCH(Countries!$B149,$M$3:$M$1003,0),MATCH(Countries!$C149,$M$3:$M$1003,0)),MATCH(Countries!$D149,$M$3:$M$1003,0)),MATCH(Countries!$E149,$M$3:$M$1003,0)),MATCH(Countries!$F149,$M$3:$M$1003,0)),MATCH(Countries!$G149,$M$3:$M$1003,0)),MATCH(Countries!$H149,$M$3:$M$1003,0)),"X")</f>
        <v>X</v>
      </c>
      <c r="D150" s="603" t="str">
        <f t="shared" ref="D150:F150" si="299">IF(G$2="","",IF($C150="X","",INDEX($N$3:$CC$1003,$C150,MATCH(G$2,$N$2:$CC$2,0))))</f>
        <v/>
      </c>
      <c r="E150" s="603" t="str">
        <f t="shared" si="299"/>
        <v/>
      </c>
      <c r="F150" s="603" t="str">
        <f t="shared" si="299"/>
        <v/>
      </c>
      <c r="G150" s="628">
        <f t="shared" si="5"/>
        <v>12713.17965</v>
      </c>
      <c r="H150" s="618" t="str">
        <f t="shared" ref="H150:I150" si="300">IF(H$2="","", IF(E150="",IF($K$16="Use global average",E$276,IF($K$16="Use regional average",INDEX(E$280:E$296,MATCH($B150,$B$280:$B$296,0)),IF($K$16="Leave blank","",IF($K$16="Fill with zeros", 0,IF($K$16="Use global median",E$277,"Fill out I16"))))), E150))</f>
        <v/>
      </c>
      <c r="I150" s="618" t="str">
        <f t="shared" si="300"/>
        <v/>
      </c>
      <c r="J150" s="159"/>
      <c r="K150" s="159"/>
      <c r="L150" s="159" t="str">
        <f>IF(M150="","",IF(COUNTIF(Countries!$B$1:$H$271,M150)&gt;0,"",IF(COUNTIF(Countries!$M$1:$S$271,M150)&gt;0,"Not a country","ERROR – NOT LISTED. Add alt spelling to ''Countries'' tab")))</f>
        <v/>
      </c>
      <c r="M150" s="606" t="s">
        <v>844</v>
      </c>
      <c r="N150" s="624">
        <v>17.40708</v>
      </c>
      <c r="O150" s="621">
        <f t="shared" si="12"/>
        <v>8132.587776</v>
      </c>
      <c r="P150" s="192">
        <v>0.51777206</v>
      </c>
      <c r="Q150" s="622">
        <v>0.03867</v>
      </c>
      <c r="R150" s="621">
        <f t="shared" si="7"/>
        <v>16338.70579</v>
      </c>
      <c r="S150" s="159"/>
      <c r="T150" s="159"/>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c r="BS150" s="159"/>
      <c r="BT150" s="159"/>
      <c r="BU150" s="159"/>
      <c r="BV150" s="159"/>
      <c r="BW150" s="159"/>
      <c r="BX150" s="159"/>
      <c r="BY150" s="159"/>
      <c r="BZ150" s="159"/>
      <c r="CA150" s="159"/>
      <c r="CB150" s="159"/>
      <c r="CC150" s="159"/>
    </row>
    <row r="151">
      <c r="A151" s="613" t="str">
        <f>Countries!B150</f>
        <v>Saint Lucia</v>
      </c>
      <c r="B151" s="614" t="str">
        <f>Countries!I150</f>
        <v>Caribbean</v>
      </c>
      <c r="C151" s="615">
        <f>IFERROR(IFERROR(IFERROR(IFERROR(IFERROR(IFERROR(IFERROR(MATCH(Countries!$B150,$M$3:$M$1003,0),MATCH(Countries!$C150,$M$3:$M$1003,0)),MATCH(Countries!$D150,$M$3:$M$1003,0)),MATCH(Countries!$E150,$M$3:$M$1003,0)),MATCH(Countries!$F150,$M$3:$M$1003,0)),MATCH(Countries!$G150,$M$3:$M$1003,0)),MATCH(Countries!$H150,$M$3:$M$1003,0)),"X")</f>
        <v>150</v>
      </c>
      <c r="D151" s="616">
        <f t="shared" ref="D151:F151" si="301">IF(G$2="","",IF($C151="X","",INDEX($N$3:$CC$1003,$C151,MATCH(G$2,$N$2:$CC$2,0))))</f>
        <v>19366.08984</v>
      </c>
      <c r="E151" s="603" t="str">
        <f t="shared" si="301"/>
        <v/>
      </c>
      <c r="F151" s="603" t="str">
        <f t="shared" si="301"/>
        <v/>
      </c>
      <c r="G151" s="617">
        <f t="shared" si="5"/>
        <v>19366.08984</v>
      </c>
      <c r="H151" s="618" t="str">
        <f t="shared" ref="H151:I151" si="302">IF(H$2="","", IF(E151="",IF($K$16="Use global average",E$276,IF($K$16="Use regional average",INDEX(E$280:E$296,MATCH($B151,$B$280:$B$296,0)),IF($K$16="Leave blank","",IF($K$16="Fill with zeros", 0,IF($K$16="Use global median",E$277,"Fill out I16"))))), E151))</f>
        <v/>
      </c>
      <c r="I151" s="618" t="str">
        <f t="shared" si="302"/>
        <v/>
      </c>
      <c r="J151" s="159"/>
      <c r="K151" s="159"/>
      <c r="L151" s="159" t="str">
        <f>IF(M151="","",IF(COUNTIF(Countries!$B$1:$H$271,M151)&gt;0,"",IF(COUNTIF(Countries!$M$1:$S$271,M151)&gt;0,"Not a country","ERROR – NOT LISTED. Add alt spelling to ''Countries'' tab")))</f>
        <v/>
      </c>
      <c r="M151" s="606" t="s">
        <v>845</v>
      </c>
      <c r="N151" s="624">
        <v>2.0738049</v>
      </c>
      <c r="O151" s="621">
        <f t="shared" si="12"/>
        <v>968.8816493</v>
      </c>
      <c r="P151" s="192">
        <v>0.7109549</v>
      </c>
      <c r="Q151" s="622">
        <v>0.1508</v>
      </c>
      <c r="R151" s="621">
        <f t="shared" si="7"/>
        <v>1604.791787</v>
      </c>
      <c r="S151" s="159"/>
      <c r="T151" s="159"/>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c r="BS151" s="159"/>
      <c r="BT151" s="159"/>
      <c r="BU151" s="159"/>
      <c r="BV151" s="159"/>
      <c r="BW151" s="159"/>
      <c r="BX151" s="159"/>
      <c r="BY151" s="159"/>
      <c r="BZ151" s="159"/>
      <c r="CA151" s="159"/>
      <c r="CB151" s="159"/>
      <c r="CC151" s="159"/>
    </row>
    <row r="152">
      <c r="A152" s="613" t="str">
        <f>Countries!B151</f>
        <v>Saint Vincent and the Grenadines</v>
      </c>
      <c r="B152" s="614" t="str">
        <f>Countries!I151</f>
        <v>Caribbean</v>
      </c>
      <c r="C152" s="614" t="str">
        <f>IFERROR(IFERROR(IFERROR(IFERROR(IFERROR(IFERROR(IFERROR(MATCH(Countries!$B151,$M$3:$M$1003,0),MATCH(Countries!$C151,$M$3:$M$1003,0)),MATCH(Countries!$D151,$M$3:$M$1003,0)),MATCH(Countries!$E151,$M$3:$M$1003,0)),MATCH(Countries!$F151,$M$3:$M$1003,0)),MATCH(Countries!$G151,$M$3:$M$1003,0)),MATCH(Countries!$H151,$M$3:$M$1003,0)),"X")</f>
        <v>X</v>
      </c>
      <c r="D152" s="603" t="str">
        <f t="shared" ref="D152:F152" si="303">IF(G$2="","",IF($C152="X","",INDEX($N$3:$CC$1003,$C152,MATCH(G$2,$N$2:$CC$2,0))))</f>
        <v/>
      </c>
      <c r="E152" s="603" t="str">
        <f t="shared" si="303"/>
        <v/>
      </c>
      <c r="F152" s="603" t="str">
        <f t="shared" si="303"/>
        <v/>
      </c>
      <c r="G152" s="628">
        <f t="shared" si="5"/>
        <v>12713.17965</v>
      </c>
      <c r="H152" s="618" t="str">
        <f t="shared" ref="H152:I152" si="304">IF(H$2="","", IF(E152="",IF($K$16="Use global average",E$276,IF($K$16="Use regional average",INDEX(E$280:E$296,MATCH($B152,$B$280:$B$296,0)),IF($K$16="Leave blank","",IF($K$16="Fill with zeros", 0,IF($K$16="Use global median",E$277,"Fill out I16"))))), E152))</f>
        <v/>
      </c>
      <c r="I152" s="618" t="str">
        <f t="shared" si="304"/>
        <v/>
      </c>
      <c r="J152" s="159"/>
      <c r="K152" s="159"/>
      <c r="L152" s="159" t="str">
        <f>IF(M152="","",IF(COUNTIF(Countries!$B$1:$H$271,M152)&gt;0,"",IF(COUNTIF(Countries!$M$1:$S$271,M152)&gt;0,"Not a country","ERROR – NOT LISTED. Add alt spelling to ''Countries'' tab")))</f>
        <v/>
      </c>
      <c r="M152" s="606" t="s">
        <v>846</v>
      </c>
      <c r="N152" s="624">
        <v>13.024724</v>
      </c>
      <c r="O152" s="621">
        <f t="shared" si="12"/>
        <v>6085.151053</v>
      </c>
      <c r="P152" s="192">
        <v>0.3730462</v>
      </c>
      <c r="Q152" s="622">
        <v>0.1577</v>
      </c>
      <c r="R152" s="621">
        <f t="shared" si="7"/>
        <v>19366.08984</v>
      </c>
      <c r="S152" s="159"/>
      <c r="T152" s="159"/>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c r="BS152" s="159"/>
      <c r="BT152" s="159"/>
      <c r="BU152" s="159"/>
      <c r="BV152" s="159"/>
      <c r="BW152" s="159"/>
      <c r="BX152" s="159"/>
      <c r="BY152" s="159"/>
      <c r="BZ152" s="159"/>
      <c r="CA152" s="159"/>
      <c r="CB152" s="159"/>
      <c r="CC152" s="159"/>
    </row>
    <row r="153">
      <c r="A153" s="613" t="str">
        <f>Countries!B152</f>
        <v>Samoa</v>
      </c>
      <c r="B153" s="614" t="str">
        <f>Countries!I152</f>
        <v>Oceania</v>
      </c>
      <c r="C153" s="615">
        <f>IFERROR(IFERROR(IFERROR(IFERROR(IFERROR(IFERROR(IFERROR(MATCH(Countries!$B152,$M$3:$M$1003,0),MATCH(Countries!$C152,$M$3:$M$1003,0)),MATCH(Countries!$D152,$M$3:$M$1003,0)),MATCH(Countries!$E152,$M$3:$M$1003,0)),MATCH(Countries!$F152,$M$3:$M$1003,0)),MATCH(Countries!$G152,$M$3:$M$1003,0)),MATCH(Countries!$H152,$M$3:$M$1003,0)),"X")</f>
        <v>151</v>
      </c>
      <c r="D153" s="616">
        <f t="shared" ref="D153:F153" si="305">IF(G$2="","",IF($C153="X","",INDEX($N$3:$CC$1003,$C153,MATCH(G$2,$N$2:$CC$2,0))))</f>
        <v>4920.842352</v>
      </c>
      <c r="E153" s="603" t="str">
        <f t="shared" si="305"/>
        <v/>
      </c>
      <c r="F153" s="603" t="str">
        <f t="shared" si="305"/>
        <v/>
      </c>
      <c r="G153" s="617">
        <f t="shared" si="5"/>
        <v>4920.842352</v>
      </c>
      <c r="H153" s="618" t="str">
        <f t="shared" ref="H153:I153" si="306">IF(H$2="","", IF(E153="",IF($K$16="Use global average",E$276,IF($K$16="Use regional average",INDEX(E$280:E$296,MATCH($B153,$B$280:$B$296,0)),IF($K$16="Leave blank","",IF($K$16="Fill with zeros", 0,IF($K$16="Use global median",E$277,"Fill out I16"))))), E153))</f>
        <v/>
      </c>
      <c r="I153" s="618" t="str">
        <f t="shared" si="306"/>
        <v/>
      </c>
      <c r="J153" s="159"/>
      <c r="K153" s="159"/>
      <c r="L153" s="159" t="str">
        <f>IF(M153="","",IF(COUNTIF(Countries!$B$1:$H$271,M153)&gt;0,"",IF(COUNTIF(Countries!$M$1:$S$271,M153)&gt;0,"Not a country","ERROR – NOT LISTED. Add alt spelling to ''Countries'' tab")))</f>
        <v/>
      </c>
      <c r="M153" s="606" t="s">
        <v>847</v>
      </c>
      <c r="N153" s="624">
        <v>7.5771036</v>
      </c>
      <c r="O153" s="621">
        <f t="shared" si="12"/>
        <v>3540.022802</v>
      </c>
      <c r="P153" s="192">
        <v>0.79964615</v>
      </c>
      <c r="Q153" s="622">
        <v>0.10035999999999999</v>
      </c>
      <c r="R153" s="621">
        <f t="shared" si="7"/>
        <v>4920.842352</v>
      </c>
      <c r="S153" s="159"/>
      <c r="T153" s="159"/>
      <c r="U153" s="159"/>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59"/>
      <c r="AT153" s="159"/>
      <c r="AU153" s="159"/>
      <c r="AV153" s="159"/>
      <c r="AW153" s="159"/>
      <c r="AX153" s="159"/>
      <c r="AY153" s="159"/>
      <c r="AZ153" s="159"/>
      <c r="BA153" s="159"/>
      <c r="BB153" s="159"/>
      <c r="BC153" s="159"/>
      <c r="BD153" s="159"/>
      <c r="BE153" s="159"/>
      <c r="BF153" s="159"/>
      <c r="BG153" s="159"/>
      <c r="BH153" s="159"/>
      <c r="BI153" s="159"/>
      <c r="BJ153" s="159"/>
      <c r="BK153" s="159"/>
      <c r="BL153" s="159"/>
      <c r="BM153" s="159"/>
      <c r="BN153" s="159"/>
      <c r="BO153" s="159"/>
      <c r="BP153" s="159"/>
      <c r="BQ153" s="159"/>
      <c r="BR153" s="159"/>
      <c r="BS153" s="159"/>
      <c r="BT153" s="159"/>
      <c r="BU153" s="159"/>
      <c r="BV153" s="159"/>
      <c r="BW153" s="159"/>
      <c r="BX153" s="159"/>
      <c r="BY153" s="159"/>
      <c r="BZ153" s="159"/>
      <c r="CA153" s="159"/>
      <c r="CB153" s="159"/>
      <c r="CC153" s="159"/>
    </row>
    <row r="154">
      <c r="A154" s="613" t="str">
        <f>Countries!B153</f>
        <v>San Marino</v>
      </c>
      <c r="B154" s="614" t="str">
        <f>Countries!I153</f>
        <v>Europe</v>
      </c>
      <c r="C154" s="614" t="str">
        <f>IFERROR(IFERROR(IFERROR(IFERROR(IFERROR(IFERROR(IFERROR(MATCH(Countries!$B153,$M$3:$M$1003,0),MATCH(Countries!$C153,$M$3:$M$1003,0)),MATCH(Countries!$D153,$M$3:$M$1003,0)),MATCH(Countries!$E153,$M$3:$M$1003,0)),MATCH(Countries!$F153,$M$3:$M$1003,0)),MATCH(Countries!$G153,$M$3:$M$1003,0)),MATCH(Countries!$H153,$M$3:$M$1003,0)),"X")</f>
        <v>X</v>
      </c>
      <c r="D154" s="603" t="str">
        <f t="shared" ref="D154:F154" si="307">IF(G$2="","",IF($C154="X","",INDEX($N$3:$CC$1003,$C154,MATCH(G$2,$N$2:$CC$2,0))))</f>
        <v/>
      </c>
      <c r="E154" s="603" t="str">
        <f t="shared" si="307"/>
        <v/>
      </c>
      <c r="F154" s="603" t="str">
        <f t="shared" si="307"/>
        <v/>
      </c>
      <c r="G154" s="628">
        <f t="shared" si="5"/>
        <v>33026.35635</v>
      </c>
      <c r="H154" s="618" t="str">
        <f t="shared" ref="H154:I154" si="308">IF(H$2="","", IF(E154="",IF($K$16="Use global average",E$276,IF($K$16="Use regional average",INDEX(E$280:E$296,MATCH($B154,$B$280:$B$296,0)),IF($K$16="Leave blank","",IF($K$16="Fill with zeros", 0,IF($K$16="Use global median",E$277,"Fill out I16"))))), E154))</f>
        <v/>
      </c>
      <c r="I154" s="618" t="str">
        <f t="shared" si="308"/>
        <v/>
      </c>
      <c r="J154" s="159"/>
      <c r="K154" s="159"/>
      <c r="L154" s="159" t="str">
        <f>IF(M154="","",IF(COUNTIF(Countries!$B$1:$H$271,M154)&gt;0,"",IF(COUNTIF(Countries!$M$1:$S$271,M154)&gt;0,"Not a country","ERROR – NOT LISTED. Add alt spelling to ''Countries'' tab")))</f>
        <v/>
      </c>
      <c r="M154" s="606" t="s">
        <v>848</v>
      </c>
      <c r="N154" s="624">
        <v>3.998577</v>
      </c>
      <c r="O154" s="621">
        <f t="shared" si="12"/>
        <v>1868.135174</v>
      </c>
      <c r="P154" s="192">
        <v>0.7285652</v>
      </c>
      <c r="Q154" s="622">
        <v>0.14354</v>
      </c>
      <c r="R154" s="621">
        <f t="shared" si="7"/>
        <v>2993.868976</v>
      </c>
      <c r="S154" s="159"/>
      <c r="T154" s="159"/>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row>
    <row r="155">
      <c r="A155" s="613" t="str">
        <f>Countries!B154</f>
        <v>Sao Tome and Principe</v>
      </c>
      <c r="B155" s="614" t="str">
        <f>Countries!I154</f>
        <v>Sub-Saharan Africa</v>
      </c>
      <c r="C155" s="615">
        <f>IFERROR(IFERROR(IFERROR(IFERROR(IFERROR(IFERROR(IFERROR(MATCH(Countries!$B154,$M$3:$M$1003,0),MATCH(Countries!$C154,$M$3:$M$1003,0)),MATCH(Countries!$D154,$M$3:$M$1003,0)),MATCH(Countries!$E154,$M$3:$M$1003,0)),MATCH(Countries!$F154,$M$3:$M$1003,0)),MATCH(Countries!$G154,$M$3:$M$1003,0)),MATCH(Countries!$H154,$M$3:$M$1003,0)),"X")</f>
        <v>152</v>
      </c>
      <c r="D155" s="616">
        <f t="shared" ref="D155:F155" si="309">IF(G$2="","",IF($C155="X","",INDEX($N$3:$CC$1003,$C155,MATCH(G$2,$N$2:$CC$2,0))))</f>
        <v>2993.868976</v>
      </c>
      <c r="E155" s="603" t="str">
        <f t="shared" si="309"/>
        <v/>
      </c>
      <c r="F155" s="603" t="str">
        <f t="shared" si="309"/>
        <v/>
      </c>
      <c r="G155" s="617">
        <f t="shared" si="5"/>
        <v>2993.868976</v>
      </c>
      <c r="H155" s="618" t="str">
        <f t="shared" ref="H155:I155" si="310">IF(H$2="","", IF(E155="",IF($K$16="Use global average",E$276,IF($K$16="Use regional average",INDEX(E$280:E$296,MATCH($B155,$B$280:$B$296,0)),IF($K$16="Leave blank","",IF($K$16="Fill with zeros", 0,IF($K$16="Use global median",E$277,"Fill out I16"))))), E155))</f>
        <v/>
      </c>
      <c r="I155" s="618" t="str">
        <f t="shared" si="310"/>
        <v/>
      </c>
      <c r="J155" s="159"/>
      <c r="K155" s="159"/>
      <c r="L155" s="159" t="str">
        <f>IF(M155="","",IF(COUNTIF(Countries!$B$1:$H$271,M155)&gt;0,"",IF(COUNTIF(Countries!$M$1:$S$271,M155)&gt;0,"Not a country","ERROR – NOT LISTED. Add alt spelling to ''Countries'' tab")))</f>
        <v/>
      </c>
      <c r="M155" s="606" t="s">
        <v>849</v>
      </c>
      <c r="N155" s="620" t="s">
        <v>694</v>
      </c>
      <c r="O155" s="630" t="str">
        <f t="shared" si="12"/>
        <v>#VALUE!</v>
      </c>
      <c r="P155" s="192">
        <v>0.36829594</v>
      </c>
      <c r="Q155" s="622">
        <v>0.0559</v>
      </c>
      <c r="R155" s="625" t="str">
        <f t="shared" si="7"/>
        <v/>
      </c>
      <c r="S155" s="159"/>
      <c r="T155" s="159"/>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c r="BS155" s="159"/>
      <c r="BT155" s="159"/>
      <c r="BU155" s="159"/>
      <c r="BV155" s="159"/>
      <c r="BW155" s="159"/>
      <c r="BX155" s="159"/>
      <c r="BY155" s="159"/>
      <c r="BZ155" s="159"/>
      <c r="CA155" s="159"/>
      <c r="CB155" s="159"/>
      <c r="CC155" s="159"/>
    </row>
    <row r="156">
      <c r="A156" s="613" t="str">
        <f>Countries!B155</f>
        <v>Saudi Arabia</v>
      </c>
      <c r="B156" s="614" t="str">
        <f>Countries!I155</f>
        <v>West Asia</v>
      </c>
      <c r="C156" s="615">
        <f>IFERROR(IFERROR(IFERROR(IFERROR(IFERROR(IFERROR(IFERROR(MATCH(Countries!$B155,$M$3:$M$1003,0),MATCH(Countries!$C155,$M$3:$M$1003,0)),MATCH(Countries!$D155,$M$3:$M$1003,0)),MATCH(Countries!$E155,$M$3:$M$1003,0)),MATCH(Countries!$F155,$M$3:$M$1003,0)),MATCH(Countries!$G155,$M$3:$M$1003,0)),MATCH(Countries!$H155,$M$3:$M$1003,0)),"X")</f>
        <v>153</v>
      </c>
      <c r="D156" s="627" t="str">
        <f t="shared" ref="D156:F156" si="311">IF(G$2="","",IF($C156="X","",INDEX($N$3:$CC$1003,$C156,MATCH(G$2,$N$2:$CC$2,0))))</f>
        <v/>
      </c>
      <c r="E156" s="603" t="str">
        <f t="shared" si="311"/>
        <v/>
      </c>
      <c r="F156" s="603" t="str">
        <f t="shared" si="311"/>
        <v/>
      </c>
      <c r="G156" s="628">
        <f t="shared" si="5"/>
        <v>24646.4047</v>
      </c>
      <c r="H156" s="618" t="str">
        <f t="shared" ref="H156:I156" si="312">IF(H$2="","", IF(E156="",IF($K$16="Use global average",E$276,IF($K$16="Use regional average",INDEX(E$280:E$296,MATCH($B156,$B$280:$B$296,0)),IF($K$16="Leave blank","",IF($K$16="Fill with zeros", 0,IF($K$16="Use global median",E$277,"Fill out I16"))))), E156))</f>
        <v/>
      </c>
      <c r="I156" s="618" t="str">
        <f t="shared" si="312"/>
        <v/>
      </c>
      <c r="J156" s="159"/>
      <c r="K156" s="159"/>
      <c r="L156" s="159" t="str">
        <f>IF(M156="","",IF(COUNTIF(Countries!$B$1:$H$271,M156)&gt;0,"",IF(COUNTIF(Countries!$M$1:$S$271,M156)&gt;0,"Not a country","ERROR – NOT LISTED. Add alt spelling to ''Countries'' tab")))</f>
        <v/>
      </c>
      <c r="M156" s="606" t="s">
        <v>850</v>
      </c>
      <c r="N156" s="624">
        <v>4.4646606</v>
      </c>
      <c r="O156" s="621">
        <f t="shared" si="12"/>
        <v>2085.889432</v>
      </c>
      <c r="P156" s="192">
        <v>0.730702</v>
      </c>
      <c r="Q156" s="622">
        <v>0.03012</v>
      </c>
      <c r="R156" s="621">
        <f t="shared" si="7"/>
        <v>2943.28952</v>
      </c>
      <c r="S156" s="159"/>
      <c r="T156" s="159"/>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159"/>
      <c r="BT156" s="159"/>
      <c r="BU156" s="159"/>
      <c r="BV156" s="159"/>
      <c r="BW156" s="159"/>
      <c r="BX156" s="159"/>
      <c r="BY156" s="159"/>
      <c r="BZ156" s="159"/>
      <c r="CA156" s="159"/>
      <c r="CB156" s="159"/>
      <c r="CC156" s="159"/>
    </row>
    <row r="157">
      <c r="A157" s="613" t="str">
        <f>Countries!B156</f>
        <v>Senegal</v>
      </c>
      <c r="B157" s="614" t="str">
        <f>Countries!I156</f>
        <v>Sub-Saharan Africa</v>
      </c>
      <c r="C157" s="615">
        <f>IFERROR(IFERROR(IFERROR(IFERROR(IFERROR(IFERROR(IFERROR(MATCH(Countries!$B156,$M$3:$M$1003,0),MATCH(Countries!$C156,$M$3:$M$1003,0)),MATCH(Countries!$D156,$M$3:$M$1003,0)),MATCH(Countries!$E156,$M$3:$M$1003,0)),MATCH(Countries!$F156,$M$3:$M$1003,0)),MATCH(Countries!$G156,$M$3:$M$1003,0)),MATCH(Countries!$H156,$M$3:$M$1003,0)),"X")</f>
        <v>154</v>
      </c>
      <c r="D157" s="616">
        <f t="shared" ref="D157:F157" si="313">IF(G$2="","",IF($C157="X","",INDEX($N$3:$CC$1003,$C157,MATCH(G$2,$N$2:$CC$2,0))))</f>
        <v>2943.28952</v>
      </c>
      <c r="E157" s="603" t="str">
        <f t="shared" si="313"/>
        <v/>
      </c>
      <c r="F157" s="603" t="str">
        <f t="shared" si="313"/>
        <v/>
      </c>
      <c r="G157" s="617">
        <f t="shared" si="5"/>
        <v>2943.28952</v>
      </c>
      <c r="H157" s="618" t="str">
        <f t="shared" ref="H157:I157" si="314">IF(H$2="","", IF(E157="",IF($K$16="Use global average",E$276,IF($K$16="Use regional average",INDEX(E$280:E$296,MATCH($B157,$B$280:$B$296,0)),IF($K$16="Leave blank","",IF($K$16="Fill with zeros", 0,IF($K$16="Use global median",E$277,"Fill out I16"))))), E157))</f>
        <v/>
      </c>
      <c r="I157" s="618" t="str">
        <f t="shared" si="314"/>
        <v/>
      </c>
      <c r="J157" s="159"/>
      <c r="K157" s="159"/>
      <c r="L157" s="159" t="str">
        <f>IF(M157="","",IF(COUNTIF(Countries!$B$1:$H$271,M157)&gt;0,"",IF(COUNTIF(Countries!$M$1:$S$271,M157)&gt;0,"Not a country","ERROR – NOT LISTED. Add alt spelling to ''Countries'' tab")))</f>
        <v/>
      </c>
      <c r="M157" s="606" t="s">
        <v>851</v>
      </c>
      <c r="N157" s="624">
        <v>16.992344</v>
      </c>
      <c r="O157" s="621">
        <f t="shared" si="12"/>
        <v>7938.823117</v>
      </c>
      <c r="P157" s="192">
        <v>0.57926895</v>
      </c>
      <c r="Q157" s="622">
        <v>0.08683999999999999</v>
      </c>
      <c r="R157" s="621">
        <f t="shared" si="7"/>
        <v>15008.2134</v>
      </c>
      <c r="S157" s="159"/>
      <c r="T157" s="159"/>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c r="BS157" s="159"/>
      <c r="BT157" s="159"/>
      <c r="BU157" s="159"/>
      <c r="BV157" s="159"/>
      <c r="BW157" s="159"/>
      <c r="BX157" s="159"/>
      <c r="BY157" s="159"/>
      <c r="BZ157" s="159"/>
      <c r="CA157" s="159"/>
      <c r="CB157" s="159"/>
      <c r="CC157" s="159"/>
    </row>
    <row r="158">
      <c r="A158" s="613" t="str">
        <f>Countries!B157</f>
        <v>Serbia</v>
      </c>
      <c r="B158" s="614" t="str">
        <f>Countries!I157</f>
        <v>Europe</v>
      </c>
      <c r="C158" s="615">
        <f>IFERROR(IFERROR(IFERROR(IFERROR(IFERROR(IFERROR(IFERROR(MATCH(Countries!$B157,$M$3:$M$1003,0),MATCH(Countries!$C157,$M$3:$M$1003,0)),MATCH(Countries!$D157,$M$3:$M$1003,0)),MATCH(Countries!$E157,$M$3:$M$1003,0)),MATCH(Countries!$F157,$M$3:$M$1003,0)),MATCH(Countries!$G157,$M$3:$M$1003,0)),MATCH(Countries!$H157,$M$3:$M$1003,0)),"X")</f>
        <v>155</v>
      </c>
      <c r="D158" s="616">
        <f t="shared" ref="D158:F158" si="315">IF(G$2="","",IF($C158="X","",INDEX($N$3:$CC$1003,$C158,MATCH(G$2,$N$2:$CC$2,0))))</f>
        <v>15008.2134</v>
      </c>
      <c r="E158" s="603" t="str">
        <f t="shared" si="315"/>
        <v/>
      </c>
      <c r="F158" s="603" t="str">
        <f t="shared" si="315"/>
        <v/>
      </c>
      <c r="G158" s="617">
        <f t="shared" si="5"/>
        <v>15008.2134</v>
      </c>
      <c r="H158" s="618" t="str">
        <f t="shared" ref="H158:I158" si="316">IF(H$2="","", IF(E158="",IF($K$16="Use global average",E$276,IF($K$16="Use regional average",INDEX(E$280:E$296,MATCH($B158,$B$280:$B$296,0)),IF($K$16="Leave blank","",IF($K$16="Fill with zeros", 0,IF($K$16="Use global median",E$277,"Fill out I16"))))), E158))</f>
        <v/>
      </c>
      <c r="I158" s="618" t="str">
        <f t="shared" si="316"/>
        <v/>
      </c>
      <c r="J158" s="159"/>
      <c r="K158" s="159"/>
      <c r="L158" s="159" t="str">
        <f>IF(M158="","",IF(COUNTIF(Countries!$B$1:$H$271,M158)&gt;0,"",IF(COUNTIF(Countries!$M$1:$S$271,M158)&gt;0,"Not a country","ERROR – NOT LISTED. Add alt spelling to ''Countries'' tab")))</f>
        <v/>
      </c>
      <c r="M158" s="606" t="s">
        <v>852</v>
      </c>
      <c r="N158" s="624">
        <v>19.497965</v>
      </c>
      <c r="O158" s="621">
        <f t="shared" si="12"/>
        <v>9109.449248</v>
      </c>
      <c r="P158" s="192">
        <v>0.39803333</v>
      </c>
      <c r="Q158" s="631" t="e">
        <v>#VALUE!</v>
      </c>
      <c r="R158" s="625" t="str">
        <f t="shared" si="7"/>
        <v/>
      </c>
      <c r="S158" s="159"/>
      <c r="T158" s="159"/>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row>
    <row r="159">
      <c r="A159" s="613" t="str">
        <f>Countries!B158</f>
        <v>Seychelles</v>
      </c>
      <c r="B159" s="614" t="str">
        <f>Countries!I158</f>
        <v>Sub-Saharan Africa</v>
      </c>
      <c r="C159" s="615">
        <f>IFERROR(IFERROR(IFERROR(IFERROR(IFERROR(IFERROR(IFERROR(MATCH(Countries!$B158,$M$3:$M$1003,0),MATCH(Countries!$C158,$M$3:$M$1003,0)),MATCH(Countries!$D158,$M$3:$M$1003,0)),MATCH(Countries!$E158,$M$3:$M$1003,0)),MATCH(Countries!$F158,$M$3:$M$1003,0)),MATCH(Countries!$G158,$M$3:$M$1003,0)),MATCH(Countries!$H158,$M$3:$M$1003,0)),"X")</f>
        <v>156</v>
      </c>
      <c r="D159" s="627" t="str">
        <f t="shared" ref="D159:F159" si="317">IF(G$2="","",IF($C159="X","",INDEX($N$3:$CC$1003,$C159,MATCH(G$2,$N$2:$CC$2,0))))</f>
        <v/>
      </c>
      <c r="E159" s="603" t="str">
        <f t="shared" si="317"/>
        <v/>
      </c>
      <c r="F159" s="603" t="str">
        <f t="shared" si="317"/>
        <v/>
      </c>
      <c r="G159" s="628">
        <f t="shared" si="5"/>
        <v>2791.469713</v>
      </c>
      <c r="H159" s="618" t="str">
        <f t="shared" ref="H159:I159" si="318">IF(H$2="","", IF(E159="",IF($K$16="Use global average",E$276,IF($K$16="Use regional average",INDEX(E$280:E$296,MATCH($B159,$B$280:$B$296,0)),IF($K$16="Leave blank","",IF($K$16="Fill with zeros", 0,IF($K$16="Use global median",E$277,"Fill out I16"))))), E159))</f>
        <v/>
      </c>
      <c r="I159" s="618" t="str">
        <f t="shared" si="318"/>
        <v/>
      </c>
      <c r="J159" s="159"/>
      <c r="K159" s="159"/>
      <c r="L159" s="159" t="str">
        <f>IF(M159="","",IF(COUNTIF(Countries!$B$1:$H$271,M159)&gt;0,"",IF(COUNTIF(Countries!$M$1:$S$271,M159)&gt;0,"Not a country","ERROR – NOT LISTED. Add alt spelling to ''Countries'' tab")))</f>
        <v/>
      </c>
      <c r="M159" s="606" t="s">
        <v>853</v>
      </c>
      <c r="N159" s="624">
        <v>2.9593496</v>
      </c>
      <c r="O159" s="621">
        <f t="shared" si="12"/>
        <v>1382.608133</v>
      </c>
      <c r="P159" s="192">
        <v>0.7163949</v>
      </c>
      <c r="Q159" s="622">
        <v>0.032690000000000004</v>
      </c>
      <c r="R159" s="621">
        <f t="shared" si="7"/>
        <v>1995.17477</v>
      </c>
      <c r="S159" s="159"/>
      <c r="T159" s="159"/>
      <c r="U159" s="159"/>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59"/>
      <c r="AT159" s="159"/>
      <c r="AU159" s="159"/>
      <c r="AV159" s="159"/>
      <c r="AW159" s="159"/>
      <c r="AX159" s="159"/>
      <c r="AY159" s="159"/>
      <c r="AZ159" s="159"/>
      <c r="BA159" s="159"/>
      <c r="BB159" s="159"/>
      <c r="BC159" s="159"/>
      <c r="BD159" s="159"/>
      <c r="BE159" s="159"/>
      <c r="BF159" s="159"/>
      <c r="BG159" s="159"/>
      <c r="BH159" s="159"/>
      <c r="BI159" s="159"/>
      <c r="BJ159" s="159"/>
      <c r="BK159" s="159"/>
      <c r="BL159" s="159"/>
      <c r="BM159" s="159"/>
      <c r="BN159" s="159"/>
      <c r="BO159" s="159"/>
      <c r="BP159" s="159"/>
      <c r="BQ159" s="159"/>
      <c r="BR159" s="159"/>
      <c r="BS159" s="159"/>
      <c r="BT159" s="159"/>
      <c r="BU159" s="159"/>
      <c r="BV159" s="159"/>
      <c r="BW159" s="159"/>
      <c r="BX159" s="159"/>
      <c r="BY159" s="159"/>
      <c r="BZ159" s="159"/>
      <c r="CA159" s="159"/>
      <c r="CB159" s="159"/>
      <c r="CC159" s="159"/>
    </row>
    <row r="160">
      <c r="A160" s="613" t="str">
        <f>Countries!B159</f>
        <v>Sierra Leone</v>
      </c>
      <c r="B160" s="614" t="str">
        <f>Countries!I159</f>
        <v>Sub-Saharan Africa</v>
      </c>
      <c r="C160" s="615">
        <f>IFERROR(IFERROR(IFERROR(IFERROR(IFERROR(IFERROR(IFERROR(MATCH(Countries!$B159,$M$3:$M$1003,0),MATCH(Countries!$C159,$M$3:$M$1003,0)),MATCH(Countries!$D159,$M$3:$M$1003,0)),MATCH(Countries!$E159,$M$3:$M$1003,0)),MATCH(Countries!$F159,$M$3:$M$1003,0)),MATCH(Countries!$G159,$M$3:$M$1003,0)),MATCH(Countries!$H159,$M$3:$M$1003,0)),"X")</f>
        <v>157</v>
      </c>
      <c r="D160" s="616">
        <f t="shared" ref="D160:F160" si="319">IF(G$2="","",IF($C160="X","",INDEX($N$3:$CC$1003,$C160,MATCH(G$2,$N$2:$CC$2,0))))</f>
        <v>1995.17477</v>
      </c>
      <c r="E160" s="603" t="str">
        <f t="shared" si="319"/>
        <v/>
      </c>
      <c r="F160" s="603" t="str">
        <f t="shared" si="319"/>
        <v/>
      </c>
      <c r="G160" s="617">
        <f t="shared" si="5"/>
        <v>1995.17477</v>
      </c>
      <c r="H160" s="618" t="str">
        <f t="shared" ref="H160:I160" si="320">IF(H$2="","", IF(E160="",IF($K$16="Use global average",E$276,IF($K$16="Use regional average",INDEX(E$280:E$296,MATCH($B160,$B$280:$B$296,0)),IF($K$16="Leave blank","",IF($K$16="Fill with zeros", 0,IF($K$16="Use global median",E$277,"Fill out I16"))))), E160))</f>
        <v/>
      </c>
      <c r="I160" s="618" t="str">
        <f t="shared" si="320"/>
        <v/>
      </c>
      <c r="J160" s="159"/>
      <c r="K160" s="159"/>
      <c r="L160" s="159" t="str">
        <f>IF(M160="","",IF(COUNTIF(Countries!$B$1:$H$271,M160)&gt;0,"",IF(COUNTIF(Countries!$M$1:$S$271,M160)&gt;0,"Not a country","ERROR – NOT LISTED. Add alt spelling to ''Countries'' tab")))</f>
        <v/>
      </c>
      <c r="M160" s="606" t="s">
        <v>854</v>
      </c>
      <c r="N160" s="620" t="s">
        <v>694</v>
      </c>
      <c r="O160" s="630" t="str">
        <f t="shared" si="12"/>
        <v>#VALUE!</v>
      </c>
      <c r="P160" s="192">
        <v>0.3309974</v>
      </c>
      <c r="Q160" s="622">
        <v>0.0359</v>
      </c>
      <c r="R160" s="625" t="str">
        <f t="shared" si="7"/>
        <v/>
      </c>
      <c r="S160" s="159"/>
      <c r="T160" s="159"/>
      <c r="U160" s="159"/>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c r="BS160" s="159"/>
      <c r="BT160" s="159"/>
      <c r="BU160" s="159"/>
      <c r="BV160" s="159"/>
      <c r="BW160" s="159"/>
      <c r="BX160" s="159"/>
      <c r="BY160" s="159"/>
      <c r="BZ160" s="159"/>
      <c r="CA160" s="159"/>
      <c r="CB160" s="159"/>
      <c r="CC160" s="159"/>
    </row>
    <row r="161">
      <c r="A161" s="613" t="str">
        <f>Countries!B160</f>
        <v>Singapore</v>
      </c>
      <c r="B161" s="614" t="str">
        <f>Countries!I160</f>
        <v>Southeast Asia</v>
      </c>
      <c r="C161" s="615">
        <f>IFERROR(IFERROR(IFERROR(IFERROR(IFERROR(IFERROR(IFERROR(MATCH(Countries!$B160,$M$3:$M$1003,0),MATCH(Countries!$C160,$M$3:$M$1003,0)),MATCH(Countries!$D160,$M$3:$M$1003,0)),MATCH(Countries!$E160,$M$3:$M$1003,0)),MATCH(Countries!$F160,$M$3:$M$1003,0)),MATCH(Countries!$G160,$M$3:$M$1003,0)),MATCH(Countries!$H160,$M$3:$M$1003,0)),"X")</f>
        <v>158</v>
      </c>
      <c r="D161" s="627" t="str">
        <f t="shared" ref="D161:F161" si="321">IF(G$2="","",IF($C161="X","",INDEX($N$3:$CC$1003,$C161,MATCH(G$2,$N$2:$CC$2,0))))</f>
        <v/>
      </c>
      <c r="E161" s="603" t="str">
        <f t="shared" si="321"/>
        <v/>
      </c>
      <c r="F161" s="603" t="str">
        <f t="shared" si="321"/>
        <v/>
      </c>
      <c r="G161" s="628">
        <f t="shared" si="5"/>
        <v>9788.635641</v>
      </c>
      <c r="H161" s="618" t="str">
        <f t="shared" ref="H161:I161" si="322">IF(H$2="","", IF(E161="",IF($K$16="Use global average",E$276,IF($K$16="Use regional average",INDEX(E$280:E$296,MATCH($B161,$B$280:$B$296,0)),IF($K$16="Leave blank","",IF($K$16="Fill with zeros", 0,IF($K$16="Use global median",E$277,"Fill out I16"))))), E161))</f>
        <v/>
      </c>
      <c r="I161" s="618" t="str">
        <f t="shared" si="322"/>
        <v/>
      </c>
      <c r="J161" s="159"/>
      <c r="K161" s="159"/>
      <c r="L161" s="159" t="str">
        <f>IF(M161="","",IF(COUNTIF(Countries!$B$1:$H$271,M161)&gt;0,"",IF(COUNTIF(Countries!$M$1:$S$271,M161)&gt;0,"Not a country","ERROR – NOT LISTED. Add alt spelling to ''Countries'' tab")))</f>
        <v/>
      </c>
      <c r="M161" s="606" t="s">
        <v>855</v>
      </c>
      <c r="N161" s="624">
        <v>23.478302</v>
      </c>
      <c r="O161" s="621">
        <f t="shared" si="12"/>
        <v>10969.06269</v>
      </c>
      <c r="P161" s="192">
        <v>0.5140828</v>
      </c>
      <c r="Q161" s="622">
        <v>0.061399999999999996</v>
      </c>
      <c r="R161" s="621">
        <f t="shared" si="7"/>
        <v>22732.95516</v>
      </c>
      <c r="S161" s="159"/>
      <c r="T161" s="159"/>
      <c r="U161" s="159"/>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c r="BS161" s="159"/>
      <c r="BT161" s="159"/>
      <c r="BU161" s="159"/>
      <c r="BV161" s="159"/>
      <c r="BW161" s="159"/>
      <c r="BX161" s="159"/>
      <c r="BY161" s="159"/>
      <c r="BZ161" s="159"/>
      <c r="CA161" s="159"/>
      <c r="CB161" s="159"/>
      <c r="CC161" s="159"/>
    </row>
    <row r="162">
      <c r="A162" s="613" t="str">
        <f>Countries!B161</f>
        <v>Slovakia</v>
      </c>
      <c r="B162" s="614" t="str">
        <f>Countries!I161</f>
        <v>Europe</v>
      </c>
      <c r="C162" s="615">
        <f>IFERROR(IFERROR(IFERROR(IFERROR(IFERROR(IFERROR(IFERROR(MATCH(Countries!$B161,$M$3:$M$1003,0),MATCH(Countries!$C161,$M$3:$M$1003,0)),MATCH(Countries!$D161,$M$3:$M$1003,0)),MATCH(Countries!$E161,$M$3:$M$1003,0)),MATCH(Countries!$F161,$M$3:$M$1003,0)),MATCH(Countries!$G161,$M$3:$M$1003,0)),MATCH(Countries!$H161,$M$3:$M$1003,0)),"X")</f>
        <v>159</v>
      </c>
      <c r="D162" s="616">
        <f t="shared" ref="D162:F162" si="323">IF(G$2="","",IF($C162="X","",INDEX($N$3:$CC$1003,$C162,MATCH(G$2,$N$2:$CC$2,0))))</f>
        <v>22732.95516</v>
      </c>
      <c r="E162" s="603" t="str">
        <f t="shared" si="323"/>
        <v/>
      </c>
      <c r="F162" s="603" t="str">
        <f t="shared" si="323"/>
        <v/>
      </c>
      <c r="G162" s="617">
        <f t="shared" si="5"/>
        <v>22732.95516</v>
      </c>
      <c r="H162" s="618" t="str">
        <f t="shared" ref="H162:I162" si="324">IF(H$2="","", IF(E162="",IF($K$16="Use global average",E$276,IF($K$16="Use regional average",INDEX(E$280:E$296,MATCH($B162,$B$280:$B$296,0)),IF($K$16="Leave blank","",IF($K$16="Fill with zeros", 0,IF($K$16="Use global median",E$277,"Fill out I16"))))), E162))</f>
        <v/>
      </c>
      <c r="I162" s="618" t="str">
        <f t="shared" si="324"/>
        <v/>
      </c>
      <c r="J162" s="159"/>
      <c r="K162" s="159"/>
      <c r="L162" s="159" t="str">
        <f>IF(M162="","",IF(COUNTIF(Countries!$B$1:$H$271,M162)&gt;0,"",IF(COUNTIF(Countries!$M$1:$S$271,M162)&gt;0,"Not a country","ERROR – NOT LISTED. Add alt spelling to ''Countries'' tab")))</f>
        <v/>
      </c>
      <c r="M162" s="606" t="s">
        <v>856</v>
      </c>
      <c r="N162" s="624">
        <v>43.440727</v>
      </c>
      <c r="O162" s="621">
        <f t="shared" si="12"/>
        <v>20295.50765</v>
      </c>
      <c r="P162" s="192">
        <v>0.56854797</v>
      </c>
      <c r="Q162" s="622">
        <v>0.0401</v>
      </c>
      <c r="R162" s="621">
        <f t="shared" si="7"/>
        <v>37188.3418</v>
      </c>
      <c r="S162" s="159"/>
      <c r="T162" s="159"/>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c r="BS162" s="159"/>
      <c r="BT162" s="159"/>
      <c r="BU162" s="159"/>
      <c r="BV162" s="159"/>
      <c r="BW162" s="159"/>
      <c r="BX162" s="159"/>
      <c r="BY162" s="159"/>
      <c r="BZ162" s="159"/>
      <c r="CA162" s="159"/>
      <c r="CB162" s="159"/>
      <c r="CC162" s="159"/>
    </row>
    <row r="163">
      <c r="A163" s="613" t="str">
        <f>Countries!B162</f>
        <v>Slovenia</v>
      </c>
      <c r="B163" s="614" t="str">
        <f>Countries!I162</f>
        <v>Europe</v>
      </c>
      <c r="C163" s="615">
        <f>IFERROR(IFERROR(IFERROR(IFERROR(IFERROR(IFERROR(IFERROR(MATCH(Countries!$B162,$M$3:$M$1003,0),MATCH(Countries!$C162,$M$3:$M$1003,0)),MATCH(Countries!$D162,$M$3:$M$1003,0)),MATCH(Countries!$E162,$M$3:$M$1003,0)),MATCH(Countries!$F162,$M$3:$M$1003,0)),MATCH(Countries!$G162,$M$3:$M$1003,0)),MATCH(Countries!$H162,$M$3:$M$1003,0)),"X")</f>
        <v>160</v>
      </c>
      <c r="D163" s="616">
        <f t="shared" ref="D163:F163" si="325">IF(G$2="","",IF($C163="X","",INDEX($N$3:$CC$1003,$C163,MATCH(G$2,$N$2:$CC$2,0))))</f>
        <v>37188.3418</v>
      </c>
      <c r="E163" s="603" t="str">
        <f t="shared" si="325"/>
        <v/>
      </c>
      <c r="F163" s="603" t="str">
        <f t="shared" si="325"/>
        <v/>
      </c>
      <c r="G163" s="617">
        <f t="shared" si="5"/>
        <v>37188.3418</v>
      </c>
      <c r="H163" s="618" t="str">
        <f t="shared" ref="H163:I163" si="326">IF(H$2="","", IF(E163="",IF($K$16="Use global average",E$276,IF($K$16="Use regional average",INDEX(E$280:E$296,MATCH($B163,$B$280:$B$296,0)),IF($K$16="Leave blank","",IF($K$16="Fill with zeros", 0,IF($K$16="Use global median",E$277,"Fill out I16"))))), E163))</f>
        <v/>
      </c>
      <c r="I163" s="618" t="str">
        <f t="shared" si="326"/>
        <v/>
      </c>
      <c r="J163" s="159"/>
      <c r="K163" s="159"/>
      <c r="L163" s="159" t="str">
        <f>IF(M163="","",IF(COUNTIF(Countries!$B$1:$H$271,M163)&gt;0,"",IF(COUNTIF(Countries!$M$1:$S$271,M163)&gt;0,"Not a country","ERROR – NOT LISTED. Add alt spelling to ''Countries'' tab")))</f>
        <v/>
      </c>
      <c r="M163" s="606" t="s">
        <v>857</v>
      </c>
      <c r="N163" s="624">
        <v>3.103404</v>
      </c>
      <c r="O163" s="621">
        <f t="shared" si="12"/>
        <v>1449.910349</v>
      </c>
      <c r="P163" s="192">
        <v>0.6946184</v>
      </c>
      <c r="Q163" s="622">
        <v>0.01609</v>
      </c>
      <c r="R163" s="621">
        <f t="shared" si="7"/>
        <v>2121.482686</v>
      </c>
      <c r="S163" s="159"/>
      <c r="T163" s="159"/>
      <c r="U163" s="159"/>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c r="BS163" s="159"/>
      <c r="BT163" s="159"/>
      <c r="BU163" s="159"/>
      <c r="BV163" s="159"/>
      <c r="BW163" s="159"/>
      <c r="BX163" s="159"/>
      <c r="BY163" s="159"/>
      <c r="BZ163" s="159"/>
      <c r="CA163" s="159"/>
      <c r="CB163" s="159"/>
      <c r="CC163" s="159"/>
    </row>
    <row r="164">
      <c r="A164" s="613" t="str">
        <f>Countries!B163</f>
        <v>Solomon Islands</v>
      </c>
      <c r="B164" s="614" t="str">
        <f>Countries!I163</f>
        <v>Oceania</v>
      </c>
      <c r="C164" s="615">
        <f>IFERROR(IFERROR(IFERROR(IFERROR(IFERROR(IFERROR(IFERROR(MATCH(Countries!$B163,$M$3:$M$1003,0),MATCH(Countries!$C163,$M$3:$M$1003,0)),MATCH(Countries!$D163,$M$3:$M$1003,0)),MATCH(Countries!$E163,$M$3:$M$1003,0)),MATCH(Countries!$F163,$M$3:$M$1003,0)),MATCH(Countries!$G163,$M$3:$M$1003,0)),MATCH(Countries!$H163,$M$3:$M$1003,0)),"X")</f>
        <v>161</v>
      </c>
      <c r="D164" s="616">
        <f t="shared" ref="D164:F164" si="327">IF(G$2="","",IF($C164="X","",INDEX($N$3:$CC$1003,$C164,MATCH(G$2,$N$2:$CC$2,0))))</f>
        <v>2121.482686</v>
      </c>
      <c r="E164" s="603" t="str">
        <f t="shared" si="327"/>
        <v/>
      </c>
      <c r="F164" s="603" t="str">
        <f t="shared" si="327"/>
        <v/>
      </c>
      <c r="G164" s="617">
        <f t="shared" si="5"/>
        <v>2121.482686</v>
      </c>
      <c r="H164" s="618" t="str">
        <f t="shared" ref="H164:I164" si="328">IF(H$2="","", IF(E164="",IF($K$16="Use global average",E$276,IF($K$16="Use regional average",INDEX(E$280:E$296,MATCH($B164,$B$280:$B$296,0)),IF($K$16="Leave blank","",IF($K$16="Fill with zeros", 0,IF($K$16="Use global median",E$277,"Fill out I16"))))), E164))</f>
        <v/>
      </c>
      <c r="I164" s="618" t="str">
        <f t="shared" si="328"/>
        <v/>
      </c>
      <c r="J164" s="159"/>
      <c r="K164" s="159"/>
      <c r="L164" s="159" t="str">
        <f>IF(M164="","",IF(COUNTIF(Countries!$B$1:$H$271,M164)&gt;0,"",IF(COUNTIF(Countries!$M$1:$S$271,M164)&gt;0,"Not a country","ERROR – NOT LISTED. Add alt spelling to ''Countries'' tab")))</f>
        <v/>
      </c>
      <c r="M164" s="606" t="s">
        <v>858</v>
      </c>
      <c r="N164" s="620" t="s">
        <v>694</v>
      </c>
      <c r="O164" s="630" t="str">
        <f t="shared" si="12"/>
        <v>#VALUE!</v>
      </c>
      <c r="P164" s="192">
        <v>0.9701818</v>
      </c>
      <c r="Q164" s="622">
        <v>0.19291</v>
      </c>
      <c r="R164" s="625" t="str">
        <f t="shared" si="7"/>
        <v/>
      </c>
      <c r="S164" s="159"/>
      <c r="T164" s="159"/>
      <c r="U164" s="159"/>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c r="BS164" s="159"/>
      <c r="BT164" s="159"/>
      <c r="BU164" s="159"/>
      <c r="BV164" s="159"/>
      <c r="BW164" s="159"/>
      <c r="BX164" s="159"/>
      <c r="BY164" s="159"/>
      <c r="BZ164" s="159"/>
      <c r="CA164" s="159"/>
      <c r="CB164" s="159"/>
      <c r="CC164" s="159"/>
    </row>
    <row r="165">
      <c r="A165" s="613" t="str">
        <f>Countries!B164</f>
        <v>Somalia</v>
      </c>
      <c r="B165" s="614" t="str">
        <f>Countries!I164</f>
        <v>Sub-Saharan Africa</v>
      </c>
      <c r="C165" s="615">
        <f>IFERROR(IFERROR(IFERROR(IFERROR(IFERROR(IFERROR(IFERROR(MATCH(Countries!$B164,$M$3:$M$1003,0),MATCH(Countries!$C164,$M$3:$M$1003,0)),MATCH(Countries!$D164,$M$3:$M$1003,0)),MATCH(Countries!$E164,$M$3:$M$1003,0)),MATCH(Countries!$F164,$M$3:$M$1003,0)),MATCH(Countries!$G164,$M$3:$M$1003,0)),MATCH(Countries!$H164,$M$3:$M$1003,0)),"X")</f>
        <v>162</v>
      </c>
      <c r="D165" s="627" t="str">
        <f t="shared" ref="D165:F165" si="329">IF(G$2="","",IF($C165="X","",INDEX($N$3:$CC$1003,$C165,MATCH(G$2,$N$2:$CC$2,0))))</f>
        <v/>
      </c>
      <c r="E165" s="603" t="str">
        <f t="shared" si="329"/>
        <v/>
      </c>
      <c r="F165" s="603" t="str">
        <f t="shared" si="329"/>
        <v/>
      </c>
      <c r="G165" s="628">
        <f t="shared" si="5"/>
        <v>2791.469713</v>
      </c>
      <c r="H165" s="618" t="str">
        <f t="shared" ref="H165:I165" si="330">IF(H$2="","", IF(E165="",IF($K$16="Use global average",E$276,IF($K$16="Use regional average",INDEX(E$280:E$296,MATCH($B165,$B$280:$B$296,0)),IF($K$16="Leave blank","",IF($K$16="Fill with zeros", 0,IF($K$16="Use global median",E$277,"Fill out I16"))))), E165))</f>
        <v/>
      </c>
      <c r="I165" s="618" t="str">
        <f t="shared" si="330"/>
        <v/>
      </c>
      <c r="J165" s="159"/>
      <c r="K165" s="159"/>
      <c r="L165" s="159" t="str">
        <f>IF(M165="","",IF(COUNTIF(Countries!$B$1:$H$271,M165)&gt;0,"",IF(COUNTIF(Countries!$M$1:$S$271,M165)&gt;0,"Not a country","ERROR – NOT LISTED. Add alt spelling to ''Countries'' tab")))</f>
        <v/>
      </c>
      <c r="M165" s="606" t="s">
        <v>859</v>
      </c>
      <c r="N165" s="624">
        <v>4.7534223</v>
      </c>
      <c r="O165" s="621">
        <f t="shared" si="12"/>
        <v>2220.798899</v>
      </c>
      <c r="P165" s="192">
        <v>0.48354927000000003</v>
      </c>
      <c r="Q165" s="622">
        <v>0.2884</v>
      </c>
      <c r="R165" s="621">
        <f t="shared" si="7"/>
        <v>6454.053513</v>
      </c>
      <c r="S165" s="159"/>
      <c r="T165" s="159"/>
      <c r="U165" s="159"/>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59"/>
      <c r="AT165" s="159"/>
      <c r="AU165" s="159"/>
      <c r="AV165" s="159"/>
      <c r="AW165" s="159"/>
      <c r="AX165" s="159"/>
      <c r="AY165" s="159"/>
      <c r="AZ165" s="159"/>
      <c r="BA165" s="159"/>
      <c r="BB165" s="159"/>
      <c r="BC165" s="159"/>
      <c r="BD165" s="159"/>
      <c r="BE165" s="159"/>
      <c r="BF165" s="159"/>
      <c r="BG165" s="159"/>
      <c r="BH165" s="159"/>
      <c r="BI165" s="159"/>
      <c r="BJ165" s="159"/>
      <c r="BK165" s="159"/>
      <c r="BL165" s="159"/>
      <c r="BM165" s="159"/>
      <c r="BN165" s="159"/>
      <c r="BO165" s="159"/>
      <c r="BP165" s="159"/>
      <c r="BQ165" s="159"/>
      <c r="BR165" s="159"/>
      <c r="BS165" s="159"/>
      <c r="BT165" s="159"/>
      <c r="BU165" s="159"/>
      <c r="BV165" s="159"/>
      <c r="BW165" s="159"/>
      <c r="BX165" s="159"/>
      <c r="BY165" s="159"/>
      <c r="BZ165" s="159"/>
      <c r="CA165" s="159"/>
      <c r="CB165" s="159"/>
      <c r="CC165" s="159"/>
    </row>
    <row r="166">
      <c r="A166" s="613" t="str">
        <f>Countries!B165</f>
        <v>South Africa</v>
      </c>
      <c r="B166" s="614" t="str">
        <f>Countries!I165</f>
        <v>Sub-Saharan Africa</v>
      </c>
      <c r="C166" s="615">
        <f>IFERROR(IFERROR(IFERROR(IFERROR(IFERROR(IFERROR(IFERROR(MATCH(Countries!$B165,$M$3:$M$1003,0),MATCH(Countries!$C165,$M$3:$M$1003,0)),MATCH(Countries!$D165,$M$3:$M$1003,0)),MATCH(Countries!$E165,$M$3:$M$1003,0)),MATCH(Countries!$F165,$M$3:$M$1003,0)),MATCH(Countries!$G165,$M$3:$M$1003,0)),MATCH(Countries!$H165,$M$3:$M$1003,0)),"X")</f>
        <v>163</v>
      </c>
      <c r="D166" s="616">
        <f t="shared" ref="D166:F166" si="331">IF(G$2="","",IF($C166="X","",INDEX($N$3:$CC$1003,$C166,MATCH(G$2,$N$2:$CC$2,0))))</f>
        <v>6454.053513</v>
      </c>
      <c r="E166" s="603" t="str">
        <f t="shared" si="331"/>
        <v/>
      </c>
      <c r="F166" s="603" t="str">
        <f t="shared" si="331"/>
        <v/>
      </c>
      <c r="G166" s="617">
        <f t="shared" si="5"/>
        <v>6454.053513</v>
      </c>
      <c r="H166" s="618" t="str">
        <f t="shared" ref="H166:I166" si="332">IF(H$2="","", IF(E166="",IF($K$16="Use global average",E$276,IF($K$16="Use regional average",INDEX(E$280:E$296,MATCH($B166,$B$280:$B$296,0)),IF($K$16="Leave blank","",IF($K$16="Fill with zeros", 0,IF($K$16="Use global median",E$277,"Fill out I16"))))), E166))</f>
        <v/>
      </c>
      <c r="I166" s="618" t="str">
        <f t="shared" si="332"/>
        <v/>
      </c>
      <c r="J166" s="159"/>
      <c r="K166" s="159"/>
      <c r="L166" s="159" t="str">
        <f>IF(M166="","",IF(COUNTIF(Countries!$B$1:$H$271,M166)&gt;0,"",IF(COUNTIF(Countries!$M$1:$S$271,M166)&gt;0,"Not a country","ERROR – NOT LISTED. Add alt spelling to ''Countries'' tab")))</f>
        <v/>
      </c>
      <c r="M166" s="606" t="s">
        <v>860</v>
      </c>
      <c r="N166" s="624">
        <v>37.620308</v>
      </c>
      <c r="O166" s="621">
        <f t="shared" si="12"/>
        <v>17576.2079</v>
      </c>
      <c r="P166" s="192">
        <v>0.41430878</v>
      </c>
      <c r="Q166" s="622">
        <v>0.0286</v>
      </c>
      <c r="R166" s="621">
        <f t="shared" si="7"/>
        <v>43671.98628</v>
      </c>
      <c r="S166" s="159"/>
      <c r="T166" s="159"/>
      <c r="U166" s="159"/>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c r="BS166" s="159"/>
      <c r="BT166" s="159"/>
      <c r="BU166" s="159"/>
      <c r="BV166" s="159"/>
      <c r="BW166" s="159"/>
      <c r="BX166" s="159"/>
      <c r="BY166" s="159"/>
      <c r="BZ166" s="159"/>
      <c r="CA166" s="159"/>
      <c r="CB166" s="159"/>
      <c r="CC166" s="159"/>
    </row>
    <row r="167">
      <c r="A167" s="613" t="str">
        <f>Countries!B166</f>
        <v>South Korea</v>
      </c>
      <c r="B167" s="614" t="str">
        <f>Countries!I166</f>
        <v>East Asia</v>
      </c>
      <c r="C167" s="615">
        <f>IFERROR(IFERROR(IFERROR(IFERROR(IFERROR(IFERROR(IFERROR(MATCH(Countries!$B166,$M$3:$M$1003,0),MATCH(Countries!$C166,$M$3:$M$1003,0)),MATCH(Countries!$D166,$M$3:$M$1003,0)),MATCH(Countries!$E166,$M$3:$M$1003,0)),MATCH(Countries!$F166,$M$3:$M$1003,0)),MATCH(Countries!$G166,$M$3:$M$1003,0)),MATCH(Countries!$H166,$M$3:$M$1003,0)),"X")</f>
        <v>164</v>
      </c>
      <c r="D167" s="616">
        <f t="shared" ref="D167:F167" si="333">IF(G$2="","",IF($C167="X","",INDEX($N$3:$CC$1003,$C167,MATCH(G$2,$N$2:$CC$2,0))))</f>
        <v>43671.98628</v>
      </c>
      <c r="E167" s="603" t="str">
        <f t="shared" si="333"/>
        <v/>
      </c>
      <c r="F167" s="603" t="str">
        <f t="shared" si="333"/>
        <v/>
      </c>
      <c r="G167" s="617">
        <f t="shared" si="5"/>
        <v>43671.98628</v>
      </c>
      <c r="H167" s="618" t="str">
        <f t="shared" ref="H167:I167" si="334">IF(H$2="","", IF(E167="",IF($K$16="Use global average",E$276,IF($K$16="Use regional average",INDEX(E$280:E$296,MATCH($B167,$B$280:$B$296,0)),IF($K$16="Leave blank","",IF($K$16="Fill with zeros", 0,IF($K$16="Use global median",E$277,"Fill out I16"))))), E167))</f>
        <v/>
      </c>
      <c r="I167" s="618" t="str">
        <f t="shared" si="334"/>
        <v/>
      </c>
      <c r="J167" s="159"/>
      <c r="K167" s="159"/>
      <c r="L167" s="159" t="str">
        <f>IF(M167="","",IF(COUNTIF(Countries!$B$1:$H$271,M167)&gt;0,"",IF(COUNTIF(Countries!$M$1:$S$271,M167)&gt;0,"Not a country","ERROR – NOT LISTED. Add alt spelling to ''Countries'' tab")))</f>
        <v/>
      </c>
      <c r="M167" s="606" t="s">
        <v>861</v>
      </c>
      <c r="N167" s="624">
        <v>1.5208117</v>
      </c>
      <c r="O167" s="621">
        <f t="shared" si="12"/>
        <v>710.5232262</v>
      </c>
      <c r="P167" s="192">
        <v>0.74714775</v>
      </c>
      <c r="Q167" s="622">
        <v>0.12442</v>
      </c>
      <c r="R167" s="621">
        <f t="shared" si="7"/>
        <v>1086.115354</v>
      </c>
      <c r="S167" s="159"/>
      <c r="T167" s="159"/>
      <c r="U167" s="159"/>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59"/>
      <c r="AT167" s="159"/>
      <c r="AU167" s="159"/>
      <c r="AV167" s="159"/>
      <c r="AW167" s="159"/>
      <c r="AX167" s="159"/>
      <c r="AY167" s="159"/>
      <c r="AZ167" s="159"/>
      <c r="BA167" s="159"/>
      <c r="BB167" s="159"/>
      <c r="BC167" s="159"/>
      <c r="BD167" s="159"/>
      <c r="BE167" s="159"/>
      <c r="BF167" s="159"/>
      <c r="BG167" s="159"/>
      <c r="BH167" s="159"/>
      <c r="BI167" s="159"/>
      <c r="BJ167" s="159"/>
      <c r="BK167" s="159"/>
      <c r="BL167" s="159"/>
      <c r="BM167" s="159"/>
      <c r="BN167" s="159"/>
      <c r="BO167" s="159"/>
      <c r="BP167" s="159"/>
      <c r="BQ167" s="159"/>
      <c r="BR167" s="159"/>
      <c r="BS167" s="159"/>
      <c r="BT167" s="159"/>
      <c r="BU167" s="159"/>
      <c r="BV167" s="159"/>
      <c r="BW167" s="159"/>
      <c r="BX167" s="159"/>
      <c r="BY167" s="159"/>
      <c r="BZ167" s="159"/>
      <c r="CA167" s="159"/>
      <c r="CB167" s="159"/>
      <c r="CC167" s="159"/>
    </row>
    <row r="168">
      <c r="A168" s="613" t="str">
        <f>Countries!B167</f>
        <v>South Sudan</v>
      </c>
      <c r="B168" s="614" t="str">
        <f>Countries!I167</f>
        <v>Sub-Saharan Africa</v>
      </c>
      <c r="C168" s="615">
        <f>IFERROR(IFERROR(IFERROR(IFERROR(IFERROR(IFERROR(IFERROR(MATCH(Countries!$B167,$M$3:$M$1003,0),MATCH(Countries!$C167,$M$3:$M$1003,0)),MATCH(Countries!$D167,$M$3:$M$1003,0)),MATCH(Countries!$E167,$M$3:$M$1003,0)),MATCH(Countries!$F167,$M$3:$M$1003,0)),MATCH(Countries!$G167,$M$3:$M$1003,0)),MATCH(Countries!$H167,$M$3:$M$1003,0)),"X")</f>
        <v>165</v>
      </c>
      <c r="D168" s="616">
        <f t="shared" ref="D168:F168" si="335">IF(G$2="","",IF($C168="X","",INDEX($N$3:$CC$1003,$C168,MATCH(G$2,$N$2:$CC$2,0))))</f>
        <v>1086.115354</v>
      </c>
      <c r="E168" s="603" t="str">
        <f t="shared" si="335"/>
        <v/>
      </c>
      <c r="F168" s="603" t="str">
        <f t="shared" si="335"/>
        <v/>
      </c>
      <c r="G168" s="617">
        <f t="shared" si="5"/>
        <v>1086.115354</v>
      </c>
      <c r="H168" s="618" t="str">
        <f t="shared" ref="H168:I168" si="336">IF(H$2="","", IF(E168="",IF($K$16="Use global average",E$276,IF($K$16="Use regional average",INDEX(E$280:E$296,MATCH($B168,$B$280:$B$296,0)),IF($K$16="Leave blank","",IF($K$16="Fill with zeros", 0,IF($K$16="Use global median",E$277,"Fill out I16"))))), E168))</f>
        <v/>
      </c>
      <c r="I168" s="618" t="str">
        <f t="shared" si="336"/>
        <v/>
      </c>
      <c r="J168" s="159"/>
      <c r="K168" s="159"/>
      <c r="L168" s="159" t="str">
        <f>IF(M168="","",IF(COUNTIF(Countries!$B$1:$H$271,M168)&gt;0,"",IF(COUNTIF(Countries!$M$1:$S$271,M168)&gt;0,"Not a country","ERROR – NOT LISTED. Add alt spelling to ''Countries'' tab")))</f>
        <v/>
      </c>
      <c r="M168" s="606" t="s">
        <v>862</v>
      </c>
      <c r="N168" s="624">
        <v>41.36567</v>
      </c>
      <c r="O168" s="621">
        <f t="shared" si="12"/>
        <v>19326.04102</v>
      </c>
      <c r="P168" s="192">
        <v>0.51269157</v>
      </c>
      <c r="Q168" s="622">
        <v>0.1292</v>
      </c>
      <c r="R168" s="621">
        <f t="shared" si="7"/>
        <v>43288.07767</v>
      </c>
      <c r="S168" s="159"/>
      <c r="T168" s="159"/>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c r="BS168" s="159"/>
      <c r="BT168" s="159"/>
      <c r="BU168" s="159"/>
      <c r="BV168" s="159"/>
      <c r="BW168" s="159"/>
      <c r="BX168" s="159"/>
      <c r="BY168" s="159"/>
      <c r="BZ168" s="159"/>
      <c r="CA168" s="159"/>
      <c r="CB168" s="159"/>
      <c r="CC168" s="159"/>
    </row>
    <row r="169">
      <c r="A169" s="613" t="str">
        <f>Countries!B168</f>
        <v>Spain</v>
      </c>
      <c r="B169" s="614" t="str">
        <f>Countries!I168</f>
        <v>Europe</v>
      </c>
      <c r="C169" s="615">
        <f>IFERROR(IFERROR(IFERROR(IFERROR(IFERROR(IFERROR(IFERROR(MATCH(Countries!$B168,$M$3:$M$1003,0),MATCH(Countries!$C168,$M$3:$M$1003,0)),MATCH(Countries!$D168,$M$3:$M$1003,0)),MATCH(Countries!$E168,$M$3:$M$1003,0)),MATCH(Countries!$F168,$M$3:$M$1003,0)),MATCH(Countries!$G168,$M$3:$M$1003,0)),MATCH(Countries!$H168,$M$3:$M$1003,0)),"X")</f>
        <v>166</v>
      </c>
      <c r="D169" s="616">
        <f t="shared" ref="D169:F169" si="337">IF(G$2="","",IF($C169="X","",INDEX($N$3:$CC$1003,$C169,MATCH(G$2,$N$2:$CC$2,0))))</f>
        <v>43288.07767</v>
      </c>
      <c r="E169" s="603" t="str">
        <f t="shared" si="337"/>
        <v/>
      </c>
      <c r="F169" s="603" t="str">
        <f t="shared" si="337"/>
        <v/>
      </c>
      <c r="G169" s="617">
        <f t="shared" si="5"/>
        <v>43288.07767</v>
      </c>
      <c r="H169" s="618" t="str">
        <f t="shared" ref="H169:I169" si="338">IF(H$2="","", IF(E169="",IF($K$16="Use global average",E$276,IF($K$16="Use regional average",INDEX(E$280:E$296,MATCH($B169,$B$280:$B$296,0)),IF($K$16="Leave blank","",IF($K$16="Fill with zeros", 0,IF($K$16="Use global median",E$277,"Fill out I16"))))), E169))</f>
        <v/>
      </c>
      <c r="I169" s="618" t="str">
        <f t="shared" si="338"/>
        <v/>
      </c>
      <c r="J169" s="159"/>
      <c r="K169" s="159"/>
      <c r="L169" s="159" t="str">
        <f>IF(M169="","",IF(COUNTIF(Countries!$B$1:$H$271,M169)&gt;0,"",IF(COUNTIF(Countries!$M$1:$S$271,M169)&gt;0,"Not a country","ERROR – NOT LISTED. Add alt spelling to ''Countries'' tab")))</f>
        <v/>
      </c>
      <c r="M169" s="606" t="s">
        <v>863</v>
      </c>
      <c r="N169" s="624">
        <v>6.91304</v>
      </c>
      <c r="O169" s="621">
        <f t="shared" si="12"/>
        <v>3229.772288</v>
      </c>
      <c r="P169" s="192">
        <v>0.51741558</v>
      </c>
      <c r="Q169" s="622">
        <v>0.06178</v>
      </c>
      <c r="R169" s="621">
        <f t="shared" si="7"/>
        <v>6653.156137</v>
      </c>
      <c r="S169" s="159"/>
      <c r="T169" s="159"/>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c r="BS169" s="159"/>
      <c r="BT169" s="159"/>
      <c r="BU169" s="159"/>
      <c r="BV169" s="159"/>
      <c r="BW169" s="159"/>
      <c r="BX169" s="159"/>
      <c r="BY169" s="159"/>
      <c r="BZ169" s="159"/>
      <c r="CA169" s="159"/>
      <c r="CB169" s="159"/>
      <c r="CC169" s="159"/>
    </row>
    <row r="170">
      <c r="A170" s="613" t="str">
        <f>Countries!B169</f>
        <v>Sri Lanka</v>
      </c>
      <c r="B170" s="614" t="str">
        <f>Countries!I169</f>
        <v>South Asia</v>
      </c>
      <c r="C170" s="615">
        <f>IFERROR(IFERROR(IFERROR(IFERROR(IFERROR(IFERROR(IFERROR(MATCH(Countries!$B169,$M$3:$M$1003,0),MATCH(Countries!$C169,$M$3:$M$1003,0)),MATCH(Countries!$D169,$M$3:$M$1003,0)),MATCH(Countries!$E169,$M$3:$M$1003,0)),MATCH(Countries!$F169,$M$3:$M$1003,0)),MATCH(Countries!$G169,$M$3:$M$1003,0)),MATCH(Countries!$H169,$M$3:$M$1003,0)),"X")</f>
        <v>167</v>
      </c>
      <c r="D170" s="616">
        <f t="shared" ref="D170:F170" si="339">IF(G$2="","",IF($C170="X","",INDEX($N$3:$CC$1003,$C170,MATCH(G$2,$N$2:$CC$2,0))))</f>
        <v>6653.156137</v>
      </c>
      <c r="E170" s="603" t="str">
        <f t="shared" si="339"/>
        <v/>
      </c>
      <c r="F170" s="603" t="str">
        <f t="shared" si="339"/>
        <v/>
      </c>
      <c r="G170" s="617">
        <f t="shared" si="5"/>
        <v>6653.156137</v>
      </c>
      <c r="H170" s="618" t="str">
        <f t="shared" ref="H170:I170" si="340">IF(H$2="","", IF(E170="",IF($K$16="Use global average",E$276,IF($K$16="Use regional average",INDEX(E$280:E$296,MATCH($B170,$B$280:$B$296,0)),IF($K$16="Leave blank","",IF($K$16="Fill with zeros", 0,IF($K$16="Use global median",E$277,"Fill out I16"))))), E170))</f>
        <v/>
      </c>
      <c r="I170" s="618" t="str">
        <f t="shared" si="340"/>
        <v/>
      </c>
      <c r="J170" s="159"/>
      <c r="K170" s="159"/>
      <c r="L170" s="159" t="str">
        <f>IF(M170="","",IF(COUNTIF(Countries!$B$1:$H$271,M170)&gt;0,"",IF(COUNTIF(Countries!$M$1:$S$271,M170)&gt;0,"Not a country","ERROR – NOT LISTED. Add alt spelling to ''Countries'' tab")))</f>
        <v/>
      </c>
      <c r="M170" s="606" t="s">
        <v>864</v>
      </c>
      <c r="N170" s="624">
        <v>3.6616235</v>
      </c>
      <c r="O170" s="621">
        <f t="shared" si="12"/>
        <v>1710.710499</v>
      </c>
      <c r="P170" s="192">
        <v>0.78129105</v>
      </c>
      <c r="Q170" s="622">
        <v>0.17585</v>
      </c>
      <c r="R170" s="621">
        <f t="shared" si="7"/>
        <v>2656.791105</v>
      </c>
      <c r="S170" s="159"/>
      <c r="T170" s="159"/>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c r="BS170" s="159"/>
      <c r="BT170" s="159"/>
      <c r="BU170" s="159"/>
      <c r="BV170" s="159"/>
      <c r="BW170" s="159"/>
      <c r="BX170" s="159"/>
      <c r="BY170" s="159"/>
      <c r="BZ170" s="159"/>
      <c r="CA170" s="159"/>
      <c r="CB170" s="159"/>
      <c r="CC170" s="159"/>
    </row>
    <row r="171">
      <c r="A171" s="613" t="str">
        <f>Countries!B170</f>
        <v>Sudan</v>
      </c>
      <c r="B171" s="614" t="str">
        <f>Countries!I170</f>
        <v>Sub-Saharan Africa</v>
      </c>
      <c r="C171" s="615">
        <f>IFERROR(IFERROR(IFERROR(IFERROR(IFERROR(IFERROR(IFERROR(MATCH(Countries!$B170,$M$3:$M$1003,0),MATCH(Countries!$C170,$M$3:$M$1003,0)),MATCH(Countries!$D170,$M$3:$M$1003,0)),MATCH(Countries!$E170,$M$3:$M$1003,0)),MATCH(Countries!$F170,$M$3:$M$1003,0)),MATCH(Countries!$G170,$M$3:$M$1003,0)),MATCH(Countries!$H170,$M$3:$M$1003,0)),"X")</f>
        <v>168</v>
      </c>
      <c r="D171" s="616">
        <f t="shared" ref="D171:F171" si="341">IF(G$2="","",IF($C171="X","",INDEX($N$3:$CC$1003,$C171,MATCH(G$2,$N$2:$CC$2,0))))</f>
        <v>2656.791105</v>
      </c>
      <c r="E171" s="603" t="str">
        <f t="shared" si="341"/>
        <v/>
      </c>
      <c r="F171" s="603" t="str">
        <f t="shared" si="341"/>
        <v/>
      </c>
      <c r="G171" s="617">
        <f t="shared" si="5"/>
        <v>2656.791105</v>
      </c>
      <c r="H171" s="618" t="str">
        <f t="shared" ref="H171:I171" si="342">IF(H$2="","", IF(E171="",IF($K$16="Use global average",E$276,IF($K$16="Use regional average",INDEX(E$280:E$296,MATCH($B171,$B$280:$B$296,0)),IF($K$16="Leave blank","",IF($K$16="Fill with zeros", 0,IF($K$16="Use global median",E$277,"Fill out I16"))))), E171))</f>
        <v/>
      </c>
      <c r="I171" s="618" t="str">
        <f t="shared" si="342"/>
        <v/>
      </c>
      <c r="J171" s="159"/>
      <c r="K171" s="159"/>
      <c r="L171" s="159" t="str">
        <f>IF(M171="","",IF(COUNTIF(Countries!$B$1:$H$271,M171)&gt;0,"",IF(COUNTIF(Countries!$M$1:$S$271,M171)&gt;0,"Not a country","ERROR – NOT LISTED. Add alt spelling to ''Countries'' tab")))</f>
        <v/>
      </c>
      <c r="M171" s="606" t="s">
        <v>865</v>
      </c>
      <c r="N171" s="624">
        <v>13.008748</v>
      </c>
      <c r="O171" s="621">
        <f t="shared" si="12"/>
        <v>6077.687066</v>
      </c>
      <c r="P171" s="192">
        <v>0.50523956</v>
      </c>
      <c r="Q171" s="622">
        <v>0.08226000000000001</v>
      </c>
      <c r="R171" s="621">
        <f t="shared" si="7"/>
        <v>13107.54404</v>
      </c>
      <c r="S171" s="159"/>
      <c r="T171" s="159"/>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c r="BS171" s="159"/>
      <c r="BT171" s="159"/>
      <c r="BU171" s="159"/>
      <c r="BV171" s="159"/>
      <c r="BW171" s="159"/>
      <c r="BX171" s="159"/>
      <c r="BY171" s="159"/>
      <c r="BZ171" s="159"/>
      <c r="CA171" s="159"/>
      <c r="CB171" s="159"/>
      <c r="CC171" s="159"/>
    </row>
    <row r="172">
      <c r="A172" s="613" t="str">
        <f>Countries!B171</f>
        <v>Suriname</v>
      </c>
      <c r="B172" s="614" t="str">
        <f>Countries!I171</f>
        <v>Latin America</v>
      </c>
      <c r="C172" s="615">
        <f>IFERROR(IFERROR(IFERROR(IFERROR(IFERROR(IFERROR(IFERROR(MATCH(Countries!$B171,$M$3:$M$1003,0),MATCH(Countries!$C171,$M$3:$M$1003,0)),MATCH(Countries!$D171,$M$3:$M$1003,0)),MATCH(Countries!$E171,$M$3:$M$1003,0)),MATCH(Countries!$F171,$M$3:$M$1003,0)),MATCH(Countries!$G171,$M$3:$M$1003,0)),MATCH(Countries!$H171,$M$3:$M$1003,0)),"X")</f>
        <v>169</v>
      </c>
      <c r="D172" s="616">
        <f t="shared" ref="D172:F172" si="343">IF(G$2="","",IF($C172="X","",INDEX($N$3:$CC$1003,$C172,MATCH(G$2,$N$2:$CC$2,0))))</f>
        <v>13107.54404</v>
      </c>
      <c r="E172" s="603" t="str">
        <f t="shared" si="343"/>
        <v/>
      </c>
      <c r="F172" s="603" t="str">
        <f t="shared" si="343"/>
        <v/>
      </c>
      <c r="G172" s="617">
        <f t="shared" si="5"/>
        <v>13107.54404</v>
      </c>
      <c r="H172" s="618" t="str">
        <f t="shared" ref="H172:I172" si="344">IF(H$2="","", IF(E172="",IF($K$16="Use global average",E$276,IF($K$16="Use regional average",INDEX(E$280:E$296,MATCH($B172,$B$280:$B$296,0)),IF($K$16="Leave blank","",IF($K$16="Fill with zeros", 0,IF($K$16="Use global median",E$277,"Fill out I16"))))), E172))</f>
        <v/>
      </c>
      <c r="I172" s="618" t="str">
        <f t="shared" si="344"/>
        <v/>
      </c>
      <c r="J172" s="159"/>
      <c r="K172" s="159"/>
      <c r="L172" s="159" t="str">
        <f>IF(M172="","",IF(COUNTIF(Countries!$B$1:$H$271,M172)&gt;0,"",IF(COUNTIF(Countries!$M$1:$S$271,M172)&gt;0,"Not a country","ERROR – NOT LISTED. Add alt spelling to ''Countries'' tab")))</f>
        <v/>
      </c>
      <c r="M172" s="606" t="s">
        <v>866</v>
      </c>
      <c r="N172" s="624">
        <v>51.530468</v>
      </c>
      <c r="O172" s="621">
        <f t="shared" si="12"/>
        <v>24075.03465</v>
      </c>
      <c r="P172" s="192">
        <v>0.6069484700000001</v>
      </c>
      <c r="Q172" s="622">
        <v>0.0739</v>
      </c>
      <c r="R172" s="621">
        <f t="shared" si="7"/>
        <v>42830.90152</v>
      </c>
      <c r="S172" s="159"/>
      <c r="T172" s="159"/>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c r="BS172" s="159"/>
      <c r="BT172" s="159"/>
      <c r="BU172" s="159"/>
      <c r="BV172" s="159"/>
      <c r="BW172" s="159"/>
      <c r="BX172" s="159"/>
      <c r="BY172" s="159"/>
      <c r="BZ172" s="159"/>
      <c r="CA172" s="159"/>
      <c r="CB172" s="159"/>
      <c r="CC172" s="159"/>
    </row>
    <row r="173">
      <c r="A173" s="613" t="str">
        <f>Countries!B172</f>
        <v>Sweden</v>
      </c>
      <c r="B173" s="614" t="str">
        <f>Countries!I172</f>
        <v>Europe</v>
      </c>
      <c r="C173" s="615">
        <f>IFERROR(IFERROR(IFERROR(IFERROR(IFERROR(IFERROR(IFERROR(MATCH(Countries!$B172,$M$3:$M$1003,0),MATCH(Countries!$C172,$M$3:$M$1003,0)),MATCH(Countries!$D172,$M$3:$M$1003,0)),MATCH(Countries!$E172,$M$3:$M$1003,0)),MATCH(Countries!$F172,$M$3:$M$1003,0)),MATCH(Countries!$G172,$M$3:$M$1003,0)),MATCH(Countries!$H172,$M$3:$M$1003,0)),"X")</f>
        <v>170</v>
      </c>
      <c r="D173" s="616">
        <f t="shared" ref="D173:F173" si="345">IF(G$2="","",IF($C173="X","",INDEX($N$3:$CC$1003,$C173,MATCH(G$2,$N$2:$CC$2,0))))</f>
        <v>42830.90152</v>
      </c>
      <c r="E173" s="603" t="str">
        <f t="shared" si="345"/>
        <v/>
      </c>
      <c r="F173" s="603" t="str">
        <f t="shared" si="345"/>
        <v/>
      </c>
      <c r="G173" s="617">
        <f t="shared" si="5"/>
        <v>42830.90152</v>
      </c>
      <c r="H173" s="618" t="str">
        <f t="shared" ref="H173:I173" si="346">IF(H$2="","", IF(E173="",IF($K$16="Use global average",E$276,IF($K$16="Use regional average",INDEX(E$280:E$296,MATCH($B173,$B$280:$B$296,0)),IF($K$16="Leave blank","",IF($K$16="Fill with zeros", 0,IF($K$16="Use global median",E$277,"Fill out I16"))))), E173))</f>
        <v/>
      </c>
      <c r="I173" s="618" t="str">
        <f t="shared" si="346"/>
        <v/>
      </c>
      <c r="J173" s="159"/>
      <c r="K173" s="159"/>
      <c r="L173" s="159" t="str">
        <f>IF(M173="","",IF(COUNTIF(Countries!$B$1:$H$271,M173)&gt;0,"",IF(COUNTIF(Countries!$M$1:$S$271,M173)&gt;0,"Not a country","ERROR – NOT LISTED. Add alt spelling to ''Countries'' tab")))</f>
        <v/>
      </c>
      <c r="M173" s="606" t="s">
        <v>867</v>
      </c>
      <c r="N173" s="624">
        <v>65.79692</v>
      </c>
      <c r="O173" s="621">
        <f t="shared" si="12"/>
        <v>30740.32102</v>
      </c>
      <c r="P173" s="192">
        <v>0.5292356</v>
      </c>
      <c r="Q173" s="622">
        <v>0.043</v>
      </c>
      <c r="R173" s="621">
        <f t="shared" si="7"/>
        <v>60694.23064</v>
      </c>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c r="BS173" s="159"/>
      <c r="BT173" s="159"/>
      <c r="BU173" s="159"/>
      <c r="BV173" s="159"/>
      <c r="BW173" s="159"/>
      <c r="BX173" s="159"/>
      <c r="BY173" s="159"/>
      <c r="BZ173" s="159"/>
      <c r="CA173" s="159"/>
      <c r="CB173" s="159"/>
      <c r="CC173" s="159"/>
    </row>
    <row r="174">
      <c r="A174" s="613" t="str">
        <f>Countries!B173</f>
        <v>Switzerland</v>
      </c>
      <c r="B174" s="614" t="str">
        <f>Countries!I173</f>
        <v>Europe</v>
      </c>
      <c r="C174" s="615">
        <f>IFERROR(IFERROR(IFERROR(IFERROR(IFERROR(IFERROR(IFERROR(MATCH(Countries!$B173,$M$3:$M$1003,0),MATCH(Countries!$C173,$M$3:$M$1003,0)),MATCH(Countries!$D173,$M$3:$M$1003,0)),MATCH(Countries!$E173,$M$3:$M$1003,0)),MATCH(Countries!$F173,$M$3:$M$1003,0)),MATCH(Countries!$G173,$M$3:$M$1003,0)),MATCH(Countries!$H173,$M$3:$M$1003,0)),"X")</f>
        <v>171</v>
      </c>
      <c r="D174" s="616">
        <f t="shared" ref="D174:F174" si="347">IF(G$2="","",IF($C174="X","",INDEX($N$3:$CC$1003,$C174,MATCH(G$2,$N$2:$CC$2,0))))</f>
        <v>60694.23064</v>
      </c>
      <c r="E174" s="603" t="str">
        <f t="shared" si="347"/>
        <v/>
      </c>
      <c r="F174" s="603" t="str">
        <f t="shared" si="347"/>
        <v/>
      </c>
      <c r="G174" s="617">
        <f t="shared" si="5"/>
        <v>60694.23064</v>
      </c>
      <c r="H174" s="618" t="str">
        <f t="shared" ref="H174:I174" si="348">IF(H$2="","", IF(E174="",IF($K$16="Use global average",E$276,IF($K$16="Use regional average",INDEX(E$280:E$296,MATCH($B174,$B$280:$B$296,0)),IF($K$16="Leave blank","",IF($K$16="Fill with zeros", 0,IF($K$16="Use global median",E$277,"Fill out I16"))))), E174))</f>
        <v/>
      </c>
      <c r="I174" s="618" t="str">
        <f t="shared" si="348"/>
        <v/>
      </c>
      <c r="J174" s="159"/>
      <c r="K174" s="159"/>
      <c r="L174" s="159" t="str">
        <f>IF(M174="","",IF(COUNTIF(Countries!$B$1:$H$271,M174)&gt;0,"",IF(COUNTIF(Countries!$M$1:$S$271,M174)&gt;0,"Not a country","ERROR – NOT LISTED. Add alt spelling to ''Countries'' tab")))</f>
        <v/>
      </c>
      <c r="M174" s="606" t="s">
        <v>868</v>
      </c>
      <c r="N174" s="624">
        <v>2.959133</v>
      </c>
      <c r="O174" s="621">
        <f t="shared" si="12"/>
        <v>1382.506938</v>
      </c>
      <c r="P174" s="192">
        <v>0.5389875399999999</v>
      </c>
      <c r="Q174" s="622">
        <v>0.13809</v>
      </c>
      <c r="R174" s="621">
        <f t="shared" si="7"/>
        <v>2975.957155</v>
      </c>
      <c r="S174" s="159"/>
      <c r="T174" s="159"/>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row>
    <row r="175">
      <c r="A175" s="613" t="str">
        <f>Countries!B174</f>
        <v>Syria</v>
      </c>
      <c r="B175" s="614" t="str">
        <f>Countries!I174</f>
        <v>West Asia</v>
      </c>
      <c r="C175" s="615">
        <f>IFERROR(IFERROR(IFERROR(IFERROR(IFERROR(IFERROR(IFERROR(MATCH(Countries!$B174,$M$3:$M$1003,0),MATCH(Countries!$C174,$M$3:$M$1003,0)),MATCH(Countries!$D174,$M$3:$M$1003,0)),MATCH(Countries!$E174,$M$3:$M$1003,0)),MATCH(Countries!$F174,$M$3:$M$1003,0)),MATCH(Countries!$G174,$M$3:$M$1003,0)),MATCH(Countries!$H174,$M$3:$M$1003,0)),"X")</f>
        <v>172</v>
      </c>
      <c r="D175" s="616">
        <f t="shared" ref="D175:F175" si="349">IF(G$2="","",IF($C175="X","",INDEX($N$3:$CC$1003,$C175,MATCH(G$2,$N$2:$CC$2,0))))</f>
        <v>2975.957155</v>
      </c>
      <c r="E175" s="603" t="str">
        <f t="shared" si="349"/>
        <v/>
      </c>
      <c r="F175" s="603" t="str">
        <f t="shared" si="349"/>
        <v/>
      </c>
      <c r="G175" s="617">
        <f t="shared" si="5"/>
        <v>2975.957155</v>
      </c>
      <c r="H175" s="618" t="str">
        <f t="shared" ref="H175:I175" si="350">IF(H$2="","", IF(E175="",IF($K$16="Use global average",E$276,IF($K$16="Use regional average",INDEX(E$280:E$296,MATCH($B175,$B$280:$B$296,0)),IF($K$16="Leave blank","",IF($K$16="Fill with zeros", 0,IF($K$16="Use global median",E$277,"Fill out I16"))))), E175))</f>
        <v/>
      </c>
      <c r="I175" s="618" t="str">
        <f t="shared" si="350"/>
        <v/>
      </c>
      <c r="J175" s="159"/>
      <c r="K175" s="159"/>
      <c r="L175" s="159" t="str">
        <f>IF(M175="","",IF(COUNTIF(Countries!$B$1:$H$271,M175)&gt;0,"",IF(COUNTIF(Countries!$M$1:$S$271,M175)&gt;0,"Not a country","ERROR – NOT LISTED. Add alt spelling to ''Countries'' tab")))</f>
        <v/>
      </c>
      <c r="M175" s="606" t="s">
        <v>869</v>
      </c>
      <c r="N175" s="624">
        <v>42.18017</v>
      </c>
      <c r="O175" s="621">
        <f t="shared" si="12"/>
        <v>19706.57542</v>
      </c>
      <c r="P175" s="192">
        <v>0.43378227</v>
      </c>
      <c r="Q175" s="631" t="e">
        <v>#VALUE!</v>
      </c>
      <c r="R175" s="625" t="str">
        <f t="shared" si="7"/>
        <v/>
      </c>
      <c r="S175" s="159"/>
      <c r="T175" s="159"/>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c r="BS175" s="159"/>
      <c r="BT175" s="159"/>
      <c r="BU175" s="159"/>
      <c r="BV175" s="159"/>
      <c r="BW175" s="159"/>
      <c r="BX175" s="159"/>
      <c r="BY175" s="159"/>
      <c r="BZ175" s="159"/>
      <c r="CA175" s="159"/>
      <c r="CB175" s="159"/>
      <c r="CC175" s="159"/>
    </row>
    <row r="176">
      <c r="A176" s="613" t="str">
        <f>Countries!B175</f>
        <v>Taiwan</v>
      </c>
      <c r="B176" s="614" t="str">
        <f>Countries!I175</f>
        <v>East Asia</v>
      </c>
      <c r="C176" s="615">
        <f>IFERROR(IFERROR(IFERROR(IFERROR(IFERROR(IFERROR(IFERROR(MATCH(Countries!$B175,$M$3:$M$1003,0),MATCH(Countries!$C175,$M$3:$M$1003,0)),MATCH(Countries!$D175,$M$3:$M$1003,0)),MATCH(Countries!$E175,$M$3:$M$1003,0)),MATCH(Countries!$F175,$M$3:$M$1003,0)),MATCH(Countries!$G175,$M$3:$M$1003,0)),MATCH(Countries!$H175,$M$3:$M$1003,0)),"X")</f>
        <v>173</v>
      </c>
      <c r="D176" s="627" t="str">
        <f t="shared" ref="D176:F176" si="351">IF(G$2="","",IF($C176="X","",INDEX($N$3:$CC$1003,$C176,MATCH(G$2,$N$2:$CC$2,0))))</f>
        <v/>
      </c>
      <c r="E176" s="603" t="str">
        <f t="shared" si="351"/>
        <v/>
      </c>
      <c r="F176" s="603" t="str">
        <f t="shared" si="351"/>
        <v/>
      </c>
      <c r="G176" s="628">
        <f t="shared" si="5"/>
        <v>23032.43722</v>
      </c>
      <c r="H176" s="618" t="str">
        <f t="shared" ref="H176:I176" si="352">IF(H$2="","", IF(E176="",IF($K$16="Use global average",E$276,IF($K$16="Use regional average",INDEX(E$280:E$296,MATCH($B176,$B$280:$B$296,0)),IF($K$16="Leave blank","",IF($K$16="Fill with zeros", 0,IF($K$16="Use global median",E$277,"Fill out I16"))))), E176))</f>
        <v/>
      </c>
      <c r="I176" s="618" t="str">
        <f t="shared" si="352"/>
        <v/>
      </c>
      <c r="J176" s="159"/>
      <c r="K176" s="159"/>
      <c r="L176" s="159" t="str">
        <f>IF(M176="","",IF(COUNTIF(Countries!$B$1:$H$271,M176)&gt;0,"",IF(COUNTIF(Countries!$M$1:$S$271,M176)&gt;0,"Not a country","ERROR – NOT LISTED. Add alt spelling to ''Countries'' tab")))</f>
        <v/>
      </c>
      <c r="M176" s="606" t="s">
        <v>870</v>
      </c>
      <c r="N176" s="624">
        <v>5.334834</v>
      </c>
      <c r="O176" s="621">
        <f t="shared" si="12"/>
        <v>2492.434445</v>
      </c>
      <c r="P176" s="192">
        <v>0.6710169</v>
      </c>
      <c r="Q176" s="622">
        <v>0.07001</v>
      </c>
      <c r="R176" s="621">
        <f t="shared" si="7"/>
        <v>3994.036298</v>
      </c>
      <c r="S176" s="159"/>
      <c r="T176" s="159"/>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row>
    <row r="177">
      <c r="A177" s="613" t="str">
        <f>Countries!B176</f>
        <v>Tajikistan</v>
      </c>
      <c r="B177" s="614" t="str">
        <f>Countries!I176</f>
        <v>Central Asia</v>
      </c>
      <c r="C177" s="615">
        <f>IFERROR(IFERROR(IFERROR(IFERROR(IFERROR(IFERROR(IFERROR(MATCH(Countries!$B176,$M$3:$M$1003,0),MATCH(Countries!$C176,$M$3:$M$1003,0)),MATCH(Countries!$D176,$M$3:$M$1003,0)),MATCH(Countries!$E176,$M$3:$M$1003,0)),MATCH(Countries!$F176,$M$3:$M$1003,0)),MATCH(Countries!$G176,$M$3:$M$1003,0)),MATCH(Countries!$H176,$M$3:$M$1003,0)),"X")</f>
        <v>174</v>
      </c>
      <c r="D177" s="616">
        <f t="shared" ref="D177:F177" si="353">IF(G$2="","",IF($C177="X","",INDEX($N$3:$CC$1003,$C177,MATCH(G$2,$N$2:$CC$2,0))))</f>
        <v>3994.036298</v>
      </c>
      <c r="E177" s="603" t="str">
        <f t="shared" si="353"/>
        <v/>
      </c>
      <c r="F177" s="603" t="str">
        <f t="shared" si="353"/>
        <v/>
      </c>
      <c r="G177" s="617">
        <f t="shared" si="5"/>
        <v>3994.036298</v>
      </c>
      <c r="H177" s="618" t="str">
        <f t="shared" ref="H177:I177" si="354">IF(H$2="","", IF(E177="",IF($K$16="Use global average",E$276,IF($K$16="Use regional average",INDEX(E$280:E$296,MATCH($B177,$B$280:$B$296,0)),IF($K$16="Leave blank","",IF($K$16="Fill with zeros", 0,IF($K$16="Use global median",E$277,"Fill out I16"))))), E177))</f>
        <v/>
      </c>
      <c r="I177" s="618" t="str">
        <f t="shared" si="354"/>
        <v/>
      </c>
      <c r="J177" s="159"/>
      <c r="K177" s="159"/>
      <c r="L177" s="159" t="str">
        <f>IF(M177="","",IF(COUNTIF(Countries!$B$1:$H$271,M177)&gt;0,"",IF(COUNTIF(Countries!$M$1:$S$271,M177)&gt;0,"Not a country","ERROR – NOT LISTED. Add alt spelling to ''Countries'' tab")))</f>
        <v/>
      </c>
      <c r="M177" s="606" t="s">
        <v>871</v>
      </c>
      <c r="N177" s="624">
        <v>2.3307555</v>
      </c>
      <c r="O177" s="621">
        <f t="shared" si="12"/>
        <v>1088.92897</v>
      </c>
      <c r="P177" s="192">
        <v>0.8438747</v>
      </c>
      <c r="Q177" s="622">
        <v>0.02603</v>
      </c>
      <c r="R177" s="621">
        <f t="shared" si="7"/>
        <v>1324.878356</v>
      </c>
      <c r="S177" s="159"/>
      <c r="T177" s="159"/>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c r="BS177" s="159"/>
      <c r="BT177" s="159"/>
      <c r="BU177" s="159"/>
      <c r="BV177" s="159"/>
      <c r="BW177" s="159"/>
      <c r="BX177" s="159"/>
      <c r="BY177" s="159"/>
      <c r="BZ177" s="159"/>
      <c r="CA177" s="159"/>
      <c r="CB177" s="159"/>
      <c r="CC177" s="159"/>
    </row>
    <row r="178">
      <c r="A178" s="613" t="str">
        <f>Countries!B177</f>
        <v>Tanzania</v>
      </c>
      <c r="B178" s="614" t="str">
        <f>Countries!I177</f>
        <v>Sub-Saharan Africa</v>
      </c>
      <c r="C178" s="615">
        <f>IFERROR(IFERROR(IFERROR(IFERROR(IFERROR(IFERROR(IFERROR(MATCH(Countries!$B177,$M$3:$M$1003,0),MATCH(Countries!$C177,$M$3:$M$1003,0)),MATCH(Countries!$D177,$M$3:$M$1003,0)),MATCH(Countries!$E177,$M$3:$M$1003,0)),MATCH(Countries!$F177,$M$3:$M$1003,0)),MATCH(Countries!$G177,$M$3:$M$1003,0)),MATCH(Countries!$H177,$M$3:$M$1003,0)),"X")</f>
        <v>175</v>
      </c>
      <c r="D178" s="616">
        <f t="shared" ref="D178:F178" si="355">IF(G$2="","",IF($C178="X","",INDEX($N$3:$CC$1003,$C178,MATCH(G$2,$N$2:$CC$2,0))))</f>
        <v>1324.878356</v>
      </c>
      <c r="E178" s="603" t="str">
        <f t="shared" si="355"/>
        <v/>
      </c>
      <c r="F178" s="603" t="str">
        <f t="shared" si="355"/>
        <v/>
      </c>
      <c r="G178" s="617">
        <f t="shared" si="5"/>
        <v>1324.878356</v>
      </c>
      <c r="H178" s="618" t="str">
        <f t="shared" ref="H178:I178" si="356">IF(H$2="","", IF(E178="",IF($K$16="Use global average",E$276,IF($K$16="Use regional average",INDEX(E$280:E$296,MATCH($B178,$B$280:$B$296,0)),IF($K$16="Leave blank","",IF($K$16="Fill with zeros", 0,IF($K$16="Use global median",E$277,"Fill out I16"))))), E178))</f>
        <v/>
      </c>
      <c r="I178" s="618" t="str">
        <f t="shared" si="356"/>
        <v/>
      </c>
      <c r="J178" s="159"/>
      <c r="K178" s="159"/>
      <c r="L178" s="159" t="str">
        <f>IF(M178="","",IF(COUNTIF(Countries!$B$1:$H$271,M178)&gt;0,"",IF(COUNTIF(Countries!$M$1:$S$271,M178)&gt;0,"Not a country","ERROR – NOT LISTED. Add alt spelling to ''Countries'' tab")))</f>
        <v/>
      </c>
      <c r="M178" s="606" t="s">
        <v>79</v>
      </c>
      <c r="N178" s="624">
        <v>12.927706</v>
      </c>
      <c r="O178" s="621">
        <f t="shared" si="12"/>
        <v>6039.824243</v>
      </c>
      <c r="P178" s="192">
        <v>0.42441383</v>
      </c>
      <c r="Q178" s="622">
        <v>0.009399999999999999</v>
      </c>
      <c r="R178" s="621">
        <f t="shared" si="7"/>
        <v>14366.01944</v>
      </c>
      <c r="S178" s="159"/>
      <c r="T178" s="159"/>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row>
    <row r="179">
      <c r="A179" s="613" t="str">
        <f>Countries!B178</f>
        <v>Thailand</v>
      </c>
      <c r="B179" s="614" t="str">
        <f>Countries!I178</f>
        <v>Southeast Asia</v>
      </c>
      <c r="C179" s="615">
        <f>IFERROR(IFERROR(IFERROR(IFERROR(IFERROR(IFERROR(IFERROR(MATCH(Countries!$B178,$M$3:$M$1003,0),MATCH(Countries!$C178,$M$3:$M$1003,0)),MATCH(Countries!$D178,$M$3:$M$1003,0)),MATCH(Countries!$E178,$M$3:$M$1003,0)),MATCH(Countries!$F178,$M$3:$M$1003,0)),MATCH(Countries!$G178,$M$3:$M$1003,0)),MATCH(Countries!$H178,$M$3:$M$1003,0)),"X")</f>
        <v>176</v>
      </c>
      <c r="D179" s="616">
        <f t="shared" ref="D179:F179" si="357">IF(G$2="","",IF($C179="X","",INDEX($N$3:$CC$1003,$C179,MATCH(G$2,$N$2:$CC$2,0))))</f>
        <v>14366.01944</v>
      </c>
      <c r="E179" s="603" t="str">
        <f t="shared" si="357"/>
        <v/>
      </c>
      <c r="F179" s="603" t="str">
        <f t="shared" si="357"/>
        <v/>
      </c>
      <c r="G179" s="617">
        <f t="shared" si="5"/>
        <v>14366.01944</v>
      </c>
      <c r="H179" s="618" t="str">
        <f t="shared" ref="H179:I179" si="358">IF(H$2="","", IF(E179="",IF($K$16="Use global average",E$276,IF($K$16="Use regional average",INDEX(E$280:E$296,MATCH($B179,$B$280:$B$296,0)),IF($K$16="Leave blank","",IF($K$16="Fill with zeros", 0,IF($K$16="Use global median",E$277,"Fill out I16"))))), E179))</f>
        <v/>
      </c>
      <c r="I179" s="618" t="str">
        <f t="shared" si="358"/>
        <v/>
      </c>
      <c r="J179" s="159"/>
      <c r="K179" s="159"/>
      <c r="L179" s="159" t="str">
        <f>IF(M179="","",IF(COUNTIF(Countries!$B$1:$H$271,M179)&gt;0,"",IF(COUNTIF(Countries!$M$1:$S$271,M179)&gt;0,"Not a country","ERROR – NOT LISTED. Add alt spelling to ''Countries'' tab")))</f>
        <v/>
      </c>
      <c r="M179" s="606" t="s">
        <v>872</v>
      </c>
      <c r="N179" s="624">
        <v>3.2011387</v>
      </c>
      <c r="O179" s="621">
        <f t="shared" si="12"/>
        <v>1495.572001</v>
      </c>
      <c r="P179" s="192">
        <v>0.7558125</v>
      </c>
      <c r="Q179" s="622">
        <v>0.03846</v>
      </c>
      <c r="R179" s="621">
        <f t="shared" si="7"/>
        <v>2057.907738</v>
      </c>
      <c r="S179" s="159"/>
      <c r="T179" s="159"/>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c r="BS179" s="159"/>
      <c r="BT179" s="159"/>
      <c r="BU179" s="159"/>
      <c r="BV179" s="159"/>
      <c r="BW179" s="159"/>
      <c r="BX179" s="159"/>
      <c r="BY179" s="159"/>
      <c r="BZ179" s="159"/>
      <c r="CA179" s="159"/>
      <c r="CB179" s="159"/>
      <c r="CC179" s="159"/>
    </row>
    <row r="180">
      <c r="A180" s="613" t="str">
        <f>Countries!B179</f>
        <v>Timor-Leste</v>
      </c>
      <c r="B180" s="614" t="str">
        <f>Countries!I179</f>
        <v>Southeast Asia</v>
      </c>
      <c r="C180" s="615">
        <f>IFERROR(IFERROR(IFERROR(IFERROR(IFERROR(IFERROR(IFERROR(MATCH(Countries!$B179,$M$3:$M$1003,0),MATCH(Countries!$C179,$M$3:$M$1003,0)),MATCH(Countries!$D179,$M$3:$M$1003,0)),MATCH(Countries!$E179,$M$3:$M$1003,0)),MATCH(Countries!$F179,$M$3:$M$1003,0)),MATCH(Countries!$G179,$M$3:$M$1003,0)),MATCH(Countries!$H179,$M$3:$M$1003,0)),"X")</f>
        <v>55</v>
      </c>
      <c r="D180" s="616">
        <f t="shared" ref="D180:F180" si="359">IF(G$2="","",IF($C180="X","",INDEX($N$3:$CC$1003,$C180,MATCH(G$2,$N$2:$CC$2,0))))</f>
        <v>2105.050543</v>
      </c>
      <c r="E180" s="603" t="str">
        <f t="shared" si="359"/>
        <v/>
      </c>
      <c r="F180" s="603" t="str">
        <f t="shared" si="359"/>
        <v/>
      </c>
      <c r="G180" s="617">
        <f t="shared" si="5"/>
        <v>2105.050543</v>
      </c>
      <c r="H180" s="618" t="str">
        <f t="shared" ref="H180:I180" si="360">IF(H$2="","", IF(E180="",IF($K$16="Use global average",E$276,IF($K$16="Use regional average",INDEX(E$280:E$296,MATCH($B180,$B$280:$B$296,0)),IF($K$16="Leave blank","",IF($K$16="Fill with zeros", 0,IF($K$16="Use global median",E$277,"Fill out I16"))))), E180))</f>
        <v/>
      </c>
      <c r="I180" s="618" t="str">
        <f t="shared" si="360"/>
        <v/>
      </c>
      <c r="J180" s="159"/>
      <c r="K180" s="159"/>
      <c r="L180" s="159" t="str">
        <f>IF(M180="","",IF(COUNTIF(Countries!$B$1:$H$271,M180)&gt;0,"",IF(COUNTIF(Countries!$M$1:$S$271,M180)&gt;0,"Not a country","ERROR – NOT LISTED. Add alt spelling to ''Countries'' tab")))</f>
        <v/>
      </c>
      <c r="M180" s="606" t="s">
        <v>873</v>
      </c>
      <c r="N180" s="624">
        <v>9.959987</v>
      </c>
      <c r="O180" s="621">
        <f t="shared" si="12"/>
        <v>4653.305926</v>
      </c>
      <c r="P180" s="192">
        <v>0.7308405</v>
      </c>
      <c r="Q180" s="622">
        <v>0.02429</v>
      </c>
      <c r="R180" s="621">
        <f t="shared" si="7"/>
        <v>6525.566857</v>
      </c>
      <c r="S180" s="159"/>
      <c r="T180" s="159"/>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row>
    <row r="181">
      <c r="A181" s="613" t="str">
        <f>Countries!B180</f>
        <v>Togo</v>
      </c>
      <c r="B181" s="614" t="str">
        <f>Countries!I180</f>
        <v>Sub-Saharan Africa</v>
      </c>
      <c r="C181" s="615">
        <f>IFERROR(IFERROR(IFERROR(IFERROR(IFERROR(IFERROR(IFERROR(MATCH(Countries!$B180,$M$3:$M$1003,0),MATCH(Countries!$C180,$M$3:$M$1003,0)),MATCH(Countries!$D180,$M$3:$M$1003,0)),MATCH(Countries!$E180,$M$3:$M$1003,0)),MATCH(Countries!$F180,$M$3:$M$1003,0)),MATCH(Countries!$G180,$M$3:$M$1003,0)),MATCH(Countries!$H180,$M$3:$M$1003,0)),"X")</f>
        <v>177</v>
      </c>
      <c r="D181" s="616">
        <f t="shared" ref="D181:F181" si="361">IF(G$2="","",IF($C181="X","",INDEX($N$3:$CC$1003,$C181,MATCH(G$2,$N$2:$CC$2,0))))</f>
        <v>2057.907738</v>
      </c>
      <c r="E181" s="603" t="str">
        <f t="shared" si="361"/>
        <v/>
      </c>
      <c r="F181" s="603" t="str">
        <f t="shared" si="361"/>
        <v/>
      </c>
      <c r="G181" s="617">
        <f t="shared" si="5"/>
        <v>2057.907738</v>
      </c>
      <c r="H181" s="618" t="str">
        <f t="shared" ref="H181:I181" si="362">IF(H$2="","", IF(E181="",IF($K$16="Use global average",E$276,IF($K$16="Use regional average",INDEX(E$280:E$296,MATCH($B181,$B$280:$B$296,0)),IF($K$16="Leave blank","",IF($K$16="Fill with zeros", 0,IF($K$16="Use global median",E$277,"Fill out I16"))))), E181))</f>
        <v/>
      </c>
      <c r="I181" s="618" t="str">
        <f t="shared" si="362"/>
        <v/>
      </c>
      <c r="J181" s="159"/>
      <c r="K181" s="159"/>
      <c r="L181" s="159" t="str">
        <f>IF(M181="","",IF(COUNTIF(Countries!$B$1:$H$271,M181)&gt;0,"",IF(COUNTIF(Countries!$M$1:$S$271,M181)&gt;0,"Not a country","ERROR – NOT LISTED. Add alt spelling to ''Countries'' tab")))</f>
        <v/>
      </c>
      <c r="M181" s="606" t="s">
        <v>874</v>
      </c>
      <c r="N181" s="624">
        <v>10.174442</v>
      </c>
      <c r="O181" s="621">
        <f t="shared" si="12"/>
        <v>4753.499302</v>
      </c>
      <c r="P181" s="192">
        <v>0.4261318</v>
      </c>
      <c r="Q181" s="622">
        <v>0.03812</v>
      </c>
      <c r="R181" s="621">
        <f t="shared" si="7"/>
        <v>11597.07846</v>
      </c>
      <c r="S181" s="159"/>
      <c r="T181" s="159"/>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c r="BS181" s="159"/>
      <c r="BT181" s="159"/>
      <c r="BU181" s="159"/>
      <c r="BV181" s="159"/>
      <c r="BW181" s="159"/>
      <c r="BX181" s="159"/>
      <c r="BY181" s="159"/>
      <c r="BZ181" s="159"/>
      <c r="CA181" s="159"/>
      <c r="CB181" s="159"/>
      <c r="CC181" s="159"/>
    </row>
    <row r="182">
      <c r="A182" s="613" t="str">
        <f>Countries!B181</f>
        <v>Tonga</v>
      </c>
      <c r="B182" s="614" t="str">
        <f>Countries!I181</f>
        <v>Oceania</v>
      </c>
      <c r="C182" s="615">
        <f>IFERROR(IFERROR(IFERROR(IFERROR(IFERROR(IFERROR(IFERROR(MATCH(Countries!$B181,$M$3:$M$1003,0),MATCH(Countries!$C181,$M$3:$M$1003,0)),MATCH(Countries!$D181,$M$3:$M$1003,0)),MATCH(Countries!$E181,$M$3:$M$1003,0)),MATCH(Countries!$F181,$M$3:$M$1003,0)),MATCH(Countries!$G181,$M$3:$M$1003,0)),MATCH(Countries!$H181,$M$3:$M$1003,0)),"X")</f>
        <v>178</v>
      </c>
      <c r="D182" s="616">
        <f t="shared" ref="D182:F182" si="363">IF(G$2="","",IF($C182="X","",INDEX($N$3:$CC$1003,$C182,MATCH(G$2,$N$2:$CC$2,0))))</f>
        <v>6525.566857</v>
      </c>
      <c r="E182" s="603" t="str">
        <f t="shared" si="363"/>
        <v/>
      </c>
      <c r="F182" s="603" t="str">
        <f t="shared" si="363"/>
        <v/>
      </c>
      <c r="G182" s="617">
        <f t="shared" si="5"/>
        <v>6525.566857</v>
      </c>
      <c r="H182" s="618" t="str">
        <f t="shared" ref="H182:I182" si="364">IF(H$2="","", IF(E182="",IF($K$16="Use global average",E$276,IF($K$16="Use regional average",INDEX(E$280:E$296,MATCH($B182,$B$280:$B$296,0)),IF($K$16="Leave blank","",IF($K$16="Fill with zeros", 0,IF($K$16="Use global median",E$277,"Fill out I16"))))), E182))</f>
        <v/>
      </c>
      <c r="I182" s="618" t="str">
        <f t="shared" si="364"/>
        <v/>
      </c>
      <c r="J182" s="159"/>
      <c r="K182" s="159"/>
      <c r="L182" s="159" t="str">
        <f>IF(M182="","",IF(COUNTIF(Countries!$B$1:$H$271,M182)&gt;0,"",IF(COUNTIF(Countries!$M$1:$S$271,M182)&gt;0,"Not a country","ERROR – NOT LISTED. Add alt spelling to ''Countries'' tab")))</f>
        <v/>
      </c>
      <c r="M182" s="606" t="s">
        <v>875</v>
      </c>
      <c r="N182" s="624">
        <v>11.934058</v>
      </c>
      <c r="O182" s="621">
        <f t="shared" si="12"/>
        <v>5575.591898</v>
      </c>
      <c r="P182" s="192">
        <v>0.5060351</v>
      </c>
      <c r="Q182" s="622">
        <v>0.17759</v>
      </c>
      <c r="R182" s="621">
        <f t="shared" si="7"/>
        <v>13397.44411</v>
      </c>
      <c r="S182" s="159"/>
      <c r="T182" s="159"/>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c r="BS182" s="159"/>
      <c r="BT182" s="159"/>
      <c r="BU182" s="159"/>
      <c r="BV182" s="159"/>
      <c r="BW182" s="159"/>
      <c r="BX182" s="159"/>
      <c r="BY182" s="159"/>
      <c r="BZ182" s="159"/>
      <c r="CA182" s="159"/>
      <c r="CB182" s="159"/>
      <c r="CC182" s="159"/>
    </row>
    <row r="183">
      <c r="A183" s="613" t="str">
        <f>Countries!B182</f>
        <v>Trinidad and Tobago</v>
      </c>
      <c r="B183" s="614" t="str">
        <f>Countries!I182</f>
        <v>Caribbean</v>
      </c>
      <c r="C183" s="615">
        <f>IFERROR(IFERROR(IFERROR(IFERROR(IFERROR(IFERROR(IFERROR(MATCH(Countries!$B182,$M$3:$M$1003,0),MATCH(Countries!$C182,$M$3:$M$1003,0)),MATCH(Countries!$D182,$M$3:$M$1003,0)),MATCH(Countries!$E182,$M$3:$M$1003,0)),MATCH(Countries!$F182,$M$3:$M$1003,0)),MATCH(Countries!$G182,$M$3:$M$1003,0)),MATCH(Countries!$H182,$M$3:$M$1003,0)),"X")</f>
        <v>179</v>
      </c>
      <c r="D183" s="616">
        <f t="shared" ref="D183:F183" si="365">IF(G$2="","",IF($C183="X","",INDEX($N$3:$CC$1003,$C183,MATCH(G$2,$N$2:$CC$2,0))))</f>
        <v>11597.07846</v>
      </c>
      <c r="E183" s="603" t="str">
        <f t="shared" si="365"/>
        <v/>
      </c>
      <c r="F183" s="603" t="str">
        <f t="shared" si="365"/>
        <v/>
      </c>
      <c r="G183" s="617">
        <f t="shared" si="5"/>
        <v>11597.07846</v>
      </c>
      <c r="H183" s="618" t="str">
        <f t="shared" ref="H183:I183" si="366">IF(H$2="","", IF(E183="",IF($K$16="Use global average",E$276,IF($K$16="Use regional average",INDEX(E$280:E$296,MATCH($B183,$B$280:$B$296,0)),IF($K$16="Leave blank","",IF($K$16="Fill with zeros", 0,IF($K$16="Use global median",E$277,"Fill out I16"))))), E183))</f>
        <v/>
      </c>
      <c r="I183" s="618" t="str">
        <f t="shared" si="366"/>
        <v/>
      </c>
      <c r="J183" s="159"/>
      <c r="K183" s="159"/>
      <c r="L183" s="159" t="str">
        <f>IF(M183="","",IF(COUNTIF(Countries!$B$1:$H$271,M183)&gt;0,"",IF(COUNTIF(Countries!$M$1:$S$271,M183)&gt;0,"Not a country","ERROR – NOT LISTED. Add alt spelling to ''Countries'' tab")))</f>
        <v/>
      </c>
      <c r="M183" s="606" t="s">
        <v>876</v>
      </c>
      <c r="N183" s="624">
        <v>19.567127</v>
      </c>
      <c r="O183" s="621">
        <f t="shared" si="12"/>
        <v>9141.761734</v>
      </c>
      <c r="P183" s="192">
        <v>0.46711246</v>
      </c>
      <c r="Q183" s="622">
        <v>0.1043</v>
      </c>
      <c r="R183" s="621">
        <f t="shared" si="7"/>
        <v>21849.71978</v>
      </c>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c r="BS183" s="159"/>
      <c r="BT183" s="159"/>
      <c r="BU183" s="159"/>
      <c r="BV183" s="159"/>
      <c r="BW183" s="159"/>
      <c r="BX183" s="159"/>
      <c r="BY183" s="159"/>
      <c r="BZ183" s="159"/>
      <c r="CA183" s="159"/>
      <c r="CB183" s="159"/>
      <c r="CC183" s="159"/>
    </row>
    <row r="184">
      <c r="A184" s="613" t="str">
        <f>Countries!B183</f>
        <v>Tunisia</v>
      </c>
      <c r="B184" s="614" t="str">
        <f>Countries!I183</f>
        <v>North Africa</v>
      </c>
      <c r="C184" s="615">
        <f>IFERROR(IFERROR(IFERROR(IFERROR(IFERROR(IFERROR(IFERROR(MATCH(Countries!$B183,$M$3:$M$1003,0),MATCH(Countries!$C183,$M$3:$M$1003,0)),MATCH(Countries!$D183,$M$3:$M$1003,0)),MATCH(Countries!$E183,$M$3:$M$1003,0)),MATCH(Countries!$F183,$M$3:$M$1003,0)),MATCH(Countries!$G183,$M$3:$M$1003,0)),MATCH(Countries!$H183,$M$3:$M$1003,0)),"X")</f>
        <v>180</v>
      </c>
      <c r="D184" s="616">
        <f t="shared" ref="D184:F184" si="367">IF(G$2="","",IF($C184="X","",INDEX($N$3:$CC$1003,$C184,MATCH(G$2,$N$2:$CC$2,0))))</f>
        <v>13397.44411</v>
      </c>
      <c r="E184" s="603" t="str">
        <f t="shared" si="367"/>
        <v/>
      </c>
      <c r="F184" s="603" t="str">
        <f t="shared" si="367"/>
        <v/>
      </c>
      <c r="G184" s="617">
        <f t="shared" si="5"/>
        <v>13397.44411</v>
      </c>
      <c r="H184" s="618" t="str">
        <f t="shared" ref="H184:I184" si="368">IF(H$2="","", IF(E184="",IF($K$16="Use global average",E$276,IF($K$16="Use regional average",INDEX(E$280:E$296,MATCH($B184,$B$280:$B$296,0)),IF($K$16="Leave blank","",IF($K$16="Fill with zeros", 0,IF($K$16="Use global median",E$277,"Fill out I16"))))), E184))</f>
        <v/>
      </c>
      <c r="I184" s="618" t="str">
        <f t="shared" si="368"/>
        <v/>
      </c>
      <c r="J184" s="159"/>
      <c r="K184" s="159"/>
      <c r="L184" s="159" t="str">
        <f>IF(M184="","",IF(COUNTIF(Countries!$B$1:$H$271,M184)&gt;0,"",IF(COUNTIF(Countries!$M$1:$S$271,M184)&gt;0,"Not a country","ERROR – NOT LISTED. Add alt spelling to ''Countries'' tab")))</f>
        <v/>
      </c>
      <c r="M184" s="606" t="s">
        <v>877</v>
      </c>
      <c r="N184" s="624">
        <v>2.3988008</v>
      </c>
      <c r="O184" s="621">
        <f t="shared" si="12"/>
        <v>1120.719734</v>
      </c>
      <c r="P184" s="192">
        <v>0.56110096</v>
      </c>
      <c r="Q184" s="622">
        <v>0.041260000000000005</v>
      </c>
      <c r="R184" s="621">
        <f t="shared" si="7"/>
        <v>2083.316053</v>
      </c>
      <c r="S184" s="159"/>
      <c r="T184" s="159"/>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c r="BS184" s="159"/>
      <c r="BT184" s="159"/>
      <c r="BU184" s="159"/>
      <c r="BV184" s="159"/>
      <c r="BW184" s="159"/>
      <c r="BX184" s="159"/>
      <c r="BY184" s="159"/>
      <c r="BZ184" s="159"/>
      <c r="CA184" s="159"/>
      <c r="CB184" s="159"/>
      <c r="CC184" s="159"/>
    </row>
    <row r="185">
      <c r="A185" s="613" t="str">
        <f>Countries!B184</f>
        <v>Turkey</v>
      </c>
      <c r="B185" s="614" t="str">
        <f>Countries!I184</f>
        <v>West Asia</v>
      </c>
      <c r="C185" s="615">
        <f>IFERROR(IFERROR(IFERROR(IFERROR(IFERROR(IFERROR(IFERROR(MATCH(Countries!$B184,$M$3:$M$1003,0),MATCH(Countries!$C184,$M$3:$M$1003,0)),MATCH(Countries!$D184,$M$3:$M$1003,0)),MATCH(Countries!$E184,$M$3:$M$1003,0)),MATCH(Countries!$F184,$M$3:$M$1003,0)),MATCH(Countries!$G184,$M$3:$M$1003,0)),MATCH(Countries!$H184,$M$3:$M$1003,0)),"X")</f>
        <v>181</v>
      </c>
      <c r="D185" s="616">
        <f t="shared" ref="D185:F185" si="369">IF(G$2="","",IF($C185="X","",INDEX($N$3:$CC$1003,$C185,MATCH(G$2,$N$2:$CC$2,0))))</f>
        <v>21849.71978</v>
      </c>
      <c r="E185" s="603" t="str">
        <f t="shared" si="369"/>
        <v/>
      </c>
      <c r="F185" s="603" t="str">
        <f t="shared" si="369"/>
        <v/>
      </c>
      <c r="G185" s="617">
        <f t="shared" si="5"/>
        <v>21849.71978</v>
      </c>
      <c r="H185" s="618" t="str">
        <f t="shared" ref="H185:I185" si="370">IF(H$2="","", IF(E185="",IF($K$16="Use global average",E$276,IF($K$16="Use regional average",INDEX(E$280:E$296,MATCH($B185,$B$280:$B$296,0)),IF($K$16="Leave blank","",IF($K$16="Fill with zeros", 0,IF($K$16="Use global median",E$277,"Fill out I16"))))), E185))</f>
        <v/>
      </c>
      <c r="I185" s="618" t="str">
        <f t="shared" si="370"/>
        <v/>
      </c>
      <c r="J185" s="159"/>
      <c r="K185" s="159"/>
      <c r="L185" s="159" t="str">
        <f>IF(M185="","",IF(COUNTIF(Countries!$B$1:$H$271,M185)&gt;0,"",IF(COUNTIF(Countries!$M$1:$S$271,M185)&gt;0,"Not a country","ERROR – NOT LISTED. Add alt spelling to ''Countries'' tab")))</f>
        <v/>
      </c>
      <c r="M185" s="606" t="s">
        <v>878</v>
      </c>
      <c r="N185" s="624">
        <v>6.2684546</v>
      </c>
      <c r="O185" s="621">
        <f t="shared" si="12"/>
        <v>2928.621989</v>
      </c>
      <c r="P185" s="192">
        <v>0.63677204</v>
      </c>
      <c r="Q185" s="631" t="e">
        <v>#VALUE!</v>
      </c>
      <c r="R185" s="625" t="str">
        <f t="shared" si="7"/>
        <v/>
      </c>
      <c r="S185" s="159"/>
      <c r="T185" s="159"/>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c r="BS185" s="159"/>
      <c r="BT185" s="159"/>
      <c r="BU185" s="159"/>
      <c r="BV185" s="159"/>
      <c r="BW185" s="159"/>
      <c r="BX185" s="159"/>
      <c r="BY185" s="159"/>
      <c r="BZ185" s="159"/>
      <c r="CA185" s="159"/>
      <c r="CB185" s="159"/>
      <c r="CC185" s="159"/>
    </row>
    <row r="186">
      <c r="A186" s="613" t="str">
        <f>Countries!B185</f>
        <v>Turkmenistan</v>
      </c>
      <c r="B186" s="614" t="str">
        <f>Countries!I185</f>
        <v>Central Asia</v>
      </c>
      <c r="C186" s="615">
        <f>IFERROR(IFERROR(IFERROR(IFERROR(IFERROR(IFERROR(IFERROR(MATCH(Countries!$B185,$M$3:$M$1003,0),MATCH(Countries!$C185,$M$3:$M$1003,0)),MATCH(Countries!$D185,$M$3:$M$1003,0)),MATCH(Countries!$E185,$M$3:$M$1003,0)),MATCH(Countries!$F185,$M$3:$M$1003,0)),MATCH(Countries!$G185,$M$3:$M$1003,0)),MATCH(Countries!$H185,$M$3:$M$1003,0)),"X")</f>
        <v>182</v>
      </c>
      <c r="D186" s="616">
        <f t="shared" ref="D186:F186" si="371">IF(G$2="","",IF($C186="X","",INDEX($N$3:$CC$1003,$C186,MATCH(G$2,$N$2:$CC$2,0))))</f>
        <v>2083.316053</v>
      </c>
      <c r="E186" s="603" t="str">
        <f t="shared" si="371"/>
        <v/>
      </c>
      <c r="F186" s="603" t="str">
        <f t="shared" si="371"/>
        <v/>
      </c>
      <c r="G186" s="617">
        <f t="shared" si="5"/>
        <v>2083.316053</v>
      </c>
      <c r="H186" s="618" t="str">
        <f t="shared" ref="H186:I186" si="372">IF(H$2="","", IF(E186="",IF($K$16="Use global average",E$276,IF($K$16="Use regional average",INDEX(E$280:E$296,MATCH($B186,$B$280:$B$296,0)),IF($K$16="Leave blank","",IF($K$16="Fill with zeros", 0,IF($K$16="Use global median",E$277,"Fill out I16"))))), E186))</f>
        <v/>
      </c>
      <c r="I186" s="618" t="str">
        <f t="shared" si="372"/>
        <v/>
      </c>
      <c r="J186" s="159"/>
      <c r="K186" s="159"/>
      <c r="L186" s="159" t="str">
        <f>IF(M186="","",IF(COUNTIF(Countries!$B$1:$H$271,M186)&gt;0,"",IF(COUNTIF(Countries!$M$1:$S$271,M186)&gt;0,"Not a country","ERROR – NOT LISTED. Add alt spelling to ''Countries'' tab")))</f>
        <v/>
      </c>
      <c r="M186" s="606" t="s">
        <v>879</v>
      </c>
      <c r="N186" s="624">
        <v>2.4753115</v>
      </c>
      <c r="O186" s="621">
        <f t="shared" si="12"/>
        <v>1156.465533</v>
      </c>
      <c r="P186" s="192">
        <v>0.8548557</v>
      </c>
      <c r="Q186" s="622">
        <v>0.029380000000000003</v>
      </c>
      <c r="R186" s="621">
        <f t="shared" si="7"/>
        <v>1393.768503</v>
      </c>
      <c r="S186" s="159"/>
      <c r="T186" s="159"/>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c r="BS186" s="159"/>
      <c r="BT186" s="159"/>
      <c r="BU186" s="159"/>
      <c r="BV186" s="159"/>
      <c r="BW186" s="159"/>
      <c r="BX186" s="159"/>
      <c r="BY186" s="159"/>
      <c r="BZ186" s="159"/>
      <c r="CA186" s="159"/>
      <c r="CB186" s="159"/>
      <c r="CC186" s="159"/>
    </row>
    <row r="187">
      <c r="A187" s="613" t="str">
        <f>Countries!B186</f>
        <v>Tuvalu</v>
      </c>
      <c r="B187" s="614" t="str">
        <f>Countries!I186</f>
        <v>Oceania</v>
      </c>
      <c r="C187" s="615">
        <f>IFERROR(IFERROR(IFERROR(IFERROR(IFERROR(IFERROR(IFERROR(MATCH(Countries!$B186,$M$3:$M$1003,0),MATCH(Countries!$C186,$M$3:$M$1003,0)),MATCH(Countries!$D186,$M$3:$M$1003,0)),MATCH(Countries!$E186,$M$3:$M$1003,0)),MATCH(Countries!$F186,$M$3:$M$1003,0)),MATCH(Countries!$G186,$M$3:$M$1003,0)),MATCH(Countries!$H186,$M$3:$M$1003,0)),"X")</f>
        <v>183</v>
      </c>
      <c r="D187" s="627" t="str">
        <f t="shared" ref="D187:F187" si="373">IF(G$2="","",IF($C187="X","",INDEX($N$3:$CC$1003,$C187,MATCH(G$2,$N$2:$CC$2,0))))</f>
        <v/>
      </c>
      <c r="E187" s="603" t="str">
        <f t="shared" si="373"/>
        <v/>
      </c>
      <c r="F187" s="603" t="str">
        <f t="shared" si="373"/>
        <v/>
      </c>
      <c r="G187" s="628">
        <f t="shared" si="5"/>
        <v>4193.580108</v>
      </c>
      <c r="H187" s="618" t="str">
        <f t="shared" ref="H187:I187" si="374">IF(H$2="","", IF(E187="",IF($K$16="Use global average",E$276,IF($K$16="Use regional average",INDEX(E$280:E$296,MATCH($B187,$B$280:$B$296,0)),IF($K$16="Leave blank","",IF($K$16="Fill with zeros", 0,IF($K$16="Use global median",E$277,"Fill out I16"))))), E187))</f>
        <v/>
      </c>
      <c r="I187" s="618" t="str">
        <f t="shared" si="374"/>
        <v/>
      </c>
      <c r="J187" s="159"/>
      <c r="K187" s="159"/>
      <c r="L187" s="159" t="str">
        <f>IF(M187="","",IF(COUNTIF(Countries!$B$1:$H$271,M187)&gt;0,"",IF(COUNTIF(Countries!$M$1:$S$271,M187)&gt;0,"Not a country","ERROR – NOT LISTED. Add alt spelling to ''Countries'' tab")))</f>
        <v/>
      </c>
      <c r="M187" s="606" t="s">
        <v>880</v>
      </c>
      <c r="N187" s="624">
        <v>12.599212</v>
      </c>
      <c r="O187" s="621">
        <f t="shared" si="12"/>
        <v>5886.351846</v>
      </c>
      <c r="P187" s="192">
        <v>0.4888664</v>
      </c>
      <c r="Q187" s="622">
        <v>0.0983</v>
      </c>
      <c r="R187" s="621">
        <f t="shared" si="7"/>
        <v>13353.46459</v>
      </c>
      <c r="S187" s="159"/>
      <c r="T187" s="159"/>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c r="BS187" s="159"/>
      <c r="BT187" s="159"/>
      <c r="BU187" s="159"/>
      <c r="BV187" s="159"/>
      <c r="BW187" s="159"/>
      <c r="BX187" s="159"/>
      <c r="BY187" s="159"/>
      <c r="BZ187" s="159"/>
      <c r="CA187" s="159"/>
      <c r="CB187" s="159"/>
      <c r="CC187" s="159"/>
    </row>
    <row r="188">
      <c r="A188" s="613" t="str">
        <f>Countries!B187</f>
        <v>Uganda</v>
      </c>
      <c r="B188" s="614" t="str">
        <f>Countries!I187</f>
        <v>Sub-Saharan Africa</v>
      </c>
      <c r="C188" s="615">
        <f>IFERROR(IFERROR(IFERROR(IFERROR(IFERROR(IFERROR(IFERROR(MATCH(Countries!$B187,$M$3:$M$1003,0),MATCH(Countries!$C187,$M$3:$M$1003,0)),MATCH(Countries!$D187,$M$3:$M$1003,0)),MATCH(Countries!$E187,$M$3:$M$1003,0)),MATCH(Countries!$F187,$M$3:$M$1003,0)),MATCH(Countries!$G187,$M$3:$M$1003,0)),MATCH(Countries!$H187,$M$3:$M$1003,0)),"X")</f>
        <v>184</v>
      </c>
      <c r="D188" s="616">
        <f t="shared" ref="D188:F188" si="375">IF(G$2="","",IF($C188="X","",INDEX($N$3:$CC$1003,$C188,MATCH(G$2,$N$2:$CC$2,0))))</f>
        <v>1393.768503</v>
      </c>
      <c r="E188" s="603" t="str">
        <f t="shared" si="375"/>
        <v/>
      </c>
      <c r="F188" s="603" t="str">
        <f t="shared" si="375"/>
        <v/>
      </c>
      <c r="G188" s="617">
        <f t="shared" si="5"/>
        <v>1393.768503</v>
      </c>
      <c r="H188" s="618" t="str">
        <f t="shared" ref="H188:I188" si="376">IF(H$2="","", IF(E188="",IF($K$16="Use global average",E$276,IF($K$16="Use regional average",INDEX(E$280:E$296,MATCH($B188,$B$280:$B$296,0)),IF($K$16="Leave blank","",IF($K$16="Fill with zeros", 0,IF($K$16="Use global median",E$277,"Fill out I16"))))), E188))</f>
        <v/>
      </c>
      <c r="I188" s="618" t="str">
        <f t="shared" si="376"/>
        <v/>
      </c>
      <c r="J188" s="159"/>
      <c r="K188" s="159"/>
      <c r="L188" s="159" t="str">
        <f>IF(M188="","",IF(COUNTIF(Countries!$B$1:$H$271,M188)&gt;0,"",IF(COUNTIF(Countries!$M$1:$S$271,M188)&gt;0,"Not a country","ERROR – NOT LISTED. Add alt spelling to ''Countries'' tab")))</f>
        <v/>
      </c>
      <c r="M188" s="606" t="s">
        <v>881</v>
      </c>
      <c r="N188" s="624">
        <v>65.14401</v>
      </c>
      <c r="O188" s="621">
        <f t="shared" si="12"/>
        <v>30435.28147</v>
      </c>
      <c r="P188" s="192">
        <v>0.22002642000000003</v>
      </c>
      <c r="Q188" s="622">
        <v>0.02971</v>
      </c>
      <c r="R188" s="621">
        <f t="shared" si="7"/>
        <v>142561.0661</v>
      </c>
      <c r="S188" s="159"/>
      <c r="T188" s="159"/>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c r="BS188" s="159"/>
      <c r="BT188" s="159"/>
      <c r="BU188" s="159"/>
      <c r="BV188" s="159"/>
      <c r="BW188" s="159"/>
      <c r="BX188" s="159"/>
      <c r="BY188" s="159"/>
      <c r="BZ188" s="159"/>
      <c r="CA188" s="159"/>
      <c r="CB188" s="159"/>
      <c r="CC188" s="159"/>
    </row>
    <row r="189">
      <c r="A189" s="613" t="str">
        <f>Countries!B188</f>
        <v>Ukraine</v>
      </c>
      <c r="B189" s="614" t="str">
        <f>Countries!I188</f>
        <v>Europe</v>
      </c>
      <c r="C189" s="615">
        <f>IFERROR(IFERROR(IFERROR(IFERROR(IFERROR(IFERROR(IFERROR(MATCH(Countries!$B188,$M$3:$M$1003,0),MATCH(Countries!$C188,$M$3:$M$1003,0)),MATCH(Countries!$D188,$M$3:$M$1003,0)),MATCH(Countries!$E188,$M$3:$M$1003,0)),MATCH(Countries!$F188,$M$3:$M$1003,0)),MATCH(Countries!$G188,$M$3:$M$1003,0)),MATCH(Countries!$H188,$M$3:$M$1003,0)),"X")</f>
        <v>185</v>
      </c>
      <c r="D189" s="616">
        <f t="shared" ref="D189:F189" si="377">IF(G$2="","",IF($C189="X","",INDEX($N$3:$CC$1003,$C189,MATCH(G$2,$N$2:$CC$2,0))))</f>
        <v>13353.46459</v>
      </c>
      <c r="E189" s="603" t="str">
        <f t="shared" si="377"/>
        <v/>
      </c>
      <c r="F189" s="603" t="str">
        <f t="shared" si="377"/>
        <v/>
      </c>
      <c r="G189" s="617">
        <f t="shared" si="5"/>
        <v>13353.46459</v>
      </c>
      <c r="H189" s="618" t="str">
        <f t="shared" ref="H189:I189" si="378">IF(H$2="","", IF(E189="",IF($K$16="Use global average",E$276,IF($K$16="Use regional average",INDEX(E$280:E$296,MATCH($B189,$B$280:$B$296,0)),IF($K$16="Leave blank","",IF($K$16="Fill with zeros", 0,IF($K$16="Use global median",E$277,"Fill out I16"))))), E189))</f>
        <v/>
      </c>
      <c r="I189" s="618" t="str">
        <f t="shared" si="378"/>
        <v/>
      </c>
      <c r="J189" s="159"/>
      <c r="K189" s="159"/>
      <c r="L189" s="159" t="str">
        <f>IF(M189="","",IF(COUNTIF(Countries!$B$1:$H$271,M189)&gt;0,"",IF(COUNTIF(Countries!$M$1:$S$271,M189)&gt;0,"Not a country","ERROR – NOT LISTED. Add alt spelling to ''Countries'' tab")))</f>
        <v/>
      </c>
      <c r="M189" s="606" t="s">
        <v>882</v>
      </c>
      <c r="N189" s="624">
        <v>46.870113</v>
      </c>
      <c r="O189" s="621">
        <f t="shared" si="12"/>
        <v>21897.71679</v>
      </c>
      <c r="P189" s="192">
        <v>0.57805984</v>
      </c>
      <c r="Q189" s="622">
        <v>0.0373</v>
      </c>
      <c r="R189" s="621">
        <f t="shared" si="7"/>
        <v>39349.12365</v>
      </c>
      <c r="S189" s="159"/>
      <c r="T189" s="159"/>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c r="BS189" s="159"/>
      <c r="BT189" s="159"/>
      <c r="BU189" s="159"/>
      <c r="BV189" s="159"/>
      <c r="BW189" s="159"/>
      <c r="BX189" s="159"/>
      <c r="BY189" s="159"/>
      <c r="BZ189" s="159"/>
      <c r="CA189" s="159"/>
      <c r="CB189" s="159"/>
      <c r="CC189" s="159"/>
    </row>
    <row r="190">
      <c r="A190" s="613" t="str">
        <f>Countries!B189</f>
        <v>United Arab Emirates</v>
      </c>
      <c r="B190" s="614" t="str">
        <f>Countries!I189</f>
        <v>West Asia</v>
      </c>
      <c r="C190" s="615">
        <f>IFERROR(IFERROR(IFERROR(IFERROR(IFERROR(IFERROR(IFERROR(MATCH(Countries!$B189,$M$3:$M$1003,0),MATCH(Countries!$C189,$M$3:$M$1003,0)),MATCH(Countries!$D189,$M$3:$M$1003,0)),MATCH(Countries!$E189,$M$3:$M$1003,0)),MATCH(Countries!$F189,$M$3:$M$1003,0)),MATCH(Countries!$G189,$M$3:$M$1003,0)),MATCH(Countries!$H189,$M$3:$M$1003,0)),"X")</f>
        <v>186</v>
      </c>
      <c r="D190" s="616">
        <f t="shared" ref="D190:F190" si="379">IF(G$2="","",IF($C190="X","",INDEX($N$3:$CC$1003,$C190,MATCH(G$2,$N$2:$CC$2,0))))</f>
        <v>142561.0661</v>
      </c>
      <c r="E190" s="603" t="str">
        <f t="shared" si="379"/>
        <v/>
      </c>
      <c r="F190" s="603" t="str">
        <f t="shared" si="379"/>
        <v/>
      </c>
      <c r="G190" s="617">
        <f t="shared" si="5"/>
        <v>142561.0661</v>
      </c>
      <c r="H190" s="618" t="str">
        <f t="shared" ref="H190:I190" si="380">IF(H$2="","", IF(E190="",IF($K$16="Use global average",E$276,IF($K$16="Use regional average",INDEX(E$280:E$296,MATCH($B190,$B$280:$B$296,0)),IF($K$16="Leave blank","",IF($K$16="Fill with zeros", 0,IF($K$16="Use global median",E$277,"Fill out I16"))))), E190))</f>
        <v/>
      </c>
      <c r="I190" s="618" t="str">
        <f t="shared" si="380"/>
        <v/>
      </c>
      <c r="J190" s="159"/>
      <c r="K190" s="159"/>
      <c r="L190" s="159" t="str">
        <f>IF(M190="","",IF(COUNTIF(Countries!$B$1:$H$271,M190)&gt;0,"",IF(COUNTIF(Countries!$M$1:$S$271,M190)&gt;0,"Not a country","ERROR – NOT LISTED. Add alt spelling to ''Countries'' tab")))</f>
        <v/>
      </c>
      <c r="M190" s="606" t="s">
        <v>883</v>
      </c>
      <c r="N190" s="624">
        <v>66.64519</v>
      </c>
      <c r="O190" s="621">
        <f t="shared" si="12"/>
        <v>31136.63277</v>
      </c>
      <c r="P190" s="192">
        <v>0.5387894</v>
      </c>
      <c r="Q190" s="622">
        <v>0.0365</v>
      </c>
      <c r="R190" s="621">
        <f t="shared" si="7"/>
        <v>59979.22952</v>
      </c>
      <c r="S190" s="159"/>
      <c r="T190" s="159"/>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c r="BS190" s="159"/>
      <c r="BT190" s="159"/>
      <c r="BU190" s="159"/>
      <c r="BV190" s="159"/>
      <c r="BW190" s="159"/>
      <c r="BX190" s="159"/>
      <c r="BY190" s="159"/>
      <c r="BZ190" s="159"/>
      <c r="CA190" s="159"/>
      <c r="CB190" s="159"/>
      <c r="CC190" s="159"/>
    </row>
    <row r="191">
      <c r="A191" s="613" t="str">
        <f>Countries!B190</f>
        <v>United Kingdom</v>
      </c>
      <c r="B191" s="614" t="str">
        <f>Countries!I190</f>
        <v>Europe</v>
      </c>
      <c r="C191" s="615">
        <f>IFERROR(IFERROR(IFERROR(IFERROR(IFERROR(IFERROR(IFERROR(MATCH(Countries!$B190,$M$3:$M$1003,0),MATCH(Countries!$C190,$M$3:$M$1003,0)),MATCH(Countries!$D190,$M$3:$M$1003,0)),MATCH(Countries!$E190,$M$3:$M$1003,0)),MATCH(Countries!$F190,$M$3:$M$1003,0)),MATCH(Countries!$G190,$M$3:$M$1003,0)),MATCH(Countries!$H190,$M$3:$M$1003,0)),"X")</f>
        <v>187</v>
      </c>
      <c r="D191" s="616">
        <f t="shared" ref="D191:F191" si="381">IF(G$2="","",IF($C191="X","",INDEX($N$3:$CC$1003,$C191,MATCH(G$2,$N$2:$CC$2,0))))</f>
        <v>39349.12365</v>
      </c>
      <c r="E191" s="603" t="str">
        <f t="shared" si="381"/>
        <v/>
      </c>
      <c r="F191" s="603" t="str">
        <f t="shared" si="381"/>
        <v/>
      </c>
      <c r="G191" s="617">
        <f t="shared" si="5"/>
        <v>39349.12365</v>
      </c>
      <c r="H191" s="618" t="str">
        <f t="shared" ref="H191:I191" si="382">IF(H$2="","", IF(E191="",IF($K$16="Use global average",E$276,IF($K$16="Use regional average",INDEX(E$280:E$296,MATCH($B191,$B$280:$B$296,0)),IF($K$16="Leave blank","",IF($K$16="Fill with zeros", 0,IF($K$16="Use global median",E$277,"Fill out I16"))))), E191))</f>
        <v/>
      </c>
      <c r="I191" s="618" t="str">
        <f t="shared" si="382"/>
        <v/>
      </c>
      <c r="J191" s="159"/>
      <c r="K191" s="159"/>
      <c r="L191" s="159" t="str">
        <f>IF(M191="","",IF(COUNTIF(Countries!$B$1:$H$271,M191)&gt;0,"",IF(COUNTIF(Countries!$M$1:$S$271,M191)&gt;0,"Not a country","ERROR – NOT LISTED. Add alt spelling to ''Countries'' tab")))</f>
        <v/>
      </c>
      <c r="M191" s="606" t="s">
        <v>884</v>
      </c>
      <c r="N191" s="624">
        <v>20.99745</v>
      </c>
      <c r="O191" s="621">
        <f t="shared" si="12"/>
        <v>9810.00864</v>
      </c>
      <c r="P191" s="192">
        <v>0.5254729499999999</v>
      </c>
      <c r="Q191" s="622">
        <v>0.0787</v>
      </c>
      <c r="R191" s="621">
        <f t="shared" si="7"/>
        <v>20263.663</v>
      </c>
      <c r="S191" s="159"/>
      <c r="T191" s="159"/>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c r="BS191" s="159"/>
      <c r="BT191" s="159"/>
      <c r="BU191" s="159"/>
      <c r="BV191" s="159"/>
      <c r="BW191" s="159"/>
      <c r="BX191" s="159"/>
      <c r="BY191" s="159"/>
      <c r="BZ191" s="159"/>
      <c r="CA191" s="159"/>
      <c r="CB191" s="159"/>
      <c r="CC191" s="159"/>
    </row>
    <row r="192">
      <c r="A192" s="613" t="str">
        <f>Countries!B191</f>
        <v>United States of America</v>
      </c>
      <c r="B192" s="614" t="str">
        <f>Countries!I191</f>
        <v>North America</v>
      </c>
      <c r="C192" s="615">
        <f>IFERROR(IFERROR(IFERROR(IFERROR(IFERROR(IFERROR(IFERROR(MATCH(Countries!$B191,$M$3:$M$1003,0),MATCH(Countries!$C191,$M$3:$M$1003,0)),MATCH(Countries!$D191,$M$3:$M$1003,0)),MATCH(Countries!$E191,$M$3:$M$1003,0)),MATCH(Countries!$F191,$M$3:$M$1003,0)),MATCH(Countries!$G191,$M$3:$M$1003,0)),MATCH(Countries!$H191,$M$3:$M$1003,0)),"X")</f>
        <v>188</v>
      </c>
      <c r="D192" s="616">
        <f t="shared" ref="D192:F192" si="383">IF(G$2="","",IF($C192="X","",INDEX($N$3:$CC$1003,$C192,MATCH(G$2,$N$2:$CC$2,0))))</f>
        <v>59979.22952</v>
      </c>
      <c r="E192" s="603" t="str">
        <f t="shared" si="383"/>
        <v/>
      </c>
      <c r="F192" s="603" t="str">
        <f t="shared" si="383"/>
        <v/>
      </c>
      <c r="G192" s="617">
        <f t="shared" si="5"/>
        <v>59979.22952</v>
      </c>
      <c r="H192" s="618" t="str">
        <f t="shared" ref="H192:I192" si="384">IF(H$2="","", IF(E192="",IF($K$16="Use global average",E$276,IF($K$16="Use regional average",INDEX(E$280:E$296,MATCH($B192,$B$280:$B$296,0)),IF($K$16="Leave blank","",IF($K$16="Fill with zeros", 0,IF($K$16="Use global median",E$277,"Fill out I16"))))), E192))</f>
        <v/>
      </c>
      <c r="I192" s="618" t="str">
        <f t="shared" si="384"/>
        <v/>
      </c>
      <c r="J192" s="159"/>
      <c r="K192" s="159"/>
      <c r="L192" s="159" t="str">
        <f>IF(M192="","",IF(COUNTIF(Countries!$B$1:$H$271,M192)&gt;0,"",IF(COUNTIF(Countries!$M$1:$S$271,M192)&gt;0,"Not a country","ERROR – NOT LISTED. Add alt spelling to ''Countries'' tab")))</f>
        <v/>
      </c>
      <c r="M192" s="606" t="s">
        <v>885</v>
      </c>
      <c r="N192" s="624">
        <v>12.050619</v>
      </c>
      <c r="O192" s="621">
        <f t="shared" si="12"/>
        <v>5630.049197</v>
      </c>
      <c r="P192" s="192">
        <v>0.57643635</v>
      </c>
      <c r="Q192" s="622">
        <v>0.04507</v>
      </c>
      <c r="R192" s="621">
        <f t="shared" si="7"/>
        <v>10227.96641</v>
      </c>
      <c r="S192" s="159"/>
      <c r="T192" s="159"/>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c r="BS192" s="159"/>
      <c r="BT192" s="159"/>
      <c r="BU192" s="159"/>
      <c r="BV192" s="159"/>
      <c r="BW192" s="159"/>
      <c r="BX192" s="159"/>
      <c r="BY192" s="159"/>
      <c r="BZ192" s="159"/>
      <c r="CA192" s="159"/>
      <c r="CB192" s="159"/>
      <c r="CC192" s="159"/>
    </row>
    <row r="193">
      <c r="A193" s="613" t="str">
        <f>Countries!B192</f>
        <v>Uruguay</v>
      </c>
      <c r="B193" s="614" t="str">
        <f>Countries!I192</f>
        <v>Latin America</v>
      </c>
      <c r="C193" s="615">
        <f>IFERROR(IFERROR(IFERROR(IFERROR(IFERROR(IFERROR(IFERROR(MATCH(Countries!$B192,$M$3:$M$1003,0),MATCH(Countries!$C192,$M$3:$M$1003,0)),MATCH(Countries!$D192,$M$3:$M$1003,0)),MATCH(Countries!$E192,$M$3:$M$1003,0)),MATCH(Countries!$F192,$M$3:$M$1003,0)),MATCH(Countries!$G192,$M$3:$M$1003,0)),MATCH(Countries!$H192,$M$3:$M$1003,0)),"X")</f>
        <v>189</v>
      </c>
      <c r="D193" s="616">
        <f t="shared" ref="D193:F193" si="385">IF(G$2="","",IF($C193="X","",INDEX($N$3:$CC$1003,$C193,MATCH(G$2,$N$2:$CC$2,0))))</f>
        <v>20263.663</v>
      </c>
      <c r="E193" s="603" t="str">
        <f t="shared" si="385"/>
        <v/>
      </c>
      <c r="F193" s="603" t="str">
        <f t="shared" si="385"/>
        <v/>
      </c>
      <c r="G193" s="617">
        <f t="shared" si="5"/>
        <v>20263.663</v>
      </c>
      <c r="H193" s="618" t="str">
        <f t="shared" ref="H193:I193" si="386">IF(H$2="","", IF(E193="",IF($K$16="Use global average",E$276,IF($K$16="Use regional average",INDEX(E$280:E$296,MATCH($B193,$B$280:$B$296,0)),IF($K$16="Leave blank","",IF($K$16="Fill with zeros", 0,IF($K$16="Use global median",E$277,"Fill out I16"))))), E193))</f>
        <v/>
      </c>
      <c r="I193" s="618" t="str">
        <f t="shared" si="386"/>
        <v/>
      </c>
      <c r="J193" s="159"/>
      <c r="K193" s="159"/>
      <c r="L193" s="159" t="str">
        <f>IF(M193="","",IF(COUNTIF(Countries!$B$1:$H$271,M193)&gt;0,"",IF(COUNTIF(Countries!$M$1:$S$271,M193)&gt;0,"Not a country","ERROR – NOT LISTED. Add alt spelling to ''Countries'' tab")))</f>
        <v/>
      </c>
      <c r="M193" s="606" t="s">
        <v>886</v>
      </c>
      <c r="N193" s="624">
        <v>4.6742573</v>
      </c>
      <c r="O193" s="621">
        <f t="shared" si="12"/>
        <v>2183.813011</v>
      </c>
      <c r="P193" s="192">
        <v>0.7492057</v>
      </c>
      <c r="Q193" s="622">
        <v>0.05219</v>
      </c>
      <c r="R193" s="621">
        <f t="shared" si="7"/>
        <v>3075.339665</v>
      </c>
      <c r="S193" s="159"/>
      <c r="T193" s="159"/>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c r="BS193" s="159"/>
      <c r="BT193" s="159"/>
      <c r="BU193" s="159"/>
      <c r="BV193" s="159"/>
      <c r="BW193" s="159"/>
      <c r="BX193" s="159"/>
      <c r="BY193" s="159"/>
      <c r="BZ193" s="159"/>
      <c r="CA193" s="159"/>
      <c r="CB193" s="159"/>
      <c r="CC193" s="159"/>
    </row>
    <row r="194">
      <c r="A194" s="613" t="str">
        <f>Countries!B193</f>
        <v>Uzbekistan</v>
      </c>
      <c r="B194" s="614" t="str">
        <f>Countries!I193</f>
        <v>Central Asia</v>
      </c>
      <c r="C194" s="615">
        <f>IFERROR(IFERROR(IFERROR(IFERROR(IFERROR(IFERROR(IFERROR(MATCH(Countries!$B193,$M$3:$M$1003,0),MATCH(Countries!$C193,$M$3:$M$1003,0)),MATCH(Countries!$D193,$M$3:$M$1003,0)),MATCH(Countries!$E193,$M$3:$M$1003,0)),MATCH(Countries!$F193,$M$3:$M$1003,0)),MATCH(Countries!$G193,$M$3:$M$1003,0)),MATCH(Countries!$H193,$M$3:$M$1003,0)),"X")</f>
        <v>190</v>
      </c>
      <c r="D194" s="616">
        <f t="shared" ref="D194:F194" si="387">IF(G$2="","",IF($C194="X","",INDEX($N$3:$CC$1003,$C194,MATCH(G$2,$N$2:$CC$2,0))))</f>
        <v>10227.96641</v>
      </c>
      <c r="E194" s="603" t="str">
        <f t="shared" si="387"/>
        <v/>
      </c>
      <c r="F194" s="603" t="str">
        <f t="shared" si="387"/>
        <v/>
      </c>
      <c r="G194" s="617">
        <f t="shared" si="5"/>
        <v>10227.96641</v>
      </c>
      <c r="H194" s="618" t="str">
        <f t="shared" ref="H194:I194" si="388">IF(H$2="","", IF(E194="",IF($K$16="Use global average",E$276,IF($K$16="Use regional average",INDEX(E$280:E$296,MATCH($B194,$B$280:$B$296,0)),IF($K$16="Leave blank","",IF($K$16="Fill with zeros", 0,IF($K$16="Use global median",E$277,"Fill out I16"))))), E194))</f>
        <v/>
      </c>
      <c r="I194" s="618" t="str">
        <f t="shared" si="388"/>
        <v/>
      </c>
      <c r="J194" s="159"/>
      <c r="K194" s="159"/>
      <c r="L194" s="159" t="str">
        <f>IF(M194="","",IF(COUNTIF(Countries!$B$1:$H$271,M194)&gt;0,"",IF(COUNTIF(Countries!$M$1:$S$271,M194)&gt;0,"Not a country","ERROR – NOT LISTED. Add alt spelling to ''Countries'' tab")))</f>
        <v/>
      </c>
      <c r="M194" s="606" t="s">
        <v>887</v>
      </c>
      <c r="N194" s="624">
        <v>8.490453</v>
      </c>
      <c r="O194" s="621">
        <f t="shared" si="12"/>
        <v>3966.739642</v>
      </c>
      <c r="P194" s="192">
        <v>0.5500813</v>
      </c>
      <c r="Q194" s="622">
        <v>0.0562</v>
      </c>
      <c r="R194" s="621">
        <f t="shared" si="7"/>
        <v>7640.589054</v>
      </c>
      <c r="S194" s="159"/>
      <c r="T194" s="159"/>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c r="BS194" s="159"/>
      <c r="BT194" s="159"/>
      <c r="BU194" s="159"/>
      <c r="BV194" s="159"/>
      <c r="BW194" s="159"/>
      <c r="BX194" s="159"/>
      <c r="BY194" s="159"/>
      <c r="BZ194" s="159"/>
      <c r="CA194" s="159"/>
      <c r="CB194" s="159"/>
      <c r="CC194" s="159"/>
    </row>
    <row r="195">
      <c r="A195" s="613" t="str">
        <f>Countries!B194</f>
        <v>Vanuatu</v>
      </c>
      <c r="B195" s="614" t="str">
        <f>Countries!I194</f>
        <v>Oceania</v>
      </c>
      <c r="C195" s="615">
        <f>IFERROR(IFERROR(IFERROR(IFERROR(IFERROR(IFERROR(IFERROR(MATCH(Countries!$B194,$M$3:$M$1003,0),MATCH(Countries!$C194,$M$3:$M$1003,0)),MATCH(Countries!$D194,$M$3:$M$1003,0)),MATCH(Countries!$E194,$M$3:$M$1003,0)),MATCH(Countries!$F194,$M$3:$M$1003,0)),MATCH(Countries!$G194,$M$3:$M$1003,0)),MATCH(Countries!$H194,$M$3:$M$1003,0)),"X")</f>
        <v>191</v>
      </c>
      <c r="D195" s="616">
        <f t="shared" ref="D195:F195" si="389">IF(G$2="","",IF($C195="X","",INDEX($N$3:$CC$1003,$C195,MATCH(G$2,$N$2:$CC$2,0))))</f>
        <v>3075.339665</v>
      </c>
      <c r="E195" s="603" t="str">
        <f t="shared" si="389"/>
        <v/>
      </c>
      <c r="F195" s="603" t="str">
        <f t="shared" si="389"/>
        <v/>
      </c>
      <c r="G195" s="617">
        <f t="shared" si="5"/>
        <v>3075.339665</v>
      </c>
      <c r="H195" s="618" t="str">
        <f t="shared" ref="H195:I195" si="390">IF(H$2="","", IF(E195="",IF($K$16="Use global average",E$276,IF($K$16="Use regional average",INDEX(E$280:E$296,MATCH($B195,$B$280:$B$296,0)),IF($K$16="Leave blank","",IF($K$16="Fill with zeros", 0,IF($K$16="Use global median",E$277,"Fill out I16"))))), E195))</f>
        <v/>
      </c>
      <c r="I195" s="618" t="str">
        <f t="shared" si="390"/>
        <v/>
      </c>
      <c r="J195" s="159"/>
      <c r="K195" s="159"/>
      <c r="L195" s="159" t="str">
        <f>IF(M195="","",IF(COUNTIF(Countries!$B$1:$H$271,M195)&gt;0,"",IF(COUNTIF(Countries!$M$1:$S$271,M195)&gt;0,"Not a country","ERROR – NOT LISTED. Add alt spelling to ''Countries'' tab")))</f>
        <v/>
      </c>
      <c r="M195" s="606" t="s">
        <v>888</v>
      </c>
      <c r="N195" s="624">
        <v>11.452532</v>
      </c>
      <c r="O195" s="621">
        <f t="shared" si="12"/>
        <v>5350.62295</v>
      </c>
      <c r="P195" s="192">
        <v>0.47541556999999995</v>
      </c>
      <c r="Q195" s="622">
        <v>0.0154</v>
      </c>
      <c r="R195" s="621">
        <f t="shared" si="7"/>
        <v>11430.65496</v>
      </c>
      <c r="S195" s="159"/>
      <c r="T195" s="159"/>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c r="BS195" s="159"/>
      <c r="BT195" s="159"/>
      <c r="BU195" s="159"/>
      <c r="BV195" s="159"/>
      <c r="BW195" s="159"/>
      <c r="BX195" s="159"/>
      <c r="BY195" s="159"/>
      <c r="BZ195" s="159"/>
      <c r="CA195" s="159"/>
      <c r="CB195" s="159"/>
      <c r="CC195" s="159"/>
    </row>
    <row r="196">
      <c r="A196" s="613" t="str">
        <f>Countries!B195</f>
        <v>Venezuela</v>
      </c>
      <c r="B196" s="614" t="str">
        <f>Countries!I195</f>
        <v>Latin America</v>
      </c>
      <c r="C196" s="615">
        <f>IFERROR(IFERROR(IFERROR(IFERROR(IFERROR(IFERROR(IFERROR(MATCH(Countries!$B195,$M$3:$M$1003,0),MATCH(Countries!$C195,$M$3:$M$1003,0)),MATCH(Countries!$D195,$M$3:$M$1003,0)),MATCH(Countries!$E195,$M$3:$M$1003,0)),MATCH(Countries!$F195,$M$3:$M$1003,0)),MATCH(Countries!$G195,$M$3:$M$1003,0)),MATCH(Countries!$H195,$M$3:$M$1003,0)),"X")</f>
        <v>192</v>
      </c>
      <c r="D196" s="616">
        <f t="shared" ref="D196:F196" si="391">IF(G$2="","",IF($C196="X","",INDEX($N$3:$CC$1003,$C196,MATCH(G$2,$N$2:$CC$2,0))))</f>
        <v>7640.589054</v>
      </c>
      <c r="E196" s="603" t="str">
        <f t="shared" si="391"/>
        <v/>
      </c>
      <c r="F196" s="603" t="str">
        <f t="shared" si="391"/>
        <v/>
      </c>
      <c r="G196" s="617">
        <f t="shared" si="5"/>
        <v>7640.589054</v>
      </c>
      <c r="H196" s="618" t="str">
        <f t="shared" ref="H196:I196" si="392">IF(H$2="","", IF(E196="",IF($K$16="Use global average",E$276,IF($K$16="Use regional average",INDEX(E$280:E$296,MATCH($B196,$B$280:$B$296,0)),IF($K$16="Leave blank","",IF($K$16="Fill with zeros", 0,IF($K$16="Use global median",E$277,"Fill out I16"))))), E196))</f>
        <v/>
      </c>
      <c r="I196" s="618" t="str">
        <f t="shared" si="392"/>
        <v/>
      </c>
      <c r="J196" s="159"/>
      <c r="K196" s="159"/>
      <c r="L196" s="634" t="str">
        <f>IF(M196="","",IF(COUNTIF(Countries!$B$1:$H$271,M196)&gt;0,"",IF(COUNTIF(Countries!$M$1:$S$271,M196)&gt;0,"Not a country","ERROR – NOT LISTED. Add alt spelling to ''Countries'' tab")))</f>
        <v>ERROR – NOT LISTED. Add alt spelling to ''Countries'' tab</v>
      </c>
      <c r="M196" s="606" t="s">
        <v>889</v>
      </c>
      <c r="N196" s="624">
        <v>7.75</v>
      </c>
      <c r="O196" s="621">
        <f t="shared" si="12"/>
        <v>3620.8</v>
      </c>
      <c r="P196" s="192">
        <v>0.53876415</v>
      </c>
      <c r="Q196" s="622">
        <v>0.05267477</v>
      </c>
      <c r="R196" s="621">
        <f t="shared" si="7"/>
        <v>7094.254153</v>
      </c>
      <c r="S196" s="159"/>
      <c r="T196" s="159"/>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c r="BS196" s="159"/>
      <c r="BT196" s="159"/>
      <c r="BU196" s="159"/>
      <c r="BV196" s="159"/>
      <c r="BW196" s="159"/>
      <c r="BX196" s="159"/>
      <c r="BY196" s="159"/>
      <c r="BZ196" s="159"/>
      <c r="CA196" s="159"/>
      <c r="CB196" s="159"/>
      <c r="CC196" s="159"/>
    </row>
    <row r="197">
      <c r="A197" s="613" t="str">
        <f>Countries!B196</f>
        <v>Vietnam</v>
      </c>
      <c r="B197" s="614" t="str">
        <f>Countries!I196</f>
        <v>Southeast Asia</v>
      </c>
      <c r="C197" s="615">
        <f>IFERROR(IFERROR(IFERROR(IFERROR(IFERROR(IFERROR(IFERROR(MATCH(Countries!$B196,$M$3:$M$1003,0),MATCH(Countries!$C196,$M$3:$M$1003,0)),MATCH(Countries!$D196,$M$3:$M$1003,0)),MATCH(Countries!$E196,$M$3:$M$1003,0)),MATCH(Countries!$F196,$M$3:$M$1003,0)),MATCH(Countries!$G196,$M$3:$M$1003,0)),MATCH(Countries!$H196,$M$3:$M$1003,0)),"X")</f>
        <v>193</v>
      </c>
      <c r="D197" s="616">
        <f t="shared" ref="D197:F197" si="393">IF(G$2="","",IF($C197="X","",INDEX($N$3:$CC$1003,$C197,MATCH(G$2,$N$2:$CC$2,0))))</f>
        <v>11430.65496</v>
      </c>
      <c r="E197" s="603" t="str">
        <f t="shared" si="393"/>
        <v/>
      </c>
      <c r="F197" s="603" t="str">
        <f t="shared" si="393"/>
        <v/>
      </c>
      <c r="G197" s="617">
        <f t="shared" si="5"/>
        <v>11430.65496</v>
      </c>
      <c r="H197" s="618" t="str">
        <f t="shared" ref="H197:I197" si="394">IF(H$2="","", IF(E197="",IF($K$16="Use global average",E$276,IF($K$16="Use regional average",INDEX(E$280:E$296,MATCH($B197,$B$280:$B$296,0)),IF($K$16="Leave blank","",IF($K$16="Fill with zeros", 0,IF($K$16="Use global median",E$277,"Fill out I16"))))), E197))</f>
        <v/>
      </c>
      <c r="I197" s="618" t="str">
        <f t="shared" si="394"/>
        <v/>
      </c>
      <c r="J197" s="159"/>
      <c r="K197" s="159"/>
      <c r="L197" s="159" t="str">
        <f>IF(M197="","",IF(COUNTIF(Countries!$B$1:$H$271,M197)&gt;0,"",IF(COUNTIF(Countries!$M$1:$S$271,M197)&gt;0,"Not a country","ERROR – NOT LISTED. Add alt spelling to ''Countries'' tab")))</f>
        <v/>
      </c>
      <c r="M197" s="606" t="s">
        <v>890</v>
      </c>
      <c r="N197" s="624">
        <v>3.4357183</v>
      </c>
      <c r="O197" s="621">
        <f t="shared" si="12"/>
        <v>1605.16759</v>
      </c>
      <c r="P197" s="192">
        <v>0.77726074</v>
      </c>
      <c r="Q197" s="622">
        <v>0.17613</v>
      </c>
      <c r="R197" s="621">
        <f t="shared" si="7"/>
        <v>2506.657291</v>
      </c>
      <c r="S197" s="159"/>
      <c r="T197" s="159"/>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c r="BS197" s="159"/>
      <c r="BT197" s="159"/>
      <c r="BU197" s="159"/>
      <c r="BV197" s="159"/>
      <c r="BW197" s="159"/>
      <c r="BX197" s="159"/>
      <c r="BY197" s="159"/>
      <c r="BZ197" s="159"/>
      <c r="CA197" s="159"/>
      <c r="CB197" s="159"/>
      <c r="CC197" s="159"/>
    </row>
    <row r="198">
      <c r="A198" s="613" t="str">
        <f>Countries!B197</f>
        <v>Yemen</v>
      </c>
      <c r="B198" s="614" t="str">
        <f>Countries!I197</f>
        <v>West Asia</v>
      </c>
      <c r="C198" s="615">
        <f>IFERROR(IFERROR(IFERROR(IFERROR(IFERROR(IFERROR(IFERROR(MATCH(Countries!$B197,$M$3:$M$1003,0),MATCH(Countries!$C197,$M$3:$M$1003,0)),MATCH(Countries!$D197,$M$3:$M$1003,0)),MATCH(Countries!$E197,$M$3:$M$1003,0)),MATCH(Countries!$F197,$M$3:$M$1003,0)),MATCH(Countries!$G197,$M$3:$M$1003,0)),MATCH(Countries!$H197,$M$3:$M$1003,0)),"X")</f>
        <v>195</v>
      </c>
      <c r="D198" s="616">
        <f t="shared" ref="D198:F198" si="395">IF(G$2="","",IF($C198="X","",INDEX($N$3:$CC$1003,$C198,MATCH(G$2,$N$2:$CC$2,0))))</f>
        <v>2506.657291</v>
      </c>
      <c r="E198" s="603" t="str">
        <f t="shared" si="395"/>
        <v/>
      </c>
      <c r="F198" s="603" t="str">
        <f t="shared" si="395"/>
        <v/>
      </c>
      <c r="G198" s="617">
        <f t="shared" si="5"/>
        <v>2506.657291</v>
      </c>
      <c r="H198" s="618" t="str">
        <f t="shared" ref="H198:I198" si="396">IF(H$2="","", IF(E198="",IF($K$16="Use global average",E$276,IF($K$16="Use regional average",INDEX(E$280:E$296,MATCH($B198,$B$280:$B$296,0)),IF($K$16="Leave blank","",IF($K$16="Fill with zeros", 0,IF($K$16="Use global median",E$277,"Fill out I16"))))), E198))</f>
        <v/>
      </c>
      <c r="I198" s="618" t="str">
        <f t="shared" si="396"/>
        <v/>
      </c>
      <c r="J198" s="159"/>
      <c r="K198" s="159"/>
      <c r="L198" s="159" t="str">
        <f>IF(M198="","",IF(COUNTIF(Countries!$B$1:$H$271,M198)&gt;0,"",IF(COUNTIF(Countries!$M$1:$S$271,M198)&gt;0,"Not a country","ERROR – NOT LISTED. Add alt spelling to ''Countries'' tab")))</f>
        <v/>
      </c>
      <c r="M198" s="606" t="s">
        <v>891</v>
      </c>
      <c r="N198" s="624">
        <v>1.4850891</v>
      </c>
      <c r="O198" s="621">
        <f t="shared" si="12"/>
        <v>693.8336275</v>
      </c>
      <c r="P198" s="192">
        <v>0.7810672</v>
      </c>
      <c r="Q198" s="622">
        <v>0.043739999999999994</v>
      </c>
      <c r="R198" s="621">
        <f t="shared" si="7"/>
        <v>928.9470381</v>
      </c>
      <c r="S198" s="159"/>
      <c r="T198" s="159"/>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c r="BS198" s="159"/>
      <c r="BT198" s="159"/>
      <c r="BU198" s="159"/>
      <c r="BV198" s="159"/>
      <c r="BW198" s="159"/>
      <c r="BX198" s="159"/>
      <c r="BY198" s="159"/>
      <c r="BZ198" s="159"/>
      <c r="CA198" s="159"/>
      <c r="CB198" s="159"/>
      <c r="CC198" s="159"/>
    </row>
    <row r="199">
      <c r="A199" s="613" t="str">
        <f>Countries!B198</f>
        <v>Zambia</v>
      </c>
      <c r="B199" s="614" t="str">
        <f>Countries!I198</f>
        <v>Sub-Saharan Africa</v>
      </c>
      <c r="C199" s="615">
        <f>IFERROR(IFERROR(IFERROR(IFERROR(IFERROR(IFERROR(IFERROR(MATCH(Countries!$B198,$M$3:$M$1003,0),MATCH(Countries!$C198,$M$3:$M$1003,0)),MATCH(Countries!$D198,$M$3:$M$1003,0)),MATCH(Countries!$E198,$M$3:$M$1003,0)),MATCH(Countries!$F198,$M$3:$M$1003,0)),MATCH(Countries!$G198,$M$3:$M$1003,0)),MATCH(Countries!$H198,$M$3:$M$1003,0)),"X")</f>
        <v>196</v>
      </c>
      <c r="D199" s="616">
        <f t="shared" ref="D199:F199" si="397">IF(G$2="","",IF($C199="X","",INDEX($N$3:$CC$1003,$C199,MATCH(G$2,$N$2:$CC$2,0))))</f>
        <v>928.9470381</v>
      </c>
      <c r="E199" s="603" t="str">
        <f t="shared" si="397"/>
        <v/>
      </c>
      <c r="F199" s="603" t="str">
        <f t="shared" si="397"/>
        <v/>
      </c>
      <c r="G199" s="617">
        <f t="shared" si="5"/>
        <v>928.9470381</v>
      </c>
      <c r="H199" s="618" t="str">
        <f t="shared" ref="H199:I199" si="398">IF(H$2="","", IF(E199="",IF($K$16="Use global average",E$276,IF($K$16="Use regional average",INDEX(E$280:E$296,MATCH($B199,$B$280:$B$296,0)),IF($K$16="Leave blank","",IF($K$16="Fill with zeros", 0,IF($K$16="Use global median",E$277,"Fill out I16"))))), E199))</f>
        <v/>
      </c>
      <c r="I199" s="618" t="str">
        <f t="shared" si="398"/>
        <v/>
      </c>
      <c r="J199" s="159"/>
      <c r="K199" s="159"/>
      <c r="L199" s="159" t="str">
        <f>IF(M199="","",IF(COUNTIF(Countries!$B$1:$H$271,M199)&gt;0,"",IF(COUNTIF(Countries!$M$1:$S$271,M199)&gt;0,"Not a country","ERROR – NOT LISTED. Add alt spelling to ''Countries'' tab")))</f>
        <v/>
      </c>
      <c r="M199" s="606" t="s">
        <v>892</v>
      </c>
      <c r="N199" s="624">
        <v>2.6548173</v>
      </c>
      <c r="O199" s="621">
        <f t="shared" si="12"/>
        <v>1240.330643</v>
      </c>
      <c r="P199" s="192">
        <v>0.81623924</v>
      </c>
      <c r="Q199" s="622">
        <v>0.09256</v>
      </c>
      <c r="R199" s="621">
        <f t="shared" si="7"/>
        <v>1674.565289</v>
      </c>
      <c r="S199" s="159"/>
      <c r="T199" s="159"/>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c r="BS199" s="159"/>
      <c r="BT199" s="159"/>
      <c r="BU199" s="159"/>
      <c r="BV199" s="159"/>
      <c r="BW199" s="159"/>
      <c r="BX199" s="159"/>
      <c r="BY199" s="159"/>
      <c r="BZ199" s="159"/>
      <c r="CA199" s="159"/>
      <c r="CB199" s="159"/>
      <c r="CC199" s="159"/>
    </row>
    <row r="200">
      <c r="A200" s="613" t="str">
        <f>Countries!B199</f>
        <v>Zimbabwe</v>
      </c>
      <c r="B200" s="614" t="str">
        <f>Countries!I199</f>
        <v>Sub-Saharan Africa</v>
      </c>
      <c r="C200" s="615">
        <f>IFERROR(IFERROR(IFERROR(IFERROR(IFERROR(IFERROR(IFERROR(MATCH(Countries!$B199,$M$3:$M$1003,0),MATCH(Countries!$C199,$M$3:$M$1003,0)),MATCH(Countries!$D199,$M$3:$M$1003,0)),MATCH(Countries!$E199,$M$3:$M$1003,0)),MATCH(Countries!$F199,$M$3:$M$1003,0)),MATCH(Countries!$G199,$M$3:$M$1003,0)),MATCH(Countries!$H199,$M$3:$M$1003,0)),"X")</f>
        <v>197</v>
      </c>
      <c r="D200" s="616">
        <f t="shared" ref="D200:F200" si="399">IF(G$2="","",IF($C200="X","",INDEX($N$3:$CC$1003,$C200,MATCH(G$2,$N$2:$CC$2,0))))</f>
        <v>1674.565289</v>
      </c>
      <c r="E200" s="603" t="str">
        <f t="shared" si="399"/>
        <v/>
      </c>
      <c r="F200" s="603" t="str">
        <f t="shared" si="399"/>
        <v/>
      </c>
      <c r="G200" s="617">
        <f t="shared" si="5"/>
        <v>1674.565289</v>
      </c>
      <c r="H200" s="618" t="str">
        <f t="shared" ref="H200:I200" si="400">IF(H$2="","", IF(E200="",IF($K$16="Use global average",E$276,IF($K$16="Use regional average",INDEX(E$280:E$296,MATCH($B200,$B$280:$B$296,0)),IF($K$16="Leave blank","",IF($K$16="Fill with zeros", 0,IF($K$16="Use global median",E$277,"Fill out I16"))))), E200))</f>
        <v/>
      </c>
      <c r="I200" s="618" t="str">
        <f t="shared" si="400"/>
        <v/>
      </c>
      <c r="J200" s="613" t="s">
        <v>893</v>
      </c>
      <c r="K200" s="159"/>
      <c r="L200" s="159" t="str">
        <f>IF(M200="","",IF(COUNTIF(Countries!$B$1:$H$271,M200)&gt;0,"",IF(COUNTIF(Countries!$M$1:$S$271,M200)&gt;0,"Not a country","ERROR – NOT LISTED. Add alt spelling to ''Countries'' tab")))</f>
        <v/>
      </c>
      <c r="M200" s="606"/>
      <c r="N200" s="159"/>
      <c r="O200" s="159"/>
      <c r="P200" s="159"/>
      <c r="Q200" s="159"/>
      <c r="R200" s="159"/>
      <c r="S200" s="159"/>
      <c r="T200" s="159"/>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c r="BS200" s="159"/>
      <c r="BT200" s="159"/>
      <c r="BU200" s="159"/>
      <c r="BV200" s="159"/>
      <c r="BW200" s="159"/>
      <c r="BX200" s="159"/>
      <c r="BY200" s="159"/>
      <c r="BZ200" s="159"/>
      <c r="CA200" s="159"/>
      <c r="CB200" s="159"/>
      <c r="CC200" s="159"/>
    </row>
    <row r="201">
      <c r="A201" s="613" t="str">
        <f>Countries!B200</f>
        <v>European Union</v>
      </c>
      <c r="B201" s="614" t="str">
        <f>Countries!I200</f>
        <v>Europe</v>
      </c>
      <c r="C201" s="614" t="str">
        <f>IFERROR(IFERROR(IFERROR(IFERROR(IFERROR(IFERROR(IFERROR(MATCH(Countries!$B200,$M$3:$M$1003,0),MATCH(Countries!$C200,$M$3:$M$1003,0)),MATCH(Countries!$D200,$M$3:$M$1003,0)),MATCH(Countries!$E200,$M$3:$M$1003,0)),MATCH(Countries!$F200,$M$3:$M$1003,0)),MATCH(Countries!$G200,$M$3:$M$1003,0)),MATCH(Countries!$H200,$M$3:$M$1003,0)),"X")</f>
        <v>X</v>
      </c>
      <c r="D201" s="603" t="str">
        <f t="shared" ref="D201:F201" si="401">IF(G$2="","",IF($C201="X","",INDEX($N$3:$CC$1003,$C201,MATCH(G$2,$N$2:$CC$2,0))))</f>
        <v/>
      </c>
      <c r="E201" s="603" t="str">
        <f t="shared" si="401"/>
        <v/>
      </c>
      <c r="F201" s="603" t="str">
        <f t="shared" si="401"/>
        <v/>
      </c>
      <c r="G201" s="628">
        <f t="shared" si="5"/>
        <v>33026.35635</v>
      </c>
      <c r="H201" s="618" t="str">
        <f t="shared" ref="H201:I201" si="402">IF(H$2="","", IF(E201="",IF($K$16="Use global average",E$276,IF($K$16="Use regional average",INDEX(E$280:E$296,MATCH($B201,$B$280:$B$296,0)),IF($K$16="Leave blank","",IF($K$16="Fill with zeros", 0,IF($K$16="Use global median",E$277,"Fill out I16"))))), E201))</f>
        <v/>
      </c>
      <c r="I201" s="618" t="str">
        <f t="shared" si="402"/>
        <v/>
      </c>
      <c r="J201" s="159"/>
      <c r="K201" s="159"/>
      <c r="L201" s="159" t="str">
        <f>IF(M201="","",IF(COUNTIF(Countries!$B$1:$H$271,M201)&gt;0,"",IF(COUNTIF(Countries!$M$1:$S$271,M201)&gt;0,"Not a country","ERROR – NOT LISTED. Add alt spelling to ''Countries'' tab")))</f>
        <v/>
      </c>
      <c r="M201" s="606"/>
      <c r="N201" s="159"/>
      <c r="O201" s="159"/>
      <c r="P201" s="159"/>
      <c r="Q201" s="159"/>
      <c r="R201" s="159"/>
      <c r="S201" s="159"/>
      <c r="T201" s="159"/>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c r="BS201" s="159"/>
      <c r="BT201" s="159"/>
      <c r="BU201" s="159"/>
      <c r="BV201" s="159"/>
      <c r="BW201" s="159"/>
      <c r="BX201" s="159"/>
      <c r="BY201" s="159"/>
      <c r="BZ201" s="159"/>
      <c r="CA201" s="159"/>
      <c r="CB201" s="159"/>
      <c r="CC201" s="159"/>
    </row>
    <row r="202">
      <c r="A202" s="159" t="str">
        <f>Countries!B201</f>
        <v/>
      </c>
      <c r="B202" s="603" t="str">
        <f>Countries!I201</f>
        <v/>
      </c>
      <c r="C202" s="614" t="str">
        <f>IFERROR(IFERROR(IFERROR(IFERROR(IFERROR(IFERROR(IFERROR(MATCH(Countries!$B201,$M$3:$M$1003,0),MATCH(Countries!$C201,$M$3:$M$1003,0)),MATCH(Countries!$D201,$M$3:$M$1003,0)),MATCH(Countries!$E201,$M$3:$M$1003,0)),MATCH(Countries!$F201,$M$3:$M$1003,0)),MATCH(Countries!$G201,$M$3:$M$1003,0)),MATCH(Countries!$H201,$M$3:$M$1003,0)),"X")</f>
        <v>X</v>
      </c>
      <c r="D202" s="603" t="str">
        <f t="shared" ref="D202:F202" si="403">IF(G$2="","",IF($C202="X","",INDEX($N$3:$CC$1003,$C202,MATCH(G$2,$N$2:$CC$2,0))))</f>
        <v/>
      </c>
      <c r="E202" s="603" t="str">
        <f t="shared" si="403"/>
        <v/>
      </c>
      <c r="F202" s="603" t="str">
        <f t="shared" si="403"/>
        <v/>
      </c>
      <c r="G202" s="639" t="str">
        <f t="shared" si="5"/>
        <v/>
      </c>
      <c r="H202" s="618" t="str">
        <f t="shared" ref="H202:I202" si="404">IF(H$2="","", IF(E202="",IF($K$16="Use global average",E$276,IF($K$16="Use regional average",INDEX(E$280:E$296,MATCH($B202,$B$280:$B$296,0)),IF($K$16="Leave blank","",IF($K$16="Fill with zeros", 0,IF($K$16="Use global median",E$277,"Fill out I16"))))), E202))</f>
        <v/>
      </c>
      <c r="I202" s="618" t="str">
        <f t="shared" si="404"/>
        <v/>
      </c>
      <c r="J202" s="159"/>
      <c r="K202" s="159"/>
      <c r="L202" s="159" t="str">
        <f>IF(M202="","",IF(COUNTIF(Countries!$B$1:$H$271,M202)&gt;0,"",IF(COUNTIF(Countries!$M$1:$S$271,M202)&gt;0,"Not a country","ERROR – NOT LISTED. Add alt spelling to ''Countries'' tab")))</f>
        <v/>
      </c>
      <c r="M202" s="606"/>
      <c r="N202" s="159"/>
      <c r="O202" s="159"/>
      <c r="P202" s="159"/>
      <c r="Q202" s="159"/>
      <c r="R202" s="159"/>
      <c r="S202" s="159"/>
      <c r="T202" s="159"/>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c r="BS202" s="159"/>
      <c r="BT202" s="159"/>
      <c r="BU202" s="159"/>
      <c r="BV202" s="159"/>
      <c r="BW202" s="159"/>
      <c r="BX202" s="159"/>
      <c r="BY202" s="159"/>
      <c r="BZ202" s="159"/>
      <c r="CA202" s="159"/>
      <c r="CB202" s="159"/>
      <c r="CC202" s="159"/>
    </row>
    <row r="203">
      <c r="A203" s="159" t="str">
        <f>Countries!B202</f>
        <v/>
      </c>
      <c r="B203" s="603" t="str">
        <f>Countries!I202</f>
        <v/>
      </c>
      <c r="C203" s="614" t="str">
        <f>IFERROR(IFERROR(IFERROR(IFERROR(IFERROR(IFERROR(IFERROR(MATCH(Countries!$B202,$M$3:$M$1003,0),MATCH(Countries!$C202,$M$3:$M$1003,0)),MATCH(Countries!$D202,$M$3:$M$1003,0)),MATCH(Countries!$E202,$M$3:$M$1003,0)),MATCH(Countries!$F202,$M$3:$M$1003,0)),MATCH(Countries!$G202,$M$3:$M$1003,0)),MATCH(Countries!$H202,$M$3:$M$1003,0)),"X")</f>
        <v>X</v>
      </c>
      <c r="D203" s="603" t="str">
        <f t="shared" ref="D203:F203" si="405">IF(G$2="","",IF($C203="X","",INDEX($N$3:$CC$1003,$C203,MATCH(G$2,$N$2:$CC$2,0))))</f>
        <v/>
      </c>
      <c r="E203" s="603" t="str">
        <f t="shared" si="405"/>
        <v/>
      </c>
      <c r="F203" s="603" t="str">
        <f t="shared" si="405"/>
        <v/>
      </c>
      <c r="G203" s="639" t="str">
        <f t="shared" si="5"/>
        <v/>
      </c>
      <c r="H203" s="618" t="str">
        <f t="shared" ref="H203:I203" si="406">IF(H$2="","", IF(E203="",IF($K$16="Use global average",E$276,IF($K$16="Use regional average",INDEX(E$280:E$296,MATCH($B203,$B$280:$B$296,0)),IF($K$16="Leave blank","",IF($K$16="Fill with zeros", 0,IF($K$16="Use global median",E$277,"Fill out I16"))))), E203))</f>
        <v/>
      </c>
      <c r="I203" s="618" t="str">
        <f t="shared" si="406"/>
        <v/>
      </c>
      <c r="J203" s="159"/>
      <c r="K203" s="159"/>
      <c r="L203" s="159" t="str">
        <f>IF(M203="","",IF(COUNTIF(Countries!$B$1:$H$271,M203)&gt;0,"",IF(COUNTIF(Countries!$M$1:$S$271,M203)&gt;0,"Not a country","ERROR – NOT LISTED. Add alt spelling to ''Countries'' tab")))</f>
        <v/>
      </c>
      <c r="M203" s="606"/>
      <c r="N203" s="159"/>
      <c r="O203" s="159"/>
      <c r="P203" s="159"/>
      <c r="Q203" s="159"/>
      <c r="R203" s="159"/>
      <c r="S203" s="159"/>
      <c r="T203" s="159"/>
      <c r="U203" s="159"/>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c r="BS203" s="159"/>
      <c r="BT203" s="159"/>
      <c r="BU203" s="159"/>
      <c r="BV203" s="159"/>
      <c r="BW203" s="159"/>
      <c r="BX203" s="159"/>
      <c r="BY203" s="159"/>
      <c r="BZ203" s="159"/>
      <c r="CA203" s="159"/>
      <c r="CB203" s="159"/>
      <c r="CC203" s="159"/>
    </row>
    <row r="204">
      <c r="A204" s="159" t="str">
        <f>Countries!B203</f>
        <v/>
      </c>
      <c r="B204" s="603" t="str">
        <f>Countries!I203</f>
        <v/>
      </c>
      <c r="C204" s="614" t="str">
        <f>IFERROR(IFERROR(IFERROR(IFERROR(IFERROR(IFERROR(IFERROR(MATCH(Countries!$B203,$M$3:$M$1003,0),MATCH(Countries!$C203,$M$3:$M$1003,0)),MATCH(Countries!$D203,$M$3:$M$1003,0)),MATCH(Countries!$E203,$M$3:$M$1003,0)),MATCH(Countries!$F203,$M$3:$M$1003,0)),MATCH(Countries!$G203,$M$3:$M$1003,0)),MATCH(Countries!$H203,$M$3:$M$1003,0)),"X")</f>
        <v>X</v>
      </c>
      <c r="D204" s="603" t="str">
        <f t="shared" ref="D204:F204" si="407">IF(G$2="","",IF($C204="X","",INDEX($N$3:$CC$1003,$C204,MATCH(G$2,$N$2:$CC$2,0))))</f>
        <v/>
      </c>
      <c r="E204" s="603" t="str">
        <f t="shared" si="407"/>
        <v/>
      </c>
      <c r="F204" s="603" t="str">
        <f t="shared" si="407"/>
        <v/>
      </c>
      <c r="G204" s="639" t="str">
        <f t="shared" si="5"/>
        <v/>
      </c>
      <c r="H204" s="618" t="str">
        <f t="shared" ref="H204:I204" si="408">IF(H$2="","", IF(E204="",IF($K$16="Use global average",E$276,IF($K$16="Use regional average",INDEX(E$280:E$296,MATCH($B204,$B$280:$B$296,0)),IF($K$16="Leave blank","",IF($K$16="Fill with zeros", 0,IF($K$16="Use global median",E$277,"Fill out I16"))))), E204))</f>
        <v/>
      </c>
      <c r="I204" s="618" t="str">
        <f t="shared" si="408"/>
        <v/>
      </c>
      <c r="J204" s="159"/>
      <c r="K204" s="159"/>
      <c r="L204" s="159" t="str">
        <f>IF(M204="","",IF(COUNTIF(Countries!$B$1:$H$271,M204)&gt;0,"",IF(COUNTIF(Countries!$M$1:$S$271,M204)&gt;0,"Not a country","ERROR – NOT LISTED. Add alt spelling to ''Countries'' tab")))</f>
        <v/>
      </c>
      <c r="M204" s="606"/>
      <c r="N204" s="159"/>
      <c r="O204" s="159"/>
      <c r="P204" s="159"/>
      <c r="Q204" s="159"/>
      <c r="R204" s="159"/>
      <c r="S204" s="159"/>
      <c r="T204" s="159"/>
      <c r="U204" s="159"/>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c r="BS204" s="159"/>
      <c r="BT204" s="159"/>
      <c r="BU204" s="159"/>
      <c r="BV204" s="159"/>
      <c r="BW204" s="159"/>
      <c r="BX204" s="159"/>
      <c r="BY204" s="159"/>
      <c r="BZ204" s="159"/>
      <c r="CA204" s="159"/>
      <c r="CB204" s="159"/>
      <c r="CC204" s="159"/>
    </row>
    <row r="205">
      <c r="A205" s="159" t="str">
        <f>Countries!B204</f>
        <v/>
      </c>
      <c r="B205" s="603" t="str">
        <f>Countries!I204</f>
        <v/>
      </c>
      <c r="C205" s="614" t="str">
        <f>IFERROR(IFERROR(IFERROR(IFERROR(IFERROR(IFERROR(IFERROR(MATCH(Countries!$B204,$M$3:$M$1003,0),MATCH(Countries!$C204,$M$3:$M$1003,0)),MATCH(Countries!$D204,$M$3:$M$1003,0)),MATCH(Countries!$E204,$M$3:$M$1003,0)),MATCH(Countries!$F204,$M$3:$M$1003,0)),MATCH(Countries!$G204,$M$3:$M$1003,0)),MATCH(Countries!$H204,$M$3:$M$1003,0)),"X")</f>
        <v>X</v>
      </c>
      <c r="D205" s="603" t="str">
        <f t="shared" ref="D205:F205" si="409">IF(G$2="","",IF($C205="X","",INDEX($N$3:$CC$1003,$C205,MATCH(G$2,$N$2:$CC$2,0))))</f>
        <v/>
      </c>
      <c r="E205" s="603" t="str">
        <f t="shared" si="409"/>
        <v/>
      </c>
      <c r="F205" s="603" t="str">
        <f t="shared" si="409"/>
        <v/>
      </c>
      <c r="G205" s="639" t="str">
        <f t="shared" si="5"/>
        <v/>
      </c>
      <c r="H205" s="618" t="str">
        <f t="shared" ref="H205:I205" si="410">IF(H$2="","", IF(E205="",IF($K$16="Use global average",E$276,IF($K$16="Use regional average",INDEX(E$280:E$296,MATCH($B205,$B$280:$B$296,0)),IF($K$16="Leave blank","",IF($K$16="Fill with zeros", 0,IF($K$16="Use global median",E$277,"Fill out I16"))))), E205))</f>
        <v/>
      </c>
      <c r="I205" s="618" t="str">
        <f t="shared" si="410"/>
        <v/>
      </c>
      <c r="J205" s="159"/>
      <c r="K205" s="159"/>
      <c r="L205" s="159" t="str">
        <f>IF(M205="","",IF(COUNTIF(Countries!$B$1:$H$271,M205)&gt;0,"",IF(COUNTIF(Countries!$M$1:$S$271,M205)&gt;0,"Not a country","ERROR – NOT LISTED. Add alt spelling to ''Countries'' tab")))</f>
        <v/>
      </c>
      <c r="M205" s="606"/>
      <c r="N205" s="159"/>
      <c r="O205" s="159"/>
      <c r="P205" s="159"/>
      <c r="Q205" s="159"/>
      <c r="R205" s="159"/>
      <c r="S205" s="159"/>
      <c r="T205" s="159"/>
      <c r="U205" s="159"/>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c r="BS205" s="159"/>
      <c r="BT205" s="159"/>
      <c r="BU205" s="159"/>
      <c r="BV205" s="159"/>
      <c r="BW205" s="159"/>
      <c r="BX205" s="159"/>
      <c r="BY205" s="159"/>
      <c r="BZ205" s="159"/>
      <c r="CA205" s="159"/>
      <c r="CB205" s="159"/>
      <c r="CC205" s="159"/>
    </row>
    <row r="206">
      <c r="A206" s="159" t="str">
        <f>Countries!B205</f>
        <v/>
      </c>
      <c r="B206" s="603" t="str">
        <f>Countries!I205</f>
        <v/>
      </c>
      <c r="C206" s="614" t="str">
        <f>IFERROR(IFERROR(IFERROR(IFERROR(IFERROR(IFERROR(IFERROR(MATCH(Countries!$B205,$M$3:$M$1003,0),MATCH(Countries!$C205,$M$3:$M$1003,0)),MATCH(Countries!$D205,$M$3:$M$1003,0)),MATCH(Countries!$E205,$M$3:$M$1003,0)),MATCH(Countries!$F205,$M$3:$M$1003,0)),MATCH(Countries!$G205,$M$3:$M$1003,0)),MATCH(Countries!$H205,$M$3:$M$1003,0)),"X")</f>
        <v>X</v>
      </c>
      <c r="D206" s="603" t="str">
        <f t="shared" ref="D206:F206" si="411">IF(G$2="","",IF($C206="X","",INDEX($N$3:$CC$1003,$C206,MATCH(G$2,$N$2:$CC$2,0))))</f>
        <v/>
      </c>
      <c r="E206" s="603" t="str">
        <f t="shared" si="411"/>
        <v/>
      </c>
      <c r="F206" s="603" t="str">
        <f t="shared" si="411"/>
        <v/>
      </c>
      <c r="G206" s="639" t="str">
        <f t="shared" si="5"/>
        <v/>
      </c>
      <c r="H206" s="618" t="str">
        <f t="shared" ref="H206:I206" si="412">IF(H$2="","", IF(E206="",IF($K$16="Use global average",E$276,IF($K$16="Use regional average",INDEX(E$280:E$296,MATCH($B206,$B$280:$B$296,0)),IF($K$16="Leave blank","",IF($K$16="Fill with zeros", 0,IF($K$16="Use global median",E$277,"Fill out I16"))))), E206))</f>
        <v/>
      </c>
      <c r="I206" s="618" t="str">
        <f t="shared" si="412"/>
        <v/>
      </c>
      <c r="J206" s="159"/>
      <c r="K206" s="159"/>
      <c r="L206" s="159" t="str">
        <f>IF(M206="","",IF(COUNTIF(Countries!$B$1:$H$271,M206)&gt;0,"",IF(COUNTIF(Countries!$M$1:$S$271,M206)&gt;0,"Not a country","ERROR – NOT LISTED. Add alt spelling to ''Countries'' tab")))</f>
        <v/>
      </c>
      <c r="M206" s="606"/>
      <c r="N206" s="159"/>
      <c r="O206" s="159"/>
      <c r="P206" s="159"/>
      <c r="Q206" s="159"/>
      <c r="R206" s="159"/>
      <c r="S206" s="159"/>
      <c r="T206" s="159"/>
      <c r="U206" s="159"/>
      <c r="V206" s="159"/>
      <c r="W206" s="159"/>
      <c r="X206" s="159"/>
      <c r="Y206" s="159"/>
      <c r="Z206" s="159"/>
      <c r="AA206" s="159"/>
      <c r="AB206" s="159"/>
      <c r="AC206" s="159"/>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c r="BS206" s="159"/>
      <c r="BT206" s="159"/>
      <c r="BU206" s="159"/>
      <c r="BV206" s="159"/>
      <c r="BW206" s="159"/>
      <c r="BX206" s="159"/>
      <c r="BY206" s="159"/>
      <c r="BZ206" s="159"/>
      <c r="CA206" s="159"/>
      <c r="CB206" s="159"/>
      <c r="CC206" s="159"/>
    </row>
    <row r="207">
      <c r="A207" s="159" t="str">
        <f>Countries!B206</f>
        <v/>
      </c>
      <c r="B207" s="603" t="str">
        <f>Countries!I206</f>
        <v/>
      </c>
      <c r="C207" s="614" t="str">
        <f>IFERROR(IFERROR(IFERROR(IFERROR(IFERROR(IFERROR(IFERROR(MATCH(Countries!$B206,$M$3:$M$1003,0),MATCH(Countries!$C206,$M$3:$M$1003,0)),MATCH(Countries!$D206,$M$3:$M$1003,0)),MATCH(Countries!$E206,$M$3:$M$1003,0)),MATCH(Countries!$F206,$M$3:$M$1003,0)),MATCH(Countries!$G206,$M$3:$M$1003,0)),MATCH(Countries!$H206,$M$3:$M$1003,0)),"X")</f>
        <v>X</v>
      </c>
      <c r="D207" s="603" t="str">
        <f t="shared" ref="D207:F207" si="413">IF(G$2="","",IF($C207="X","",INDEX($N$3:$CC$1003,$C207,MATCH(G$2,$N$2:$CC$2,0))))</f>
        <v/>
      </c>
      <c r="E207" s="603" t="str">
        <f t="shared" si="413"/>
        <v/>
      </c>
      <c r="F207" s="603" t="str">
        <f t="shared" si="413"/>
        <v/>
      </c>
      <c r="G207" s="639" t="str">
        <f t="shared" si="5"/>
        <v/>
      </c>
      <c r="H207" s="618" t="str">
        <f t="shared" ref="H207:I207" si="414">IF(H$2="","", IF(E207="",IF($K$16="Use global average",E$276,IF($K$16="Use regional average",INDEX(E$280:E$296,MATCH($B207,$B$280:$B$296,0)),IF($K$16="Leave blank","",IF($K$16="Fill with zeros", 0,IF($K$16="Use global median",E$277,"Fill out I16"))))), E207))</f>
        <v/>
      </c>
      <c r="I207" s="618" t="str">
        <f t="shared" si="414"/>
        <v/>
      </c>
      <c r="J207" s="159"/>
      <c r="K207" s="159"/>
      <c r="L207" s="159" t="str">
        <f>IF(M207="","",IF(COUNTIF(Countries!$B$1:$H$271,M207)&gt;0,"",IF(COUNTIF(Countries!$M$1:$S$271,M207)&gt;0,"Not a country","ERROR – NOT LISTED. Add alt spelling to ''Countries'' tab")))</f>
        <v/>
      </c>
      <c r="M207" s="606"/>
      <c r="N207" s="159"/>
      <c r="O207" s="159"/>
      <c r="P207" s="159"/>
      <c r="Q207" s="159"/>
      <c r="R207" s="159"/>
      <c r="S207" s="159"/>
      <c r="T207" s="159"/>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59"/>
      <c r="AR207" s="159"/>
      <c r="AS207" s="159"/>
      <c r="AT207" s="159"/>
      <c r="AU207" s="159"/>
      <c r="AV207" s="159"/>
      <c r="AW207" s="159"/>
      <c r="AX207" s="159"/>
      <c r="AY207" s="159"/>
      <c r="AZ207" s="159"/>
      <c r="BA207" s="159"/>
      <c r="BB207" s="159"/>
      <c r="BC207" s="159"/>
      <c r="BD207" s="159"/>
      <c r="BE207" s="159"/>
      <c r="BF207" s="159"/>
      <c r="BG207" s="159"/>
      <c r="BH207" s="159"/>
      <c r="BI207" s="159"/>
      <c r="BJ207" s="159"/>
      <c r="BK207" s="159"/>
      <c r="BL207" s="159"/>
      <c r="BM207" s="159"/>
      <c r="BN207" s="159"/>
      <c r="BO207" s="159"/>
      <c r="BP207" s="159"/>
      <c r="BQ207" s="159"/>
      <c r="BR207" s="159"/>
      <c r="BS207" s="159"/>
      <c r="BT207" s="159"/>
      <c r="BU207" s="159"/>
      <c r="BV207" s="159"/>
      <c r="BW207" s="159"/>
      <c r="BX207" s="159"/>
      <c r="BY207" s="159"/>
      <c r="BZ207" s="159"/>
      <c r="CA207" s="159"/>
      <c r="CB207" s="159"/>
      <c r="CC207" s="159"/>
    </row>
    <row r="208">
      <c r="A208" s="159" t="str">
        <f>Countries!B207</f>
        <v/>
      </c>
      <c r="B208" s="603" t="str">
        <f>Countries!I207</f>
        <v/>
      </c>
      <c r="C208" s="614" t="str">
        <f>IFERROR(IFERROR(IFERROR(IFERROR(IFERROR(IFERROR(IFERROR(MATCH(Countries!$B207,$M$3:$M$1003,0),MATCH(Countries!$C207,$M$3:$M$1003,0)),MATCH(Countries!$D207,$M$3:$M$1003,0)),MATCH(Countries!$E207,$M$3:$M$1003,0)),MATCH(Countries!$F207,$M$3:$M$1003,0)),MATCH(Countries!$G207,$M$3:$M$1003,0)),MATCH(Countries!$H207,$M$3:$M$1003,0)),"X")</f>
        <v>X</v>
      </c>
      <c r="D208" s="603" t="str">
        <f t="shared" ref="D208:F208" si="415">IF(G$2="","",IF($C208="X","",INDEX($N$3:$CC$1003,$C208,MATCH(G$2,$N$2:$CC$2,0))))</f>
        <v/>
      </c>
      <c r="E208" s="603" t="str">
        <f t="shared" si="415"/>
        <v/>
      </c>
      <c r="F208" s="603" t="str">
        <f t="shared" si="415"/>
        <v/>
      </c>
      <c r="G208" s="639" t="str">
        <f t="shared" si="5"/>
        <v/>
      </c>
      <c r="H208" s="618" t="str">
        <f t="shared" ref="H208:I208" si="416">IF(H$2="","", IF(E208="",IF($K$16="Use global average",E$276,IF($K$16="Use regional average",INDEX(E$280:E$296,MATCH($B208,$B$280:$B$296,0)),IF($K$16="Leave blank","",IF($K$16="Fill with zeros", 0,IF($K$16="Use global median",E$277,"Fill out I16"))))), E208))</f>
        <v/>
      </c>
      <c r="I208" s="618" t="str">
        <f t="shared" si="416"/>
        <v/>
      </c>
      <c r="J208" s="159"/>
      <c r="K208" s="159"/>
      <c r="L208" s="159" t="str">
        <f>IF(M208="","",IF(COUNTIF(Countries!$B$1:$H$271,M208)&gt;0,"",IF(COUNTIF(Countries!$M$1:$S$271,M208)&gt;0,"Not a country","ERROR – NOT LISTED. Add alt spelling to ''Countries'' tab")))</f>
        <v/>
      </c>
      <c r="M208" s="606"/>
      <c r="N208" s="159"/>
      <c r="O208" s="159"/>
      <c r="P208" s="159"/>
      <c r="Q208" s="159"/>
      <c r="R208" s="159"/>
      <c r="S208" s="159"/>
      <c r="T208" s="159"/>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59"/>
      <c r="AR208" s="159"/>
      <c r="AS208" s="159"/>
      <c r="AT208" s="159"/>
      <c r="AU208" s="159"/>
      <c r="AV208" s="159"/>
      <c r="AW208" s="159"/>
      <c r="AX208" s="159"/>
      <c r="AY208" s="159"/>
      <c r="AZ208" s="159"/>
      <c r="BA208" s="159"/>
      <c r="BB208" s="159"/>
      <c r="BC208" s="159"/>
      <c r="BD208" s="159"/>
      <c r="BE208" s="159"/>
      <c r="BF208" s="159"/>
      <c r="BG208" s="159"/>
      <c r="BH208" s="159"/>
      <c r="BI208" s="159"/>
      <c r="BJ208" s="159"/>
      <c r="BK208" s="159"/>
      <c r="BL208" s="159"/>
      <c r="BM208" s="159"/>
      <c r="BN208" s="159"/>
      <c r="BO208" s="159"/>
      <c r="BP208" s="159"/>
      <c r="BQ208" s="159"/>
      <c r="BR208" s="159"/>
      <c r="BS208" s="159"/>
      <c r="BT208" s="159"/>
      <c r="BU208" s="159"/>
      <c r="BV208" s="159"/>
      <c r="BW208" s="159"/>
      <c r="BX208" s="159"/>
      <c r="BY208" s="159"/>
      <c r="BZ208" s="159"/>
      <c r="CA208" s="159"/>
      <c r="CB208" s="159"/>
      <c r="CC208" s="159"/>
    </row>
    <row r="209">
      <c r="A209" s="159" t="str">
        <f>Countries!B208</f>
        <v/>
      </c>
      <c r="B209" s="603" t="str">
        <f>Countries!I208</f>
        <v/>
      </c>
      <c r="C209" s="614" t="str">
        <f>IFERROR(IFERROR(IFERROR(IFERROR(IFERROR(IFERROR(IFERROR(MATCH(Countries!$B208,$M$3:$M$1003,0),MATCH(Countries!$C208,$M$3:$M$1003,0)),MATCH(Countries!$D208,$M$3:$M$1003,0)),MATCH(Countries!$E208,$M$3:$M$1003,0)),MATCH(Countries!$F208,$M$3:$M$1003,0)),MATCH(Countries!$G208,$M$3:$M$1003,0)),MATCH(Countries!$H208,$M$3:$M$1003,0)),"X")</f>
        <v>X</v>
      </c>
      <c r="D209" s="603" t="str">
        <f t="shared" ref="D209:F209" si="417">IF(G$2="","",IF($C209="X","",INDEX($N$3:$CC$1003,$C209,MATCH(G$2,$N$2:$CC$2,0))))</f>
        <v/>
      </c>
      <c r="E209" s="603" t="str">
        <f t="shared" si="417"/>
        <v/>
      </c>
      <c r="F209" s="603" t="str">
        <f t="shared" si="417"/>
        <v/>
      </c>
      <c r="G209" s="639" t="str">
        <f t="shared" si="5"/>
        <v/>
      </c>
      <c r="H209" s="618" t="str">
        <f t="shared" ref="H209:I209" si="418">IF(H$2="","", IF(E209="",IF($K$16="Use global average",E$276,IF($K$16="Use regional average",INDEX(E$280:E$296,MATCH($B209,$B$280:$B$296,0)),IF($K$16="Leave blank","",IF($K$16="Fill with zeros", 0,IF($K$16="Use global median",E$277,"Fill out I16"))))), E209))</f>
        <v/>
      </c>
      <c r="I209" s="618" t="str">
        <f t="shared" si="418"/>
        <v/>
      </c>
      <c r="J209" s="159"/>
      <c r="K209" s="159"/>
      <c r="L209" s="159" t="str">
        <f>IF(M209="","",IF(COUNTIF(Countries!$B$1:$H$271,M209)&gt;0,"",IF(COUNTIF(Countries!$M$1:$S$271,M209)&gt;0,"Not a country","ERROR – NOT LISTED. Add alt spelling to ''Countries'' tab")))</f>
        <v/>
      </c>
      <c r="M209" s="606"/>
      <c r="N209" s="159"/>
      <c r="O209" s="159"/>
      <c r="P209" s="159"/>
      <c r="Q209" s="159"/>
      <c r="R209" s="159"/>
      <c r="S209" s="159"/>
      <c r="T209" s="159"/>
      <c r="U209" s="159"/>
      <c r="V209" s="159"/>
      <c r="W209" s="159"/>
      <c r="X209" s="159"/>
      <c r="Y209" s="159"/>
      <c r="Z209" s="159"/>
      <c r="AA209" s="159"/>
      <c r="AB209" s="159"/>
      <c r="AC209" s="159"/>
      <c r="AD209" s="159"/>
      <c r="AE209" s="159"/>
      <c r="AF209" s="159"/>
      <c r="AG209" s="159"/>
      <c r="AH209" s="159"/>
      <c r="AI209" s="159"/>
      <c r="AJ209" s="159"/>
      <c r="AK209" s="159"/>
      <c r="AL209" s="159"/>
      <c r="AM209" s="159"/>
      <c r="AN209" s="159"/>
      <c r="AO209" s="159"/>
      <c r="AP209" s="159"/>
      <c r="AQ209" s="159"/>
      <c r="AR209" s="159"/>
      <c r="AS209" s="159"/>
      <c r="AT209" s="159"/>
      <c r="AU209" s="159"/>
      <c r="AV209" s="159"/>
      <c r="AW209" s="159"/>
      <c r="AX209" s="159"/>
      <c r="AY209" s="159"/>
      <c r="AZ209" s="159"/>
      <c r="BA209" s="159"/>
      <c r="BB209" s="159"/>
      <c r="BC209" s="159"/>
      <c r="BD209" s="159"/>
      <c r="BE209" s="159"/>
      <c r="BF209" s="159"/>
      <c r="BG209" s="159"/>
      <c r="BH209" s="159"/>
      <c r="BI209" s="159"/>
      <c r="BJ209" s="159"/>
      <c r="BK209" s="159"/>
      <c r="BL209" s="159"/>
      <c r="BM209" s="159"/>
      <c r="BN209" s="159"/>
      <c r="BO209" s="159"/>
      <c r="BP209" s="159"/>
      <c r="BQ209" s="159"/>
      <c r="BR209" s="159"/>
      <c r="BS209" s="159"/>
      <c r="BT209" s="159"/>
      <c r="BU209" s="159"/>
      <c r="BV209" s="159"/>
      <c r="BW209" s="159"/>
      <c r="BX209" s="159"/>
      <c r="BY209" s="159"/>
      <c r="BZ209" s="159"/>
      <c r="CA209" s="159"/>
      <c r="CB209" s="159"/>
      <c r="CC209" s="159"/>
    </row>
    <row r="210">
      <c r="A210" s="159" t="str">
        <f>Countries!B209</f>
        <v/>
      </c>
      <c r="B210" s="603" t="str">
        <f>Countries!I209</f>
        <v/>
      </c>
      <c r="C210" s="614" t="str">
        <f>IFERROR(IFERROR(IFERROR(IFERROR(IFERROR(IFERROR(IFERROR(MATCH(Countries!$B209,$M$3:$M$1003,0),MATCH(Countries!$C209,$M$3:$M$1003,0)),MATCH(Countries!$D209,$M$3:$M$1003,0)),MATCH(Countries!$E209,$M$3:$M$1003,0)),MATCH(Countries!$F209,$M$3:$M$1003,0)),MATCH(Countries!$G209,$M$3:$M$1003,0)),MATCH(Countries!$H209,$M$3:$M$1003,0)),"X")</f>
        <v>X</v>
      </c>
      <c r="D210" s="603" t="str">
        <f t="shared" ref="D210:F210" si="419">IF(G$2="","",IF($C210="X","",INDEX($N$3:$CC$1003,$C210,MATCH(G$2,$N$2:$CC$2,0))))</f>
        <v/>
      </c>
      <c r="E210" s="603" t="str">
        <f t="shared" si="419"/>
        <v/>
      </c>
      <c r="F210" s="603" t="str">
        <f t="shared" si="419"/>
        <v/>
      </c>
      <c r="G210" s="639" t="str">
        <f t="shared" si="5"/>
        <v/>
      </c>
      <c r="H210" s="618" t="str">
        <f t="shared" ref="H210:I210" si="420">IF(H$2="","", IF(E210="",IF($K$16="Use global average",E$276,IF($K$16="Use regional average",INDEX(E$280:E$296,MATCH($B210,$B$280:$B$296,0)),IF($K$16="Leave blank","",IF($K$16="Fill with zeros", 0,IF($K$16="Use global median",E$277,"Fill out I16"))))), E210))</f>
        <v/>
      </c>
      <c r="I210" s="618" t="str">
        <f t="shared" si="420"/>
        <v/>
      </c>
      <c r="J210" s="159"/>
      <c r="K210" s="159"/>
      <c r="L210" s="159" t="str">
        <f>IF(M210="","",IF(COUNTIF(Countries!$B$1:$H$271,M210)&gt;0,"",IF(COUNTIF(Countries!$M$1:$S$271,M210)&gt;0,"Not a country","ERROR – NOT LISTED. Add alt spelling to ''Countries'' tab")))</f>
        <v/>
      </c>
      <c r="M210" s="606"/>
      <c r="N210" s="159"/>
      <c r="O210" s="159"/>
      <c r="P210" s="159"/>
      <c r="Q210" s="159"/>
      <c r="R210" s="159"/>
      <c r="S210" s="159"/>
      <c r="T210" s="159"/>
      <c r="U210" s="159"/>
      <c r="V210" s="159"/>
      <c r="W210" s="159"/>
      <c r="X210" s="159"/>
      <c r="Y210" s="159"/>
      <c r="Z210" s="159"/>
      <c r="AA210" s="159"/>
      <c r="AB210" s="159"/>
      <c r="AC210" s="159"/>
      <c r="AD210" s="159"/>
      <c r="AE210" s="159"/>
      <c r="AF210" s="159"/>
      <c r="AG210" s="159"/>
      <c r="AH210" s="159"/>
      <c r="AI210" s="159"/>
      <c r="AJ210" s="159"/>
      <c r="AK210" s="159"/>
      <c r="AL210" s="159"/>
      <c r="AM210" s="159"/>
      <c r="AN210" s="159"/>
      <c r="AO210" s="159"/>
      <c r="AP210" s="159"/>
      <c r="AQ210" s="159"/>
      <c r="AR210" s="159"/>
      <c r="AS210" s="159"/>
      <c r="AT210" s="159"/>
      <c r="AU210" s="159"/>
      <c r="AV210" s="159"/>
      <c r="AW210" s="159"/>
      <c r="AX210" s="159"/>
      <c r="AY210" s="159"/>
      <c r="AZ210" s="159"/>
      <c r="BA210" s="159"/>
      <c r="BB210" s="159"/>
      <c r="BC210" s="159"/>
      <c r="BD210" s="159"/>
      <c r="BE210" s="159"/>
      <c r="BF210" s="159"/>
      <c r="BG210" s="159"/>
      <c r="BH210" s="159"/>
      <c r="BI210" s="159"/>
      <c r="BJ210" s="159"/>
      <c r="BK210" s="159"/>
      <c r="BL210" s="159"/>
      <c r="BM210" s="159"/>
      <c r="BN210" s="159"/>
      <c r="BO210" s="159"/>
      <c r="BP210" s="159"/>
      <c r="BQ210" s="159"/>
      <c r="BR210" s="159"/>
      <c r="BS210" s="159"/>
      <c r="BT210" s="159"/>
      <c r="BU210" s="159"/>
      <c r="BV210" s="159"/>
      <c r="BW210" s="159"/>
      <c r="BX210" s="159"/>
      <c r="BY210" s="159"/>
      <c r="BZ210" s="159"/>
      <c r="CA210" s="159"/>
      <c r="CB210" s="159"/>
      <c r="CC210" s="159"/>
    </row>
    <row r="211">
      <c r="A211" s="159" t="str">
        <f>Countries!B210</f>
        <v/>
      </c>
      <c r="B211" s="603" t="str">
        <f>Countries!I210</f>
        <v/>
      </c>
      <c r="C211" s="614" t="str">
        <f>IFERROR(IFERROR(IFERROR(IFERROR(IFERROR(IFERROR(IFERROR(MATCH(Countries!$B210,$M$3:$M$1003,0),MATCH(Countries!$C210,$M$3:$M$1003,0)),MATCH(Countries!$D210,$M$3:$M$1003,0)),MATCH(Countries!$E210,$M$3:$M$1003,0)),MATCH(Countries!$F210,$M$3:$M$1003,0)),MATCH(Countries!$G210,$M$3:$M$1003,0)),MATCH(Countries!$H210,$M$3:$M$1003,0)),"X")</f>
        <v>X</v>
      </c>
      <c r="D211" s="603" t="str">
        <f t="shared" ref="D211:F211" si="421">IF(G$2="","",IF($C211="X","",INDEX($N$3:$CC$1003,$C211,MATCH(G$2,$N$2:$CC$2,0))))</f>
        <v/>
      </c>
      <c r="E211" s="603" t="str">
        <f t="shared" si="421"/>
        <v/>
      </c>
      <c r="F211" s="603" t="str">
        <f t="shared" si="421"/>
        <v/>
      </c>
      <c r="G211" s="639" t="str">
        <f t="shared" si="5"/>
        <v/>
      </c>
      <c r="H211" s="618" t="str">
        <f t="shared" ref="H211:I211" si="422">IF(H$2="","", IF(E211="",IF($K$16="Use global average",E$276,IF($K$16="Use regional average",INDEX(E$280:E$296,MATCH($B211,$B$280:$B$296,0)),IF($K$16="Leave blank","",IF($K$16="Fill with zeros", 0,IF($K$16="Use global median",E$277,"Fill out I16"))))), E211))</f>
        <v/>
      </c>
      <c r="I211" s="618" t="str">
        <f t="shared" si="422"/>
        <v/>
      </c>
      <c r="J211" s="159"/>
      <c r="K211" s="159"/>
      <c r="L211" s="159" t="str">
        <f>IF(M211="","",IF(COUNTIF(Countries!$B$1:$H$271,M211)&gt;0,"",IF(COUNTIF(Countries!$M$1:$S$271,M211)&gt;0,"Not a country","ERROR – NOT LISTED. Add alt spelling to ''Countries'' tab")))</f>
        <v/>
      </c>
      <c r="M211" s="606"/>
      <c r="N211" s="159"/>
      <c r="O211" s="159"/>
      <c r="P211" s="159"/>
      <c r="Q211" s="159"/>
      <c r="R211" s="159"/>
      <c r="S211" s="159"/>
      <c r="T211" s="159"/>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59"/>
      <c r="AR211" s="159"/>
      <c r="AS211" s="159"/>
      <c r="AT211" s="159"/>
      <c r="AU211" s="159"/>
      <c r="AV211" s="159"/>
      <c r="AW211" s="159"/>
      <c r="AX211" s="159"/>
      <c r="AY211" s="159"/>
      <c r="AZ211" s="159"/>
      <c r="BA211" s="159"/>
      <c r="BB211" s="159"/>
      <c r="BC211" s="159"/>
      <c r="BD211" s="159"/>
      <c r="BE211" s="159"/>
      <c r="BF211" s="159"/>
      <c r="BG211" s="159"/>
      <c r="BH211" s="159"/>
      <c r="BI211" s="159"/>
      <c r="BJ211" s="159"/>
      <c r="BK211" s="159"/>
      <c r="BL211" s="159"/>
      <c r="BM211" s="159"/>
      <c r="BN211" s="159"/>
      <c r="BO211" s="159"/>
      <c r="BP211" s="159"/>
      <c r="BQ211" s="159"/>
      <c r="BR211" s="159"/>
      <c r="BS211" s="159"/>
      <c r="BT211" s="159"/>
      <c r="BU211" s="159"/>
      <c r="BV211" s="159"/>
      <c r="BW211" s="159"/>
      <c r="BX211" s="159"/>
      <c r="BY211" s="159"/>
      <c r="BZ211" s="159"/>
      <c r="CA211" s="159"/>
      <c r="CB211" s="159"/>
      <c r="CC211" s="159"/>
    </row>
    <row r="212">
      <c r="A212" s="159" t="str">
        <f>Countries!B211</f>
        <v/>
      </c>
      <c r="B212" s="603" t="str">
        <f>Countries!I211</f>
        <v/>
      </c>
      <c r="C212" s="614" t="str">
        <f>IFERROR(IFERROR(IFERROR(IFERROR(IFERROR(IFERROR(IFERROR(MATCH(Countries!$B211,$M$3:$M$1003,0),MATCH(Countries!$C211,$M$3:$M$1003,0)),MATCH(Countries!$D211,$M$3:$M$1003,0)),MATCH(Countries!$E211,$M$3:$M$1003,0)),MATCH(Countries!$F211,$M$3:$M$1003,0)),MATCH(Countries!$G211,$M$3:$M$1003,0)),MATCH(Countries!$H211,$M$3:$M$1003,0)),"X")</f>
        <v>X</v>
      </c>
      <c r="D212" s="603" t="str">
        <f t="shared" ref="D212:F212" si="423">IF(G$2="","",IF($C212="X","",INDEX($N$3:$CC$1003,$C212,MATCH(G$2,$N$2:$CC$2,0))))</f>
        <v/>
      </c>
      <c r="E212" s="603" t="str">
        <f t="shared" si="423"/>
        <v/>
      </c>
      <c r="F212" s="603" t="str">
        <f t="shared" si="423"/>
        <v/>
      </c>
      <c r="G212" s="639" t="str">
        <f t="shared" si="5"/>
        <v/>
      </c>
      <c r="H212" s="618" t="str">
        <f t="shared" ref="H212:I212" si="424">IF(H$2="","", IF(E212="",IF($K$16="Use global average",E$276,IF($K$16="Use regional average",INDEX(E$280:E$296,MATCH($B212,$B$280:$B$296,0)),IF($K$16="Leave blank","",IF($K$16="Fill with zeros", 0,IF($K$16="Use global median",E$277,"Fill out I16"))))), E212))</f>
        <v/>
      </c>
      <c r="I212" s="618" t="str">
        <f t="shared" si="424"/>
        <v/>
      </c>
      <c r="J212" s="159"/>
      <c r="K212" s="159"/>
      <c r="L212" s="159" t="str">
        <f>IF(M212="","",IF(COUNTIF(Countries!$B$1:$H$271,M212)&gt;0,"",IF(COUNTIF(Countries!$M$1:$S$271,M212)&gt;0,"Not a country","ERROR – NOT LISTED. Add alt spelling to ''Countries'' tab")))</f>
        <v/>
      </c>
      <c r="M212" s="606"/>
      <c r="N212" s="159"/>
      <c r="O212" s="159"/>
      <c r="P212" s="159"/>
      <c r="Q212" s="159"/>
      <c r="R212" s="159"/>
      <c r="S212" s="159"/>
      <c r="T212" s="159"/>
      <c r="U212" s="159"/>
      <c r="V212" s="159"/>
      <c r="W212" s="159"/>
      <c r="X212" s="159"/>
      <c r="Y212" s="159"/>
      <c r="Z212" s="159"/>
      <c r="AA212" s="159"/>
      <c r="AB212" s="159"/>
      <c r="AC212" s="159"/>
      <c r="AD212" s="159"/>
      <c r="AE212" s="159"/>
      <c r="AF212" s="159"/>
      <c r="AG212" s="159"/>
      <c r="AH212" s="159"/>
      <c r="AI212" s="159"/>
      <c r="AJ212" s="159"/>
      <c r="AK212" s="159"/>
      <c r="AL212" s="159"/>
      <c r="AM212" s="159"/>
      <c r="AN212" s="159"/>
      <c r="AO212" s="159"/>
      <c r="AP212" s="159"/>
      <c r="AQ212" s="159"/>
      <c r="AR212" s="159"/>
      <c r="AS212" s="159"/>
      <c r="AT212" s="159"/>
      <c r="AU212" s="159"/>
      <c r="AV212" s="159"/>
      <c r="AW212" s="159"/>
      <c r="AX212" s="159"/>
      <c r="AY212" s="159"/>
      <c r="AZ212" s="159"/>
      <c r="BA212" s="159"/>
      <c r="BB212" s="159"/>
      <c r="BC212" s="159"/>
      <c r="BD212" s="159"/>
      <c r="BE212" s="159"/>
      <c r="BF212" s="159"/>
      <c r="BG212" s="159"/>
      <c r="BH212" s="159"/>
      <c r="BI212" s="159"/>
      <c r="BJ212" s="159"/>
      <c r="BK212" s="159"/>
      <c r="BL212" s="159"/>
      <c r="BM212" s="159"/>
      <c r="BN212" s="159"/>
      <c r="BO212" s="159"/>
      <c r="BP212" s="159"/>
      <c r="BQ212" s="159"/>
      <c r="BR212" s="159"/>
      <c r="BS212" s="159"/>
      <c r="BT212" s="159"/>
      <c r="BU212" s="159"/>
      <c r="BV212" s="159"/>
      <c r="BW212" s="159"/>
      <c r="BX212" s="159"/>
      <c r="BY212" s="159"/>
      <c r="BZ212" s="159"/>
      <c r="CA212" s="159"/>
      <c r="CB212" s="159"/>
      <c r="CC212" s="159"/>
    </row>
    <row r="213">
      <c r="A213" s="159" t="str">
        <f>Countries!B212</f>
        <v/>
      </c>
      <c r="B213" s="603" t="str">
        <f>Countries!I212</f>
        <v/>
      </c>
      <c r="C213" s="614" t="str">
        <f>IFERROR(IFERROR(IFERROR(IFERROR(IFERROR(IFERROR(IFERROR(MATCH(Countries!$B212,$M$3:$M$1003,0),MATCH(Countries!$C212,$M$3:$M$1003,0)),MATCH(Countries!$D212,$M$3:$M$1003,0)),MATCH(Countries!$E212,$M$3:$M$1003,0)),MATCH(Countries!$F212,$M$3:$M$1003,0)),MATCH(Countries!$G212,$M$3:$M$1003,0)),MATCH(Countries!$H212,$M$3:$M$1003,0)),"X")</f>
        <v>X</v>
      </c>
      <c r="D213" s="603" t="str">
        <f t="shared" ref="D213:F213" si="425">IF(G$2="","",IF($C213="X","",INDEX($N$3:$CC$1003,$C213,MATCH(G$2,$N$2:$CC$2,0))))</f>
        <v/>
      </c>
      <c r="E213" s="603" t="str">
        <f t="shared" si="425"/>
        <v/>
      </c>
      <c r="F213" s="603" t="str">
        <f t="shared" si="425"/>
        <v/>
      </c>
      <c r="G213" s="639" t="str">
        <f t="shared" si="5"/>
        <v/>
      </c>
      <c r="H213" s="618" t="str">
        <f t="shared" ref="H213:I213" si="426">IF(H$2="","", IF(E213="",IF($K$16="Use global average",E$276,IF($K$16="Use regional average",INDEX(E$280:E$296,MATCH($B213,$B$280:$B$296,0)),IF($K$16="Leave blank","",IF($K$16="Fill with zeros", 0,IF($K$16="Use global median",E$277,"Fill out I16"))))), E213))</f>
        <v/>
      </c>
      <c r="I213" s="618" t="str">
        <f t="shared" si="426"/>
        <v/>
      </c>
      <c r="J213" s="159"/>
      <c r="K213" s="159"/>
      <c r="L213" s="159" t="str">
        <f>IF(M213="","",IF(COUNTIF(Countries!$B$1:$H$271,M213)&gt;0,"",IF(COUNTIF(Countries!$M$1:$S$271,M213)&gt;0,"Not a country","ERROR – NOT LISTED. Add alt spelling to ''Countries'' tab")))</f>
        <v/>
      </c>
      <c r="M213" s="606"/>
      <c r="N213" s="159"/>
      <c r="O213" s="159"/>
      <c r="P213" s="159"/>
      <c r="Q213" s="159"/>
      <c r="R213" s="159"/>
      <c r="S213" s="159"/>
      <c r="T213" s="159"/>
      <c r="U213" s="159"/>
      <c r="V213" s="159"/>
      <c r="W213" s="159"/>
      <c r="X213" s="159"/>
      <c r="Y213" s="159"/>
      <c r="Z213" s="159"/>
      <c r="AA213" s="159"/>
      <c r="AB213" s="159"/>
      <c r="AC213" s="159"/>
      <c r="AD213" s="159"/>
      <c r="AE213" s="159"/>
      <c r="AF213" s="159"/>
      <c r="AG213" s="159"/>
      <c r="AH213" s="159"/>
      <c r="AI213" s="159"/>
      <c r="AJ213" s="159"/>
      <c r="AK213" s="159"/>
      <c r="AL213" s="159"/>
      <c r="AM213" s="159"/>
      <c r="AN213" s="159"/>
      <c r="AO213" s="159"/>
      <c r="AP213" s="159"/>
      <c r="AQ213" s="159"/>
      <c r="AR213" s="159"/>
      <c r="AS213" s="159"/>
      <c r="AT213" s="159"/>
      <c r="AU213" s="159"/>
      <c r="AV213" s="159"/>
      <c r="AW213" s="159"/>
      <c r="AX213" s="159"/>
      <c r="AY213" s="159"/>
      <c r="AZ213" s="159"/>
      <c r="BA213" s="159"/>
      <c r="BB213" s="159"/>
      <c r="BC213" s="159"/>
      <c r="BD213" s="159"/>
      <c r="BE213" s="159"/>
      <c r="BF213" s="159"/>
      <c r="BG213" s="159"/>
      <c r="BH213" s="159"/>
      <c r="BI213" s="159"/>
      <c r="BJ213" s="159"/>
      <c r="BK213" s="159"/>
      <c r="BL213" s="159"/>
      <c r="BM213" s="159"/>
      <c r="BN213" s="159"/>
      <c r="BO213" s="159"/>
      <c r="BP213" s="159"/>
      <c r="BQ213" s="159"/>
      <c r="BR213" s="159"/>
      <c r="BS213" s="159"/>
      <c r="BT213" s="159"/>
      <c r="BU213" s="159"/>
      <c r="BV213" s="159"/>
      <c r="BW213" s="159"/>
      <c r="BX213" s="159"/>
      <c r="BY213" s="159"/>
      <c r="BZ213" s="159"/>
      <c r="CA213" s="159"/>
      <c r="CB213" s="159"/>
      <c r="CC213" s="159"/>
    </row>
    <row r="214">
      <c r="A214" s="159" t="str">
        <f>Countries!B213</f>
        <v/>
      </c>
      <c r="B214" s="603" t="str">
        <f>Countries!I213</f>
        <v/>
      </c>
      <c r="C214" s="614" t="str">
        <f>IFERROR(IFERROR(IFERROR(IFERROR(IFERROR(IFERROR(IFERROR(MATCH(Countries!$B213,$M$3:$M$1003,0),MATCH(Countries!$C213,$M$3:$M$1003,0)),MATCH(Countries!$D213,$M$3:$M$1003,0)),MATCH(Countries!$E213,$M$3:$M$1003,0)),MATCH(Countries!$F213,$M$3:$M$1003,0)),MATCH(Countries!$G213,$M$3:$M$1003,0)),MATCH(Countries!$H213,$M$3:$M$1003,0)),"X")</f>
        <v>X</v>
      </c>
      <c r="D214" s="603" t="str">
        <f t="shared" ref="D214:F214" si="427">IF(G$2="","",IF($C214="X","",INDEX($N$3:$CC$1003,$C214,MATCH(G$2,$N$2:$CC$2,0))))</f>
        <v/>
      </c>
      <c r="E214" s="603" t="str">
        <f t="shared" si="427"/>
        <v/>
      </c>
      <c r="F214" s="603" t="str">
        <f t="shared" si="427"/>
        <v/>
      </c>
      <c r="G214" s="639" t="str">
        <f t="shared" si="5"/>
        <v/>
      </c>
      <c r="H214" s="618" t="str">
        <f t="shared" ref="H214:I214" si="428">IF(H$2="","", IF(E214="",IF($K$16="Use global average",E$276,IF($K$16="Use regional average",INDEX(E$280:E$296,MATCH($B214,$B$280:$B$296,0)),IF($K$16="Leave blank","",IF($K$16="Fill with zeros", 0,IF($K$16="Use global median",E$277,"Fill out I16"))))), E214))</f>
        <v/>
      </c>
      <c r="I214" s="618" t="str">
        <f t="shared" si="428"/>
        <v/>
      </c>
      <c r="J214" s="159"/>
      <c r="K214" s="159"/>
      <c r="L214" s="159" t="str">
        <f>IF(M214="","",IF(COUNTIF(Countries!$B$1:$H$271,M214)&gt;0,"",IF(COUNTIF(Countries!$M$1:$S$271,M214)&gt;0,"Not a country","ERROR – NOT LISTED. Add alt spelling to ''Countries'' tab")))</f>
        <v/>
      </c>
      <c r="M214" s="606"/>
      <c r="N214" s="159"/>
      <c r="O214" s="159"/>
      <c r="P214" s="159"/>
      <c r="Q214" s="159"/>
      <c r="R214" s="159"/>
      <c r="S214" s="159"/>
      <c r="T214" s="159"/>
      <c r="U214" s="159"/>
      <c r="V214" s="159"/>
      <c r="W214" s="159"/>
      <c r="X214" s="159"/>
      <c r="Y214" s="159"/>
      <c r="Z214" s="159"/>
      <c r="AA214" s="159"/>
      <c r="AB214" s="159"/>
      <c r="AC214" s="159"/>
      <c r="AD214" s="159"/>
      <c r="AE214" s="159"/>
      <c r="AF214" s="159"/>
      <c r="AG214" s="159"/>
      <c r="AH214" s="159"/>
      <c r="AI214" s="159"/>
      <c r="AJ214" s="159"/>
      <c r="AK214" s="159"/>
      <c r="AL214" s="159"/>
      <c r="AM214" s="159"/>
      <c r="AN214" s="159"/>
      <c r="AO214" s="159"/>
      <c r="AP214" s="159"/>
      <c r="AQ214" s="159"/>
      <c r="AR214" s="159"/>
      <c r="AS214" s="159"/>
      <c r="AT214" s="159"/>
      <c r="AU214" s="159"/>
      <c r="AV214" s="159"/>
      <c r="AW214" s="159"/>
      <c r="AX214" s="159"/>
      <c r="AY214" s="159"/>
      <c r="AZ214" s="159"/>
      <c r="BA214" s="159"/>
      <c r="BB214" s="159"/>
      <c r="BC214" s="159"/>
      <c r="BD214" s="159"/>
      <c r="BE214" s="159"/>
      <c r="BF214" s="159"/>
      <c r="BG214" s="159"/>
      <c r="BH214" s="159"/>
      <c r="BI214" s="159"/>
      <c r="BJ214" s="159"/>
      <c r="BK214" s="159"/>
      <c r="BL214" s="159"/>
      <c r="BM214" s="159"/>
      <c r="BN214" s="159"/>
      <c r="BO214" s="159"/>
      <c r="BP214" s="159"/>
      <c r="BQ214" s="159"/>
      <c r="BR214" s="159"/>
      <c r="BS214" s="159"/>
      <c r="BT214" s="159"/>
      <c r="BU214" s="159"/>
      <c r="BV214" s="159"/>
      <c r="BW214" s="159"/>
      <c r="BX214" s="159"/>
      <c r="BY214" s="159"/>
      <c r="BZ214" s="159"/>
      <c r="CA214" s="159"/>
      <c r="CB214" s="159"/>
      <c r="CC214" s="159"/>
    </row>
    <row r="215">
      <c r="A215" s="159" t="str">
        <f>Countries!B214</f>
        <v/>
      </c>
      <c r="B215" s="603" t="str">
        <f>Countries!I214</f>
        <v/>
      </c>
      <c r="C215" s="614" t="str">
        <f>IFERROR(IFERROR(IFERROR(IFERROR(IFERROR(IFERROR(IFERROR(MATCH(Countries!$B214,$M$3:$M$1003,0),MATCH(Countries!$C214,$M$3:$M$1003,0)),MATCH(Countries!$D214,$M$3:$M$1003,0)),MATCH(Countries!$E214,$M$3:$M$1003,0)),MATCH(Countries!$F214,$M$3:$M$1003,0)),MATCH(Countries!$G214,$M$3:$M$1003,0)),MATCH(Countries!$H214,$M$3:$M$1003,0)),"X")</f>
        <v>X</v>
      </c>
      <c r="D215" s="603" t="str">
        <f t="shared" ref="D215:F215" si="429">IF(G$2="","",IF($C215="X","",INDEX($N$3:$CC$1003,$C215,MATCH(G$2,$N$2:$CC$2,0))))</f>
        <v/>
      </c>
      <c r="E215" s="603" t="str">
        <f t="shared" si="429"/>
        <v/>
      </c>
      <c r="F215" s="603" t="str">
        <f t="shared" si="429"/>
        <v/>
      </c>
      <c r="G215" s="639" t="str">
        <f t="shared" si="5"/>
        <v/>
      </c>
      <c r="H215" s="618" t="str">
        <f t="shared" ref="H215:I215" si="430">IF(H$2="","", IF(E215="",IF($K$16="Use global average",E$276,IF($K$16="Use regional average",INDEX(E$280:E$296,MATCH($B215,$B$280:$B$296,0)),IF($K$16="Leave blank","",IF($K$16="Fill with zeros", 0,IF($K$16="Use global median",E$277,"Fill out I16"))))), E215))</f>
        <v/>
      </c>
      <c r="I215" s="618" t="str">
        <f t="shared" si="430"/>
        <v/>
      </c>
      <c r="J215" s="159"/>
      <c r="K215" s="159"/>
      <c r="L215" s="159" t="str">
        <f>IF(M215="","",IF(COUNTIF(Countries!$B$1:$H$271,M215)&gt;0,"",IF(COUNTIF(Countries!$M$1:$S$271,M215)&gt;0,"Not a country","ERROR – NOT LISTED. Add alt spelling to ''Countries'' tab")))</f>
        <v/>
      </c>
      <c r="M215" s="606"/>
      <c r="N215" s="159"/>
      <c r="O215" s="159"/>
      <c r="P215" s="159"/>
      <c r="Q215" s="159"/>
      <c r="R215" s="159"/>
      <c r="S215" s="159"/>
      <c r="T215" s="159"/>
      <c r="U215" s="159"/>
      <c r="V215" s="159"/>
      <c r="W215" s="159"/>
      <c r="X215" s="159"/>
      <c r="Y215" s="159"/>
      <c r="Z215" s="159"/>
      <c r="AA215" s="159"/>
      <c r="AB215" s="159"/>
      <c r="AC215" s="159"/>
      <c r="AD215" s="159"/>
      <c r="AE215" s="159"/>
      <c r="AF215" s="159"/>
      <c r="AG215" s="159"/>
      <c r="AH215" s="159"/>
      <c r="AI215" s="159"/>
      <c r="AJ215" s="159"/>
      <c r="AK215" s="159"/>
      <c r="AL215" s="159"/>
      <c r="AM215" s="159"/>
      <c r="AN215" s="159"/>
      <c r="AO215" s="159"/>
      <c r="AP215" s="159"/>
      <c r="AQ215" s="159"/>
      <c r="AR215" s="159"/>
      <c r="AS215" s="159"/>
      <c r="AT215" s="159"/>
      <c r="AU215" s="159"/>
      <c r="AV215" s="159"/>
      <c r="AW215" s="159"/>
      <c r="AX215" s="159"/>
      <c r="AY215" s="159"/>
      <c r="AZ215" s="159"/>
      <c r="BA215" s="159"/>
      <c r="BB215" s="159"/>
      <c r="BC215" s="159"/>
      <c r="BD215" s="159"/>
      <c r="BE215" s="159"/>
      <c r="BF215" s="159"/>
      <c r="BG215" s="159"/>
      <c r="BH215" s="159"/>
      <c r="BI215" s="159"/>
      <c r="BJ215" s="159"/>
      <c r="BK215" s="159"/>
      <c r="BL215" s="159"/>
      <c r="BM215" s="159"/>
      <c r="BN215" s="159"/>
      <c r="BO215" s="159"/>
      <c r="BP215" s="159"/>
      <c r="BQ215" s="159"/>
      <c r="BR215" s="159"/>
      <c r="BS215" s="159"/>
      <c r="BT215" s="159"/>
      <c r="BU215" s="159"/>
      <c r="BV215" s="159"/>
      <c r="BW215" s="159"/>
      <c r="BX215" s="159"/>
      <c r="BY215" s="159"/>
      <c r="BZ215" s="159"/>
      <c r="CA215" s="159"/>
      <c r="CB215" s="159"/>
      <c r="CC215" s="159"/>
    </row>
    <row r="216">
      <c r="A216" s="159" t="str">
        <f>Countries!B215</f>
        <v/>
      </c>
      <c r="B216" s="603" t="str">
        <f>Countries!I215</f>
        <v/>
      </c>
      <c r="C216" s="614" t="str">
        <f>IFERROR(IFERROR(IFERROR(IFERROR(IFERROR(IFERROR(IFERROR(MATCH(Countries!$B215,$M$3:$M$1003,0),MATCH(Countries!$C215,$M$3:$M$1003,0)),MATCH(Countries!$D215,$M$3:$M$1003,0)),MATCH(Countries!$E215,$M$3:$M$1003,0)),MATCH(Countries!$F215,$M$3:$M$1003,0)),MATCH(Countries!$G215,$M$3:$M$1003,0)),MATCH(Countries!$H215,$M$3:$M$1003,0)),"X")</f>
        <v>X</v>
      </c>
      <c r="D216" s="603" t="str">
        <f t="shared" ref="D216:F216" si="431">IF(G$2="","",IF($C216="X","",INDEX($N$3:$CC$1003,$C216,MATCH(G$2,$N$2:$CC$2,0))))</f>
        <v/>
      </c>
      <c r="E216" s="603" t="str">
        <f t="shared" si="431"/>
        <v/>
      </c>
      <c r="F216" s="603" t="str">
        <f t="shared" si="431"/>
        <v/>
      </c>
      <c r="G216" s="639" t="str">
        <f t="shared" si="5"/>
        <v/>
      </c>
      <c r="H216" s="618" t="str">
        <f t="shared" ref="H216:I216" si="432">IF(H$2="","", IF(E216="",IF($K$16="Use global average",E$276,IF($K$16="Use regional average",INDEX(E$280:E$296,MATCH($B216,$B$280:$B$296,0)),IF($K$16="Leave blank","",IF($K$16="Fill with zeros", 0,IF($K$16="Use global median",E$277,"Fill out I16"))))), E216))</f>
        <v/>
      </c>
      <c r="I216" s="618" t="str">
        <f t="shared" si="432"/>
        <v/>
      </c>
      <c r="J216" s="159"/>
      <c r="K216" s="159"/>
      <c r="L216" s="159" t="str">
        <f>IF(M216="","",IF(COUNTIF(Countries!$B$1:$H$271,M216)&gt;0,"",IF(COUNTIF(Countries!$M$1:$S$271,M216)&gt;0,"Not a country","ERROR – NOT LISTED. Add alt spelling to ''Countries'' tab")))</f>
        <v/>
      </c>
      <c r="M216" s="606"/>
      <c r="N216" s="159"/>
      <c r="O216" s="159"/>
      <c r="P216" s="159"/>
      <c r="Q216" s="159"/>
      <c r="R216" s="159"/>
      <c r="S216" s="159"/>
      <c r="T216" s="159"/>
      <c r="U216" s="159"/>
      <c r="V216" s="159"/>
      <c r="W216" s="159"/>
      <c r="X216" s="159"/>
      <c r="Y216" s="159"/>
      <c r="Z216" s="159"/>
      <c r="AA216" s="159"/>
      <c r="AB216" s="159"/>
      <c r="AC216" s="159"/>
      <c r="AD216" s="159"/>
      <c r="AE216" s="159"/>
      <c r="AF216" s="159"/>
      <c r="AG216" s="159"/>
      <c r="AH216" s="159"/>
      <c r="AI216" s="159"/>
      <c r="AJ216" s="159"/>
      <c r="AK216" s="159"/>
      <c r="AL216" s="159"/>
      <c r="AM216" s="159"/>
      <c r="AN216" s="159"/>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159"/>
      <c r="BM216" s="159"/>
      <c r="BN216" s="159"/>
      <c r="BO216" s="159"/>
      <c r="BP216" s="159"/>
      <c r="BQ216" s="159"/>
      <c r="BR216" s="159"/>
      <c r="BS216" s="159"/>
      <c r="BT216" s="159"/>
      <c r="BU216" s="159"/>
      <c r="BV216" s="159"/>
      <c r="BW216" s="159"/>
      <c r="BX216" s="159"/>
      <c r="BY216" s="159"/>
      <c r="BZ216" s="159"/>
      <c r="CA216" s="159"/>
      <c r="CB216" s="159"/>
      <c r="CC216" s="159"/>
    </row>
    <row r="217">
      <c r="A217" s="159" t="str">
        <f>Countries!B216</f>
        <v/>
      </c>
      <c r="B217" s="603" t="str">
        <f>Countries!I216</f>
        <v/>
      </c>
      <c r="C217" s="614" t="str">
        <f>IFERROR(IFERROR(IFERROR(IFERROR(IFERROR(IFERROR(IFERROR(MATCH(Countries!$B216,$M$3:$M$1003,0),MATCH(Countries!$C216,$M$3:$M$1003,0)),MATCH(Countries!$D216,$M$3:$M$1003,0)),MATCH(Countries!$E216,$M$3:$M$1003,0)),MATCH(Countries!$F216,$M$3:$M$1003,0)),MATCH(Countries!$G216,$M$3:$M$1003,0)),MATCH(Countries!$H216,$M$3:$M$1003,0)),"X")</f>
        <v>X</v>
      </c>
      <c r="D217" s="603" t="str">
        <f t="shared" ref="D217:F217" si="433">IF(G$2="","",IF($C217="X","",INDEX($N$3:$CC$1003,$C217,MATCH(G$2,$N$2:$CC$2,0))))</f>
        <v/>
      </c>
      <c r="E217" s="603" t="str">
        <f t="shared" si="433"/>
        <v/>
      </c>
      <c r="F217" s="603" t="str">
        <f t="shared" si="433"/>
        <v/>
      </c>
      <c r="G217" s="639" t="str">
        <f t="shared" si="5"/>
        <v/>
      </c>
      <c r="H217" s="618" t="str">
        <f t="shared" ref="H217:I217" si="434">IF(H$2="","", IF(E217="",IF($K$16="Use global average",E$276,IF($K$16="Use regional average",INDEX(E$280:E$296,MATCH($B217,$B$280:$B$296,0)),IF($K$16="Leave blank","",IF($K$16="Fill with zeros", 0,IF($K$16="Use global median",E$277,"Fill out I16"))))), E217))</f>
        <v/>
      </c>
      <c r="I217" s="618" t="str">
        <f t="shared" si="434"/>
        <v/>
      </c>
      <c r="J217" s="159"/>
      <c r="K217" s="159"/>
      <c r="L217" s="159" t="str">
        <f>IF(M217="","",IF(COUNTIF(Countries!$B$1:$H$271,M217)&gt;0,"",IF(COUNTIF(Countries!$M$1:$S$271,M217)&gt;0,"Not a country","ERROR – NOT LISTED. Add alt spelling to ''Countries'' tab")))</f>
        <v/>
      </c>
      <c r="M217" s="606"/>
      <c r="N217" s="159"/>
      <c r="O217" s="159"/>
      <c r="P217" s="159"/>
      <c r="Q217" s="159"/>
      <c r="R217" s="159"/>
      <c r="S217" s="159"/>
      <c r="T217" s="159"/>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c r="BO217" s="159"/>
      <c r="BP217" s="159"/>
      <c r="BQ217" s="159"/>
      <c r="BR217" s="159"/>
      <c r="BS217" s="159"/>
      <c r="BT217" s="159"/>
      <c r="BU217" s="159"/>
      <c r="BV217" s="159"/>
      <c r="BW217" s="159"/>
      <c r="BX217" s="159"/>
      <c r="BY217" s="159"/>
      <c r="BZ217" s="159"/>
      <c r="CA217" s="159"/>
      <c r="CB217" s="159"/>
      <c r="CC217" s="159"/>
    </row>
    <row r="218">
      <c r="A218" s="159" t="str">
        <f>Countries!B217</f>
        <v/>
      </c>
      <c r="B218" s="603" t="str">
        <f>Countries!I217</f>
        <v/>
      </c>
      <c r="C218" s="614" t="str">
        <f>IFERROR(IFERROR(IFERROR(IFERROR(IFERROR(IFERROR(IFERROR(MATCH(Countries!$B217,$M$3:$M$1003,0),MATCH(Countries!$C217,$M$3:$M$1003,0)),MATCH(Countries!$D217,$M$3:$M$1003,0)),MATCH(Countries!$E217,$M$3:$M$1003,0)),MATCH(Countries!$F217,$M$3:$M$1003,0)),MATCH(Countries!$G217,$M$3:$M$1003,0)),MATCH(Countries!$H217,$M$3:$M$1003,0)),"X")</f>
        <v>X</v>
      </c>
      <c r="D218" s="603" t="str">
        <f t="shared" ref="D218:F218" si="435">IF(G$2="","",IF($C218="X","",INDEX($N$3:$CC$1003,$C218,MATCH(G$2,$N$2:$CC$2,0))))</f>
        <v/>
      </c>
      <c r="E218" s="603" t="str">
        <f t="shared" si="435"/>
        <v/>
      </c>
      <c r="F218" s="603" t="str">
        <f t="shared" si="435"/>
        <v/>
      </c>
      <c r="G218" s="639" t="str">
        <f t="shared" si="5"/>
        <v/>
      </c>
      <c r="H218" s="618" t="str">
        <f t="shared" ref="H218:I218" si="436">IF(H$2="","", IF(E218="",IF($K$16="Use global average",E$276,IF($K$16="Use regional average",INDEX(E$280:E$296,MATCH($B218,$B$280:$B$296,0)),IF($K$16="Leave blank","",IF($K$16="Fill with zeros", 0,IF($K$16="Use global median",E$277,"Fill out I16"))))), E218))</f>
        <v/>
      </c>
      <c r="I218" s="618" t="str">
        <f t="shared" si="436"/>
        <v/>
      </c>
      <c r="J218" s="159"/>
      <c r="K218" s="159"/>
      <c r="L218" s="159" t="str">
        <f>IF(M218="","",IF(COUNTIF(Countries!$B$1:$H$271,M218)&gt;0,"",IF(COUNTIF(Countries!$M$1:$S$271,M218)&gt;0,"Not a country","ERROR – NOT LISTED. Add alt spelling to ''Countries'' tab")))</f>
        <v/>
      </c>
      <c r="M218" s="606"/>
      <c r="N218" s="159"/>
      <c r="O218" s="159"/>
      <c r="P218" s="159"/>
      <c r="Q218" s="159"/>
      <c r="R218" s="159"/>
      <c r="S218" s="159"/>
      <c r="T218" s="159"/>
      <c r="U218" s="159"/>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59"/>
      <c r="AT218" s="159"/>
      <c r="AU218" s="159"/>
      <c r="AV218" s="159"/>
      <c r="AW218" s="159"/>
      <c r="AX218" s="159"/>
      <c r="AY218" s="159"/>
      <c r="AZ218" s="159"/>
      <c r="BA218" s="159"/>
      <c r="BB218" s="159"/>
      <c r="BC218" s="159"/>
      <c r="BD218" s="159"/>
      <c r="BE218" s="159"/>
      <c r="BF218" s="159"/>
      <c r="BG218" s="159"/>
      <c r="BH218" s="159"/>
      <c r="BI218" s="159"/>
      <c r="BJ218" s="159"/>
      <c r="BK218" s="159"/>
      <c r="BL218" s="159"/>
      <c r="BM218" s="159"/>
      <c r="BN218" s="159"/>
      <c r="BO218" s="159"/>
      <c r="BP218" s="159"/>
      <c r="BQ218" s="159"/>
      <c r="BR218" s="159"/>
      <c r="BS218" s="159"/>
      <c r="BT218" s="159"/>
      <c r="BU218" s="159"/>
      <c r="BV218" s="159"/>
      <c r="BW218" s="159"/>
      <c r="BX218" s="159"/>
      <c r="BY218" s="159"/>
      <c r="BZ218" s="159"/>
      <c r="CA218" s="159"/>
      <c r="CB218" s="159"/>
      <c r="CC218" s="159"/>
    </row>
    <row r="219">
      <c r="A219" s="159" t="str">
        <f>Countries!B218</f>
        <v/>
      </c>
      <c r="B219" s="603" t="str">
        <f>Countries!I218</f>
        <v/>
      </c>
      <c r="C219" s="614" t="str">
        <f>IFERROR(IFERROR(IFERROR(IFERROR(IFERROR(IFERROR(IFERROR(MATCH(Countries!$B218,$M$3:$M$1003,0),MATCH(Countries!$C218,$M$3:$M$1003,0)),MATCH(Countries!$D218,$M$3:$M$1003,0)),MATCH(Countries!$E218,$M$3:$M$1003,0)),MATCH(Countries!$F218,$M$3:$M$1003,0)),MATCH(Countries!$G218,$M$3:$M$1003,0)),MATCH(Countries!$H218,$M$3:$M$1003,0)),"X")</f>
        <v>X</v>
      </c>
      <c r="D219" s="603" t="str">
        <f t="shared" ref="D219:F219" si="437">IF(G$2="","",IF($C219="X","",INDEX($N$3:$CC$1003,$C219,MATCH(G$2,$N$2:$CC$2,0))))</f>
        <v/>
      </c>
      <c r="E219" s="603" t="str">
        <f t="shared" si="437"/>
        <v/>
      </c>
      <c r="F219" s="603" t="str">
        <f t="shared" si="437"/>
        <v/>
      </c>
      <c r="G219" s="639" t="str">
        <f t="shared" si="5"/>
        <v/>
      </c>
      <c r="H219" s="618" t="str">
        <f t="shared" ref="H219:I219" si="438">IF(H$2="","", IF(E219="",IF($K$16="Use global average",E$276,IF($K$16="Use regional average",INDEX(E$280:E$296,MATCH($B219,$B$280:$B$296,0)),IF($K$16="Leave blank","",IF($K$16="Fill with zeros", 0,IF($K$16="Use global median",E$277,"Fill out I16"))))), E219))</f>
        <v/>
      </c>
      <c r="I219" s="618" t="str">
        <f t="shared" si="438"/>
        <v/>
      </c>
      <c r="J219" s="159"/>
      <c r="K219" s="159"/>
      <c r="L219" s="159" t="str">
        <f>IF(M219="","",IF(COUNTIF(Countries!$B$1:$H$271,M219)&gt;0,"",IF(COUNTIF(Countries!$M$1:$S$271,M219)&gt;0,"Not a country","ERROR – NOT LISTED. Add alt spelling to ''Countries'' tab")))</f>
        <v/>
      </c>
      <c r="M219" s="606"/>
      <c r="N219" s="159"/>
      <c r="O219" s="159"/>
      <c r="P219" s="159"/>
      <c r="Q219" s="159"/>
      <c r="R219" s="159"/>
      <c r="S219" s="159"/>
      <c r="T219" s="159"/>
      <c r="U219" s="159"/>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59"/>
      <c r="AT219" s="159"/>
      <c r="AU219" s="159"/>
      <c r="AV219" s="159"/>
      <c r="AW219" s="159"/>
      <c r="AX219" s="159"/>
      <c r="AY219" s="159"/>
      <c r="AZ219" s="159"/>
      <c r="BA219" s="159"/>
      <c r="BB219" s="159"/>
      <c r="BC219" s="159"/>
      <c r="BD219" s="159"/>
      <c r="BE219" s="159"/>
      <c r="BF219" s="159"/>
      <c r="BG219" s="159"/>
      <c r="BH219" s="159"/>
      <c r="BI219" s="159"/>
      <c r="BJ219" s="159"/>
      <c r="BK219" s="159"/>
      <c r="BL219" s="159"/>
      <c r="BM219" s="159"/>
      <c r="BN219" s="159"/>
      <c r="BO219" s="159"/>
      <c r="BP219" s="159"/>
      <c r="BQ219" s="159"/>
      <c r="BR219" s="159"/>
      <c r="BS219" s="159"/>
      <c r="BT219" s="159"/>
      <c r="BU219" s="159"/>
      <c r="BV219" s="159"/>
      <c r="BW219" s="159"/>
      <c r="BX219" s="159"/>
      <c r="BY219" s="159"/>
      <c r="BZ219" s="159"/>
      <c r="CA219" s="159"/>
      <c r="CB219" s="159"/>
      <c r="CC219" s="159"/>
    </row>
    <row r="220">
      <c r="A220" s="159" t="str">
        <f>Countries!B219</f>
        <v/>
      </c>
      <c r="B220" s="603" t="str">
        <f>Countries!I219</f>
        <v/>
      </c>
      <c r="C220" s="614" t="str">
        <f>IFERROR(IFERROR(IFERROR(IFERROR(IFERROR(IFERROR(IFERROR(MATCH(Countries!$B219,$M$3:$M$1003,0),MATCH(Countries!$C219,$M$3:$M$1003,0)),MATCH(Countries!$D219,$M$3:$M$1003,0)),MATCH(Countries!$E219,$M$3:$M$1003,0)),MATCH(Countries!$F219,$M$3:$M$1003,0)),MATCH(Countries!$G219,$M$3:$M$1003,0)),MATCH(Countries!$H219,$M$3:$M$1003,0)),"X")</f>
        <v>X</v>
      </c>
      <c r="D220" s="603" t="str">
        <f t="shared" ref="D220:F220" si="439">IF(G$2="","",IF($C220="X","",INDEX($N$3:$CC$1003,$C220,MATCH(G$2,$N$2:$CC$2,0))))</f>
        <v/>
      </c>
      <c r="E220" s="603" t="str">
        <f t="shared" si="439"/>
        <v/>
      </c>
      <c r="F220" s="603" t="str">
        <f t="shared" si="439"/>
        <v/>
      </c>
      <c r="G220" s="639" t="str">
        <f t="shared" si="5"/>
        <v/>
      </c>
      <c r="H220" s="618" t="str">
        <f t="shared" ref="H220:I220" si="440">IF(H$2="","", IF(E220="",IF($K$16="Use global average",E$276,IF($K$16="Use regional average",INDEX(E$280:E$296,MATCH($B220,$B$280:$B$296,0)),IF($K$16="Leave blank","",IF($K$16="Fill with zeros", 0,IF($K$16="Use global median",E$277,"Fill out I16"))))), E220))</f>
        <v/>
      </c>
      <c r="I220" s="618" t="str">
        <f t="shared" si="440"/>
        <v/>
      </c>
      <c r="J220" s="159"/>
      <c r="K220" s="159"/>
      <c r="L220" s="159" t="str">
        <f>IF(M220="","",IF(COUNTIF(Countries!$B$1:$H$271,M220)&gt;0,"",IF(COUNTIF(Countries!$M$1:$S$271,M220)&gt;0,"Not a country","ERROR – NOT LISTED. Add alt spelling to ''Countries'' tab")))</f>
        <v/>
      </c>
      <c r="M220" s="606"/>
      <c r="N220" s="159"/>
      <c r="O220" s="159"/>
      <c r="P220" s="159"/>
      <c r="Q220" s="159"/>
      <c r="R220" s="159"/>
      <c r="S220" s="159"/>
      <c r="T220" s="159"/>
      <c r="U220" s="159"/>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59"/>
      <c r="AT220" s="159"/>
      <c r="AU220" s="159"/>
      <c r="AV220" s="159"/>
      <c r="AW220" s="159"/>
      <c r="AX220" s="159"/>
      <c r="AY220" s="159"/>
      <c r="AZ220" s="159"/>
      <c r="BA220" s="159"/>
      <c r="BB220" s="159"/>
      <c r="BC220" s="159"/>
      <c r="BD220" s="159"/>
      <c r="BE220" s="159"/>
      <c r="BF220" s="159"/>
      <c r="BG220" s="159"/>
      <c r="BH220" s="159"/>
      <c r="BI220" s="159"/>
      <c r="BJ220" s="159"/>
      <c r="BK220" s="159"/>
      <c r="BL220" s="159"/>
      <c r="BM220" s="159"/>
      <c r="BN220" s="159"/>
      <c r="BO220" s="159"/>
      <c r="BP220" s="159"/>
      <c r="BQ220" s="159"/>
      <c r="BR220" s="159"/>
      <c r="BS220" s="159"/>
      <c r="BT220" s="159"/>
      <c r="BU220" s="159"/>
      <c r="BV220" s="159"/>
      <c r="BW220" s="159"/>
      <c r="BX220" s="159"/>
      <c r="BY220" s="159"/>
      <c r="BZ220" s="159"/>
      <c r="CA220" s="159"/>
      <c r="CB220" s="159"/>
      <c r="CC220" s="159"/>
    </row>
    <row r="221">
      <c r="A221" s="159" t="str">
        <f>Countries!B220</f>
        <v/>
      </c>
      <c r="B221" s="603" t="str">
        <f>Countries!I220</f>
        <v/>
      </c>
      <c r="C221" s="614" t="str">
        <f>IFERROR(IFERROR(IFERROR(IFERROR(IFERROR(IFERROR(IFERROR(MATCH(Countries!$B220,$M$3:$M$1003,0),MATCH(Countries!$C220,$M$3:$M$1003,0)),MATCH(Countries!$D220,$M$3:$M$1003,0)),MATCH(Countries!$E220,$M$3:$M$1003,0)),MATCH(Countries!$F220,$M$3:$M$1003,0)),MATCH(Countries!$G220,$M$3:$M$1003,0)),MATCH(Countries!$H220,$M$3:$M$1003,0)),"X")</f>
        <v>X</v>
      </c>
      <c r="D221" s="603" t="str">
        <f t="shared" ref="D221:F221" si="441">IF(G$2="","",IF($C221="X","",INDEX($N$3:$CC$1003,$C221,MATCH(G$2,$N$2:$CC$2,0))))</f>
        <v/>
      </c>
      <c r="E221" s="603" t="str">
        <f t="shared" si="441"/>
        <v/>
      </c>
      <c r="F221" s="603" t="str">
        <f t="shared" si="441"/>
        <v/>
      </c>
      <c r="G221" s="639" t="str">
        <f t="shared" si="5"/>
        <v/>
      </c>
      <c r="H221" s="618" t="str">
        <f t="shared" ref="H221:I221" si="442">IF(H$2="","", IF(E221="",IF($K$16="Use global average",E$276,IF($K$16="Use regional average",INDEX(E$280:E$296,MATCH($B221,$B$280:$B$296,0)),IF($K$16="Leave blank","",IF($K$16="Fill with zeros", 0,IF($K$16="Use global median",E$277,"Fill out I16"))))), E221))</f>
        <v/>
      </c>
      <c r="I221" s="618" t="str">
        <f t="shared" si="442"/>
        <v/>
      </c>
      <c r="J221" s="159"/>
      <c r="K221" s="159"/>
      <c r="L221" s="159" t="str">
        <f>IF(M221="","",IF(COUNTIF(Countries!$B$1:$H$271,M221)&gt;0,"",IF(COUNTIF(Countries!$M$1:$S$271,M221)&gt;0,"Not a country","ERROR – NOT LISTED. Add alt spelling to ''Countries'' tab")))</f>
        <v/>
      </c>
      <c r="M221" s="606"/>
      <c r="N221" s="159"/>
      <c r="O221" s="159"/>
      <c r="P221" s="159"/>
      <c r="Q221" s="159"/>
      <c r="R221" s="159"/>
      <c r="S221" s="159"/>
      <c r="T221" s="159"/>
      <c r="U221" s="159"/>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59"/>
      <c r="AT221" s="159"/>
      <c r="AU221" s="159"/>
      <c r="AV221" s="159"/>
      <c r="AW221" s="159"/>
      <c r="AX221" s="159"/>
      <c r="AY221" s="159"/>
      <c r="AZ221" s="159"/>
      <c r="BA221" s="159"/>
      <c r="BB221" s="159"/>
      <c r="BC221" s="159"/>
      <c r="BD221" s="159"/>
      <c r="BE221" s="159"/>
      <c r="BF221" s="159"/>
      <c r="BG221" s="159"/>
      <c r="BH221" s="159"/>
      <c r="BI221" s="159"/>
      <c r="BJ221" s="159"/>
      <c r="BK221" s="159"/>
      <c r="BL221" s="159"/>
      <c r="BM221" s="159"/>
      <c r="BN221" s="159"/>
      <c r="BO221" s="159"/>
      <c r="BP221" s="159"/>
      <c r="BQ221" s="159"/>
      <c r="BR221" s="159"/>
      <c r="BS221" s="159"/>
      <c r="BT221" s="159"/>
      <c r="BU221" s="159"/>
      <c r="BV221" s="159"/>
      <c r="BW221" s="159"/>
      <c r="BX221" s="159"/>
      <c r="BY221" s="159"/>
      <c r="BZ221" s="159"/>
      <c r="CA221" s="159"/>
      <c r="CB221" s="159"/>
      <c r="CC221" s="159"/>
    </row>
    <row r="222">
      <c r="A222" s="159" t="str">
        <f>Countries!B221</f>
        <v/>
      </c>
      <c r="B222" s="603" t="str">
        <f>Countries!I221</f>
        <v/>
      </c>
      <c r="C222" s="614" t="str">
        <f>IFERROR(IFERROR(IFERROR(IFERROR(IFERROR(IFERROR(IFERROR(MATCH(Countries!$B221,$M$3:$M$1003,0),MATCH(Countries!$C221,$M$3:$M$1003,0)),MATCH(Countries!$D221,$M$3:$M$1003,0)),MATCH(Countries!$E221,$M$3:$M$1003,0)),MATCH(Countries!$F221,$M$3:$M$1003,0)),MATCH(Countries!$G221,$M$3:$M$1003,0)),MATCH(Countries!$H221,$M$3:$M$1003,0)),"X")</f>
        <v>X</v>
      </c>
      <c r="D222" s="603" t="str">
        <f t="shared" ref="D222:F222" si="443">IF(G$2="","",IF($C222="X","",INDEX($N$3:$CC$1003,$C222,MATCH(G$2,$N$2:$CC$2,0))))</f>
        <v/>
      </c>
      <c r="E222" s="603" t="str">
        <f t="shared" si="443"/>
        <v/>
      </c>
      <c r="F222" s="603" t="str">
        <f t="shared" si="443"/>
        <v/>
      </c>
      <c r="G222" s="639" t="str">
        <f t="shared" si="5"/>
        <v/>
      </c>
      <c r="H222" s="618" t="str">
        <f t="shared" ref="H222:I222" si="444">IF(H$2="","", IF(E222="",IF($K$16="Use global average",E$276,IF($K$16="Use regional average",INDEX(E$280:E$296,MATCH($B222,$B$280:$B$296,0)),IF($K$16="Leave blank","",IF($K$16="Fill with zeros", 0,IF($K$16="Use global median",E$277,"Fill out I16"))))), E222))</f>
        <v/>
      </c>
      <c r="I222" s="618" t="str">
        <f t="shared" si="444"/>
        <v/>
      </c>
      <c r="J222" s="159"/>
      <c r="K222" s="159"/>
      <c r="L222" s="159" t="str">
        <f>IF(M222="","",IF(COUNTIF(Countries!$B$1:$H$271,M222)&gt;0,"",IF(COUNTIF(Countries!$M$1:$S$271,M222)&gt;0,"Not a country","ERROR – NOT LISTED. Add alt spelling to ''Countries'' tab")))</f>
        <v/>
      </c>
      <c r="M222" s="606"/>
      <c r="N222" s="159"/>
      <c r="O222" s="159"/>
      <c r="P222" s="159"/>
      <c r="Q222" s="159"/>
      <c r="R222" s="159"/>
      <c r="S222" s="159"/>
      <c r="T222" s="159"/>
      <c r="U222" s="159"/>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59"/>
      <c r="AT222" s="159"/>
      <c r="AU222" s="159"/>
      <c r="AV222" s="159"/>
      <c r="AW222" s="159"/>
      <c r="AX222" s="159"/>
      <c r="AY222" s="159"/>
      <c r="AZ222" s="159"/>
      <c r="BA222" s="159"/>
      <c r="BB222" s="159"/>
      <c r="BC222" s="159"/>
      <c r="BD222" s="159"/>
      <c r="BE222" s="159"/>
      <c r="BF222" s="159"/>
      <c r="BG222" s="159"/>
      <c r="BH222" s="159"/>
      <c r="BI222" s="159"/>
      <c r="BJ222" s="159"/>
      <c r="BK222" s="159"/>
      <c r="BL222" s="159"/>
      <c r="BM222" s="159"/>
      <c r="BN222" s="159"/>
      <c r="BO222" s="159"/>
      <c r="BP222" s="159"/>
      <c r="BQ222" s="159"/>
      <c r="BR222" s="159"/>
      <c r="BS222" s="159"/>
      <c r="BT222" s="159"/>
      <c r="BU222" s="159"/>
      <c r="BV222" s="159"/>
      <c r="BW222" s="159"/>
      <c r="BX222" s="159"/>
      <c r="BY222" s="159"/>
      <c r="BZ222" s="159"/>
      <c r="CA222" s="159"/>
      <c r="CB222" s="159"/>
      <c r="CC222" s="159"/>
    </row>
    <row r="223">
      <c r="A223" s="159" t="str">
        <f>Countries!B222</f>
        <v/>
      </c>
      <c r="B223" s="603" t="str">
        <f>Countries!I222</f>
        <v/>
      </c>
      <c r="C223" s="614" t="str">
        <f>IFERROR(IFERROR(IFERROR(IFERROR(IFERROR(IFERROR(IFERROR(MATCH(Countries!$B222,$M$3:$M$1003,0),MATCH(Countries!$C222,$M$3:$M$1003,0)),MATCH(Countries!$D222,$M$3:$M$1003,0)),MATCH(Countries!$E222,$M$3:$M$1003,0)),MATCH(Countries!$F222,$M$3:$M$1003,0)),MATCH(Countries!$G222,$M$3:$M$1003,0)),MATCH(Countries!$H222,$M$3:$M$1003,0)),"X")</f>
        <v>X</v>
      </c>
      <c r="D223" s="603" t="str">
        <f t="shared" ref="D223:F223" si="445">IF(G$2="","",IF($C223="X","",INDEX($N$3:$CC$1003,$C223,MATCH(G$2,$N$2:$CC$2,0))))</f>
        <v/>
      </c>
      <c r="E223" s="603" t="str">
        <f t="shared" si="445"/>
        <v/>
      </c>
      <c r="F223" s="603" t="str">
        <f t="shared" si="445"/>
        <v/>
      </c>
      <c r="G223" s="639" t="str">
        <f t="shared" si="5"/>
        <v/>
      </c>
      <c r="H223" s="618" t="str">
        <f t="shared" ref="H223:I223" si="446">IF(H$2="","", IF(E223="",IF($K$16="Use global average",E$276,IF($K$16="Use regional average",INDEX(E$280:E$296,MATCH($B223,$B$280:$B$296,0)),IF($K$16="Leave blank","",IF($K$16="Fill with zeros", 0,IF($K$16="Use global median",E$277,"Fill out I16"))))), E223))</f>
        <v/>
      </c>
      <c r="I223" s="618" t="str">
        <f t="shared" si="446"/>
        <v/>
      </c>
      <c r="J223" s="159"/>
      <c r="K223" s="159"/>
      <c r="L223" s="159" t="str">
        <f>IF(M223="","",IF(COUNTIF(Countries!$B$1:$H$271,M223)&gt;0,"",IF(COUNTIF(Countries!$M$1:$S$271,M223)&gt;0,"Not a country","ERROR – NOT LISTED. Add alt spelling to ''Countries'' tab")))</f>
        <v/>
      </c>
      <c r="M223" s="606"/>
      <c r="N223" s="159"/>
      <c r="O223" s="159"/>
      <c r="P223" s="159"/>
      <c r="Q223" s="159"/>
      <c r="R223" s="159"/>
      <c r="S223" s="159"/>
      <c r="T223" s="159"/>
      <c r="U223" s="159"/>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59"/>
      <c r="AT223" s="159"/>
      <c r="AU223" s="159"/>
      <c r="AV223" s="159"/>
      <c r="AW223" s="159"/>
      <c r="AX223" s="159"/>
      <c r="AY223" s="159"/>
      <c r="AZ223" s="159"/>
      <c r="BA223" s="159"/>
      <c r="BB223" s="159"/>
      <c r="BC223" s="159"/>
      <c r="BD223" s="159"/>
      <c r="BE223" s="159"/>
      <c r="BF223" s="159"/>
      <c r="BG223" s="159"/>
      <c r="BH223" s="159"/>
      <c r="BI223" s="159"/>
      <c r="BJ223" s="159"/>
      <c r="BK223" s="159"/>
      <c r="BL223" s="159"/>
      <c r="BM223" s="159"/>
      <c r="BN223" s="159"/>
      <c r="BO223" s="159"/>
      <c r="BP223" s="159"/>
      <c r="BQ223" s="159"/>
      <c r="BR223" s="159"/>
      <c r="BS223" s="159"/>
      <c r="BT223" s="159"/>
      <c r="BU223" s="159"/>
      <c r="BV223" s="159"/>
      <c r="BW223" s="159"/>
      <c r="BX223" s="159"/>
      <c r="BY223" s="159"/>
      <c r="BZ223" s="159"/>
      <c r="CA223" s="159"/>
      <c r="CB223" s="159"/>
      <c r="CC223" s="159"/>
    </row>
    <row r="224">
      <c r="A224" s="159" t="str">
        <f>Countries!B223</f>
        <v/>
      </c>
      <c r="B224" s="603" t="str">
        <f>Countries!I223</f>
        <v/>
      </c>
      <c r="C224" s="614" t="str">
        <f>IFERROR(IFERROR(IFERROR(IFERROR(IFERROR(IFERROR(IFERROR(MATCH(Countries!$B223,$M$3:$M$1003,0),MATCH(Countries!$C223,$M$3:$M$1003,0)),MATCH(Countries!$D223,$M$3:$M$1003,0)),MATCH(Countries!$E223,$M$3:$M$1003,0)),MATCH(Countries!$F223,$M$3:$M$1003,0)),MATCH(Countries!$G223,$M$3:$M$1003,0)),MATCH(Countries!$H223,$M$3:$M$1003,0)),"X")</f>
        <v>X</v>
      </c>
      <c r="D224" s="603" t="str">
        <f t="shared" ref="D224:F224" si="447">IF(G$2="","",IF($C224="X","",INDEX($N$3:$CC$1003,$C224,MATCH(G$2,$N$2:$CC$2,0))))</f>
        <v/>
      </c>
      <c r="E224" s="603" t="str">
        <f t="shared" si="447"/>
        <v/>
      </c>
      <c r="F224" s="603" t="str">
        <f t="shared" si="447"/>
        <v/>
      </c>
      <c r="G224" s="639" t="str">
        <f t="shared" si="5"/>
        <v/>
      </c>
      <c r="H224" s="618" t="str">
        <f t="shared" ref="H224:I224" si="448">IF(H$2="","", IF(E224="",IF($K$16="Use global average",E$276,IF($K$16="Use regional average",INDEX(E$280:E$296,MATCH($B224,$B$280:$B$296,0)),IF($K$16="Leave blank","",IF($K$16="Fill with zeros", 0,IF($K$16="Use global median",E$277,"Fill out I16"))))), E224))</f>
        <v/>
      </c>
      <c r="I224" s="618" t="str">
        <f t="shared" si="448"/>
        <v/>
      </c>
      <c r="J224" s="159"/>
      <c r="K224" s="159"/>
      <c r="L224" s="159" t="str">
        <f>IF(M224="","",IF(COUNTIF(Countries!$B$1:$H$271,M224)&gt;0,"",IF(COUNTIF(Countries!$M$1:$S$271,M224)&gt;0,"Not a country","ERROR – NOT LISTED. Add alt spelling to ''Countries'' tab")))</f>
        <v/>
      </c>
      <c r="M224" s="606"/>
      <c r="N224" s="159"/>
      <c r="O224" s="159"/>
      <c r="P224" s="159"/>
      <c r="Q224" s="159"/>
      <c r="R224" s="159"/>
      <c r="S224" s="159"/>
      <c r="T224" s="159"/>
      <c r="U224" s="159"/>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59"/>
      <c r="AT224" s="159"/>
      <c r="AU224" s="159"/>
      <c r="AV224" s="159"/>
      <c r="AW224" s="159"/>
      <c r="AX224" s="159"/>
      <c r="AY224" s="159"/>
      <c r="AZ224" s="159"/>
      <c r="BA224" s="159"/>
      <c r="BB224" s="159"/>
      <c r="BC224" s="159"/>
      <c r="BD224" s="159"/>
      <c r="BE224" s="159"/>
      <c r="BF224" s="159"/>
      <c r="BG224" s="159"/>
      <c r="BH224" s="159"/>
      <c r="BI224" s="159"/>
      <c r="BJ224" s="159"/>
      <c r="BK224" s="159"/>
      <c r="BL224" s="159"/>
      <c r="BM224" s="159"/>
      <c r="BN224" s="159"/>
      <c r="BO224" s="159"/>
      <c r="BP224" s="159"/>
      <c r="BQ224" s="159"/>
      <c r="BR224" s="159"/>
      <c r="BS224" s="159"/>
      <c r="BT224" s="159"/>
      <c r="BU224" s="159"/>
      <c r="BV224" s="159"/>
      <c r="BW224" s="159"/>
      <c r="BX224" s="159"/>
      <c r="BY224" s="159"/>
      <c r="BZ224" s="159"/>
      <c r="CA224" s="159"/>
      <c r="CB224" s="159"/>
      <c r="CC224" s="159"/>
    </row>
    <row r="225">
      <c r="A225" s="159" t="str">
        <f>Countries!B224</f>
        <v/>
      </c>
      <c r="B225" s="603" t="str">
        <f>Countries!I224</f>
        <v/>
      </c>
      <c r="C225" s="614" t="str">
        <f>IFERROR(IFERROR(IFERROR(IFERROR(IFERROR(IFERROR(IFERROR(MATCH(Countries!$B224,$M$3:$M$1003,0),MATCH(Countries!$C224,$M$3:$M$1003,0)),MATCH(Countries!$D224,$M$3:$M$1003,0)),MATCH(Countries!$E224,$M$3:$M$1003,0)),MATCH(Countries!$F224,$M$3:$M$1003,0)),MATCH(Countries!$G224,$M$3:$M$1003,0)),MATCH(Countries!$H224,$M$3:$M$1003,0)),"X")</f>
        <v>X</v>
      </c>
      <c r="D225" s="603" t="str">
        <f t="shared" ref="D225:F225" si="449">IF(G$2="","",IF($C225="X","",INDEX($N$3:$CC$1003,$C225,MATCH(G$2,$N$2:$CC$2,0))))</f>
        <v/>
      </c>
      <c r="E225" s="603" t="str">
        <f t="shared" si="449"/>
        <v/>
      </c>
      <c r="F225" s="603" t="str">
        <f t="shared" si="449"/>
        <v/>
      </c>
      <c r="G225" s="639" t="str">
        <f t="shared" si="5"/>
        <v/>
      </c>
      <c r="H225" s="618" t="str">
        <f t="shared" ref="H225:I225" si="450">IF(H$2="","", IF(E225="",IF($K$16="Use global average",E$276,IF($K$16="Use regional average",INDEX(E$280:E$296,MATCH($B225,$B$280:$B$296,0)),IF($K$16="Leave blank","",IF($K$16="Fill with zeros", 0,IF($K$16="Use global median",E$277,"Fill out I16"))))), E225))</f>
        <v/>
      </c>
      <c r="I225" s="618" t="str">
        <f t="shared" si="450"/>
        <v/>
      </c>
      <c r="J225" s="159"/>
      <c r="K225" s="159"/>
      <c r="L225" s="159" t="str">
        <f>IF(M225="","",IF(COUNTIF(Countries!$B$1:$H$271,M225)&gt;0,"",IF(COUNTIF(Countries!$M$1:$S$271,M225)&gt;0,"Not a country","ERROR – NOT LISTED. Add alt spelling to ''Countries'' tab")))</f>
        <v/>
      </c>
      <c r="M225" s="606"/>
      <c r="N225" s="159"/>
      <c r="O225" s="159"/>
      <c r="P225" s="159"/>
      <c r="Q225" s="159"/>
      <c r="R225" s="159"/>
      <c r="S225" s="159"/>
      <c r="T225" s="159"/>
      <c r="U225" s="159"/>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59"/>
      <c r="AT225" s="159"/>
      <c r="AU225" s="159"/>
      <c r="AV225" s="159"/>
      <c r="AW225" s="159"/>
      <c r="AX225" s="159"/>
      <c r="AY225" s="159"/>
      <c r="AZ225" s="159"/>
      <c r="BA225" s="159"/>
      <c r="BB225" s="159"/>
      <c r="BC225" s="159"/>
      <c r="BD225" s="159"/>
      <c r="BE225" s="159"/>
      <c r="BF225" s="159"/>
      <c r="BG225" s="159"/>
      <c r="BH225" s="159"/>
      <c r="BI225" s="159"/>
      <c r="BJ225" s="159"/>
      <c r="BK225" s="159"/>
      <c r="BL225" s="159"/>
      <c r="BM225" s="159"/>
      <c r="BN225" s="159"/>
      <c r="BO225" s="159"/>
      <c r="BP225" s="159"/>
      <c r="BQ225" s="159"/>
      <c r="BR225" s="159"/>
      <c r="BS225" s="159"/>
      <c r="BT225" s="159"/>
      <c r="BU225" s="159"/>
      <c r="BV225" s="159"/>
      <c r="BW225" s="159"/>
      <c r="BX225" s="159"/>
      <c r="BY225" s="159"/>
      <c r="BZ225" s="159"/>
      <c r="CA225" s="159"/>
      <c r="CB225" s="159"/>
      <c r="CC225" s="159"/>
    </row>
    <row r="226">
      <c r="A226" s="159" t="str">
        <f>Countries!B225</f>
        <v/>
      </c>
      <c r="B226" s="603" t="str">
        <f>Countries!I225</f>
        <v/>
      </c>
      <c r="C226" s="614" t="str">
        <f>IFERROR(IFERROR(IFERROR(IFERROR(IFERROR(IFERROR(IFERROR(MATCH(Countries!$B225,$M$3:$M$1003,0),MATCH(Countries!$C225,$M$3:$M$1003,0)),MATCH(Countries!$D225,$M$3:$M$1003,0)),MATCH(Countries!$E225,$M$3:$M$1003,0)),MATCH(Countries!$F225,$M$3:$M$1003,0)),MATCH(Countries!$G225,$M$3:$M$1003,0)),MATCH(Countries!$H225,$M$3:$M$1003,0)),"X")</f>
        <v>X</v>
      </c>
      <c r="D226" s="603" t="str">
        <f t="shared" ref="D226:F226" si="451">IF(G$2="","",IF($C226="X","",INDEX($N$3:$CC$1003,$C226,MATCH(G$2,$N$2:$CC$2,0))))</f>
        <v/>
      </c>
      <c r="E226" s="603" t="str">
        <f t="shared" si="451"/>
        <v/>
      </c>
      <c r="F226" s="603" t="str">
        <f t="shared" si="451"/>
        <v/>
      </c>
      <c r="G226" s="639" t="str">
        <f t="shared" si="5"/>
        <v/>
      </c>
      <c r="H226" s="618" t="str">
        <f t="shared" ref="H226:I226" si="452">IF(H$2="","", IF(E226="",IF($K$16="Use global average",E$276,IF($K$16="Use regional average",INDEX(E$280:E$296,MATCH($B226,$B$280:$B$296,0)),IF($K$16="Leave blank","",IF($K$16="Fill with zeros", 0,IF($K$16="Use global median",E$277,"Fill out I16"))))), E226))</f>
        <v/>
      </c>
      <c r="I226" s="618" t="str">
        <f t="shared" si="452"/>
        <v/>
      </c>
      <c r="J226" s="159"/>
      <c r="K226" s="159"/>
      <c r="L226" s="159" t="str">
        <f>IF(M226="","",IF(COUNTIF(Countries!$B$1:$H$271,M226)&gt;0,"",IF(COUNTIF(Countries!$M$1:$S$271,M226)&gt;0,"Not a country","ERROR – NOT LISTED. Add alt spelling to ''Countries'' tab")))</f>
        <v/>
      </c>
      <c r="M226" s="606"/>
      <c r="N226" s="159"/>
      <c r="O226" s="159"/>
      <c r="P226" s="159"/>
      <c r="Q226" s="159"/>
      <c r="R226" s="159"/>
      <c r="S226" s="159"/>
      <c r="T226" s="159"/>
      <c r="U226" s="159"/>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59"/>
      <c r="AT226" s="159"/>
      <c r="AU226" s="159"/>
      <c r="AV226" s="159"/>
      <c r="AW226" s="159"/>
      <c r="AX226" s="159"/>
      <c r="AY226" s="159"/>
      <c r="AZ226" s="159"/>
      <c r="BA226" s="159"/>
      <c r="BB226" s="159"/>
      <c r="BC226" s="159"/>
      <c r="BD226" s="159"/>
      <c r="BE226" s="159"/>
      <c r="BF226" s="159"/>
      <c r="BG226" s="159"/>
      <c r="BH226" s="159"/>
      <c r="BI226" s="159"/>
      <c r="BJ226" s="159"/>
      <c r="BK226" s="159"/>
      <c r="BL226" s="159"/>
      <c r="BM226" s="159"/>
      <c r="BN226" s="159"/>
      <c r="BO226" s="159"/>
      <c r="BP226" s="159"/>
      <c r="BQ226" s="159"/>
      <c r="BR226" s="159"/>
      <c r="BS226" s="159"/>
      <c r="BT226" s="159"/>
      <c r="BU226" s="159"/>
      <c r="BV226" s="159"/>
      <c r="BW226" s="159"/>
      <c r="BX226" s="159"/>
      <c r="BY226" s="159"/>
      <c r="BZ226" s="159"/>
      <c r="CA226" s="159"/>
      <c r="CB226" s="159"/>
      <c r="CC226" s="159"/>
    </row>
    <row r="227">
      <c r="A227" s="159" t="str">
        <f>Countries!B226</f>
        <v/>
      </c>
      <c r="B227" s="603" t="str">
        <f>Countries!I226</f>
        <v/>
      </c>
      <c r="C227" s="614" t="str">
        <f>IFERROR(IFERROR(IFERROR(IFERROR(IFERROR(IFERROR(IFERROR(MATCH(Countries!$B226,$M$3:$M$1003,0),MATCH(Countries!$C226,$M$3:$M$1003,0)),MATCH(Countries!$D226,$M$3:$M$1003,0)),MATCH(Countries!$E226,$M$3:$M$1003,0)),MATCH(Countries!$F226,$M$3:$M$1003,0)),MATCH(Countries!$G226,$M$3:$M$1003,0)),MATCH(Countries!$H226,$M$3:$M$1003,0)),"X")</f>
        <v>X</v>
      </c>
      <c r="D227" s="603" t="str">
        <f t="shared" ref="D227:F227" si="453">IF(G$2="","",IF($C227="X","",INDEX($N$3:$CC$1003,$C227,MATCH(G$2,$N$2:$CC$2,0))))</f>
        <v/>
      </c>
      <c r="E227" s="603" t="str">
        <f t="shared" si="453"/>
        <v/>
      </c>
      <c r="F227" s="603" t="str">
        <f t="shared" si="453"/>
        <v/>
      </c>
      <c r="G227" s="639" t="str">
        <f t="shared" si="5"/>
        <v/>
      </c>
      <c r="H227" s="618" t="str">
        <f t="shared" ref="H227:I227" si="454">IF(H$2="","", IF(E227="",IF($K$16="Use global average",E$276,IF($K$16="Use regional average",INDEX(E$280:E$296,MATCH($B227,$B$280:$B$296,0)),IF($K$16="Leave blank","",IF($K$16="Fill with zeros", 0,IF($K$16="Use global median",E$277,"Fill out I16"))))), E227))</f>
        <v/>
      </c>
      <c r="I227" s="618" t="str">
        <f t="shared" si="454"/>
        <v/>
      </c>
      <c r="J227" s="159"/>
      <c r="K227" s="159"/>
      <c r="L227" s="159" t="str">
        <f>IF(M227="","",IF(COUNTIF(Countries!$B$1:$H$271,M227)&gt;0,"",IF(COUNTIF(Countries!$M$1:$S$271,M227)&gt;0,"Not a country","ERROR – NOT LISTED. Add alt spelling to ''Countries'' tab")))</f>
        <v/>
      </c>
      <c r="M227" s="606"/>
      <c r="N227" s="159"/>
      <c r="O227" s="159"/>
      <c r="P227" s="159"/>
      <c r="Q227" s="159"/>
      <c r="R227" s="159"/>
      <c r="S227" s="159"/>
      <c r="T227" s="159"/>
      <c r="U227" s="159"/>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59"/>
      <c r="AT227" s="159"/>
      <c r="AU227" s="159"/>
      <c r="AV227" s="159"/>
      <c r="AW227" s="159"/>
      <c r="AX227" s="159"/>
      <c r="AY227" s="159"/>
      <c r="AZ227" s="159"/>
      <c r="BA227" s="159"/>
      <c r="BB227" s="159"/>
      <c r="BC227" s="159"/>
      <c r="BD227" s="159"/>
      <c r="BE227" s="159"/>
      <c r="BF227" s="159"/>
      <c r="BG227" s="159"/>
      <c r="BH227" s="159"/>
      <c r="BI227" s="159"/>
      <c r="BJ227" s="159"/>
      <c r="BK227" s="159"/>
      <c r="BL227" s="159"/>
      <c r="BM227" s="159"/>
      <c r="BN227" s="159"/>
      <c r="BO227" s="159"/>
      <c r="BP227" s="159"/>
      <c r="BQ227" s="159"/>
      <c r="BR227" s="159"/>
      <c r="BS227" s="159"/>
      <c r="BT227" s="159"/>
      <c r="BU227" s="159"/>
      <c r="BV227" s="159"/>
      <c r="BW227" s="159"/>
      <c r="BX227" s="159"/>
      <c r="BY227" s="159"/>
      <c r="BZ227" s="159"/>
      <c r="CA227" s="159"/>
      <c r="CB227" s="159"/>
      <c r="CC227" s="159"/>
    </row>
    <row r="228">
      <c r="A228" s="159" t="str">
        <f>Countries!B227</f>
        <v/>
      </c>
      <c r="B228" s="603" t="str">
        <f>Countries!I227</f>
        <v/>
      </c>
      <c r="C228" s="614" t="str">
        <f>IFERROR(IFERROR(IFERROR(IFERROR(IFERROR(IFERROR(IFERROR(MATCH(Countries!$B227,$M$3:$M$1003,0),MATCH(Countries!$C227,$M$3:$M$1003,0)),MATCH(Countries!$D227,$M$3:$M$1003,0)),MATCH(Countries!$E227,$M$3:$M$1003,0)),MATCH(Countries!$F227,$M$3:$M$1003,0)),MATCH(Countries!$G227,$M$3:$M$1003,0)),MATCH(Countries!$H227,$M$3:$M$1003,0)),"X")</f>
        <v>X</v>
      </c>
      <c r="D228" s="603" t="str">
        <f t="shared" ref="D228:F228" si="455">IF(G$2="","",IF($C228="X","",INDEX($N$3:$CC$1003,$C228,MATCH(G$2,$N$2:$CC$2,0))))</f>
        <v/>
      </c>
      <c r="E228" s="603" t="str">
        <f t="shared" si="455"/>
        <v/>
      </c>
      <c r="F228" s="603" t="str">
        <f t="shared" si="455"/>
        <v/>
      </c>
      <c r="G228" s="639" t="str">
        <f t="shared" si="5"/>
        <v/>
      </c>
      <c r="H228" s="618" t="str">
        <f t="shared" ref="H228:I228" si="456">IF(H$2="","", IF(E228="",IF($K$16="Use global average",E$276,IF($K$16="Use regional average",INDEX(E$280:E$296,MATCH($B228,$B$280:$B$296,0)),IF($K$16="Leave blank","",IF($K$16="Fill with zeros", 0,IF($K$16="Use global median",E$277,"Fill out I16"))))), E228))</f>
        <v/>
      </c>
      <c r="I228" s="618" t="str">
        <f t="shared" si="456"/>
        <v/>
      </c>
      <c r="J228" s="159"/>
      <c r="K228" s="159"/>
      <c r="L228" s="159" t="str">
        <f>IF(M228="","",IF(COUNTIF(Countries!$B$1:$H$271,M228)&gt;0,"",IF(COUNTIF(Countries!$M$1:$S$271,M228)&gt;0,"Not a country","ERROR – NOT LISTED. Add alt spelling to ''Countries'' tab")))</f>
        <v/>
      </c>
      <c r="M228" s="606"/>
      <c r="N228" s="159"/>
      <c r="O228" s="159"/>
      <c r="P228" s="159"/>
      <c r="Q228" s="159"/>
      <c r="R228" s="159"/>
      <c r="S228" s="159"/>
      <c r="T228" s="159"/>
      <c r="U228" s="159"/>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59"/>
      <c r="AT228" s="159"/>
      <c r="AU228" s="159"/>
      <c r="AV228" s="159"/>
      <c r="AW228" s="159"/>
      <c r="AX228" s="159"/>
      <c r="AY228" s="159"/>
      <c r="AZ228" s="159"/>
      <c r="BA228" s="159"/>
      <c r="BB228" s="159"/>
      <c r="BC228" s="159"/>
      <c r="BD228" s="159"/>
      <c r="BE228" s="159"/>
      <c r="BF228" s="159"/>
      <c r="BG228" s="159"/>
      <c r="BH228" s="159"/>
      <c r="BI228" s="159"/>
      <c r="BJ228" s="159"/>
      <c r="BK228" s="159"/>
      <c r="BL228" s="159"/>
      <c r="BM228" s="159"/>
      <c r="BN228" s="159"/>
      <c r="BO228" s="159"/>
      <c r="BP228" s="159"/>
      <c r="BQ228" s="159"/>
      <c r="BR228" s="159"/>
      <c r="BS228" s="159"/>
      <c r="BT228" s="159"/>
      <c r="BU228" s="159"/>
      <c r="BV228" s="159"/>
      <c r="BW228" s="159"/>
      <c r="BX228" s="159"/>
      <c r="BY228" s="159"/>
      <c r="BZ228" s="159"/>
      <c r="CA228" s="159"/>
      <c r="CB228" s="159"/>
      <c r="CC228" s="159"/>
    </row>
    <row r="229">
      <c r="A229" s="159" t="str">
        <f>Countries!B228</f>
        <v/>
      </c>
      <c r="B229" s="603" t="str">
        <f>Countries!I228</f>
        <v/>
      </c>
      <c r="C229" s="614" t="str">
        <f>IFERROR(IFERROR(IFERROR(IFERROR(IFERROR(IFERROR(IFERROR(MATCH(Countries!$B228,$M$3:$M$1003,0),MATCH(Countries!$C228,$M$3:$M$1003,0)),MATCH(Countries!$D228,$M$3:$M$1003,0)),MATCH(Countries!$E228,$M$3:$M$1003,0)),MATCH(Countries!$F228,$M$3:$M$1003,0)),MATCH(Countries!$G228,$M$3:$M$1003,0)),MATCH(Countries!$H228,$M$3:$M$1003,0)),"X")</f>
        <v>X</v>
      </c>
      <c r="D229" s="603" t="str">
        <f t="shared" ref="D229:F229" si="457">IF(G$2="","",IF($C229="X","",INDEX($N$3:$CC$1003,$C229,MATCH(G$2,$N$2:$CC$2,0))))</f>
        <v/>
      </c>
      <c r="E229" s="603" t="str">
        <f t="shared" si="457"/>
        <v/>
      </c>
      <c r="F229" s="603" t="str">
        <f t="shared" si="457"/>
        <v/>
      </c>
      <c r="G229" s="639" t="str">
        <f t="shared" si="5"/>
        <v/>
      </c>
      <c r="H229" s="618" t="str">
        <f t="shared" ref="H229:I229" si="458">IF(H$2="","", IF(E229="",IF($K$16="Use global average",E$276,IF($K$16="Use regional average",INDEX(E$280:E$296,MATCH($B229,$B$280:$B$296,0)),IF($K$16="Leave blank","",IF($K$16="Fill with zeros", 0,IF($K$16="Use global median",E$277,"Fill out I16"))))), E229))</f>
        <v/>
      </c>
      <c r="I229" s="618" t="str">
        <f t="shared" si="458"/>
        <v/>
      </c>
      <c r="J229" s="159"/>
      <c r="K229" s="159"/>
      <c r="L229" s="159" t="str">
        <f>IF(M229="","",IF(COUNTIF(Countries!$B$1:$H$271,M229)&gt;0,"",IF(COUNTIF(Countries!$M$1:$S$271,M229)&gt;0,"Not a country","ERROR – NOT LISTED. Add alt spelling to ''Countries'' tab")))</f>
        <v/>
      </c>
      <c r="M229" s="606"/>
      <c r="N229" s="159"/>
      <c r="O229" s="159"/>
      <c r="P229" s="159"/>
      <c r="Q229" s="159"/>
      <c r="R229" s="159"/>
      <c r="S229" s="159"/>
      <c r="T229" s="159"/>
      <c r="U229" s="159"/>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59"/>
      <c r="AT229" s="159"/>
      <c r="AU229" s="159"/>
      <c r="AV229" s="159"/>
      <c r="AW229" s="159"/>
      <c r="AX229" s="159"/>
      <c r="AY229" s="159"/>
      <c r="AZ229" s="159"/>
      <c r="BA229" s="159"/>
      <c r="BB229" s="159"/>
      <c r="BC229" s="159"/>
      <c r="BD229" s="159"/>
      <c r="BE229" s="159"/>
      <c r="BF229" s="159"/>
      <c r="BG229" s="159"/>
      <c r="BH229" s="159"/>
      <c r="BI229" s="159"/>
      <c r="BJ229" s="159"/>
      <c r="BK229" s="159"/>
      <c r="BL229" s="159"/>
      <c r="BM229" s="159"/>
      <c r="BN229" s="159"/>
      <c r="BO229" s="159"/>
      <c r="BP229" s="159"/>
      <c r="BQ229" s="159"/>
      <c r="BR229" s="159"/>
      <c r="BS229" s="159"/>
      <c r="BT229" s="159"/>
      <c r="BU229" s="159"/>
      <c r="BV229" s="159"/>
      <c r="BW229" s="159"/>
      <c r="BX229" s="159"/>
      <c r="BY229" s="159"/>
      <c r="BZ229" s="159"/>
      <c r="CA229" s="159"/>
      <c r="CB229" s="159"/>
      <c r="CC229" s="159"/>
    </row>
    <row r="230">
      <c r="A230" s="159" t="str">
        <f>Countries!B229</f>
        <v/>
      </c>
      <c r="B230" s="603" t="str">
        <f>Countries!I229</f>
        <v/>
      </c>
      <c r="C230" s="614" t="str">
        <f>IFERROR(IFERROR(IFERROR(IFERROR(IFERROR(IFERROR(IFERROR(MATCH(Countries!$B229,$M$3:$M$1003,0),MATCH(Countries!$C229,$M$3:$M$1003,0)),MATCH(Countries!$D229,$M$3:$M$1003,0)),MATCH(Countries!$E229,$M$3:$M$1003,0)),MATCH(Countries!$F229,$M$3:$M$1003,0)),MATCH(Countries!$G229,$M$3:$M$1003,0)),MATCH(Countries!$H229,$M$3:$M$1003,0)),"X")</f>
        <v>X</v>
      </c>
      <c r="D230" s="603" t="str">
        <f t="shared" ref="D230:F230" si="459">IF(G$2="","",IF($C230="X","",INDEX($N$3:$CC$1003,$C230,MATCH(G$2,$N$2:$CC$2,0))))</f>
        <v/>
      </c>
      <c r="E230" s="603" t="str">
        <f t="shared" si="459"/>
        <v/>
      </c>
      <c r="F230" s="603" t="str">
        <f t="shared" si="459"/>
        <v/>
      </c>
      <c r="G230" s="639" t="str">
        <f t="shared" si="5"/>
        <v/>
      </c>
      <c r="H230" s="618" t="str">
        <f t="shared" ref="H230:I230" si="460">IF(H$2="","", IF(E230="",IF($K$16="Use global average",E$276,IF($K$16="Use regional average",INDEX(E$280:E$296,MATCH($B230,$B$280:$B$296,0)),IF($K$16="Leave blank","",IF($K$16="Fill with zeros", 0,IF($K$16="Use global median",E$277,"Fill out I16"))))), E230))</f>
        <v/>
      </c>
      <c r="I230" s="618" t="str">
        <f t="shared" si="460"/>
        <v/>
      </c>
      <c r="J230" s="159"/>
      <c r="K230" s="159"/>
      <c r="L230" s="159" t="str">
        <f>IF(M230="","",IF(COUNTIF(Countries!$B$1:$H$271,M230)&gt;0,"",IF(COUNTIF(Countries!$M$1:$S$271,M230)&gt;0,"Not a country","ERROR – NOT LISTED. Add alt spelling to ''Countries'' tab")))</f>
        <v/>
      </c>
      <c r="M230" s="606"/>
      <c r="N230" s="159"/>
      <c r="O230" s="159"/>
      <c r="P230" s="159"/>
      <c r="Q230" s="159"/>
      <c r="R230" s="159"/>
      <c r="S230" s="159"/>
      <c r="T230" s="159"/>
      <c r="U230" s="159"/>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59"/>
      <c r="AT230" s="159"/>
      <c r="AU230" s="159"/>
      <c r="AV230" s="159"/>
      <c r="AW230" s="159"/>
      <c r="AX230" s="159"/>
      <c r="AY230" s="159"/>
      <c r="AZ230" s="159"/>
      <c r="BA230" s="159"/>
      <c r="BB230" s="159"/>
      <c r="BC230" s="159"/>
      <c r="BD230" s="159"/>
      <c r="BE230" s="159"/>
      <c r="BF230" s="159"/>
      <c r="BG230" s="159"/>
      <c r="BH230" s="159"/>
      <c r="BI230" s="159"/>
      <c r="BJ230" s="159"/>
      <c r="BK230" s="159"/>
      <c r="BL230" s="159"/>
      <c r="BM230" s="159"/>
      <c r="BN230" s="159"/>
      <c r="BO230" s="159"/>
      <c r="BP230" s="159"/>
      <c r="BQ230" s="159"/>
      <c r="BR230" s="159"/>
      <c r="BS230" s="159"/>
      <c r="BT230" s="159"/>
      <c r="BU230" s="159"/>
      <c r="BV230" s="159"/>
      <c r="BW230" s="159"/>
      <c r="BX230" s="159"/>
      <c r="BY230" s="159"/>
      <c r="BZ230" s="159"/>
      <c r="CA230" s="159"/>
      <c r="CB230" s="159"/>
      <c r="CC230" s="159"/>
    </row>
    <row r="231">
      <c r="A231" s="159" t="str">
        <f>Countries!B230</f>
        <v/>
      </c>
      <c r="B231" s="603" t="str">
        <f>Countries!I230</f>
        <v/>
      </c>
      <c r="C231" s="614" t="str">
        <f>IFERROR(IFERROR(IFERROR(IFERROR(IFERROR(IFERROR(IFERROR(MATCH(Countries!$B230,$M$3:$M$1003,0),MATCH(Countries!$C230,$M$3:$M$1003,0)),MATCH(Countries!$D230,$M$3:$M$1003,0)),MATCH(Countries!$E230,$M$3:$M$1003,0)),MATCH(Countries!$F230,$M$3:$M$1003,0)),MATCH(Countries!$G230,$M$3:$M$1003,0)),MATCH(Countries!$H230,$M$3:$M$1003,0)),"X")</f>
        <v>X</v>
      </c>
      <c r="D231" s="603" t="str">
        <f t="shared" ref="D231:F231" si="461">IF(G$2="","",IF($C231="X","",INDEX($N$3:$CC$1003,$C231,MATCH(G$2,$N$2:$CC$2,0))))</f>
        <v/>
      </c>
      <c r="E231" s="603" t="str">
        <f t="shared" si="461"/>
        <v/>
      </c>
      <c r="F231" s="603" t="str">
        <f t="shared" si="461"/>
        <v/>
      </c>
      <c r="G231" s="639" t="str">
        <f t="shared" si="5"/>
        <v/>
      </c>
      <c r="H231" s="618" t="str">
        <f t="shared" ref="H231:I231" si="462">IF(H$2="","", IF(E231="",IF($K$16="Use global average",E$276,IF($K$16="Use regional average",INDEX(E$280:E$296,MATCH($B231,$B$280:$B$296,0)),IF($K$16="Leave blank","",IF($K$16="Fill with zeros", 0,IF($K$16="Use global median",E$277,"Fill out I16"))))), E231))</f>
        <v/>
      </c>
      <c r="I231" s="618" t="str">
        <f t="shared" si="462"/>
        <v/>
      </c>
      <c r="J231" s="159"/>
      <c r="K231" s="159"/>
      <c r="L231" s="159" t="str">
        <f>IF(M231="","",IF(COUNTIF(Countries!$B$1:$H$271,M231)&gt;0,"",IF(COUNTIF(Countries!$M$1:$S$271,M231)&gt;0,"Not a country","ERROR – NOT LISTED. Add alt spelling to ''Countries'' tab")))</f>
        <v/>
      </c>
      <c r="M231" s="606"/>
      <c r="N231" s="159"/>
      <c r="O231" s="159"/>
      <c r="P231" s="159"/>
      <c r="Q231" s="159"/>
      <c r="R231" s="159"/>
      <c r="S231" s="159"/>
      <c r="T231" s="159"/>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c r="AX231" s="159"/>
      <c r="AY231" s="159"/>
      <c r="AZ231" s="159"/>
      <c r="BA231" s="159"/>
      <c r="BB231" s="159"/>
      <c r="BC231" s="159"/>
      <c r="BD231" s="159"/>
      <c r="BE231" s="159"/>
      <c r="BF231" s="159"/>
      <c r="BG231" s="159"/>
      <c r="BH231" s="159"/>
      <c r="BI231" s="159"/>
      <c r="BJ231" s="159"/>
      <c r="BK231" s="159"/>
      <c r="BL231" s="159"/>
      <c r="BM231" s="159"/>
      <c r="BN231" s="159"/>
      <c r="BO231" s="159"/>
      <c r="BP231" s="159"/>
      <c r="BQ231" s="159"/>
      <c r="BR231" s="159"/>
      <c r="BS231" s="159"/>
      <c r="BT231" s="159"/>
      <c r="BU231" s="159"/>
      <c r="BV231" s="159"/>
      <c r="BW231" s="159"/>
      <c r="BX231" s="159"/>
      <c r="BY231" s="159"/>
      <c r="BZ231" s="159"/>
      <c r="CA231" s="159"/>
      <c r="CB231" s="159"/>
      <c r="CC231" s="159"/>
    </row>
    <row r="232">
      <c r="A232" s="159" t="str">
        <f>Countries!B231</f>
        <v/>
      </c>
      <c r="B232" s="603" t="str">
        <f>Countries!I231</f>
        <v/>
      </c>
      <c r="C232" s="614" t="str">
        <f>IFERROR(IFERROR(IFERROR(IFERROR(IFERROR(IFERROR(IFERROR(MATCH(Countries!$B231,$M$3:$M$1003,0),MATCH(Countries!$C231,$M$3:$M$1003,0)),MATCH(Countries!$D231,$M$3:$M$1003,0)),MATCH(Countries!$E231,$M$3:$M$1003,0)),MATCH(Countries!$F231,$M$3:$M$1003,0)),MATCH(Countries!$G231,$M$3:$M$1003,0)),MATCH(Countries!$H231,$M$3:$M$1003,0)),"X")</f>
        <v>X</v>
      </c>
      <c r="D232" s="603" t="str">
        <f t="shared" ref="D232:F232" si="463">IF(G$2="","",IF($C232="X","",INDEX($N$3:$CC$1003,$C232,MATCH(G$2,$N$2:$CC$2,0))))</f>
        <v/>
      </c>
      <c r="E232" s="603" t="str">
        <f t="shared" si="463"/>
        <v/>
      </c>
      <c r="F232" s="603" t="str">
        <f t="shared" si="463"/>
        <v/>
      </c>
      <c r="G232" s="639" t="str">
        <f t="shared" si="5"/>
        <v/>
      </c>
      <c r="H232" s="618" t="str">
        <f t="shared" ref="H232:I232" si="464">IF(H$2="","", IF(E232="",IF($K$16="Use global average",E$276,IF($K$16="Use regional average",INDEX(E$280:E$296,MATCH($B232,$B$280:$B$296,0)),IF($K$16="Leave blank","",IF($K$16="Fill with zeros", 0,IF($K$16="Use global median",E$277,"Fill out I16"))))), E232))</f>
        <v/>
      </c>
      <c r="I232" s="618" t="str">
        <f t="shared" si="464"/>
        <v/>
      </c>
      <c r="J232" s="159"/>
      <c r="K232" s="159"/>
      <c r="L232" s="159" t="str">
        <f>IF(M232="","",IF(COUNTIF(Countries!$B$1:$H$271,M232)&gt;0,"",IF(COUNTIF(Countries!$M$1:$S$271,M232)&gt;0,"Not a country","ERROR – NOT LISTED. Add alt spelling to ''Countries'' tab")))</f>
        <v/>
      </c>
      <c r="M232" s="606"/>
      <c r="N232" s="159"/>
      <c r="O232" s="159"/>
      <c r="P232" s="159"/>
      <c r="Q232" s="159"/>
      <c r="R232" s="159"/>
      <c r="S232" s="159"/>
      <c r="T232" s="159"/>
      <c r="U232" s="159"/>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59"/>
      <c r="AT232" s="159"/>
      <c r="AU232" s="159"/>
      <c r="AV232" s="159"/>
      <c r="AW232" s="159"/>
      <c r="AX232" s="159"/>
      <c r="AY232" s="159"/>
      <c r="AZ232" s="159"/>
      <c r="BA232" s="159"/>
      <c r="BB232" s="159"/>
      <c r="BC232" s="159"/>
      <c r="BD232" s="159"/>
      <c r="BE232" s="159"/>
      <c r="BF232" s="159"/>
      <c r="BG232" s="159"/>
      <c r="BH232" s="159"/>
      <c r="BI232" s="159"/>
      <c r="BJ232" s="159"/>
      <c r="BK232" s="159"/>
      <c r="BL232" s="159"/>
      <c r="BM232" s="159"/>
      <c r="BN232" s="159"/>
      <c r="BO232" s="159"/>
      <c r="BP232" s="159"/>
      <c r="BQ232" s="159"/>
      <c r="BR232" s="159"/>
      <c r="BS232" s="159"/>
      <c r="BT232" s="159"/>
      <c r="BU232" s="159"/>
      <c r="BV232" s="159"/>
      <c r="BW232" s="159"/>
      <c r="BX232" s="159"/>
      <c r="BY232" s="159"/>
      <c r="BZ232" s="159"/>
      <c r="CA232" s="159"/>
      <c r="CB232" s="159"/>
      <c r="CC232" s="159"/>
    </row>
    <row r="233">
      <c r="A233" s="159" t="str">
        <f>Countries!B232</f>
        <v/>
      </c>
      <c r="B233" s="603" t="str">
        <f>Countries!I232</f>
        <v/>
      </c>
      <c r="C233" s="614" t="str">
        <f>IFERROR(IFERROR(IFERROR(IFERROR(IFERROR(IFERROR(IFERROR(MATCH(Countries!$B232,$M$3:$M$1003,0),MATCH(Countries!$C232,$M$3:$M$1003,0)),MATCH(Countries!$D232,$M$3:$M$1003,0)),MATCH(Countries!$E232,$M$3:$M$1003,0)),MATCH(Countries!$F232,$M$3:$M$1003,0)),MATCH(Countries!$G232,$M$3:$M$1003,0)),MATCH(Countries!$H232,$M$3:$M$1003,0)),"X")</f>
        <v>X</v>
      </c>
      <c r="D233" s="603" t="str">
        <f t="shared" ref="D233:F233" si="465">IF(G$2="","",IF($C233="X","",INDEX($N$3:$CC$1003,$C233,MATCH(G$2,$N$2:$CC$2,0))))</f>
        <v/>
      </c>
      <c r="E233" s="603" t="str">
        <f t="shared" si="465"/>
        <v/>
      </c>
      <c r="F233" s="603" t="str">
        <f t="shared" si="465"/>
        <v/>
      </c>
      <c r="G233" s="639" t="str">
        <f t="shared" si="5"/>
        <v/>
      </c>
      <c r="H233" s="618" t="str">
        <f t="shared" ref="H233:I233" si="466">IF(H$2="","", IF(E233="",IF($K$16="Use global average",E$276,IF($K$16="Use regional average",INDEX(E$280:E$296,MATCH($B233,$B$280:$B$296,0)),IF($K$16="Leave blank","",IF($K$16="Fill with zeros", 0,IF($K$16="Use global median",E$277,"Fill out I16"))))), E233))</f>
        <v/>
      </c>
      <c r="I233" s="618" t="str">
        <f t="shared" si="466"/>
        <v/>
      </c>
      <c r="J233" s="159"/>
      <c r="K233" s="159"/>
      <c r="L233" s="159" t="str">
        <f>IF(M233="","",IF(COUNTIF(Countries!$B$1:$H$271,M233)&gt;0,"",IF(COUNTIF(Countries!$M$1:$S$271,M233)&gt;0,"Not a country","ERROR – NOT LISTED. Add alt spelling to ''Countries'' tab")))</f>
        <v/>
      </c>
      <c r="M233" s="606"/>
      <c r="N233" s="159"/>
      <c r="O233" s="159"/>
      <c r="P233" s="159"/>
      <c r="Q233" s="159"/>
      <c r="R233" s="159"/>
      <c r="S233" s="159"/>
      <c r="T233" s="159"/>
      <c r="U233" s="159"/>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59"/>
      <c r="AT233" s="159"/>
      <c r="AU233" s="159"/>
      <c r="AV233" s="159"/>
      <c r="AW233" s="159"/>
      <c r="AX233" s="159"/>
      <c r="AY233" s="159"/>
      <c r="AZ233" s="159"/>
      <c r="BA233" s="159"/>
      <c r="BB233" s="159"/>
      <c r="BC233" s="159"/>
      <c r="BD233" s="159"/>
      <c r="BE233" s="159"/>
      <c r="BF233" s="159"/>
      <c r="BG233" s="159"/>
      <c r="BH233" s="159"/>
      <c r="BI233" s="159"/>
      <c r="BJ233" s="159"/>
      <c r="BK233" s="159"/>
      <c r="BL233" s="159"/>
      <c r="BM233" s="159"/>
      <c r="BN233" s="159"/>
      <c r="BO233" s="159"/>
      <c r="BP233" s="159"/>
      <c r="BQ233" s="159"/>
      <c r="BR233" s="159"/>
      <c r="BS233" s="159"/>
      <c r="BT233" s="159"/>
      <c r="BU233" s="159"/>
      <c r="BV233" s="159"/>
      <c r="BW233" s="159"/>
      <c r="BX233" s="159"/>
      <c r="BY233" s="159"/>
      <c r="BZ233" s="159"/>
      <c r="CA233" s="159"/>
      <c r="CB233" s="159"/>
      <c r="CC233" s="159"/>
    </row>
    <row r="234">
      <c r="A234" s="159" t="str">
        <f>Countries!B233</f>
        <v/>
      </c>
      <c r="B234" s="603" t="str">
        <f>Countries!I233</f>
        <v/>
      </c>
      <c r="C234" s="614" t="str">
        <f>IFERROR(IFERROR(IFERROR(IFERROR(IFERROR(IFERROR(IFERROR(MATCH(Countries!$B233,$M$3:$M$1003,0),MATCH(Countries!$C233,$M$3:$M$1003,0)),MATCH(Countries!$D233,$M$3:$M$1003,0)),MATCH(Countries!$E233,$M$3:$M$1003,0)),MATCH(Countries!$F233,$M$3:$M$1003,0)),MATCH(Countries!$G233,$M$3:$M$1003,0)),MATCH(Countries!$H233,$M$3:$M$1003,0)),"X")</f>
        <v>X</v>
      </c>
      <c r="D234" s="603" t="str">
        <f t="shared" ref="D234:F234" si="467">IF(G$2="","",IF($C234="X","",INDEX($N$3:$CC$1003,$C234,MATCH(G$2,$N$2:$CC$2,0))))</f>
        <v/>
      </c>
      <c r="E234" s="603" t="str">
        <f t="shared" si="467"/>
        <v/>
      </c>
      <c r="F234" s="603" t="str">
        <f t="shared" si="467"/>
        <v/>
      </c>
      <c r="G234" s="639" t="str">
        <f t="shared" si="5"/>
        <v/>
      </c>
      <c r="H234" s="618" t="str">
        <f t="shared" ref="H234:I234" si="468">IF(H$2="","", IF(E234="",IF($K$16="Use global average",E$276,IF($K$16="Use regional average",INDEX(E$280:E$296,MATCH($B234,$B$280:$B$296,0)),IF($K$16="Leave blank","",IF($K$16="Fill with zeros", 0,IF($K$16="Use global median",E$277,"Fill out I16"))))), E234))</f>
        <v/>
      </c>
      <c r="I234" s="618" t="str">
        <f t="shared" si="468"/>
        <v/>
      </c>
      <c r="J234" s="159"/>
      <c r="K234" s="159"/>
      <c r="L234" s="159" t="str">
        <f>IF(M234="","",IF(COUNTIF(Countries!$B$1:$H$271,M234)&gt;0,"",IF(COUNTIF(Countries!$M$1:$S$271,M234)&gt;0,"Not a country","ERROR – NOT LISTED. Add alt spelling to ''Countries'' tab")))</f>
        <v/>
      </c>
      <c r="M234" s="606"/>
      <c r="N234" s="159"/>
      <c r="O234" s="159"/>
      <c r="P234" s="159"/>
      <c r="Q234" s="159"/>
      <c r="R234" s="159"/>
      <c r="S234" s="159"/>
      <c r="T234" s="159"/>
      <c r="U234" s="159"/>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59"/>
      <c r="AT234" s="159"/>
      <c r="AU234" s="159"/>
      <c r="AV234" s="159"/>
      <c r="AW234" s="159"/>
      <c r="AX234" s="159"/>
      <c r="AY234" s="159"/>
      <c r="AZ234" s="159"/>
      <c r="BA234" s="159"/>
      <c r="BB234" s="159"/>
      <c r="BC234" s="159"/>
      <c r="BD234" s="159"/>
      <c r="BE234" s="159"/>
      <c r="BF234" s="159"/>
      <c r="BG234" s="159"/>
      <c r="BH234" s="159"/>
      <c r="BI234" s="159"/>
      <c r="BJ234" s="159"/>
      <c r="BK234" s="159"/>
      <c r="BL234" s="159"/>
      <c r="BM234" s="159"/>
      <c r="BN234" s="159"/>
      <c r="BO234" s="159"/>
      <c r="BP234" s="159"/>
      <c r="BQ234" s="159"/>
      <c r="BR234" s="159"/>
      <c r="BS234" s="159"/>
      <c r="BT234" s="159"/>
      <c r="BU234" s="159"/>
      <c r="BV234" s="159"/>
      <c r="BW234" s="159"/>
      <c r="BX234" s="159"/>
      <c r="BY234" s="159"/>
      <c r="BZ234" s="159"/>
      <c r="CA234" s="159"/>
      <c r="CB234" s="159"/>
      <c r="CC234" s="159"/>
    </row>
    <row r="235">
      <c r="A235" s="159" t="str">
        <f>Countries!B234</f>
        <v/>
      </c>
      <c r="B235" s="603" t="str">
        <f>Countries!I234</f>
        <v/>
      </c>
      <c r="C235" s="614" t="str">
        <f>IFERROR(IFERROR(IFERROR(IFERROR(IFERROR(IFERROR(IFERROR(MATCH(Countries!$B234,$M$3:$M$1003,0),MATCH(Countries!$C234,$M$3:$M$1003,0)),MATCH(Countries!$D234,$M$3:$M$1003,0)),MATCH(Countries!$E234,$M$3:$M$1003,0)),MATCH(Countries!$F234,$M$3:$M$1003,0)),MATCH(Countries!$G234,$M$3:$M$1003,0)),MATCH(Countries!$H234,$M$3:$M$1003,0)),"X")</f>
        <v>X</v>
      </c>
      <c r="D235" s="603" t="str">
        <f t="shared" ref="D235:F235" si="469">IF(G$2="","",IF($C235="X","",INDEX($N$3:$CC$1003,$C235,MATCH(G$2,$N$2:$CC$2,0))))</f>
        <v/>
      </c>
      <c r="E235" s="603" t="str">
        <f t="shared" si="469"/>
        <v/>
      </c>
      <c r="F235" s="603" t="str">
        <f t="shared" si="469"/>
        <v/>
      </c>
      <c r="G235" s="639" t="str">
        <f t="shared" si="5"/>
        <v/>
      </c>
      <c r="H235" s="618" t="str">
        <f t="shared" ref="H235:I235" si="470">IF(H$2="","", IF(E235="",IF($K$16="Use global average",E$276,IF($K$16="Use regional average",INDEX(E$280:E$296,MATCH($B235,$B$280:$B$296,0)),IF($K$16="Leave blank","",IF($K$16="Fill with zeros", 0,IF($K$16="Use global median",E$277,"Fill out I16"))))), E235))</f>
        <v/>
      </c>
      <c r="I235" s="618" t="str">
        <f t="shared" si="470"/>
        <v/>
      </c>
      <c r="J235" s="159"/>
      <c r="K235" s="159"/>
      <c r="L235" s="159" t="str">
        <f>IF(M235="","",IF(COUNTIF(Countries!$B$1:$H$271,M235)&gt;0,"",IF(COUNTIF(Countries!$M$1:$S$271,M235)&gt;0,"Not a country","ERROR – NOT LISTED. Add alt spelling to ''Countries'' tab")))</f>
        <v/>
      </c>
      <c r="M235" s="606"/>
      <c r="N235" s="159"/>
      <c r="O235" s="159"/>
      <c r="P235" s="159"/>
      <c r="Q235" s="159"/>
      <c r="R235" s="159"/>
      <c r="S235" s="159"/>
      <c r="T235" s="159"/>
      <c r="U235" s="159"/>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59"/>
      <c r="AT235" s="159"/>
      <c r="AU235" s="159"/>
      <c r="AV235" s="159"/>
      <c r="AW235" s="159"/>
      <c r="AX235" s="159"/>
      <c r="AY235" s="159"/>
      <c r="AZ235" s="159"/>
      <c r="BA235" s="159"/>
      <c r="BB235" s="159"/>
      <c r="BC235" s="159"/>
      <c r="BD235" s="159"/>
      <c r="BE235" s="159"/>
      <c r="BF235" s="159"/>
      <c r="BG235" s="159"/>
      <c r="BH235" s="159"/>
      <c r="BI235" s="159"/>
      <c r="BJ235" s="159"/>
      <c r="BK235" s="159"/>
      <c r="BL235" s="159"/>
      <c r="BM235" s="159"/>
      <c r="BN235" s="159"/>
      <c r="BO235" s="159"/>
      <c r="BP235" s="159"/>
      <c r="BQ235" s="159"/>
      <c r="BR235" s="159"/>
      <c r="BS235" s="159"/>
      <c r="BT235" s="159"/>
      <c r="BU235" s="159"/>
      <c r="BV235" s="159"/>
      <c r="BW235" s="159"/>
      <c r="BX235" s="159"/>
      <c r="BY235" s="159"/>
      <c r="BZ235" s="159"/>
      <c r="CA235" s="159"/>
      <c r="CB235" s="159"/>
      <c r="CC235" s="159"/>
    </row>
    <row r="236">
      <c r="A236" s="159" t="str">
        <f>Countries!B235</f>
        <v/>
      </c>
      <c r="B236" s="603" t="str">
        <f>Countries!I235</f>
        <v/>
      </c>
      <c r="C236" s="614" t="str">
        <f>IFERROR(IFERROR(IFERROR(IFERROR(IFERROR(IFERROR(IFERROR(MATCH(Countries!$B235,$M$3:$M$1003,0),MATCH(Countries!$C235,$M$3:$M$1003,0)),MATCH(Countries!$D235,$M$3:$M$1003,0)),MATCH(Countries!$E235,$M$3:$M$1003,0)),MATCH(Countries!$F235,$M$3:$M$1003,0)),MATCH(Countries!$G235,$M$3:$M$1003,0)),MATCH(Countries!$H235,$M$3:$M$1003,0)),"X")</f>
        <v>X</v>
      </c>
      <c r="D236" s="603" t="str">
        <f t="shared" ref="D236:F236" si="471">IF(G$2="","",IF($C236="X","",INDEX($N$3:$CC$1003,$C236,MATCH(G$2,$N$2:$CC$2,0))))</f>
        <v/>
      </c>
      <c r="E236" s="603" t="str">
        <f t="shared" si="471"/>
        <v/>
      </c>
      <c r="F236" s="603" t="str">
        <f t="shared" si="471"/>
        <v/>
      </c>
      <c r="G236" s="639" t="str">
        <f t="shared" si="5"/>
        <v/>
      </c>
      <c r="H236" s="618" t="str">
        <f t="shared" ref="H236:I236" si="472">IF(H$2="","", IF(E236="",IF($K$16="Use global average",E$276,IF($K$16="Use regional average",INDEX(E$280:E$296,MATCH($B236,$B$280:$B$296,0)),IF($K$16="Leave blank","",IF($K$16="Fill with zeros", 0,IF($K$16="Use global median",E$277,"Fill out I16"))))), E236))</f>
        <v/>
      </c>
      <c r="I236" s="618" t="str">
        <f t="shared" si="472"/>
        <v/>
      </c>
      <c r="J236" s="159"/>
      <c r="K236" s="159"/>
      <c r="L236" s="159" t="str">
        <f>IF(M236="","",IF(COUNTIF(Countries!$B$1:$H$271,M236)&gt;0,"",IF(COUNTIF(Countries!$M$1:$S$271,M236)&gt;0,"Not a country","ERROR – NOT LISTED. Add alt spelling to ''Countries'' tab")))</f>
        <v/>
      </c>
      <c r="M236" s="606"/>
      <c r="N236" s="159"/>
      <c r="O236" s="159"/>
      <c r="P236" s="159"/>
      <c r="Q236" s="159"/>
      <c r="R236" s="159"/>
      <c r="S236" s="159"/>
      <c r="T236" s="159"/>
      <c r="U236" s="159"/>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59"/>
      <c r="AT236" s="159"/>
      <c r="AU236" s="159"/>
      <c r="AV236" s="159"/>
      <c r="AW236" s="159"/>
      <c r="AX236" s="159"/>
      <c r="AY236" s="159"/>
      <c r="AZ236" s="159"/>
      <c r="BA236" s="159"/>
      <c r="BB236" s="159"/>
      <c r="BC236" s="159"/>
      <c r="BD236" s="159"/>
      <c r="BE236" s="159"/>
      <c r="BF236" s="159"/>
      <c r="BG236" s="159"/>
      <c r="BH236" s="159"/>
      <c r="BI236" s="159"/>
      <c r="BJ236" s="159"/>
      <c r="BK236" s="159"/>
      <c r="BL236" s="159"/>
      <c r="BM236" s="159"/>
      <c r="BN236" s="159"/>
      <c r="BO236" s="159"/>
      <c r="BP236" s="159"/>
      <c r="BQ236" s="159"/>
      <c r="BR236" s="159"/>
      <c r="BS236" s="159"/>
      <c r="BT236" s="159"/>
      <c r="BU236" s="159"/>
      <c r="BV236" s="159"/>
      <c r="BW236" s="159"/>
      <c r="BX236" s="159"/>
      <c r="BY236" s="159"/>
      <c r="BZ236" s="159"/>
      <c r="CA236" s="159"/>
      <c r="CB236" s="159"/>
      <c r="CC236" s="159"/>
    </row>
    <row r="237">
      <c r="A237" s="159" t="str">
        <f>Countries!B236</f>
        <v/>
      </c>
      <c r="B237" s="603" t="str">
        <f>Countries!I236</f>
        <v/>
      </c>
      <c r="C237" s="614" t="str">
        <f>IFERROR(IFERROR(IFERROR(IFERROR(IFERROR(IFERROR(IFERROR(MATCH(Countries!$B236,$M$3:$M$1003,0),MATCH(Countries!$C236,$M$3:$M$1003,0)),MATCH(Countries!$D236,$M$3:$M$1003,0)),MATCH(Countries!$E236,$M$3:$M$1003,0)),MATCH(Countries!$F236,$M$3:$M$1003,0)),MATCH(Countries!$G236,$M$3:$M$1003,0)),MATCH(Countries!$H236,$M$3:$M$1003,0)),"X")</f>
        <v>X</v>
      </c>
      <c r="D237" s="603" t="str">
        <f t="shared" ref="D237:F237" si="473">IF(G$2="","",IF($C237="X","",INDEX($N$3:$CC$1003,$C237,MATCH(G$2,$N$2:$CC$2,0))))</f>
        <v/>
      </c>
      <c r="E237" s="603" t="str">
        <f t="shared" si="473"/>
        <v/>
      </c>
      <c r="F237" s="603" t="str">
        <f t="shared" si="473"/>
        <v/>
      </c>
      <c r="G237" s="639" t="str">
        <f t="shared" si="5"/>
        <v/>
      </c>
      <c r="H237" s="618" t="str">
        <f t="shared" ref="H237:I237" si="474">IF(H$2="","", IF(E237="",IF($K$16="Use global average",E$276,IF($K$16="Use regional average",INDEX(E$280:E$296,MATCH($B237,$B$280:$B$296,0)),IF($K$16="Leave blank","",IF($K$16="Fill with zeros", 0,IF($K$16="Use global median",E$277,"Fill out I16"))))), E237))</f>
        <v/>
      </c>
      <c r="I237" s="618" t="str">
        <f t="shared" si="474"/>
        <v/>
      </c>
      <c r="J237" s="159"/>
      <c r="K237" s="159"/>
      <c r="L237" s="159" t="str">
        <f>IF(M237="","",IF(COUNTIF(Countries!$B$1:$H$271,M237)&gt;0,"",IF(COUNTIF(Countries!$M$1:$S$271,M237)&gt;0,"Not a country","ERROR – NOT LISTED. Add alt spelling to ''Countries'' tab")))</f>
        <v/>
      </c>
      <c r="M237" s="606"/>
      <c r="N237" s="159"/>
      <c r="O237" s="159"/>
      <c r="P237" s="159"/>
      <c r="Q237" s="159"/>
      <c r="R237" s="159"/>
      <c r="S237" s="159"/>
      <c r="T237" s="159"/>
      <c r="U237" s="159"/>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59"/>
      <c r="AT237" s="159"/>
      <c r="AU237" s="159"/>
      <c r="AV237" s="159"/>
      <c r="AW237" s="159"/>
      <c r="AX237" s="159"/>
      <c r="AY237" s="159"/>
      <c r="AZ237" s="159"/>
      <c r="BA237" s="159"/>
      <c r="BB237" s="159"/>
      <c r="BC237" s="159"/>
      <c r="BD237" s="159"/>
      <c r="BE237" s="159"/>
      <c r="BF237" s="159"/>
      <c r="BG237" s="159"/>
      <c r="BH237" s="159"/>
      <c r="BI237" s="159"/>
      <c r="BJ237" s="159"/>
      <c r="BK237" s="159"/>
      <c r="BL237" s="159"/>
      <c r="BM237" s="159"/>
      <c r="BN237" s="159"/>
      <c r="BO237" s="159"/>
      <c r="BP237" s="159"/>
      <c r="BQ237" s="159"/>
      <c r="BR237" s="159"/>
      <c r="BS237" s="159"/>
      <c r="BT237" s="159"/>
      <c r="BU237" s="159"/>
      <c r="BV237" s="159"/>
      <c r="BW237" s="159"/>
      <c r="BX237" s="159"/>
      <c r="BY237" s="159"/>
      <c r="BZ237" s="159"/>
      <c r="CA237" s="159"/>
      <c r="CB237" s="159"/>
      <c r="CC237" s="159"/>
    </row>
    <row r="238">
      <c r="A238" s="159" t="str">
        <f>Countries!B237</f>
        <v/>
      </c>
      <c r="B238" s="603" t="str">
        <f>Countries!I237</f>
        <v/>
      </c>
      <c r="C238" s="614" t="str">
        <f>IFERROR(IFERROR(IFERROR(IFERROR(IFERROR(IFERROR(IFERROR(MATCH(Countries!$B237,$M$3:$M$1003,0),MATCH(Countries!$C237,$M$3:$M$1003,0)),MATCH(Countries!$D237,$M$3:$M$1003,0)),MATCH(Countries!$E237,$M$3:$M$1003,0)),MATCH(Countries!$F237,$M$3:$M$1003,0)),MATCH(Countries!$G237,$M$3:$M$1003,0)),MATCH(Countries!$H237,$M$3:$M$1003,0)),"X")</f>
        <v>X</v>
      </c>
      <c r="D238" s="603" t="str">
        <f t="shared" ref="D238:F238" si="475">IF(G$2="","",IF($C238="X","",INDEX($N$3:$CC$1003,$C238,MATCH(G$2,$N$2:$CC$2,0))))</f>
        <v/>
      </c>
      <c r="E238" s="603" t="str">
        <f t="shared" si="475"/>
        <v/>
      </c>
      <c r="F238" s="603" t="str">
        <f t="shared" si="475"/>
        <v/>
      </c>
      <c r="G238" s="639" t="str">
        <f t="shared" si="5"/>
        <v/>
      </c>
      <c r="H238" s="618" t="str">
        <f t="shared" ref="H238:I238" si="476">IF(H$2="","", IF(E238="",IF($K$16="Use global average",E$276,IF($K$16="Use regional average",INDEX(E$280:E$296,MATCH($B238,$B$280:$B$296,0)),IF($K$16="Leave blank","",IF($K$16="Fill with zeros", 0,IF($K$16="Use global median",E$277,"Fill out I16"))))), E238))</f>
        <v/>
      </c>
      <c r="I238" s="618" t="str">
        <f t="shared" si="476"/>
        <v/>
      </c>
      <c r="J238" s="159"/>
      <c r="K238" s="159"/>
      <c r="L238" s="159" t="str">
        <f>IF(M238="","",IF(COUNTIF(Countries!$B$1:$H$271,M238)&gt;0,"",IF(COUNTIF(Countries!$M$1:$S$271,M238)&gt;0,"Not a country","ERROR – NOT LISTED. Add alt spelling to ''Countries'' tab")))</f>
        <v/>
      </c>
      <c r="M238" s="606"/>
      <c r="N238" s="159"/>
      <c r="O238" s="159"/>
      <c r="P238" s="159"/>
      <c r="Q238" s="159"/>
      <c r="R238" s="159"/>
      <c r="S238" s="159"/>
      <c r="T238" s="159"/>
      <c r="U238" s="159"/>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59"/>
      <c r="AT238" s="159"/>
      <c r="AU238" s="159"/>
      <c r="AV238" s="159"/>
      <c r="AW238" s="159"/>
      <c r="AX238" s="159"/>
      <c r="AY238" s="159"/>
      <c r="AZ238" s="159"/>
      <c r="BA238" s="159"/>
      <c r="BB238" s="159"/>
      <c r="BC238" s="159"/>
      <c r="BD238" s="159"/>
      <c r="BE238" s="159"/>
      <c r="BF238" s="159"/>
      <c r="BG238" s="159"/>
      <c r="BH238" s="159"/>
      <c r="BI238" s="159"/>
      <c r="BJ238" s="159"/>
      <c r="BK238" s="159"/>
      <c r="BL238" s="159"/>
      <c r="BM238" s="159"/>
      <c r="BN238" s="159"/>
      <c r="BO238" s="159"/>
      <c r="BP238" s="159"/>
      <c r="BQ238" s="159"/>
      <c r="BR238" s="159"/>
      <c r="BS238" s="159"/>
      <c r="BT238" s="159"/>
      <c r="BU238" s="159"/>
      <c r="BV238" s="159"/>
      <c r="BW238" s="159"/>
      <c r="BX238" s="159"/>
      <c r="BY238" s="159"/>
      <c r="BZ238" s="159"/>
      <c r="CA238" s="159"/>
      <c r="CB238" s="159"/>
      <c r="CC238" s="159"/>
    </row>
    <row r="239">
      <c r="A239" s="159" t="str">
        <f>Countries!B238</f>
        <v/>
      </c>
      <c r="B239" s="603" t="str">
        <f>Countries!I238</f>
        <v/>
      </c>
      <c r="C239" s="614" t="str">
        <f>IFERROR(IFERROR(IFERROR(IFERROR(IFERROR(IFERROR(IFERROR(MATCH(Countries!$B238,$M$3:$M$1003,0),MATCH(Countries!$C238,$M$3:$M$1003,0)),MATCH(Countries!$D238,$M$3:$M$1003,0)),MATCH(Countries!$E238,$M$3:$M$1003,0)),MATCH(Countries!$F238,$M$3:$M$1003,0)),MATCH(Countries!$G238,$M$3:$M$1003,0)),MATCH(Countries!$H238,$M$3:$M$1003,0)),"X")</f>
        <v>X</v>
      </c>
      <c r="D239" s="603" t="str">
        <f t="shared" ref="D239:F239" si="477">IF(G$2="","",IF($C239="X","",INDEX($N$3:$CC$1003,$C239,MATCH(G$2,$N$2:$CC$2,0))))</f>
        <v/>
      </c>
      <c r="E239" s="603" t="str">
        <f t="shared" si="477"/>
        <v/>
      </c>
      <c r="F239" s="603" t="str">
        <f t="shared" si="477"/>
        <v/>
      </c>
      <c r="G239" s="639" t="str">
        <f t="shared" si="5"/>
        <v/>
      </c>
      <c r="H239" s="618" t="str">
        <f t="shared" ref="H239:I239" si="478">IF(H$2="","", IF(E239="",IF($K$16="Use global average",E$276,IF($K$16="Use regional average",INDEX(E$280:E$296,MATCH($B239,$B$280:$B$296,0)),IF($K$16="Leave blank","",IF($K$16="Fill with zeros", 0,IF($K$16="Use global median",E$277,"Fill out I16"))))), E239))</f>
        <v/>
      </c>
      <c r="I239" s="618" t="str">
        <f t="shared" si="478"/>
        <v/>
      </c>
      <c r="J239" s="159"/>
      <c r="K239" s="159"/>
      <c r="L239" s="159" t="str">
        <f>IF(M239="","",IF(COUNTIF(Countries!$B$1:$H$271,M239)&gt;0,"",IF(COUNTIF(Countries!$M$1:$S$271,M239)&gt;0,"Not a country","ERROR – NOT LISTED. Add alt spelling to ''Countries'' tab")))</f>
        <v/>
      </c>
      <c r="M239" s="606"/>
      <c r="N239" s="159"/>
      <c r="O239" s="159"/>
      <c r="P239" s="159"/>
      <c r="Q239" s="159"/>
      <c r="R239" s="159"/>
      <c r="S239" s="159"/>
      <c r="T239" s="159"/>
      <c r="U239" s="159"/>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59"/>
      <c r="AT239" s="159"/>
      <c r="AU239" s="159"/>
      <c r="AV239" s="159"/>
      <c r="AW239" s="159"/>
      <c r="AX239" s="159"/>
      <c r="AY239" s="159"/>
      <c r="AZ239" s="159"/>
      <c r="BA239" s="159"/>
      <c r="BB239" s="159"/>
      <c r="BC239" s="159"/>
      <c r="BD239" s="159"/>
      <c r="BE239" s="159"/>
      <c r="BF239" s="159"/>
      <c r="BG239" s="159"/>
      <c r="BH239" s="159"/>
      <c r="BI239" s="159"/>
      <c r="BJ239" s="159"/>
      <c r="BK239" s="159"/>
      <c r="BL239" s="159"/>
      <c r="BM239" s="159"/>
      <c r="BN239" s="159"/>
      <c r="BO239" s="159"/>
      <c r="BP239" s="159"/>
      <c r="BQ239" s="159"/>
      <c r="BR239" s="159"/>
      <c r="BS239" s="159"/>
      <c r="BT239" s="159"/>
      <c r="BU239" s="159"/>
      <c r="BV239" s="159"/>
      <c r="BW239" s="159"/>
      <c r="BX239" s="159"/>
      <c r="BY239" s="159"/>
      <c r="BZ239" s="159"/>
      <c r="CA239" s="159"/>
      <c r="CB239" s="159"/>
      <c r="CC239" s="159"/>
    </row>
    <row r="240">
      <c r="A240" s="159" t="str">
        <f>Countries!B239</f>
        <v/>
      </c>
      <c r="B240" s="603" t="str">
        <f>Countries!I239</f>
        <v/>
      </c>
      <c r="C240" s="614" t="str">
        <f>IFERROR(IFERROR(IFERROR(IFERROR(IFERROR(IFERROR(IFERROR(MATCH(Countries!$B239,$M$3:$M$1003,0),MATCH(Countries!$C239,$M$3:$M$1003,0)),MATCH(Countries!$D239,$M$3:$M$1003,0)),MATCH(Countries!$E239,$M$3:$M$1003,0)),MATCH(Countries!$F239,$M$3:$M$1003,0)),MATCH(Countries!$G239,$M$3:$M$1003,0)),MATCH(Countries!$H239,$M$3:$M$1003,0)),"X")</f>
        <v>X</v>
      </c>
      <c r="D240" s="603" t="str">
        <f t="shared" ref="D240:F240" si="479">IF(G$2="","",IF($C240="X","",INDEX($N$3:$CC$1003,$C240,MATCH(G$2,$N$2:$CC$2,0))))</f>
        <v/>
      </c>
      <c r="E240" s="603" t="str">
        <f t="shared" si="479"/>
        <v/>
      </c>
      <c r="F240" s="603" t="str">
        <f t="shared" si="479"/>
        <v/>
      </c>
      <c r="G240" s="639" t="str">
        <f t="shared" si="5"/>
        <v/>
      </c>
      <c r="H240" s="618" t="str">
        <f t="shared" ref="H240:I240" si="480">IF(H$2="","", IF(E240="",IF($K$16="Use global average",E$276,IF($K$16="Use regional average",INDEX(E$280:E$296,MATCH($B240,$B$280:$B$296,0)),IF($K$16="Leave blank","",IF($K$16="Fill with zeros", 0,IF($K$16="Use global median",E$277,"Fill out I16"))))), E240))</f>
        <v/>
      </c>
      <c r="I240" s="618" t="str">
        <f t="shared" si="480"/>
        <v/>
      </c>
      <c r="J240" s="159"/>
      <c r="K240" s="159"/>
      <c r="L240" s="159" t="str">
        <f>IF(M240="","",IF(COUNTIF(Countries!$B$1:$H$271,M240)&gt;0,"",IF(COUNTIF(Countries!$M$1:$S$271,M240)&gt;0,"Not a country","ERROR – NOT LISTED. Add alt spelling to ''Countries'' tab")))</f>
        <v/>
      </c>
      <c r="M240" s="606"/>
      <c r="N240" s="159"/>
      <c r="O240" s="159"/>
      <c r="P240" s="159"/>
      <c r="Q240" s="159"/>
      <c r="R240" s="159"/>
      <c r="S240" s="159"/>
      <c r="T240" s="159"/>
      <c r="U240" s="159"/>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59"/>
      <c r="AT240" s="159"/>
      <c r="AU240" s="159"/>
      <c r="AV240" s="159"/>
      <c r="AW240" s="159"/>
      <c r="AX240" s="159"/>
      <c r="AY240" s="159"/>
      <c r="AZ240" s="159"/>
      <c r="BA240" s="159"/>
      <c r="BB240" s="159"/>
      <c r="BC240" s="159"/>
      <c r="BD240" s="159"/>
      <c r="BE240" s="159"/>
      <c r="BF240" s="159"/>
      <c r="BG240" s="159"/>
      <c r="BH240" s="159"/>
      <c r="BI240" s="159"/>
      <c r="BJ240" s="159"/>
      <c r="BK240" s="159"/>
      <c r="BL240" s="159"/>
      <c r="BM240" s="159"/>
      <c r="BN240" s="159"/>
      <c r="BO240" s="159"/>
      <c r="BP240" s="159"/>
      <c r="BQ240" s="159"/>
      <c r="BR240" s="159"/>
      <c r="BS240" s="159"/>
      <c r="BT240" s="159"/>
      <c r="BU240" s="159"/>
      <c r="BV240" s="159"/>
      <c r="BW240" s="159"/>
      <c r="BX240" s="159"/>
      <c r="BY240" s="159"/>
      <c r="BZ240" s="159"/>
      <c r="CA240" s="159"/>
      <c r="CB240" s="159"/>
      <c r="CC240" s="159"/>
    </row>
    <row r="241">
      <c r="A241" s="159" t="str">
        <f>Countries!B240</f>
        <v/>
      </c>
      <c r="B241" s="603" t="str">
        <f>Countries!I240</f>
        <v/>
      </c>
      <c r="C241" s="614" t="str">
        <f>IFERROR(IFERROR(IFERROR(IFERROR(IFERROR(IFERROR(IFERROR(MATCH(Countries!$B240,$M$3:$M$1003,0),MATCH(Countries!$C240,$M$3:$M$1003,0)),MATCH(Countries!$D240,$M$3:$M$1003,0)),MATCH(Countries!$E240,$M$3:$M$1003,0)),MATCH(Countries!$F240,$M$3:$M$1003,0)),MATCH(Countries!$G240,$M$3:$M$1003,0)),MATCH(Countries!$H240,$M$3:$M$1003,0)),"X")</f>
        <v>X</v>
      </c>
      <c r="D241" s="603" t="str">
        <f t="shared" ref="D241:F241" si="481">IF(G$2="","",IF($C241="X","",INDEX($N$3:$CC$1003,$C241,MATCH(G$2,$N$2:$CC$2,0))))</f>
        <v/>
      </c>
      <c r="E241" s="603" t="str">
        <f t="shared" si="481"/>
        <v/>
      </c>
      <c r="F241" s="603" t="str">
        <f t="shared" si="481"/>
        <v/>
      </c>
      <c r="G241" s="639" t="str">
        <f t="shared" si="5"/>
        <v/>
      </c>
      <c r="H241" s="618" t="str">
        <f t="shared" ref="H241:I241" si="482">IF(H$2="","", IF(E241="",IF($K$16="Use global average",E$276,IF($K$16="Use regional average",INDEX(E$280:E$296,MATCH($B241,$B$280:$B$296,0)),IF($K$16="Leave blank","",IF($K$16="Fill with zeros", 0,IF($K$16="Use global median",E$277,"Fill out I16"))))), E241))</f>
        <v/>
      </c>
      <c r="I241" s="618" t="str">
        <f t="shared" si="482"/>
        <v/>
      </c>
      <c r="J241" s="159"/>
      <c r="K241" s="159"/>
      <c r="L241" s="159" t="str">
        <f>IF(M241="","",IF(COUNTIF(Countries!$B$1:$H$271,M241)&gt;0,"",IF(COUNTIF(Countries!$M$1:$S$271,M241)&gt;0,"Not a country","ERROR – NOT LISTED. Add alt spelling to ''Countries'' tab")))</f>
        <v/>
      </c>
      <c r="M241" s="606"/>
      <c r="N241" s="159"/>
      <c r="O241" s="159"/>
      <c r="P241" s="159"/>
      <c r="Q241" s="159"/>
      <c r="R241" s="159"/>
      <c r="S241" s="159"/>
      <c r="T241" s="159"/>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c r="BS241" s="159"/>
      <c r="BT241" s="159"/>
      <c r="BU241" s="159"/>
      <c r="BV241" s="159"/>
      <c r="BW241" s="159"/>
      <c r="BX241" s="159"/>
      <c r="BY241" s="159"/>
      <c r="BZ241" s="159"/>
      <c r="CA241" s="159"/>
      <c r="CB241" s="159"/>
      <c r="CC241" s="159"/>
    </row>
    <row r="242">
      <c r="A242" s="159" t="str">
        <f>Countries!B241</f>
        <v/>
      </c>
      <c r="B242" s="603" t="str">
        <f>Countries!I241</f>
        <v/>
      </c>
      <c r="C242" s="614" t="str">
        <f>IFERROR(IFERROR(IFERROR(IFERROR(IFERROR(IFERROR(IFERROR(MATCH(Countries!$B241,$M$3:$M$1003,0),MATCH(Countries!$C241,$M$3:$M$1003,0)),MATCH(Countries!$D241,$M$3:$M$1003,0)),MATCH(Countries!$E241,$M$3:$M$1003,0)),MATCH(Countries!$F241,$M$3:$M$1003,0)),MATCH(Countries!$G241,$M$3:$M$1003,0)),MATCH(Countries!$H241,$M$3:$M$1003,0)),"X")</f>
        <v>X</v>
      </c>
      <c r="D242" s="603" t="str">
        <f t="shared" ref="D242:F242" si="483">IF(G$2="","",IF($C242="X","",INDEX($N$3:$CC$1003,$C242,MATCH(G$2,$N$2:$CC$2,0))))</f>
        <v/>
      </c>
      <c r="E242" s="603" t="str">
        <f t="shared" si="483"/>
        <v/>
      </c>
      <c r="F242" s="603" t="str">
        <f t="shared" si="483"/>
        <v/>
      </c>
      <c r="G242" s="639" t="str">
        <f t="shared" si="5"/>
        <v/>
      </c>
      <c r="H242" s="618" t="str">
        <f t="shared" ref="H242:I242" si="484">IF(H$2="","", IF(E242="",IF($K$16="Use global average",E$276,IF($K$16="Use regional average",INDEX(E$280:E$296,MATCH($B242,$B$280:$B$296,0)),IF($K$16="Leave blank","",IF($K$16="Fill with zeros", 0,IF($K$16="Use global median",E$277,"Fill out I16"))))), E242))</f>
        <v/>
      </c>
      <c r="I242" s="618" t="str">
        <f t="shared" si="484"/>
        <v/>
      </c>
      <c r="J242" s="159"/>
      <c r="K242" s="159"/>
      <c r="L242" s="159" t="str">
        <f>IF(M242="","",IF(COUNTIF(Countries!$B$1:$H$271,M242)&gt;0,"",IF(COUNTIF(Countries!$M$1:$S$271,M242)&gt;0,"Not a country","ERROR – NOT LISTED. Add alt spelling to ''Countries'' tab")))</f>
        <v/>
      </c>
      <c r="M242" s="606"/>
      <c r="N242" s="159"/>
      <c r="O242" s="159"/>
      <c r="P242" s="159"/>
      <c r="Q242" s="159"/>
      <c r="R242" s="159"/>
      <c r="S242" s="159"/>
      <c r="T242" s="159"/>
      <c r="U242" s="159"/>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59"/>
      <c r="AT242" s="159"/>
      <c r="AU242" s="159"/>
      <c r="AV242" s="159"/>
      <c r="AW242" s="159"/>
      <c r="AX242" s="159"/>
      <c r="AY242" s="159"/>
      <c r="AZ242" s="159"/>
      <c r="BA242" s="159"/>
      <c r="BB242" s="159"/>
      <c r="BC242" s="159"/>
      <c r="BD242" s="159"/>
      <c r="BE242" s="159"/>
      <c r="BF242" s="159"/>
      <c r="BG242" s="159"/>
      <c r="BH242" s="159"/>
      <c r="BI242" s="159"/>
      <c r="BJ242" s="159"/>
      <c r="BK242" s="159"/>
      <c r="BL242" s="159"/>
      <c r="BM242" s="159"/>
      <c r="BN242" s="159"/>
      <c r="BO242" s="159"/>
      <c r="BP242" s="159"/>
      <c r="BQ242" s="159"/>
      <c r="BR242" s="159"/>
      <c r="BS242" s="159"/>
      <c r="BT242" s="159"/>
      <c r="BU242" s="159"/>
      <c r="BV242" s="159"/>
      <c r="BW242" s="159"/>
      <c r="BX242" s="159"/>
      <c r="BY242" s="159"/>
      <c r="BZ242" s="159"/>
      <c r="CA242" s="159"/>
      <c r="CB242" s="159"/>
      <c r="CC242" s="159"/>
    </row>
    <row r="243">
      <c r="A243" s="159" t="str">
        <f>Countries!B242</f>
        <v/>
      </c>
      <c r="B243" s="603" t="str">
        <f>Countries!I242</f>
        <v/>
      </c>
      <c r="C243" s="614" t="str">
        <f>IFERROR(IFERROR(IFERROR(IFERROR(IFERROR(IFERROR(IFERROR(MATCH(Countries!$B242,$M$3:$M$1003,0),MATCH(Countries!$C242,$M$3:$M$1003,0)),MATCH(Countries!$D242,$M$3:$M$1003,0)),MATCH(Countries!$E242,$M$3:$M$1003,0)),MATCH(Countries!$F242,$M$3:$M$1003,0)),MATCH(Countries!$G242,$M$3:$M$1003,0)),MATCH(Countries!$H242,$M$3:$M$1003,0)),"X")</f>
        <v>X</v>
      </c>
      <c r="D243" s="603" t="str">
        <f t="shared" ref="D243:F243" si="485">IF(G$2="","",IF($C243="X","",INDEX($N$3:$CC$1003,$C243,MATCH(G$2,$N$2:$CC$2,0))))</f>
        <v/>
      </c>
      <c r="E243" s="603" t="str">
        <f t="shared" si="485"/>
        <v/>
      </c>
      <c r="F243" s="603" t="str">
        <f t="shared" si="485"/>
        <v/>
      </c>
      <c r="G243" s="639" t="str">
        <f t="shared" si="5"/>
        <v/>
      </c>
      <c r="H243" s="618" t="str">
        <f t="shared" ref="H243:I243" si="486">IF(H$2="","", IF(E243="",IF($K$16="Use global average",E$276,IF($K$16="Use regional average",INDEX(E$280:E$296,MATCH($B243,$B$280:$B$296,0)),IF($K$16="Leave blank","",IF($K$16="Fill with zeros", 0,IF($K$16="Use global median",E$277,"Fill out I16"))))), E243))</f>
        <v/>
      </c>
      <c r="I243" s="618" t="str">
        <f t="shared" si="486"/>
        <v/>
      </c>
      <c r="J243" s="159"/>
      <c r="K243" s="159"/>
      <c r="L243" s="159" t="str">
        <f>IF(M243="","",IF(COUNTIF(Countries!$B$1:$H$271,M243)&gt;0,"",IF(COUNTIF(Countries!$M$1:$S$271,M243)&gt;0,"Not a country","ERROR – NOT LISTED. Add alt spelling to ''Countries'' tab")))</f>
        <v/>
      </c>
      <c r="M243" s="606"/>
      <c r="N243" s="159"/>
      <c r="O243" s="159"/>
      <c r="P243" s="159"/>
      <c r="Q243" s="159"/>
      <c r="R243" s="159"/>
      <c r="S243" s="159"/>
      <c r="T243" s="159"/>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c r="BS243" s="159"/>
      <c r="BT243" s="159"/>
      <c r="BU243" s="159"/>
      <c r="BV243" s="159"/>
      <c r="BW243" s="159"/>
      <c r="BX243" s="159"/>
      <c r="BY243" s="159"/>
      <c r="BZ243" s="159"/>
      <c r="CA243" s="159"/>
      <c r="CB243" s="159"/>
      <c r="CC243" s="159"/>
    </row>
    <row r="244">
      <c r="A244" s="159" t="str">
        <f>Countries!B243</f>
        <v/>
      </c>
      <c r="B244" s="603" t="str">
        <f>Countries!I243</f>
        <v/>
      </c>
      <c r="C244" s="614" t="str">
        <f>IFERROR(IFERROR(IFERROR(IFERROR(IFERROR(IFERROR(IFERROR(MATCH(Countries!$B243,$M$3:$M$1003,0),MATCH(Countries!$C243,$M$3:$M$1003,0)),MATCH(Countries!$D243,$M$3:$M$1003,0)),MATCH(Countries!$E243,$M$3:$M$1003,0)),MATCH(Countries!$F243,$M$3:$M$1003,0)),MATCH(Countries!$G243,$M$3:$M$1003,0)),MATCH(Countries!$H243,$M$3:$M$1003,0)),"X")</f>
        <v>X</v>
      </c>
      <c r="D244" s="603" t="str">
        <f t="shared" ref="D244:F244" si="487">IF(G$2="","",IF($C244="X","",INDEX($N$3:$CC$1003,$C244,MATCH(G$2,$N$2:$CC$2,0))))</f>
        <v/>
      </c>
      <c r="E244" s="603" t="str">
        <f t="shared" si="487"/>
        <v/>
      </c>
      <c r="F244" s="603" t="str">
        <f t="shared" si="487"/>
        <v/>
      </c>
      <c r="G244" s="639" t="str">
        <f t="shared" si="5"/>
        <v/>
      </c>
      <c r="H244" s="618" t="str">
        <f t="shared" ref="H244:I244" si="488">IF(H$2="","", IF(E244="",IF($K$16="Use global average",E$276,IF($K$16="Use regional average",INDEX(E$280:E$296,MATCH($B244,$B$280:$B$296,0)),IF($K$16="Leave blank","",IF($K$16="Fill with zeros", 0,IF($K$16="Use global median",E$277,"Fill out I16"))))), E244))</f>
        <v/>
      </c>
      <c r="I244" s="618" t="str">
        <f t="shared" si="488"/>
        <v/>
      </c>
      <c r="J244" s="159"/>
      <c r="K244" s="159"/>
      <c r="L244" s="159" t="str">
        <f>IF(M244="","",IF(COUNTIF(Countries!$B$1:$H$271,M244)&gt;0,"",IF(COUNTIF(Countries!$M$1:$S$271,M244)&gt;0,"Not a country","ERROR – NOT LISTED. Add alt spelling to ''Countries'' tab")))</f>
        <v/>
      </c>
      <c r="M244" s="606"/>
      <c r="N244" s="159"/>
      <c r="O244" s="159"/>
      <c r="P244" s="159"/>
      <c r="Q244" s="159"/>
      <c r="R244" s="159"/>
      <c r="S244" s="159"/>
      <c r="T244" s="159"/>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c r="BS244" s="159"/>
      <c r="BT244" s="159"/>
      <c r="BU244" s="159"/>
      <c r="BV244" s="159"/>
      <c r="BW244" s="159"/>
      <c r="BX244" s="159"/>
      <c r="BY244" s="159"/>
      <c r="BZ244" s="159"/>
      <c r="CA244" s="159"/>
      <c r="CB244" s="159"/>
      <c r="CC244" s="159"/>
    </row>
    <row r="245">
      <c r="A245" s="159" t="str">
        <f>Countries!B244</f>
        <v/>
      </c>
      <c r="B245" s="603" t="str">
        <f>Countries!I244</f>
        <v/>
      </c>
      <c r="C245" s="614" t="str">
        <f>IFERROR(IFERROR(IFERROR(IFERROR(IFERROR(IFERROR(IFERROR(MATCH(Countries!$B244,$M$3:$M$1003,0),MATCH(Countries!$C244,$M$3:$M$1003,0)),MATCH(Countries!$D244,$M$3:$M$1003,0)),MATCH(Countries!$E244,$M$3:$M$1003,0)),MATCH(Countries!$F244,$M$3:$M$1003,0)),MATCH(Countries!$G244,$M$3:$M$1003,0)),MATCH(Countries!$H244,$M$3:$M$1003,0)),"X")</f>
        <v>X</v>
      </c>
      <c r="D245" s="603" t="str">
        <f t="shared" ref="D245:F245" si="489">IF(G$2="","",IF($C245="X","",INDEX($N$3:$CC$1003,$C245,MATCH(G$2,$N$2:$CC$2,0))))</f>
        <v/>
      </c>
      <c r="E245" s="603" t="str">
        <f t="shared" si="489"/>
        <v/>
      </c>
      <c r="F245" s="603" t="str">
        <f t="shared" si="489"/>
        <v/>
      </c>
      <c r="G245" s="639" t="str">
        <f t="shared" si="5"/>
        <v/>
      </c>
      <c r="H245" s="618" t="str">
        <f t="shared" ref="H245:I245" si="490">IF(H$2="","", IF(E245="",IF($K$16="Use global average",E$276,IF($K$16="Use regional average",INDEX(E$280:E$296,MATCH($B245,$B$280:$B$296,0)),IF($K$16="Leave blank","",IF($K$16="Fill with zeros", 0,IF($K$16="Use global median",E$277,"Fill out I16"))))), E245))</f>
        <v/>
      </c>
      <c r="I245" s="618" t="str">
        <f t="shared" si="490"/>
        <v/>
      </c>
      <c r="J245" s="159"/>
      <c r="K245" s="159"/>
      <c r="L245" s="159" t="str">
        <f>IF(M245="","",IF(COUNTIF(Countries!$B$1:$H$271,M245)&gt;0,"",IF(COUNTIF(Countries!$M$1:$S$271,M245)&gt;0,"Not a country","ERROR – NOT LISTED. Add alt spelling to ''Countries'' tab")))</f>
        <v/>
      </c>
      <c r="M245" s="606"/>
      <c r="N245" s="159"/>
      <c r="O245" s="159"/>
      <c r="P245" s="159"/>
      <c r="Q245" s="159"/>
      <c r="R245" s="159"/>
      <c r="S245" s="159"/>
      <c r="T245" s="159"/>
      <c r="U245" s="159"/>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59"/>
      <c r="AT245" s="159"/>
      <c r="AU245" s="159"/>
      <c r="AV245" s="159"/>
      <c r="AW245" s="159"/>
      <c r="AX245" s="159"/>
      <c r="AY245" s="159"/>
      <c r="AZ245" s="159"/>
      <c r="BA245" s="159"/>
      <c r="BB245" s="159"/>
      <c r="BC245" s="159"/>
      <c r="BD245" s="159"/>
      <c r="BE245" s="159"/>
      <c r="BF245" s="159"/>
      <c r="BG245" s="159"/>
      <c r="BH245" s="159"/>
      <c r="BI245" s="159"/>
      <c r="BJ245" s="159"/>
      <c r="BK245" s="159"/>
      <c r="BL245" s="159"/>
      <c r="BM245" s="159"/>
      <c r="BN245" s="159"/>
      <c r="BO245" s="159"/>
      <c r="BP245" s="159"/>
      <c r="BQ245" s="159"/>
      <c r="BR245" s="159"/>
      <c r="BS245" s="159"/>
      <c r="BT245" s="159"/>
      <c r="BU245" s="159"/>
      <c r="BV245" s="159"/>
      <c r="BW245" s="159"/>
      <c r="BX245" s="159"/>
      <c r="BY245" s="159"/>
      <c r="BZ245" s="159"/>
      <c r="CA245" s="159"/>
      <c r="CB245" s="159"/>
      <c r="CC245" s="159"/>
    </row>
    <row r="246">
      <c r="A246" s="159" t="str">
        <f>Countries!B245</f>
        <v/>
      </c>
      <c r="B246" s="603" t="str">
        <f>Countries!I245</f>
        <v/>
      </c>
      <c r="C246" s="614" t="str">
        <f>IFERROR(IFERROR(IFERROR(IFERROR(IFERROR(IFERROR(IFERROR(MATCH(Countries!$B245,$M$3:$M$1003,0),MATCH(Countries!$C245,$M$3:$M$1003,0)),MATCH(Countries!$D245,$M$3:$M$1003,0)),MATCH(Countries!$E245,$M$3:$M$1003,0)),MATCH(Countries!$F245,$M$3:$M$1003,0)),MATCH(Countries!$G245,$M$3:$M$1003,0)),MATCH(Countries!$H245,$M$3:$M$1003,0)),"X")</f>
        <v>X</v>
      </c>
      <c r="D246" s="603" t="str">
        <f t="shared" ref="D246:F246" si="491">IF(G$2="","",IF($C246="X","",INDEX($N$3:$CC$1003,$C246,MATCH(G$2,$N$2:$CC$2,0))))</f>
        <v/>
      </c>
      <c r="E246" s="603" t="str">
        <f t="shared" si="491"/>
        <v/>
      </c>
      <c r="F246" s="603" t="str">
        <f t="shared" si="491"/>
        <v/>
      </c>
      <c r="G246" s="639" t="str">
        <f t="shared" si="5"/>
        <v/>
      </c>
      <c r="H246" s="618" t="str">
        <f t="shared" ref="H246:I246" si="492">IF(H$2="","", IF(E246="",IF($K$16="Use global average",E$276,IF($K$16="Use regional average",INDEX(E$280:E$296,MATCH($B246,$B$280:$B$296,0)),IF($K$16="Leave blank","",IF($K$16="Fill with zeros", 0,IF($K$16="Use global median",E$277,"Fill out I16"))))), E246))</f>
        <v/>
      </c>
      <c r="I246" s="618" t="str">
        <f t="shared" si="492"/>
        <v/>
      </c>
      <c r="J246" s="159"/>
      <c r="K246" s="159"/>
      <c r="L246" s="159" t="str">
        <f>IF(M246="","",IF(COUNTIF(Countries!$B$1:$H$271,M246)&gt;0,"",IF(COUNTIF(Countries!$M$1:$S$271,M246)&gt;0,"Not a country","ERROR – NOT LISTED. Add alt spelling to ''Countries'' tab")))</f>
        <v/>
      </c>
      <c r="M246" s="606"/>
      <c r="N246" s="159"/>
      <c r="O246" s="159"/>
      <c r="P246" s="159"/>
      <c r="Q246" s="159"/>
      <c r="R246" s="159"/>
      <c r="S246" s="159"/>
      <c r="T246" s="159"/>
      <c r="U246" s="159"/>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59"/>
      <c r="AT246" s="159"/>
      <c r="AU246" s="159"/>
      <c r="AV246" s="159"/>
      <c r="AW246" s="159"/>
      <c r="AX246" s="159"/>
      <c r="AY246" s="159"/>
      <c r="AZ246" s="159"/>
      <c r="BA246" s="159"/>
      <c r="BB246" s="159"/>
      <c r="BC246" s="159"/>
      <c r="BD246" s="159"/>
      <c r="BE246" s="159"/>
      <c r="BF246" s="159"/>
      <c r="BG246" s="159"/>
      <c r="BH246" s="159"/>
      <c r="BI246" s="159"/>
      <c r="BJ246" s="159"/>
      <c r="BK246" s="159"/>
      <c r="BL246" s="159"/>
      <c r="BM246" s="159"/>
      <c r="BN246" s="159"/>
      <c r="BO246" s="159"/>
      <c r="BP246" s="159"/>
      <c r="BQ246" s="159"/>
      <c r="BR246" s="159"/>
      <c r="BS246" s="159"/>
      <c r="BT246" s="159"/>
      <c r="BU246" s="159"/>
      <c r="BV246" s="159"/>
      <c r="BW246" s="159"/>
      <c r="BX246" s="159"/>
      <c r="BY246" s="159"/>
      <c r="BZ246" s="159"/>
      <c r="CA246" s="159"/>
      <c r="CB246" s="159"/>
      <c r="CC246" s="159"/>
    </row>
    <row r="247">
      <c r="A247" s="159" t="str">
        <f>Countries!B246</f>
        <v/>
      </c>
      <c r="B247" s="603" t="str">
        <f>Countries!I246</f>
        <v/>
      </c>
      <c r="C247" s="614" t="str">
        <f>IFERROR(IFERROR(IFERROR(IFERROR(IFERROR(IFERROR(IFERROR(MATCH(Countries!$B246,$M$3:$M$1003,0),MATCH(Countries!$C246,$M$3:$M$1003,0)),MATCH(Countries!$D246,$M$3:$M$1003,0)),MATCH(Countries!$E246,$M$3:$M$1003,0)),MATCH(Countries!$F246,$M$3:$M$1003,0)),MATCH(Countries!$G246,$M$3:$M$1003,0)),MATCH(Countries!$H246,$M$3:$M$1003,0)),"X")</f>
        <v>X</v>
      </c>
      <c r="D247" s="603" t="str">
        <f t="shared" ref="D247:F247" si="493">IF(G$2="","",IF($C247="X","",INDEX($N$3:$CC$1003,$C247,MATCH(G$2,$N$2:$CC$2,0))))</f>
        <v/>
      </c>
      <c r="E247" s="603" t="str">
        <f t="shared" si="493"/>
        <v/>
      </c>
      <c r="F247" s="603" t="str">
        <f t="shared" si="493"/>
        <v/>
      </c>
      <c r="G247" s="639" t="str">
        <f t="shared" si="5"/>
        <v/>
      </c>
      <c r="H247" s="618" t="str">
        <f t="shared" ref="H247:I247" si="494">IF(H$2="","", IF(E247="",IF($K$16="Use global average",E$276,IF($K$16="Use regional average",INDEX(E$280:E$296,MATCH($B247,$B$280:$B$296,0)),IF($K$16="Leave blank","",IF($K$16="Fill with zeros", 0,IF($K$16="Use global median",E$277,"Fill out I16"))))), E247))</f>
        <v/>
      </c>
      <c r="I247" s="618" t="str">
        <f t="shared" si="494"/>
        <v/>
      </c>
      <c r="J247" s="159"/>
      <c r="K247" s="159"/>
      <c r="L247" s="159" t="str">
        <f>IF(M247="","",IF(COUNTIF(Countries!$B$1:$H$271,M247)&gt;0,"",IF(COUNTIF(Countries!$M$1:$S$271,M247)&gt;0,"Not a country","ERROR – NOT LISTED. Add alt spelling to ''Countries'' tab")))</f>
        <v/>
      </c>
      <c r="M247" s="606"/>
      <c r="N247" s="159"/>
      <c r="O247" s="159"/>
      <c r="P247" s="159"/>
      <c r="Q247" s="159"/>
      <c r="R247" s="159"/>
      <c r="S247" s="159"/>
      <c r="T247" s="159"/>
      <c r="U247" s="159"/>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59"/>
      <c r="AT247" s="159"/>
      <c r="AU247" s="159"/>
      <c r="AV247" s="159"/>
      <c r="AW247" s="159"/>
      <c r="AX247" s="159"/>
      <c r="AY247" s="159"/>
      <c r="AZ247" s="159"/>
      <c r="BA247" s="159"/>
      <c r="BB247" s="159"/>
      <c r="BC247" s="159"/>
      <c r="BD247" s="159"/>
      <c r="BE247" s="159"/>
      <c r="BF247" s="159"/>
      <c r="BG247" s="159"/>
      <c r="BH247" s="159"/>
      <c r="BI247" s="159"/>
      <c r="BJ247" s="159"/>
      <c r="BK247" s="159"/>
      <c r="BL247" s="159"/>
      <c r="BM247" s="159"/>
      <c r="BN247" s="159"/>
      <c r="BO247" s="159"/>
      <c r="BP247" s="159"/>
      <c r="BQ247" s="159"/>
      <c r="BR247" s="159"/>
      <c r="BS247" s="159"/>
      <c r="BT247" s="159"/>
      <c r="BU247" s="159"/>
      <c r="BV247" s="159"/>
      <c r="BW247" s="159"/>
      <c r="BX247" s="159"/>
      <c r="BY247" s="159"/>
      <c r="BZ247" s="159"/>
      <c r="CA247" s="159"/>
      <c r="CB247" s="159"/>
      <c r="CC247" s="159"/>
    </row>
    <row r="248">
      <c r="A248" s="159" t="str">
        <f>Countries!B247</f>
        <v/>
      </c>
      <c r="B248" s="603" t="str">
        <f>Countries!I247</f>
        <v/>
      </c>
      <c r="C248" s="614" t="str">
        <f>IFERROR(IFERROR(IFERROR(IFERROR(IFERROR(IFERROR(IFERROR(MATCH(Countries!$B247,$M$3:$M$1003,0),MATCH(Countries!$C247,$M$3:$M$1003,0)),MATCH(Countries!$D247,$M$3:$M$1003,0)),MATCH(Countries!$E247,$M$3:$M$1003,0)),MATCH(Countries!$F247,$M$3:$M$1003,0)),MATCH(Countries!$G247,$M$3:$M$1003,0)),MATCH(Countries!$H247,$M$3:$M$1003,0)),"X")</f>
        <v>X</v>
      </c>
      <c r="D248" s="603" t="str">
        <f t="shared" ref="D248:F248" si="495">IF(G$2="","",IF($C248="X","",INDEX($N$3:$CC$1003,$C248,MATCH(G$2,$N$2:$CC$2,0))))</f>
        <v/>
      </c>
      <c r="E248" s="603" t="str">
        <f t="shared" si="495"/>
        <v/>
      </c>
      <c r="F248" s="603" t="str">
        <f t="shared" si="495"/>
        <v/>
      </c>
      <c r="G248" s="639" t="str">
        <f t="shared" si="5"/>
        <v/>
      </c>
      <c r="H248" s="618" t="str">
        <f t="shared" ref="H248:I248" si="496">IF(H$2="","", IF(E248="",IF($K$16="Use global average",E$276,IF($K$16="Use regional average",INDEX(E$280:E$296,MATCH($B248,$B$280:$B$296,0)),IF($K$16="Leave blank","",IF($K$16="Fill with zeros", 0,IF($K$16="Use global median",E$277,"Fill out I16"))))), E248))</f>
        <v/>
      </c>
      <c r="I248" s="618" t="str">
        <f t="shared" si="496"/>
        <v/>
      </c>
      <c r="J248" s="159"/>
      <c r="K248" s="159"/>
      <c r="L248" s="159" t="str">
        <f>IF(M248="","",IF(COUNTIF(Countries!$B$1:$H$271,M248)&gt;0,"",IF(COUNTIF(Countries!$M$1:$S$271,M248)&gt;0,"Not a country","ERROR – NOT LISTED. Add alt spelling to ''Countries'' tab")))</f>
        <v/>
      </c>
      <c r="M248" s="606"/>
      <c r="N248" s="159"/>
      <c r="O248" s="159"/>
      <c r="P248" s="159"/>
      <c r="Q248" s="159"/>
      <c r="R248" s="159"/>
      <c r="S248" s="159"/>
      <c r="T248" s="159"/>
      <c r="U248" s="159"/>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59"/>
      <c r="AT248" s="159"/>
      <c r="AU248" s="159"/>
      <c r="AV248" s="159"/>
      <c r="AW248" s="159"/>
      <c r="AX248" s="159"/>
      <c r="AY248" s="159"/>
      <c r="AZ248" s="159"/>
      <c r="BA248" s="159"/>
      <c r="BB248" s="159"/>
      <c r="BC248" s="159"/>
      <c r="BD248" s="159"/>
      <c r="BE248" s="159"/>
      <c r="BF248" s="159"/>
      <c r="BG248" s="159"/>
      <c r="BH248" s="159"/>
      <c r="BI248" s="159"/>
      <c r="BJ248" s="159"/>
      <c r="BK248" s="159"/>
      <c r="BL248" s="159"/>
      <c r="BM248" s="159"/>
      <c r="BN248" s="159"/>
      <c r="BO248" s="159"/>
      <c r="BP248" s="159"/>
      <c r="BQ248" s="159"/>
      <c r="BR248" s="159"/>
      <c r="BS248" s="159"/>
      <c r="BT248" s="159"/>
      <c r="BU248" s="159"/>
      <c r="BV248" s="159"/>
      <c r="BW248" s="159"/>
      <c r="BX248" s="159"/>
      <c r="BY248" s="159"/>
      <c r="BZ248" s="159"/>
      <c r="CA248" s="159"/>
      <c r="CB248" s="159"/>
      <c r="CC248" s="159"/>
    </row>
    <row r="249">
      <c r="A249" s="159" t="str">
        <f>Countries!B248</f>
        <v/>
      </c>
      <c r="B249" s="603" t="str">
        <f>Countries!I248</f>
        <v/>
      </c>
      <c r="C249" s="614" t="str">
        <f>IFERROR(IFERROR(IFERROR(IFERROR(IFERROR(IFERROR(IFERROR(MATCH(Countries!$B248,$M$3:$M$1003,0),MATCH(Countries!$C248,$M$3:$M$1003,0)),MATCH(Countries!$D248,$M$3:$M$1003,0)),MATCH(Countries!$E248,$M$3:$M$1003,0)),MATCH(Countries!$F248,$M$3:$M$1003,0)),MATCH(Countries!$G248,$M$3:$M$1003,0)),MATCH(Countries!$H248,$M$3:$M$1003,0)),"X")</f>
        <v>X</v>
      </c>
      <c r="D249" s="603" t="str">
        <f t="shared" ref="D249:F249" si="497">IF(G$2="","",IF($C249="X","",INDEX($N$3:$CC$1003,$C249,MATCH(G$2,$N$2:$CC$2,0))))</f>
        <v/>
      </c>
      <c r="E249" s="603" t="str">
        <f t="shared" si="497"/>
        <v/>
      </c>
      <c r="F249" s="603" t="str">
        <f t="shared" si="497"/>
        <v/>
      </c>
      <c r="G249" s="639" t="str">
        <f t="shared" si="5"/>
        <v/>
      </c>
      <c r="H249" s="618" t="str">
        <f t="shared" ref="H249:I249" si="498">IF(H$2="","", IF(E249="",IF($K$16="Use global average",E$276,IF($K$16="Use regional average",INDEX(E$280:E$296,MATCH($B249,$B$280:$B$296,0)),IF($K$16="Leave blank","",IF($K$16="Fill with zeros", 0,IF($K$16="Use global median",E$277,"Fill out I16"))))), E249))</f>
        <v/>
      </c>
      <c r="I249" s="618" t="str">
        <f t="shared" si="498"/>
        <v/>
      </c>
      <c r="J249" s="159"/>
      <c r="K249" s="159"/>
      <c r="L249" s="159" t="str">
        <f>IF(M249="","",IF(COUNTIF(Countries!$B$1:$H$271,M249)&gt;0,"",IF(COUNTIF(Countries!$M$1:$S$271,M249)&gt;0,"Not a country","ERROR – NOT LISTED. Add alt spelling to ''Countries'' tab")))</f>
        <v/>
      </c>
      <c r="M249" s="606"/>
      <c r="N249" s="159"/>
      <c r="O249" s="159"/>
      <c r="P249" s="159"/>
      <c r="Q249" s="159"/>
      <c r="R249" s="159"/>
      <c r="S249" s="159"/>
      <c r="T249" s="159"/>
      <c r="U249" s="159"/>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59"/>
      <c r="AT249" s="159"/>
      <c r="AU249" s="159"/>
      <c r="AV249" s="159"/>
      <c r="AW249" s="159"/>
      <c r="AX249" s="159"/>
      <c r="AY249" s="159"/>
      <c r="AZ249" s="159"/>
      <c r="BA249" s="159"/>
      <c r="BB249" s="159"/>
      <c r="BC249" s="159"/>
      <c r="BD249" s="159"/>
      <c r="BE249" s="159"/>
      <c r="BF249" s="159"/>
      <c r="BG249" s="159"/>
      <c r="BH249" s="159"/>
      <c r="BI249" s="159"/>
      <c r="BJ249" s="159"/>
      <c r="BK249" s="159"/>
      <c r="BL249" s="159"/>
      <c r="BM249" s="159"/>
      <c r="BN249" s="159"/>
      <c r="BO249" s="159"/>
      <c r="BP249" s="159"/>
      <c r="BQ249" s="159"/>
      <c r="BR249" s="159"/>
      <c r="BS249" s="159"/>
      <c r="BT249" s="159"/>
      <c r="BU249" s="159"/>
      <c r="BV249" s="159"/>
      <c r="BW249" s="159"/>
      <c r="BX249" s="159"/>
      <c r="BY249" s="159"/>
      <c r="BZ249" s="159"/>
      <c r="CA249" s="159"/>
      <c r="CB249" s="159"/>
      <c r="CC249" s="159"/>
    </row>
    <row r="250">
      <c r="A250" s="159" t="str">
        <f>Countries!B249</f>
        <v/>
      </c>
      <c r="B250" s="603" t="str">
        <f>Countries!I249</f>
        <v/>
      </c>
      <c r="C250" s="614" t="str">
        <f>IFERROR(IFERROR(IFERROR(IFERROR(IFERROR(IFERROR(IFERROR(MATCH(Countries!$B249,$M$3:$M$1003,0),MATCH(Countries!$C249,$M$3:$M$1003,0)),MATCH(Countries!$D249,$M$3:$M$1003,0)),MATCH(Countries!$E249,$M$3:$M$1003,0)),MATCH(Countries!$F249,$M$3:$M$1003,0)),MATCH(Countries!$G249,$M$3:$M$1003,0)),MATCH(Countries!$H249,$M$3:$M$1003,0)),"X")</f>
        <v>X</v>
      </c>
      <c r="D250" s="603" t="str">
        <f t="shared" ref="D250:F250" si="499">IF(G$2="","",IF($C250="X","",INDEX($N$3:$CC$1003,$C250,MATCH(G$2,$N$2:$CC$2,0))))</f>
        <v/>
      </c>
      <c r="E250" s="603" t="str">
        <f t="shared" si="499"/>
        <v/>
      </c>
      <c r="F250" s="603" t="str">
        <f t="shared" si="499"/>
        <v/>
      </c>
      <c r="G250" s="639" t="str">
        <f t="shared" si="5"/>
        <v/>
      </c>
      <c r="H250" s="618" t="str">
        <f t="shared" ref="H250:I250" si="500">IF(H$2="","", IF(E250="",IF($K$16="Use global average",E$276,IF($K$16="Use regional average",INDEX(E$280:E$296,MATCH($B250,$B$280:$B$296,0)),IF($K$16="Leave blank","",IF($K$16="Fill with zeros", 0,IF($K$16="Use global median",E$277,"Fill out I16"))))), E250))</f>
        <v/>
      </c>
      <c r="I250" s="618" t="str">
        <f t="shared" si="500"/>
        <v/>
      </c>
      <c r="J250" s="159"/>
      <c r="K250" s="159"/>
      <c r="L250" s="159" t="str">
        <f>IF(M250="","",IF(COUNTIF(Countries!$B$1:$H$271,M250)&gt;0,"",IF(COUNTIF(Countries!$M$1:$S$271,M250)&gt;0,"Not a country","ERROR – NOT LISTED. Add alt spelling to ''Countries'' tab")))</f>
        <v/>
      </c>
      <c r="M250" s="606"/>
      <c r="N250" s="159"/>
      <c r="O250" s="159"/>
      <c r="P250" s="159"/>
      <c r="Q250" s="159"/>
      <c r="R250" s="159"/>
      <c r="S250" s="159"/>
      <c r="T250" s="159"/>
      <c r="U250" s="159"/>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59"/>
      <c r="AT250" s="159"/>
      <c r="AU250" s="159"/>
      <c r="AV250" s="159"/>
      <c r="AW250" s="159"/>
      <c r="AX250" s="159"/>
      <c r="AY250" s="159"/>
      <c r="AZ250" s="159"/>
      <c r="BA250" s="159"/>
      <c r="BB250" s="159"/>
      <c r="BC250" s="159"/>
      <c r="BD250" s="159"/>
      <c r="BE250" s="159"/>
      <c r="BF250" s="159"/>
      <c r="BG250" s="159"/>
      <c r="BH250" s="159"/>
      <c r="BI250" s="159"/>
      <c r="BJ250" s="159"/>
      <c r="BK250" s="159"/>
      <c r="BL250" s="159"/>
      <c r="BM250" s="159"/>
      <c r="BN250" s="159"/>
      <c r="BO250" s="159"/>
      <c r="BP250" s="159"/>
      <c r="BQ250" s="159"/>
      <c r="BR250" s="159"/>
      <c r="BS250" s="159"/>
      <c r="BT250" s="159"/>
      <c r="BU250" s="159"/>
      <c r="BV250" s="159"/>
      <c r="BW250" s="159"/>
      <c r="BX250" s="159"/>
      <c r="BY250" s="159"/>
      <c r="BZ250" s="159"/>
      <c r="CA250" s="159"/>
      <c r="CB250" s="159"/>
      <c r="CC250" s="159"/>
    </row>
    <row r="251">
      <c r="A251" s="159" t="str">
        <f>Countries!B250</f>
        <v/>
      </c>
      <c r="B251" s="603" t="str">
        <f>Countries!I250</f>
        <v/>
      </c>
      <c r="C251" s="614" t="str">
        <f>IFERROR(IFERROR(IFERROR(IFERROR(IFERROR(IFERROR(IFERROR(MATCH(Countries!$B250,$M$3:$M$1003,0),MATCH(Countries!$C250,$M$3:$M$1003,0)),MATCH(Countries!$D250,$M$3:$M$1003,0)),MATCH(Countries!$E250,$M$3:$M$1003,0)),MATCH(Countries!$F250,$M$3:$M$1003,0)),MATCH(Countries!$G250,$M$3:$M$1003,0)),MATCH(Countries!$H250,$M$3:$M$1003,0)),"X")</f>
        <v>X</v>
      </c>
      <c r="D251" s="603" t="str">
        <f t="shared" ref="D251:F251" si="501">IF(G$2="","",IF($C251="X","",INDEX($N$3:$CC$1003,$C251,MATCH(G$2,$N$2:$CC$2,0))))</f>
        <v/>
      </c>
      <c r="E251" s="603" t="str">
        <f t="shared" si="501"/>
        <v/>
      </c>
      <c r="F251" s="603" t="str">
        <f t="shared" si="501"/>
        <v/>
      </c>
      <c r="G251" s="639" t="str">
        <f t="shared" si="5"/>
        <v/>
      </c>
      <c r="H251" s="618" t="str">
        <f t="shared" ref="H251:I251" si="502">IF(H$2="","", IF(E251="",IF($K$16="Use global average",E$276,IF($K$16="Use regional average",INDEX(E$280:E$296,MATCH($B251,$B$280:$B$296,0)),IF($K$16="Leave blank","",IF($K$16="Fill with zeros", 0,IF($K$16="Use global median",E$277,"Fill out I16"))))), E251))</f>
        <v/>
      </c>
      <c r="I251" s="618" t="str">
        <f t="shared" si="502"/>
        <v/>
      </c>
      <c r="J251" s="159"/>
      <c r="K251" s="159"/>
      <c r="L251" s="159" t="str">
        <f>IF(M251="","",IF(COUNTIF(Countries!$B$1:$H$271,M251)&gt;0,"",IF(COUNTIF(Countries!$M$1:$S$271,M251)&gt;0,"Not a country","ERROR – NOT LISTED. Add alt spelling to ''Countries'' tab")))</f>
        <v/>
      </c>
      <c r="M251" s="606"/>
      <c r="N251" s="159"/>
      <c r="O251" s="159"/>
      <c r="P251" s="159"/>
      <c r="Q251" s="159"/>
      <c r="R251" s="159"/>
      <c r="S251" s="159"/>
      <c r="T251" s="159"/>
      <c r="U251" s="159"/>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c r="BS251" s="159"/>
      <c r="BT251" s="159"/>
      <c r="BU251" s="159"/>
      <c r="BV251" s="159"/>
      <c r="BW251" s="159"/>
      <c r="BX251" s="159"/>
      <c r="BY251" s="159"/>
      <c r="BZ251" s="159"/>
      <c r="CA251" s="159"/>
      <c r="CB251" s="159"/>
      <c r="CC251" s="159"/>
    </row>
    <row r="252">
      <c r="A252" s="159" t="str">
        <f>Countries!B251</f>
        <v/>
      </c>
      <c r="B252" s="603" t="str">
        <f>Countries!I251</f>
        <v/>
      </c>
      <c r="C252" s="614" t="str">
        <f>IFERROR(IFERROR(IFERROR(IFERROR(IFERROR(IFERROR(IFERROR(MATCH(Countries!$B251,$M$3:$M$1003,0),MATCH(Countries!$C251,$M$3:$M$1003,0)),MATCH(Countries!$D251,$M$3:$M$1003,0)),MATCH(Countries!$E251,$M$3:$M$1003,0)),MATCH(Countries!$F251,$M$3:$M$1003,0)),MATCH(Countries!$G251,$M$3:$M$1003,0)),MATCH(Countries!$H251,$M$3:$M$1003,0)),"X")</f>
        <v>X</v>
      </c>
      <c r="D252" s="603" t="str">
        <f t="shared" ref="D252:F252" si="503">IF(G$2="","",IF($C252="X","",INDEX($N$3:$CC$1003,$C252,MATCH(G$2,$N$2:$CC$2,0))))</f>
        <v/>
      </c>
      <c r="E252" s="603" t="str">
        <f t="shared" si="503"/>
        <v/>
      </c>
      <c r="F252" s="603" t="str">
        <f t="shared" si="503"/>
        <v/>
      </c>
      <c r="G252" s="639" t="str">
        <f t="shared" si="5"/>
        <v/>
      </c>
      <c r="H252" s="618" t="str">
        <f t="shared" ref="H252:I252" si="504">IF(H$2="","", IF(E252="",IF($K$16="Use global average",E$276,IF($K$16="Use regional average",INDEX(E$280:E$296,MATCH($B252,$B$280:$B$296,0)),IF($K$16="Leave blank","",IF($K$16="Fill with zeros", 0,IF($K$16="Use global median",E$277,"Fill out I16"))))), E252))</f>
        <v/>
      </c>
      <c r="I252" s="618" t="str">
        <f t="shared" si="504"/>
        <v/>
      </c>
      <c r="J252" s="159"/>
      <c r="K252" s="159"/>
      <c r="L252" s="159" t="str">
        <f>IF(M252="","",IF(COUNTIF(Countries!$B$1:$H$271,M252)&gt;0,"",IF(COUNTIF(Countries!$M$1:$S$271,M252)&gt;0,"Not a country","ERROR – NOT LISTED. Add alt spelling to ''Countries'' tab")))</f>
        <v/>
      </c>
      <c r="M252" s="606"/>
      <c r="N252" s="159"/>
      <c r="O252" s="159"/>
      <c r="P252" s="159"/>
      <c r="Q252" s="159"/>
      <c r="R252" s="159"/>
      <c r="S252" s="159"/>
      <c r="T252" s="159"/>
      <c r="U252" s="159"/>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c r="BS252" s="159"/>
      <c r="BT252" s="159"/>
      <c r="BU252" s="159"/>
      <c r="BV252" s="159"/>
      <c r="BW252" s="159"/>
      <c r="BX252" s="159"/>
      <c r="BY252" s="159"/>
      <c r="BZ252" s="159"/>
      <c r="CA252" s="159"/>
      <c r="CB252" s="159"/>
      <c r="CC252" s="159"/>
    </row>
    <row r="253">
      <c r="A253" s="159" t="str">
        <f>Countries!B252</f>
        <v/>
      </c>
      <c r="B253" s="603" t="str">
        <f>Countries!I252</f>
        <v/>
      </c>
      <c r="C253" s="614" t="str">
        <f>IFERROR(IFERROR(IFERROR(IFERROR(IFERROR(IFERROR(IFERROR(MATCH(Countries!$B252,$M$3:$M$1003,0),MATCH(Countries!$C252,$M$3:$M$1003,0)),MATCH(Countries!$D252,$M$3:$M$1003,0)),MATCH(Countries!$E252,$M$3:$M$1003,0)),MATCH(Countries!$F252,$M$3:$M$1003,0)),MATCH(Countries!$G252,$M$3:$M$1003,0)),MATCH(Countries!$H252,$M$3:$M$1003,0)),"X")</f>
        <v>X</v>
      </c>
      <c r="D253" s="603" t="str">
        <f t="shared" ref="D253:F253" si="505">IF(G$2="","",IF($C253="X","",INDEX($N$3:$CC$1003,$C253,MATCH(G$2,$N$2:$CC$2,0))))</f>
        <v/>
      </c>
      <c r="E253" s="603" t="str">
        <f t="shared" si="505"/>
        <v/>
      </c>
      <c r="F253" s="603" t="str">
        <f t="shared" si="505"/>
        <v/>
      </c>
      <c r="G253" s="639" t="str">
        <f t="shared" si="5"/>
        <v/>
      </c>
      <c r="H253" s="618" t="str">
        <f t="shared" ref="H253:I253" si="506">IF(H$2="","", IF(E253="",IF($K$16="Use global average",E$276,IF($K$16="Use regional average",INDEX(E$280:E$296,MATCH($B253,$B$280:$B$296,0)),IF($K$16="Leave blank","",IF($K$16="Fill with zeros", 0,IF($K$16="Use global median",E$277,"Fill out I16"))))), E253))</f>
        <v/>
      </c>
      <c r="I253" s="618" t="str">
        <f t="shared" si="506"/>
        <v/>
      </c>
      <c r="J253" s="159"/>
      <c r="K253" s="159"/>
      <c r="L253" s="159" t="str">
        <f>IF(M253="","",IF(COUNTIF(Countries!$B$1:$H$271,M253)&gt;0,"",IF(COUNTIF(Countries!$M$1:$S$271,M253)&gt;0,"Not a country","ERROR – NOT LISTED. Add alt spelling to ''Countries'' tab")))</f>
        <v/>
      </c>
      <c r="M253" s="606"/>
      <c r="N253" s="159"/>
      <c r="O253" s="159"/>
      <c r="P253" s="159"/>
      <c r="Q253" s="159"/>
      <c r="R253" s="159"/>
      <c r="S253" s="159"/>
      <c r="T253" s="159"/>
      <c r="U253" s="159"/>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c r="BS253" s="159"/>
      <c r="BT253" s="159"/>
      <c r="BU253" s="159"/>
      <c r="BV253" s="159"/>
      <c r="BW253" s="159"/>
      <c r="BX253" s="159"/>
      <c r="BY253" s="159"/>
      <c r="BZ253" s="159"/>
      <c r="CA253" s="159"/>
      <c r="CB253" s="159"/>
      <c r="CC253" s="159"/>
    </row>
    <row r="254">
      <c r="A254" s="159" t="str">
        <f>Countries!B253</f>
        <v/>
      </c>
      <c r="B254" s="603" t="str">
        <f>Countries!I253</f>
        <v/>
      </c>
      <c r="C254" s="614" t="str">
        <f>IFERROR(IFERROR(IFERROR(IFERROR(IFERROR(IFERROR(IFERROR(MATCH(Countries!$B253,$M$3:$M$1003,0),MATCH(Countries!$C253,$M$3:$M$1003,0)),MATCH(Countries!$D253,$M$3:$M$1003,0)),MATCH(Countries!$E253,$M$3:$M$1003,0)),MATCH(Countries!$F253,$M$3:$M$1003,0)),MATCH(Countries!$G253,$M$3:$M$1003,0)),MATCH(Countries!$H253,$M$3:$M$1003,0)),"X")</f>
        <v>X</v>
      </c>
      <c r="D254" s="603" t="str">
        <f t="shared" ref="D254:F254" si="507">IF(G$2="","",IF($C254="X","",INDEX($N$3:$CC$1003,$C254,MATCH(G$2,$N$2:$CC$2,0))))</f>
        <v/>
      </c>
      <c r="E254" s="603" t="str">
        <f t="shared" si="507"/>
        <v/>
      </c>
      <c r="F254" s="603" t="str">
        <f t="shared" si="507"/>
        <v/>
      </c>
      <c r="G254" s="639" t="str">
        <f t="shared" si="5"/>
        <v/>
      </c>
      <c r="H254" s="618" t="str">
        <f t="shared" ref="H254:I254" si="508">IF(H$2="","", IF(E254="",IF($K$16="Use global average",E$276,IF($K$16="Use regional average",INDEX(E$280:E$296,MATCH($B254,$B$280:$B$296,0)),IF($K$16="Leave blank","",IF($K$16="Fill with zeros", 0,IF($K$16="Use global median",E$277,"Fill out I16"))))), E254))</f>
        <v/>
      </c>
      <c r="I254" s="618" t="str">
        <f t="shared" si="508"/>
        <v/>
      </c>
      <c r="J254" s="159"/>
      <c r="K254" s="159"/>
      <c r="L254" s="159" t="str">
        <f>IF(M254="","",IF(COUNTIF(Countries!$B$1:$H$271,M254)&gt;0,"",IF(COUNTIF(Countries!$M$1:$S$271,M254)&gt;0,"Not a country","ERROR – NOT LISTED. Add alt spelling to ''Countries'' tab")))</f>
        <v/>
      </c>
      <c r="M254" s="606"/>
      <c r="N254" s="159"/>
      <c r="O254" s="159"/>
      <c r="P254" s="159"/>
      <c r="Q254" s="159"/>
      <c r="R254" s="159"/>
      <c r="S254" s="159"/>
      <c r="T254" s="159"/>
      <c r="U254" s="159"/>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c r="BS254" s="159"/>
      <c r="BT254" s="159"/>
      <c r="BU254" s="159"/>
      <c r="BV254" s="159"/>
      <c r="BW254" s="159"/>
      <c r="BX254" s="159"/>
      <c r="BY254" s="159"/>
      <c r="BZ254" s="159"/>
      <c r="CA254" s="159"/>
      <c r="CB254" s="159"/>
      <c r="CC254" s="159"/>
    </row>
    <row r="255">
      <c r="A255" s="159" t="str">
        <f>Countries!B254</f>
        <v/>
      </c>
      <c r="B255" s="603" t="str">
        <f>Countries!I254</f>
        <v/>
      </c>
      <c r="C255" s="614" t="str">
        <f>IFERROR(IFERROR(IFERROR(IFERROR(IFERROR(IFERROR(IFERROR(MATCH(Countries!$B254,$M$3:$M$1003,0),MATCH(Countries!$C254,$M$3:$M$1003,0)),MATCH(Countries!$D254,$M$3:$M$1003,0)),MATCH(Countries!$E254,$M$3:$M$1003,0)),MATCH(Countries!$F254,$M$3:$M$1003,0)),MATCH(Countries!$G254,$M$3:$M$1003,0)),MATCH(Countries!$H254,$M$3:$M$1003,0)),"X")</f>
        <v>X</v>
      </c>
      <c r="D255" s="603" t="str">
        <f t="shared" ref="D255:F255" si="509">IF(G$2="","",IF($C255="X","",INDEX($N$3:$CC$1003,$C255,MATCH(G$2,$N$2:$CC$2,0))))</f>
        <v/>
      </c>
      <c r="E255" s="603" t="str">
        <f t="shared" si="509"/>
        <v/>
      </c>
      <c r="F255" s="603" t="str">
        <f t="shared" si="509"/>
        <v/>
      </c>
      <c r="G255" s="639" t="str">
        <f t="shared" si="5"/>
        <v/>
      </c>
      <c r="H255" s="618" t="str">
        <f t="shared" ref="H255:I255" si="510">IF(H$2="","", IF(E255="",IF($K$16="Use global average",E$276,IF($K$16="Use regional average",INDEX(E$280:E$296,MATCH($B255,$B$280:$B$296,0)),IF($K$16="Leave blank","",IF($K$16="Fill with zeros", 0,IF($K$16="Use global median",E$277,"Fill out I16"))))), E255))</f>
        <v/>
      </c>
      <c r="I255" s="618" t="str">
        <f t="shared" si="510"/>
        <v/>
      </c>
      <c r="J255" s="159"/>
      <c r="K255" s="159"/>
      <c r="L255" s="159" t="str">
        <f>IF(M255="","",IF(COUNTIF(Countries!$B$1:$H$271,M255)&gt;0,"",IF(COUNTIF(Countries!$M$1:$S$271,M255)&gt;0,"Not a country","ERROR – NOT LISTED. Add alt spelling to ''Countries'' tab")))</f>
        <v/>
      </c>
      <c r="M255" s="606"/>
      <c r="N255" s="159"/>
      <c r="O255" s="159"/>
      <c r="P255" s="159"/>
      <c r="Q255" s="159"/>
      <c r="R255" s="159"/>
      <c r="S255" s="159"/>
      <c r="T255" s="159"/>
      <c r="U255" s="159"/>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59"/>
      <c r="AT255" s="159"/>
      <c r="AU255" s="159"/>
      <c r="AV255" s="159"/>
      <c r="AW255" s="159"/>
      <c r="AX255" s="159"/>
      <c r="AY255" s="159"/>
      <c r="AZ255" s="159"/>
      <c r="BA255" s="159"/>
      <c r="BB255" s="159"/>
      <c r="BC255" s="159"/>
      <c r="BD255" s="159"/>
      <c r="BE255" s="159"/>
      <c r="BF255" s="159"/>
      <c r="BG255" s="159"/>
      <c r="BH255" s="159"/>
      <c r="BI255" s="159"/>
      <c r="BJ255" s="159"/>
      <c r="BK255" s="159"/>
      <c r="BL255" s="159"/>
      <c r="BM255" s="159"/>
      <c r="BN255" s="159"/>
      <c r="BO255" s="159"/>
      <c r="BP255" s="159"/>
      <c r="BQ255" s="159"/>
      <c r="BR255" s="159"/>
      <c r="BS255" s="159"/>
      <c r="BT255" s="159"/>
      <c r="BU255" s="159"/>
      <c r="BV255" s="159"/>
      <c r="BW255" s="159"/>
      <c r="BX255" s="159"/>
      <c r="BY255" s="159"/>
      <c r="BZ255" s="159"/>
      <c r="CA255" s="159"/>
      <c r="CB255" s="159"/>
      <c r="CC255" s="159"/>
    </row>
    <row r="256">
      <c r="A256" s="159" t="str">
        <f>Countries!B255</f>
        <v/>
      </c>
      <c r="B256" s="603" t="str">
        <f>Countries!I255</f>
        <v/>
      </c>
      <c r="C256" s="614" t="str">
        <f>IFERROR(IFERROR(IFERROR(IFERROR(IFERROR(IFERROR(IFERROR(MATCH(Countries!$B255,$M$3:$M$1003,0),MATCH(Countries!$C255,$M$3:$M$1003,0)),MATCH(Countries!$D255,$M$3:$M$1003,0)),MATCH(Countries!$E255,$M$3:$M$1003,0)),MATCH(Countries!$F255,$M$3:$M$1003,0)),MATCH(Countries!$G255,$M$3:$M$1003,0)),MATCH(Countries!$H255,$M$3:$M$1003,0)),"X")</f>
        <v>X</v>
      </c>
      <c r="D256" s="603" t="str">
        <f t="shared" ref="D256:F256" si="511">IF(G$2="","",IF($C256="X","",INDEX($N$3:$CC$1003,$C256,MATCH(G$2,$N$2:$CC$2,0))))</f>
        <v/>
      </c>
      <c r="E256" s="603" t="str">
        <f t="shared" si="511"/>
        <v/>
      </c>
      <c r="F256" s="603" t="str">
        <f t="shared" si="511"/>
        <v/>
      </c>
      <c r="G256" s="639" t="str">
        <f t="shared" si="5"/>
        <v/>
      </c>
      <c r="H256" s="618" t="str">
        <f t="shared" ref="H256:I256" si="512">IF(H$2="","", IF(E256="",IF($K$16="Use global average",E$276,IF($K$16="Use regional average",INDEX(E$280:E$296,MATCH($B256,$B$280:$B$296,0)),IF($K$16="Leave blank","",IF($K$16="Fill with zeros", 0,IF($K$16="Use global median",E$277,"Fill out I16"))))), E256))</f>
        <v/>
      </c>
      <c r="I256" s="618" t="str">
        <f t="shared" si="512"/>
        <v/>
      </c>
      <c r="J256" s="159"/>
      <c r="K256" s="159"/>
      <c r="L256" s="159" t="str">
        <f>IF(M256="","",IF(COUNTIF(Countries!$B$1:$H$271,M256)&gt;0,"",IF(COUNTIF(Countries!$M$1:$S$271,M256)&gt;0,"Not a country","ERROR – NOT LISTED. Add alt spelling to ''Countries'' tab")))</f>
        <v/>
      </c>
      <c r="M256" s="606"/>
      <c r="N256" s="159"/>
      <c r="O256" s="159"/>
      <c r="P256" s="159"/>
      <c r="Q256" s="159"/>
      <c r="R256" s="159"/>
      <c r="S256" s="159"/>
      <c r="T256" s="159"/>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c r="AX256" s="159"/>
      <c r="AY256" s="159"/>
      <c r="AZ256" s="159"/>
      <c r="BA256" s="159"/>
      <c r="BB256" s="159"/>
      <c r="BC256" s="159"/>
      <c r="BD256" s="159"/>
      <c r="BE256" s="159"/>
      <c r="BF256" s="159"/>
      <c r="BG256" s="159"/>
      <c r="BH256" s="159"/>
      <c r="BI256" s="159"/>
      <c r="BJ256" s="159"/>
      <c r="BK256" s="159"/>
      <c r="BL256" s="159"/>
      <c r="BM256" s="159"/>
      <c r="BN256" s="159"/>
      <c r="BO256" s="159"/>
      <c r="BP256" s="159"/>
      <c r="BQ256" s="159"/>
      <c r="BR256" s="159"/>
      <c r="BS256" s="159"/>
      <c r="BT256" s="159"/>
      <c r="BU256" s="159"/>
      <c r="BV256" s="159"/>
      <c r="BW256" s="159"/>
      <c r="BX256" s="159"/>
      <c r="BY256" s="159"/>
      <c r="BZ256" s="159"/>
      <c r="CA256" s="159"/>
      <c r="CB256" s="159"/>
      <c r="CC256" s="159"/>
    </row>
    <row r="257">
      <c r="A257" s="159" t="str">
        <f>Countries!B256</f>
        <v/>
      </c>
      <c r="B257" s="603" t="str">
        <f>Countries!I256</f>
        <v/>
      </c>
      <c r="C257" s="614" t="str">
        <f>IFERROR(IFERROR(IFERROR(IFERROR(IFERROR(IFERROR(IFERROR(MATCH(Countries!$B256,$M$3:$M$1003,0),MATCH(Countries!$C256,$M$3:$M$1003,0)),MATCH(Countries!$D256,$M$3:$M$1003,0)),MATCH(Countries!$E256,$M$3:$M$1003,0)),MATCH(Countries!$F256,$M$3:$M$1003,0)),MATCH(Countries!$G256,$M$3:$M$1003,0)),MATCH(Countries!$H256,$M$3:$M$1003,0)),"X")</f>
        <v>X</v>
      </c>
      <c r="D257" s="603" t="str">
        <f t="shared" ref="D257:F257" si="513">IF(G$2="","",IF($C257="X","",INDEX($N$3:$CC$1003,$C257,MATCH(G$2,$N$2:$CC$2,0))))</f>
        <v/>
      </c>
      <c r="E257" s="603" t="str">
        <f t="shared" si="513"/>
        <v/>
      </c>
      <c r="F257" s="603" t="str">
        <f t="shared" si="513"/>
        <v/>
      </c>
      <c r="G257" s="639" t="str">
        <f t="shared" si="5"/>
        <v/>
      </c>
      <c r="H257" s="618" t="str">
        <f t="shared" ref="H257:I257" si="514">IF(H$2="","", IF(E257="",IF($K$16="Use global average",E$276,IF($K$16="Use regional average",INDEX(E$280:E$296,MATCH($B257,$B$280:$B$296,0)),IF($K$16="Leave blank","",IF($K$16="Fill with zeros", 0,IF($K$16="Use global median",E$277,"Fill out I16"))))), E257))</f>
        <v/>
      </c>
      <c r="I257" s="618" t="str">
        <f t="shared" si="514"/>
        <v/>
      </c>
      <c r="J257" s="159"/>
      <c r="K257" s="159"/>
      <c r="L257" s="159" t="str">
        <f>IF(M257="","",IF(COUNTIF(Countries!$B$1:$H$271,M257)&gt;0,"",IF(COUNTIF(Countries!$M$1:$S$271,M257)&gt;0,"Not a country","ERROR – NOT LISTED. Add alt spelling to ''Countries'' tab")))</f>
        <v/>
      </c>
      <c r="M257" s="606"/>
      <c r="N257" s="159"/>
      <c r="O257" s="159"/>
      <c r="P257" s="159"/>
      <c r="Q257" s="159"/>
      <c r="R257" s="159"/>
      <c r="S257" s="159"/>
      <c r="T257" s="159"/>
      <c r="U257" s="159"/>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59"/>
      <c r="AT257" s="159"/>
      <c r="AU257" s="159"/>
      <c r="AV257" s="159"/>
      <c r="AW257" s="159"/>
      <c r="AX257" s="159"/>
      <c r="AY257" s="159"/>
      <c r="AZ257" s="159"/>
      <c r="BA257" s="159"/>
      <c r="BB257" s="159"/>
      <c r="BC257" s="159"/>
      <c r="BD257" s="159"/>
      <c r="BE257" s="159"/>
      <c r="BF257" s="159"/>
      <c r="BG257" s="159"/>
      <c r="BH257" s="159"/>
      <c r="BI257" s="159"/>
      <c r="BJ257" s="159"/>
      <c r="BK257" s="159"/>
      <c r="BL257" s="159"/>
      <c r="BM257" s="159"/>
      <c r="BN257" s="159"/>
      <c r="BO257" s="159"/>
      <c r="BP257" s="159"/>
      <c r="BQ257" s="159"/>
      <c r="BR257" s="159"/>
      <c r="BS257" s="159"/>
      <c r="BT257" s="159"/>
      <c r="BU257" s="159"/>
      <c r="BV257" s="159"/>
      <c r="BW257" s="159"/>
      <c r="BX257" s="159"/>
      <c r="BY257" s="159"/>
      <c r="BZ257" s="159"/>
      <c r="CA257" s="159"/>
      <c r="CB257" s="159"/>
      <c r="CC257" s="159"/>
    </row>
    <row r="258">
      <c r="A258" s="159" t="str">
        <f>Countries!B257</f>
        <v/>
      </c>
      <c r="B258" s="603" t="str">
        <f>Countries!I257</f>
        <v/>
      </c>
      <c r="C258" s="614" t="str">
        <f>IFERROR(IFERROR(IFERROR(IFERROR(IFERROR(IFERROR(IFERROR(MATCH(Countries!$B257,$M$3:$M$1003,0),MATCH(Countries!$C257,$M$3:$M$1003,0)),MATCH(Countries!$D257,$M$3:$M$1003,0)),MATCH(Countries!$E257,$M$3:$M$1003,0)),MATCH(Countries!$F257,$M$3:$M$1003,0)),MATCH(Countries!$G257,$M$3:$M$1003,0)),MATCH(Countries!$H257,$M$3:$M$1003,0)),"X")</f>
        <v>X</v>
      </c>
      <c r="D258" s="603" t="str">
        <f t="shared" ref="D258:F258" si="515">IF(G$2="","",IF($C258="X","",INDEX($N$3:$CC$1003,$C258,MATCH(G$2,$N$2:$CC$2,0))))</f>
        <v/>
      </c>
      <c r="E258" s="603" t="str">
        <f t="shared" si="515"/>
        <v/>
      </c>
      <c r="F258" s="603" t="str">
        <f t="shared" si="515"/>
        <v/>
      </c>
      <c r="G258" s="639" t="str">
        <f t="shared" si="5"/>
        <v/>
      </c>
      <c r="H258" s="618" t="str">
        <f t="shared" ref="H258:I258" si="516">IF(H$2="","", IF(E258="",IF($K$16="Use global average",E$276,IF($K$16="Use regional average",INDEX(E$280:E$296,MATCH($B258,$B$280:$B$296,0)),IF($K$16="Leave blank","",IF($K$16="Fill with zeros", 0,IF($K$16="Use global median",E$277,"Fill out I16"))))), E258))</f>
        <v/>
      </c>
      <c r="I258" s="618" t="str">
        <f t="shared" si="516"/>
        <v/>
      </c>
      <c r="J258" s="159"/>
      <c r="K258" s="159"/>
      <c r="L258" s="159" t="str">
        <f>IF(M258="","",IF(COUNTIF(Countries!$B$1:$H$271,M258)&gt;0,"",IF(COUNTIF(Countries!$M$1:$S$271,M258)&gt;0,"Not a country","ERROR – NOT LISTED. Add alt spelling to ''Countries'' tab")))</f>
        <v/>
      </c>
      <c r="M258" s="606"/>
      <c r="N258" s="159"/>
      <c r="O258" s="159"/>
      <c r="P258" s="159"/>
      <c r="Q258" s="159"/>
      <c r="R258" s="159"/>
      <c r="S258" s="159"/>
      <c r="T258" s="159"/>
      <c r="U258" s="159"/>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59"/>
      <c r="AT258" s="159"/>
      <c r="AU258" s="159"/>
      <c r="AV258" s="159"/>
      <c r="AW258" s="159"/>
      <c r="AX258" s="159"/>
      <c r="AY258" s="159"/>
      <c r="AZ258" s="159"/>
      <c r="BA258" s="159"/>
      <c r="BB258" s="159"/>
      <c r="BC258" s="159"/>
      <c r="BD258" s="159"/>
      <c r="BE258" s="159"/>
      <c r="BF258" s="159"/>
      <c r="BG258" s="159"/>
      <c r="BH258" s="159"/>
      <c r="BI258" s="159"/>
      <c r="BJ258" s="159"/>
      <c r="BK258" s="159"/>
      <c r="BL258" s="159"/>
      <c r="BM258" s="159"/>
      <c r="BN258" s="159"/>
      <c r="BO258" s="159"/>
      <c r="BP258" s="159"/>
      <c r="BQ258" s="159"/>
      <c r="BR258" s="159"/>
      <c r="BS258" s="159"/>
      <c r="BT258" s="159"/>
      <c r="BU258" s="159"/>
      <c r="BV258" s="159"/>
      <c r="BW258" s="159"/>
      <c r="BX258" s="159"/>
      <c r="BY258" s="159"/>
      <c r="BZ258" s="159"/>
      <c r="CA258" s="159"/>
      <c r="CB258" s="159"/>
      <c r="CC258" s="159"/>
    </row>
    <row r="259">
      <c r="A259" s="159" t="str">
        <f>Countries!B258</f>
        <v/>
      </c>
      <c r="B259" s="603" t="str">
        <f>Countries!I258</f>
        <v/>
      </c>
      <c r="C259" s="614" t="str">
        <f>IFERROR(IFERROR(IFERROR(IFERROR(IFERROR(IFERROR(IFERROR(MATCH(Countries!$B258,$M$3:$M$1003,0),MATCH(Countries!$C258,$M$3:$M$1003,0)),MATCH(Countries!$D258,$M$3:$M$1003,0)),MATCH(Countries!$E258,$M$3:$M$1003,0)),MATCH(Countries!$F258,$M$3:$M$1003,0)),MATCH(Countries!$G258,$M$3:$M$1003,0)),MATCH(Countries!$H258,$M$3:$M$1003,0)),"X")</f>
        <v>X</v>
      </c>
      <c r="D259" s="603" t="str">
        <f t="shared" ref="D259:F259" si="517">IF(G$2="","",IF($C259="X","",INDEX($N$3:$CC$1003,$C259,MATCH(G$2,$N$2:$CC$2,0))))</f>
        <v/>
      </c>
      <c r="E259" s="603" t="str">
        <f t="shared" si="517"/>
        <v/>
      </c>
      <c r="F259" s="603" t="str">
        <f t="shared" si="517"/>
        <v/>
      </c>
      <c r="G259" s="639" t="str">
        <f t="shared" si="5"/>
        <v/>
      </c>
      <c r="H259" s="618" t="str">
        <f t="shared" ref="H259:I259" si="518">IF(H$2="","", IF(E259="",IF($K$16="Use global average",E$276,IF($K$16="Use regional average",INDEX(E$280:E$296,MATCH($B259,$B$280:$B$296,0)),IF($K$16="Leave blank","",IF($K$16="Fill with zeros", 0,IF($K$16="Use global median",E$277,"Fill out I16"))))), E259))</f>
        <v/>
      </c>
      <c r="I259" s="618" t="str">
        <f t="shared" si="518"/>
        <v/>
      </c>
      <c r="J259" s="159"/>
      <c r="K259" s="159"/>
      <c r="L259" s="159" t="str">
        <f>IF(M259="","",IF(COUNTIF(Countries!$B$1:$H$271,M259)&gt;0,"",IF(COUNTIF(Countries!$M$1:$S$271,M259)&gt;0,"Not a country","ERROR – NOT LISTED. Add alt spelling to ''Countries'' tab")))</f>
        <v/>
      </c>
      <c r="M259" s="606"/>
      <c r="N259" s="159"/>
      <c r="O259" s="159"/>
      <c r="P259" s="159"/>
      <c r="Q259" s="159"/>
      <c r="R259" s="159"/>
      <c r="S259" s="159"/>
      <c r="T259" s="159"/>
      <c r="U259" s="159"/>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59"/>
      <c r="AT259" s="159"/>
      <c r="AU259" s="159"/>
      <c r="AV259" s="159"/>
      <c r="AW259" s="159"/>
      <c r="AX259" s="159"/>
      <c r="AY259" s="159"/>
      <c r="AZ259" s="159"/>
      <c r="BA259" s="159"/>
      <c r="BB259" s="159"/>
      <c r="BC259" s="159"/>
      <c r="BD259" s="159"/>
      <c r="BE259" s="159"/>
      <c r="BF259" s="159"/>
      <c r="BG259" s="159"/>
      <c r="BH259" s="159"/>
      <c r="BI259" s="159"/>
      <c r="BJ259" s="159"/>
      <c r="BK259" s="159"/>
      <c r="BL259" s="159"/>
      <c r="BM259" s="159"/>
      <c r="BN259" s="159"/>
      <c r="BO259" s="159"/>
      <c r="BP259" s="159"/>
      <c r="BQ259" s="159"/>
      <c r="BR259" s="159"/>
      <c r="BS259" s="159"/>
      <c r="BT259" s="159"/>
      <c r="BU259" s="159"/>
      <c r="BV259" s="159"/>
      <c r="BW259" s="159"/>
      <c r="BX259" s="159"/>
      <c r="BY259" s="159"/>
      <c r="BZ259" s="159"/>
      <c r="CA259" s="159"/>
      <c r="CB259" s="159"/>
      <c r="CC259" s="159"/>
    </row>
    <row r="260">
      <c r="A260" s="159" t="str">
        <f>Countries!B259</f>
        <v/>
      </c>
      <c r="B260" s="603" t="str">
        <f>Countries!I259</f>
        <v/>
      </c>
      <c r="C260" s="614" t="str">
        <f>IFERROR(IFERROR(IFERROR(IFERROR(IFERROR(IFERROR(IFERROR(MATCH(Countries!$B259,$M$3:$M$1003,0),MATCH(Countries!$C259,$M$3:$M$1003,0)),MATCH(Countries!$D259,$M$3:$M$1003,0)),MATCH(Countries!$E259,$M$3:$M$1003,0)),MATCH(Countries!$F259,$M$3:$M$1003,0)),MATCH(Countries!$G259,$M$3:$M$1003,0)),MATCH(Countries!$H259,$M$3:$M$1003,0)),"X")</f>
        <v>X</v>
      </c>
      <c r="D260" s="603" t="str">
        <f t="shared" ref="D260:F260" si="519">IF(G$2="","",IF($C260="X","",INDEX($N$3:$CC$1003,$C260,MATCH(G$2,$N$2:$CC$2,0))))</f>
        <v/>
      </c>
      <c r="E260" s="603" t="str">
        <f t="shared" si="519"/>
        <v/>
      </c>
      <c r="F260" s="603" t="str">
        <f t="shared" si="519"/>
        <v/>
      </c>
      <c r="G260" s="639" t="str">
        <f t="shared" si="5"/>
        <v/>
      </c>
      <c r="H260" s="618" t="str">
        <f t="shared" ref="H260:I260" si="520">IF(H$2="","", IF(E260="",IF($K$16="Use global average",E$276,IF($K$16="Use regional average",INDEX(E$280:E$296,MATCH($B260,$B$280:$B$296,0)),IF($K$16="Leave blank","",IF($K$16="Fill with zeros", 0,IF($K$16="Use global median",E$277,"Fill out I16"))))), E260))</f>
        <v/>
      </c>
      <c r="I260" s="618" t="str">
        <f t="shared" si="520"/>
        <v/>
      </c>
      <c r="J260" s="159"/>
      <c r="K260" s="159"/>
      <c r="L260" s="159" t="str">
        <f>IF(M260="","",IF(COUNTIF(Countries!$B$1:$H$271,M260)&gt;0,"",IF(COUNTIF(Countries!$M$1:$S$271,M260)&gt;0,"Not a country","ERROR – NOT LISTED. Add alt spelling to ''Countries'' tab")))</f>
        <v/>
      </c>
      <c r="M260" s="606"/>
      <c r="N260" s="159"/>
      <c r="O260" s="159"/>
      <c r="P260" s="159"/>
      <c r="Q260" s="159"/>
      <c r="R260" s="159"/>
      <c r="S260" s="159"/>
      <c r="T260" s="159"/>
      <c r="U260" s="159"/>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59"/>
      <c r="AT260" s="159"/>
      <c r="AU260" s="159"/>
      <c r="AV260" s="159"/>
      <c r="AW260" s="159"/>
      <c r="AX260" s="159"/>
      <c r="AY260" s="159"/>
      <c r="AZ260" s="159"/>
      <c r="BA260" s="159"/>
      <c r="BB260" s="159"/>
      <c r="BC260" s="159"/>
      <c r="BD260" s="159"/>
      <c r="BE260" s="159"/>
      <c r="BF260" s="159"/>
      <c r="BG260" s="159"/>
      <c r="BH260" s="159"/>
      <c r="BI260" s="159"/>
      <c r="BJ260" s="159"/>
      <c r="BK260" s="159"/>
      <c r="BL260" s="159"/>
      <c r="BM260" s="159"/>
      <c r="BN260" s="159"/>
      <c r="BO260" s="159"/>
      <c r="BP260" s="159"/>
      <c r="BQ260" s="159"/>
      <c r="BR260" s="159"/>
      <c r="BS260" s="159"/>
      <c r="BT260" s="159"/>
      <c r="BU260" s="159"/>
      <c r="BV260" s="159"/>
      <c r="BW260" s="159"/>
      <c r="BX260" s="159"/>
      <c r="BY260" s="159"/>
      <c r="BZ260" s="159"/>
      <c r="CA260" s="159"/>
      <c r="CB260" s="159"/>
      <c r="CC260" s="159"/>
    </row>
    <row r="261">
      <c r="A261" s="159" t="str">
        <f>Countries!B260</f>
        <v/>
      </c>
      <c r="B261" s="603" t="str">
        <f>Countries!I260</f>
        <v/>
      </c>
      <c r="C261" s="614" t="str">
        <f>IFERROR(IFERROR(IFERROR(IFERROR(IFERROR(IFERROR(IFERROR(MATCH(Countries!$B260,$M$3:$M$1003,0),MATCH(Countries!$C260,$M$3:$M$1003,0)),MATCH(Countries!$D260,$M$3:$M$1003,0)),MATCH(Countries!$E260,$M$3:$M$1003,0)),MATCH(Countries!$F260,$M$3:$M$1003,0)),MATCH(Countries!$G260,$M$3:$M$1003,0)),MATCH(Countries!$H260,$M$3:$M$1003,0)),"X")</f>
        <v>X</v>
      </c>
      <c r="D261" s="603" t="str">
        <f t="shared" ref="D261:F261" si="521">IF(G$2="","",IF($C261="X","",INDEX($N$3:$CC$1003,$C261,MATCH(G$2,$N$2:$CC$2,0))))</f>
        <v/>
      </c>
      <c r="E261" s="603" t="str">
        <f t="shared" si="521"/>
        <v/>
      </c>
      <c r="F261" s="603" t="str">
        <f t="shared" si="521"/>
        <v/>
      </c>
      <c r="G261" s="639" t="str">
        <f t="shared" si="5"/>
        <v/>
      </c>
      <c r="H261" s="618" t="str">
        <f t="shared" ref="H261:I261" si="522">IF(H$2="","", IF(E261="",IF($K$16="Use global average",E$276,IF($K$16="Use regional average",INDEX(E$280:E$296,MATCH($B261,$B$280:$B$296,0)),IF($K$16="Leave blank","",IF($K$16="Fill with zeros", 0,IF($K$16="Use global median",E$277,"Fill out I16"))))), E261))</f>
        <v/>
      </c>
      <c r="I261" s="618" t="str">
        <f t="shared" si="522"/>
        <v/>
      </c>
      <c r="J261" s="159"/>
      <c r="K261" s="159"/>
      <c r="L261" s="159" t="str">
        <f>IF(M261="","",IF(COUNTIF(Countries!$B$1:$H$271,M261)&gt;0,"",IF(COUNTIF(Countries!$M$1:$S$271,M261)&gt;0,"Not a country","ERROR – NOT LISTED. Add alt spelling to ''Countries'' tab")))</f>
        <v/>
      </c>
      <c r="M261" s="606"/>
      <c r="N261" s="159"/>
      <c r="O261" s="159"/>
      <c r="P261" s="159"/>
      <c r="Q261" s="159"/>
      <c r="R261" s="159"/>
      <c r="S261" s="159"/>
      <c r="T261" s="159"/>
      <c r="U261" s="159"/>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59"/>
      <c r="AT261" s="159"/>
      <c r="AU261" s="159"/>
      <c r="AV261" s="159"/>
      <c r="AW261" s="159"/>
      <c r="AX261" s="159"/>
      <c r="AY261" s="159"/>
      <c r="AZ261" s="159"/>
      <c r="BA261" s="159"/>
      <c r="BB261" s="159"/>
      <c r="BC261" s="159"/>
      <c r="BD261" s="159"/>
      <c r="BE261" s="159"/>
      <c r="BF261" s="159"/>
      <c r="BG261" s="159"/>
      <c r="BH261" s="159"/>
      <c r="BI261" s="159"/>
      <c r="BJ261" s="159"/>
      <c r="BK261" s="159"/>
      <c r="BL261" s="159"/>
      <c r="BM261" s="159"/>
      <c r="BN261" s="159"/>
      <c r="BO261" s="159"/>
      <c r="BP261" s="159"/>
      <c r="BQ261" s="159"/>
      <c r="BR261" s="159"/>
      <c r="BS261" s="159"/>
      <c r="BT261" s="159"/>
      <c r="BU261" s="159"/>
      <c r="BV261" s="159"/>
      <c r="BW261" s="159"/>
      <c r="BX261" s="159"/>
      <c r="BY261" s="159"/>
      <c r="BZ261" s="159"/>
      <c r="CA261" s="159"/>
      <c r="CB261" s="159"/>
      <c r="CC261" s="159"/>
    </row>
    <row r="262">
      <c r="A262" s="159" t="str">
        <f>Countries!B261</f>
        <v/>
      </c>
      <c r="B262" s="603" t="str">
        <f>Countries!I261</f>
        <v/>
      </c>
      <c r="C262" s="614" t="str">
        <f>IFERROR(IFERROR(IFERROR(IFERROR(IFERROR(IFERROR(IFERROR(MATCH(Countries!$B261,$M$3:$M$1003,0),MATCH(Countries!$C261,$M$3:$M$1003,0)),MATCH(Countries!$D261,$M$3:$M$1003,0)),MATCH(Countries!$E261,$M$3:$M$1003,0)),MATCH(Countries!$F261,$M$3:$M$1003,0)),MATCH(Countries!$G261,$M$3:$M$1003,0)),MATCH(Countries!$H261,$M$3:$M$1003,0)),"X")</f>
        <v>X</v>
      </c>
      <c r="D262" s="603" t="str">
        <f t="shared" ref="D262:F262" si="523">IF(G$2="","",IF($C262="X","",INDEX($N$3:$CC$1003,$C262,MATCH(G$2,$N$2:$CC$2,0))))</f>
        <v/>
      </c>
      <c r="E262" s="603" t="str">
        <f t="shared" si="523"/>
        <v/>
      </c>
      <c r="F262" s="603" t="str">
        <f t="shared" si="523"/>
        <v/>
      </c>
      <c r="G262" s="639" t="str">
        <f t="shared" si="5"/>
        <v/>
      </c>
      <c r="H262" s="618" t="str">
        <f t="shared" ref="H262:I262" si="524">IF(H$2="","", IF(E262="",IF($K$16="Use global average",E$276,IF($K$16="Use regional average",INDEX(E$280:E$296,MATCH($B262,$B$280:$B$296,0)),IF($K$16="Leave blank","",IF($K$16="Fill with zeros", 0,IF($K$16="Use global median",E$277,"Fill out I16"))))), E262))</f>
        <v/>
      </c>
      <c r="I262" s="618" t="str">
        <f t="shared" si="524"/>
        <v/>
      </c>
      <c r="J262" s="159"/>
      <c r="K262" s="159"/>
      <c r="L262" s="159" t="str">
        <f>IF(M262="","",IF(COUNTIF(Countries!$B$1:$H$271,M262)&gt;0,"",IF(COUNTIF(Countries!$M$1:$S$271,M262)&gt;0,"Not a country","ERROR – NOT LISTED. Add alt spelling to ''Countries'' tab")))</f>
        <v/>
      </c>
      <c r="M262" s="606"/>
      <c r="N262" s="159"/>
      <c r="O262" s="159"/>
      <c r="P262" s="159"/>
      <c r="Q262" s="159"/>
      <c r="R262" s="159"/>
      <c r="S262" s="159"/>
      <c r="T262" s="159"/>
      <c r="U262" s="159"/>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59"/>
      <c r="AT262" s="159"/>
      <c r="AU262" s="159"/>
      <c r="AV262" s="159"/>
      <c r="AW262" s="159"/>
      <c r="AX262" s="159"/>
      <c r="AY262" s="159"/>
      <c r="AZ262" s="159"/>
      <c r="BA262" s="159"/>
      <c r="BB262" s="159"/>
      <c r="BC262" s="159"/>
      <c r="BD262" s="159"/>
      <c r="BE262" s="159"/>
      <c r="BF262" s="159"/>
      <c r="BG262" s="159"/>
      <c r="BH262" s="159"/>
      <c r="BI262" s="159"/>
      <c r="BJ262" s="159"/>
      <c r="BK262" s="159"/>
      <c r="BL262" s="159"/>
      <c r="BM262" s="159"/>
      <c r="BN262" s="159"/>
      <c r="BO262" s="159"/>
      <c r="BP262" s="159"/>
      <c r="BQ262" s="159"/>
      <c r="BR262" s="159"/>
      <c r="BS262" s="159"/>
      <c r="BT262" s="159"/>
      <c r="BU262" s="159"/>
      <c r="BV262" s="159"/>
      <c r="BW262" s="159"/>
      <c r="BX262" s="159"/>
      <c r="BY262" s="159"/>
      <c r="BZ262" s="159"/>
      <c r="CA262" s="159"/>
      <c r="CB262" s="159"/>
      <c r="CC262" s="159"/>
    </row>
    <row r="263">
      <c r="A263" s="159" t="str">
        <f>Countries!B262</f>
        <v/>
      </c>
      <c r="B263" s="603" t="str">
        <f>Countries!I262</f>
        <v/>
      </c>
      <c r="C263" s="614" t="str">
        <f>IFERROR(IFERROR(IFERROR(IFERROR(IFERROR(IFERROR(IFERROR(MATCH(Countries!$B262,$M$3:$M$1003,0),MATCH(Countries!$C262,$M$3:$M$1003,0)),MATCH(Countries!$D262,$M$3:$M$1003,0)),MATCH(Countries!$E262,$M$3:$M$1003,0)),MATCH(Countries!$F262,$M$3:$M$1003,0)),MATCH(Countries!$G262,$M$3:$M$1003,0)),MATCH(Countries!$H262,$M$3:$M$1003,0)),"X")</f>
        <v>X</v>
      </c>
      <c r="D263" s="603" t="str">
        <f t="shared" ref="D263:F263" si="525">IF(G$2="","",IF($C263="X","",INDEX($N$3:$CC$1003,$C263,MATCH(G$2,$N$2:$CC$2,0))))</f>
        <v/>
      </c>
      <c r="E263" s="603" t="str">
        <f t="shared" si="525"/>
        <v/>
      </c>
      <c r="F263" s="603" t="str">
        <f t="shared" si="525"/>
        <v/>
      </c>
      <c r="G263" s="639" t="str">
        <f t="shared" si="5"/>
        <v/>
      </c>
      <c r="H263" s="618" t="str">
        <f t="shared" ref="H263:I263" si="526">IF(H$2="","", IF(E263="",IF($K$16="Use global average",E$276,IF($K$16="Use regional average",INDEX(E$280:E$296,MATCH($B263,$B$280:$B$296,0)),IF($K$16="Leave blank","",IF($K$16="Fill with zeros", 0,IF($K$16="Use global median",E$277,"Fill out I16"))))), E263))</f>
        <v/>
      </c>
      <c r="I263" s="618" t="str">
        <f t="shared" si="526"/>
        <v/>
      </c>
      <c r="J263" s="159"/>
      <c r="K263" s="159"/>
      <c r="L263" s="159" t="str">
        <f>IF(M263="","",IF(COUNTIF(Countries!$B$1:$H$271,M263)&gt;0,"",IF(COUNTIF(Countries!$M$1:$S$271,M263)&gt;0,"Not a country","ERROR – NOT LISTED. Add alt spelling to ''Countries'' tab")))</f>
        <v/>
      </c>
      <c r="M263" s="606"/>
      <c r="N263" s="159"/>
      <c r="O263" s="159"/>
      <c r="P263" s="159"/>
      <c r="Q263" s="159"/>
      <c r="R263" s="159"/>
      <c r="S263" s="159"/>
      <c r="T263" s="159"/>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c r="BS263" s="159"/>
      <c r="BT263" s="159"/>
      <c r="BU263" s="159"/>
      <c r="BV263" s="159"/>
      <c r="BW263" s="159"/>
      <c r="BX263" s="159"/>
      <c r="BY263" s="159"/>
      <c r="BZ263" s="159"/>
      <c r="CA263" s="159"/>
      <c r="CB263" s="159"/>
      <c r="CC263" s="159"/>
    </row>
    <row r="264">
      <c r="A264" s="159" t="str">
        <f>Countries!B263</f>
        <v/>
      </c>
      <c r="B264" s="603" t="str">
        <f>Countries!I263</f>
        <v/>
      </c>
      <c r="C264" s="614" t="str">
        <f>IFERROR(IFERROR(IFERROR(IFERROR(IFERROR(IFERROR(IFERROR(MATCH(Countries!$B263,$M$3:$M$1003,0),MATCH(Countries!$C263,$M$3:$M$1003,0)),MATCH(Countries!$D263,$M$3:$M$1003,0)),MATCH(Countries!$E263,$M$3:$M$1003,0)),MATCH(Countries!$F263,$M$3:$M$1003,0)),MATCH(Countries!$G263,$M$3:$M$1003,0)),MATCH(Countries!$H263,$M$3:$M$1003,0)),"X")</f>
        <v>X</v>
      </c>
      <c r="D264" s="603" t="str">
        <f t="shared" ref="D264:F264" si="527">IF(G$2="","",IF($C264="X","",INDEX($N$3:$CC$1003,$C264,MATCH(G$2,$N$2:$CC$2,0))))</f>
        <v/>
      </c>
      <c r="E264" s="603" t="str">
        <f t="shared" si="527"/>
        <v/>
      </c>
      <c r="F264" s="603" t="str">
        <f t="shared" si="527"/>
        <v/>
      </c>
      <c r="G264" s="639" t="str">
        <f t="shared" si="5"/>
        <v/>
      </c>
      <c r="H264" s="618" t="str">
        <f t="shared" ref="H264:I264" si="528">IF(H$2="","", IF(E264="",IF($K$16="Use global average",E$276,IF($K$16="Use regional average",INDEX(E$280:E$296,MATCH($B264,$B$280:$B$296,0)),IF($K$16="Leave blank","",IF($K$16="Fill with zeros", 0,IF($K$16="Use global median",E$277,"Fill out I16"))))), E264))</f>
        <v/>
      </c>
      <c r="I264" s="618" t="str">
        <f t="shared" si="528"/>
        <v/>
      </c>
      <c r="J264" s="159"/>
      <c r="K264" s="159"/>
      <c r="L264" s="159" t="str">
        <f>IF(M264="","",IF(COUNTIF(Countries!$B$1:$H$271,M264)&gt;0,"",IF(COUNTIF(Countries!$M$1:$S$271,M264)&gt;0,"Not a country","ERROR – NOT LISTED. Add alt spelling to ''Countries'' tab")))</f>
        <v/>
      </c>
      <c r="M264" s="606"/>
      <c r="N264" s="159"/>
      <c r="O264" s="159"/>
      <c r="P264" s="159"/>
      <c r="Q264" s="159"/>
      <c r="R264" s="159"/>
      <c r="S264" s="159"/>
      <c r="T264" s="159"/>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c r="BO264" s="159"/>
      <c r="BP264" s="159"/>
      <c r="BQ264" s="159"/>
      <c r="BR264" s="159"/>
      <c r="BS264" s="159"/>
      <c r="BT264" s="159"/>
      <c r="BU264" s="159"/>
      <c r="BV264" s="159"/>
      <c r="BW264" s="159"/>
      <c r="BX264" s="159"/>
      <c r="BY264" s="159"/>
      <c r="BZ264" s="159"/>
      <c r="CA264" s="159"/>
      <c r="CB264" s="159"/>
      <c r="CC264" s="159"/>
    </row>
    <row r="265">
      <c r="A265" s="159" t="str">
        <f>Countries!B264</f>
        <v/>
      </c>
      <c r="B265" s="603" t="str">
        <f>Countries!I264</f>
        <v/>
      </c>
      <c r="C265" s="614" t="str">
        <f>IFERROR(IFERROR(IFERROR(IFERROR(IFERROR(IFERROR(IFERROR(MATCH(Countries!$B264,$M$3:$M$1003,0),MATCH(Countries!$C264,$M$3:$M$1003,0)),MATCH(Countries!$D264,$M$3:$M$1003,0)),MATCH(Countries!$E264,$M$3:$M$1003,0)),MATCH(Countries!$F264,$M$3:$M$1003,0)),MATCH(Countries!$G264,$M$3:$M$1003,0)),MATCH(Countries!$H264,$M$3:$M$1003,0)),"X")</f>
        <v>X</v>
      </c>
      <c r="D265" s="603" t="str">
        <f t="shared" ref="D265:F265" si="529">IF(G$2="","",IF($C265="X","",INDEX($N$3:$CC$1003,$C265,MATCH(G$2,$N$2:$CC$2,0))))</f>
        <v/>
      </c>
      <c r="E265" s="603" t="str">
        <f t="shared" si="529"/>
        <v/>
      </c>
      <c r="F265" s="603" t="str">
        <f t="shared" si="529"/>
        <v/>
      </c>
      <c r="G265" s="639" t="str">
        <f t="shared" si="5"/>
        <v/>
      </c>
      <c r="H265" s="618" t="str">
        <f t="shared" ref="H265:I265" si="530">IF(H$2="","", IF(E265="",IF($K$16="Use global average",E$276,IF($K$16="Use regional average",INDEX(E$280:E$296,MATCH($B265,$B$280:$B$296,0)),IF($K$16="Leave blank","",IF($K$16="Fill with zeros", 0,IF($K$16="Use global median",E$277,"Fill out I16"))))), E265))</f>
        <v/>
      </c>
      <c r="I265" s="618" t="str">
        <f t="shared" si="530"/>
        <v/>
      </c>
      <c r="J265" s="159"/>
      <c r="K265" s="159"/>
      <c r="L265" s="159" t="str">
        <f>IF(M265="","",IF(COUNTIF(Countries!$B$1:$H$271,M265)&gt;0,"",IF(COUNTIF(Countries!$M$1:$S$271,M265)&gt;0,"Not a country","ERROR – NOT LISTED. Add alt spelling to ''Countries'' tab")))</f>
        <v/>
      </c>
      <c r="M265" s="606"/>
      <c r="N265" s="159"/>
      <c r="O265" s="159"/>
      <c r="P265" s="159"/>
      <c r="Q265" s="159"/>
      <c r="R265" s="159"/>
      <c r="S265" s="159"/>
      <c r="T265" s="159"/>
      <c r="U265" s="159"/>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59"/>
      <c r="AT265" s="159"/>
      <c r="AU265" s="159"/>
      <c r="AV265" s="159"/>
      <c r="AW265" s="159"/>
      <c r="AX265" s="159"/>
      <c r="AY265" s="159"/>
      <c r="AZ265" s="159"/>
      <c r="BA265" s="159"/>
      <c r="BB265" s="159"/>
      <c r="BC265" s="159"/>
      <c r="BD265" s="159"/>
      <c r="BE265" s="159"/>
      <c r="BF265" s="159"/>
      <c r="BG265" s="159"/>
      <c r="BH265" s="159"/>
      <c r="BI265" s="159"/>
      <c r="BJ265" s="159"/>
      <c r="BK265" s="159"/>
      <c r="BL265" s="159"/>
      <c r="BM265" s="159"/>
      <c r="BN265" s="159"/>
      <c r="BO265" s="159"/>
      <c r="BP265" s="159"/>
      <c r="BQ265" s="159"/>
      <c r="BR265" s="159"/>
      <c r="BS265" s="159"/>
      <c r="BT265" s="159"/>
      <c r="BU265" s="159"/>
      <c r="BV265" s="159"/>
      <c r="BW265" s="159"/>
      <c r="BX265" s="159"/>
      <c r="BY265" s="159"/>
      <c r="BZ265" s="159"/>
      <c r="CA265" s="159"/>
      <c r="CB265" s="159"/>
      <c r="CC265" s="159"/>
    </row>
    <row r="266">
      <c r="A266" s="159" t="str">
        <f>Countries!B265</f>
        <v/>
      </c>
      <c r="B266" s="603" t="str">
        <f>Countries!I265</f>
        <v/>
      </c>
      <c r="C266" s="614" t="str">
        <f>IFERROR(IFERROR(IFERROR(IFERROR(IFERROR(IFERROR(IFERROR(MATCH(Countries!$B265,$M$3:$M$1003,0),MATCH(Countries!$C265,$M$3:$M$1003,0)),MATCH(Countries!$D265,$M$3:$M$1003,0)),MATCH(Countries!$E265,$M$3:$M$1003,0)),MATCH(Countries!$F265,$M$3:$M$1003,0)),MATCH(Countries!$G265,$M$3:$M$1003,0)),MATCH(Countries!$H265,$M$3:$M$1003,0)),"X")</f>
        <v>X</v>
      </c>
      <c r="D266" s="603" t="str">
        <f t="shared" ref="D266:F266" si="531">IF(G$2="","",IF($C266="X","",INDEX($N$3:$CC$1003,$C266,MATCH(G$2,$N$2:$CC$2,0))))</f>
        <v/>
      </c>
      <c r="E266" s="603" t="str">
        <f t="shared" si="531"/>
        <v/>
      </c>
      <c r="F266" s="603" t="str">
        <f t="shared" si="531"/>
        <v/>
      </c>
      <c r="G266" s="639" t="str">
        <f t="shared" si="5"/>
        <v/>
      </c>
      <c r="H266" s="618" t="str">
        <f t="shared" ref="H266:I266" si="532">IF(H$2="","", IF(E266="",IF($K$16="Use global average",E$276,IF($K$16="Use regional average",INDEX(E$280:E$296,MATCH($B266,$B$280:$B$296,0)),IF($K$16="Leave blank","",IF($K$16="Fill with zeros", 0,IF($K$16="Use global median",E$277,"Fill out I16"))))), E266))</f>
        <v/>
      </c>
      <c r="I266" s="618" t="str">
        <f t="shared" si="532"/>
        <v/>
      </c>
      <c r="J266" s="159"/>
      <c r="K266" s="159"/>
      <c r="L266" s="159" t="str">
        <f>IF(M266="","",IF(COUNTIF(Countries!$B$1:$H$271,M266)&gt;0,"",IF(COUNTIF(Countries!$M$1:$S$271,M266)&gt;0,"Not a country","ERROR – NOT LISTED. Add alt spelling to ''Countries'' tab")))</f>
        <v/>
      </c>
      <c r="M266" s="606"/>
      <c r="N266" s="159"/>
      <c r="O266" s="159"/>
      <c r="P266" s="159"/>
      <c r="Q266" s="159"/>
      <c r="R266" s="159"/>
      <c r="S266" s="159"/>
      <c r="T266" s="159"/>
      <c r="U266" s="159"/>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59"/>
      <c r="AT266" s="159"/>
      <c r="AU266" s="159"/>
      <c r="AV266" s="159"/>
      <c r="AW266" s="159"/>
      <c r="AX266" s="159"/>
      <c r="AY266" s="159"/>
      <c r="AZ266" s="159"/>
      <c r="BA266" s="159"/>
      <c r="BB266" s="159"/>
      <c r="BC266" s="159"/>
      <c r="BD266" s="159"/>
      <c r="BE266" s="159"/>
      <c r="BF266" s="159"/>
      <c r="BG266" s="159"/>
      <c r="BH266" s="159"/>
      <c r="BI266" s="159"/>
      <c r="BJ266" s="159"/>
      <c r="BK266" s="159"/>
      <c r="BL266" s="159"/>
      <c r="BM266" s="159"/>
      <c r="BN266" s="159"/>
      <c r="BO266" s="159"/>
      <c r="BP266" s="159"/>
      <c r="BQ266" s="159"/>
      <c r="BR266" s="159"/>
      <c r="BS266" s="159"/>
      <c r="BT266" s="159"/>
      <c r="BU266" s="159"/>
      <c r="BV266" s="159"/>
      <c r="BW266" s="159"/>
      <c r="BX266" s="159"/>
      <c r="BY266" s="159"/>
      <c r="BZ266" s="159"/>
      <c r="CA266" s="159"/>
      <c r="CB266" s="159"/>
      <c r="CC266" s="159"/>
    </row>
    <row r="267">
      <c r="A267" s="159" t="str">
        <f>Countries!B266</f>
        <v/>
      </c>
      <c r="B267" s="603" t="str">
        <f>Countries!I266</f>
        <v/>
      </c>
      <c r="C267" s="614" t="str">
        <f>IFERROR(IFERROR(IFERROR(IFERROR(IFERROR(IFERROR(IFERROR(MATCH(Countries!$B266,$M$3:$M$1003,0),MATCH(Countries!$C266,$M$3:$M$1003,0)),MATCH(Countries!$D266,$M$3:$M$1003,0)),MATCH(Countries!$E266,$M$3:$M$1003,0)),MATCH(Countries!$F266,$M$3:$M$1003,0)),MATCH(Countries!$G266,$M$3:$M$1003,0)),MATCH(Countries!$H266,$M$3:$M$1003,0)),"X")</f>
        <v>X</v>
      </c>
      <c r="D267" s="603" t="str">
        <f t="shared" ref="D267:F267" si="533">IF(G$2="","",IF($C267="X","",INDEX($N$3:$CC$1003,$C267,MATCH(G$2,$N$2:$CC$2,0))))</f>
        <v/>
      </c>
      <c r="E267" s="603" t="str">
        <f t="shared" si="533"/>
        <v/>
      </c>
      <c r="F267" s="603" t="str">
        <f t="shared" si="533"/>
        <v/>
      </c>
      <c r="G267" s="639" t="str">
        <f t="shared" si="5"/>
        <v/>
      </c>
      <c r="H267" s="618" t="str">
        <f t="shared" ref="H267:I267" si="534">IF(H$2="","", IF(E267="",IF($K$16="Use global average",E$276,IF($K$16="Use regional average",INDEX(E$280:E$296,MATCH($B267,$B$280:$B$296,0)),IF($K$16="Leave blank","",IF($K$16="Fill with zeros", 0,IF($K$16="Use global median",E$277,"Fill out I16"))))), E267))</f>
        <v/>
      </c>
      <c r="I267" s="618" t="str">
        <f t="shared" si="534"/>
        <v/>
      </c>
      <c r="J267" s="159"/>
      <c r="K267" s="159"/>
      <c r="L267" s="159" t="str">
        <f>IF(M267="","",IF(COUNTIF(Countries!$B$1:$H$271,M267)&gt;0,"",IF(COUNTIF(Countries!$M$1:$S$271,M267)&gt;0,"Not a country","ERROR – NOT LISTED. Add alt spelling to ''Countries'' tab")))</f>
        <v/>
      </c>
      <c r="M267" s="606"/>
      <c r="N267" s="159"/>
      <c r="O267" s="159"/>
      <c r="P267" s="159"/>
      <c r="Q267" s="159"/>
      <c r="R267" s="159"/>
      <c r="S267" s="159"/>
      <c r="T267" s="159"/>
      <c r="U267" s="159"/>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59"/>
      <c r="AT267" s="159"/>
      <c r="AU267" s="159"/>
      <c r="AV267" s="159"/>
      <c r="AW267" s="159"/>
      <c r="AX267" s="159"/>
      <c r="AY267" s="159"/>
      <c r="AZ267" s="159"/>
      <c r="BA267" s="159"/>
      <c r="BB267" s="159"/>
      <c r="BC267" s="159"/>
      <c r="BD267" s="159"/>
      <c r="BE267" s="159"/>
      <c r="BF267" s="159"/>
      <c r="BG267" s="159"/>
      <c r="BH267" s="159"/>
      <c r="BI267" s="159"/>
      <c r="BJ267" s="159"/>
      <c r="BK267" s="159"/>
      <c r="BL267" s="159"/>
      <c r="BM267" s="159"/>
      <c r="BN267" s="159"/>
      <c r="BO267" s="159"/>
      <c r="BP267" s="159"/>
      <c r="BQ267" s="159"/>
      <c r="BR267" s="159"/>
      <c r="BS267" s="159"/>
      <c r="BT267" s="159"/>
      <c r="BU267" s="159"/>
      <c r="BV267" s="159"/>
      <c r="BW267" s="159"/>
      <c r="BX267" s="159"/>
      <c r="BY267" s="159"/>
      <c r="BZ267" s="159"/>
      <c r="CA267" s="159"/>
      <c r="CB267" s="159"/>
      <c r="CC267" s="159"/>
    </row>
    <row r="268">
      <c r="A268" s="159" t="str">
        <f>Countries!B267</f>
        <v/>
      </c>
      <c r="B268" s="603" t="str">
        <f>Countries!I267</f>
        <v/>
      </c>
      <c r="C268" s="614" t="str">
        <f>IFERROR(IFERROR(IFERROR(IFERROR(IFERROR(IFERROR(IFERROR(MATCH(Countries!$B267,$M$3:$M$1003,0),MATCH(Countries!$C267,$M$3:$M$1003,0)),MATCH(Countries!$D267,$M$3:$M$1003,0)),MATCH(Countries!$E267,$M$3:$M$1003,0)),MATCH(Countries!$F267,$M$3:$M$1003,0)),MATCH(Countries!$G267,$M$3:$M$1003,0)),MATCH(Countries!$H267,$M$3:$M$1003,0)),"X")</f>
        <v>X</v>
      </c>
      <c r="D268" s="603" t="str">
        <f t="shared" ref="D268:F268" si="535">IF(G$2="","",IF($C268="X","",INDEX($N$3:$CC$1003,$C268,MATCH(G$2,$N$2:$CC$2,0))))</f>
        <v/>
      </c>
      <c r="E268" s="603" t="str">
        <f t="shared" si="535"/>
        <v/>
      </c>
      <c r="F268" s="603" t="str">
        <f t="shared" si="535"/>
        <v/>
      </c>
      <c r="G268" s="639" t="str">
        <f t="shared" si="5"/>
        <v/>
      </c>
      <c r="H268" s="618" t="str">
        <f t="shared" ref="H268:I268" si="536">IF(H$2="","", IF(E268="",IF($K$16="Use global average",E$276,IF($K$16="Use regional average",INDEX(E$280:E$296,MATCH($B268,$B$280:$B$296,0)),IF($K$16="Leave blank","",IF($K$16="Fill with zeros", 0,IF($K$16="Use global median",E$277,"Fill out I16"))))), E268))</f>
        <v/>
      </c>
      <c r="I268" s="618" t="str">
        <f t="shared" si="536"/>
        <v/>
      </c>
      <c r="J268" s="159"/>
      <c r="K268" s="159"/>
      <c r="L268" s="159" t="str">
        <f>IF(M268="","",IF(COUNTIF(Countries!$B$1:$H$271,M268)&gt;0,"",IF(COUNTIF(Countries!$M$1:$S$271,M268)&gt;0,"Not a country","ERROR – NOT LISTED. Add alt spelling to ''Countries'' tab")))</f>
        <v/>
      </c>
      <c r="M268" s="606"/>
      <c r="N268" s="159"/>
      <c r="O268" s="159"/>
      <c r="P268" s="159"/>
      <c r="Q268" s="159"/>
      <c r="R268" s="159"/>
      <c r="S268" s="159"/>
      <c r="T268" s="159"/>
      <c r="U268" s="159"/>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59"/>
      <c r="AT268" s="159"/>
      <c r="AU268" s="159"/>
      <c r="AV268" s="159"/>
      <c r="AW268" s="159"/>
      <c r="AX268" s="159"/>
      <c r="AY268" s="159"/>
      <c r="AZ268" s="159"/>
      <c r="BA268" s="159"/>
      <c r="BB268" s="159"/>
      <c r="BC268" s="159"/>
      <c r="BD268" s="159"/>
      <c r="BE268" s="159"/>
      <c r="BF268" s="159"/>
      <c r="BG268" s="159"/>
      <c r="BH268" s="159"/>
      <c r="BI268" s="159"/>
      <c r="BJ268" s="159"/>
      <c r="BK268" s="159"/>
      <c r="BL268" s="159"/>
      <c r="BM268" s="159"/>
      <c r="BN268" s="159"/>
      <c r="BO268" s="159"/>
      <c r="BP268" s="159"/>
      <c r="BQ268" s="159"/>
      <c r="BR268" s="159"/>
      <c r="BS268" s="159"/>
      <c r="BT268" s="159"/>
      <c r="BU268" s="159"/>
      <c r="BV268" s="159"/>
      <c r="BW268" s="159"/>
      <c r="BX268" s="159"/>
      <c r="BY268" s="159"/>
      <c r="BZ268" s="159"/>
      <c r="CA268" s="159"/>
      <c r="CB268" s="159"/>
      <c r="CC268" s="159"/>
    </row>
    <row r="269">
      <c r="A269" s="159" t="str">
        <f>Countries!B268</f>
        <v/>
      </c>
      <c r="B269" s="603" t="str">
        <f>Countries!I268</f>
        <v/>
      </c>
      <c r="C269" s="614" t="str">
        <f>IFERROR(IFERROR(IFERROR(IFERROR(IFERROR(IFERROR(IFERROR(MATCH(Countries!$B268,$M$3:$M$1003,0),MATCH(Countries!$C268,$M$3:$M$1003,0)),MATCH(Countries!$D268,$M$3:$M$1003,0)),MATCH(Countries!$E268,$M$3:$M$1003,0)),MATCH(Countries!$F268,$M$3:$M$1003,0)),MATCH(Countries!$G268,$M$3:$M$1003,0)),MATCH(Countries!$H268,$M$3:$M$1003,0)),"X")</f>
        <v>X</v>
      </c>
      <c r="D269" s="603" t="str">
        <f t="shared" ref="D269:F269" si="537">IF(G$2="","",IF($C269="X","",INDEX($N$3:$CC$1003,$C269,MATCH(G$2,$N$2:$CC$2,0))))</f>
        <v/>
      </c>
      <c r="E269" s="603" t="str">
        <f t="shared" si="537"/>
        <v/>
      </c>
      <c r="F269" s="603" t="str">
        <f t="shared" si="537"/>
        <v/>
      </c>
      <c r="G269" s="639" t="str">
        <f t="shared" si="5"/>
        <v/>
      </c>
      <c r="H269" s="618" t="str">
        <f t="shared" ref="H269:I269" si="538">IF(H$2="","", IF(E269="",IF($K$16="Use global average",E$276,IF($K$16="Use regional average",INDEX(E$280:E$296,MATCH($B269,$B$280:$B$296,0)),IF($K$16="Leave blank","",IF($K$16="Fill with zeros", 0,IF($K$16="Use global median",E$277,"Fill out I16"))))), E269))</f>
        <v/>
      </c>
      <c r="I269" s="618" t="str">
        <f t="shared" si="538"/>
        <v/>
      </c>
      <c r="J269" s="159"/>
      <c r="K269" s="159"/>
      <c r="L269" s="159" t="str">
        <f>IF(M269="","",IF(COUNTIF(Countries!$B$1:$H$271,M269)&gt;0,"",IF(COUNTIF(Countries!$M$1:$S$271,M269)&gt;0,"Not a country","ERROR – NOT LISTED. Add alt spelling to ''Countries'' tab")))</f>
        <v/>
      </c>
      <c r="M269" s="606"/>
      <c r="N269" s="159"/>
      <c r="O269" s="159"/>
      <c r="P269" s="159"/>
      <c r="Q269" s="159"/>
      <c r="R269" s="159"/>
      <c r="S269" s="159"/>
      <c r="T269" s="159"/>
      <c r="U269" s="159"/>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59"/>
      <c r="AT269" s="159"/>
      <c r="AU269" s="159"/>
      <c r="AV269" s="159"/>
      <c r="AW269" s="159"/>
      <c r="AX269" s="159"/>
      <c r="AY269" s="159"/>
      <c r="AZ269" s="159"/>
      <c r="BA269" s="159"/>
      <c r="BB269" s="159"/>
      <c r="BC269" s="159"/>
      <c r="BD269" s="159"/>
      <c r="BE269" s="159"/>
      <c r="BF269" s="159"/>
      <c r="BG269" s="159"/>
      <c r="BH269" s="159"/>
      <c r="BI269" s="159"/>
      <c r="BJ269" s="159"/>
      <c r="BK269" s="159"/>
      <c r="BL269" s="159"/>
      <c r="BM269" s="159"/>
      <c r="BN269" s="159"/>
      <c r="BO269" s="159"/>
      <c r="BP269" s="159"/>
      <c r="BQ269" s="159"/>
      <c r="BR269" s="159"/>
      <c r="BS269" s="159"/>
      <c r="BT269" s="159"/>
      <c r="BU269" s="159"/>
      <c r="BV269" s="159"/>
      <c r="BW269" s="159"/>
      <c r="BX269" s="159"/>
      <c r="BY269" s="159"/>
      <c r="BZ269" s="159"/>
      <c r="CA269" s="159"/>
      <c r="CB269" s="159"/>
      <c r="CC269" s="159"/>
    </row>
    <row r="270">
      <c r="A270" s="159" t="str">
        <f>Countries!B269</f>
        <v/>
      </c>
      <c r="B270" s="603" t="str">
        <f>Countries!I269</f>
        <v/>
      </c>
      <c r="C270" s="614" t="str">
        <f>IFERROR(IFERROR(IFERROR(IFERROR(IFERROR(IFERROR(IFERROR(MATCH(Countries!$B269,$M$3:$M$1003,0),MATCH(Countries!$C269,$M$3:$M$1003,0)),MATCH(Countries!$D269,$M$3:$M$1003,0)),MATCH(Countries!$E269,$M$3:$M$1003,0)),MATCH(Countries!$F269,$M$3:$M$1003,0)),MATCH(Countries!$G269,$M$3:$M$1003,0)),MATCH(Countries!$H269,$M$3:$M$1003,0)),"X")</f>
        <v>X</v>
      </c>
      <c r="D270" s="603" t="str">
        <f t="shared" ref="D270:F270" si="539">IF(G$2="","",IF($C270="X","",INDEX($N$3:$CC$1003,$C270,MATCH(G$2,$N$2:$CC$2,0))))</f>
        <v/>
      </c>
      <c r="E270" s="603" t="str">
        <f t="shared" si="539"/>
        <v/>
      </c>
      <c r="F270" s="603" t="str">
        <f t="shared" si="539"/>
        <v/>
      </c>
      <c r="G270" s="639" t="str">
        <f t="shared" si="5"/>
        <v/>
      </c>
      <c r="H270" s="618" t="str">
        <f t="shared" ref="H270:I270" si="540">IF(H$2="","", IF(E270="",IF($K$16="Use global average",E$276,IF($K$16="Use regional average",INDEX(E$280:E$296,MATCH($B270,$B$280:$B$296,0)),IF($K$16="Leave blank","",IF($K$16="Fill with zeros", 0,IF($K$16="Use global median",E$277,"Fill out I16"))))), E270))</f>
        <v/>
      </c>
      <c r="I270" s="618" t="str">
        <f t="shared" si="540"/>
        <v/>
      </c>
      <c r="J270" s="159"/>
      <c r="K270" s="159"/>
      <c r="L270" s="159" t="str">
        <f>IF(M270="","",IF(COUNTIF(Countries!$B$1:$H$271,M270)&gt;0,"",IF(COUNTIF(Countries!$M$1:$S$271,M270)&gt;0,"Not a country","ERROR – NOT LISTED. Add alt spelling to ''Countries'' tab")))</f>
        <v/>
      </c>
      <c r="M270" s="606"/>
      <c r="N270" s="159"/>
      <c r="O270" s="159"/>
      <c r="P270" s="159"/>
      <c r="Q270" s="159"/>
      <c r="R270" s="159"/>
      <c r="S270" s="159"/>
      <c r="T270" s="159"/>
      <c r="U270" s="159"/>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59"/>
      <c r="AT270" s="159"/>
      <c r="AU270" s="159"/>
      <c r="AV270" s="159"/>
      <c r="AW270" s="159"/>
      <c r="AX270" s="159"/>
      <c r="AY270" s="159"/>
      <c r="AZ270" s="159"/>
      <c r="BA270" s="159"/>
      <c r="BB270" s="159"/>
      <c r="BC270" s="159"/>
      <c r="BD270" s="159"/>
      <c r="BE270" s="159"/>
      <c r="BF270" s="159"/>
      <c r="BG270" s="159"/>
      <c r="BH270" s="159"/>
      <c r="BI270" s="159"/>
      <c r="BJ270" s="159"/>
      <c r="BK270" s="159"/>
      <c r="BL270" s="159"/>
      <c r="BM270" s="159"/>
      <c r="BN270" s="159"/>
      <c r="BO270" s="159"/>
      <c r="BP270" s="159"/>
      <c r="BQ270" s="159"/>
      <c r="BR270" s="159"/>
      <c r="BS270" s="159"/>
      <c r="BT270" s="159"/>
      <c r="BU270" s="159"/>
      <c r="BV270" s="159"/>
      <c r="BW270" s="159"/>
      <c r="BX270" s="159"/>
      <c r="BY270" s="159"/>
      <c r="BZ270" s="159"/>
      <c r="CA270" s="159"/>
      <c r="CB270" s="159"/>
      <c r="CC270" s="159"/>
    </row>
    <row r="271">
      <c r="A271" s="159" t="str">
        <f>Countries!B270</f>
        <v/>
      </c>
      <c r="B271" s="603" t="str">
        <f>Countries!I270</f>
        <v/>
      </c>
      <c r="C271" s="614" t="str">
        <f>IFERROR(IFERROR(IFERROR(IFERROR(IFERROR(IFERROR(IFERROR(MATCH(Countries!$B270,$M$3:$M$1003,0),MATCH(Countries!$C270,$M$3:$M$1003,0)),MATCH(Countries!$D270,$M$3:$M$1003,0)),MATCH(Countries!$E270,$M$3:$M$1003,0)),MATCH(Countries!$F270,$M$3:$M$1003,0)),MATCH(Countries!$G270,$M$3:$M$1003,0)),MATCH(Countries!$H270,$M$3:$M$1003,0)),"X")</f>
        <v>X</v>
      </c>
      <c r="D271" s="603" t="str">
        <f t="shared" ref="D271:F271" si="541">IF(G$2="","",IF($C271="X","",INDEX($N$3:$CC$1003,$C271,MATCH(G$2,$N$2:$CC$2,0))))</f>
        <v/>
      </c>
      <c r="E271" s="603" t="str">
        <f t="shared" si="541"/>
        <v/>
      </c>
      <c r="F271" s="603" t="str">
        <f t="shared" si="541"/>
        <v/>
      </c>
      <c r="G271" s="639" t="str">
        <f t="shared" si="5"/>
        <v/>
      </c>
      <c r="H271" s="618" t="str">
        <f t="shared" ref="H271:I271" si="542">IF(H$2="","", IF(E271="",IF($K$16="Use global average",E$276,IF($K$16="Use regional average",INDEX(E$280:E$296,MATCH($B271,$B$280:$B$296,0)),IF($K$16="Leave blank","",IF($K$16="Fill with zeros", 0,IF($K$16="Use global median",E$277,"Fill out I16"))))), E271))</f>
        <v/>
      </c>
      <c r="I271" s="618" t="str">
        <f t="shared" si="542"/>
        <v/>
      </c>
      <c r="J271" s="159"/>
      <c r="K271" s="159"/>
      <c r="L271" s="159" t="str">
        <f>IF(M271="","",IF(COUNTIF(Countries!$B$1:$H$271,M271)&gt;0,"",IF(COUNTIF(Countries!$M$1:$S$271,M271)&gt;0,"Not a country","ERROR – NOT LISTED. Add alt spelling to ''Countries'' tab")))</f>
        <v/>
      </c>
      <c r="M271" s="606"/>
      <c r="N271" s="159"/>
      <c r="O271" s="159"/>
      <c r="P271" s="159"/>
      <c r="Q271" s="159"/>
      <c r="R271" s="159"/>
      <c r="S271" s="159"/>
      <c r="T271" s="159"/>
      <c r="U271" s="159"/>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59"/>
      <c r="AT271" s="159"/>
      <c r="AU271" s="159"/>
      <c r="AV271" s="159"/>
      <c r="AW271" s="159"/>
      <c r="AX271" s="159"/>
      <c r="AY271" s="159"/>
      <c r="AZ271" s="159"/>
      <c r="BA271" s="159"/>
      <c r="BB271" s="159"/>
      <c r="BC271" s="159"/>
      <c r="BD271" s="159"/>
      <c r="BE271" s="159"/>
      <c r="BF271" s="159"/>
      <c r="BG271" s="159"/>
      <c r="BH271" s="159"/>
      <c r="BI271" s="159"/>
      <c r="BJ271" s="159"/>
      <c r="BK271" s="159"/>
      <c r="BL271" s="159"/>
      <c r="BM271" s="159"/>
      <c r="BN271" s="159"/>
      <c r="BO271" s="159"/>
      <c r="BP271" s="159"/>
      <c r="BQ271" s="159"/>
      <c r="BR271" s="159"/>
      <c r="BS271" s="159"/>
      <c r="BT271" s="159"/>
      <c r="BU271" s="159"/>
      <c r="BV271" s="159"/>
      <c r="BW271" s="159"/>
      <c r="BX271" s="159"/>
      <c r="BY271" s="159"/>
      <c r="BZ271" s="159"/>
      <c r="CA271" s="159"/>
      <c r="CB271" s="159"/>
      <c r="CC271" s="159"/>
    </row>
    <row r="272">
      <c r="A272" s="159" t="str">
        <f>Countries!B271</f>
        <v/>
      </c>
      <c r="B272" s="603" t="str">
        <f>Countries!I271</f>
        <v/>
      </c>
      <c r="C272" s="614" t="str">
        <f>IFERROR(IFERROR(IFERROR(IFERROR(IFERROR(IFERROR(IFERROR(MATCH(Countries!$B271,$M$3:$M$1003,0),MATCH(Countries!$C271,$M$3:$M$1003,0)),MATCH(Countries!$D271,$M$3:$M$1003,0)),MATCH(Countries!$E271,$M$3:$M$1003,0)),MATCH(Countries!$F271,$M$3:$M$1003,0)),MATCH(Countries!$G271,$M$3:$M$1003,0)),MATCH(Countries!$H271,$M$3:$M$1003,0)),"X")</f>
        <v>X</v>
      </c>
      <c r="D272" s="603" t="str">
        <f t="shared" ref="D272:F272" si="543">IF(G$2="","",IF($C272="X","",INDEX($N$3:$CC$1003,$C272,MATCH(G$2,$N$2:$CC$2,0))))</f>
        <v/>
      </c>
      <c r="E272" s="603" t="str">
        <f t="shared" si="543"/>
        <v/>
      </c>
      <c r="F272" s="603" t="str">
        <f t="shared" si="543"/>
        <v/>
      </c>
      <c r="G272" s="639" t="str">
        <f t="shared" si="5"/>
        <v/>
      </c>
      <c r="H272" s="618" t="str">
        <f t="shared" ref="H272:I272" si="544">IF(H$2="","", IF(E272="",IF($K$16="Use global average",E$276,IF($K$16="Use regional average",INDEX(E$280:E$296,MATCH($B272,$B$280:$B$296,0)),IF($K$16="Leave blank","",IF($K$16="Fill with zeros", 0,IF($K$16="Use global median",E$277,"Fill out I16"))))), E272))</f>
        <v/>
      </c>
      <c r="I272" s="618" t="str">
        <f t="shared" si="544"/>
        <v/>
      </c>
      <c r="J272" s="159"/>
      <c r="K272" s="159"/>
      <c r="L272" s="159" t="str">
        <f>IF(M272="","",IF(COUNTIF(Countries!$B$1:$H$271,M272)&gt;0,"",IF(COUNTIF(Countries!$M$1:$S$271,M272)&gt;0,"Not a country","ERROR – NOT LISTED. Add alt spelling to ''Countries'' tab")))</f>
        <v/>
      </c>
      <c r="M272" s="606"/>
      <c r="N272" s="159"/>
      <c r="O272" s="159"/>
      <c r="P272" s="159"/>
      <c r="Q272" s="159"/>
      <c r="R272" s="159"/>
      <c r="S272" s="159"/>
      <c r="T272" s="159"/>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c r="AX272" s="159"/>
      <c r="AY272" s="159"/>
      <c r="AZ272" s="159"/>
      <c r="BA272" s="159"/>
      <c r="BB272" s="159"/>
      <c r="BC272" s="159"/>
      <c r="BD272" s="159"/>
      <c r="BE272" s="159"/>
      <c r="BF272" s="159"/>
      <c r="BG272" s="159"/>
      <c r="BH272" s="159"/>
      <c r="BI272" s="159"/>
      <c r="BJ272" s="159"/>
      <c r="BK272" s="159"/>
      <c r="BL272" s="159"/>
      <c r="BM272" s="159"/>
      <c r="BN272" s="159"/>
      <c r="BO272" s="159"/>
      <c r="BP272" s="159"/>
      <c r="BQ272" s="159"/>
      <c r="BR272" s="159"/>
      <c r="BS272" s="159"/>
      <c r="BT272" s="159"/>
      <c r="BU272" s="159"/>
      <c r="BV272" s="159"/>
      <c r="BW272" s="159"/>
      <c r="BX272" s="159"/>
      <c r="BY272" s="159"/>
      <c r="BZ272" s="159"/>
      <c r="CA272" s="159"/>
      <c r="CB272" s="159"/>
      <c r="CC272" s="159"/>
    </row>
    <row r="273">
      <c r="A273" s="159"/>
      <c r="B273" s="159"/>
      <c r="C273" s="159"/>
      <c r="D273" s="159"/>
      <c r="E273" s="159"/>
      <c r="F273" s="159"/>
      <c r="G273" s="159"/>
      <c r="H273" s="159"/>
      <c r="I273" s="159"/>
      <c r="J273" s="159"/>
      <c r="K273" s="159"/>
      <c r="L273" s="159"/>
      <c r="M273" s="606"/>
      <c r="N273" s="159"/>
      <c r="O273" s="159"/>
      <c r="P273" s="159"/>
      <c r="Q273" s="159"/>
      <c r="R273" s="159"/>
      <c r="S273" s="159"/>
      <c r="T273" s="159"/>
      <c r="U273" s="159"/>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59"/>
      <c r="AT273" s="159"/>
      <c r="AU273" s="159"/>
      <c r="AV273" s="159"/>
      <c r="AW273" s="159"/>
      <c r="AX273" s="159"/>
      <c r="AY273" s="159"/>
      <c r="AZ273" s="159"/>
      <c r="BA273" s="159"/>
      <c r="BB273" s="159"/>
      <c r="BC273" s="159"/>
      <c r="BD273" s="159"/>
      <c r="BE273" s="159"/>
      <c r="BF273" s="159"/>
      <c r="BG273" s="159"/>
      <c r="BH273" s="159"/>
      <c r="BI273" s="159"/>
      <c r="BJ273" s="159"/>
      <c r="BK273" s="159"/>
      <c r="BL273" s="159"/>
      <c r="BM273" s="159"/>
      <c r="BN273" s="159"/>
      <c r="BO273" s="159"/>
      <c r="BP273" s="159"/>
      <c r="BQ273" s="159"/>
      <c r="BR273" s="159"/>
      <c r="BS273" s="159"/>
      <c r="BT273" s="159"/>
      <c r="BU273" s="159"/>
      <c r="BV273" s="159"/>
      <c r="BW273" s="159"/>
      <c r="BX273" s="159"/>
      <c r="BY273" s="159"/>
      <c r="BZ273" s="159"/>
      <c r="CA273" s="159"/>
      <c r="CB273" s="159"/>
      <c r="CC273" s="159"/>
    </row>
    <row r="274">
      <c r="A274" s="159"/>
      <c r="B274" s="159"/>
      <c r="C274" s="159"/>
      <c r="D274" s="159"/>
      <c r="E274" s="159"/>
      <c r="F274" s="159"/>
      <c r="G274" s="159"/>
      <c r="H274" s="159"/>
      <c r="I274" s="159"/>
      <c r="J274" s="159"/>
      <c r="K274" s="159"/>
      <c r="L274" s="159"/>
      <c r="M274" s="606"/>
      <c r="N274" s="159"/>
      <c r="O274" s="159"/>
      <c r="P274" s="159"/>
      <c r="Q274" s="159"/>
      <c r="R274" s="159"/>
      <c r="S274" s="159"/>
      <c r="T274" s="159"/>
      <c r="U274" s="159"/>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59"/>
      <c r="AT274" s="159"/>
      <c r="AU274" s="159"/>
      <c r="AV274" s="159"/>
      <c r="AW274" s="159"/>
      <c r="AX274" s="159"/>
      <c r="AY274" s="159"/>
      <c r="AZ274" s="159"/>
      <c r="BA274" s="159"/>
      <c r="BB274" s="159"/>
      <c r="BC274" s="159"/>
      <c r="BD274" s="159"/>
      <c r="BE274" s="159"/>
      <c r="BF274" s="159"/>
      <c r="BG274" s="159"/>
      <c r="BH274" s="159"/>
      <c r="BI274" s="159"/>
      <c r="BJ274" s="159"/>
      <c r="BK274" s="159"/>
      <c r="BL274" s="159"/>
      <c r="BM274" s="159"/>
      <c r="BN274" s="159"/>
      <c r="BO274" s="159"/>
      <c r="BP274" s="159"/>
      <c r="BQ274" s="159"/>
      <c r="BR274" s="159"/>
      <c r="BS274" s="159"/>
      <c r="BT274" s="159"/>
      <c r="BU274" s="159"/>
      <c r="BV274" s="159"/>
      <c r="BW274" s="159"/>
      <c r="BX274" s="159"/>
      <c r="BY274" s="159"/>
      <c r="BZ274" s="159"/>
      <c r="CA274" s="159"/>
      <c r="CB274" s="159"/>
      <c r="CC274" s="159"/>
    </row>
    <row r="275">
      <c r="A275" s="159"/>
      <c r="B275" s="159"/>
      <c r="C275" s="159"/>
      <c r="D275" s="159"/>
      <c r="E275" s="159"/>
      <c r="F275" s="159"/>
      <c r="G275" s="159"/>
      <c r="H275" s="159"/>
      <c r="I275" s="159"/>
      <c r="J275" s="159"/>
      <c r="K275" s="159"/>
      <c r="L275" s="159"/>
      <c r="M275" s="606"/>
      <c r="N275" s="159"/>
      <c r="O275" s="159"/>
      <c r="P275" s="159"/>
      <c r="Q275" s="159"/>
      <c r="R275" s="159"/>
      <c r="S275" s="159"/>
      <c r="T275" s="159"/>
      <c r="U275" s="159"/>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59"/>
      <c r="AT275" s="159"/>
      <c r="AU275" s="159"/>
      <c r="AV275" s="159"/>
      <c r="AW275" s="159"/>
      <c r="AX275" s="159"/>
      <c r="AY275" s="159"/>
      <c r="AZ275" s="159"/>
      <c r="BA275" s="159"/>
      <c r="BB275" s="159"/>
      <c r="BC275" s="159"/>
      <c r="BD275" s="159"/>
      <c r="BE275" s="159"/>
      <c r="BF275" s="159"/>
      <c r="BG275" s="159"/>
      <c r="BH275" s="159"/>
      <c r="BI275" s="159"/>
      <c r="BJ275" s="159"/>
      <c r="BK275" s="159"/>
      <c r="BL275" s="159"/>
      <c r="BM275" s="159"/>
      <c r="BN275" s="159"/>
      <c r="BO275" s="159"/>
      <c r="BP275" s="159"/>
      <c r="BQ275" s="159"/>
      <c r="BR275" s="159"/>
      <c r="BS275" s="159"/>
      <c r="BT275" s="159"/>
      <c r="BU275" s="159"/>
      <c r="BV275" s="159"/>
      <c r="BW275" s="159"/>
      <c r="BX275" s="159"/>
      <c r="BY275" s="159"/>
      <c r="BZ275" s="159"/>
      <c r="CA275" s="159"/>
      <c r="CB275" s="159"/>
      <c r="CC275" s="159"/>
    </row>
    <row r="276">
      <c r="A276" s="159"/>
      <c r="B276" s="640" t="s">
        <v>894</v>
      </c>
      <c r="C276" s="159"/>
      <c r="D276" s="616">
        <f t="shared" ref="D276:F276" si="545">IF(D$2="","",AVERAGE(D$3:D$199))</f>
        <v>16095.21756</v>
      </c>
      <c r="E276" s="603" t="str">
        <f t="shared" si="545"/>
        <v/>
      </c>
      <c r="F276" s="603" t="str">
        <f t="shared" si="545"/>
        <v/>
      </c>
      <c r="G276" s="159"/>
      <c r="H276" s="159"/>
      <c r="I276" s="159"/>
      <c r="J276" s="159"/>
      <c r="K276" s="159"/>
      <c r="L276" s="159"/>
      <c r="M276" s="606"/>
      <c r="N276" s="159"/>
      <c r="O276" s="159"/>
      <c r="P276" s="159"/>
      <c r="Q276" s="159"/>
      <c r="R276" s="159"/>
      <c r="S276" s="159"/>
      <c r="T276" s="159"/>
      <c r="U276" s="159"/>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59"/>
      <c r="AT276" s="159"/>
      <c r="AU276" s="159"/>
      <c r="AV276" s="159"/>
      <c r="AW276" s="159"/>
      <c r="AX276" s="159"/>
      <c r="AY276" s="159"/>
      <c r="AZ276" s="159"/>
      <c r="BA276" s="159"/>
      <c r="BB276" s="159"/>
      <c r="BC276" s="159"/>
      <c r="BD276" s="159"/>
      <c r="BE276" s="159"/>
      <c r="BF276" s="159"/>
      <c r="BG276" s="159"/>
      <c r="BH276" s="159"/>
      <c r="BI276" s="159"/>
      <c r="BJ276" s="159"/>
      <c r="BK276" s="159"/>
      <c r="BL276" s="159"/>
      <c r="BM276" s="159"/>
      <c r="BN276" s="159"/>
      <c r="BO276" s="159"/>
      <c r="BP276" s="159"/>
      <c r="BQ276" s="159"/>
      <c r="BR276" s="159"/>
      <c r="BS276" s="159"/>
      <c r="BT276" s="159"/>
      <c r="BU276" s="159"/>
      <c r="BV276" s="159"/>
      <c r="BW276" s="159"/>
      <c r="BX276" s="159"/>
      <c r="BY276" s="159"/>
      <c r="BZ276" s="159"/>
      <c r="CA276" s="159"/>
      <c r="CB276" s="159"/>
      <c r="CC276" s="159"/>
    </row>
    <row r="277">
      <c r="A277" s="159"/>
      <c r="B277" s="641" t="s">
        <v>895</v>
      </c>
      <c r="C277" s="159"/>
      <c r="D277" s="616">
        <f t="shared" ref="D277:F277" si="546">IF(D$2="","",MEDIAN(D$3:D$199))</f>
        <v>8573.151659</v>
      </c>
      <c r="E277" s="603" t="str">
        <f t="shared" si="546"/>
        <v/>
      </c>
      <c r="F277" s="603" t="str">
        <f t="shared" si="546"/>
        <v/>
      </c>
      <c r="G277" s="159"/>
      <c r="H277" s="159"/>
      <c r="I277" s="159"/>
      <c r="J277" s="159"/>
      <c r="K277" s="159"/>
      <c r="L277" s="159"/>
      <c r="M277" s="606"/>
      <c r="N277" s="159"/>
      <c r="O277" s="159"/>
      <c r="P277" s="159"/>
      <c r="Q277" s="159"/>
      <c r="R277" s="159"/>
      <c r="S277" s="159"/>
      <c r="T277" s="159"/>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c r="AX277" s="159"/>
      <c r="AY277" s="159"/>
      <c r="AZ277" s="159"/>
      <c r="BA277" s="159"/>
      <c r="BB277" s="159"/>
      <c r="BC277" s="159"/>
      <c r="BD277" s="159"/>
      <c r="BE277" s="159"/>
      <c r="BF277" s="159"/>
      <c r="BG277" s="159"/>
      <c r="BH277" s="159"/>
      <c r="BI277" s="159"/>
      <c r="BJ277" s="159"/>
      <c r="BK277" s="159"/>
      <c r="BL277" s="159"/>
      <c r="BM277" s="159"/>
      <c r="BN277" s="159"/>
      <c r="BO277" s="159"/>
      <c r="BP277" s="159"/>
      <c r="BQ277" s="159"/>
      <c r="BR277" s="159"/>
      <c r="BS277" s="159"/>
      <c r="BT277" s="159"/>
      <c r="BU277" s="159"/>
      <c r="BV277" s="159"/>
      <c r="BW277" s="159"/>
      <c r="BX277" s="159"/>
      <c r="BY277" s="159"/>
      <c r="BZ277" s="159"/>
      <c r="CA277" s="159"/>
      <c r="CB277" s="159"/>
      <c r="CC277" s="159"/>
    </row>
    <row r="278">
      <c r="A278" s="159"/>
      <c r="B278" s="159"/>
      <c r="C278" s="159"/>
      <c r="D278" s="159"/>
      <c r="E278" s="159"/>
      <c r="F278" s="159"/>
      <c r="G278" s="159"/>
      <c r="H278" s="159"/>
      <c r="I278" s="159"/>
      <c r="J278" s="159"/>
      <c r="K278" s="159"/>
      <c r="L278" s="159"/>
      <c r="M278" s="606"/>
      <c r="N278" s="159"/>
      <c r="O278" s="159"/>
      <c r="P278" s="159"/>
      <c r="Q278" s="159"/>
      <c r="R278" s="159"/>
      <c r="S278" s="159"/>
      <c r="T278" s="159"/>
      <c r="U278" s="159"/>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59"/>
      <c r="AT278" s="159"/>
      <c r="AU278" s="159"/>
      <c r="AV278" s="159"/>
      <c r="AW278" s="159"/>
      <c r="AX278" s="159"/>
      <c r="AY278" s="159"/>
      <c r="AZ278" s="159"/>
      <c r="BA278" s="159"/>
      <c r="BB278" s="159"/>
      <c r="BC278" s="159"/>
      <c r="BD278" s="159"/>
      <c r="BE278" s="159"/>
      <c r="BF278" s="159"/>
      <c r="BG278" s="159"/>
      <c r="BH278" s="159"/>
      <c r="BI278" s="159"/>
      <c r="BJ278" s="159"/>
      <c r="BK278" s="159"/>
      <c r="BL278" s="159"/>
      <c r="BM278" s="159"/>
      <c r="BN278" s="159"/>
      <c r="BO278" s="159"/>
      <c r="BP278" s="159"/>
      <c r="BQ278" s="159"/>
      <c r="BR278" s="159"/>
      <c r="BS278" s="159"/>
      <c r="BT278" s="159"/>
      <c r="BU278" s="159"/>
      <c r="BV278" s="159"/>
      <c r="BW278" s="159"/>
      <c r="BX278" s="159"/>
      <c r="BY278" s="159"/>
      <c r="BZ278" s="159"/>
      <c r="CA278" s="159"/>
      <c r="CB278" s="159"/>
      <c r="CC278" s="159"/>
    </row>
    <row r="279">
      <c r="A279" s="159"/>
      <c r="B279" s="640" t="s">
        <v>896</v>
      </c>
      <c r="C279" s="159"/>
      <c r="D279" s="159"/>
      <c r="E279" s="159"/>
      <c r="F279" s="159"/>
      <c r="G279" s="159"/>
      <c r="H279" s="159"/>
      <c r="I279" s="159"/>
      <c r="J279" s="159"/>
      <c r="K279" s="159"/>
      <c r="L279" s="159"/>
      <c r="M279" s="606"/>
      <c r="N279" s="159"/>
      <c r="O279" s="159"/>
      <c r="P279" s="159"/>
      <c r="Q279" s="159"/>
      <c r="R279" s="159"/>
      <c r="S279" s="159"/>
      <c r="T279" s="159"/>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c r="BS279" s="159"/>
      <c r="BT279" s="159"/>
      <c r="BU279" s="159"/>
      <c r="BV279" s="159"/>
      <c r="BW279" s="159"/>
      <c r="BX279" s="159"/>
      <c r="BY279" s="159"/>
      <c r="BZ279" s="159"/>
      <c r="CA279" s="159"/>
      <c r="CB279" s="159"/>
      <c r="CC279" s="159"/>
    </row>
    <row r="280">
      <c r="A280" s="159"/>
      <c r="B280" s="641" t="s">
        <v>706</v>
      </c>
      <c r="C280" s="159"/>
      <c r="D280" s="642">
        <f t="shared" ref="D280:F280" si="547">IF(D$2="","",IFERROR(AVERAGEIF($B$3:$B$275, $B280, D$3:D$275),D$276))</f>
        <v>46966.2632</v>
      </c>
      <c r="E280" s="603" t="str">
        <f t="shared" si="547"/>
        <v/>
      </c>
      <c r="F280" s="603" t="str">
        <f t="shared" si="547"/>
        <v/>
      </c>
      <c r="G280" s="159"/>
      <c r="H280" s="159"/>
      <c r="I280" s="159"/>
      <c r="J280" s="18"/>
      <c r="K280" s="159"/>
      <c r="L280" s="159"/>
      <c r="M280" s="606"/>
      <c r="N280" s="159"/>
      <c r="O280" s="159"/>
      <c r="P280" s="159"/>
      <c r="Q280" s="159"/>
      <c r="R280" s="159"/>
      <c r="S280" s="159"/>
      <c r="T280" s="159"/>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59"/>
      <c r="BA280" s="159"/>
      <c r="BB280" s="159"/>
      <c r="BC280" s="159"/>
      <c r="BD280" s="159"/>
      <c r="BE280" s="159"/>
      <c r="BF280" s="159"/>
      <c r="BG280" s="159"/>
      <c r="BH280" s="159"/>
      <c r="BI280" s="159"/>
      <c r="BJ280" s="159"/>
      <c r="BK280" s="159"/>
      <c r="BL280" s="159"/>
      <c r="BM280" s="159"/>
      <c r="BN280" s="159"/>
      <c r="BO280" s="159"/>
      <c r="BP280" s="159"/>
      <c r="BQ280" s="159"/>
      <c r="BR280" s="159"/>
      <c r="BS280" s="159"/>
      <c r="BT280" s="159"/>
      <c r="BU280" s="159"/>
      <c r="BV280" s="159"/>
      <c r="BW280" s="159"/>
      <c r="BX280" s="159"/>
      <c r="BY280" s="159"/>
      <c r="BZ280" s="159"/>
      <c r="CA280" s="159"/>
      <c r="CB280" s="159"/>
      <c r="CC280" s="159"/>
    </row>
    <row r="281">
      <c r="A281" s="159"/>
      <c r="B281" s="641" t="s">
        <v>897</v>
      </c>
      <c r="C281" s="159"/>
      <c r="D281" s="642">
        <f t="shared" ref="D281:F281" si="548">IF(D$2="","",IFERROR(AVERAGEIF($B$3:$B$275, $B281, D$3:D$275),D$276))</f>
        <v>12713.17965</v>
      </c>
      <c r="E281" s="603" t="str">
        <f t="shared" si="548"/>
        <v/>
      </c>
      <c r="F281" s="603" t="str">
        <f t="shared" si="548"/>
        <v/>
      </c>
      <c r="G281" s="159"/>
      <c r="H281" s="159"/>
      <c r="I281" s="159"/>
      <c r="J281" s="18"/>
      <c r="K281" s="159"/>
      <c r="L281" s="159"/>
      <c r="M281" s="606"/>
      <c r="N281" s="159"/>
      <c r="O281" s="159"/>
      <c r="P281" s="159"/>
      <c r="Q281" s="159"/>
      <c r="R281" s="159"/>
      <c r="S281" s="159"/>
      <c r="T281" s="159"/>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59"/>
      <c r="BA281" s="159"/>
      <c r="BB281" s="159"/>
      <c r="BC281" s="159"/>
      <c r="BD281" s="159"/>
      <c r="BE281" s="159"/>
      <c r="BF281" s="159"/>
      <c r="BG281" s="159"/>
      <c r="BH281" s="159"/>
      <c r="BI281" s="159"/>
      <c r="BJ281" s="159"/>
      <c r="BK281" s="159"/>
      <c r="BL281" s="159"/>
      <c r="BM281" s="159"/>
      <c r="BN281" s="159"/>
      <c r="BO281" s="159"/>
      <c r="BP281" s="159"/>
      <c r="BQ281" s="159"/>
      <c r="BR281" s="159"/>
      <c r="BS281" s="159"/>
      <c r="BT281" s="159"/>
      <c r="BU281" s="159"/>
      <c r="BV281" s="159"/>
      <c r="BW281" s="159"/>
      <c r="BX281" s="159"/>
      <c r="BY281" s="159"/>
      <c r="BZ281" s="159"/>
      <c r="CA281" s="159"/>
      <c r="CB281" s="159"/>
      <c r="CC281" s="159"/>
    </row>
    <row r="282">
      <c r="A282" s="159"/>
      <c r="B282" s="641" t="s">
        <v>898</v>
      </c>
      <c r="C282" s="159"/>
      <c r="D282" s="642">
        <f t="shared" ref="D282:F282" si="549">IF(D$2="","",IFERROR(AVERAGEIF($B$3:$B$275, $B282, D$3:D$275),D$276))</f>
        <v>5937.158434</v>
      </c>
      <c r="E282" s="603" t="str">
        <f t="shared" si="549"/>
        <v/>
      </c>
      <c r="F282" s="603" t="str">
        <f t="shared" si="549"/>
        <v/>
      </c>
      <c r="G282" s="159"/>
      <c r="H282" s="159"/>
      <c r="I282" s="159"/>
      <c r="J282" s="18"/>
      <c r="K282" s="159"/>
      <c r="L282" s="159"/>
      <c r="M282" s="606"/>
      <c r="N282" s="159"/>
      <c r="O282" s="159"/>
      <c r="P282" s="159"/>
      <c r="Q282" s="159"/>
      <c r="R282" s="159"/>
      <c r="S282" s="159"/>
      <c r="T282" s="159"/>
      <c r="U282" s="159"/>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59"/>
      <c r="AT282" s="159"/>
      <c r="AU282" s="159"/>
      <c r="AV282" s="159"/>
      <c r="AW282" s="159"/>
      <c r="AX282" s="159"/>
      <c r="AY282" s="159"/>
      <c r="AZ282" s="159"/>
      <c r="BA282" s="159"/>
      <c r="BB282" s="159"/>
      <c r="BC282" s="159"/>
      <c r="BD282" s="159"/>
      <c r="BE282" s="159"/>
      <c r="BF282" s="159"/>
      <c r="BG282" s="159"/>
      <c r="BH282" s="159"/>
      <c r="BI282" s="159"/>
      <c r="BJ282" s="159"/>
      <c r="BK282" s="159"/>
      <c r="BL282" s="159"/>
      <c r="BM282" s="159"/>
      <c r="BN282" s="159"/>
      <c r="BO282" s="159"/>
      <c r="BP282" s="159"/>
      <c r="BQ282" s="159"/>
      <c r="BR282" s="159"/>
      <c r="BS282" s="159"/>
      <c r="BT282" s="159"/>
      <c r="BU282" s="159"/>
      <c r="BV282" s="159"/>
      <c r="BW282" s="159"/>
      <c r="BX282" s="159"/>
      <c r="BY282" s="159"/>
      <c r="BZ282" s="159"/>
      <c r="CA282" s="159"/>
      <c r="CB282" s="159"/>
      <c r="CC282" s="159"/>
    </row>
    <row r="283">
      <c r="A283" s="159"/>
      <c r="B283" s="641" t="s">
        <v>899</v>
      </c>
      <c r="C283" s="159"/>
      <c r="D283" s="642">
        <f t="shared" ref="D283:F283" si="550">IF(D$2="","",IFERROR(AVERAGEIF($B$3:$B$275, $B283, D$3:D$275),D$276))</f>
        <v>23032.43722</v>
      </c>
      <c r="E283" s="603" t="str">
        <f t="shared" si="550"/>
        <v/>
      </c>
      <c r="F283" s="603" t="str">
        <f t="shared" si="550"/>
        <v/>
      </c>
      <c r="G283" s="159"/>
      <c r="H283" s="159"/>
      <c r="I283" s="159"/>
      <c r="J283" s="18"/>
      <c r="K283" s="159"/>
      <c r="L283" s="159"/>
      <c r="M283" s="606"/>
      <c r="N283" s="159"/>
      <c r="O283" s="159"/>
      <c r="P283" s="159"/>
      <c r="Q283" s="159"/>
      <c r="R283" s="159"/>
      <c r="S283" s="159"/>
      <c r="T283" s="159"/>
      <c r="U283" s="159"/>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59"/>
      <c r="AT283" s="159"/>
      <c r="AU283" s="159"/>
      <c r="AV283" s="159"/>
      <c r="AW283" s="159"/>
      <c r="AX283" s="159"/>
      <c r="AY283" s="159"/>
      <c r="AZ283" s="159"/>
      <c r="BA283" s="159"/>
      <c r="BB283" s="159"/>
      <c r="BC283" s="159"/>
      <c r="BD283" s="159"/>
      <c r="BE283" s="159"/>
      <c r="BF283" s="159"/>
      <c r="BG283" s="159"/>
      <c r="BH283" s="159"/>
      <c r="BI283" s="159"/>
      <c r="BJ283" s="159"/>
      <c r="BK283" s="159"/>
      <c r="BL283" s="159"/>
      <c r="BM283" s="159"/>
      <c r="BN283" s="159"/>
      <c r="BO283" s="159"/>
      <c r="BP283" s="159"/>
      <c r="BQ283" s="159"/>
      <c r="BR283" s="159"/>
      <c r="BS283" s="159"/>
      <c r="BT283" s="159"/>
      <c r="BU283" s="159"/>
      <c r="BV283" s="159"/>
      <c r="BW283" s="159"/>
      <c r="BX283" s="159"/>
      <c r="BY283" s="159"/>
      <c r="BZ283" s="159"/>
      <c r="CA283" s="159"/>
      <c r="CB283" s="159"/>
      <c r="CC283" s="159"/>
    </row>
    <row r="284">
      <c r="A284" s="159"/>
      <c r="B284" s="641" t="s">
        <v>900</v>
      </c>
      <c r="C284" s="159"/>
      <c r="D284" s="642">
        <f t="shared" ref="D284:F284" si="551">IF(D$2="","",IFERROR(AVERAGEIF($B$3:$B$275, $B284, D$3:D$275),D$276))</f>
        <v>33026.35635</v>
      </c>
      <c r="E284" s="603" t="str">
        <f t="shared" si="551"/>
        <v/>
      </c>
      <c r="F284" s="603" t="str">
        <f t="shared" si="551"/>
        <v/>
      </c>
      <c r="G284" s="159"/>
      <c r="H284" s="159"/>
      <c r="I284" s="159"/>
      <c r="J284" s="18"/>
      <c r="K284" s="159"/>
      <c r="L284" s="159"/>
      <c r="M284" s="606"/>
      <c r="N284" s="159"/>
      <c r="O284" s="159"/>
      <c r="P284" s="159"/>
      <c r="Q284" s="159"/>
      <c r="R284" s="159"/>
      <c r="S284" s="159"/>
      <c r="T284" s="159"/>
      <c r="U284" s="159"/>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59"/>
      <c r="AT284" s="159"/>
      <c r="AU284" s="159"/>
      <c r="AV284" s="159"/>
      <c r="AW284" s="159"/>
      <c r="AX284" s="159"/>
      <c r="AY284" s="159"/>
      <c r="AZ284" s="159"/>
      <c r="BA284" s="159"/>
      <c r="BB284" s="159"/>
      <c r="BC284" s="159"/>
      <c r="BD284" s="159"/>
      <c r="BE284" s="159"/>
      <c r="BF284" s="159"/>
      <c r="BG284" s="159"/>
      <c r="BH284" s="159"/>
      <c r="BI284" s="159"/>
      <c r="BJ284" s="159"/>
      <c r="BK284" s="159"/>
      <c r="BL284" s="159"/>
      <c r="BM284" s="159"/>
      <c r="BN284" s="159"/>
      <c r="BO284" s="159"/>
      <c r="BP284" s="159"/>
      <c r="BQ284" s="159"/>
      <c r="BR284" s="159"/>
      <c r="BS284" s="159"/>
      <c r="BT284" s="159"/>
      <c r="BU284" s="159"/>
      <c r="BV284" s="159"/>
      <c r="BW284" s="159"/>
      <c r="BX284" s="159"/>
      <c r="BY284" s="159"/>
      <c r="BZ284" s="159"/>
      <c r="CA284" s="159"/>
      <c r="CB284" s="159"/>
      <c r="CC284" s="159"/>
    </row>
    <row r="285">
      <c r="A285" s="159"/>
      <c r="B285" s="641" t="s">
        <v>901</v>
      </c>
      <c r="C285" s="159"/>
      <c r="D285" s="642">
        <f t="shared" ref="D285:F285" si="552">IF(D$2="","",IFERROR(AVERAGEIF($B$3:$B$275, $B285, D$3:D$275),D$276))</f>
        <v>11787.24828</v>
      </c>
      <c r="E285" s="603" t="str">
        <f t="shared" si="552"/>
        <v/>
      </c>
      <c r="F285" s="603" t="str">
        <f t="shared" si="552"/>
        <v/>
      </c>
      <c r="G285" s="159"/>
      <c r="H285" s="159"/>
      <c r="I285" s="159"/>
      <c r="J285" s="18"/>
      <c r="K285" s="159"/>
      <c r="L285" s="159"/>
      <c r="M285" s="606"/>
      <c r="N285" s="159"/>
      <c r="O285" s="159"/>
      <c r="P285" s="159"/>
      <c r="Q285" s="159"/>
      <c r="R285" s="159"/>
      <c r="S285" s="159"/>
      <c r="T285" s="159"/>
      <c r="U285" s="159"/>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59"/>
      <c r="AT285" s="159"/>
      <c r="AU285" s="159"/>
      <c r="AV285" s="159"/>
      <c r="AW285" s="159"/>
      <c r="AX285" s="159"/>
      <c r="AY285" s="159"/>
      <c r="AZ285" s="159"/>
      <c r="BA285" s="159"/>
      <c r="BB285" s="159"/>
      <c r="BC285" s="159"/>
      <c r="BD285" s="159"/>
      <c r="BE285" s="159"/>
      <c r="BF285" s="159"/>
      <c r="BG285" s="159"/>
      <c r="BH285" s="159"/>
      <c r="BI285" s="159"/>
      <c r="BJ285" s="159"/>
      <c r="BK285" s="159"/>
      <c r="BL285" s="159"/>
      <c r="BM285" s="159"/>
      <c r="BN285" s="159"/>
      <c r="BO285" s="159"/>
      <c r="BP285" s="159"/>
      <c r="BQ285" s="159"/>
      <c r="BR285" s="159"/>
      <c r="BS285" s="159"/>
      <c r="BT285" s="159"/>
      <c r="BU285" s="159"/>
      <c r="BV285" s="159"/>
      <c r="BW285" s="159"/>
      <c r="BX285" s="159"/>
      <c r="BY285" s="159"/>
      <c r="BZ285" s="159"/>
      <c r="CA285" s="159"/>
      <c r="CB285" s="159"/>
      <c r="CC285" s="159"/>
    </row>
    <row r="286">
      <c r="A286" s="159"/>
      <c r="B286" s="641" t="s">
        <v>902</v>
      </c>
      <c r="C286" s="159"/>
      <c r="D286" s="642">
        <f t="shared" ref="D286:F286" si="553">IF(D$2="","",IFERROR(AVERAGEIF($B$3:$B$275, $B286, D$3:D$275),D$276))</f>
        <v>8263.324979</v>
      </c>
      <c r="E286" s="603" t="str">
        <f t="shared" si="553"/>
        <v/>
      </c>
      <c r="F286" s="603" t="str">
        <f t="shared" si="553"/>
        <v/>
      </c>
      <c r="G286" s="159"/>
      <c r="H286" s="159"/>
      <c r="I286" s="159"/>
      <c r="J286" s="18"/>
      <c r="K286" s="159"/>
      <c r="L286" s="159"/>
      <c r="M286" s="606"/>
      <c r="N286" s="159"/>
      <c r="O286" s="159"/>
      <c r="P286" s="159"/>
      <c r="Q286" s="159"/>
      <c r="R286" s="159"/>
      <c r="S286" s="159"/>
      <c r="T286" s="159"/>
      <c r="U286" s="159"/>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59"/>
      <c r="AT286" s="159"/>
      <c r="AU286" s="159"/>
      <c r="AV286" s="159"/>
      <c r="AW286" s="159"/>
      <c r="AX286" s="159"/>
      <c r="AY286" s="159"/>
      <c r="AZ286" s="159"/>
      <c r="BA286" s="159"/>
      <c r="BB286" s="159"/>
      <c r="BC286" s="159"/>
      <c r="BD286" s="159"/>
      <c r="BE286" s="159"/>
      <c r="BF286" s="159"/>
      <c r="BG286" s="159"/>
      <c r="BH286" s="159"/>
      <c r="BI286" s="159"/>
      <c r="BJ286" s="159"/>
      <c r="BK286" s="159"/>
      <c r="BL286" s="159"/>
      <c r="BM286" s="159"/>
      <c r="BN286" s="159"/>
      <c r="BO286" s="159"/>
      <c r="BP286" s="159"/>
      <c r="BQ286" s="159"/>
      <c r="BR286" s="159"/>
      <c r="BS286" s="159"/>
      <c r="BT286" s="159"/>
      <c r="BU286" s="159"/>
      <c r="BV286" s="159"/>
      <c r="BW286" s="159"/>
      <c r="BX286" s="159"/>
      <c r="BY286" s="159"/>
      <c r="BZ286" s="159"/>
      <c r="CA286" s="159"/>
      <c r="CB286" s="159"/>
      <c r="CC286" s="159"/>
    </row>
    <row r="287">
      <c r="A287" s="159"/>
      <c r="B287" s="641" t="s">
        <v>903</v>
      </c>
      <c r="C287" s="159"/>
      <c r="D287" s="642">
        <f t="shared" ref="D287:F287" si="554">IF(D$2="","",IFERROR(AVERAGEIF($B$3:$B$275, $B287, D$3:D$275),D$276))</f>
        <v>56188.66619</v>
      </c>
      <c r="E287" s="603" t="str">
        <f t="shared" si="554"/>
        <v/>
      </c>
      <c r="F287" s="603" t="str">
        <f t="shared" si="554"/>
        <v/>
      </c>
      <c r="G287" s="159"/>
      <c r="H287" s="159"/>
      <c r="I287" s="159"/>
      <c r="J287" s="18"/>
      <c r="K287" s="159"/>
      <c r="L287" s="159"/>
      <c r="M287" s="606"/>
      <c r="N287" s="159"/>
      <c r="O287" s="159"/>
      <c r="P287" s="159"/>
      <c r="Q287" s="159"/>
      <c r="R287" s="159"/>
      <c r="S287" s="159"/>
      <c r="T287" s="159"/>
      <c r="U287" s="159"/>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59"/>
      <c r="AT287" s="159"/>
      <c r="AU287" s="159"/>
      <c r="AV287" s="159"/>
      <c r="AW287" s="159"/>
      <c r="AX287" s="159"/>
      <c r="AY287" s="159"/>
      <c r="AZ287" s="159"/>
      <c r="BA287" s="159"/>
      <c r="BB287" s="159"/>
      <c r="BC287" s="159"/>
      <c r="BD287" s="159"/>
      <c r="BE287" s="159"/>
      <c r="BF287" s="159"/>
      <c r="BG287" s="159"/>
      <c r="BH287" s="159"/>
      <c r="BI287" s="159"/>
      <c r="BJ287" s="159"/>
      <c r="BK287" s="159"/>
      <c r="BL287" s="159"/>
      <c r="BM287" s="159"/>
      <c r="BN287" s="159"/>
      <c r="BO287" s="159"/>
      <c r="BP287" s="159"/>
      <c r="BQ287" s="159"/>
      <c r="BR287" s="159"/>
      <c r="BS287" s="159"/>
      <c r="BT287" s="159"/>
      <c r="BU287" s="159"/>
      <c r="BV287" s="159"/>
      <c r="BW287" s="159"/>
      <c r="BX287" s="159"/>
      <c r="BY287" s="159"/>
      <c r="BZ287" s="159"/>
      <c r="CA287" s="159"/>
      <c r="CB287" s="159"/>
      <c r="CC287" s="159"/>
    </row>
    <row r="288">
      <c r="A288" s="159"/>
      <c r="B288" s="641" t="s">
        <v>904</v>
      </c>
      <c r="C288" s="159"/>
      <c r="D288" s="642">
        <f t="shared" ref="D288:F288" si="555">IF(D$2="","",IFERROR(AVERAGEIF($B$3:$B$275, $B288, D$3:D$275),D$276))</f>
        <v>4193.580108</v>
      </c>
      <c r="E288" s="603" t="str">
        <f t="shared" si="555"/>
        <v/>
      </c>
      <c r="F288" s="603" t="str">
        <f t="shared" si="555"/>
        <v/>
      </c>
      <c r="G288" s="159"/>
      <c r="H288" s="159"/>
      <c r="I288" s="159"/>
      <c r="J288" s="18"/>
      <c r="K288" s="159"/>
      <c r="L288" s="159"/>
      <c r="M288" s="606"/>
      <c r="N288" s="159"/>
      <c r="O288" s="159"/>
      <c r="P288" s="159"/>
      <c r="Q288" s="159"/>
      <c r="R288" s="159"/>
      <c r="S288" s="159"/>
      <c r="T288" s="159"/>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159"/>
      <c r="BO288" s="159"/>
      <c r="BP288" s="159"/>
      <c r="BQ288" s="159"/>
      <c r="BR288" s="159"/>
      <c r="BS288" s="159"/>
      <c r="BT288" s="159"/>
      <c r="BU288" s="159"/>
      <c r="BV288" s="159"/>
      <c r="BW288" s="159"/>
      <c r="BX288" s="159"/>
      <c r="BY288" s="159"/>
      <c r="BZ288" s="159"/>
      <c r="CA288" s="159"/>
      <c r="CB288" s="159"/>
      <c r="CC288" s="159"/>
    </row>
    <row r="289">
      <c r="A289" s="159"/>
      <c r="B289" s="641" t="s">
        <v>905</v>
      </c>
      <c r="C289" s="159"/>
      <c r="D289" s="642">
        <f t="shared" ref="D289:F289" si="556">IF(D$2="","",IFERROR(AVERAGEIF($B$3:$B$275, $B289, D$3:D$275),D$276))</f>
        <v>8971.747999</v>
      </c>
      <c r="E289" s="603" t="str">
        <f t="shared" si="556"/>
        <v/>
      </c>
      <c r="F289" s="603" t="str">
        <f t="shared" si="556"/>
        <v/>
      </c>
      <c r="G289" s="159"/>
      <c r="H289" s="159"/>
      <c r="I289" s="159"/>
      <c r="J289" s="18"/>
      <c r="K289" s="159"/>
      <c r="L289" s="159"/>
      <c r="M289" s="606"/>
      <c r="N289" s="159"/>
      <c r="O289" s="159"/>
      <c r="P289" s="159"/>
      <c r="Q289" s="159"/>
      <c r="R289" s="159"/>
      <c r="S289" s="159"/>
      <c r="T289" s="159"/>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159"/>
      <c r="BO289" s="159"/>
      <c r="BP289" s="159"/>
      <c r="BQ289" s="159"/>
      <c r="BR289" s="159"/>
      <c r="BS289" s="159"/>
      <c r="BT289" s="159"/>
      <c r="BU289" s="159"/>
      <c r="BV289" s="159"/>
      <c r="BW289" s="159"/>
      <c r="BX289" s="159"/>
      <c r="BY289" s="159"/>
      <c r="BZ289" s="159"/>
      <c r="CA289" s="159"/>
      <c r="CB289" s="159"/>
      <c r="CC289" s="159"/>
    </row>
    <row r="290">
      <c r="A290" s="159"/>
      <c r="B290" s="641" t="s">
        <v>906</v>
      </c>
      <c r="C290" s="159"/>
      <c r="D290" s="642">
        <f t="shared" ref="D290:F290" si="557">IF(D$2="","",IFERROR(AVERAGEIF($B$3:$B$275, $B290, D$3:D$275),D$276))</f>
        <v>9788.635641</v>
      </c>
      <c r="E290" s="603" t="str">
        <f t="shared" si="557"/>
        <v/>
      </c>
      <c r="F290" s="603" t="str">
        <f t="shared" si="557"/>
        <v/>
      </c>
      <c r="G290" s="159"/>
      <c r="H290" s="159"/>
      <c r="I290" s="159"/>
      <c r="J290" s="18"/>
      <c r="K290" s="159"/>
      <c r="L290" s="159"/>
      <c r="M290" s="606"/>
      <c r="N290" s="159"/>
      <c r="O290" s="159"/>
      <c r="P290" s="159"/>
      <c r="Q290" s="159"/>
      <c r="R290" s="159"/>
      <c r="S290" s="159"/>
      <c r="T290" s="159"/>
      <c r="U290" s="159"/>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59"/>
      <c r="AT290" s="159"/>
      <c r="AU290" s="159"/>
      <c r="AV290" s="159"/>
      <c r="AW290" s="159"/>
      <c r="AX290" s="159"/>
      <c r="AY290" s="159"/>
      <c r="AZ290" s="159"/>
      <c r="BA290" s="159"/>
      <c r="BB290" s="159"/>
      <c r="BC290" s="159"/>
      <c r="BD290" s="159"/>
      <c r="BE290" s="159"/>
      <c r="BF290" s="159"/>
      <c r="BG290" s="159"/>
      <c r="BH290" s="159"/>
      <c r="BI290" s="159"/>
      <c r="BJ290" s="159"/>
      <c r="BK290" s="159"/>
      <c r="BL290" s="159"/>
      <c r="BM290" s="159"/>
      <c r="BN290" s="159"/>
      <c r="BO290" s="159"/>
      <c r="BP290" s="159"/>
      <c r="BQ290" s="159"/>
      <c r="BR290" s="159"/>
      <c r="BS290" s="159"/>
      <c r="BT290" s="159"/>
      <c r="BU290" s="159"/>
      <c r="BV290" s="159"/>
      <c r="BW290" s="159"/>
      <c r="BX290" s="159"/>
      <c r="BY290" s="159"/>
      <c r="BZ290" s="159"/>
      <c r="CA290" s="159"/>
      <c r="CB290" s="159"/>
      <c r="CC290" s="159"/>
    </row>
    <row r="291">
      <c r="A291" s="159"/>
      <c r="B291" s="641" t="s">
        <v>907</v>
      </c>
      <c r="C291" s="159"/>
      <c r="D291" s="642">
        <f t="shared" ref="D291:F291" si="558">IF(D$2="","",IFERROR(AVERAGEIF($B$3:$B$275, $B291, D$3:D$275),D$276))</f>
        <v>2791.469713</v>
      </c>
      <c r="E291" s="603" t="str">
        <f t="shared" si="558"/>
        <v/>
      </c>
      <c r="F291" s="603" t="str">
        <f t="shared" si="558"/>
        <v/>
      </c>
      <c r="G291" s="159"/>
      <c r="H291" s="159"/>
      <c r="I291" s="159"/>
      <c r="J291" s="18"/>
      <c r="K291" s="159"/>
      <c r="L291" s="159"/>
      <c r="M291" s="606"/>
      <c r="N291" s="159"/>
      <c r="O291" s="159"/>
      <c r="P291" s="159"/>
      <c r="Q291" s="159"/>
      <c r="R291" s="159"/>
      <c r="S291" s="159"/>
      <c r="T291" s="159"/>
      <c r="U291" s="159"/>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59"/>
      <c r="AT291" s="159"/>
      <c r="AU291" s="159"/>
      <c r="AV291" s="159"/>
      <c r="AW291" s="159"/>
      <c r="AX291" s="159"/>
      <c r="AY291" s="159"/>
      <c r="AZ291" s="159"/>
      <c r="BA291" s="159"/>
      <c r="BB291" s="159"/>
      <c r="BC291" s="159"/>
      <c r="BD291" s="159"/>
      <c r="BE291" s="159"/>
      <c r="BF291" s="159"/>
      <c r="BG291" s="159"/>
      <c r="BH291" s="159"/>
      <c r="BI291" s="159"/>
      <c r="BJ291" s="159"/>
      <c r="BK291" s="159"/>
      <c r="BL291" s="159"/>
      <c r="BM291" s="159"/>
      <c r="BN291" s="159"/>
      <c r="BO291" s="159"/>
      <c r="BP291" s="159"/>
      <c r="BQ291" s="159"/>
      <c r="BR291" s="159"/>
      <c r="BS291" s="159"/>
      <c r="BT291" s="159"/>
      <c r="BU291" s="159"/>
      <c r="BV291" s="159"/>
      <c r="BW291" s="159"/>
      <c r="BX291" s="159"/>
      <c r="BY291" s="159"/>
      <c r="BZ291" s="159"/>
      <c r="CA291" s="159"/>
      <c r="CB291" s="159"/>
      <c r="CC291" s="159"/>
    </row>
    <row r="292">
      <c r="A292" s="159"/>
      <c r="B292" s="641" t="s">
        <v>908</v>
      </c>
      <c r="C292" s="159"/>
      <c r="D292" s="642">
        <f t="shared" ref="D292:F292" si="559">IF(D$2="","",IFERROR(AVERAGEIF($B$3:$B$275, $B292, D$3:D$275),D$276))</f>
        <v>24646.4047</v>
      </c>
      <c r="E292" s="603" t="str">
        <f t="shared" si="559"/>
        <v/>
      </c>
      <c r="F292" s="603" t="str">
        <f t="shared" si="559"/>
        <v/>
      </c>
      <c r="G292" s="159"/>
      <c r="H292" s="159"/>
      <c r="I292" s="159"/>
      <c r="J292" s="18"/>
      <c r="K292" s="159"/>
      <c r="L292" s="159"/>
      <c r="M292" s="606"/>
      <c r="N292" s="159"/>
      <c r="O292" s="159"/>
      <c r="P292" s="159"/>
      <c r="Q292" s="159"/>
      <c r="R292" s="159"/>
      <c r="S292" s="159"/>
      <c r="T292" s="159"/>
      <c r="U292" s="159"/>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59"/>
      <c r="AT292" s="159"/>
      <c r="AU292" s="159"/>
      <c r="AV292" s="159"/>
      <c r="AW292" s="159"/>
      <c r="AX292" s="159"/>
      <c r="AY292" s="159"/>
      <c r="AZ292" s="159"/>
      <c r="BA292" s="159"/>
      <c r="BB292" s="159"/>
      <c r="BC292" s="159"/>
      <c r="BD292" s="159"/>
      <c r="BE292" s="159"/>
      <c r="BF292" s="159"/>
      <c r="BG292" s="159"/>
      <c r="BH292" s="159"/>
      <c r="BI292" s="159"/>
      <c r="BJ292" s="159"/>
      <c r="BK292" s="159"/>
      <c r="BL292" s="159"/>
      <c r="BM292" s="159"/>
      <c r="BN292" s="159"/>
      <c r="BO292" s="159"/>
      <c r="BP292" s="159"/>
      <c r="BQ292" s="159"/>
      <c r="BR292" s="159"/>
      <c r="BS292" s="159"/>
      <c r="BT292" s="159"/>
      <c r="BU292" s="159"/>
      <c r="BV292" s="159"/>
      <c r="BW292" s="159"/>
      <c r="BX292" s="159"/>
      <c r="BY292" s="159"/>
      <c r="BZ292" s="159"/>
      <c r="CA292" s="159"/>
      <c r="CB292" s="159"/>
      <c r="CC292" s="159"/>
    </row>
    <row r="293">
      <c r="A293" s="159"/>
      <c r="B293" s="159"/>
      <c r="C293" s="159"/>
      <c r="D293" s="159"/>
      <c r="E293" s="159"/>
      <c r="F293" s="159"/>
      <c r="G293" s="159"/>
      <c r="H293" s="159"/>
      <c r="I293" s="159"/>
      <c r="J293" s="159"/>
      <c r="K293" s="159"/>
      <c r="L293" s="159"/>
      <c r="M293" s="606"/>
      <c r="N293" s="159"/>
      <c r="O293" s="159"/>
      <c r="P293" s="159"/>
      <c r="Q293" s="159"/>
      <c r="R293" s="159"/>
      <c r="S293" s="159"/>
      <c r="T293" s="159"/>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159"/>
      <c r="BO293" s="159"/>
      <c r="BP293" s="159"/>
      <c r="BQ293" s="159"/>
      <c r="BR293" s="159"/>
      <c r="BS293" s="159"/>
      <c r="BT293" s="159"/>
      <c r="BU293" s="159"/>
      <c r="BV293" s="159"/>
      <c r="BW293" s="159"/>
      <c r="BX293" s="159"/>
      <c r="BY293" s="159"/>
      <c r="BZ293" s="159"/>
      <c r="CA293" s="159"/>
      <c r="CB293" s="159"/>
      <c r="CC293" s="159"/>
    </row>
    <row r="294">
      <c r="A294" s="159"/>
      <c r="B294" s="640" t="s">
        <v>909</v>
      </c>
      <c r="C294" s="159"/>
      <c r="D294" s="159"/>
      <c r="E294" s="159"/>
      <c r="F294" s="159"/>
      <c r="G294" s="159"/>
      <c r="H294" s="159"/>
      <c r="I294" s="159"/>
      <c r="J294" s="159"/>
      <c r="K294" s="159"/>
      <c r="L294" s="159"/>
      <c r="M294" s="606"/>
      <c r="N294" s="159"/>
      <c r="O294" s="159"/>
      <c r="P294" s="159"/>
      <c r="Q294" s="159"/>
      <c r="R294" s="159"/>
      <c r="S294" s="159"/>
      <c r="T294" s="159"/>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159"/>
      <c r="BO294" s="159"/>
      <c r="BP294" s="159"/>
      <c r="BQ294" s="159"/>
      <c r="BR294" s="159"/>
      <c r="BS294" s="159"/>
      <c r="BT294" s="159"/>
      <c r="BU294" s="159"/>
      <c r="BV294" s="159"/>
      <c r="BW294" s="159"/>
      <c r="BX294" s="159"/>
      <c r="BY294" s="159"/>
      <c r="BZ294" s="159"/>
      <c r="CA294" s="159"/>
      <c r="CB294" s="159"/>
      <c r="CC294" s="159"/>
    </row>
    <row r="295">
      <c r="A295" s="159"/>
      <c r="B295" s="641" t="s">
        <v>910</v>
      </c>
      <c r="C295" s="641" t="s">
        <v>905</v>
      </c>
      <c r="D295" s="642">
        <f t="shared" ref="D295:F295" si="560">IF(D$2="","",IFERROR(IFERROR(AVERAGEIF($B$3:$B$275, $B295, D$3:D$275),INDEX(D$280:D$292,MATCH($C295,$B$280:$B$292,0))),D$276))</f>
        <v>8971.747999</v>
      </c>
      <c r="E295" s="603" t="str">
        <f t="shared" si="560"/>
        <v/>
      </c>
      <c r="F295" s="603" t="str">
        <f t="shared" si="560"/>
        <v/>
      </c>
      <c r="G295" s="159"/>
      <c r="H295" s="159"/>
      <c r="I295" s="159"/>
      <c r="J295" s="18"/>
      <c r="K295" s="159"/>
      <c r="L295" s="159"/>
      <c r="M295" s="606"/>
      <c r="N295" s="159"/>
      <c r="O295" s="159"/>
      <c r="P295" s="159"/>
      <c r="Q295" s="159"/>
      <c r="R295" s="159"/>
      <c r="S295" s="159"/>
      <c r="T295" s="159"/>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159"/>
      <c r="BO295" s="159"/>
      <c r="BP295" s="159"/>
      <c r="BQ295" s="159"/>
      <c r="BR295" s="159"/>
      <c r="BS295" s="159"/>
      <c r="BT295" s="159"/>
      <c r="BU295" s="159"/>
      <c r="BV295" s="159"/>
      <c r="BW295" s="159"/>
      <c r="BX295" s="159"/>
      <c r="BY295" s="159"/>
      <c r="BZ295" s="159"/>
      <c r="CA295" s="159"/>
      <c r="CB295" s="159"/>
      <c r="CC295" s="159"/>
    </row>
    <row r="296">
      <c r="A296" s="159"/>
      <c r="B296" s="641" t="s">
        <v>911</v>
      </c>
      <c r="C296" s="641" t="s">
        <v>907</v>
      </c>
      <c r="D296" s="642">
        <f t="shared" ref="D296:F296" si="561">IF(D$2="","",IFERROR(IFERROR(AVERAGEIF($B$3:$B$275, $B296, D$3:D$275),INDEX(D$280:D$292,MATCH($C296,$B$280:$B$292,0))),D$276))</f>
        <v>2791.469713</v>
      </c>
      <c r="E296" s="603" t="str">
        <f t="shared" si="561"/>
        <v/>
      </c>
      <c r="F296" s="603" t="str">
        <f t="shared" si="561"/>
        <v/>
      </c>
      <c r="G296" s="159"/>
      <c r="H296" s="159"/>
      <c r="I296" s="159"/>
      <c r="J296" s="18"/>
      <c r="K296" s="159"/>
      <c r="L296" s="159"/>
      <c r="M296" s="606"/>
      <c r="N296" s="159"/>
      <c r="O296" s="159"/>
      <c r="P296" s="159"/>
      <c r="Q296" s="159"/>
      <c r="R296" s="159"/>
      <c r="S296" s="159"/>
      <c r="T296" s="159"/>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159"/>
      <c r="BO296" s="159"/>
      <c r="BP296" s="159"/>
      <c r="BQ296" s="159"/>
      <c r="BR296" s="159"/>
      <c r="BS296" s="159"/>
      <c r="BT296" s="159"/>
      <c r="BU296" s="159"/>
      <c r="BV296" s="159"/>
      <c r="BW296" s="159"/>
      <c r="BX296" s="159"/>
      <c r="BY296" s="159"/>
      <c r="BZ296" s="159"/>
      <c r="CA296" s="159"/>
      <c r="CB296" s="159"/>
      <c r="CC296" s="159"/>
    </row>
    <row r="297">
      <c r="A297" s="159"/>
      <c r="B297" s="159"/>
      <c r="C297" s="159"/>
      <c r="D297" s="159"/>
      <c r="E297" s="159"/>
      <c r="F297" s="159"/>
      <c r="G297" s="159"/>
      <c r="H297" s="159"/>
      <c r="I297" s="159"/>
      <c r="J297" s="159"/>
      <c r="K297" s="159"/>
      <c r="L297" s="159"/>
      <c r="M297" s="606"/>
      <c r="N297" s="159"/>
      <c r="O297" s="159"/>
      <c r="P297" s="159"/>
      <c r="Q297" s="159"/>
      <c r="R297" s="159"/>
      <c r="S297" s="159"/>
      <c r="T297" s="159"/>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c r="AX297" s="159"/>
      <c r="AY297" s="159"/>
      <c r="AZ297" s="159"/>
      <c r="BA297" s="159"/>
      <c r="BB297" s="159"/>
      <c r="BC297" s="159"/>
      <c r="BD297" s="159"/>
      <c r="BE297" s="159"/>
      <c r="BF297" s="159"/>
      <c r="BG297" s="159"/>
      <c r="BH297" s="159"/>
      <c r="BI297" s="159"/>
      <c r="BJ297" s="159"/>
      <c r="BK297" s="159"/>
      <c r="BL297" s="159"/>
      <c r="BM297" s="159"/>
      <c r="BN297" s="159"/>
      <c r="BO297" s="159"/>
      <c r="BP297" s="159"/>
      <c r="BQ297" s="159"/>
      <c r="BR297" s="159"/>
      <c r="BS297" s="159"/>
      <c r="BT297" s="159"/>
      <c r="BU297" s="159"/>
      <c r="BV297" s="159"/>
      <c r="BW297" s="159"/>
      <c r="BX297" s="159"/>
      <c r="BY297" s="159"/>
      <c r="BZ297" s="159"/>
      <c r="CA297" s="159"/>
      <c r="CB297" s="159"/>
      <c r="CC297" s="159"/>
    </row>
    <row r="298">
      <c r="A298" s="159"/>
      <c r="B298" s="159"/>
      <c r="C298" s="159"/>
      <c r="D298" s="159"/>
      <c r="E298" s="159"/>
      <c r="F298" s="159"/>
      <c r="G298" s="159"/>
      <c r="H298" s="159"/>
      <c r="I298" s="159"/>
      <c r="J298" s="159"/>
      <c r="K298" s="159"/>
      <c r="L298" s="159"/>
      <c r="M298" s="606"/>
      <c r="N298" s="159"/>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c r="BS298" s="159"/>
      <c r="BT298" s="159"/>
      <c r="BU298" s="159"/>
      <c r="BV298" s="159"/>
      <c r="BW298" s="159"/>
      <c r="BX298" s="159"/>
      <c r="BY298" s="159"/>
      <c r="BZ298" s="159"/>
      <c r="CA298" s="159"/>
      <c r="CB298" s="159"/>
      <c r="CC298" s="159"/>
    </row>
    <row r="299">
      <c r="A299" s="159"/>
      <c r="B299" s="159"/>
      <c r="C299" s="159"/>
      <c r="D299" s="159"/>
      <c r="E299" s="159"/>
      <c r="F299" s="159"/>
      <c r="G299" s="159"/>
      <c r="H299" s="159"/>
      <c r="I299" s="159"/>
      <c r="J299" s="159"/>
      <c r="K299" s="159"/>
      <c r="L299" s="159"/>
      <c r="M299" s="606"/>
      <c r="N299" s="159"/>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row>
    <row r="300">
      <c r="A300" s="159"/>
      <c r="B300" s="159"/>
      <c r="C300" s="159"/>
      <c r="D300" s="159"/>
      <c r="E300" s="159"/>
      <c r="F300" s="159"/>
      <c r="G300" s="159"/>
      <c r="H300" s="159"/>
      <c r="I300" s="159"/>
      <c r="J300" s="159"/>
      <c r="K300" s="159"/>
      <c r="L300" s="159"/>
      <c r="M300" s="606"/>
      <c r="N300" s="159"/>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row>
    <row r="301">
      <c r="A301" s="159"/>
      <c r="B301" s="159"/>
      <c r="C301" s="159"/>
      <c r="D301" s="159"/>
      <c r="E301" s="159"/>
      <c r="F301" s="159"/>
      <c r="G301" s="159"/>
      <c r="H301" s="159"/>
      <c r="I301" s="159"/>
      <c r="J301" s="159"/>
      <c r="K301" s="159"/>
      <c r="L301" s="159"/>
      <c r="M301" s="606"/>
      <c r="N301" s="159"/>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row>
    <row r="302">
      <c r="A302" s="159"/>
      <c r="B302" s="159"/>
      <c r="C302" s="159"/>
      <c r="D302" s="159"/>
      <c r="E302" s="159"/>
      <c r="F302" s="159"/>
      <c r="G302" s="159"/>
      <c r="H302" s="159"/>
      <c r="I302" s="159"/>
      <c r="J302" s="159"/>
      <c r="K302" s="159"/>
      <c r="L302" s="159"/>
      <c r="M302" s="606"/>
      <c r="N302" s="159"/>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row>
    <row r="303">
      <c r="A303" s="159"/>
      <c r="B303" s="159"/>
      <c r="C303" s="159"/>
      <c r="D303" s="159"/>
      <c r="E303" s="159"/>
      <c r="F303" s="159"/>
      <c r="G303" s="159"/>
      <c r="H303" s="159"/>
      <c r="I303" s="159"/>
      <c r="J303" s="159"/>
      <c r="K303" s="159"/>
      <c r="L303" s="159"/>
      <c r="M303" s="606"/>
      <c r="N303" s="159"/>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row>
    <row r="304">
      <c r="A304" s="159"/>
      <c r="B304" s="159"/>
      <c r="C304" s="159"/>
      <c r="D304" s="159"/>
      <c r="E304" s="159"/>
      <c r="F304" s="159"/>
      <c r="G304" s="159"/>
      <c r="H304" s="159"/>
      <c r="I304" s="159"/>
      <c r="J304" s="159"/>
      <c r="K304" s="159"/>
      <c r="L304" s="159"/>
      <c r="M304" s="606"/>
      <c r="N304" s="159"/>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row>
    <row r="305">
      <c r="A305" s="159"/>
      <c r="B305" s="159"/>
      <c r="C305" s="159"/>
      <c r="D305" s="159"/>
      <c r="E305" s="159"/>
      <c r="F305" s="159"/>
      <c r="G305" s="159"/>
      <c r="H305" s="159"/>
      <c r="I305" s="159"/>
      <c r="J305" s="159"/>
      <c r="K305" s="159"/>
      <c r="L305" s="159"/>
      <c r="M305" s="606"/>
      <c r="N305" s="159"/>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row>
    <row r="306">
      <c r="A306" s="159"/>
      <c r="B306" s="159"/>
      <c r="C306" s="159"/>
      <c r="D306" s="159"/>
      <c r="E306" s="159"/>
      <c r="F306" s="159"/>
      <c r="G306" s="159"/>
      <c r="H306" s="159"/>
      <c r="I306" s="159"/>
      <c r="J306" s="159"/>
      <c r="K306" s="159"/>
      <c r="L306" s="159"/>
      <c r="M306" s="606"/>
      <c r="N306" s="159"/>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row>
    <row r="307">
      <c r="A307" s="159"/>
      <c r="B307" s="159"/>
      <c r="C307" s="159"/>
      <c r="D307" s="159"/>
      <c r="E307" s="159"/>
      <c r="F307" s="159"/>
      <c r="G307" s="159"/>
      <c r="H307" s="159"/>
      <c r="I307" s="159"/>
      <c r="J307" s="159"/>
      <c r="K307" s="159"/>
      <c r="L307" s="159"/>
      <c r="M307" s="606"/>
      <c r="N307" s="159"/>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row>
    <row r="308">
      <c r="A308" s="159"/>
      <c r="B308" s="159"/>
      <c r="C308" s="159"/>
      <c r="D308" s="159"/>
      <c r="E308" s="159"/>
      <c r="F308" s="159"/>
      <c r="G308" s="159"/>
      <c r="H308" s="159"/>
      <c r="I308" s="159"/>
      <c r="J308" s="159"/>
      <c r="K308" s="159"/>
      <c r="L308" s="159"/>
      <c r="M308" s="606"/>
      <c r="N308" s="159"/>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row>
    <row r="309">
      <c r="A309" s="159"/>
      <c r="B309" s="159"/>
      <c r="C309" s="159"/>
      <c r="D309" s="159"/>
      <c r="E309" s="159"/>
      <c r="F309" s="159"/>
      <c r="G309" s="159"/>
      <c r="H309" s="159"/>
      <c r="I309" s="159"/>
      <c r="J309" s="159"/>
      <c r="K309" s="159"/>
      <c r="L309" s="159"/>
      <c r="M309" s="606"/>
      <c r="N309" s="159"/>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row>
    <row r="310">
      <c r="A310" s="159"/>
      <c r="B310" s="159"/>
      <c r="C310" s="159"/>
      <c r="D310" s="159"/>
      <c r="E310" s="159"/>
      <c r="F310" s="159"/>
      <c r="G310" s="159"/>
      <c r="H310" s="159"/>
      <c r="I310" s="159"/>
      <c r="J310" s="159"/>
      <c r="K310" s="159"/>
      <c r="L310" s="159"/>
      <c r="M310" s="606"/>
      <c r="N310" s="159"/>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row>
    <row r="311">
      <c r="A311" s="159"/>
      <c r="B311" s="159"/>
      <c r="C311" s="159"/>
      <c r="D311" s="159"/>
      <c r="E311" s="159"/>
      <c r="F311" s="159"/>
      <c r="G311" s="159"/>
      <c r="H311" s="159"/>
      <c r="I311" s="159"/>
      <c r="J311" s="159"/>
      <c r="K311" s="159"/>
      <c r="L311" s="159"/>
      <c r="M311" s="606"/>
      <c r="N311" s="159"/>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row>
    <row r="312">
      <c r="A312" s="159"/>
      <c r="B312" s="159"/>
      <c r="C312" s="159"/>
      <c r="D312" s="159"/>
      <c r="E312" s="159"/>
      <c r="F312" s="159"/>
      <c r="G312" s="159"/>
      <c r="H312" s="159"/>
      <c r="I312" s="159"/>
      <c r="J312" s="159"/>
      <c r="K312" s="159"/>
      <c r="L312" s="159"/>
      <c r="M312" s="606"/>
      <c r="N312" s="159"/>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row>
    <row r="313">
      <c r="A313" s="159"/>
      <c r="B313" s="159"/>
      <c r="C313" s="159"/>
      <c r="D313" s="159"/>
      <c r="E313" s="159"/>
      <c r="F313" s="159"/>
      <c r="G313" s="159"/>
      <c r="H313" s="159"/>
      <c r="I313" s="159"/>
      <c r="J313" s="159"/>
      <c r="K313" s="159"/>
      <c r="L313" s="159"/>
      <c r="M313" s="606"/>
      <c r="N313" s="159"/>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row>
    <row r="314">
      <c r="A314" s="159"/>
      <c r="B314" s="159"/>
      <c r="C314" s="159"/>
      <c r="D314" s="159"/>
      <c r="E314" s="159"/>
      <c r="F314" s="159"/>
      <c r="G314" s="159"/>
      <c r="H314" s="159"/>
      <c r="I314" s="159"/>
      <c r="J314" s="159"/>
      <c r="K314" s="159"/>
      <c r="L314" s="159"/>
      <c r="M314" s="606"/>
      <c r="N314" s="159"/>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row>
    <row r="315">
      <c r="A315" s="159"/>
      <c r="B315" s="159"/>
      <c r="C315" s="159"/>
      <c r="D315" s="159"/>
      <c r="E315" s="159"/>
      <c r="F315" s="159"/>
      <c r="G315" s="159"/>
      <c r="H315" s="159"/>
      <c r="I315" s="159"/>
      <c r="J315" s="159"/>
      <c r="K315" s="159"/>
      <c r="L315" s="159"/>
      <c r="M315" s="606"/>
      <c r="N315" s="159"/>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row>
    <row r="316">
      <c r="A316" s="159"/>
      <c r="B316" s="159"/>
      <c r="C316" s="159"/>
      <c r="D316" s="159"/>
      <c r="E316" s="159"/>
      <c r="F316" s="159"/>
      <c r="G316" s="159"/>
      <c r="H316" s="159"/>
      <c r="I316" s="159"/>
      <c r="J316" s="159"/>
      <c r="K316" s="159"/>
      <c r="L316" s="159"/>
      <c r="M316" s="606"/>
      <c r="N316" s="159"/>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row>
    <row r="317">
      <c r="A317" s="159"/>
      <c r="B317" s="159"/>
      <c r="C317" s="159"/>
      <c r="D317" s="159"/>
      <c r="E317" s="159"/>
      <c r="F317" s="159"/>
      <c r="G317" s="159"/>
      <c r="H317" s="159"/>
      <c r="I317" s="159"/>
      <c r="J317" s="159"/>
      <c r="K317" s="159"/>
      <c r="L317" s="159"/>
      <c r="M317" s="606"/>
      <c r="N317" s="159"/>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row>
    <row r="318">
      <c r="A318" s="159"/>
      <c r="B318" s="159"/>
      <c r="C318" s="159"/>
      <c r="D318" s="159"/>
      <c r="E318" s="159"/>
      <c r="F318" s="159"/>
      <c r="G318" s="159"/>
      <c r="H318" s="159"/>
      <c r="I318" s="159"/>
      <c r="J318" s="159"/>
      <c r="K318" s="159"/>
      <c r="L318" s="159"/>
      <c r="M318" s="606"/>
      <c r="N318" s="159"/>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row>
    <row r="319">
      <c r="A319" s="159"/>
      <c r="B319" s="159"/>
      <c r="C319" s="159"/>
      <c r="D319" s="159"/>
      <c r="E319" s="159"/>
      <c r="F319" s="159"/>
      <c r="G319" s="159"/>
      <c r="H319" s="159"/>
      <c r="I319" s="159"/>
      <c r="J319" s="159"/>
      <c r="K319" s="159"/>
      <c r="L319" s="159"/>
      <c r="M319" s="606"/>
      <c r="N319" s="159"/>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row>
    <row r="320">
      <c r="A320" s="159"/>
      <c r="B320" s="159"/>
      <c r="C320" s="159"/>
      <c r="D320" s="159"/>
      <c r="E320" s="159"/>
      <c r="F320" s="159"/>
      <c r="G320" s="159"/>
      <c r="H320" s="159"/>
      <c r="I320" s="159"/>
      <c r="J320" s="159"/>
      <c r="K320" s="159"/>
      <c r="L320" s="159"/>
      <c r="M320" s="606"/>
      <c r="N320" s="159"/>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row>
    <row r="321">
      <c r="A321" s="159"/>
      <c r="B321" s="159"/>
      <c r="C321" s="159"/>
      <c r="D321" s="159"/>
      <c r="E321" s="159"/>
      <c r="F321" s="159"/>
      <c r="G321" s="159"/>
      <c r="H321" s="159"/>
      <c r="I321" s="159"/>
      <c r="J321" s="159"/>
      <c r="K321" s="159"/>
      <c r="L321" s="159"/>
      <c r="M321" s="606"/>
      <c r="N321" s="159"/>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row>
    <row r="322">
      <c r="A322" s="159"/>
      <c r="B322" s="159"/>
      <c r="C322" s="159"/>
      <c r="D322" s="159"/>
      <c r="E322" s="159"/>
      <c r="F322" s="159"/>
      <c r="G322" s="159"/>
      <c r="H322" s="159"/>
      <c r="I322" s="159"/>
      <c r="J322" s="159"/>
      <c r="K322" s="159"/>
      <c r="L322" s="159"/>
      <c r="M322" s="606"/>
      <c r="N322" s="159"/>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row>
    <row r="323">
      <c r="A323" s="159"/>
      <c r="B323" s="159"/>
      <c r="C323" s="159"/>
      <c r="D323" s="159"/>
      <c r="E323" s="159"/>
      <c r="F323" s="159"/>
      <c r="G323" s="159"/>
      <c r="H323" s="159"/>
      <c r="I323" s="159"/>
      <c r="J323" s="159"/>
      <c r="K323" s="159"/>
      <c r="L323" s="159"/>
      <c r="M323" s="606"/>
      <c r="N323" s="159"/>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row>
    <row r="324">
      <c r="A324" s="159"/>
      <c r="B324" s="159"/>
      <c r="C324" s="159"/>
      <c r="D324" s="159"/>
      <c r="E324" s="159"/>
      <c r="F324" s="159"/>
      <c r="G324" s="159"/>
      <c r="H324" s="159"/>
      <c r="I324" s="159"/>
      <c r="J324" s="159"/>
      <c r="K324" s="159"/>
      <c r="L324" s="159"/>
      <c r="M324" s="606"/>
      <c r="N324" s="159"/>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row>
    <row r="325">
      <c r="A325" s="159"/>
      <c r="B325" s="159"/>
      <c r="C325" s="159"/>
      <c r="D325" s="159"/>
      <c r="E325" s="159"/>
      <c r="F325" s="159"/>
      <c r="G325" s="159"/>
      <c r="H325" s="159"/>
      <c r="I325" s="159"/>
      <c r="J325" s="159"/>
      <c r="K325" s="159"/>
      <c r="L325" s="159"/>
      <c r="M325" s="606"/>
      <c r="N325" s="159"/>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row>
    <row r="326">
      <c r="A326" s="159"/>
      <c r="B326" s="159"/>
      <c r="C326" s="159"/>
      <c r="D326" s="159"/>
      <c r="E326" s="159"/>
      <c r="F326" s="159"/>
      <c r="G326" s="159"/>
      <c r="H326" s="159"/>
      <c r="I326" s="159"/>
      <c r="J326" s="159"/>
      <c r="K326" s="159"/>
      <c r="L326" s="159"/>
      <c r="M326" s="606"/>
      <c r="N326" s="159"/>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row>
    <row r="327">
      <c r="A327" s="159"/>
      <c r="B327" s="159"/>
      <c r="C327" s="159"/>
      <c r="D327" s="159"/>
      <c r="E327" s="159"/>
      <c r="F327" s="159"/>
      <c r="G327" s="159"/>
      <c r="H327" s="159"/>
      <c r="I327" s="159"/>
      <c r="J327" s="159"/>
      <c r="K327" s="159"/>
      <c r="L327" s="159"/>
      <c r="M327" s="606"/>
      <c r="N327" s="159"/>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row>
    <row r="328">
      <c r="A328" s="159"/>
      <c r="B328" s="159"/>
      <c r="C328" s="159"/>
      <c r="D328" s="159"/>
      <c r="E328" s="159"/>
      <c r="F328" s="159"/>
      <c r="G328" s="159"/>
      <c r="H328" s="159"/>
      <c r="I328" s="159"/>
      <c r="J328" s="159"/>
      <c r="K328" s="159"/>
      <c r="L328" s="159"/>
      <c r="M328" s="606"/>
      <c r="N328" s="159"/>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row>
    <row r="329">
      <c r="A329" s="159"/>
      <c r="B329" s="159"/>
      <c r="C329" s="159"/>
      <c r="D329" s="159"/>
      <c r="E329" s="159"/>
      <c r="F329" s="159"/>
      <c r="G329" s="159"/>
      <c r="H329" s="159"/>
      <c r="I329" s="159"/>
      <c r="J329" s="159"/>
      <c r="K329" s="159"/>
      <c r="L329" s="159"/>
      <c r="M329" s="606"/>
      <c r="N329" s="159"/>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row>
    <row r="330">
      <c r="A330" s="159"/>
      <c r="B330" s="159"/>
      <c r="C330" s="159"/>
      <c r="D330" s="159"/>
      <c r="E330" s="159"/>
      <c r="F330" s="159"/>
      <c r="G330" s="159"/>
      <c r="H330" s="159"/>
      <c r="I330" s="159"/>
      <c r="J330" s="159"/>
      <c r="K330" s="159"/>
      <c r="L330" s="159"/>
      <c r="M330" s="606"/>
      <c r="N330" s="159"/>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row>
    <row r="331">
      <c r="A331" s="159"/>
      <c r="B331" s="159"/>
      <c r="C331" s="159"/>
      <c r="D331" s="159"/>
      <c r="E331" s="159"/>
      <c r="F331" s="159"/>
      <c r="G331" s="159"/>
      <c r="H331" s="159"/>
      <c r="I331" s="159"/>
      <c r="J331" s="159"/>
      <c r="K331" s="159"/>
      <c r="L331" s="159"/>
      <c r="M331" s="606"/>
      <c r="N331" s="159"/>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row>
    <row r="332">
      <c r="A332" s="159"/>
      <c r="B332" s="159"/>
      <c r="C332" s="159"/>
      <c r="D332" s="159"/>
      <c r="E332" s="159"/>
      <c r="F332" s="159"/>
      <c r="G332" s="159"/>
      <c r="H332" s="159"/>
      <c r="I332" s="159"/>
      <c r="J332" s="159"/>
      <c r="K332" s="159"/>
      <c r="L332" s="159"/>
      <c r="M332" s="606"/>
      <c r="N332" s="159"/>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row>
    <row r="333">
      <c r="A333" s="159"/>
      <c r="B333" s="159"/>
      <c r="C333" s="159"/>
      <c r="D333" s="159"/>
      <c r="E333" s="159"/>
      <c r="F333" s="159"/>
      <c r="G333" s="159"/>
      <c r="H333" s="159"/>
      <c r="I333" s="159"/>
      <c r="J333" s="159"/>
      <c r="K333" s="159"/>
      <c r="L333" s="159"/>
      <c r="M333" s="606"/>
      <c r="N333" s="159"/>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row>
    <row r="334">
      <c r="A334" s="159"/>
      <c r="B334" s="159"/>
      <c r="C334" s="159"/>
      <c r="D334" s="159"/>
      <c r="E334" s="159"/>
      <c r="F334" s="159"/>
      <c r="G334" s="159"/>
      <c r="H334" s="159"/>
      <c r="I334" s="159"/>
      <c r="J334" s="159"/>
      <c r="K334" s="159"/>
      <c r="L334" s="159"/>
      <c r="M334" s="606"/>
      <c r="N334" s="159"/>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row>
    <row r="335">
      <c r="A335" s="159"/>
      <c r="B335" s="159"/>
      <c r="C335" s="159"/>
      <c r="D335" s="159"/>
      <c r="E335" s="159"/>
      <c r="F335" s="159"/>
      <c r="G335" s="159"/>
      <c r="H335" s="159"/>
      <c r="I335" s="159"/>
      <c r="J335" s="159"/>
      <c r="K335" s="159"/>
      <c r="L335" s="159"/>
      <c r="M335" s="606"/>
      <c r="N335" s="159"/>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row>
    <row r="336">
      <c r="A336" s="159"/>
      <c r="B336" s="159"/>
      <c r="C336" s="159"/>
      <c r="D336" s="159"/>
      <c r="E336" s="159"/>
      <c r="F336" s="159"/>
      <c r="G336" s="159"/>
      <c r="H336" s="159"/>
      <c r="I336" s="159"/>
      <c r="J336" s="159"/>
      <c r="K336" s="159"/>
      <c r="L336" s="159"/>
      <c r="M336" s="606"/>
      <c r="N336" s="159"/>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row>
    <row r="337">
      <c r="A337" s="159"/>
      <c r="B337" s="159"/>
      <c r="C337" s="159"/>
      <c r="D337" s="159"/>
      <c r="E337" s="159"/>
      <c r="F337" s="159"/>
      <c r="G337" s="159"/>
      <c r="H337" s="159"/>
      <c r="I337" s="159"/>
      <c r="J337" s="159"/>
      <c r="K337" s="159"/>
      <c r="L337" s="159"/>
      <c r="M337" s="606"/>
      <c r="N337" s="159"/>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row>
    <row r="338">
      <c r="A338" s="159"/>
      <c r="B338" s="159"/>
      <c r="C338" s="159"/>
      <c r="D338" s="159"/>
      <c r="E338" s="159"/>
      <c r="F338" s="159"/>
      <c r="G338" s="159"/>
      <c r="H338" s="159"/>
      <c r="I338" s="159"/>
      <c r="J338" s="159"/>
      <c r="K338" s="159"/>
      <c r="L338" s="159"/>
      <c r="M338" s="606"/>
      <c r="N338" s="159"/>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row>
    <row r="339">
      <c r="A339" s="159"/>
      <c r="B339" s="159"/>
      <c r="C339" s="159"/>
      <c r="D339" s="159"/>
      <c r="E339" s="159"/>
      <c r="F339" s="159"/>
      <c r="G339" s="159"/>
      <c r="H339" s="159"/>
      <c r="I339" s="159"/>
      <c r="J339" s="159"/>
      <c r="K339" s="159"/>
      <c r="L339" s="159"/>
      <c r="M339" s="606"/>
      <c r="N339" s="159"/>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row>
    <row r="340">
      <c r="A340" s="159"/>
      <c r="B340" s="159"/>
      <c r="C340" s="159"/>
      <c r="D340" s="159"/>
      <c r="E340" s="159"/>
      <c r="F340" s="159"/>
      <c r="G340" s="159"/>
      <c r="H340" s="159"/>
      <c r="I340" s="159"/>
      <c r="J340" s="159"/>
      <c r="K340" s="159"/>
      <c r="L340" s="159"/>
      <c r="M340" s="606"/>
      <c r="N340" s="159"/>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row>
    <row r="341">
      <c r="A341" s="159"/>
      <c r="B341" s="159"/>
      <c r="C341" s="159"/>
      <c r="D341" s="159"/>
      <c r="E341" s="159"/>
      <c r="F341" s="159"/>
      <c r="G341" s="159"/>
      <c r="H341" s="159"/>
      <c r="I341" s="159"/>
      <c r="J341" s="159"/>
      <c r="K341" s="159"/>
      <c r="L341" s="159"/>
      <c r="M341" s="606"/>
      <c r="N341" s="159"/>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row>
    <row r="342">
      <c r="A342" s="159"/>
      <c r="B342" s="159"/>
      <c r="C342" s="159"/>
      <c r="D342" s="159"/>
      <c r="E342" s="159"/>
      <c r="F342" s="159"/>
      <c r="G342" s="159"/>
      <c r="H342" s="159"/>
      <c r="I342" s="159"/>
      <c r="J342" s="159"/>
      <c r="K342" s="159"/>
      <c r="L342" s="159"/>
      <c r="M342" s="606"/>
      <c r="N342" s="159"/>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row>
    <row r="343">
      <c r="A343" s="159"/>
      <c r="B343" s="159"/>
      <c r="C343" s="159"/>
      <c r="D343" s="159"/>
      <c r="E343" s="159"/>
      <c r="F343" s="159"/>
      <c r="G343" s="159"/>
      <c r="H343" s="159"/>
      <c r="I343" s="159"/>
      <c r="J343" s="159"/>
      <c r="K343" s="159"/>
      <c r="L343" s="159"/>
      <c r="M343" s="606"/>
      <c r="N343" s="159"/>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row>
    <row r="344">
      <c r="A344" s="159"/>
      <c r="B344" s="159"/>
      <c r="C344" s="159"/>
      <c r="D344" s="159"/>
      <c r="E344" s="159"/>
      <c r="F344" s="159"/>
      <c r="G344" s="159"/>
      <c r="H344" s="159"/>
      <c r="I344" s="159"/>
      <c r="J344" s="159"/>
      <c r="K344" s="159"/>
      <c r="L344" s="159"/>
      <c r="M344" s="606"/>
      <c r="N344" s="159"/>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row>
    <row r="345">
      <c r="A345" s="159"/>
      <c r="B345" s="159"/>
      <c r="C345" s="159"/>
      <c r="D345" s="159"/>
      <c r="E345" s="159"/>
      <c r="F345" s="159"/>
      <c r="G345" s="159"/>
      <c r="H345" s="159"/>
      <c r="I345" s="159"/>
      <c r="J345" s="159"/>
      <c r="K345" s="159"/>
      <c r="L345" s="159"/>
      <c r="M345" s="606"/>
      <c r="N345" s="159"/>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row>
    <row r="346">
      <c r="A346" s="159"/>
      <c r="B346" s="159"/>
      <c r="C346" s="159"/>
      <c r="D346" s="159"/>
      <c r="E346" s="159"/>
      <c r="F346" s="159"/>
      <c r="G346" s="159"/>
      <c r="H346" s="159"/>
      <c r="I346" s="159"/>
      <c r="J346" s="159"/>
      <c r="K346" s="159"/>
      <c r="L346" s="159"/>
      <c r="M346" s="606"/>
      <c r="N346" s="159"/>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row>
    <row r="347">
      <c r="A347" s="159"/>
      <c r="B347" s="159"/>
      <c r="C347" s="159"/>
      <c r="D347" s="159"/>
      <c r="E347" s="159"/>
      <c r="F347" s="159"/>
      <c r="G347" s="159"/>
      <c r="H347" s="159"/>
      <c r="I347" s="159"/>
      <c r="J347" s="159"/>
      <c r="K347" s="159"/>
      <c r="L347" s="159"/>
      <c r="M347" s="606"/>
      <c r="N347" s="159"/>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row>
    <row r="348">
      <c r="A348" s="159"/>
      <c r="B348" s="159"/>
      <c r="C348" s="159"/>
      <c r="D348" s="159"/>
      <c r="E348" s="159"/>
      <c r="F348" s="159"/>
      <c r="G348" s="159"/>
      <c r="H348" s="159"/>
      <c r="I348" s="159"/>
      <c r="J348" s="159"/>
      <c r="K348" s="159"/>
      <c r="L348" s="159"/>
      <c r="M348" s="606"/>
      <c r="N348" s="159"/>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row>
    <row r="349">
      <c r="A349" s="159"/>
      <c r="B349" s="159"/>
      <c r="C349" s="159"/>
      <c r="D349" s="159"/>
      <c r="E349" s="159"/>
      <c r="F349" s="159"/>
      <c r="G349" s="159"/>
      <c r="H349" s="159"/>
      <c r="I349" s="159"/>
      <c r="J349" s="159"/>
      <c r="K349" s="159"/>
      <c r="L349" s="159"/>
      <c r="M349" s="606"/>
      <c r="N349" s="159"/>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row>
    <row r="350">
      <c r="A350" s="159"/>
      <c r="B350" s="159"/>
      <c r="C350" s="159"/>
      <c r="D350" s="159"/>
      <c r="E350" s="159"/>
      <c r="F350" s="159"/>
      <c r="G350" s="159"/>
      <c r="H350" s="159"/>
      <c r="I350" s="159"/>
      <c r="J350" s="159"/>
      <c r="K350" s="159"/>
      <c r="L350" s="159"/>
      <c r="M350" s="606"/>
      <c r="N350" s="159"/>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row>
    <row r="351">
      <c r="A351" s="159"/>
      <c r="B351" s="159"/>
      <c r="C351" s="159"/>
      <c r="D351" s="159"/>
      <c r="E351" s="159"/>
      <c r="F351" s="159"/>
      <c r="G351" s="159"/>
      <c r="H351" s="159"/>
      <c r="I351" s="159"/>
      <c r="J351" s="159"/>
      <c r="K351" s="159"/>
      <c r="L351" s="159"/>
      <c r="M351" s="606"/>
      <c r="N351" s="159"/>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row>
    <row r="352">
      <c r="A352" s="159"/>
      <c r="B352" s="159"/>
      <c r="C352" s="159"/>
      <c r="D352" s="159"/>
      <c r="E352" s="159"/>
      <c r="F352" s="159"/>
      <c r="G352" s="159"/>
      <c r="H352" s="159"/>
      <c r="I352" s="159"/>
      <c r="J352" s="159"/>
      <c r="K352" s="159"/>
      <c r="L352" s="159"/>
      <c r="M352" s="606"/>
      <c r="N352" s="159"/>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row>
    <row r="353">
      <c r="A353" s="159"/>
      <c r="B353" s="159"/>
      <c r="C353" s="159"/>
      <c r="D353" s="159"/>
      <c r="E353" s="159"/>
      <c r="F353" s="159"/>
      <c r="G353" s="159"/>
      <c r="H353" s="159"/>
      <c r="I353" s="159"/>
      <c r="J353" s="159"/>
      <c r="K353" s="159"/>
      <c r="L353" s="159"/>
      <c r="M353" s="606"/>
      <c r="N353" s="159"/>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row>
    <row r="354">
      <c r="A354" s="159"/>
      <c r="B354" s="159"/>
      <c r="C354" s="159"/>
      <c r="D354" s="159"/>
      <c r="E354" s="159"/>
      <c r="F354" s="159"/>
      <c r="G354" s="159"/>
      <c r="H354" s="159"/>
      <c r="I354" s="159"/>
      <c r="J354" s="159"/>
      <c r="K354" s="159"/>
      <c r="L354" s="159"/>
      <c r="M354" s="606"/>
      <c r="N354" s="159"/>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row>
    <row r="355">
      <c r="A355" s="159"/>
      <c r="B355" s="159"/>
      <c r="C355" s="159"/>
      <c r="D355" s="159"/>
      <c r="E355" s="159"/>
      <c r="F355" s="159"/>
      <c r="G355" s="159"/>
      <c r="H355" s="159"/>
      <c r="I355" s="159"/>
      <c r="J355" s="159"/>
      <c r="K355" s="159"/>
      <c r="L355" s="159"/>
      <c r="M355" s="606"/>
      <c r="N355" s="159"/>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row>
    <row r="356">
      <c r="A356" s="159"/>
      <c r="B356" s="159"/>
      <c r="C356" s="159"/>
      <c r="D356" s="159"/>
      <c r="E356" s="159"/>
      <c r="F356" s="159"/>
      <c r="G356" s="159"/>
      <c r="H356" s="159"/>
      <c r="I356" s="159"/>
      <c r="J356" s="159"/>
      <c r="K356" s="159"/>
      <c r="L356" s="159"/>
      <c r="M356" s="606"/>
      <c r="N356" s="159"/>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row>
    <row r="357">
      <c r="A357" s="159"/>
      <c r="B357" s="159"/>
      <c r="C357" s="159"/>
      <c r="D357" s="159"/>
      <c r="E357" s="159"/>
      <c r="F357" s="159"/>
      <c r="G357" s="159"/>
      <c r="H357" s="159"/>
      <c r="I357" s="159"/>
      <c r="J357" s="159"/>
      <c r="K357" s="159"/>
      <c r="L357" s="159"/>
      <c r="M357" s="606"/>
      <c r="N357" s="159"/>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row>
    <row r="358">
      <c r="A358" s="159"/>
      <c r="B358" s="159"/>
      <c r="C358" s="159"/>
      <c r="D358" s="159"/>
      <c r="E358" s="159"/>
      <c r="F358" s="159"/>
      <c r="G358" s="159"/>
      <c r="H358" s="159"/>
      <c r="I358" s="159"/>
      <c r="J358" s="159"/>
      <c r="K358" s="159"/>
      <c r="L358" s="159"/>
      <c r="M358" s="606"/>
      <c r="N358" s="159"/>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row>
    <row r="359">
      <c r="A359" s="159"/>
      <c r="B359" s="159"/>
      <c r="C359" s="159"/>
      <c r="D359" s="159"/>
      <c r="E359" s="159"/>
      <c r="F359" s="159"/>
      <c r="G359" s="159"/>
      <c r="H359" s="159"/>
      <c r="I359" s="159"/>
      <c r="J359" s="159"/>
      <c r="K359" s="159"/>
      <c r="L359" s="159"/>
      <c r="M359" s="606"/>
      <c r="N359" s="159"/>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row>
    <row r="360">
      <c r="A360" s="159"/>
      <c r="B360" s="159"/>
      <c r="C360" s="159"/>
      <c r="D360" s="159"/>
      <c r="E360" s="159"/>
      <c r="F360" s="159"/>
      <c r="G360" s="159"/>
      <c r="H360" s="159"/>
      <c r="I360" s="159"/>
      <c r="J360" s="159"/>
      <c r="K360" s="159"/>
      <c r="L360" s="159"/>
      <c r="M360" s="606"/>
      <c r="N360" s="159"/>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row>
    <row r="361">
      <c r="A361" s="159"/>
      <c r="B361" s="159"/>
      <c r="C361" s="159"/>
      <c r="D361" s="159"/>
      <c r="E361" s="159"/>
      <c r="F361" s="159"/>
      <c r="G361" s="159"/>
      <c r="H361" s="159"/>
      <c r="I361" s="159"/>
      <c r="J361" s="159"/>
      <c r="K361" s="159"/>
      <c r="L361" s="159"/>
      <c r="M361" s="606"/>
      <c r="N361" s="159"/>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row>
    <row r="362">
      <c r="A362" s="159"/>
      <c r="B362" s="159"/>
      <c r="C362" s="159"/>
      <c r="D362" s="159"/>
      <c r="E362" s="159"/>
      <c r="F362" s="159"/>
      <c r="G362" s="159"/>
      <c r="H362" s="159"/>
      <c r="I362" s="159"/>
      <c r="J362" s="159"/>
      <c r="K362" s="159"/>
      <c r="L362" s="159"/>
      <c r="M362" s="606"/>
      <c r="N362" s="159"/>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row>
    <row r="363">
      <c r="A363" s="159"/>
      <c r="B363" s="159"/>
      <c r="C363" s="159"/>
      <c r="D363" s="159"/>
      <c r="E363" s="159"/>
      <c r="F363" s="159"/>
      <c r="G363" s="159"/>
      <c r="H363" s="159"/>
      <c r="I363" s="159"/>
      <c r="J363" s="159"/>
      <c r="K363" s="159"/>
      <c r="L363" s="159"/>
      <c r="M363" s="606"/>
      <c r="N363" s="159"/>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row>
    <row r="364">
      <c r="A364" s="159"/>
      <c r="B364" s="159"/>
      <c r="C364" s="159"/>
      <c r="D364" s="159"/>
      <c r="E364" s="159"/>
      <c r="F364" s="159"/>
      <c r="G364" s="159"/>
      <c r="H364" s="159"/>
      <c r="I364" s="159"/>
      <c r="J364" s="159"/>
      <c r="K364" s="159"/>
      <c r="L364" s="159"/>
      <c r="M364" s="606"/>
      <c r="N364" s="159"/>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row>
    <row r="365">
      <c r="A365" s="159"/>
      <c r="B365" s="159"/>
      <c r="C365" s="159"/>
      <c r="D365" s="159"/>
      <c r="E365" s="159"/>
      <c r="F365" s="159"/>
      <c r="G365" s="159"/>
      <c r="H365" s="159"/>
      <c r="I365" s="159"/>
      <c r="J365" s="159"/>
      <c r="K365" s="159"/>
      <c r="L365" s="159"/>
      <c r="M365" s="606"/>
      <c r="N365" s="159"/>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row>
    <row r="366">
      <c r="A366" s="159"/>
      <c r="B366" s="159"/>
      <c r="C366" s="159"/>
      <c r="D366" s="159"/>
      <c r="E366" s="159"/>
      <c r="F366" s="159"/>
      <c r="G366" s="159"/>
      <c r="H366" s="159"/>
      <c r="I366" s="159"/>
      <c r="J366" s="159"/>
      <c r="K366" s="159"/>
      <c r="L366" s="159"/>
      <c r="M366" s="606"/>
      <c r="N366" s="159"/>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row>
    <row r="367">
      <c r="A367" s="159"/>
      <c r="B367" s="159"/>
      <c r="C367" s="159"/>
      <c r="D367" s="159"/>
      <c r="E367" s="159"/>
      <c r="F367" s="159"/>
      <c r="G367" s="159"/>
      <c r="H367" s="159"/>
      <c r="I367" s="159"/>
      <c r="J367" s="159"/>
      <c r="K367" s="159"/>
      <c r="L367" s="159"/>
      <c r="M367" s="606"/>
      <c r="N367" s="159"/>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row>
    <row r="368">
      <c r="A368" s="159"/>
      <c r="B368" s="159"/>
      <c r="C368" s="159"/>
      <c r="D368" s="159"/>
      <c r="E368" s="159"/>
      <c r="F368" s="159"/>
      <c r="G368" s="159"/>
      <c r="H368" s="159"/>
      <c r="I368" s="159"/>
      <c r="J368" s="159"/>
      <c r="K368" s="159"/>
      <c r="L368" s="159"/>
      <c r="M368" s="606"/>
      <c r="N368" s="159"/>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row>
    <row r="369">
      <c r="A369" s="159"/>
      <c r="B369" s="159"/>
      <c r="C369" s="159"/>
      <c r="D369" s="159"/>
      <c r="E369" s="159"/>
      <c r="F369" s="159"/>
      <c r="G369" s="159"/>
      <c r="H369" s="159"/>
      <c r="I369" s="159"/>
      <c r="J369" s="159"/>
      <c r="K369" s="159"/>
      <c r="L369" s="159"/>
      <c r="M369" s="606"/>
      <c r="N369" s="159"/>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row>
    <row r="370">
      <c r="A370" s="159"/>
      <c r="B370" s="159"/>
      <c r="C370" s="159"/>
      <c r="D370" s="159"/>
      <c r="E370" s="159"/>
      <c r="F370" s="159"/>
      <c r="G370" s="159"/>
      <c r="H370" s="159"/>
      <c r="I370" s="159"/>
      <c r="J370" s="159"/>
      <c r="K370" s="159"/>
      <c r="L370" s="159"/>
      <c r="M370" s="606"/>
      <c r="N370" s="159"/>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row>
    <row r="371">
      <c r="A371" s="159"/>
      <c r="B371" s="159"/>
      <c r="C371" s="159"/>
      <c r="D371" s="159"/>
      <c r="E371" s="159"/>
      <c r="F371" s="159"/>
      <c r="G371" s="159"/>
      <c r="H371" s="159"/>
      <c r="I371" s="159"/>
      <c r="J371" s="159"/>
      <c r="K371" s="159"/>
      <c r="L371" s="159"/>
      <c r="M371" s="606"/>
      <c r="N371" s="159"/>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row>
    <row r="372">
      <c r="A372" s="159"/>
      <c r="B372" s="159"/>
      <c r="C372" s="159"/>
      <c r="D372" s="159"/>
      <c r="E372" s="159"/>
      <c r="F372" s="159"/>
      <c r="G372" s="159"/>
      <c r="H372" s="159"/>
      <c r="I372" s="159"/>
      <c r="J372" s="159"/>
      <c r="K372" s="159"/>
      <c r="L372" s="159"/>
      <c r="M372" s="606"/>
      <c r="N372" s="159"/>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row>
    <row r="373">
      <c r="A373" s="159"/>
      <c r="B373" s="159"/>
      <c r="C373" s="159"/>
      <c r="D373" s="159"/>
      <c r="E373" s="159"/>
      <c r="F373" s="159"/>
      <c r="G373" s="159"/>
      <c r="H373" s="159"/>
      <c r="I373" s="159"/>
      <c r="J373" s="159"/>
      <c r="K373" s="159"/>
      <c r="L373" s="159"/>
      <c r="M373" s="606"/>
      <c r="N373" s="159"/>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row>
    <row r="374">
      <c r="A374" s="159"/>
      <c r="B374" s="159"/>
      <c r="C374" s="159"/>
      <c r="D374" s="159"/>
      <c r="E374" s="159"/>
      <c r="F374" s="159"/>
      <c r="G374" s="159"/>
      <c r="H374" s="159"/>
      <c r="I374" s="159"/>
      <c r="J374" s="159"/>
      <c r="K374" s="159"/>
      <c r="L374" s="159"/>
      <c r="M374" s="606"/>
      <c r="N374" s="159"/>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row>
    <row r="375">
      <c r="A375" s="159"/>
      <c r="B375" s="159"/>
      <c r="C375" s="159"/>
      <c r="D375" s="159"/>
      <c r="E375" s="159"/>
      <c r="F375" s="159"/>
      <c r="G375" s="159"/>
      <c r="H375" s="159"/>
      <c r="I375" s="159"/>
      <c r="J375" s="159"/>
      <c r="K375" s="159"/>
      <c r="L375" s="159"/>
      <c r="M375" s="606"/>
      <c r="N375" s="159"/>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row>
    <row r="376">
      <c r="A376" s="159"/>
      <c r="B376" s="159"/>
      <c r="C376" s="159"/>
      <c r="D376" s="159"/>
      <c r="E376" s="159"/>
      <c r="F376" s="159"/>
      <c r="G376" s="159"/>
      <c r="H376" s="159"/>
      <c r="I376" s="159"/>
      <c r="J376" s="159"/>
      <c r="K376" s="159"/>
      <c r="L376" s="159"/>
      <c r="M376" s="606"/>
      <c r="N376" s="159"/>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row>
    <row r="377">
      <c r="A377" s="159"/>
      <c r="B377" s="159"/>
      <c r="C377" s="159"/>
      <c r="D377" s="159"/>
      <c r="E377" s="159"/>
      <c r="F377" s="159"/>
      <c r="G377" s="159"/>
      <c r="H377" s="159"/>
      <c r="I377" s="159"/>
      <c r="J377" s="159"/>
      <c r="K377" s="159"/>
      <c r="L377" s="159"/>
      <c r="M377" s="606"/>
      <c r="N377" s="159"/>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row>
    <row r="378">
      <c r="A378" s="159"/>
      <c r="B378" s="159"/>
      <c r="C378" s="159"/>
      <c r="D378" s="159"/>
      <c r="E378" s="159"/>
      <c r="F378" s="159"/>
      <c r="G378" s="159"/>
      <c r="H378" s="159"/>
      <c r="I378" s="159"/>
      <c r="J378" s="159"/>
      <c r="K378" s="159"/>
      <c r="L378" s="159"/>
      <c r="M378" s="606"/>
      <c r="N378" s="159"/>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row>
    <row r="379">
      <c r="A379" s="159"/>
      <c r="B379" s="159"/>
      <c r="C379" s="159"/>
      <c r="D379" s="159"/>
      <c r="E379" s="159"/>
      <c r="F379" s="159"/>
      <c r="G379" s="159"/>
      <c r="H379" s="159"/>
      <c r="I379" s="159"/>
      <c r="J379" s="159"/>
      <c r="K379" s="159"/>
      <c r="L379" s="159"/>
      <c r="M379" s="606"/>
      <c r="N379" s="159"/>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row>
    <row r="380">
      <c r="A380" s="159"/>
      <c r="B380" s="159"/>
      <c r="C380" s="159"/>
      <c r="D380" s="159"/>
      <c r="E380" s="159"/>
      <c r="F380" s="159"/>
      <c r="G380" s="159"/>
      <c r="H380" s="159"/>
      <c r="I380" s="159"/>
      <c r="J380" s="159"/>
      <c r="K380" s="159"/>
      <c r="L380" s="159"/>
      <c r="M380" s="606"/>
      <c r="N380" s="159"/>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row>
    <row r="381">
      <c r="A381" s="159"/>
      <c r="B381" s="159"/>
      <c r="C381" s="159"/>
      <c r="D381" s="159"/>
      <c r="E381" s="159"/>
      <c r="F381" s="159"/>
      <c r="G381" s="159"/>
      <c r="H381" s="159"/>
      <c r="I381" s="159"/>
      <c r="J381" s="159"/>
      <c r="K381" s="159"/>
      <c r="L381" s="159"/>
      <c r="M381" s="606"/>
      <c r="N381" s="159"/>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row>
    <row r="382">
      <c r="A382" s="159"/>
      <c r="B382" s="159"/>
      <c r="C382" s="159"/>
      <c r="D382" s="159"/>
      <c r="E382" s="159"/>
      <c r="F382" s="159"/>
      <c r="G382" s="159"/>
      <c r="H382" s="159"/>
      <c r="I382" s="159"/>
      <c r="J382" s="159"/>
      <c r="K382" s="159"/>
      <c r="L382" s="159"/>
      <c r="M382" s="606"/>
      <c r="N382" s="159"/>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row>
    <row r="383">
      <c r="A383" s="159"/>
      <c r="B383" s="159"/>
      <c r="C383" s="159"/>
      <c r="D383" s="159"/>
      <c r="E383" s="159"/>
      <c r="F383" s="159"/>
      <c r="G383" s="159"/>
      <c r="H383" s="159"/>
      <c r="I383" s="159"/>
      <c r="J383" s="159"/>
      <c r="K383" s="159"/>
      <c r="L383" s="159"/>
      <c r="M383" s="606"/>
      <c r="N383" s="159"/>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row>
    <row r="384">
      <c r="A384" s="159"/>
      <c r="B384" s="159"/>
      <c r="C384" s="159"/>
      <c r="D384" s="159"/>
      <c r="E384" s="159"/>
      <c r="F384" s="159"/>
      <c r="G384" s="159"/>
      <c r="H384" s="159"/>
      <c r="I384" s="159"/>
      <c r="J384" s="159"/>
      <c r="K384" s="159"/>
      <c r="L384" s="159"/>
      <c r="M384" s="606"/>
      <c r="N384" s="159"/>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row>
    <row r="385">
      <c r="A385" s="159"/>
      <c r="B385" s="159"/>
      <c r="C385" s="159"/>
      <c r="D385" s="159"/>
      <c r="E385" s="159"/>
      <c r="F385" s="159"/>
      <c r="G385" s="159"/>
      <c r="H385" s="159"/>
      <c r="I385" s="159"/>
      <c r="J385" s="159"/>
      <c r="K385" s="159"/>
      <c r="L385" s="159"/>
      <c r="M385" s="606"/>
      <c r="N385" s="159"/>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row>
    <row r="386">
      <c r="A386" s="159"/>
      <c r="B386" s="159"/>
      <c r="C386" s="159"/>
      <c r="D386" s="159"/>
      <c r="E386" s="159"/>
      <c r="F386" s="159"/>
      <c r="G386" s="159"/>
      <c r="H386" s="159"/>
      <c r="I386" s="159"/>
      <c r="J386" s="159"/>
      <c r="K386" s="159"/>
      <c r="L386" s="159"/>
      <c r="M386" s="606"/>
      <c r="N386" s="159"/>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row>
    <row r="387">
      <c r="A387" s="159"/>
      <c r="B387" s="159"/>
      <c r="C387" s="159"/>
      <c r="D387" s="159"/>
      <c r="E387" s="159"/>
      <c r="F387" s="159"/>
      <c r="G387" s="159"/>
      <c r="H387" s="159"/>
      <c r="I387" s="159"/>
      <c r="J387" s="159"/>
      <c r="K387" s="159"/>
      <c r="L387" s="159"/>
      <c r="M387" s="606"/>
      <c r="N387" s="159"/>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row>
    <row r="388">
      <c r="A388" s="159"/>
      <c r="B388" s="159"/>
      <c r="C388" s="159"/>
      <c r="D388" s="159"/>
      <c r="E388" s="159"/>
      <c r="F388" s="159"/>
      <c r="G388" s="159"/>
      <c r="H388" s="159"/>
      <c r="I388" s="159"/>
      <c r="J388" s="159"/>
      <c r="K388" s="159"/>
      <c r="L388" s="159"/>
      <c r="M388" s="606"/>
      <c r="N388" s="159"/>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row>
    <row r="389">
      <c r="A389" s="159"/>
      <c r="B389" s="159"/>
      <c r="C389" s="159"/>
      <c r="D389" s="159"/>
      <c r="E389" s="159"/>
      <c r="F389" s="159"/>
      <c r="G389" s="159"/>
      <c r="H389" s="159"/>
      <c r="I389" s="159"/>
      <c r="J389" s="159"/>
      <c r="K389" s="159"/>
      <c r="L389" s="159"/>
      <c r="M389" s="606"/>
      <c r="N389" s="159"/>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row>
    <row r="390">
      <c r="A390" s="159"/>
      <c r="B390" s="159"/>
      <c r="C390" s="159"/>
      <c r="D390" s="159"/>
      <c r="E390" s="159"/>
      <c r="F390" s="159"/>
      <c r="G390" s="159"/>
      <c r="H390" s="159"/>
      <c r="I390" s="159"/>
      <c r="J390" s="159"/>
      <c r="K390" s="159"/>
      <c r="L390" s="159"/>
      <c r="M390" s="606"/>
      <c r="N390" s="159"/>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row>
    <row r="391">
      <c r="A391" s="159"/>
      <c r="B391" s="159"/>
      <c r="C391" s="159"/>
      <c r="D391" s="159"/>
      <c r="E391" s="159"/>
      <c r="F391" s="159"/>
      <c r="G391" s="159"/>
      <c r="H391" s="159"/>
      <c r="I391" s="159"/>
      <c r="J391" s="159"/>
      <c r="K391" s="159"/>
      <c r="L391" s="159"/>
      <c r="M391" s="606"/>
      <c r="N391" s="159"/>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row>
    <row r="392">
      <c r="A392" s="159"/>
      <c r="B392" s="159"/>
      <c r="C392" s="159"/>
      <c r="D392" s="159"/>
      <c r="E392" s="159"/>
      <c r="F392" s="159"/>
      <c r="G392" s="159"/>
      <c r="H392" s="159"/>
      <c r="I392" s="159"/>
      <c r="J392" s="159"/>
      <c r="K392" s="159"/>
      <c r="L392" s="159"/>
      <c r="M392" s="606"/>
      <c r="N392" s="159"/>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row>
    <row r="393">
      <c r="A393" s="159"/>
      <c r="B393" s="159"/>
      <c r="C393" s="159"/>
      <c r="D393" s="159"/>
      <c r="E393" s="159"/>
      <c r="F393" s="159"/>
      <c r="G393" s="159"/>
      <c r="H393" s="159"/>
      <c r="I393" s="159"/>
      <c r="J393" s="159"/>
      <c r="K393" s="159"/>
      <c r="L393" s="159"/>
      <c r="M393" s="606"/>
      <c r="N393" s="159"/>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row>
    <row r="394">
      <c r="A394" s="159"/>
      <c r="B394" s="159"/>
      <c r="C394" s="159"/>
      <c r="D394" s="159"/>
      <c r="E394" s="159"/>
      <c r="F394" s="159"/>
      <c r="G394" s="159"/>
      <c r="H394" s="159"/>
      <c r="I394" s="159"/>
      <c r="J394" s="159"/>
      <c r="K394" s="159"/>
      <c r="L394" s="159"/>
      <c r="M394" s="606"/>
      <c r="N394" s="159"/>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row>
    <row r="395">
      <c r="A395" s="159"/>
      <c r="B395" s="159"/>
      <c r="C395" s="159"/>
      <c r="D395" s="159"/>
      <c r="E395" s="159"/>
      <c r="F395" s="159"/>
      <c r="G395" s="159"/>
      <c r="H395" s="159"/>
      <c r="I395" s="159"/>
      <c r="J395" s="159"/>
      <c r="K395" s="159"/>
      <c r="L395" s="159"/>
      <c r="M395" s="606"/>
      <c r="N395" s="159"/>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row>
    <row r="396">
      <c r="A396" s="159"/>
      <c r="B396" s="159"/>
      <c r="C396" s="159"/>
      <c r="D396" s="159"/>
      <c r="E396" s="159"/>
      <c r="F396" s="159"/>
      <c r="G396" s="159"/>
      <c r="H396" s="159"/>
      <c r="I396" s="159"/>
      <c r="J396" s="159"/>
      <c r="K396" s="159"/>
      <c r="L396" s="159"/>
      <c r="M396" s="606"/>
      <c r="N396" s="159"/>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row>
    <row r="397">
      <c r="A397" s="159"/>
      <c r="B397" s="159"/>
      <c r="C397" s="159"/>
      <c r="D397" s="159"/>
      <c r="E397" s="159"/>
      <c r="F397" s="159"/>
      <c r="G397" s="159"/>
      <c r="H397" s="159"/>
      <c r="I397" s="159"/>
      <c r="J397" s="159"/>
      <c r="K397" s="159"/>
      <c r="L397" s="159"/>
      <c r="M397" s="606"/>
      <c r="N397" s="159"/>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row>
    <row r="398">
      <c r="A398" s="159"/>
      <c r="B398" s="159"/>
      <c r="C398" s="159"/>
      <c r="D398" s="159"/>
      <c r="E398" s="159"/>
      <c r="F398" s="159"/>
      <c r="G398" s="159"/>
      <c r="H398" s="159"/>
      <c r="I398" s="159"/>
      <c r="J398" s="159"/>
      <c r="K398" s="159"/>
      <c r="L398" s="159"/>
      <c r="M398" s="606"/>
      <c r="N398" s="159"/>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row>
    <row r="399">
      <c r="A399" s="159"/>
      <c r="B399" s="159"/>
      <c r="C399" s="159"/>
      <c r="D399" s="159"/>
      <c r="E399" s="159"/>
      <c r="F399" s="159"/>
      <c r="G399" s="159"/>
      <c r="H399" s="159"/>
      <c r="I399" s="159"/>
      <c r="J399" s="159"/>
      <c r="K399" s="159"/>
      <c r="L399" s="159"/>
      <c r="M399" s="606"/>
      <c r="N399" s="159"/>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row>
    <row r="400">
      <c r="A400" s="159"/>
      <c r="B400" s="159"/>
      <c r="C400" s="159"/>
      <c r="D400" s="159"/>
      <c r="E400" s="159"/>
      <c r="F400" s="159"/>
      <c r="G400" s="159"/>
      <c r="H400" s="159"/>
      <c r="I400" s="159"/>
      <c r="J400" s="159"/>
      <c r="K400" s="159"/>
      <c r="L400" s="159"/>
      <c r="M400" s="606"/>
      <c r="N400" s="159"/>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row>
    <row r="401">
      <c r="A401" s="159"/>
      <c r="B401" s="159"/>
      <c r="C401" s="159"/>
      <c r="D401" s="159"/>
      <c r="E401" s="159"/>
      <c r="F401" s="159"/>
      <c r="G401" s="159"/>
      <c r="H401" s="159"/>
      <c r="I401" s="159"/>
      <c r="J401" s="159"/>
      <c r="K401" s="159"/>
      <c r="L401" s="159"/>
      <c r="M401" s="606"/>
      <c r="N401" s="159"/>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row>
    <row r="402">
      <c r="A402" s="159"/>
      <c r="B402" s="159"/>
      <c r="C402" s="159"/>
      <c r="D402" s="159"/>
      <c r="E402" s="159"/>
      <c r="F402" s="159"/>
      <c r="G402" s="159"/>
      <c r="H402" s="159"/>
      <c r="I402" s="159"/>
      <c r="J402" s="159"/>
      <c r="K402" s="159"/>
      <c r="L402" s="159"/>
      <c r="M402" s="606"/>
      <c r="N402" s="159"/>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row>
    <row r="403">
      <c r="A403" s="159"/>
      <c r="B403" s="159"/>
      <c r="C403" s="159"/>
      <c r="D403" s="159"/>
      <c r="E403" s="159"/>
      <c r="F403" s="159"/>
      <c r="G403" s="159"/>
      <c r="H403" s="159"/>
      <c r="I403" s="159"/>
      <c r="J403" s="159"/>
      <c r="K403" s="159"/>
      <c r="L403" s="159"/>
      <c r="M403" s="606"/>
      <c r="N403" s="159"/>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row>
    <row r="404">
      <c r="A404" s="159"/>
      <c r="B404" s="159"/>
      <c r="C404" s="159"/>
      <c r="D404" s="159"/>
      <c r="E404" s="159"/>
      <c r="F404" s="159"/>
      <c r="G404" s="159"/>
      <c r="H404" s="159"/>
      <c r="I404" s="159"/>
      <c r="J404" s="159"/>
      <c r="K404" s="159"/>
      <c r="L404" s="159"/>
      <c r="M404" s="606"/>
      <c r="N404" s="159"/>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row>
    <row r="405">
      <c r="A405" s="159"/>
      <c r="B405" s="159"/>
      <c r="C405" s="159"/>
      <c r="D405" s="159"/>
      <c r="E405" s="159"/>
      <c r="F405" s="159"/>
      <c r="G405" s="159"/>
      <c r="H405" s="159"/>
      <c r="I405" s="159"/>
      <c r="J405" s="159"/>
      <c r="K405" s="159"/>
      <c r="L405" s="159"/>
      <c r="M405" s="606"/>
      <c r="N405" s="159"/>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row>
    <row r="406">
      <c r="A406" s="159"/>
      <c r="B406" s="159"/>
      <c r="C406" s="159"/>
      <c r="D406" s="159"/>
      <c r="E406" s="159"/>
      <c r="F406" s="159"/>
      <c r="G406" s="159"/>
      <c r="H406" s="159"/>
      <c r="I406" s="159"/>
      <c r="J406" s="159"/>
      <c r="K406" s="159"/>
      <c r="L406" s="159"/>
      <c r="M406" s="606"/>
      <c r="N406" s="159"/>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row>
    <row r="407">
      <c r="A407" s="159"/>
      <c r="B407" s="159"/>
      <c r="C407" s="159"/>
      <c r="D407" s="159"/>
      <c r="E407" s="159"/>
      <c r="F407" s="159"/>
      <c r="G407" s="159"/>
      <c r="H407" s="159"/>
      <c r="I407" s="159"/>
      <c r="J407" s="159"/>
      <c r="K407" s="159"/>
      <c r="L407" s="159"/>
      <c r="M407" s="606"/>
      <c r="N407" s="159"/>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row>
    <row r="408">
      <c r="A408" s="159"/>
      <c r="B408" s="159"/>
      <c r="C408" s="159"/>
      <c r="D408" s="159"/>
      <c r="E408" s="159"/>
      <c r="F408" s="159"/>
      <c r="G408" s="159"/>
      <c r="H408" s="159"/>
      <c r="I408" s="159"/>
      <c r="J408" s="159"/>
      <c r="K408" s="159"/>
      <c r="L408" s="159"/>
      <c r="M408" s="606"/>
      <c r="N408" s="159"/>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row>
    <row r="409">
      <c r="A409" s="159"/>
      <c r="B409" s="159"/>
      <c r="C409" s="159"/>
      <c r="D409" s="159"/>
      <c r="E409" s="159"/>
      <c r="F409" s="159"/>
      <c r="G409" s="159"/>
      <c r="H409" s="159"/>
      <c r="I409" s="159"/>
      <c r="J409" s="159"/>
      <c r="K409" s="159"/>
      <c r="L409" s="159"/>
      <c r="M409" s="606"/>
      <c r="N409" s="159"/>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row>
    <row r="410">
      <c r="A410" s="159"/>
      <c r="B410" s="159"/>
      <c r="C410" s="159"/>
      <c r="D410" s="159"/>
      <c r="E410" s="159"/>
      <c r="F410" s="159"/>
      <c r="G410" s="159"/>
      <c r="H410" s="159"/>
      <c r="I410" s="159"/>
      <c r="J410" s="159"/>
      <c r="K410" s="159"/>
      <c r="L410" s="159"/>
      <c r="M410" s="606"/>
      <c r="N410" s="159"/>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row>
    <row r="411">
      <c r="A411" s="159"/>
      <c r="B411" s="159"/>
      <c r="C411" s="159"/>
      <c r="D411" s="159"/>
      <c r="E411" s="159"/>
      <c r="F411" s="159"/>
      <c r="G411" s="159"/>
      <c r="H411" s="159"/>
      <c r="I411" s="159"/>
      <c r="J411" s="159"/>
      <c r="K411" s="159"/>
      <c r="L411" s="159"/>
      <c r="M411" s="606"/>
      <c r="N411" s="159"/>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row>
    <row r="412">
      <c r="A412" s="159"/>
      <c r="B412" s="159"/>
      <c r="C412" s="159"/>
      <c r="D412" s="159"/>
      <c r="E412" s="159"/>
      <c r="F412" s="159"/>
      <c r="G412" s="159"/>
      <c r="H412" s="159"/>
      <c r="I412" s="159"/>
      <c r="J412" s="159"/>
      <c r="K412" s="159"/>
      <c r="L412" s="159"/>
      <c r="M412" s="606"/>
      <c r="N412" s="159"/>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row>
    <row r="413">
      <c r="A413" s="159"/>
      <c r="B413" s="159"/>
      <c r="C413" s="159"/>
      <c r="D413" s="159"/>
      <c r="E413" s="159"/>
      <c r="F413" s="159"/>
      <c r="G413" s="159"/>
      <c r="H413" s="159"/>
      <c r="I413" s="159"/>
      <c r="J413" s="159"/>
      <c r="K413" s="159"/>
      <c r="L413" s="159"/>
      <c r="M413" s="606"/>
      <c r="N413" s="159"/>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row>
    <row r="414">
      <c r="A414" s="159"/>
      <c r="B414" s="159"/>
      <c r="C414" s="159"/>
      <c r="D414" s="159"/>
      <c r="E414" s="159"/>
      <c r="F414" s="159"/>
      <c r="G414" s="159"/>
      <c r="H414" s="159"/>
      <c r="I414" s="159"/>
      <c r="J414" s="159"/>
      <c r="K414" s="159"/>
      <c r="L414" s="159"/>
      <c r="M414" s="606"/>
      <c r="N414" s="159"/>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row>
    <row r="415">
      <c r="A415" s="159"/>
      <c r="B415" s="159"/>
      <c r="C415" s="159"/>
      <c r="D415" s="159"/>
      <c r="E415" s="159"/>
      <c r="F415" s="159"/>
      <c r="G415" s="159"/>
      <c r="H415" s="159"/>
      <c r="I415" s="159"/>
      <c r="J415" s="159"/>
      <c r="K415" s="159"/>
      <c r="L415" s="159"/>
      <c r="M415" s="606"/>
      <c r="N415" s="159"/>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row>
    <row r="416">
      <c r="A416" s="159"/>
      <c r="B416" s="159"/>
      <c r="C416" s="159"/>
      <c r="D416" s="159"/>
      <c r="E416" s="159"/>
      <c r="F416" s="159"/>
      <c r="G416" s="159"/>
      <c r="H416" s="159"/>
      <c r="I416" s="159"/>
      <c r="J416" s="159"/>
      <c r="K416" s="159"/>
      <c r="L416" s="159"/>
      <c r="M416" s="606"/>
      <c r="N416" s="159"/>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row>
    <row r="417">
      <c r="A417" s="159"/>
      <c r="B417" s="159"/>
      <c r="C417" s="159"/>
      <c r="D417" s="159"/>
      <c r="E417" s="159"/>
      <c r="F417" s="159"/>
      <c r="G417" s="159"/>
      <c r="H417" s="159"/>
      <c r="I417" s="159"/>
      <c r="J417" s="159"/>
      <c r="K417" s="159"/>
      <c r="L417" s="159"/>
      <c r="M417" s="606"/>
      <c r="N417" s="159"/>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row>
    <row r="418">
      <c r="A418" s="159"/>
      <c r="B418" s="159"/>
      <c r="C418" s="159"/>
      <c r="D418" s="159"/>
      <c r="E418" s="159"/>
      <c r="F418" s="159"/>
      <c r="G418" s="159"/>
      <c r="H418" s="159"/>
      <c r="I418" s="159"/>
      <c r="J418" s="159"/>
      <c r="K418" s="159"/>
      <c r="L418" s="159"/>
      <c r="M418" s="606"/>
      <c r="N418" s="159"/>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row>
    <row r="419">
      <c r="A419" s="159"/>
      <c r="B419" s="159"/>
      <c r="C419" s="159"/>
      <c r="D419" s="159"/>
      <c r="E419" s="159"/>
      <c r="F419" s="159"/>
      <c r="G419" s="159"/>
      <c r="H419" s="159"/>
      <c r="I419" s="159"/>
      <c r="J419" s="159"/>
      <c r="K419" s="159"/>
      <c r="L419" s="159"/>
      <c r="M419" s="606"/>
      <c r="N419" s="159"/>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row>
    <row r="420">
      <c r="A420" s="159"/>
      <c r="B420" s="159"/>
      <c r="C420" s="159"/>
      <c r="D420" s="159"/>
      <c r="E420" s="159"/>
      <c r="F420" s="159"/>
      <c r="G420" s="159"/>
      <c r="H420" s="159"/>
      <c r="I420" s="159"/>
      <c r="J420" s="159"/>
      <c r="K420" s="159"/>
      <c r="L420" s="159"/>
      <c r="M420" s="606"/>
      <c r="N420" s="159"/>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row>
    <row r="421">
      <c r="A421" s="159"/>
      <c r="B421" s="159"/>
      <c r="C421" s="159"/>
      <c r="D421" s="159"/>
      <c r="E421" s="159"/>
      <c r="F421" s="159"/>
      <c r="G421" s="159"/>
      <c r="H421" s="159"/>
      <c r="I421" s="159"/>
      <c r="J421" s="159"/>
      <c r="K421" s="159"/>
      <c r="L421" s="159"/>
      <c r="M421" s="606"/>
      <c r="N421" s="159"/>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row>
    <row r="422">
      <c r="A422" s="159"/>
      <c r="B422" s="159"/>
      <c r="C422" s="159"/>
      <c r="D422" s="159"/>
      <c r="E422" s="159"/>
      <c r="F422" s="159"/>
      <c r="G422" s="159"/>
      <c r="H422" s="159"/>
      <c r="I422" s="159"/>
      <c r="J422" s="159"/>
      <c r="K422" s="159"/>
      <c r="L422" s="159"/>
      <c r="M422" s="606"/>
      <c r="N422" s="159"/>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row>
    <row r="423">
      <c r="A423" s="159"/>
      <c r="B423" s="159"/>
      <c r="C423" s="159"/>
      <c r="D423" s="159"/>
      <c r="E423" s="159"/>
      <c r="F423" s="159"/>
      <c r="G423" s="159"/>
      <c r="H423" s="159"/>
      <c r="I423" s="159"/>
      <c r="J423" s="159"/>
      <c r="K423" s="159"/>
      <c r="L423" s="159"/>
      <c r="M423" s="606"/>
      <c r="N423" s="159"/>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row>
    <row r="424">
      <c r="A424" s="159"/>
      <c r="B424" s="159"/>
      <c r="C424" s="159"/>
      <c r="D424" s="159"/>
      <c r="E424" s="159"/>
      <c r="F424" s="159"/>
      <c r="G424" s="159"/>
      <c r="H424" s="159"/>
      <c r="I424" s="159"/>
      <c r="J424" s="159"/>
      <c r="K424" s="159"/>
      <c r="L424" s="159"/>
      <c r="M424" s="606"/>
      <c r="N424" s="159"/>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row>
    <row r="425">
      <c r="A425" s="159"/>
      <c r="B425" s="159"/>
      <c r="C425" s="159"/>
      <c r="D425" s="159"/>
      <c r="E425" s="159"/>
      <c r="F425" s="159"/>
      <c r="G425" s="159"/>
      <c r="H425" s="159"/>
      <c r="I425" s="159"/>
      <c r="J425" s="159"/>
      <c r="K425" s="159"/>
      <c r="L425" s="159"/>
      <c r="M425" s="606"/>
      <c r="N425" s="159"/>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row>
    <row r="426">
      <c r="A426" s="159"/>
      <c r="B426" s="159"/>
      <c r="C426" s="159"/>
      <c r="D426" s="159"/>
      <c r="E426" s="159"/>
      <c r="F426" s="159"/>
      <c r="G426" s="159"/>
      <c r="H426" s="159"/>
      <c r="I426" s="159"/>
      <c r="J426" s="159"/>
      <c r="K426" s="159"/>
      <c r="L426" s="159"/>
      <c r="M426" s="606"/>
      <c r="N426" s="159"/>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row>
    <row r="427">
      <c r="A427" s="159"/>
      <c r="B427" s="159"/>
      <c r="C427" s="159"/>
      <c r="D427" s="159"/>
      <c r="E427" s="159"/>
      <c r="F427" s="159"/>
      <c r="G427" s="159"/>
      <c r="H427" s="159"/>
      <c r="I427" s="159"/>
      <c r="J427" s="159"/>
      <c r="K427" s="159"/>
      <c r="L427" s="159"/>
      <c r="M427" s="606"/>
      <c r="N427" s="159"/>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row>
    <row r="428">
      <c r="A428" s="159"/>
      <c r="B428" s="159"/>
      <c r="C428" s="159"/>
      <c r="D428" s="159"/>
      <c r="E428" s="159"/>
      <c r="F428" s="159"/>
      <c r="G428" s="159"/>
      <c r="H428" s="159"/>
      <c r="I428" s="159"/>
      <c r="J428" s="159"/>
      <c r="K428" s="159"/>
      <c r="L428" s="159"/>
      <c r="M428" s="606"/>
      <c r="N428" s="159"/>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row>
    <row r="429">
      <c r="A429" s="159"/>
      <c r="B429" s="159"/>
      <c r="C429" s="159"/>
      <c r="D429" s="159"/>
      <c r="E429" s="159"/>
      <c r="F429" s="159"/>
      <c r="G429" s="159"/>
      <c r="H429" s="159"/>
      <c r="I429" s="159"/>
      <c r="J429" s="159"/>
      <c r="K429" s="159"/>
      <c r="L429" s="159"/>
      <c r="M429" s="606"/>
      <c r="N429" s="159"/>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row>
    <row r="430">
      <c r="A430" s="159"/>
      <c r="B430" s="159"/>
      <c r="C430" s="159"/>
      <c r="D430" s="159"/>
      <c r="E430" s="159"/>
      <c r="F430" s="159"/>
      <c r="G430" s="159"/>
      <c r="H430" s="159"/>
      <c r="I430" s="159"/>
      <c r="J430" s="159"/>
      <c r="K430" s="159"/>
      <c r="L430" s="159"/>
      <c r="M430" s="606"/>
      <c r="N430" s="159"/>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row>
    <row r="431">
      <c r="A431" s="159"/>
      <c r="B431" s="159"/>
      <c r="C431" s="159"/>
      <c r="D431" s="159"/>
      <c r="E431" s="159"/>
      <c r="F431" s="159"/>
      <c r="G431" s="159"/>
      <c r="H431" s="159"/>
      <c r="I431" s="159"/>
      <c r="J431" s="159"/>
      <c r="K431" s="159"/>
      <c r="L431" s="159"/>
      <c r="M431" s="606"/>
      <c r="N431" s="159"/>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row>
    <row r="432">
      <c r="A432" s="159"/>
      <c r="B432" s="159"/>
      <c r="C432" s="159"/>
      <c r="D432" s="159"/>
      <c r="E432" s="159"/>
      <c r="F432" s="159"/>
      <c r="G432" s="159"/>
      <c r="H432" s="159"/>
      <c r="I432" s="159"/>
      <c r="J432" s="159"/>
      <c r="K432" s="159"/>
      <c r="L432" s="159"/>
      <c r="M432" s="606"/>
      <c r="N432" s="159"/>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row>
    <row r="433">
      <c r="A433" s="159"/>
      <c r="B433" s="159"/>
      <c r="C433" s="159"/>
      <c r="D433" s="159"/>
      <c r="E433" s="159"/>
      <c r="F433" s="159"/>
      <c r="G433" s="159"/>
      <c r="H433" s="159"/>
      <c r="I433" s="159"/>
      <c r="J433" s="159"/>
      <c r="K433" s="159"/>
      <c r="L433" s="159"/>
      <c r="M433" s="606"/>
      <c r="N433" s="159"/>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row>
    <row r="434">
      <c r="A434" s="159"/>
      <c r="B434" s="159"/>
      <c r="C434" s="159"/>
      <c r="D434" s="159"/>
      <c r="E434" s="159"/>
      <c r="F434" s="159"/>
      <c r="G434" s="159"/>
      <c r="H434" s="159"/>
      <c r="I434" s="159"/>
      <c r="J434" s="159"/>
      <c r="K434" s="159"/>
      <c r="L434" s="159"/>
      <c r="M434" s="606"/>
      <c r="N434" s="159"/>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row>
    <row r="435">
      <c r="A435" s="159"/>
      <c r="B435" s="159"/>
      <c r="C435" s="159"/>
      <c r="D435" s="159"/>
      <c r="E435" s="159"/>
      <c r="F435" s="159"/>
      <c r="G435" s="159"/>
      <c r="H435" s="159"/>
      <c r="I435" s="159"/>
      <c r="J435" s="159"/>
      <c r="K435" s="159"/>
      <c r="L435" s="159"/>
      <c r="M435" s="606"/>
      <c r="N435" s="159"/>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row>
    <row r="436">
      <c r="A436" s="159"/>
      <c r="B436" s="159"/>
      <c r="C436" s="159"/>
      <c r="D436" s="159"/>
      <c r="E436" s="159"/>
      <c r="F436" s="159"/>
      <c r="G436" s="159"/>
      <c r="H436" s="159"/>
      <c r="I436" s="159"/>
      <c r="J436" s="159"/>
      <c r="K436" s="159"/>
      <c r="L436" s="159"/>
      <c r="M436" s="606"/>
      <c r="N436" s="159"/>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row>
    <row r="437">
      <c r="A437" s="159"/>
      <c r="B437" s="159"/>
      <c r="C437" s="159"/>
      <c r="D437" s="159"/>
      <c r="E437" s="159"/>
      <c r="F437" s="159"/>
      <c r="G437" s="159"/>
      <c r="H437" s="159"/>
      <c r="I437" s="159"/>
      <c r="J437" s="159"/>
      <c r="K437" s="159"/>
      <c r="L437" s="159"/>
      <c r="M437" s="606"/>
      <c r="N437" s="159"/>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row>
    <row r="438">
      <c r="A438" s="159"/>
      <c r="B438" s="159"/>
      <c r="C438" s="159"/>
      <c r="D438" s="159"/>
      <c r="E438" s="159"/>
      <c r="F438" s="159"/>
      <c r="G438" s="159"/>
      <c r="H438" s="159"/>
      <c r="I438" s="159"/>
      <c r="J438" s="159"/>
      <c r="K438" s="159"/>
      <c r="L438" s="159"/>
      <c r="M438" s="606"/>
      <c r="N438" s="159"/>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row>
    <row r="439">
      <c r="A439" s="159"/>
      <c r="B439" s="159"/>
      <c r="C439" s="159"/>
      <c r="D439" s="159"/>
      <c r="E439" s="159"/>
      <c r="F439" s="159"/>
      <c r="G439" s="159"/>
      <c r="H439" s="159"/>
      <c r="I439" s="159"/>
      <c r="J439" s="159"/>
      <c r="K439" s="159"/>
      <c r="L439" s="159"/>
      <c r="M439" s="606"/>
      <c r="N439" s="159"/>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row>
    <row r="440">
      <c r="A440" s="159"/>
      <c r="B440" s="159"/>
      <c r="C440" s="159"/>
      <c r="D440" s="159"/>
      <c r="E440" s="159"/>
      <c r="F440" s="159"/>
      <c r="G440" s="159"/>
      <c r="H440" s="159"/>
      <c r="I440" s="159"/>
      <c r="J440" s="159"/>
      <c r="K440" s="159"/>
      <c r="L440" s="159"/>
      <c r="M440" s="606"/>
      <c r="N440" s="159"/>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row>
    <row r="441">
      <c r="A441" s="159"/>
      <c r="B441" s="159"/>
      <c r="C441" s="159"/>
      <c r="D441" s="159"/>
      <c r="E441" s="159"/>
      <c r="F441" s="159"/>
      <c r="G441" s="159"/>
      <c r="H441" s="159"/>
      <c r="I441" s="159"/>
      <c r="J441" s="159"/>
      <c r="K441" s="159"/>
      <c r="L441" s="159"/>
      <c r="M441" s="606"/>
      <c r="N441" s="159"/>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row>
    <row r="442">
      <c r="A442" s="159"/>
      <c r="B442" s="159"/>
      <c r="C442" s="159"/>
      <c r="D442" s="159"/>
      <c r="E442" s="159"/>
      <c r="F442" s="159"/>
      <c r="G442" s="159"/>
      <c r="H442" s="159"/>
      <c r="I442" s="159"/>
      <c r="J442" s="159"/>
      <c r="K442" s="159"/>
      <c r="L442" s="159"/>
      <c r="M442" s="606"/>
      <c r="N442" s="159"/>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row>
    <row r="443">
      <c r="A443" s="159"/>
      <c r="B443" s="159"/>
      <c r="C443" s="159"/>
      <c r="D443" s="159"/>
      <c r="E443" s="159"/>
      <c r="F443" s="159"/>
      <c r="G443" s="159"/>
      <c r="H443" s="159"/>
      <c r="I443" s="159"/>
      <c r="J443" s="159"/>
      <c r="K443" s="159"/>
      <c r="L443" s="159"/>
      <c r="M443" s="606"/>
      <c r="N443" s="159"/>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row>
    <row r="444">
      <c r="A444" s="159"/>
      <c r="B444" s="159"/>
      <c r="C444" s="159"/>
      <c r="D444" s="159"/>
      <c r="E444" s="159"/>
      <c r="F444" s="159"/>
      <c r="G444" s="159"/>
      <c r="H444" s="159"/>
      <c r="I444" s="159"/>
      <c r="J444" s="159"/>
      <c r="K444" s="159"/>
      <c r="L444" s="159"/>
      <c r="M444" s="606"/>
      <c r="N444" s="159"/>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row>
    <row r="445">
      <c r="A445" s="159"/>
      <c r="B445" s="159"/>
      <c r="C445" s="159"/>
      <c r="D445" s="159"/>
      <c r="E445" s="159"/>
      <c r="F445" s="159"/>
      <c r="G445" s="159"/>
      <c r="H445" s="159"/>
      <c r="I445" s="159"/>
      <c r="J445" s="159"/>
      <c r="K445" s="159"/>
      <c r="L445" s="159"/>
      <c r="M445" s="606"/>
      <c r="N445" s="159"/>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row>
    <row r="446">
      <c r="A446" s="159"/>
      <c r="B446" s="159"/>
      <c r="C446" s="159"/>
      <c r="D446" s="159"/>
      <c r="E446" s="159"/>
      <c r="F446" s="159"/>
      <c r="G446" s="159"/>
      <c r="H446" s="159"/>
      <c r="I446" s="159"/>
      <c r="J446" s="159"/>
      <c r="K446" s="159"/>
      <c r="L446" s="159"/>
      <c r="M446" s="606"/>
      <c r="N446" s="159"/>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row>
    <row r="447">
      <c r="A447" s="159"/>
      <c r="B447" s="159"/>
      <c r="C447" s="159"/>
      <c r="D447" s="159"/>
      <c r="E447" s="159"/>
      <c r="F447" s="159"/>
      <c r="G447" s="159"/>
      <c r="H447" s="159"/>
      <c r="I447" s="159"/>
      <c r="J447" s="159"/>
      <c r="K447" s="159"/>
      <c r="L447" s="159"/>
      <c r="M447" s="606"/>
      <c r="N447" s="159"/>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row>
    <row r="448">
      <c r="A448" s="159"/>
      <c r="B448" s="159"/>
      <c r="C448" s="159"/>
      <c r="D448" s="159"/>
      <c r="E448" s="159"/>
      <c r="F448" s="159"/>
      <c r="G448" s="159"/>
      <c r="H448" s="159"/>
      <c r="I448" s="159"/>
      <c r="J448" s="159"/>
      <c r="K448" s="159"/>
      <c r="L448" s="159"/>
      <c r="M448" s="606"/>
      <c r="N448" s="159"/>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row>
    <row r="449">
      <c r="A449" s="159"/>
      <c r="B449" s="159"/>
      <c r="C449" s="159"/>
      <c r="D449" s="159"/>
      <c r="E449" s="159"/>
      <c r="F449" s="159"/>
      <c r="G449" s="159"/>
      <c r="H449" s="159"/>
      <c r="I449" s="159"/>
      <c r="J449" s="159"/>
      <c r="K449" s="159"/>
      <c r="L449" s="159"/>
      <c r="M449" s="606"/>
      <c r="N449" s="159"/>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row>
    <row r="450">
      <c r="A450" s="159"/>
      <c r="B450" s="159"/>
      <c r="C450" s="159"/>
      <c r="D450" s="159"/>
      <c r="E450" s="159"/>
      <c r="F450" s="159"/>
      <c r="G450" s="159"/>
      <c r="H450" s="159"/>
      <c r="I450" s="159"/>
      <c r="J450" s="159"/>
      <c r="K450" s="159"/>
      <c r="L450" s="159"/>
      <c r="M450" s="606"/>
      <c r="N450" s="159"/>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row>
    <row r="451">
      <c r="A451" s="159"/>
      <c r="B451" s="159"/>
      <c r="C451" s="159"/>
      <c r="D451" s="159"/>
      <c r="E451" s="159"/>
      <c r="F451" s="159"/>
      <c r="G451" s="159"/>
      <c r="H451" s="159"/>
      <c r="I451" s="159"/>
      <c r="J451" s="159"/>
      <c r="K451" s="159"/>
      <c r="L451" s="159"/>
      <c r="M451" s="606"/>
      <c r="N451" s="159"/>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row>
    <row r="452">
      <c r="A452" s="159"/>
      <c r="B452" s="159"/>
      <c r="C452" s="159"/>
      <c r="D452" s="159"/>
      <c r="E452" s="159"/>
      <c r="F452" s="159"/>
      <c r="G452" s="159"/>
      <c r="H452" s="159"/>
      <c r="I452" s="159"/>
      <c r="J452" s="159"/>
      <c r="K452" s="159"/>
      <c r="L452" s="159"/>
      <c r="M452" s="606"/>
      <c r="N452" s="159"/>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row>
    <row r="453">
      <c r="A453" s="159"/>
      <c r="B453" s="159"/>
      <c r="C453" s="159"/>
      <c r="D453" s="159"/>
      <c r="E453" s="159"/>
      <c r="F453" s="159"/>
      <c r="G453" s="159"/>
      <c r="H453" s="159"/>
      <c r="I453" s="159"/>
      <c r="J453" s="159"/>
      <c r="K453" s="159"/>
      <c r="L453" s="159"/>
      <c r="M453" s="606"/>
      <c r="N453" s="159"/>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row>
    <row r="454">
      <c r="A454" s="159"/>
      <c r="B454" s="159"/>
      <c r="C454" s="159"/>
      <c r="D454" s="159"/>
      <c r="E454" s="159"/>
      <c r="F454" s="159"/>
      <c r="G454" s="159"/>
      <c r="H454" s="159"/>
      <c r="I454" s="159"/>
      <c r="J454" s="159"/>
      <c r="K454" s="159"/>
      <c r="L454" s="159"/>
      <c r="M454" s="606"/>
      <c r="N454" s="159"/>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row>
    <row r="455">
      <c r="A455" s="159"/>
      <c r="B455" s="159"/>
      <c r="C455" s="159"/>
      <c r="D455" s="159"/>
      <c r="E455" s="159"/>
      <c r="F455" s="159"/>
      <c r="G455" s="159"/>
      <c r="H455" s="159"/>
      <c r="I455" s="159"/>
      <c r="J455" s="159"/>
      <c r="K455" s="159"/>
      <c r="L455" s="159"/>
      <c r="M455" s="606"/>
      <c r="N455" s="159"/>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row>
    <row r="456">
      <c r="A456" s="159"/>
      <c r="B456" s="159"/>
      <c r="C456" s="159"/>
      <c r="D456" s="159"/>
      <c r="E456" s="159"/>
      <c r="F456" s="159"/>
      <c r="G456" s="159"/>
      <c r="H456" s="159"/>
      <c r="I456" s="159"/>
      <c r="J456" s="159"/>
      <c r="K456" s="159"/>
      <c r="L456" s="159"/>
      <c r="M456" s="606"/>
      <c r="N456" s="159"/>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row>
    <row r="457">
      <c r="A457" s="159"/>
      <c r="B457" s="159"/>
      <c r="C457" s="159"/>
      <c r="D457" s="159"/>
      <c r="E457" s="159"/>
      <c r="F457" s="159"/>
      <c r="G457" s="159"/>
      <c r="H457" s="159"/>
      <c r="I457" s="159"/>
      <c r="J457" s="159"/>
      <c r="K457" s="159"/>
      <c r="L457" s="159"/>
      <c r="M457" s="606"/>
      <c r="N457" s="159"/>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row>
    <row r="458">
      <c r="A458" s="159"/>
      <c r="B458" s="159"/>
      <c r="C458" s="159"/>
      <c r="D458" s="159"/>
      <c r="E458" s="159"/>
      <c r="F458" s="159"/>
      <c r="G458" s="159"/>
      <c r="H458" s="159"/>
      <c r="I458" s="159"/>
      <c r="J458" s="159"/>
      <c r="K458" s="159"/>
      <c r="L458" s="159"/>
      <c r="M458" s="606"/>
      <c r="N458" s="159"/>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row>
    <row r="459">
      <c r="A459" s="159"/>
      <c r="B459" s="159"/>
      <c r="C459" s="159"/>
      <c r="D459" s="159"/>
      <c r="E459" s="159"/>
      <c r="F459" s="159"/>
      <c r="G459" s="159"/>
      <c r="H459" s="159"/>
      <c r="I459" s="159"/>
      <c r="J459" s="159"/>
      <c r="K459" s="159"/>
      <c r="L459" s="159"/>
      <c r="M459" s="606"/>
      <c r="N459" s="159"/>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row>
    <row r="460">
      <c r="A460" s="159"/>
      <c r="B460" s="159"/>
      <c r="C460" s="159"/>
      <c r="D460" s="159"/>
      <c r="E460" s="159"/>
      <c r="F460" s="159"/>
      <c r="G460" s="159"/>
      <c r="H460" s="159"/>
      <c r="I460" s="159"/>
      <c r="J460" s="159"/>
      <c r="K460" s="159"/>
      <c r="L460" s="159"/>
      <c r="M460" s="606"/>
      <c r="N460" s="159"/>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row>
    <row r="461">
      <c r="A461" s="159"/>
      <c r="B461" s="159"/>
      <c r="C461" s="159"/>
      <c r="D461" s="159"/>
      <c r="E461" s="159"/>
      <c r="F461" s="159"/>
      <c r="G461" s="159"/>
      <c r="H461" s="159"/>
      <c r="I461" s="159"/>
      <c r="J461" s="159"/>
      <c r="K461" s="159"/>
      <c r="L461" s="159"/>
      <c r="M461" s="606"/>
      <c r="N461" s="159"/>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row>
    <row r="462">
      <c r="A462" s="159"/>
      <c r="B462" s="159"/>
      <c r="C462" s="159"/>
      <c r="D462" s="159"/>
      <c r="E462" s="159"/>
      <c r="F462" s="159"/>
      <c r="G462" s="159"/>
      <c r="H462" s="159"/>
      <c r="I462" s="159"/>
      <c r="J462" s="159"/>
      <c r="K462" s="159"/>
      <c r="L462" s="159"/>
      <c r="M462" s="606"/>
      <c r="N462" s="159"/>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row>
    <row r="463">
      <c r="A463" s="159"/>
      <c r="B463" s="159"/>
      <c r="C463" s="159"/>
      <c r="D463" s="159"/>
      <c r="E463" s="159"/>
      <c r="F463" s="159"/>
      <c r="G463" s="159"/>
      <c r="H463" s="159"/>
      <c r="I463" s="159"/>
      <c r="J463" s="159"/>
      <c r="K463" s="159"/>
      <c r="L463" s="159"/>
      <c r="M463" s="606"/>
      <c r="N463" s="159"/>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row>
    <row r="464">
      <c r="A464" s="159"/>
      <c r="B464" s="159"/>
      <c r="C464" s="159"/>
      <c r="D464" s="159"/>
      <c r="E464" s="159"/>
      <c r="F464" s="159"/>
      <c r="G464" s="159"/>
      <c r="H464" s="159"/>
      <c r="I464" s="159"/>
      <c r="J464" s="159"/>
      <c r="K464" s="159"/>
      <c r="L464" s="159"/>
      <c r="M464" s="606"/>
      <c r="N464" s="159"/>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row>
    <row r="465">
      <c r="A465" s="159"/>
      <c r="B465" s="159"/>
      <c r="C465" s="159"/>
      <c r="D465" s="159"/>
      <c r="E465" s="159"/>
      <c r="F465" s="159"/>
      <c r="G465" s="159"/>
      <c r="H465" s="159"/>
      <c r="I465" s="159"/>
      <c r="J465" s="159"/>
      <c r="K465" s="159"/>
      <c r="L465" s="159"/>
      <c r="M465" s="606"/>
      <c r="N465" s="159"/>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row>
    <row r="466">
      <c r="A466" s="159"/>
      <c r="B466" s="159"/>
      <c r="C466" s="159"/>
      <c r="D466" s="159"/>
      <c r="E466" s="159"/>
      <c r="F466" s="159"/>
      <c r="G466" s="159"/>
      <c r="H466" s="159"/>
      <c r="I466" s="159"/>
      <c r="J466" s="159"/>
      <c r="K466" s="159"/>
      <c r="L466" s="159"/>
      <c r="M466" s="606"/>
      <c r="N466" s="159"/>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row>
    <row r="467">
      <c r="A467" s="159"/>
      <c r="B467" s="159"/>
      <c r="C467" s="159"/>
      <c r="D467" s="159"/>
      <c r="E467" s="159"/>
      <c r="F467" s="159"/>
      <c r="G467" s="159"/>
      <c r="H467" s="159"/>
      <c r="I467" s="159"/>
      <c r="J467" s="159"/>
      <c r="K467" s="159"/>
      <c r="L467" s="159"/>
      <c r="M467" s="606"/>
      <c r="N467" s="159"/>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row>
    <row r="468">
      <c r="A468" s="159"/>
      <c r="B468" s="159"/>
      <c r="C468" s="159"/>
      <c r="D468" s="159"/>
      <c r="E468" s="159"/>
      <c r="F468" s="159"/>
      <c r="G468" s="159"/>
      <c r="H468" s="159"/>
      <c r="I468" s="159"/>
      <c r="J468" s="159"/>
      <c r="K468" s="159"/>
      <c r="L468" s="159"/>
      <c r="M468" s="606"/>
      <c r="N468" s="159"/>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row>
    <row r="469">
      <c r="A469" s="159"/>
      <c r="B469" s="159"/>
      <c r="C469" s="159"/>
      <c r="D469" s="159"/>
      <c r="E469" s="159"/>
      <c r="F469" s="159"/>
      <c r="G469" s="159"/>
      <c r="H469" s="159"/>
      <c r="I469" s="159"/>
      <c r="J469" s="159"/>
      <c r="K469" s="159"/>
      <c r="L469" s="159"/>
      <c r="M469" s="606"/>
      <c r="N469" s="159"/>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row>
    <row r="470">
      <c r="A470" s="159"/>
      <c r="B470" s="159"/>
      <c r="C470" s="159"/>
      <c r="D470" s="159"/>
      <c r="E470" s="159"/>
      <c r="F470" s="159"/>
      <c r="G470" s="159"/>
      <c r="H470" s="159"/>
      <c r="I470" s="159"/>
      <c r="J470" s="159"/>
      <c r="K470" s="159"/>
      <c r="L470" s="159"/>
      <c r="M470" s="606"/>
      <c r="N470" s="159"/>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row>
    <row r="471">
      <c r="A471" s="159"/>
      <c r="B471" s="159"/>
      <c r="C471" s="159"/>
      <c r="D471" s="159"/>
      <c r="E471" s="159"/>
      <c r="F471" s="159"/>
      <c r="G471" s="159"/>
      <c r="H471" s="159"/>
      <c r="I471" s="159"/>
      <c r="J471" s="159"/>
      <c r="K471" s="159"/>
      <c r="L471" s="159"/>
      <c r="M471" s="606"/>
      <c r="N471" s="159"/>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row>
    <row r="472">
      <c r="A472" s="159"/>
      <c r="B472" s="159"/>
      <c r="C472" s="159"/>
      <c r="D472" s="159"/>
      <c r="E472" s="159"/>
      <c r="F472" s="159"/>
      <c r="G472" s="159"/>
      <c r="H472" s="159"/>
      <c r="I472" s="159"/>
      <c r="J472" s="159"/>
      <c r="K472" s="159"/>
      <c r="L472" s="159"/>
      <c r="M472" s="606"/>
      <c r="N472" s="159"/>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row>
    <row r="473">
      <c r="A473" s="159"/>
      <c r="B473" s="159"/>
      <c r="C473" s="159"/>
      <c r="D473" s="159"/>
      <c r="E473" s="159"/>
      <c r="F473" s="159"/>
      <c r="G473" s="159"/>
      <c r="H473" s="159"/>
      <c r="I473" s="159"/>
      <c r="J473" s="159"/>
      <c r="K473" s="159"/>
      <c r="L473" s="159"/>
      <c r="M473" s="606"/>
      <c r="N473" s="159"/>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row>
    <row r="474">
      <c r="A474" s="159"/>
      <c r="B474" s="159"/>
      <c r="C474" s="159"/>
      <c r="D474" s="159"/>
      <c r="E474" s="159"/>
      <c r="F474" s="159"/>
      <c r="G474" s="159"/>
      <c r="H474" s="159"/>
      <c r="I474" s="159"/>
      <c r="J474" s="159"/>
      <c r="K474" s="159"/>
      <c r="L474" s="159"/>
      <c r="M474" s="606"/>
      <c r="N474" s="159"/>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row>
    <row r="475">
      <c r="A475" s="159"/>
      <c r="B475" s="159"/>
      <c r="C475" s="159"/>
      <c r="D475" s="159"/>
      <c r="E475" s="159"/>
      <c r="F475" s="159"/>
      <c r="G475" s="159"/>
      <c r="H475" s="159"/>
      <c r="I475" s="159"/>
      <c r="J475" s="159"/>
      <c r="K475" s="159"/>
      <c r="L475" s="159"/>
      <c r="M475" s="606"/>
      <c r="N475" s="159"/>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row>
    <row r="476">
      <c r="A476" s="159"/>
      <c r="B476" s="159"/>
      <c r="C476" s="159"/>
      <c r="D476" s="159"/>
      <c r="E476" s="159"/>
      <c r="F476" s="159"/>
      <c r="G476" s="159"/>
      <c r="H476" s="159"/>
      <c r="I476" s="159"/>
      <c r="J476" s="159"/>
      <c r="K476" s="159"/>
      <c r="L476" s="159"/>
      <c r="M476" s="606"/>
      <c r="N476" s="159"/>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row>
    <row r="477">
      <c r="A477" s="159"/>
      <c r="B477" s="159"/>
      <c r="C477" s="159"/>
      <c r="D477" s="159"/>
      <c r="E477" s="159"/>
      <c r="F477" s="159"/>
      <c r="G477" s="159"/>
      <c r="H477" s="159"/>
      <c r="I477" s="159"/>
      <c r="J477" s="159"/>
      <c r="K477" s="159"/>
      <c r="L477" s="159"/>
      <c r="M477" s="606"/>
      <c r="N477" s="159"/>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row>
    <row r="478">
      <c r="A478" s="159"/>
      <c r="B478" s="159"/>
      <c r="C478" s="159"/>
      <c r="D478" s="159"/>
      <c r="E478" s="159"/>
      <c r="F478" s="159"/>
      <c r="G478" s="159"/>
      <c r="H478" s="159"/>
      <c r="I478" s="159"/>
      <c r="J478" s="159"/>
      <c r="K478" s="159"/>
      <c r="L478" s="159"/>
      <c r="M478" s="606"/>
      <c r="N478" s="159"/>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row>
    <row r="479">
      <c r="A479" s="159"/>
      <c r="B479" s="159"/>
      <c r="C479" s="159"/>
      <c r="D479" s="159"/>
      <c r="E479" s="159"/>
      <c r="F479" s="159"/>
      <c r="G479" s="159"/>
      <c r="H479" s="159"/>
      <c r="I479" s="159"/>
      <c r="J479" s="159"/>
      <c r="K479" s="159"/>
      <c r="L479" s="159"/>
      <c r="M479" s="606"/>
      <c r="N479" s="159"/>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row>
    <row r="480">
      <c r="A480" s="159"/>
      <c r="B480" s="159"/>
      <c r="C480" s="159"/>
      <c r="D480" s="159"/>
      <c r="E480" s="159"/>
      <c r="F480" s="159"/>
      <c r="G480" s="159"/>
      <c r="H480" s="159"/>
      <c r="I480" s="159"/>
      <c r="J480" s="159"/>
      <c r="K480" s="159"/>
      <c r="L480" s="159"/>
      <c r="M480" s="606"/>
      <c r="N480" s="159"/>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row>
    <row r="481">
      <c r="A481" s="159"/>
      <c r="B481" s="159"/>
      <c r="C481" s="159"/>
      <c r="D481" s="159"/>
      <c r="E481" s="159"/>
      <c r="F481" s="159"/>
      <c r="G481" s="159"/>
      <c r="H481" s="159"/>
      <c r="I481" s="159"/>
      <c r="J481" s="159"/>
      <c r="K481" s="159"/>
      <c r="L481" s="159"/>
      <c r="M481" s="606"/>
      <c r="N481" s="159"/>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row>
    <row r="482">
      <c r="A482" s="159"/>
      <c r="B482" s="159"/>
      <c r="C482" s="159"/>
      <c r="D482" s="159"/>
      <c r="E482" s="159"/>
      <c r="F482" s="159"/>
      <c r="G482" s="159"/>
      <c r="H482" s="159"/>
      <c r="I482" s="159"/>
      <c r="J482" s="159"/>
      <c r="K482" s="159"/>
      <c r="L482" s="159"/>
      <c r="M482" s="606"/>
      <c r="N482" s="159"/>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row>
    <row r="483">
      <c r="A483" s="159"/>
      <c r="B483" s="159"/>
      <c r="C483" s="159"/>
      <c r="D483" s="159"/>
      <c r="E483" s="159"/>
      <c r="F483" s="159"/>
      <c r="G483" s="159"/>
      <c r="H483" s="159"/>
      <c r="I483" s="159"/>
      <c r="J483" s="159"/>
      <c r="K483" s="159"/>
      <c r="L483" s="159"/>
      <c r="M483" s="606"/>
      <c r="N483" s="159"/>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row>
    <row r="484">
      <c r="A484" s="159"/>
      <c r="B484" s="159"/>
      <c r="C484" s="159"/>
      <c r="D484" s="159"/>
      <c r="E484" s="159"/>
      <c r="F484" s="159"/>
      <c r="G484" s="159"/>
      <c r="H484" s="159"/>
      <c r="I484" s="159"/>
      <c r="J484" s="159"/>
      <c r="K484" s="159"/>
      <c r="L484" s="159"/>
      <c r="M484" s="606"/>
      <c r="N484" s="159"/>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row>
    <row r="485">
      <c r="A485" s="159"/>
      <c r="B485" s="159"/>
      <c r="C485" s="159"/>
      <c r="D485" s="159"/>
      <c r="E485" s="159"/>
      <c r="F485" s="159"/>
      <c r="G485" s="159"/>
      <c r="H485" s="159"/>
      <c r="I485" s="159"/>
      <c r="J485" s="159"/>
      <c r="K485" s="159"/>
      <c r="L485" s="159"/>
      <c r="M485" s="606"/>
      <c r="N485" s="159"/>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row>
    <row r="486">
      <c r="A486" s="159"/>
      <c r="B486" s="159"/>
      <c r="C486" s="159"/>
      <c r="D486" s="159"/>
      <c r="E486" s="159"/>
      <c r="F486" s="159"/>
      <c r="G486" s="159"/>
      <c r="H486" s="159"/>
      <c r="I486" s="159"/>
      <c r="J486" s="159"/>
      <c r="K486" s="159"/>
      <c r="L486" s="159"/>
      <c r="M486" s="606"/>
      <c r="N486" s="159"/>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row>
    <row r="487">
      <c r="A487" s="159"/>
      <c r="B487" s="159"/>
      <c r="C487" s="159"/>
      <c r="D487" s="159"/>
      <c r="E487" s="159"/>
      <c r="F487" s="159"/>
      <c r="G487" s="159"/>
      <c r="H487" s="159"/>
      <c r="I487" s="159"/>
      <c r="J487" s="159"/>
      <c r="K487" s="159"/>
      <c r="L487" s="159"/>
      <c r="M487" s="606"/>
      <c r="N487" s="159"/>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row>
    <row r="488">
      <c r="A488" s="159"/>
      <c r="B488" s="159"/>
      <c r="C488" s="159"/>
      <c r="D488" s="159"/>
      <c r="E488" s="159"/>
      <c r="F488" s="159"/>
      <c r="G488" s="159"/>
      <c r="H488" s="159"/>
      <c r="I488" s="159"/>
      <c r="J488" s="159"/>
      <c r="K488" s="159"/>
      <c r="L488" s="159"/>
      <c r="M488" s="606"/>
      <c r="N488" s="159"/>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row>
    <row r="489">
      <c r="A489" s="159"/>
      <c r="B489" s="159"/>
      <c r="C489" s="159"/>
      <c r="D489" s="159"/>
      <c r="E489" s="159"/>
      <c r="F489" s="159"/>
      <c r="G489" s="159"/>
      <c r="H489" s="159"/>
      <c r="I489" s="159"/>
      <c r="J489" s="159"/>
      <c r="K489" s="159"/>
      <c r="L489" s="159"/>
      <c r="M489" s="606"/>
      <c r="N489" s="159"/>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row>
    <row r="490">
      <c r="A490" s="159"/>
      <c r="B490" s="159"/>
      <c r="C490" s="159"/>
      <c r="D490" s="159"/>
      <c r="E490" s="159"/>
      <c r="F490" s="159"/>
      <c r="G490" s="159"/>
      <c r="H490" s="159"/>
      <c r="I490" s="159"/>
      <c r="J490" s="159"/>
      <c r="K490" s="159"/>
      <c r="L490" s="159"/>
      <c r="M490" s="606"/>
      <c r="N490" s="159"/>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row>
    <row r="491">
      <c r="A491" s="159"/>
      <c r="B491" s="159"/>
      <c r="C491" s="159"/>
      <c r="D491" s="159"/>
      <c r="E491" s="159"/>
      <c r="F491" s="159"/>
      <c r="G491" s="159"/>
      <c r="H491" s="159"/>
      <c r="I491" s="159"/>
      <c r="J491" s="159"/>
      <c r="K491" s="159"/>
      <c r="L491" s="159"/>
      <c r="M491" s="606"/>
      <c r="N491" s="159"/>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row>
    <row r="492">
      <c r="A492" s="159"/>
      <c r="B492" s="159"/>
      <c r="C492" s="159"/>
      <c r="D492" s="159"/>
      <c r="E492" s="159"/>
      <c r="F492" s="159"/>
      <c r="G492" s="159"/>
      <c r="H492" s="159"/>
      <c r="I492" s="159"/>
      <c r="J492" s="159"/>
      <c r="K492" s="159"/>
      <c r="L492" s="159"/>
      <c r="M492" s="606"/>
      <c r="N492" s="159"/>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row>
    <row r="493">
      <c r="A493" s="159"/>
      <c r="B493" s="159"/>
      <c r="C493" s="159"/>
      <c r="D493" s="159"/>
      <c r="E493" s="159"/>
      <c r="F493" s="159"/>
      <c r="G493" s="159"/>
      <c r="H493" s="159"/>
      <c r="I493" s="159"/>
      <c r="J493" s="159"/>
      <c r="K493" s="159"/>
      <c r="L493" s="159"/>
      <c r="M493" s="606"/>
      <c r="N493" s="159"/>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row>
    <row r="494">
      <c r="A494" s="159"/>
      <c r="B494" s="159"/>
      <c r="C494" s="159"/>
      <c r="D494" s="159"/>
      <c r="E494" s="159"/>
      <c r="F494" s="159"/>
      <c r="G494" s="159"/>
      <c r="H494" s="159"/>
      <c r="I494" s="159"/>
      <c r="J494" s="159"/>
      <c r="K494" s="159"/>
      <c r="L494" s="159"/>
      <c r="M494" s="606"/>
      <c r="N494" s="159"/>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row>
    <row r="495">
      <c r="A495" s="159"/>
      <c r="B495" s="159"/>
      <c r="C495" s="159"/>
      <c r="D495" s="159"/>
      <c r="E495" s="159"/>
      <c r="F495" s="159"/>
      <c r="G495" s="159"/>
      <c r="H495" s="159"/>
      <c r="I495" s="159"/>
      <c r="J495" s="159"/>
      <c r="K495" s="159"/>
      <c r="L495" s="159"/>
      <c r="M495" s="606"/>
      <c r="N495" s="159"/>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row>
    <row r="496">
      <c r="A496" s="159"/>
      <c r="B496" s="159"/>
      <c r="C496" s="159"/>
      <c r="D496" s="159"/>
      <c r="E496" s="159"/>
      <c r="F496" s="159"/>
      <c r="G496" s="159"/>
      <c r="H496" s="159"/>
      <c r="I496" s="159"/>
      <c r="J496" s="159"/>
      <c r="K496" s="159"/>
      <c r="L496" s="159"/>
      <c r="M496" s="606"/>
      <c r="N496" s="159"/>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row>
    <row r="497">
      <c r="A497" s="159"/>
      <c r="B497" s="159"/>
      <c r="C497" s="159"/>
      <c r="D497" s="159"/>
      <c r="E497" s="159"/>
      <c r="F497" s="159"/>
      <c r="G497" s="159"/>
      <c r="H497" s="159"/>
      <c r="I497" s="159"/>
      <c r="J497" s="159"/>
      <c r="K497" s="159"/>
      <c r="L497" s="159"/>
      <c r="M497" s="606"/>
      <c r="N497" s="159"/>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row>
    <row r="498">
      <c r="A498" s="159"/>
      <c r="B498" s="159"/>
      <c r="C498" s="159"/>
      <c r="D498" s="159"/>
      <c r="E498" s="159"/>
      <c r="F498" s="159"/>
      <c r="G498" s="159"/>
      <c r="H498" s="159"/>
      <c r="I498" s="159"/>
      <c r="J498" s="159"/>
      <c r="K498" s="159"/>
      <c r="L498" s="159"/>
      <c r="M498" s="606"/>
      <c r="N498" s="159"/>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row>
    <row r="499">
      <c r="A499" s="159"/>
      <c r="B499" s="159"/>
      <c r="C499" s="159"/>
      <c r="D499" s="159"/>
      <c r="E499" s="159"/>
      <c r="F499" s="159"/>
      <c r="G499" s="159"/>
      <c r="H499" s="159"/>
      <c r="I499" s="159"/>
      <c r="J499" s="159"/>
      <c r="K499" s="159"/>
      <c r="L499" s="159"/>
      <c r="M499" s="606"/>
      <c r="N499" s="159"/>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row>
    <row r="500">
      <c r="A500" s="159"/>
      <c r="B500" s="159"/>
      <c r="C500" s="159"/>
      <c r="D500" s="159"/>
      <c r="E500" s="159"/>
      <c r="F500" s="159"/>
      <c r="G500" s="159"/>
      <c r="H500" s="159"/>
      <c r="I500" s="159"/>
      <c r="J500" s="159"/>
      <c r="K500" s="159"/>
      <c r="L500" s="159"/>
      <c r="M500" s="606"/>
      <c r="N500" s="159"/>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row>
    <row r="501">
      <c r="A501" s="159"/>
      <c r="B501" s="159"/>
      <c r="C501" s="159"/>
      <c r="D501" s="159"/>
      <c r="E501" s="159"/>
      <c r="F501" s="159"/>
      <c r="G501" s="159"/>
      <c r="H501" s="159"/>
      <c r="I501" s="159"/>
      <c r="J501" s="159"/>
      <c r="K501" s="159"/>
      <c r="L501" s="159"/>
      <c r="M501" s="606"/>
      <c r="N501" s="159"/>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row>
    <row r="502">
      <c r="A502" s="159"/>
      <c r="B502" s="159"/>
      <c r="C502" s="159"/>
      <c r="D502" s="159"/>
      <c r="E502" s="159"/>
      <c r="F502" s="159"/>
      <c r="G502" s="159"/>
      <c r="H502" s="159"/>
      <c r="I502" s="159"/>
      <c r="J502" s="159"/>
      <c r="K502" s="159"/>
      <c r="L502" s="159"/>
      <c r="M502" s="606"/>
      <c r="N502" s="159"/>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row>
    <row r="503">
      <c r="A503" s="159"/>
      <c r="B503" s="159"/>
      <c r="C503" s="159"/>
      <c r="D503" s="159"/>
      <c r="E503" s="159"/>
      <c r="F503" s="159"/>
      <c r="G503" s="159"/>
      <c r="H503" s="159"/>
      <c r="I503" s="159"/>
      <c r="J503" s="159"/>
      <c r="K503" s="159"/>
      <c r="L503" s="159"/>
      <c r="M503" s="606"/>
      <c r="N503" s="159"/>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row>
    <row r="504">
      <c r="A504" s="159"/>
      <c r="B504" s="159"/>
      <c r="C504" s="159"/>
      <c r="D504" s="159"/>
      <c r="E504" s="159"/>
      <c r="F504" s="159"/>
      <c r="G504" s="159"/>
      <c r="H504" s="159"/>
      <c r="I504" s="159"/>
      <c r="J504" s="159"/>
      <c r="K504" s="159"/>
      <c r="L504" s="159"/>
      <c r="M504" s="606"/>
      <c r="N504" s="159"/>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row>
    <row r="505">
      <c r="A505" s="159"/>
      <c r="B505" s="159"/>
      <c r="C505" s="159"/>
      <c r="D505" s="159"/>
      <c r="E505" s="159"/>
      <c r="F505" s="159"/>
      <c r="G505" s="159"/>
      <c r="H505" s="159"/>
      <c r="I505" s="159"/>
      <c r="J505" s="159"/>
      <c r="K505" s="159"/>
      <c r="L505" s="159"/>
      <c r="M505" s="606"/>
      <c r="N505" s="159"/>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row>
    <row r="506">
      <c r="A506" s="159"/>
      <c r="B506" s="159"/>
      <c r="C506" s="159"/>
      <c r="D506" s="159"/>
      <c r="E506" s="159"/>
      <c r="F506" s="159"/>
      <c r="G506" s="159"/>
      <c r="H506" s="159"/>
      <c r="I506" s="159"/>
      <c r="J506" s="159"/>
      <c r="K506" s="159"/>
      <c r="L506" s="159"/>
      <c r="M506" s="606"/>
      <c r="N506" s="159"/>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row>
    <row r="507">
      <c r="A507" s="159"/>
      <c r="B507" s="159"/>
      <c r="C507" s="159"/>
      <c r="D507" s="159"/>
      <c r="E507" s="159"/>
      <c r="F507" s="159"/>
      <c r="G507" s="159"/>
      <c r="H507" s="159"/>
      <c r="I507" s="159"/>
      <c r="J507" s="159"/>
      <c r="K507" s="159"/>
      <c r="L507" s="159"/>
      <c r="M507" s="606"/>
      <c r="N507" s="159"/>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row>
    <row r="508">
      <c r="A508" s="159"/>
      <c r="B508" s="159"/>
      <c r="C508" s="159"/>
      <c r="D508" s="159"/>
      <c r="E508" s="159"/>
      <c r="F508" s="159"/>
      <c r="G508" s="159"/>
      <c r="H508" s="159"/>
      <c r="I508" s="159"/>
      <c r="J508" s="159"/>
      <c r="K508" s="159"/>
      <c r="L508" s="159"/>
      <c r="M508" s="606"/>
      <c r="N508" s="159"/>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row>
    <row r="509">
      <c r="A509" s="159"/>
      <c r="B509" s="159"/>
      <c r="C509" s="159"/>
      <c r="D509" s="159"/>
      <c r="E509" s="159"/>
      <c r="F509" s="159"/>
      <c r="G509" s="159"/>
      <c r="H509" s="159"/>
      <c r="I509" s="159"/>
      <c r="J509" s="159"/>
      <c r="K509" s="159"/>
      <c r="L509" s="159"/>
      <c r="M509" s="606"/>
      <c r="N509" s="159"/>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row>
    <row r="510">
      <c r="A510" s="159"/>
      <c r="B510" s="159"/>
      <c r="C510" s="159"/>
      <c r="D510" s="159"/>
      <c r="E510" s="159"/>
      <c r="F510" s="159"/>
      <c r="G510" s="159"/>
      <c r="H510" s="159"/>
      <c r="I510" s="159"/>
      <c r="J510" s="159"/>
      <c r="K510" s="159"/>
      <c r="L510" s="159"/>
      <c r="M510" s="606"/>
      <c r="N510" s="159"/>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row>
    <row r="511">
      <c r="A511" s="159"/>
      <c r="B511" s="159"/>
      <c r="C511" s="159"/>
      <c r="D511" s="159"/>
      <c r="E511" s="159"/>
      <c r="F511" s="159"/>
      <c r="G511" s="159"/>
      <c r="H511" s="159"/>
      <c r="I511" s="159"/>
      <c r="J511" s="159"/>
      <c r="K511" s="159"/>
      <c r="L511" s="159"/>
      <c r="M511" s="606"/>
      <c r="N511" s="159"/>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row>
    <row r="512">
      <c r="A512" s="159"/>
      <c r="B512" s="159"/>
      <c r="C512" s="159"/>
      <c r="D512" s="159"/>
      <c r="E512" s="159"/>
      <c r="F512" s="159"/>
      <c r="G512" s="159"/>
      <c r="H512" s="159"/>
      <c r="I512" s="159"/>
      <c r="J512" s="159"/>
      <c r="K512" s="159"/>
      <c r="L512" s="159"/>
      <c r="M512" s="606"/>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row>
    <row r="513">
      <c r="A513" s="159"/>
      <c r="B513" s="159"/>
      <c r="C513" s="159"/>
      <c r="D513" s="159"/>
      <c r="E513" s="159"/>
      <c r="F513" s="159"/>
      <c r="G513" s="159"/>
      <c r="H513" s="159"/>
      <c r="I513" s="159"/>
      <c r="J513" s="159"/>
      <c r="K513" s="159"/>
      <c r="L513" s="159"/>
      <c r="M513" s="606"/>
      <c r="N513" s="159"/>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row>
    <row r="514">
      <c r="A514" s="159"/>
      <c r="B514" s="159"/>
      <c r="C514" s="159"/>
      <c r="D514" s="159"/>
      <c r="E514" s="159"/>
      <c r="F514" s="159"/>
      <c r="G514" s="159"/>
      <c r="H514" s="159"/>
      <c r="I514" s="159"/>
      <c r="J514" s="159"/>
      <c r="K514" s="159"/>
      <c r="L514" s="159"/>
      <c r="M514" s="606"/>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row>
    <row r="515">
      <c r="A515" s="159"/>
      <c r="B515" s="159"/>
      <c r="C515" s="159"/>
      <c r="D515" s="159"/>
      <c r="E515" s="159"/>
      <c r="F515" s="159"/>
      <c r="G515" s="159"/>
      <c r="H515" s="159"/>
      <c r="I515" s="159"/>
      <c r="J515" s="159"/>
      <c r="K515" s="159"/>
      <c r="L515" s="159"/>
      <c r="M515" s="606"/>
      <c r="N515" s="159"/>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row>
    <row r="516">
      <c r="A516" s="159"/>
      <c r="B516" s="159"/>
      <c r="C516" s="159"/>
      <c r="D516" s="159"/>
      <c r="E516" s="159"/>
      <c r="F516" s="159"/>
      <c r="G516" s="159"/>
      <c r="H516" s="159"/>
      <c r="I516" s="159"/>
      <c r="J516" s="159"/>
      <c r="K516" s="159"/>
      <c r="L516" s="159"/>
      <c r="M516" s="606"/>
      <c r="N516" s="159"/>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row>
    <row r="517">
      <c r="A517" s="159"/>
      <c r="B517" s="159"/>
      <c r="C517" s="159"/>
      <c r="D517" s="159"/>
      <c r="E517" s="159"/>
      <c r="F517" s="159"/>
      <c r="G517" s="159"/>
      <c r="H517" s="159"/>
      <c r="I517" s="159"/>
      <c r="J517" s="159"/>
      <c r="K517" s="159"/>
      <c r="L517" s="159"/>
      <c r="M517" s="606"/>
      <c r="N517" s="159"/>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row>
    <row r="518">
      <c r="A518" s="159"/>
      <c r="B518" s="159"/>
      <c r="C518" s="159"/>
      <c r="D518" s="159"/>
      <c r="E518" s="159"/>
      <c r="F518" s="159"/>
      <c r="G518" s="159"/>
      <c r="H518" s="159"/>
      <c r="I518" s="159"/>
      <c r="J518" s="159"/>
      <c r="K518" s="159"/>
      <c r="L518" s="159"/>
      <c r="M518" s="606"/>
      <c r="N518" s="159"/>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row>
    <row r="519">
      <c r="A519" s="159"/>
      <c r="B519" s="159"/>
      <c r="C519" s="159"/>
      <c r="D519" s="159"/>
      <c r="E519" s="159"/>
      <c r="F519" s="159"/>
      <c r="G519" s="159"/>
      <c r="H519" s="159"/>
      <c r="I519" s="159"/>
      <c r="J519" s="159"/>
      <c r="K519" s="159"/>
      <c r="L519" s="159"/>
      <c r="M519" s="606"/>
      <c r="N519" s="159"/>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row>
    <row r="520">
      <c r="A520" s="159"/>
      <c r="B520" s="159"/>
      <c r="C520" s="159"/>
      <c r="D520" s="159"/>
      <c r="E520" s="159"/>
      <c r="F520" s="159"/>
      <c r="G520" s="159"/>
      <c r="H520" s="159"/>
      <c r="I520" s="159"/>
      <c r="J520" s="159"/>
      <c r="K520" s="159"/>
      <c r="L520" s="159"/>
      <c r="M520" s="606"/>
      <c r="N520" s="159"/>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row>
    <row r="521">
      <c r="A521" s="159"/>
      <c r="B521" s="159"/>
      <c r="C521" s="159"/>
      <c r="D521" s="159"/>
      <c r="E521" s="159"/>
      <c r="F521" s="159"/>
      <c r="G521" s="159"/>
      <c r="H521" s="159"/>
      <c r="I521" s="159"/>
      <c r="J521" s="159"/>
      <c r="K521" s="159"/>
      <c r="L521" s="159"/>
      <c r="M521" s="606"/>
      <c r="N521" s="159"/>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row>
    <row r="522">
      <c r="A522" s="159"/>
      <c r="B522" s="159"/>
      <c r="C522" s="159"/>
      <c r="D522" s="159"/>
      <c r="E522" s="159"/>
      <c r="F522" s="159"/>
      <c r="G522" s="159"/>
      <c r="H522" s="159"/>
      <c r="I522" s="159"/>
      <c r="J522" s="159"/>
      <c r="K522" s="159"/>
      <c r="L522" s="159"/>
      <c r="M522" s="606"/>
      <c r="N522" s="159"/>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row>
    <row r="523">
      <c r="A523" s="159"/>
      <c r="B523" s="159"/>
      <c r="C523" s="159"/>
      <c r="D523" s="159"/>
      <c r="E523" s="159"/>
      <c r="F523" s="159"/>
      <c r="G523" s="159"/>
      <c r="H523" s="159"/>
      <c r="I523" s="159"/>
      <c r="J523" s="159"/>
      <c r="K523" s="159"/>
      <c r="L523" s="159"/>
      <c r="M523" s="606"/>
      <c r="N523" s="159"/>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row>
    <row r="524">
      <c r="A524" s="159"/>
      <c r="B524" s="159"/>
      <c r="C524" s="159"/>
      <c r="D524" s="159"/>
      <c r="E524" s="159"/>
      <c r="F524" s="159"/>
      <c r="G524" s="159"/>
      <c r="H524" s="159"/>
      <c r="I524" s="159"/>
      <c r="J524" s="159"/>
      <c r="K524" s="159"/>
      <c r="L524" s="159"/>
      <c r="M524" s="606"/>
      <c r="N524" s="159"/>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row>
    <row r="525">
      <c r="A525" s="159"/>
      <c r="B525" s="159"/>
      <c r="C525" s="159"/>
      <c r="D525" s="159"/>
      <c r="E525" s="159"/>
      <c r="F525" s="159"/>
      <c r="G525" s="159"/>
      <c r="H525" s="159"/>
      <c r="I525" s="159"/>
      <c r="J525" s="159"/>
      <c r="K525" s="159"/>
      <c r="L525" s="159"/>
      <c r="M525" s="606"/>
      <c r="N525" s="159"/>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row>
    <row r="526">
      <c r="A526" s="159"/>
      <c r="B526" s="159"/>
      <c r="C526" s="159"/>
      <c r="D526" s="159"/>
      <c r="E526" s="159"/>
      <c r="F526" s="159"/>
      <c r="G526" s="159"/>
      <c r="H526" s="159"/>
      <c r="I526" s="159"/>
      <c r="J526" s="159"/>
      <c r="K526" s="159"/>
      <c r="L526" s="159"/>
      <c r="M526" s="606"/>
      <c r="N526" s="159"/>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row>
    <row r="527">
      <c r="A527" s="159"/>
      <c r="B527" s="159"/>
      <c r="C527" s="159"/>
      <c r="D527" s="159"/>
      <c r="E527" s="159"/>
      <c r="F527" s="159"/>
      <c r="G527" s="159"/>
      <c r="H527" s="159"/>
      <c r="I527" s="159"/>
      <c r="J527" s="159"/>
      <c r="K527" s="159"/>
      <c r="L527" s="159"/>
      <c r="M527" s="606"/>
      <c r="N527" s="159"/>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row>
    <row r="528">
      <c r="A528" s="159"/>
      <c r="B528" s="159"/>
      <c r="C528" s="159"/>
      <c r="D528" s="159"/>
      <c r="E528" s="159"/>
      <c r="F528" s="159"/>
      <c r="G528" s="159"/>
      <c r="H528" s="159"/>
      <c r="I528" s="159"/>
      <c r="J528" s="159"/>
      <c r="K528" s="159"/>
      <c r="L528" s="159"/>
      <c r="M528" s="606"/>
      <c r="N528" s="159"/>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row>
    <row r="529">
      <c r="A529" s="159"/>
      <c r="B529" s="159"/>
      <c r="C529" s="159"/>
      <c r="D529" s="159"/>
      <c r="E529" s="159"/>
      <c r="F529" s="159"/>
      <c r="G529" s="159"/>
      <c r="H529" s="159"/>
      <c r="I529" s="159"/>
      <c r="J529" s="159"/>
      <c r="K529" s="159"/>
      <c r="L529" s="159"/>
      <c r="M529" s="606"/>
      <c r="N529" s="159"/>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row>
    <row r="530">
      <c r="A530" s="159"/>
      <c r="B530" s="159"/>
      <c r="C530" s="159"/>
      <c r="D530" s="159"/>
      <c r="E530" s="159"/>
      <c r="F530" s="159"/>
      <c r="G530" s="159"/>
      <c r="H530" s="159"/>
      <c r="I530" s="159"/>
      <c r="J530" s="159"/>
      <c r="K530" s="159"/>
      <c r="L530" s="159"/>
      <c r="M530" s="606"/>
      <c r="N530" s="159"/>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row>
    <row r="531">
      <c r="A531" s="159"/>
      <c r="B531" s="159"/>
      <c r="C531" s="159"/>
      <c r="D531" s="159"/>
      <c r="E531" s="159"/>
      <c r="F531" s="159"/>
      <c r="G531" s="159"/>
      <c r="H531" s="159"/>
      <c r="I531" s="159"/>
      <c r="J531" s="159"/>
      <c r="K531" s="159"/>
      <c r="L531" s="159"/>
      <c r="M531" s="606"/>
      <c r="N531" s="159"/>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row>
    <row r="532">
      <c r="A532" s="159"/>
      <c r="B532" s="159"/>
      <c r="C532" s="159"/>
      <c r="D532" s="159"/>
      <c r="E532" s="159"/>
      <c r="F532" s="159"/>
      <c r="G532" s="159"/>
      <c r="H532" s="159"/>
      <c r="I532" s="159"/>
      <c r="J532" s="159"/>
      <c r="K532" s="159"/>
      <c r="L532" s="159"/>
      <c r="M532" s="606"/>
      <c r="N532" s="159"/>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row>
    <row r="533">
      <c r="A533" s="159"/>
      <c r="B533" s="159"/>
      <c r="C533" s="159"/>
      <c r="D533" s="159"/>
      <c r="E533" s="159"/>
      <c r="F533" s="159"/>
      <c r="G533" s="159"/>
      <c r="H533" s="159"/>
      <c r="I533" s="159"/>
      <c r="J533" s="159"/>
      <c r="K533" s="159"/>
      <c r="L533" s="159"/>
      <c r="M533" s="606"/>
      <c r="N533" s="159"/>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row>
    <row r="534">
      <c r="A534" s="159"/>
      <c r="B534" s="159"/>
      <c r="C534" s="159"/>
      <c r="D534" s="159"/>
      <c r="E534" s="159"/>
      <c r="F534" s="159"/>
      <c r="G534" s="159"/>
      <c r="H534" s="159"/>
      <c r="I534" s="159"/>
      <c r="J534" s="159"/>
      <c r="K534" s="159"/>
      <c r="L534" s="159"/>
      <c r="M534" s="606"/>
      <c r="N534" s="159"/>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row>
    <row r="535">
      <c r="A535" s="159"/>
      <c r="B535" s="159"/>
      <c r="C535" s="159"/>
      <c r="D535" s="159"/>
      <c r="E535" s="159"/>
      <c r="F535" s="159"/>
      <c r="G535" s="159"/>
      <c r="H535" s="159"/>
      <c r="I535" s="159"/>
      <c r="J535" s="159"/>
      <c r="K535" s="159"/>
      <c r="L535" s="159"/>
      <c r="M535" s="606"/>
      <c r="N535" s="159"/>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row>
    <row r="536">
      <c r="A536" s="159"/>
      <c r="B536" s="159"/>
      <c r="C536" s="159"/>
      <c r="D536" s="159"/>
      <c r="E536" s="159"/>
      <c r="F536" s="159"/>
      <c r="G536" s="159"/>
      <c r="H536" s="159"/>
      <c r="I536" s="159"/>
      <c r="J536" s="159"/>
      <c r="K536" s="159"/>
      <c r="L536" s="159"/>
      <c r="M536" s="606"/>
      <c r="N536" s="159"/>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row>
    <row r="537">
      <c r="A537" s="159"/>
      <c r="B537" s="159"/>
      <c r="C537" s="159"/>
      <c r="D537" s="159"/>
      <c r="E537" s="159"/>
      <c r="F537" s="159"/>
      <c r="G537" s="159"/>
      <c r="H537" s="159"/>
      <c r="I537" s="159"/>
      <c r="J537" s="159"/>
      <c r="K537" s="159"/>
      <c r="L537" s="159"/>
      <c r="M537" s="606"/>
      <c r="N537" s="159"/>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row>
    <row r="538">
      <c r="A538" s="159"/>
      <c r="B538" s="159"/>
      <c r="C538" s="159"/>
      <c r="D538" s="159"/>
      <c r="E538" s="159"/>
      <c r="F538" s="159"/>
      <c r="G538" s="159"/>
      <c r="H538" s="159"/>
      <c r="I538" s="159"/>
      <c r="J538" s="159"/>
      <c r="K538" s="159"/>
      <c r="L538" s="159"/>
      <c r="M538" s="606"/>
      <c r="N538" s="159"/>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row>
    <row r="539">
      <c r="A539" s="159"/>
      <c r="B539" s="159"/>
      <c r="C539" s="159"/>
      <c r="D539" s="159"/>
      <c r="E539" s="159"/>
      <c r="F539" s="159"/>
      <c r="G539" s="159"/>
      <c r="H539" s="159"/>
      <c r="I539" s="159"/>
      <c r="J539" s="159"/>
      <c r="K539" s="159"/>
      <c r="L539" s="159"/>
      <c r="M539" s="606"/>
      <c r="N539" s="159"/>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row>
    <row r="540">
      <c r="A540" s="159"/>
      <c r="B540" s="159"/>
      <c r="C540" s="159"/>
      <c r="D540" s="159"/>
      <c r="E540" s="159"/>
      <c r="F540" s="159"/>
      <c r="G540" s="159"/>
      <c r="H540" s="159"/>
      <c r="I540" s="159"/>
      <c r="J540" s="159"/>
      <c r="K540" s="159"/>
      <c r="L540" s="159"/>
      <c r="M540" s="606"/>
      <c r="N540" s="159"/>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row>
    <row r="541">
      <c r="A541" s="159"/>
      <c r="B541" s="159"/>
      <c r="C541" s="159"/>
      <c r="D541" s="159"/>
      <c r="E541" s="159"/>
      <c r="F541" s="159"/>
      <c r="G541" s="159"/>
      <c r="H541" s="159"/>
      <c r="I541" s="159"/>
      <c r="J541" s="159"/>
      <c r="K541" s="159"/>
      <c r="L541" s="159"/>
      <c r="M541" s="606"/>
      <c r="N541" s="159"/>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row>
    <row r="542">
      <c r="A542" s="159"/>
      <c r="B542" s="159"/>
      <c r="C542" s="159"/>
      <c r="D542" s="159"/>
      <c r="E542" s="159"/>
      <c r="F542" s="159"/>
      <c r="G542" s="159"/>
      <c r="H542" s="159"/>
      <c r="I542" s="159"/>
      <c r="J542" s="159"/>
      <c r="K542" s="159"/>
      <c r="L542" s="159"/>
      <c r="M542" s="606"/>
      <c r="N542" s="159"/>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row>
    <row r="543">
      <c r="A543" s="159"/>
      <c r="B543" s="159"/>
      <c r="C543" s="159"/>
      <c r="D543" s="159"/>
      <c r="E543" s="159"/>
      <c r="F543" s="159"/>
      <c r="G543" s="159"/>
      <c r="H543" s="159"/>
      <c r="I543" s="159"/>
      <c r="J543" s="159"/>
      <c r="K543" s="159"/>
      <c r="L543" s="159"/>
      <c r="M543" s="606"/>
      <c r="N543" s="159"/>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row>
    <row r="544">
      <c r="A544" s="159"/>
      <c r="B544" s="159"/>
      <c r="C544" s="159"/>
      <c r="D544" s="159"/>
      <c r="E544" s="159"/>
      <c r="F544" s="159"/>
      <c r="G544" s="159"/>
      <c r="H544" s="159"/>
      <c r="I544" s="159"/>
      <c r="J544" s="159"/>
      <c r="K544" s="159"/>
      <c r="L544" s="159"/>
      <c r="M544" s="606"/>
      <c r="N544" s="159"/>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row>
    <row r="545">
      <c r="A545" s="159"/>
      <c r="B545" s="159"/>
      <c r="C545" s="159"/>
      <c r="D545" s="159"/>
      <c r="E545" s="159"/>
      <c r="F545" s="159"/>
      <c r="G545" s="159"/>
      <c r="H545" s="159"/>
      <c r="I545" s="159"/>
      <c r="J545" s="159"/>
      <c r="K545" s="159"/>
      <c r="L545" s="159"/>
      <c r="M545" s="606"/>
      <c r="N545" s="159"/>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row>
    <row r="546">
      <c r="A546" s="159"/>
      <c r="B546" s="159"/>
      <c r="C546" s="159"/>
      <c r="D546" s="159"/>
      <c r="E546" s="159"/>
      <c r="F546" s="159"/>
      <c r="G546" s="159"/>
      <c r="H546" s="159"/>
      <c r="I546" s="159"/>
      <c r="J546" s="159"/>
      <c r="K546" s="159"/>
      <c r="L546" s="159"/>
      <c r="M546" s="606"/>
      <c r="N546" s="159"/>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row>
    <row r="547">
      <c r="A547" s="159"/>
      <c r="B547" s="159"/>
      <c r="C547" s="159"/>
      <c r="D547" s="159"/>
      <c r="E547" s="159"/>
      <c r="F547" s="159"/>
      <c r="G547" s="159"/>
      <c r="H547" s="159"/>
      <c r="I547" s="159"/>
      <c r="J547" s="159"/>
      <c r="K547" s="159"/>
      <c r="L547" s="159"/>
      <c r="M547" s="606"/>
      <c r="N547" s="159"/>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row>
    <row r="548">
      <c r="A548" s="159"/>
      <c r="B548" s="159"/>
      <c r="C548" s="159"/>
      <c r="D548" s="159"/>
      <c r="E548" s="159"/>
      <c r="F548" s="159"/>
      <c r="G548" s="159"/>
      <c r="H548" s="159"/>
      <c r="I548" s="159"/>
      <c r="J548" s="159"/>
      <c r="K548" s="159"/>
      <c r="L548" s="159"/>
      <c r="M548" s="606"/>
      <c r="N548" s="159"/>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row>
    <row r="549">
      <c r="A549" s="159"/>
      <c r="B549" s="159"/>
      <c r="C549" s="159"/>
      <c r="D549" s="159"/>
      <c r="E549" s="159"/>
      <c r="F549" s="159"/>
      <c r="G549" s="159"/>
      <c r="H549" s="159"/>
      <c r="I549" s="159"/>
      <c r="J549" s="159"/>
      <c r="K549" s="159"/>
      <c r="L549" s="159"/>
      <c r="M549" s="606"/>
      <c r="N549" s="159"/>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row>
    <row r="550">
      <c r="A550" s="159"/>
      <c r="B550" s="159"/>
      <c r="C550" s="159"/>
      <c r="D550" s="159"/>
      <c r="E550" s="159"/>
      <c r="F550" s="159"/>
      <c r="G550" s="159"/>
      <c r="H550" s="159"/>
      <c r="I550" s="159"/>
      <c r="J550" s="159"/>
      <c r="K550" s="159"/>
      <c r="L550" s="159"/>
      <c r="M550" s="606"/>
      <c r="N550" s="159"/>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row>
    <row r="551">
      <c r="A551" s="159"/>
      <c r="B551" s="159"/>
      <c r="C551" s="159"/>
      <c r="D551" s="159"/>
      <c r="E551" s="159"/>
      <c r="F551" s="159"/>
      <c r="G551" s="159"/>
      <c r="H551" s="159"/>
      <c r="I551" s="159"/>
      <c r="J551" s="159"/>
      <c r="K551" s="159"/>
      <c r="L551" s="159"/>
      <c r="M551" s="606"/>
      <c r="N551" s="159"/>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row>
    <row r="552">
      <c r="A552" s="159"/>
      <c r="B552" s="159"/>
      <c r="C552" s="159"/>
      <c r="D552" s="159"/>
      <c r="E552" s="159"/>
      <c r="F552" s="159"/>
      <c r="G552" s="159"/>
      <c r="H552" s="159"/>
      <c r="I552" s="159"/>
      <c r="J552" s="159"/>
      <c r="K552" s="159"/>
      <c r="L552" s="159"/>
      <c r="M552" s="606"/>
      <c r="N552" s="159"/>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row>
    <row r="553">
      <c r="A553" s="159"/>
      <c r="B553" s="159"/>
      <c r="C553" s="159"/>
      <c r="D553" s="159"/>
      <c r="E553" s="159"/>
      <c r="F553" s="159"/>
      <c r="G553" s="159"/>
      <c r="H553" s="159"/>
      <c r="I553" s="159"/>
      <c r="J553" s="159"/>
      <c r="K553" s="159"/>
      <c r="L553" s="159"/>
      <c r="M553" s="606"/>
      <c r="N553" s="159"/>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row>
    <row r="554">
      <c r="A554" s="159"/>
      <c r="B554" s="159"/>
      <c r="C554" s="159"/>
      <c r="D554" s="159"/>
      <c r="E554" s="159"/>
      <c r="F554" s="159"/>
      <c r="G554" s="159"/>
      <c r="H554" s="159"/>
      <c r="I554" s="159"/>
      <c r="J554" s="159"/>
      <c r="K554" s="159"/>
      <c r="L554" s="159"/>
      <c r="M554" s="606"/>
      <c r="N554" s="159"/>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row>
    <row r="555">
      <c r="A555" s="159"/>
      <c r="B555" s="159"/>
      <c r="C555" s="159"/>
      <c r="D555" s="159"/>
      <c r="E555" s="159"/>
      <c r="F555" s="159"/>
      <c r="G555" s="159"/>
      <c r="H555" s="159"/>
      <c r="I555" s="159"/>
      <c r="J555" s="159"/>
      <c r="K555" s="159"/>
      <c r="L555" s="159"/>
      <c r="M555" s="606"/>
      <c r="N555" s="159"/>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row>
    <row r="556">
      <c r="A556" s="159"/>
      <c r="B556" s="159"/>
      <c r="C556" s="159"/>
      <c r="D556" s="159"/>
      <c r="E556" s="159"/>
      <c r="F556" s="159"/>
      <c r="G556" s="159"/>
      <c r="H556" s="159"/>
      <c r="I556" s="159"/>
      <c r="J556" s="159"/>
      <c r="K556" s="159"/>
      <c r="L556" s="159"/>
      <c r="M556" s="606"/>
      <c r="N556" s="159"/>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row>
    <row r="557">
      <c r="A557" s="159"/>
      <c r="B557" s="159"/>
      <c r="C557" s="159"/>
      <c r="D557" s="159"/>
      <c r="E557" s="159"/>
      <c r="F557" s="159"/>
      <c r="G557" s="159"/>
      <c r="H557" s="159"/>
      <c r="I557" s="159"/>
      <c r="J557" s="159"/>
      <c r="K557" s="159"/>
      <c r="L557" s="159"/>
      <c r="M557" s="606"/>
      <c r="N557" s="159"/>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row>
    <row r="558">
      <c r="A558" s="159"/>
      <c r="B558" s="159"/>
      <c r="C558" s="159"/>
      <c r="D558" s="159"/>
      <c r="E558" s="159"/>
      <c r="F558" s="159"/>
      <c r="G558" s="159"/>
      <c r="H558" s="159"/>
      <c r="I558" s="159"/>
      <c r="J558" s="159"/>
      <c r="K558" s="159"/>
      <c r="L558" s="159"/>
      <c r="M558" s="606"/>
      <c r="N558" s="159"/>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row>
    <row r="559">
      <c r="A559" s="159"/>
      <c r="B559" s="159"/>
      <c r="C559" s="159"/>
      <c r="D559" s="159"/>
      <c r="E559" s="159"/>
      <c r="F559" s="159"/>
      <c r="G559" s="159"/>
      <c r="H559" s="159"/>
      <c r="I559" s="159"/>
      <c r="J559" s="159"/>
      <c r="K559" s="159"/>
      <c r="L559" s="159"/>
      <c r="M559" s="606"/>
      <c r="N559" s="159"/>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row>
    <row r="560">
      <c r="A560" s="159"/>
      <c r="B560" s="159"/>
      <c r="C560" s="159"/>
      <c r="D560" s="159"/>
      <c r="E560" s="159"/>
      <c r="F560" s="159"/>
      <c r="G560" s="159"/>
      <c r="H560" s="159"/>
      <c r="I560" s="159"/>
      <c r="J560" s="159"/>
      <c r="K560" s="159"/>
      <c r="L560" s="159"/>
      <c r="M560" s="606"/>
      <c r="N560" s="159"/>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row>
    <row r="561">
      <c r="A561" s="159"/>
      <c r="B561" s="159"/>
      <c r="C561" s="159"/>
      <c r="D561" s="159"/>
      <c r="E561" s="159"/>
      <c r="F561" s="159"/>
      <c r="G561" s="159"/>
      <c r="H561" s="159"/>
      <c r="I561" s="159"/>
      <c r="J561" s="159"/>
      <c r="K561" s="159"/>
      <c r="L561" s="159"/>
      <c r="M561" s="606"/>
      <c r="N561" s="159"/>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row>
    <row r="562">
      <c r="A562" s="159"/>
      <c r="B562" s="159"/>
      <c r="C562" s="159"/>
      <c r="D562" s="159"/>
      <c r="E562" s="159"/>
      <c r="F562" s="159"/>
      <c r="G562" s="159"/>
      <c r="H562" s="159"/>
      <c r="I562" s="159"/>
      <c r="J562" s="159"/>
      <c r="K562" s="159"/>
      <c r="L562" s="159"/>
      <c r="M562" s="606"/>
      <c r="N562" s="159"/>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row>
    <row r="563">
      <c r="A563" s="159"/>
      <c r="B563" s="159"/>
      <c r="C563" s="159"/>
      <c r="D563" s="159"/>
      <c r="E563" s="159"/>
      <c r="F563" s="159"/>
      <c r="G563" s="159"/>
      <c r="H563" s="159"/>
      <c r="I563" s="159"/>
      <c r="J563" s="159"/>
      <c r="K563" s="159"/>
      <c r="L563" s="159"/>
      <c r="M563" s="606"/>
      <c r="N563" s="159"/>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row>
    <row r="564">
      <c r="A564" s="159"/>
      <c r="B564" s="159"/>
      <c r="C564" s="159"/>
      <c r="D564" s="159"/>
      <c r="E564" s="159"/>
      <c r="F564" s="159"/>
      <c r="G564" s="159"/>
      <c r="H564" s="159"/>
      <c r="I564" s="159"/>
      <c r="J564" s="159"/>
      <c r="K564" s="159"/>
      <c r="L564" s="159"/>
      <c r="M564" s="606"/>
      <c r="N564" s="159"/>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row>
    <row r="565">
      <c r="A565" s="159"/>
      <c r="B565" s="159"/>
      <c r="C565" s="159"/>
      <c r="D565" s="159"/>
      <c r="E565" s="159"/>
      <c r="F565" s="159"/>
      <c r="G565" s="159"/>
      <c r="H565" s="159"/>
      <c r="I565" s="159"/>
      <c r="J565" s="159"/>
      <c r="K565" s="159"/>
      <c r="L565" s="159"/>
      <c r="M565" s="606"/>
      <c r="N565" s="159"/>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row>
    <row r="566">
      <c r="A566" s="159"/>
      <c r="B566" s="159"/>
      <c r="C566" s="159"/>
      <c r="D566" s="159"/>
      <c r="E566" s="159"/>
      <c r="F566" s="159"/>
      <c r="G566" s="159"/>
      <c r="H566" s="159"/>
      <c r="I566" s="159"/>
      <c r="J566" s="159"/>
      <c r="K566" s="159"/>
      <c r="L566" s="159"/>
      <c r="M566" s="606"/>
      <c r="N566" s="159"/>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row>
    <row r="567">
      <c r="A567" s="159"/>
      <c r="B567" s="159"/>
      <c r="C567" s="159"/>
      <c r="D567" s="159"/>
      <c r="E567" s="159"/>
      <c r="F567" s="159"/>
      <c r="G567" s="159"/>
      <c r="H567" s="159"/>
      <c r="I567" s="159"/>
      <c r="J567" s="159"/>
      <c r="K567" s="159"/>
      <c r="L567" s="159"/>
      <c r="M567" s="606"/>
      <c r="N567" s="159"/>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row>
    <row r="568">
      <c r="A568" s="159"/>
      <c r="B568" s="159"/>
      <c r="C568" s="159"/>
      <c r="D568" s="159"/>
      <c r="E568" s="159"/>
      <c r="F568" s="159"/>
      <c r="G568" s="159"/>
      <c r="H568" s="159"/>
      <c r="I568" s="159"/>
      <c r="J568" s="159"/>
      <c r="K568" s="159"/>
      <c r="L568" s="159"/>
      <c r="M568" s="606"/>
      <c r="N568" s="159"/>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row>
    <row r="569">
      <c r="A569" s="159"/>
      <c r="B569" s="159"/>
      <c r="C569" s="159"/>
      <c r="D569" s="159"/>
      <c r="E569" s="159"/>
      <c r="F569" s="159"/>
      <c r="G569" s="159"/>
      <c r="H569" s="159"/>
      <c r="I569" s="159"/>
      <c r="J569" s="159"/>
      <c r="K569" s="159"/>
      <c r="L569" s="159"/>
      <c r="M569" s="606"/>
      <c r="N569" s="159"/>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row>
    <row r="570">
      <c r="A570" s="159"/>
      <c r="B570" s="159"/>
      <c r="C570" s="159"/>
      <c r="D570" s="159"/>
      <c r="E570" s="159"/>
      <c r="F570" s="159"/>
      <c r="G570" s="159"/>
      <c r="H570" s="159"/>
      <c r="I570" s="159"/>
      <c r="J570" s="159"/>
      <c r="K570" s="159"/>
      <c r="L570" s="159"/>
      <c r="M570" s="606"/>
      <c r="N570" s="159"/>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row>
    <row r="571">
      <c r="A571" s="159"/>
      <c r="B571" s="159"/>
      <c r="C571" s="159"/>
      <c r="D571" s="159"/>
      <c r="E571" s="159"/>
      <c r="F571" s="159"/>
      <c r="G571" s="159"/>
      <c r="H571" s="159"/>
      <c r="I571" s="159"/>
      <c r="J571" s="159"/>
      <c r="K571" s="159"/>
      <c r="L571" s="159"/>
      <c r="M571" s="606"/>
      <c r="N571" s="159"/>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row>
    <row r="572">
      <c r="A572" s="159"/>
      <c r="B572" s="159"/>
      <c r="C572" s="159"/>
      <c r="D572" s="159"/>
      <c r="E572" s="159"/>
      <c r="F572" s="159"/>
      <c r="G572" s="159"/>
      <c r="H572" s="159"/>
      <c r="I572" s="159"/>
      <c r="J572" s="159"/>
      <c r="K572" s="159"/>
      <c r="L572" s="159"/>
      <c r="M572" s="606"/>
      <c r="N572" s="159"/>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row>
    <row r="573">
      <c r="A573" s="159"/>
      <c r="B573" s="159"/>
      <c r="C573" s="159"/>
      <c r="D573" s="159"/>
      <c r="E573" s="159"/>
      <c r="F573" s="159"/>
      <c r="G573" s="159"/>
      <c r="H573" s="159"/>
      <c r="I573" s="159"/>
      <c r="J573" s="159"/>
      <c r="K573" s="159"/>
      <c r="L573" s="159"/>
      <c r="M573" s="606"/>
      <c r="N573" s="159"/>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row>
    <row r="574">
      <c r="A574" s="159"/>
      <c r="B574" s="159"/>
      <c r="C574" s="159"/>
      <c r="D574" s="159"/>
      <c r="E574" s="159"/>
      <c r="F574" s="159"/>
      <c r="G574" s="159"/>
      <c r="H574" s="159"/>
      <c r="I574" s="159"/>
      <c r="J574" s="159"/>
      <c r="K574" s="159"/>
      <c r="L574" s="159"/>
      <c r="M574" s="606"/>
      <c r="N574" s="159"/>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row>
    <row r="575">
      <c r="A575" s="159"/>
      <c r="B575" s="159"/>
      <c r="C575" s="159"/>
      <c r="D575" s="159"/>
      <c r="E575" s="159"/>
      <c r="F575" s="159"/>
      <c r="G575" s="159"/>
      <c r="H575" s="159"/>
      <c r="I575" s="159"/>
      <c r="J575" s="159"/>
      <c r="K575" s="159"/>
      <c r="L575" s="159"/>
      <c r="M575" s="606"/>
      <c r="N575" s="159"/>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row>
    <row r="576">
      <c r="A576" s="159"/>
      <c r="B576" s="159"/>
      <c r="C576" s="159"/>
      <c r="D576" s="159"/>
      <c r="E576" s="159"/>
      <c r="F576" s="159"/>
      <c r="G576" s="159"/>
      <c r="H576" s="159"/>
      <c r="I576" s="159"/>
      <c r="J576" s="159"/>
      <c r="K576" s="159"/>
      <c r="L576" s="159"/>
      <c r="M576" s="606"/>
      <c r="N576" s="159"/>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row>
    <row r="577">
      <c r="A577" s="159"/>
      <c r="B577" s="159"/>
      <c r="C577" s="159"/>
      <c r="D577" s="159"/>
      <c r="E577" s="159"/>
      <c r="F577" s="159"/>
      <c r="G577" s="159"/>
      <c r="H577" s="159"/>
      <c r="I577" s="159"/>
      <c r="J577" s="159"/>
      <c r="K577" s="159"/>
      <c r="L577" s="159"/>
      <c r="M577" s="606"/>
      <c r="N577" s="159"/>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row>
    <row r="578">
      <c r="A578" s="159"/>
      <c r="B578" s="159"/>
      <c r="C578" s="159"/>
      <c r="D578" s="159"/>
      <c r="E578" s="159"/>
      <c r="F578" s="159"/>
      <c r="G578" s="159"/>
      <c r="H578" s="159"/>
      <c r="I578" s="159"/>
      <c r="J578" s="159"/>
      <c r="K578" s="159"/>
      <c r="L578" s="159"/>
      <c r="M578" s="606"/>
      <c r="N578" s="159"/>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row>
    <row r="579">
      <c r="A579" s="159"/>
      <c r="B579" s="159"/>
      <c r="C579" s="159"/>
      <c r="D579" s="159"/>
      <c r="E579" s="159"/>
      <c r="F579" s="159"/>
      <c r="G579" s="159"/>
      <c r="H579" s="159"/>
      <c r="I579" s="159"/>
      <c r="J579" s="159"/>
      <c r="K579" s="159"/>
      <c r="L579" s="159"/>
      <c r="M579" s="606"/>
      <c r="N579" s="159"/>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row>
    <row r="580">
      <c r="A580" s="159"/>
      <c r="B580" s="159"/>
      <c r="C580" s="159"/>
      <c r="D580" s="159"/>
      <c r="E580" s="159"/>
      <c r="F580" s="159"/>
      <c r="G580" s="159"/>
      <c r="H580" s="159"/>
      <c r="I580" s="159"/>
      <c r="J580" s="159"/>
      <c r="K580" s="159"/>
      <c r="L580" s="159"/>
      <c r="M580" s="606"/>
      <c r="N580" s="159"/>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row>
    <row r="581">
      <c r="A581" s="159"/>
      <c r="B581" s="159"/>
      <c r="C581" s="159"/>
      <c r="D581" s="159"/>
      <c r="E581" s="159"/>
      <c r="F581" s="159"/>
      <c r="G581" s="159"/>
      <c r="H581" s="159"/>
      <c r="I581" s="159"/>
      <c r="J581" s="159"/>
      <c r="K581" s="159"/>
      <c r="L581" s="159"/>
      <c r="M581" s="606"/>
      <c r="N581" s="159"/>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row>
    <row r="582">
      <c r="A582" s="159"/>
      <c r="B582" s="159"/>
      <c r="C582" s="159"/>
      <c r="D582" s="159"/>
      <c r="E582" s="159"/>
      <c r="F582" s="159"/>
      <c r="G582" s="159"/>
      <c r="H582" s="159"/>
      <c r="I582" s="159"/>
      <c r="J582" s="159"/>
      <c r="K582" s="159"/>
      <c r="L582" s="159"/>
      <c r="M582" s="606"/>
      <c r="N582" s="159"/>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row>
    <row r="583">
      <c r="A583" s="159"/>
      <c r="B583" s="159"/>
      <c r="C583" s="159"/>
      <c r="D583" s="159"/>
      <c r="E583" s="159"/>
      <c r="F583" s="159"/>
      <c r="G583" s="159"/>
      <c r="H583" s="159"/>
      <c r="I583" s="159"/>
      <c r="J583" s="159"/>
      <c r="K583" s="159"/>
      <c r="L583" s="159"/>
      <c r="M583" s="606"/>
      <c r="N583" s="159"/>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row>
    <row r="584">
      <c r="A584" s="159"/>
      <c r="B584" s="159"/>
      <c r="C584" s="159"/>
      <c r="D584" s="159"/>
      <c r="E584" s="159"/>
      <c r="F584" s="159"/>
      <c r="G584" s="159"/>
      <c r="H584" s="159"/>
      <c r="I584" s="159"/>
      <c r="J584" s="159"/>
      <c r="K584" s="159"/>
      <c r="L584" s="159"/>
      <c r="M584" s="606"/>
      <c r="N584" s="159"/>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row>
    <row r="585">
      <c r="A585" s="159"/>
      <c r="B585" s="159"/>
      <c r="C585" s="159"/>
      <c r="D585" s="159"/>
      <c r="E585" s="159"/>
      <c r="F585" s="159"/>
      <c r="G585" s="159"/>
      <c r="H585" s="159"/>
      <c r="I585" s="159"/>
      <c r="J585" s="159"/>
      <c r="K585" s="159"/>
      <c r="L585" s="159"/>
      <c r="M585" s="606"/>
      <c r="N585" s="159"/>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row>
    <row r="586">
      <c r="A586" s="159"/>
      <c r="B586" s="159"/>
      <c r="C586" s="159"/>
      <c r="D586" s="159"/>
      <c r="E586" s="159"/>
      <c r="F586" s="159"/>
      <c r="G586" s="159"/>
      <c r="H586" s="159"/>
      <c r="I586" s="159"/>
      <c r="J586" s="159"/>
      <c r="K586" s="159"/>
      <c r="L586" s="159"/>
      <c r="M586" s="606"/>
      <c r="N586" s="159"/>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row>
    <row r="587">
      <c r="A587" s="159"/>
      <c r="B587" s="159"/>
      <c r="C587" s="159"/>
      <c r="D587" s="159"/>
      <c r="E587" s="159"/>
      <c r="F587" s="159"/>
      <c r="G587" s="159"/>
      <c r="H587" s="159"/>
      <c r="I587" s="159"/>
      <c r="J587" s="159"/>
      <c r="K587" s="159"/>
      <c r="L587" s="159"/>
      <c r="M587" s="606"/>
      <c r="N587" s="159"/>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row>
    <row r="588">
      <c r="A588" s="159"/>
      <c r="B588" s="159"/>
      <c r="C588" s="159"/>
      <c r="D588" s="159"/>
      <c r="E588" s="159"/>
      <c r="F588" s="159"/>
      <c r="G588" s="159"/>
      <c r="H588" s="159"/>
      <c r="I588" s="159"/>
      <c r="J588" s="159"/>
      <c r="K588" s="159"/>
      <c r="L588" s="159"/>
      <c r="M588" s="606"/>
      <c r="N588" s="159"/>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row>
    <row r="589">
      <c r="A589" s="159"/>
      <c r="B589" s="159"/>
      <c r="C589" s="159"/>
      <c r="D589" s="159"/>
      <c r="E589" s="159"/>
      <c r="F589" s="159"/>
      <c r="G589" s="159"/>
      <c r="H589" s="159"/>
      <c r="I589" s="159"/>
      <c r="J589" s="159"/>
      <c r="K589" s="159"/>
      <c r="L589" s="159"/>
      <c r="M589" s="606"/>
      <c r="N589" s="159"/>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row>
    <row r="590">
      <c r="A590" s="159"/>
      <c r="B590" s="159"/>
      <c r="C590" s="159"/>
      <c r="D590" s="159"/>
      <c r="E590" s="159"/>
      <c r="F590" s="159"/>
      <c r="G590" s="159"/>
      <c r="H590" s="159"/>
      <c r="I590" s="159"/>
      <c r="J590" s="159"/>
      <c r="K590" s="159"/>
      <c r="L590" s="159"/>
      <c r="M590" s="606"/>
      <c r="N590" s="159"/>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row>
    <row r="591">
      <c r="A591" s="159"/>
      <c r="B591" s="159"/>
      <c r="C591" s="159"/>
      <c r="D591" s="159"/>
      <c r="E591" s="159"/>
      <c r="F591" s="159"/>
      <c r="G591" s="159"/>
      <c r="H591" s="159"/>
      <c r="I591" s="159"/>
      <c r="J591" s="159"/>
      <c r="K591" s="159"/>
      <c r="L591" s="159"/>
      <c r="M591" s="606"/>
      <c r="N591" s="159"/>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row>
    <row r="592">
      <c r="A592" s="159"/>
      <c r="B592" s="159"/>
      <c r="C592" s="159"/>
      <c r="D592" s="159"/>
      <c r="E592" s="159"/>
      <c r="F592" s="159"/>
      <c r="G592" s="159"/>
      <c r="H592" s="159"/>
      <c r="I592" s="159"/>
      <c r="J592" s="159"/>
      <c r="K592" s="159"/>
      <c r="L592" s="159"/>
      <c r="M592" s="606"/>
      <c r="N592" s="159"/>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row>
    <row r="593">
      <c r="A593" s="159"/>
      <c r="B593" s="159"/>
      <c r="C593" s="159"/>
      <c r="D593" s="159"/>
      <c r="E593" s="159"/>
      <c r="F593" s="159"/>
      <c r="G593" s="159"/>
      <c r="H593" s="159"/>
      <c r="I593" s="159"/>
      <c r="J593" s="159"/>
      <c r="K593" s="159"/>
      <c r="L593" s="159"/>
      <c r="M593" s="606"/>
      <c r="N593" s="159"/>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row>
    <row r="594">
      <c r="A594" s="159"/>
      <c r="B594" s="159"/>
      <c r="C594" s="159"/>
      <c r="D594" s="159"/>
      <c r="E594" s="159"/>
      <c r="F594" s="159"/>
      <c r="G594" s="159"/>
      <c r="H594" s="159"/>
      <c r="I594" s="159"/>
      <c r="J594" s="159"/>
      <c r="K594" s="159"/>
      <c r="L594" s="159"/>
      <c r="M594" s="606"/>
      <c r="N594" s="159"/>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row>
    <row r="595">
      <c r="A595" s="159"/>
      <c r="B595" s="159"/>
      <c r="C595" s="159"/>
      <c r="D595" s="159"/>
      <c r="E595" s="159"/>
      <c r="F595" s="159"/>
      <c r="G595" s="159"/>
      <c r="H595" s="159"/>
      <c r="I595" s="159"/>
      <c r="J595" s="159"/>
      <c r="K595" s="159"/>
      <c r="L595" s="159"/>
      <c r="M595" s="606"/>
      <c r="N595" s="159"/>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row>
    <row r="596">
      <c r="A596" s="159"/>
      <c r="B596" s="159"/>
      <c r="C596" s="159"/>
      <c r="D596" s="159"/>
      <c r="E596" s="159"/>
      <c r="F596" s="159"/>
      <c r="G596" s="159"/>
      <c r="H596" s="159"/>
      <c r="I596" s="159"/>
      <c r="J596" s="159"/>
      <c r="K596" s="159"/>
      <c r="L596" s="159"/>
      <c r="M596" s="606"/>
      <c r="N596" s="159"/>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row>
    <row r="597">
      <c r="A597" s="159"/>
      <c r="B597" s="159"/>
      <c r="C597" s="159"/>
      <c r="D597" s="159"/>
      <c r="E597" s="159"/>
      <c r="F597" s="159"/>
      <c r="G597" s="159"/>
      <c r="H597" s="159"/>
      <c r="I597" s="159"/>
      <c r="J597" s="159"/>
      <c r="K597" s="159"/>
      <c r="L597" s="159"/>
      <c r="M597" s="606"/>
      <c r="N597" s="159"/>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row>
    <row r="598">
      <c r="A598" s="159"/>
      <c r="B598" s="159"/>
      <c r="C598" s="159"/>
      <c r="D598" s="159"/>
      <c r="E598" s="159"/>
      <c r="F598" s="159"/>
      <c r="G598" s="159"/>
      <c r="H598" s="159"/>
      <c r="I598" s="159"/>
      <c r="J598" s="159"/>
      <c r="K598" s="159"/>
      <c r="L598" s="159"/>
      <c r="M598" s="606"/>
      <c r="N598" s="159"/>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row>
    <row r="599">
      <c r="A599" s="159"/>
      <c r="B599" s="159"/>
      <c r="C599" s="159"/>
      <c r="D599" s="159"/>
      <c r="E599" s="159"/>
      <c r="F599" s="159"/>
      <c r="G599" s="159"/>
      <c r="H599" s="159"/>
      <c r="I599" s="159"/>
      <c r="J599" s="159"/>
      <c r="K599" s="159"/>
      <c r="L599" s="159"/>
      <c r="M599" s="606"/>
      <c r="N599" s="159"/>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row>
    <row r="600">
      <c r="A600" s="159"/>
      <c r="B600" s="159"/>
      <c r="C600" s="159"/>
      <c r="D600" s="159"/>
      <c r="E600" s="159"/>
      <c r="F600" s="159"/>
      <c r="G600" s="159"/>
      <c r="H600" s="159"/>
      <c r="I600" s="159"/>
      <c r="J600" s="159"/>
      <c r="K600" s="159"/>
      <c r="L600" s="159"/>
      <c r="M600" s="606"/>
      <c r="N600" s="159"/>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row>
    <row r="601">
      <c r="A601" s="159"/>
      <c r="B601" s="159"/>
      <c r="C601" s="159"/>
      <c r="D601" s="159"/>
      <c r="E601" s="159"/>
      <c r="F601" s="159"/>
      <c r="G601" s="159"/>
      <c r="H601" s="159"/>
      <c r="I601" s="159"/>
      <c r="J601" s="159"/>
      <c r="K601" s="159"/>
      <c r="L601" s="159"/>
      <c r="M601" s="606"/>
      <c r="N601" s="159"/>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row>
    <row r="602">
      <c r="A602" s="159"/>
      <c r="B602" s="159"/>
      <c r="C602" s="159"/>
      <c r="D602" s="159"/>
      <c r="E602" s="159"/>
      <c r="F602" s="159"/>
      <c r="G602" s="159"/>
      <c r="H602" s="159"/>
      <c r="I602" s="159"/>
      <c r="J602" s="159"/>
      <c r="K602" s="159"/>
      <c r="L602" s="159"/>
      <c r="M602" s="606"/>
      <c r="N602" s="159"/>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row>
    <row r="603">
      <c r="A603" s="159"/>
      <c r="B603" s="159"/>
      <c r="C603" s="159"/>
      <c r="D603" s="159"/>
      <c r="E603" s="159"/>
      <c r="F603" s="159"/>
      <c r="G603" s="159"/>
      <c r="H603" s="159"/>
      <c r="I603" s="159"/>
      <c r="J603" s="159"/>
      <c r="K603" s="159"/>
      <c r="L603" s="159"/>
      <c r="M603" s="606"/>
      <c r="N603" s="159"/>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row>
    <row r="604">
      <c r="A604" s="159"/>
      <c r="B604" s="159"/>
      <c r="C604" s="159"/>
      <c r="D604" s="159"/>
      <c r="E604" s="159"/>
      <c r="F604" s="159"/>
      <c r="G604" s="159"/>
      <c r="H604" s="159"/>
      <c r="I604" s="159"/>
      <c r="J604" s="159"/>
      <c r="K604" s="159"/>
      <c r="L604" s="159"/>
      <c r="M604" s="606"/>
      <c r="N604" s="159"/>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row>
    <row r="605">
      <c r="A605" s="159"/>
      <c r="B605" s="159"/>
      <c r="C605" s="159"/>
      <c r="D605" s="159"/>
      <c r="E605" s="159"/>
      <c r="F605" s="159"/>
      <c r="G605" s="159"/>
      <c r="H605" s="159"/>
      <c r="I605" s="159"/>
      <c r="J605" s="159"/>
      <c r="K605" s="159"/>
      <c r="L605" s="159"/>
      <c r="M605" s="606"/>
      <c r="N605" s="159"/>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row>
    <row r="606">
      <c r="A606" s="159"/>
      <c r="B606" s="159"/>
      <c r="C606" s="159"/>
      <c r="D606" s="159"/>
      <c r="E606" s="159"/>
      <c r="F606" s="159"/>
      <c r="G606" s="159"/>
      <c r="H606" s="159"/>
      <c r="I606" s="159"/>
      <c r="J606" s="159"/>
      <c r="K606" s="159"/>
      <c r="L606" s="159"/>
      <c r="M606" s="606"/>
      <c r="N606" s="159"/>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row>
    <row r="607">
      <c r="A607" s="159"/>
      <c r="B607" s="159"/>
      <c r="C607" s="159"/>
      <c r="D607" s="159"/>
      <c r="E607" s="159"/>
      <c r="F607" s="159"/>
      <c r="G607" s="159"/>
      <c r="H607" s="159"/>
      <c r="I607" s="159"/>
      <c r="J607" s="159"/>
      <c r="K607" s="159"/>
      <c r="L607" s="159"/>
      <c r="M607" s="606"/>
      <c r="N607" s="159"/>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row>
    <row r="608">
      <c r="A608" s="159"/>
      <c r="B608" s="159"/>
      <c r="C608" s="159"/>
      <c r="D608" s="159"/>
      <c r="E608" s="159"/>
      <c r="F608" s="159"/>
      <c r="G608" s="159"/>
      <c r="H608" s="159"/>
      <c r="I608" s="159"/>
      <c r="J608" s="159"/>
      <c r="K608" s="159"/>
      <c r="L608" s="159"/>
      <c r="M608" s="606"/>
      <c r="N608" s="159"/>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row>
    <row r="609">
      <c r="A609" s="159"/>
      <c r="B609" s="159"/>
      <c r="C609" s="159"/>
      <c r="D609" s="159"/>
      <c r="E609" s="159"/>
      <c r="F609" s="159"/>
      <c r="G609" s="159"/>
      <c r="H609" s="159"/>
      <c r="I609" s="159"/>
      <c r="J609" s="159"/>
      <c r="K609" s="159"/>
      <c r="L609" s="159"/>
      <c r="M609" s="606"/>
      <c r="N609" s="159"/>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row>
    <row r="610">
      <c r="A610" s="159"/>
      <c r="B610" s="159"/>
      <c r="C610" s="159"/>
      <c r="D610" s="159"/>
      <c r="E610" s="159"/>
      <c r="F610" s="159"/>
      <c r="G610" s="159"/>
      <c r="H610" s="159"/>
      <c r="I610" s="159"/>
      <c r="J610" s="159"/>
      <c r="K610" s="159"/>
      <c r="L610" s="159"/>
      <c r="M610" s="606"/>
      <c r="N610" s="159"/>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row>
    <row r="611">
      <c r="A611" s="159"/>
      <c r="B611" s="159"/>
      <c r="C611" s="159"/>
      <c r="D611" s="159"/>
      <c r="E611" s="159"/>
      <c r="F611" s="159"/>
      <c r="G611" s="159"/>
      <c r="H611" s="159"/>
      <c r="I611" s="159"/>
      <c r="J611" s="159"/>
      <c r="K611" s="159"/>
      <c r="L611" s="159"/>
      <c r="M611" s="606"/>
      <c r="N611" s="159"/>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row>
    <row r="612">
      <c r="A612" s="159"/>
      <c r="B612" s="159"/>
      <c r="C612" s="159"/>
      <c r="D612" s="159"/>
      <c r="E612" s="159"/>
      <c r="F612" s="159"/>
      <c r="G612" s="159"/>
      <c r="H612" s="159"/>
      <c r="I612" s="159"/>
      <c r="J612" s="159"/>
      <c r="K612" s="159"/>
      <c r="L612" s="159"/>
      <c r="M612" s="606"/>
      <c r="N612" s="159"/>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row>
    <row r="613">
      <c r="A613" s="159"/>
      <c r="B613" s="159"/>
      <c r="C613" s="159"/>
      <c r="D613" s="159"/>
      <c r="E613" s="159"/>
      <c r="F613" s="159"/>
      <c r="G613" s="159"/>
      <c r="H613" s="159"/>
      <c r="I613" s="159"/>
      <c r="J613" s="159"/>
      <c r="K613" s="159"/>
      <c r="L613" s="159"/>
      <c r="M613" s="606"/>
      <c r="N613" s="159"/>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row>
    <row r="614">
      <c r="A614" s="159"/>
      <c r="B614" s="159"/>
      <c r="C614" s="159"/>
      <c r="D614" s="159"/>
      <c r="E614" s="159"/>
      <c r="F614" s="159"/>
      <c r="G614" s="159"/>
      <c r="H614" s="159"/>
      <c r="I614" s="159"/>
      <c r="J614" s="159"/>
      <c r="K614" s="159"/>
      <c r="L614" s="159"/>
      <c r="M614" s="606"/>
      <c r="N614" s="159"/>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row>
    <row r="615">
      <c r="A615" s="159"/>
      <c r="B615" s="159"/>
      <c r="C615" s="159"/>
      <c r="D615" s="159"/>
      <c r="E615" s="159"/>
      <c r="F615" s="159"/>
      <c r="G615" s="159"/>
      <c r="H615" s="159"/>
      <c r="I615" s="159"/>
      <c r="J615" s="159"/>
      <c r="K615" s="159"/>
      <c r="L615" s="159"/>
      <c r="M615" s="606"/>
      <c r="N615" s="159"/>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row>
    <row r="616">
      <c r="A616" s="159"/>
      <c r="B616" s="159"/>
      <c r="C616" s="159"/>
      <c r="D616" s="159"/>
      <c r="E616" s="159"/>
      <c r="F616" s="159"/>
      <c r="G616" s="159"/>
      <c r="H616" s="159"/>
      <c r="I616" s="159"/>
      <c r="J616" s="159"/>
      <c r="K616" s="159"/>
      <c r="L616" s="159"/>
      <c r="M616" s="606"/>
      <c r="N616" s="159"/>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row>
    <row r="617">
      <c r="A617" s="159"/>
      <c r="B617" s="159"/>
      <c r="C617" s="159"/>
      <c r="D617" s="159"/>
      <c r="E617" s="159"/>
      <c r="F617" s="159"/>
      <c r="G617" s="159"/>
      <c r="H617" s="159"/>
      <c r="I617" s="159"/>
      <c r="J617" s="159"/>
      <c r="K617" s="159"/>
      <c r="L617" s="159"/>
      <c r="M617" s="606"/>
      <c r="N617" s="159"/>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row>
    <row r="618">
      <c r="A618" s="159"/>
      <c r="B618" s="159"/>
      <c r="C618" s="159"/>
      <c r="D618" s="159"/>
      <c r="E618" s="159"/>
      <c r="F618" s="159"/>
      <c r="G618" s="159"/>
      <c r="H618" s="159"/>
      <c r="I618" s="159"/>
      <c r="J618" s="159"/>
      <c r="K618" s="159"/>
      <c r="L618" s="159"/>
      <c r="M618" s="606"/>
      <c r="N618" s="159"/>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row>
    <row r="619">
      <c r="A619" s="159"/>
      <c r="B619" s="159"/>
      <c r="C619" s="159"/>
      <c r="D619" s="159"/>
      <c r="E619" s="159"/>
      <c r="F619" s="159"/>
      <c r="G619" s="159"/>
      <c r="H619" s="159"/>
      <c r="I619" s="159"/>
      <c r="J619" s="159"/>
      <c r="K619" s="159"/>
      <c r="L619" s="159"/>
      <c r="M619" s="606"/>
      <c r="N619" s="159"/>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row>
    <row r="620">
      <c r="A620" s="159"/>
      <c r="B620" s="159"/>
      <c r="C620" s="159"/>
      <c r="D620" s="159"/>
      <c r="E620" s="159"/>
      <c r="F620" s="159"/>
      <c r="G620" s="159"/>
      <c r="H620" s="159"/>
      <c r="I620" s="159"/>
      <c r="J620" s="159"/>
      <c r="K620" s="159"/>
      <c r="L620" s="159"/>
      <c r="M620" s="606"/>
      <c r="N620" s="159"/>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row>
    <row r="621">
      <c r="A621" s="159"/>
      <c r="B621" s="159"/>
      <c r="C621" s="159"/>
      <c r="D621" s="159"/>
      <c r="E621" s="159"/>
      <c r="F621" s="159"/>
      <c r="G621" s="159"/>
      <c r="H621" s="159"/>
      <c r="I621" s="159"/>
      <c r="J621" s="159"/>
      <c r="K621" s="159"/>
      <c r="L621" s="159"/>
      <c r="M621" s="606"/>
      <c r="N621" s="159"/>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row>
    <row r="622">
      <c r="A622" s="159"/>
      <c r="B622" s="159"/>
      <c r="C622" s="159"/>
      <c r="D622" s="159"/>
      <c r="E622" s="159"/>
      <c r="F622" s="159"/>
      <c r="G622" s="159"/>
      <c r="H622" s="159"/>
      <c r="I622" s="159"/>
      <c r="J622" s="159"/>
      <c r="K622" s="159"/>
      <c r="L622" s="159"/>
      <c r="M622" s="606"/>
      <c r="N622" s="159"/>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row>
    <row r="623">
      <c r="A623" s="159"/>
      <c r="B623" s="159"/>
      <c r="C623" s="159"/>
      <c r="D623" s="159"/>
      <c r="E623" s="159"/>
      <c r="F623" s="159"/>
      <c r="G623" s="159"/>
      <c r="H623" s="159"/>
      <c r="I623" s="159"/>
      <c r="J623" s="159"/>
      <c r="K623" s="159"/>
      <c r="L623" s="159"/>
      <c r="M623" s="606"/>
      <c r="N623" s="159"/>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row>
    <row r="624">
      <c r="A624" s="159"/>
      <c r="B624" s="159"/>
      <c r="C624" s="159"/>
      <c r="D624" s="159"/>
      <c r="E624" s="159"/>
      <c r="F624" s="159"/>
      <c r="G624" s="159"/>
      <c r="H624" s="159"/>
      <c r="I624" s="159"/>
      <c r="J624" s="159"/>
      <c r="K624" s="159"/>
      <c r="L624" s="159"/>
      <c r="M624" s="606"/>
      <c r="N624" s="159"/>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row>
    <row r="625">
      <c r="A625" s="159"/>
      <c r="B625" s="159"/>
      <c r="C625" s="159"/>
      <c r="D625" s="159"/>
      <c r="E625" s="159"/>
      <c r="F625" s="159"/>
      <c r="G625" s="159"/>
      <c r="H625" s="159"/>
      <c r="I625" s="159"/>
      <c r="J625" s="159"/>
      <c r="K625" s="159"/>
      <c r="L625" s="159"/>
      <c r="M625" s="606"/>
      <c r="N625" s="159"/>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row>
    <row r="626">
      <c r="A626" s="159"/>
      <c r="B626" s="159"/>
      <c r="C626" s="159"/>
      <c r="D626" s="159"/>
      <c r="E626" s="159"/>
      <c r="F626" s="159"/>
      <c r="G626" s="159"/>
      <c r="H626" s="159"/>
      <c r="I626" s="159"/>
      <c r="J626" s="159"/>
      <c r="K626" s="159"/>
      <c r="L626" s="159"/>
      <c r="M626" s="606"/>
      <c r="N626" s="159"/>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row>
    <row r="627">
      <c r="A627" s="159"/>
      <c r="B627" s="159"/>
      <c r="C627" s="159"/>
      <c r="D627" s="159"/>
      <c r="E627" s="159"/>
      <c r="F627" s="159"/>
      <c r="G627" s="159"/>
      <c r="H627" s="159"/>
      <c r="I627" s="159"/>
      <c r="J627" s="159"/>
      <c r="K627" s="159"/>
      <c r="L627" s="159"/>
      <c r="M627" s="606"/>
      <c r="N627" s="159"/>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row>
    <row r="628">
      <c r="A628" s="159"/>
      <c r="B628" s="159"/>
      <c r="C628" s="159"/>
      <c r="D628" s="159"/>
      <c r="E628" s="159"/>
      <c r="F628" s="159"/>
      <c r="G628" s="159"/>
      <c r="H628" s="159"/>
      <c r="I628" s="159"/>
      <c r="J628" s="159"/>
      <c r="K628" s="159"/>
      <c r="L628" s="159"/>
      <c r="M628" s="606"/>
      <c r="N628" s="159"/>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row>
    <row r="629">
      <c r="A629" s="159"/>
      <c r="B629" s="159"/>
      <c r="C629" s="159"/>
      <c r="D629" s="159"/>
      <c r="E629" s="159"/>
      <c r="F629" s="159"/>
      <c r="G629" s="159"/>
      <c r="H629" s="159"/>
      <c r="I629" s="159"/>
      <c r="J629" s="159"/>
      <c r="K629" s="159"/>
      <c r="L629" s="159"/>
      <c r="M629" s="606"/>
      <c r="N629" s="159"/>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row>
    <row r="630">
      <c r="A630" s="159"/>
      <c r="B630" s="159"/>
      <c r="C630" s="159"/>
      <c r="D630" s="159"/>
      <c r="E630" s="159"/>
      <c r="F630" s="159"/>
      <c r="G630" s="159"/>
      <c r="H630" s="159"/>
      <c r="I630" s="159"/>
      <c r="J630" s="159"/>
      <c r="K630" s="159"/>
      <c r="L630" s="159"/>
      <c r="M630" s="606"/>
      <c r="N630" s="159"/>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row>
    <row r="631">
      <c r="A631" s="159"/>
      <c r="B631" s="159"/>
      <c r="C631" s="159"/>
      <c r="D631" s="159"/>
      <c r="E631" s="159"/>
      <c r="F631" s="159"/>
      <c r="G631" s="159"/>
      <c r="H631" s="159"/>
      <c r="I631" s="159"/>
      <c r="J631" s="159"/>
      <c r="K631" s="159"/>
      <c r="L631" s="159"/>
      <c r="M631" s="606"/>
      <c r="N631" s="159"/>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row>
    <row r="632">
      <c r="A632" s="159"/>
      <c r="B632" s="159"/>
      <c r="C632" s="159"/>
      <c r="D632" s="159"/>
      <c r="E632" s="159"/>
      <c r="F632" s="159"/>
      <c r="G632" s="159"/>
      <c r="H632" s="159"/>
      <c r="I632" s="159"/>
      <c r="J632" s="159"/>
      <c r="K632" s="159"/>
      <c r="L632" s="159"/>
      <c r="M632" s="606"/>
      <c r="N632" s="159"/>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row>
    <row r="633">
      <c r="A633" s="159"/>
      <c r="B633" s="159"/>
      <c r="C633" s="159"/>
      <c r="D633" s="159"/>
      <c r="E633" s="159"/>
      <c r="F633" s="159"/>
      <c r="G633" s="159"/>
      <c r="H633" s="159"/>
      <c r="I633" s="159"/>
      <c r="J633" s="159"/>
      <c r="K633" s="159"/>
      <c r="L633" s="159"/>
      <c r="M633" s="606"/>
      <c r="N633" s="159"/>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row>
    <row r="634">
      <c r="A634" s="159"/>
      <c r="B634" s="159"/>
      <c r="C634" s="159"/>
      <c r="D634" s="159"/>
      <c r="E634" s="159"/>
      <c r="F634" s="159"/>
      <c r="G634" s="159"/>
      <c r="H634" s="159"/>
      <c r="I634" s="159"/>
      <c r="J634" s="159"/>
      <c r="K634" s="159"/>
      <c r="L634" s="159"/>
      <c r="M634" s="606"/>
      <c r="N634" s="159"/>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row>
    <row r="635">
      <c r="A635" s="159"/>
      <c r="B635" s="159"/>
      <c r="C635" s="159"/>
      <c r="D635" s="159"/>
      <c r="E635" s="159"/>
      <c r="F635" s="159"/>
      <c r="G635" s="159"/>
      <c r="H635" s="159"/>
      <c r="I635" s="159"/>
      <c r="J635" s="159"/>
      <c r="K635" s="159"/>
      <c r="L635" s="159"/>
      <c r="M635" s="606"/>
      <c r="N635" s="159"/>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row>
    <row r="636">
      <c r="A636" s="159"/>
      <c r="B636" s="159"/>
      <c r="C636" s="159"/>
      <c r="D636" s="159"/>
      <c r="E636" s="159"/>
      <c r="F636" s="159"/>
      <c r="G636" s="159"/>
      <c r="H636" s="159"/>
      <c r="I636" s="159"/>
      <c r="J636" s="159"/>
      <c r="K636" s="159"/>
      <c r="L636" s="159"/>
      <c r="M636" s="606"/>
      <c r="N636" s="159"/>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row>
    <row r="637">
      <c r="A637" s="159"/>
      <c r="B637" s="159"/>
      <c r="C637" s="159"/>
      <c r="D637" s="159"/>
      <c r="E637" s="159"/>
      <c r="F637" s="159"/>
      <c r="G637" s="159"/>
      <c r="H637" s="159"/>
      <c r="I637" s="159"/>
      <c r="J637" s="159"/>
      <c r="K637" s="159"/>
      <c r="L637" s="159"/>
      <c r="M637" s="606"/>
      <c r="N637" s="159"/>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row>
    <row r="638">
      <c r="A638" s="159"/>
      <c r="B638" s="159"/>
      <c r="C638" s="159"/>
      <c r="D638" s="159"/>
      <c r="E638" s="159"/>
      <c r="F638" s="159"/>
      <c r="G638" s="159"/>
      <c r="H638" s="159"/>
      <c r="I638" s="159"/>
      <c r="J638" s="159"/>
      <c r="K638" s="159"/>
      <c r="L638" s="159"/>
      <c r="M638" s="606"/>
      <c r="N638" s="159"/>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row>
    <row r="639">
      <c r="A639" s="159"/>
      <c r="B639" s="159"/>
      <c r="C639" s="159"/>
      <c r="D639" s="159"/>
      <c r="E639" s="159"/>
      <c r="F639" s="159"/>
      <c r="G639" s="159"/>
      <c r="H639" s="159"/>
      <c r="I639" s="159"/>
      <c r="J639" s="159"/>
      <c r="K639" s="159"/>
      <c r="L639" s="159"/>
      <c r="M639" s="606"/>
      <c r="N639" s="159"/>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row>
    <row r="640">
      <c r="A640" s="159"/>
      <c r="B640" s="159"/>
      <c r="C640" s="159"/>
      <c r="D640" s="159"/>
      <c r="E640" s="159"/>
      <c r="F640" s="159"/>
      <c r="G640" s="159"/>
      <c r="H640" s="159"/>
      <c r="I640" s="159"/>
      <c r="J640" s="159"/>
      <c r="K640" s="159"/>
      <c r="L640" s="159"/>
      <c r="M640" s="606"/>
      <c r="N640" s="159"/>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row>
    <row r="641">
      <c r="A641" s="159"/>
      <c r="B641" s="159"/>
      <c r="C641" s="159"/>
      <c r="D641" s="159"/>
      <c r="E641" s="159"/>
      <c r="F641" s="159"/>
      <c r="G641" s="159"/>
      <c r="H641" s="159"/>
      <c r="I641" s="159"/>
      <c r="J641" s="159"/>
      <c r="K641" s="159"/>
      <c r="L641" s="159"/>
      <c r="M641" s="606"/>
      <c r="N641" s="159"/>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row>
    <row r="642">
      <c r="A642" s="159"/>
      <c r="B642" s="159"/>
      <c r="C642" s="159"/>
      <c r="D642" s="159"/>
      <c r="E642" s="159"/>
      <c r="F642" s="159"/>
      <c r="G642" s="159"/>
      <c r="H642" s="159"/>
      <c r="I642" s="159"/>
      <c r="J642" s="159"/>
      <c r="K642" s="159"/>
      <c r="L642" s="159"/>
      <c r="M642" s="606"/>
      <c r="N642" s="159"/>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row>
    <row r="643">
      <c r="A643" s="159"/>
      <c r="B643" s="159"/>
      <c r="C643" s="159"/>
      <c r="D643" s="159"/>
      <c r="E643" s="159"/>
      <c r="F643" s="159"/>
      <c r="G643" s="159"/>
      <c r="H643" s="159"/>
      <c r="I643" s="159"/>
      <c r="J643" s="159"/>
      <c r="K643" s="159"/>
      <c r="L643" s="159"/>
      <c r="M643" s="606"/>
      <c r="N643" s="159"/>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row>
    <row r="644">
      <c r="A644" s="159"/>
      <c r="B644" s="159"/>
      <c r="C644" s="159"/>
      <c r="D644" s="159"/>
      <c r="E644" s="159"/>
      <c r="F644" s="159"/>
      <c r="G644" s="159"/>
      <c r="H644" s="159"/>
      <c r="I644" s="159"/>
      <c r="J644" s="159"/>
      <c r="K644" s="159"/>
      <c r="L644" s="159"/>
      <c r="M644" s="606"/>
      <c r="N644" s="159"/>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row>
    <row r="645">
      <c r="A645" s="159"/>
      <c r="B645" s="159"/>
      <c r="C645" s="159"/>
      <c r="D645" s="159"/>
      <c r="E645" s="159"/>
      <c r="F645" s="159"/>
      <c r="G645" s="159"/>
      <c r="H645" s="159"/>
      <c r="I645" s="159"/>
      <c r="J645" s="159"/>
      <c r="K645" s="159"/>
      <c r="L645" s="159"/>
      <c r="M645" s="606"/>
      <c r="N645" s="159"/>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row>
    <row r="646">
      <c r="A646" s="159"/>
      <c r="B646" s="159"/>
      <c r="C646" s="159"/>
      <c r="D646" s="159"/>
      <c r="E646" s="159"/>
      <c r="F646" s="159"/>
      <c r="G646" s="159"/>
      <c r="H646" s="159"/>
      <c r="I646" s="159"/>
      <c r="J646" s="159"/>
      <c r="K646" s="159"/>
      <c r="L646" s="159"/>
      <c r="M646" s="606"/>
      <c r="N646" s="159"/>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row>
    <row r="647">
      <c r="A647" s="159"/>
      <c r="B647" s="159"/>
      <c r="C647" s="159"/>
      <c r="D647" s="159"/>
      <c r="E647" s="159"/>
      <c r="F647" s="159"/>
      <c r="G647" s="159"/>
      <c r="H647" s="159"/>
      <c r="I647" s="159"/>
      <c r="J647" s="159"/>
      <c r="K647" s="159"/>
      <c r="L647" s="159"/>
      <c r="M647" s="606"/>
      <c r="N647" s="159"/>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row>
    <row r="648">
      <c r="A648" s="159"/>
      <c r="B648" s="159"/>
      <c r="C648" s="159"/>
      <c r="D648" s="159"/>
      <c r="E648" s="159"/>
      <c r="F648" s="159"/>
      <c r="G648" s="159"/>
      <c r="H648" s="159"/>
      <c r="I648" s="159"/>
      <c r="J648" s="159"/>
      <c r="K648" s="159"/>
      <c r="L648" s="159"/>
      <c r="M648" s="606"/>
      <c r="N648" s="159"/>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row>
    <row r="649">
      <c r="A649" s="159"/>
      <c r="B649" s="159"/>
      <c r="C649" s="159"/>
      <c r="D649" s="159"/>
      <c r="E649" s="159"/>
      <c r="F649" s="159"/>
      <c r="G649" s="159"/>
      <c r="H649" s="159"/>
      <c r="I649" s="159"/>
      <c r="J649" s="159"/>
      <c r="K649" s="159"/>
      <c r="L649" s="159"/>
      <c r="M649" s="606"/>
      <c r="N649" s="159"/>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row>
    <row r="650">
      <c r="A650" s="159"/>
      <c r="B650" s="159"/>
      <c r="C650" s="159"/>
      <c r="D650" s="159"/>
      <c r="E650" s="159"/>
      <c r="F650" s="159"/>
      <c r="G650" s="159"/>
      <c r="H650" s="159"/>
      <c r="I650" s="159"/>
      <c r="J650" s="159"/>
      <c r="K650" s="159"/>
      <c r="L650" s="159"/>
      <c r="M650" s="606"/>
      <c r="N650" s="159"/>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row>
    <row r="651">
      <c r="A651" s="159"/>
      <c r="B651" s="159"/>
      <c r="C651" s="159"/>
      <c r="D651" s="159"/>
      <c r="E651" s="159"/>
      <c r="F651" s="159"/>
      <c r="G651" s="159"/>
      <c r="H651" s="159"/>
      <c r="I651" s="159"/>
      <c r="J651" s="159"/>
      <c r="K651" s="159"/>
      <c r="L651" s="159"/>
      <c r="M651" s="606"/>
      <c r="N651" s="159"/>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row>
    <row r="652">
      <c r="A652" s="159"/>
      <c r="B652" s="159"/>
      <c r="C652" s="159"/>
      <c r="D652" s="159"/>
      <c r="E652" s="159"/>
      <c r="F652" s="159"/>
      <c r="G652" s="159"/>
      <c r="H652" s="159"/>
      <c r="I652" s="159"/>
      <c r="J652" s="159"/>
      <c r="K652" s="159"/>
      <c r="L652" s="159"/>
      <c r="M652" s="606"/>
      <c r="N652" s="159"/>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row>
    <row r="653">
      <c r="A653" s="159"/>
      <c r="B653" s="159"/>
      <c r="C653" s="159"/>
      <c r="D653" s="159"/>
      <c r="E653" s="159"/>
      <c r="F653" s="159"/>
      <c r="G653" s="159"/>
      <c r="H653" s="159"/>
      <c r="I653" s="159"/>
      <c r="J653" s="159"/>
      <c r="K653" s="159"/>
      <c r="L653" s="159"/>
      <c r="M653" s="606"/>
      <c r="N653" s="159"/>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row>
    <row r="654">
      <c r="A654" s="159"/>
      <c r="B654" s="159"/>
      <c r="C654" s="159"/>
      <c r="D654" s="159"/>
      <c r="E654" s="159"/>
      <c r="F654" s="159"/>
      <c r="G654" s="159"/>
      <c r="H654" s="159"/>
      <c r="I654" s="159"/>
      <c r="J654" s="159"/>
      <c r="K654" s="159"/>
      <c r="L654" s="159"/>
      <c r="M654" s="606"/>
      <c r="N654" s="159"/>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row>
    <row r="655">
      <c r="A655" s="159"/>
      <c r="B655" s="159"/>
      <c r="C655" s="159"/>
      <c r="D655" s="159"/>
      <c r="E655" s="159"/>
      <c r="F655" s="159"/>
      <c r="G655" s="159"/>
      <c r="H655" s="159"/>
      <c r="I655" s="159"/>
      <c r="J655" s="159"/>
      <c r="K655" s="159"/>
      <c r="L655" s="159"/>
      <c r="M655" s="606"/>
      <c r="N655" s="159"/>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row>
    <row r="656">
      <c r="A656" s="159"/>
      <c r="B656" s="159"/>
      <c r="C656" s="159"/>
      <c r="D656" s="159"/>
      <c r="E656" s="159"/>
      <c r="F656" s="159"/>
      <c r="G656" s="159"/>
      <c r="H656" s="159"/>
      <c r="I656" s="159"/>
      <c r="J656" s="159"/>
      <c r="K656" s="159"/>
      <c r="L656" s="159"/>
      <c r="M656" s="606"/>
      <c r="N656" s="159"/>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row>
    <row r="657">
      <c r="A657" s="159"/>
      <c r="B657" s="159"/>
      <c r="C657" s="159"/>
      <c r="D657" s="159"/>
      <c r="E657" s="159"/>
      <c r="F657" s="159"/>
      <c r="G657" s="159"/>
      <c r="H657" s="159"/>
      <c r="I657" s="159"/>
      <c r="J657" s="159"/>
      <c r="K657" s="159"/>
      <c r="L657" s="159"/>
      <c r="M657" s="606"/>
      <c r="N657" s="159"/>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row>
    <row r="658">
      <c r="A658" s="159"/>
      <c r="B658" s="159"/>
      <c r="C658" s="159"/>
      <c r="D658" s="159"/>
      <c r="E658" s="159"/>
      <c r="F658" s="159"/>
      <c r="G658" s="159"/>
      <c r="H658" s="159"/>
      <c r="I658" s="159"/>
      <c r="J658" s="159"/>
      <c r="K658" s="159"/>
      <c r="L658" s="159"/>
      <c r="M658" s="606"/>
      <c r="N658" s="159"/>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row>
    <row r="659">
      <c r="A659" s="159"/>
      <c r="B659" s="159"/>
      <c r="C659" s="159"/>
      <c r="D659" s="159"/>
      <c r="E659" s="159"/>
      <c r="F659" s="159"/>
      <c r="G659" s="159"/>
      <c r="H659" s="159"/>
      <c r="I659" s="159"/>
      <c r="J659" s="159"/>
      <c r="K659" s="159"/>
      <c r="L659" s="159"/>
      <c r="M659" s="606"/>
      <c r="N659" s="159"/>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row>
    <row r="660">
      <c r="A660" s="159"/>
      <c r="B660" s="159"/>
      <c r="C660" s="159"/>
      <c r="D660" s="159"/>
      <c r="E660" s="159"/>
      <c r="F660" s="159"/>
      <c r="G660" s="159"/>
      <c r="H660" s="159"/>
      <c r="I660" s="159"/>
      <c r="J660" s="159"/>
      <c r="K660" s="159"/>
      <c r="L660" s="159"/>
      <c r="M660" s="606"/>
      <c r="N660" s="159"/>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row>
    <row r="661">
      <c r="A661" s="159"/>
      <c r="B661" s="159"/>
      <c r="C661" s="159"/>
      <c r="D661" s="159"/>
      <c r="E661" s="159"/>
      <c r="F661" s="159"/>
      <c r="G661" s="159"/>
      <c r="H661" s="159"/>
      <c r="I661" s="159"/>
      <c r="J661" s="159"/>
      <c r="K661" s="159"/>
      <c r="L661" s="159"/>
      <c r="M661" s="606"/>
      <c r="N661" s="159"/>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row>
    <row r="662">
      <c r="A662" s="159"/>
      <c r="B662" s="159"/>
      <c r="C662" s="159"/>
      <c r="D662" s="159"/>
      <c r="E662" s="159"/>
      <c r="F662" s="159"/>
      <c r="G662" s="159"/>
      <c r="H662" s="159"/>
      <c r="I662" s="159"/>
      <c r="J662" s="159"/>
      <c r="K662" s="159"/>
      <c r="L662" s="159"/>
      <c r="M662" s="606"/>
      <c r="N662" s="159"/>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row>
    <row r="663">
      <c r="A663" s="159"/>
      <c r="B663" s="159"/>
      <c r="C663" s="159"/>
      <c r="D663" s="159"/>
      <c r="E663" s="159"/>
      <c r="F663" s="159"/>
      <c r="G663" s="159"/>
      <c r="H663" s="159"/>
      <c r="I663" s="159"/>
      <c r="J663" s="159"/>
      <c r="K663" s="159"/>
      <c r="L663" s="159"/>
      <c r="M663" s="606"/>
      <c r="N663" s="159"/>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row>
    <row r="664">
      <c r="A664" s="159"/>
      <c r="B664" s="159"/>
      <c r="C664" s="159"/>
      <c r="D664" s="159"/>
      <c r="E664" s="159"/>
      <c r="F664" s="159"/>
      <c r="G664" s="159"/>
      <c r="H664" s="159"/>
      <c r="I664" s="159"/>
      <c r="J664" s="159"/>
      <c r="K664" s="159"/>
      <c r="L664" s="159"/>
      <c r="M664" s="606"/>
      <c r="N664" s="159"/>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row>
    <row r="665">
      <c r="A665" s="159"/>
      <c r="B665" s="159"/>
      <c r="C665" s="159"/>
      <c r="D665" s="159"/>
      <c r="E665" s="159"/>
      <c r="F665" s="159"/>
      <c r="G665" s="159"/>
      <c r="H665" s="159"/>
      <c r="I665" s="159"/>
      <c r="J665" s="159"/>
      <c r="K665" s="159"/>
      <c r="L665" s="159"/>
      <c r="M665" s="606"/>
      <c r="N665" s="159"/>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row>
    <row r="666">
      <c r="A666" s="159"/>
      <c r="B666" s="159"/>
      <c r="C666" s="159"/>
      <c r="D666" s="159"/>
      <c r="E666" s="159"/>
      <c r="F666" s="159"/>
      <c r="G666" s="159"/>
      <c r="H666" s="159"/>
      <c r="I666" s="159"/>
      <c r="J666" s="159"/>
      <c r="K666" s="159"/>
      <c r="L666" s="159"/>
      <c r="M666" s="606"/>
      <c r="N666" s="159"/>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row>
    <row r="667">
      <c r="A667" s="159"/>
      <c r="B667" s="159"/>
      <c r="C667" s="159"/>
      <c r="D667" s="159"/>
      <c r="E667" s="159"/>
      <c r="F667" s="159"/>
      <c r="G667" s="159"/>
      <c r="H667" s="159"/>
      <c r="I667" s="159"/>
      <c r="J667" s="159"/>
      <c r="K667" s="159"/>
      <c r="L667" s="159"/>
      <c r="M667" s="606"/>
      <c r="N667" s="159"/>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row>
    <row r="668">
      <c r="A668" s="159"/>
      <c r="B668" s="159"/>
      <c r="C668" s="159"/>
      <c r="D668" s="159"/>
      <c r="E668" s="159"/>
      <c r="F668" s="159"/>
      <c r="G668" s="159"/>
      <c r="H668" s="159"/>
      <c r="I668" s="159"/>
      <c r="J668" s="159"/>
      <c r="K668" s="159"/>
      <c r="L668" s="159"/>
      <c r="M668" s="606"/>
      <c r="N668" s="159"/>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row>
    <row r="669">
      <c r="A669" s="159"/>
      <c r="B669" s="159"/>
      <c r="C669" s="159"/>
      <c r="D669" s="159"/>
      <c r="E669" s="159"/>
      <c r="F669" s="159"/>
      <c r="G669" s="159"/>
      <c r="H669" s="159"/>
      <c r="I669" s="159"/>
      <c r="J669" s="159"/>
      <c r="K669" s="159"/>
      <c r="L669" s="159"/>
      <c r="M669" s="606"/>
      <c r="N669" s="159"/>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row>
    <row r="670">
      <c r="A670" s="159"/>
      <c r="B670" s="159"/>
      <c r="C670" s="159"/>
      <c r="D670" s="159"/>
      <c r="E670" s="159"/>
      <c r="F670" s="159"/>
      <c r="G670" s="159"/>
      <c r="H670" s="159"/>
      <c r="I670" s="159"/>
      <c r="J670" s="159"/>
      <c r="K670" s="159"/>
      <c r="L670" s="159"/>
      <c r="M670" s="606"/>
      <c r="N670" s="159"/>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row>
    <row r="671">
      <c r="A671" s="159"/>
      <c r="B671" s="159"/>
      <c r="C671" s="159"/>
      <c r="D671" s="159"/>
      <c r="E671" s="159"/>
      <c r="F671" s="159"/>
      <c r="G671" s="159"/>
      <c r="H671" s="159"/>
      <c r="I671" s="159"/>
      <c r="J671" s="159"/>
      <c r="K671" s="159"/>
      <c r="L671" s="159"/>
      <c r="M671" s="606"/>
      <c r="N671" s="159"/>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row>
    <row r="672">
      <c r="A672" s="159"/>
      <c r="B672" s="159"/>
      <c r="C672" s="159"/>
      <c r="D672" s="159"/>
      <c r="E672" s="159"/>
      <c r="F672" s="159"/>
      <c r="G672" s="159"/>
      <c r="H672" s="159"/>
      <c r="I672" s="159"/>
      <c r="J672" s="159"/>
      <c r="K672" s="159"/>
      <c r="L672" s="159"/>
      <c r="M672" s="606"/>
      <c r="N672" s="159"/>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row>
    <row r="673">
      <c r="A673" s="159"/>
      <c r="B673" s="159"/>
      <c r="C673" s="159"/>
      <c r="D673" s="159"/>
      <c r="E673" s="159"/>
      <c r="F673" s="159"/>
      <c r="G673" s="159"/>
      <c r="H673" s="159"/>
      <c r="I673" s="159"/>
      <c r="J673" s="159"/>
      <c r="K673" s="159"/>
      <c r="L673" s="159"/>
      <c r="M673" s="606"/>
      <c r="N673" s="159"/>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row>
    <row r="674">
      <c r="A674" s="159"/>
      <c r="B674" s="159"/>
      <c r="C674" s="159"/>
      <c r="D674" s="159"/>
      <c r="E674" s="159"/>
      <c r="F674" s="159"/>
      <c r="G674" s="159"/>
      <c r="H674" s="159"/>
      <c r="I674" s="159"/>
      <c r="J674" s="159"/>
      <c r="K674" s="159"/>
      <c r="L674" s="159"/>
      <c r="M674" s="606"/>
      <c r="N674" s="159"/>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row>
    <row r="675">
      <c r="A675" s="159"/>
      <c r="B675" s="159"/>
      <c r="C675" s="159"/>
      <c r="D675" s="159"/>
      <c r="E675" s="159"/>
      <c r="F675" s="159"/>
      <c r="G675" s="159"/>
      <c r="H675" s="159"/>
      <c r="I675" s="159"/>
      <c r="J675" s="159"/>
      <c r="K675" s="159"/>
      <c r="L675" s="159"/>
      <c r="M675" s="606"/>
      <c r="N675" s="159"/>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row>
    <row r="676">
      <c r="A676" s="159"/>
      <c r="B676" s="159"/>
      <c r="C676" s="159"/>
      <c r="D676" s="159"/>
      <c r="E676" s="159"/>
      <c r="F676" s="159"/>
      <c r="G676" s="159"/>
      <c r="H676" s="159"/>
      <c r="I676" s="159"/>
      <c r="J676" s="159"/>
      <c r="K676" s="159"/>
      <c r="L676" s="159"/>
      <c r="M676" s="606"/>
      <c r="N676" s="159"/>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row>
    <row r="677">
      <c r="A677" s="159"/>
      <c r="B677" s="159"/>
      <c r="C677" s="159"/>
      <c r="D677" s="159"/>
      <c r="E677" s="159"/>
      <c r="F677" s="159"/>
      <c r="G677" s="159"/>
      <c r="H677" s="159"/>
      <c r="I677" s="159"/>
      <c r="J677" s="159"/>
      <c r="K677" s="159"/>
      <c r="L677" s="159"/>
      <c r="M677" s="606"/>
      <c r="N677" s="159"/>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row>
    <row r="678">
      <c r="A678" s="159"/>
      <c r="B678" s="159"/>
      <c r="C678" s="159"/>
      <c r="D678" s="159"/>
      <c r="E678" s="159"/>
      <c r="F678" s="159"/>
      <c r="G678" s="159"/>
      <c r="H678" s="159"/>
      <c r="I678" s="159"/>
      <c r="J678" s="159"/>
      <c r="K678" s="159"/>
      <c r="L678" s="159"/>
      <c r="M678" s="606"/>
      <c r="N678" s="159"/>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row>
    <row r="679">
      <c r="A679" s="159"/>
      <c r="B679" s="159"/>
      <c r="C679" s="159"/>
      <c r="D679" s="159"/>
      <c r="E679" s="159"/>
      <c r="F679" s="159"/>
      <c r="G679" s="159"/>
      <c r="H679" s="159"/>
      <c r="I679" s="159"/>
      <c r="J679" s="159"/>
      <c r="K679" s="159"/>
      <c r="L679" s="159"/>
      <c r="M679" s="606"/>
      <c r="N679" s="159"/>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row>
    <row r="680">
      <c r="A680" s="159"/>
      <c r="B680" s="159"/>
      <c r="C680" s="159"/>
      <c r="D680" s="159"/>
      <c r="E680" s="159"/>
      <c r="F680" s="159"/>
      <c r="G680" s="159"/>
      <c r="H680" s="159"/>
      <c r="I680" s="159"/>
      <c r="J680" s="159"/>
      <c r="K680" s="159"/>
      <c r="L680" s="159"/>
      <c r="M680" s="606"/>
      <c r="N680" s="159"/>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row>
    <row r="681">
      <c r="A681" s="159"/>
      <c r="B681" s="159"/>
      <c r="C681" s="159"/>
      <c r="D681" s="159"/>
      <c r="E681" s="159"/>
      <c r="F681" s="159"/>
      <c r="G681" s="159"/>
      <c r="H681" s="159"/>
      <c r="I681" s="159"/>
      <c r="J681" s="159"/>
      <c r="K681" s="159"/>
      <c r="L681" s="159"/>
      <c r="M681" s="606"/>
      <c r="N681" s="159"/>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row>
    <row r="682">
      <c r="A682" s="159"/>
      <c r="B682" s="159"/>
      <c r="C682" s="159"/>
      <c r="D682" s="159"/>
      <c r="E682" s="159"/>
      <c r="F682" s="159"/>
      <c r="G682" s="159"/>
      <c r="H682" s="159"/>
      <c r="I682" s="159"/>
      <c r="J682" s="159"/>
      <c r="K682" s="159"/>
      <c r="L682" s="159"/>
      <c r="M682" s="606"/>
      <c r="N682" s="159"/>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row>
    <row r="683">
      <c r="A683" s="159"/>
      <c r="B683" s="159"/>
      <c r="C683" s="159"/>
      <c r="D683" s="159"/>
      <c r="E683" s="159"/>
      <c r="F683" s="159"/>
      <c r="G683" s="159"/>
      <c r="H683" s="159"/>
      <c r="I683" s="159"/>
      <c r="J683" s="159"/>
      <c r="K683" s="159"/>
      <c r="L683" s="159"/>
      <c r="M683" s="606"/>
      <c r="N683" s="159"/>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row>
    <row r="684">
      <c r="A684" s="159"/>
      <c r="B684" s="159"/>
      <c r="C684" s="159"/>
      <c r="D684" s="159"/>
      <c r="E684" s="159"/>
      <c r="F684" s="159"/>
      <c r="G684" s="159"/>
      <c r="H684" s="159"/>
      <c r="I684" s="159"/>
      <c r="J684" s="159"/>
      <c r="K684" s="159"/>
      <c r="L684" s="159"/>
      <c r="M684" s="606"/>
      <c r="N684" s="159"/>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row>
    <row r="685">
      <c r="A685" s="159"/>
      <c r="B685" s="159"/>
      <c r="C685" s="159"/>
      <c r="D685" s="159"/>
      <c r="E685" s="159"/>
      <c r="F685" s="159"/>
      <c r="G685" s="159"/>
      <c r="H685" s="159"/>
      <c r="I685" s="159"/>
      <c r="J685" s="159"/>
      <c r="K685" s="159"/>
      <c r="L685" s="159"/>
      <c r="M685" s="606"/>
      <c r="N685" s="159"/>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row>
    <row r="686">
      <c r="A686" s="159"/>
      <c r="B686" s="159"/>
      <c r="C686" s="159"/>
      <c r="D686" s="159"/>
      <c r="E686" s="159"/>
      <c r="F686" s="159"/>
      <c r="G686" s="159"/>
      <c r="H686" s="159"/>
      <c r="I686" s="159"/>
      <c r="J686" s="159"/>
      <c r="K686" s="159"/>
      <c r="L686" s="159"/>
      <c r="M686" s="606"/>
      <c r="N686" s="159"/>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row>
    <row r="687">
      <c r="A687" s="159"/>
      <c r="B687" s="159"/>
      <c r="C687" s="159"/>
      <c r="D687" s="159"/>
      <c r="E687" s="159"/>
      <c r="F687" s="159"/>
      <c r="G687" s="159"/>
      <c r="H687" s="159"/>
      <c r="I687" s="159"/>
      <c r="J687" s="159"/>
      <c r="K687" s="159"/>
      <c r="L687" s="159"/>
      <c r="M687" s="606"/>
      <c r="N687" s="159"/>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row>
    <row r="688">
      <c r="A688" s="159"/>
      <c r="B688" s="159"/>
      <c r="C688" s="159"/>
      <c r="D688" s="159"/>
      <c r="E688" s="159"/>
      <c r="F688" s="159"/>
      <c r="G688" s="159"/>
      <c r="H688" s="159"/>
      <c r="I688" s="159"/>
      <c r="J688" s="159"/>
      <c r="K688" s="159"/>
      <c r="L688" s="159"/>
      <c r="M688" s="606"/>
      <c r="N688" s="159"/>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row>
    <row r="689">
      <c r="A689" s="159"/>
      <c r="B689" s="159"/>
      <c r="C689" s="159"/>
      <c r="D689" s="159"/>
      <c r="E689" s="159"/>
      <c r="F689" s="159"/>
      <c r="G689" s="159"/>
      <c r="H689" s="159"/>
      <c r="I689" s="159"/>
      <c r="J689" s="159"/>
      <c r="K689" s="159"/>
      <c r="L689" s="159"/>
      <c r="M689" s="606"/>
      <c r="N689" s="159"/>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row>
    <row r="690">
      <c r="A690" s="159"/>
      <c r="B690" s="159"/>
      <c r="C690" s="159"/>
      <c r="D690" s="159"/>
      <c r="E690" s="159"/>
      <c r="F690" s="159"/>
      <c r="G690" s="159"/>
      <c r="H690" s="159"/>
      <c r="I690" s="159"/>
      <c r="J690" s="159"/>
      <c r="K690" s="159"/>
      <c r="L690" s="159"/>
      <c r="M690" s="606"/>
      <c r="N690" s="159"/>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row>
    <row r="691">
      <c r="A691" s="159"/>
      <c r="B691" s="159"/>
      <c r="C691" s="159"/>
      <c r="D691" s="159"/>
      <c r="E691" s="159"/>
      <c r="F691" s="159"/>
      <c r="G691" s="159"/>
      <c r="H691" s="159"/>
      <c r="I691" s="159"/>
      <c r="J691" s="159"/>
      <c r="K691" s="159"/>
      <c r="L691" s="159"/>
      <c r="M691" s="606"/>
      <c r="N691" s="159"/>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row>
    <row r="692">
      <c r="A692" s="159"/>
      <c r="B692" s="159"/>
      <c r="C692" s="159"/>
      <c r="D692" s="159"/>
      <c r="E692" s="159"/>
      <c r="F692" s="159"/>
      <c r="G692" s="159"/>
      <c r="H692" s="159"/>
      <c r="I692" s="159"/>
      <c r="J692" s="159"/>
      <c r="K692" s="159"/>
      <c r="L692" s="159"/>
      <c r="M692" s="606"/>
      <c r="N692" s="159"/>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row>
    <row r="693">
      <c r="A693" s="159"/>
      <c r="B693" s="159"/>
      <c r="C693" s="159"/>
      <c r="D693" s="159"/>
      <c r="E693" s="159"/>
      <c r="F693" s="159"/>
      <c r="G693" s="159"/>
      <c r="H693" s="159"/>
      <c r="I693" s="159"/>
      <c r="J693" s="159"/>
      <c r="K693" s="159"/>
      <c r="L693" s="159"/>
      <c r="M693" s="606"/>
      <c r="N693" s="159"/>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row>
    <row r="694">
      <c r="A694" s="159"/>
      <c r="B694" s="159"/>
      <c r="C694" s="159"/>
      <c r="D694" s="159"/>
      <c r="E694" s="159"/>
      <c r="F694" s="159"/>
      <c r="G694" s="159"/>
      <c r="H694" s="159"/>
      <c r="I694" s="159"/>
      <c r="J694" s="159"/>
      <c r="K694" s="159"/>
      <c r="L694" s="159"/>
      <c r="M694" s="606"/>
      <c r="N694" s="159"/>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row>
    <row r="695">
      <c r="A695" s="159"/>
      <c r="B695" s="159"/>
      <c r="C695" s="159"/>
      <c r="D695" s="159"/>
      <c r="E695" s="159"/>
      <c r="F695" s="159"/>
      <c r="G695" s="159"/>
      <c r="H695" s="159"/>
      <c r="I695" s="159"/>
      <c r="J695" s="159"/>
      <c r="K695" s="159"/>
      <c r="L695" s="159"/>
      <c r="M695" s="606"/>
      <c r="N695" s="159"/>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row>
    <row r="696">
      <c r="A696" s="159"/>
      <c r="B696" s="159"/>
      <c r="C696" s="159"/>
      <c r="D696" s="159"/>
      <c r="E696" s="159"/>
      <c r="F696" s="159"/>
      <c r="G696" s="159"/>
      <c r="H696" s="159"/>
      <c r="I696" s="159"/>
      <c r="J696" s="159"/>
      <c r="K696" s="159"/>
      <c r="L696" s="159"/>
      <c r="M696" s="606"/>
      <c r="N696" s="159"/>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row>
    <row r="697">
      <c r="A697" s="159"/>
      <c r="B697" s="159"/>
      <c r="C697" s="159"/>
      <c r="D697" s="159"/>
      <c r="E697" s="159"/>
      <c r="F697" s="159"/>
      <c r="G697" s="159"/>
      <c r="H697" s="159"/>
      <c r="I697" s="159"/>
      <c r="J697" s="159"/>
      <c r="K697" s="159"/>
      <c r="L697" s="159"/>
      <c r="M697" s="606"/>
      <c r="N697" s="159"/>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row>
    <row r="698">
      <c r="A698" s="159"/>
      <c r="B698" s="159"/>
      <c r="C698" s="159"/>
      <c r="D698" s="159"/>
      <c r="E698" s="159"/>
      <c r="F698" s="159"/>
      <c r="G698" s="159"/>
      <c r="H698" s="159"/>
      <c r="I698" s="159"/>
      <c r="J698" s="159"/>
      <c r="K698" s="159"/>
      <c r="L698" s="159"/>
      <c r="M698" s="606"/>
      <c r="N698" s="159"/>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row>
    <row r="699">
      <c r="A699" s="159"/>
      <c r="B699" s="159"/>
      <c r="C699" s="159"/>
      <c r="D699" s="159"/>
      <c r="E699" s="159"/>
      <c r="F699" s="159"/>
      <c r="G699" s="159"/>
      <c r="H699" s="159"/>
      <c r="I699" s="159"/>
      <c r="J699" s="159"/>
      <c r="K699" s="159"/>
      <c r="L699" s="159"/>
      <c r="M699" s="606"/>
      <c r="N699" s="159"/>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row>
    <row r="700">
      <c r="A700" s="159"/>
      <c r="B700" s="159"/>
      <c r="C700" s="159"/>
      <c r="D700" s="159"/>
      <c r="E700" s="159"/>
      <c r="F700" s="159"/>
      <c r="G700" s="159"/>
      <c r="H700" s="159"/>
      <c r="I700" s="159"/>
      <c r="J700" s="159"/>
      <c r="K700" s="159"/>
      <c r="L700" s="159"/>
      <c r="M700" s="606"/>
      <c r="N700" s="159"/>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row>
    <row r="701">
      <c r="A701" s="159"/>
      <c r="B701" s="159"/>
      <c r="C701" s="159"/>
      <c r="D701" s="159"/>
      <c r="E701" s="159"/>
      <c r="F701" s="159"/>
      <c r="G701" s="159"/>
      <c r="H701" s="159"/>
      <c r="I701" s="159"/>
      <c r="J701" s="159"/>
      <c r="K701" s="159"/>
      <c r="L701" s="159"/>
      <c r="M701" s="606"/>
      <c r="N701" s="159"/>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row>
    <row r="702">
      <c r="A702" s="159"/>
      <c r="B702" s="159"/>
      <c r="C702" s="159"/>
      <c r="D702" s="159"/>
      <c r="E702" s="159"/>
      <c r="F702" s="159"/>
      <c r="G702" s="159"/>
      <c r="H702" s="159"/>
      <c r="I702" s="159"/>
      <c r="J702" s="159"/>
      <c r="K702" s="159"/>
      <c r="L702" s="159"/>
      <c r="M702" s="606"/>
      <c r="N702" s="159"/>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row>
    <row r="703">
      <c r="A703" s="159"/>
      <c r="B703" s="159"/>
      <c r="C703" s="159"/>
      <c r="D703" s="159"/>
      <c r="E703" s="159"/>
      <c r="F703" s="159"/>
      <c r="G703" s="159"/>
      <c r="H703" s="159"/>
      <c r="I703" s="159"/>
      <c r="J703" s="159"/>
      <c r="K703" s="159"/>
      <c r="L703" s="159"/>
      <c r="M703" s="606"/>
      <c r="N703" s="159"/>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row>
    <row r="704">
      <c r="A704" s="159"/>
      <c r="B704" s="159"/>
      <c r="C704" s="159"/>
      <c r="D704" s="159"/>
      <c r="E704" s="159"/>
      <c r="F704" s="159"/>
      <c r="G704" s="159"/>
      <c r="H704" s="159"/>
      <c r="I704" s="159"/>
      <c r="J704" s="159"/>
      <c r="K704" s="159"/>
      <c r="L704" s="159"/>
      <c r="M704" s="606"/>
      <c r="N704" s="159"/>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row>
    <row r="705">
      <c r="A705" s="159"/>
      <c r="B705" s="159"/>
      <c r="C705" s="159"/>
      <c r="D705" s="159"/>
      <c r="E705" s="159"/>
      <c r="F705" s="159"/>
      <c r="G705" s="159"/>
      <c r="H705" s="159"/>
      <c r="I705" s="159"/>
      <c r="J705" s="159"/>
      <c r="K705" s="159"/>
      <c r="L705" s="159"/>
      <c r="M705" s="606"/>
      <c r="N705" s="159"/>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row>
    <row r="706">
      <c r="A706" s="159"/>
      <c r="B706" s="159"/>
      <c r="C706" s="159"/>
      <c r="D706" s="159"/>
      <c r="E706" s="159"/>
      <c r="F706" s="159"/>
      <c r="G706" s="159"/>
      <c r="H706" s="159"/>
      <c r="I706" s="159"/>
      <c r="J706" s="159"/>
      <c r="K706" s="159"/>
      <c r="L706" s="159"/>
      <c r="M706" s="606"/>
      <c r="N706" s="159"/>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row>
    <row r="707">
      <c r="A707" s="159"/>
      <c r="B707" s="159"/>
      <c r="C707" s="159"/>
      <c r="D707" s="159"/>
      <c r="E707" s="159"/>
      <c r="F707" s="159"/>
      <c r="G707" s="159"/>
      <c r="H707" s="159"/>
      <c r="I707" s="159"/>
      <c r="J707" s="159"/>
      <c r="K707" s="159"/>
      <c r="L707" s="159"/>
      <c r="M707" s="606"/>
      <c r="N707" s="159"/>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row>
    <row r="708">
      <c r="A708" s="159"/>
      <c r="B708" s="159"/>
      <c r="C708" s="159"/>
      <c r="D708" s="159"/>
      <c r="E708" s="159"/>
      <c r="F708" s="159"/>
      <c r="G708" s="159"/>
      <c r="H708" s="159"/>
      <c r="I708" s="159"/>
      <c r="J708" s="159"/>
      <c r="K708" s="159"/>
      <c r="L708" s="159"/>
      <c r="M708" s="606"/>
      <c r="N708" s="159"/>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row>
    <row r="709">
      <c r="A709" s="159"/>
      <c r="B709" s="159"/>
      <c r="C709" s="159"/>
      <c r="D709" s="159"/>
      <c r="E709" s="159"/>
      <c r="F709" s="159"/>
      <c r="G709" s="159"/>
      <c r="H709" s="159"/>
      <c r="I709" s="159"/>
      <c r="J709" s="159"/>
      <c r="K709" s="159"/>
      <c r="L709" s="159"/>
      <c r="M709" s="606"/>
      <c r="N709" s="159"/>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row>
    <row r="710">
      <c r="A710" s="159"/>
      <c r="B710" s="159"/>
      <c r="C710" s="159"/>
      <c r="D710" s="159"/>
      <c r="E710" s="159"/>
      <c r="F710" s="159"/>
      <c r="G710" s="159"/>
      <c r="H710" s="159"/>
      <c r="I710" s="159"/>
      <c r="J710" s="159"/>
      <c r="K710" s="159"/>
      <c r="L710" s="159"/>
      <c r="M710" s="606"/>
      <c r="N710" s="159"/>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row>
    <row r="711">
      <c r="A711" s="159"/>
      <c r="B711" s="159"/>
      <c r="C711" s="159"/>
      <c r="D711" s="159"/>
      <c r="E711" s="159"/>
      <c r="F711" s="159"/>
      <c r="G711" s="159"/>
      <c r="H711" s="159"/>
      <c r="I711" s="159"/>
      <c r="J711" s="159"/>
      <c r="K711" s="159"/>
      <c r="L711" s="159"/>
      <c r="M711" s="606"/>
      <c r="N711" s="159"/>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row>
    <row r="712">
      <c r="A712" s="159"/>
      <c r="B712" s="159"/>
      <c r="C712" s="159"/>
      <c r="D712" s="159"/>
      <c r="E712" s="159"/>
      <c r="F712" s="159"/>
      <c r="G712" s="159"/>
      <c r="H712" s="159"/>
      <c r="I712" s="159"/>
      <c r="J712" s="159"/>
      <c r="K712" s="159"/>
      <c r="L712" s="159"/>
      <c r="M712" s="606"/>
      <c r="N712" s="159"/>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row>
    <row r="713">
      <c r="A713" s="159"/>
      <c r="B713" s="159"/>
      <c r="C713" s="159"/>
      <c r="D713" s="159"/>
      <c r="E713" s="159"/>
      <c r="F713" s="159"/>
      <c r="G713" s="159"/>
      <c r="H713" s="159"/>
      <c r="I713" s="159"/>
      <c r="J713" s="159"/>
      <c r="K713" s="159"/>
      <c r="L713" s="159"/>
      <c r="M713" s="606"/>
      <c r="N713" s="159"/>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row>
    <row r="714">
      <c r="A714" s="159"/>
      <c r="B714" s="159"/>
      <c r="C714" s="159"/>
      <c r="D714" s="159"/>
      <c r="E714" s="159"/>
      <c r="F714" s="159"/>
      <c r="G714" s="159"/>
      <c r="H714" s="159"/>
      <c r="I714" s="159"/>
      <c r="J714" s="159"/>
      <c r="K714" s="159"/>
      <c r="L714" s="159"/>
      <c r="M714" s="606"/>
      <c r="N714" s="159"/>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row>
    <row r="715">
      <c r="A715" s="159"/>
      <c r="B715" s="159"/>
      <c r="C715" s="159"/>
      <c r="D715" s="159"/>
      <c r="E715" s="159"/>
      <c r="F715" s="159"/>
      <c r="G715" s="159"/>
      <c r="H715" s="159"/>
      <c r="I715" s="159"/>
      <c r="J715" s="159"/>
      <c r="K715" s="159"/>
      <c r="L715" s="159"/>
      <c r="M715" s="606"/>
      <c r="N715" s="159"/>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row>
    <row r="716">
      <c r="A716" s="159"/>
      <c r="B716" s="159"/>
      <c r="C716" s="159"/>
      <c r="D716" s="159"/>
      <c r="E716" s="159"/>
      <c r="F716" s="159"/>
      <c r="G716" s="159"/>
      <c r="H716" s="159"/>
      <c r="I716" s="159"/>
      <c r="J716" s="159"/>
      <c r="K716" s="159"/>
      <c r="L716" s="159"/>
      <c r="M716" s="606"/>
      <c r="N716" s="159"/>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row>
    <row r="717">
      <c r="A717" s="159"/>
      <c r="B717" s="159"/>
      <c r="C717" s="159"/>
      <c r="D717" s="159"/>
      <c r="E717" s="159"/>
      <c r="F717" s="159"/>
      <c r="G717" s="159"/>
      <c r="H717" s="159"/>
      <c r="I717" s="159"/>
      <c r="J717" s="159"/>
      <c r="K717" s="159"/>
      <c r="L717" s="159"/>
      <c r="M717" s="606"/>
      <c r="N717" s="159"/>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row>
    <row r="718">
      <c r="A718" s="159"/>
      <c r="B718" s="159"/>
      <c r="C718" s="159"/>
      <c r="D718" s="159"/>
      <c r="E718" s="159"/>
      <c r="F718" s="159"/>
      <c r="G718" s="159"/>
      <c r="H718" s="159"/>
      <c r="I718" s="159"/>
      <c r="J718" s="159"/>
      <c r="K718" s="159"/>
      <c r="L718" s="159"/>
      <c r="M718" s="606"/>
      <c r="N718" s="159"/>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row>
    <row r="719">
      <c r="A719" s="159"/>
      <c r="B719" s="159"/>
      <c r="C719" s="159"/>
      <c r="D719" s="159"/>
      <c r="E719" s="159"/>
      <c r="F719" s="159"/>
      <c r="G719" s="159"/>
      <c r="H719" s="159"/>
      <c r="I719" s="159"/>
      <c r="J719" s="159"/>
      <c r="K719" s="159"/>
      <c r="L719" s="159"/>
      <c r="M719" s="606"/>
      <c r="N719" s="159"/>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row>
    <row r="720">
      <c r="A720" s="159"/>
      <c r="B720" s="159"/>
      <c r="C720" s="159"/>
      <c r="D720" s="159"/>
      <c r="E720" s="159"/>
      <c r="F720" s="159"/>
      <c r="G720" s="159"/>
      <c r="H720" s="159"/>
      <c r="I720" s="159"/>
      <c r="J720" s="159"/>
      <c r="K720" s="159"/>
      <c r="L720" s="159"/>
      <c r="M720" s="606"/>
      <c r="N720" s="159"/>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row>
    <row r="721">
      <c r="A721" s="159"/>
      <c r="B721" s="159"/>
      <c r="C721" s="159"/>
      <c r="D721" s="159"/>
      <c r="E721" s="159"/>
      <c r="F721" s="159"/>
      <c r="G721" s="159"/>
      <c r="H721" s="159"/>
      <c r="I721" s="159"/>
      <c r="J721" s="159"/>
      <c r="K721" s="159"/>
      <c r="L721" s="159"/>
      <c r="M721" s="606"/>
      <c r="N721" s="159"/>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row>
    <row r="722">
      <c r="A722" s="159"/>
      <c r="B722" s="159"/>
      <c r="C722" s="159"/>
      <c r="D722" s="159"/>
      <c r="E722" s="159"/>
      <c r="F722" s="159"/>
      <c r="G722" s="159"/>
      <c r="H722" s="159"/>
      <c r="I722" s="159"/>
      <c r="J722" s="159"/>
      <c r="K722" s="159"/>
      <c r="L722" s="159"/>
      <c r="M722" s="606"/>
      <c r="N722" s="159"/>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row>
    <row r="723">
      <c r="A723" s="159"/>
      <c r="B723" s="159"/>
      <c r="C723" s="159"/>
      <c r="D723" s="159"/>
      <c r="E723" s="159"/>
      <c r="F723" s="159"/>
      <c r="G723" s="159"/>
      <c r="H723" s="159"/>
      <c r="I723" s="159"/>
      <c r="J723" s="159"/>
      <c r="K723" s="159"/>
      <c r="L723" s="159"/>
      <c r="M723" s="606"/>
      <c r="N723" s="159"/>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row>
    <row r="724">
      <c r="A724" s="159"/>
      <c r="B724" s="159"/>
      <c r="C724" s="159"/>
      <c r="D724" s="159"/>
      <c r="E724" s="159"/>
      <c r="F724" s="159"/>
      <c r="G724" s="159"/>
      <c r="H724" s="159"/>
      <c r="I724" s="159"/>
      <c r="J724" s="159"/>
      <c r="K724" s="159"/>
      <c r="L724" s="159"/>
      <c r="M724" s="606"/>
      <c r="N724" s="159"/>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row>
    <row r="725">
      <c r="A725" s="159"/>
      <c r="B725" s="159"/>
      <c r="C725" s="159"/>
      <c r="D725" s="159"/>
      <c r="E725" s="159"/>
      <c r="F725" s="159"/>
      <c r="G725" s="159"/>
      <c r="H725" s="159"/>
      <c r="I725" s="159"/>
      <c r="J725" s="159"/>
      <c r="K725" s="159"/>
      <c r="L725" s="159"/>
      <c r="M725" s="606"/>
      <c r="N725" s="159"/>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row>
    <row r="726">
      <c r="A726" s="159"/>
      <c r="B726" s="159"/>
      <c r="C726" s="159"/>
      <c r="D726" s="159"/>
      <c r="E726" s="159"/>
      <c r="F726" s="159"/>
      <c r="G726" s="159"/>
      <c r="H726" s="159"/>
      <c r="I726" s="159"/>
      <c r="J726" s="159"/>
      <c r="K726" s="159"/>
      <c r="L726" s="159"/>
      <c r="M726" s="606"/>
      <c r="N726" s="159"/>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row>
    <row r="727">
      <c r="A727" s="159"/>
      <c r="B727" s="159"/>
      <c r="C727" s="159"/>
      <c r="D727" s="159"/>
      <c r="E727" s="159"/>
      <c r="F727" s="159"/>
      <c r="G727" s="159"/>
      <c r="H727" s="159"/>
      <c r="I727" s="159"/>
      <c r="J727" s="159"/>
      <c r="K727" s="159"/>
      <c r="L727" s="159"/>
      <c r="M727" s="606"/>
      <c r="N727" s="159"/>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row>
    <row r="728">
      <c r="A728" s="159"/>
      <c r="B728" s="159"/>
      <c r="C728" s="159"/>
      <c r="D728" s="159"/>
      <c r="E728" s="159"/>
      <c r="F728" s="159"/>
      <c r="G728" s="159"/>
      <c r="H728" s="159"/>
      <c r="I728" s="159"/>
      <c r="J728" s="159"/>
      <c r="K728" s="159"/>
      <c r="L728" s="159"/>
      <c r="M728" s="606"/>
      <c r="N728" s="159"/>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row>
    <row r="729">
      <c r="A729" s="159"/>
      <c r="B729" s="159"/>
      <c r="C729" s="159"/>
      <c r="D729" s="159"/>
      <c r="E729" s="159"/>
      <c r="F729" s="159"/>
      <c r="G729" s="159"/>
      <c r="H729" s="159"/>
      <c r="I729" s="159"/>
      <c r="J729" s="159"/>
      <c r="K729" s="159"/>
      <c r="L729" s="159"/>
      <c r="M729" s="606"/>
      <c r="N729" s="159"/>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row>
    <row r="730">
      <c r="A730" s="159"/>
      <c r="B730" s="159"/>
      <c r="C730" s="159"/>
      <c r="D730" s="159"/>
      <c r="E730" s="159"/>
      <c r="F730" s="159"/>
      <c r="G730" s="159"/>
      <c r="H730" s="159"/>
      <c r="I730" s="159"/>
      <c r="J730" s="159"/>
      <c r="K730" s="159"/>
      <c r="L730" s="159"/>
      <c r="M730" s="606"/>
      <c r="N730" s="159"/>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row>
    <row r="731">
      <c r="A731" s="159"/>
      <c r="B731" s="159"/>
      <c r="C731" s="159"/>
      <c r="D731" s="159"/>
      <c r="E731" s="159"/>
      <c r="F731" s="159"/>
      <c r="G731" s="159"/>
      <c r="H731" s="159"/>
      <c r="I731" s="159"/>
      <c r="J731" s="159"/>
      <c r="K731" s="159"/>
      <c r="L731" s="159"/>
      <c r="M731" s="606"/>
      <c r="N731" s="159"/>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row>
    <row r="732">
      <c r="A732" s="159"/>
      <c r="B732" s="159"/>
      <c r="C732" s="159"/>
      <c r="D732" s="159"/>
      <c r="E732" s="159"/>
      <c r="F732" s="159"/>
      <c r="G732" s="159"/>
      <c r="H732" s="159"/>
      <c r="I732" s="159"/>
      <c r="J732" s="159"/>
      <c r="K732" s="159"/>
      <c r="L732" s="159"/>
      <c r="M732" s="606"/>
      <c r="N732" s="159"/>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row>
    <row r="733">
      <c r="A733" s="159"/>
      <c r="B733" s="159"/>
      <c r="C733" s="159"/>
      <c r="D733" s="159"/>
      <c r="E733" s="159"/>
      <c r="F733" s="159"/>
      <c r="G733" s="159"/>
      <c r="H733" s="159"/>
      <c r="I733" s="159"/>
      <c r="J733" s="159"/>
      <c r="K733" s="159"/>
      <c r="L733" s="159"/>
      <c r="M733" s="606"/>
      <c r="N733" s="159"/>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row>
    <row r="734">
      <c r="A734" s="159"/>
      <c r="B734" s="159"/>
      <c r="C734" s="159"/>
      <c r="D734" s="159"/>
      <c r="E734" s="159"/>
      <c r="F734" s="159"/>
      <c r="G734" s="159"/>
      <c r="H734" s="159"/>
      <c r="I734" s="159"/>
      <c r="J734" s="159"/>
      <c r="K734" s="159"/>
      <c r="L734" s="159"/>
      <c r="M734" s="606"/>
      <c r="N734" s="159"/>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row>
    <row r="735">
      <c r="A735" s="159"/>
      <c r="B735" s="159"/>
      <c r="C735" s="159"/>
      <c r="D735" s="159"/>
      <c r="E735" s="159"/>
      <c r="F735" s="159"/>
      <c r="G735" s="159"/>
      <c r="H735" s="159"/>
      <c r="I735" s="159"/>
      <c r="J735" s="159"/>
      <c r="K735" s="159"/>
      <c r="L735" s="159"/>
      <c r="M735" s="606"/>
      <c r="N735" s="159"/>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row>
    <row r="736">
      <c r="A736" s="159"/>
      <c r="B736" s="159"/>
      <c r="C736" s="159"/>
      <c r="D736" s="159"/>
      <c r="E736" s="159"/>
      <c r="F736" s="159"/>
      <c r="G736" s="159"/>
      <c r="H736" s="159"/>
      <c r="I736" s="159"/>
      <c r="J736" s="159"/>
      <c r="K736" s="159"/>
      <c r="L736" s="159"/>
      <c r="M736" s="606"/>
      <c r="N736" s="159"/>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row>
    <row r="737">
      <c r="A737" s="159"/>
      <c r="B737" s="159"/>
      <c r="C737" s="159"/>
      <c r="D737" s="159"/>
      <c r="E737" s="159"/>
      <c r="F737" s="159"/>
      <c r="G737" s="159"/>
      <c r="H737" s="159"/>
      <c r="I737" s="159"/>
      <c r="J737" s="159"/>
      <c r="K737" s="159"/>
      <c r="L737" s="159"/>
      <c r="M737" s="606"/>
      <c r="N737" s="159"/>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row>
    <row r="738">
      <c r="A738" s="159"/>
      <c r="B738" s="159"/>
      <c r="C738" s="159"/>
      <c r="D738" s="159"/>
      <c r="E738" s="159"/>
      <c r="F738" s="159"/>
      <c r="G738" s="159"/>
      <c r="H738" s="159"/>
      <c r="I738" s="159"/>
      <c r="J738" s="159"/>
      <c r="K738" s="159"/>
      <c r="L738" s="159"/>
      <c r="M738" s="606"/>
      <c r="N738" s="159"/>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row>
    <row r="739">
      <c r="A739" s="159"/>
      <c r="B739" s="159"/>
      <c r="C739" s="159"/>
      <c r="D739" s="159"/>
      <c r="E739" s="159"/>
      <c r="F739" s="159"/>
      <c r="G739" s="159"/>
      <c r="H739" s="159"/>
      <c r="I739" s="159"/>
      <c r="J739" s="159"/>
      <c r="K739" s="159"/>
      <c r="L739" s="159"/>
      <c r="M739" s="606"/>
      <c r="N739" s="159"/>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row>
    <row r="740">
      <c r="A740" s="159"/>
      <c r="B740" s="159"/>
      <c r="C740" s="159"/>
      <c r="D740" s="159"/>
      <c r="E740" s="159"/>
      <c r="F740" s="159"/>
      <c r="G740" s="159"/>
      <c r="H740" s="159"/>
      <c r="I740" s="159"/>
      <c r="J740" s="159"/>
      <c r="K740" s="159"/>
      <c r="L740" s="159"/>
      <c r="M740" s="606"/>
      <c r="N740" s="159"/>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row>
    <row r="741">
      <c r="A741" s="159"/>
      <c r="B741" s="159"/>
      <c r="C741" s="159"/>
      <c r="D741" s="159"/>
      <c r="E741" s="159"/>
      <c r="F741" s="159"/>
      <c r="G741" s="159"/>
      <c r="H741" s="159"/>
      <c r="I741" s="159"/>
      <c r="J741" s="159"/>
      <c r="K741" s="159"/>
      <c r="L741" s="159"/>
      <c r="M741" s="606"/>
      <c r="N741" s="159"/>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row>
    <row r="742">
      <c r="A742" s="159"/>
      <c r="B742" s="159"/>
      <c r="C742" s="159"/>
      <c r="D742" s="159"/>
      <c r="E742" s="159"/>
      <c r="F742" s="159"/>
      <c r="G742" s="159"/>
      <c r="H742" s="159"/>
      <c r="I742" s="159"/>
      <c r="J742" s="159"/>
      <c r="K742" s="159"/>
      <c r="L742" s="159"/>
      <c r="M742" s="606"/>
      <c r="N742" s="159"/>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row>
    <row r="743">
      <c r="A743" s="159"/>
      <c r="B743" s="159"/>
      <c r="C743" s="159"/>
      <c r="D743" s="159"/>
      <c r="E743" s="159"/>
      <c r="F743" s="159"/>
      <c r="G743" s="159"/>
      <c r="H743" s="159"/>
      <c r="I743" s="159"/>
      <c r="J743" s="159"/>
      <c r="K743" s="159"/>
      <c r="L743" s="159"/>
      <c r="M743" s="606"/>
      <c r="N743" s="159"/>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row>
    <row r="744">
      <c r="A744" s="159"/>
      <c r="B744" s="159"/>
      <c r="C744" s="159"/>
      <c r="D744" s="159"/>
      <c r="E744" s="159"/>
      <c r="F744" s="159"/>
      <c r="G744" s="159"/>
      <c r="H744" s="159"/>
      <c r="I744" s="159"/>
      <c r="J744" s="159"/>
      <c r="K744" s="159"/>
      <c r="L744" s="159"/>
      <c r="M744" s="606"/>
      <c r="N744" s="159"/>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row>
    <row r="745">
      <c r="A745" s="159"/>
      <c r="B745" s="159"/>
      <c r="C745" s="159"/>
      <c r="D745" s="159"/>
      <c r="E745" s="159"/>
      <c r="F745" s="159"/>
      <c r="G745" s="159"/>
      <c r="H745" s="159"/>
      <c r="I745" s="159"/>
      <c r="J745" s="159"/>
      <c r="K745" s="159"/>
      <c r="L745" s="159"/>
      <c r="M745" s="606"/>
      <c r="N745" s="159"/>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row>
    <row r="746">
      <c r="A746" s="159"/>
      <c r="B746" s="159"/>
      <c r="C746" s="159"/>
      <c r="D746" s="159"/>
      <c r="E746" s="159"/>
      <c r="F746" s="159"/>
      <c r="G746" s="159"/>
      <c r="H746" s="159"/>
      <c r="I746" s="159"/>
      <c r="J746" s="159"/>
      <c r="K746" s="159"/>
      <c r="L746" s="159"/>
      <c r="M746" s="606"/>
      <c r="N746" s="159"/>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row>
    <row r="747">
      <c r="A747" s="159"/>
      <c r="B747" s="159"/>
      <c r="C747" s="159"/>
      <c r="D747" s="159"/>
      <c r="E747" s="159"/>
      <c r="F747" s="159"/>
      <c r="G747" s="159"/>
      <c r="H747" s="159"/>
      <c r="I747" s="159"/>
      <c r="J747" s="159"/>
      <c r="K747" s="159"/>
      <c r="L747" s="159"/>
      <c r="M747" s="606"/>
      <c r="N747" s="159"/>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row>
    <row r="748">
      <c r="A748" s="159"/>
      <c r="B748" s="159"/>
      <c r="C748" s="159"/>
      <c r="D748" s="159"/>
      <c r="E748" s="159"/>
      <c r="F748" s="159"/>
      <c r="G748" s="159"/>
      <c r="H748" s="159"/>
      <c r="I748" s="159"/>
      <c r="J748" s="159"/>
      <c r="K748" s="159"/>
      <c r="L748" s="159"/>
      <c r="M748" s="606"/>
      <c r="N748" s="159"/>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row>
    <row r="749">
      <c r="A749" s="159"/>
      <c r="B749" s="159"/>
      <c r="C749" s="159"/>
      <c r="D749" s="159"/>
      <c r="E749" s="159"/>
      <c r="F749" s="159"/>
      <c r="G749" s="159"/>
      <c r="H749" s="159"/>
      <c r="I749" s="159"/>
      <c r="J749" s="159"/>
      <c r="K749" s="159"/>
      <c r="L749" s="159"/>
      <c r="M749" s="606"/>
      <c r="N749" s="159"/>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row>
    <row r="750">
      <c r="A750" s="159"/>
      <c r="B750" s="159"/>
      <c r="C750" s="159"/>
      <c r="D750" s="159"/>
      <c r="E750" s="159"/>
      <c r="F750" s="159"/>
      <c r="G750" s="159"/>
      <c r="H750" s="159"/>
      <c r="I750" s="159"/>
      <c r="J750" s="159"/>
      <c r="K750" s="159"/>
      <c r="L750" s="159"/>
      <c r="M750" s="606"/>
      <c r="N750" s="159"/>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row>
    <row r="751">
      <c r="A751" s="159"/>
      <c r="B751" s="159"/>
      <c r="C751" s="159"/>
      <c r="D751" s="159"/>
      <c r="E751" s="159"/>
      <c r="F751" s="159"/>
      <c r="G751" s="159"/>
      <c r="H751" s="159"/>
      <c r="I751" s="159"/>
      <c r="J751" s="159"/>
      <c r="K751" s="159"/>
      <c r="L751" s="159"/>
      <c r="M751" s="606"/>
      <c r="N751" s="159"/>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row>
    <row r="752">
      <c r="A752" s="159"/>
      <c r="B752" s="159"/>
      <c r="C752" s="159"/>
      <c r="D752" s="159"/>
      <c r="E752" s="159"/>
      <c r="F752" s="159"/>
      <c r="G752" s="159"/>
      <c r="H752" s="159"/>
      <c r="I752" s="159"/>
      <c r="J752" s="159"/>
      <c r="K752" s="159"/>
      <c r="L752" s="159"/>
      <c r="M752" s="606"/>
      <c r="N752" s="159"/>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row>
    <row r="753">
      <c r="A753" s="159"/>
      <c r="B753" s="159"/>
      <c r="C753" s="159"/>
      <c r="D753" s="159"/>
      <c r="E753" s="159"/>
      <c r="F753" s="159"/>
      <c r="G753" s="159"/>
      <c r="H753" s="159"/>
      <c r="I753" s="159"/>
      <c r="J753" s="159"/>
      <c r="K753" s="159"/>
      <c r="L753" s="159"/>
      <c r="M753" s="606"/>
      <c r="N753" s="159"/>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row>
    <row r="754">
      <c r="A754" s="159"/>
      <c r="B754" s="159"/>
      <c r="C754" s="159"/>
      <c r="D754" s="159"/>
      <c r="E754" s="159"/>
      <c r="F754" s="159"/>
      <c r="G754" s="159"/>
      <c r="H754" s="159"/>
      <c r="I754" s="159"/>
      <c r="J754" s="159"/>
      <c r="K754" s="159"/>
      <c r="L754" s="159"/>
      <c r="M754" s="606"/>
      <c r="N754" s="159"/>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row>
    <row r="755">
      <c r="A755" s="159"/>
      <c r="B755" s="159"/>
      <c r="C755" s="159"/>
      <c r="D755" s="159"/>
      <c r="E755" s="159"/>
      <c r="F755" s="159"/>
      <c r="G755" s="159"/>
      <c r="H755" s="159"/>
      <c r="I755" s="159"/>
      <c r="J755" s="159"/>
      <c r="K755" s="159"/>
      <c r="L755" s="159"/>
      <c r="M755" s="606"/>
      <c r="N755" s="159"/>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row>
    <row r="756">
      <c r="A756" s="159"/>
      <c r="B756" s="159"/>
      <c r="C756" s="159"/>
      <c r="D756" s="159"/>
      <c r="E756" s="159"/>
      <c r="F756" s="159"/>
      <c r="G756" s="159"/>
      <c r="H756" s="159"/>
      <c r="I756" s="159"/>
      <c r="J756" s="159"/>
      <c r="K756" s="159"/>
      <c r="L756" s="159"/>
      <c r="M756" s="606"/>
      <c r="N756" s="159"/>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row>
    <row r="757">
      <c r="A757" s="159"/>
      <c r="B757" s="159"/>
      <c r="C757" s="159"/>
      <c r="D757" s="159"/>
      <c r="E757" s="159"/>
      <c r="F757" s="159"/>
      <c r="G757" s="159"/>
      <c r="H757" s="159"/>
      <c r="I757" s="159"/>
      <c r="J757" s="159"/>
      <c r="K757" s="159"/>
      <c r="L757" s="159"/>
      <c r="M757" s="606"/>
      <c r="N757" s="159"/>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row>
    <row r="758">
      <c r="A758" s="159"/>
      <c r="B758" s="159"/>
      <c r="C758" s="159"/>
      <c r="D758" s="159"/>
      <c r="E758" s="159"/>
      <c r="F758" s="159"/>
      <c r="G758" s="159"/>
      <c r="H758" s="159"/>
      <c r="I758" s="159"/>
      <c r="J758" s="159"/>
      <c r="K758" s="159"/>
      <c r="L758" s="159"/>
      <c r="M758" s="606"/>
      <c r="N758" s="159"/>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row>
    <row r="759">
      <c r="A759" s="159"/>
      <c r="B759" s="159"/>
      <c r="C759" s="159"/>
      <c r="D759" s="159"/>
      <c r="E759" s="159"/>
      <c r="F759" s="159"/>
      <c r="G759" s="159"/>
      <c r="H759" s="159"/>
      <c r="I759" s="159"/>
      <c r="J759" s="159"/>
      <c r="K759" s="159"/>
      <c r="L759" s="159"/>
      <c r="M759" s="606"/>
      <c r="N759" s="159"/>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row>
    <row r="760">
      <c r="A760" s="159"/>
      <c r="B760" s="159"/>
      <c r="C760" s="159"/>
      <c r="D760" s="159"/>
      <c r="E760" s="159"/>
      <c r="F760" s="159"/>
      <c r="G760" s="159"/>
      <c r="H760" s="159"/>
      <c r="I760" s="159"/>
      <c r="J760" s="159"/>
      <c r="K760" s="159"/>
      <c r="L760" s="159"/>
      <c r="M760" s="606"/>
      <c r="N760" s="159"/>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row>
    <row r="761">
      <c r="A761" s="159"/>
      <c r="B761" s="159"/>
      <c r="C761" s="159"/>
      <c r="D761" s="159"/>
      <c r="E761" s="159"/>
      <c r="F761" s="159"/>
      <c r="G761" s="159"/>
      <c r="H761" s="159"/>
      <c r="I761" s="159"/>
      <c r="J761" s="159"/>
      <c r="K761" s="159"/>
      <c r="L761" s="159"/>
      <c r="M761" s="606"/>
      <c r="N761" s="159"/>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row>
    <row r="762">
      <c r="A762" s="159"/>
      <c r="B762" s="159"/>
      <c r="C762" s="159"/>
      <c r="D762" s="159"/>
      <c r="E762" s="159"/>
      <c r="F762" s="159"/>
      <c r="G762" s="159"/>
      <c r="H762" s="159"/>
      <c r="I762" s="159"/>
      <c r="J762" s="159"/>
      <c r="K762" s="159"/>
      <c r="L762" s="159"/>
      <c r="M762" s="606"/>
      <c r="N762" s="159"/>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row>
    <row r="763">
      <c r="A763" s="159"/>
      <c r="B763" s="159"/>
      <c r="C763" s="159"/>
      <c r="D763" s="159"/>
      <c r="E763" s="159"/>
      <c r="F763" s="159"/>
      <c r="G763" s="159"/>
      <c r="H763" s="159"/>
      <c r="I763" s="159"/>
      <c r="J763" s="159"/>
      <c r="K763" s="159"/>
      <c r="L763" s="159"/>
      <c r="M763" s="606"/>
      <c r="N763" s="159"/>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row>
    <row r="764">
      <c r="A764" s="159"/>
      <c r="B764" s="159"/>
      <c r="C764" s="159"/>
      <c r="D764" s="159"/>
      <c r="E764" s="159"/>
      <c r="F764" s="159"/>
      <c r="G764" s="159"/>
      <c r="H764" s="159"/>
      <c r="I764" s="159"/>
      <c r="J764" s="159"/>
      <c r="K764" s="159"/>
      <c r="L764" s="159"/>
      <c r="M764" s="606"/>
      <c r="N764" s="159"/>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row>
    <row r="765">
      <c r="A765" s="159"/>
      <c r="B765" s="159"/>
      <c r="C765" s="159"/>
      <c r="D765" s="159"/>
      <c r="E765" s="159"/>
      <c r="F765" s="159"/>
      <c r="G765" s="159"/>
      <c r="H765" s="159"/>
      <c r="I765" s="159"/>
      <c r="J765" s="159"/>
      <c r="K765" s="159"/>
      <c r="L765" s="159"/>
      <c r="M765" s="606"/>
      <c r="N765" s="159"/>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row>
    <row r="766">
      <c r="A766" s="159"/>
      <c r="B766" s="159"/>
      <c r="C766" s="159"/>
      <c r="D766" s="159"/>
      <c r="E766" s="159"/>
      <c r="F766" s="159"/>
      <c r="G766" s="159"/>
      <c r="H766" s="159"/>
      <c r="I766" s="159"/>
      <c r="J766" s="159"/>
      <c r="K766" s="159"/>
      <c r="L766" s="159"/>
      <c r="M766" s="606"/>
      <c r="N766" s="159"/>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row>
    <row r="767">
      <c r="A767" s="159"/>
      <c r="B767" s="159"/>
      <c r="C767" s="159"/>
      <c r="D767" s="159"/>
      <c r="E767" s="159"/>
      <c r="F767" s="159"/>
      <c r="G767" s="159"/>
      <c r="H767" s="159"/>
      <c r="I767" s="159"/>
      <c r="J767" s="159"/>
      <c r="K767" s="159"/>
      <c r="L767" s="159"/>
      <c r="M767" s="606"/>
      <c r="N767" s="159"/>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row>
    <row r="768">
      <c r="A768" s="159"/>
      <c r="B768" s="159"/>
      <c r="C768" s="159"/>
      <c r="D768" s="159"/>
      <c r="E768" s="159"/>
      <c r="F768" s="159"/>
      <c r="G768" s="159"/>
      <c r="H768" s="159"/>
      <c r="I768" s="159"/>
      <c r="J768" s="159"/>
      <c r="K768" s="159"/>
      <c r="L768" s="159"/>
      <c r="M768" s="606"/>
      <c r="N768" s="159"/>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row>
    <row r="769">
      <c r="A769" s="159"/>
      <c r="B769" s="159"/>
      <c r="C769" s="159"/>
      <c r="D769" s="159"/>
      <c r="E769" s="159"/>
      <c r="F769" s="159"/>
      <c r="G769" s="159"/>
      <c r="H769" s="159"/>
      <c r="I769" s="159"/>
      <c r="J769" s="159"/>
      <c r="K769" s="159"/>
      <c r="L769" s="159"/>
      <c r="M769" s="606"/>
      <c r="N769" s="159"/>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row>
    <row r="770">
      <c r="A770" s="159"/>
      <c r="B770" s="159"/>
      <c r="C770" s="159"/>
      <c r="D770" s="159"/>
      <c r="E770" s="159"/>
      <c r="F770" s="159"/>
      <c r="G770" s="159"/>
      <c r="H770" s="159"/>
      <c r="I770" s="159"/>
      <c r="J770" s="159"/>
      <c r="K770" s="159"/>
      <c r="L770" s="159"/>
      <c r="M770" s="606"/>
      <c r="N770" s="159"/>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row>
    <row r="771">
      <c r="A771" s="159"/>
      <c r="B771" s="159"/>
      <c r="C771" s="159"/>
      <c r="D771" s="159"/>
      <c r="E771" s="159"/>
      <c r="F771" s="159"/>
      <c r="G771" s="159"/>
      <c r="H771" s="159"/>
      <c r="I771" s="159"/>
      <c r="J771" s="159"/>
      <c r="K771" s="159"/>
      <c r="L771" s="159"/>
      <c r="M771" s="606"/>
      <c r="N771" s="159"/>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row>
    <row r="772">
      <c r="A772" s="159"/>
      <c r="B772" s="159"/>
      <c r="C772" s="159"/>
      <c r="D772" s="159"/>
      <c r="E772" s="159"/>
      <c r="F772" s="159"/>
      <c r="G772" s="159"/>
      <c r="H772" s="159"/>
      <c r="I772" s="159"/>
      <c r="J772" s="159"/>
      <c r="K772" s="159"/>
      <c r="L772" s="159"/>
      <c r="M772" s="606"/>
      <c r="N772" s="159"/>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row>
    <row r="773">
      <c r="A773" s="159"/>
      <c r="B773" s="159"/>
      <c r="C773" s="159"/>
      <c r="D773" s="159"/>
      <c r="E773" s="159"/>
      <c r="F773" s="159"/>
      <c r="G773" s="159"/>
      <c r="H773" s="159"/>
      <c r="I773" s="159"/>
      <c r="J773" s="159"/>
      <c r="K773" s="159"/>
      <c r="L773" s="159"/>
      <c r="M773" s="606"/>
      <c r="N773" s="159"/>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row>
    <row r="774">
      <c r="A774" s="159"/>
      <c r="B774" s="159"/>
      <c r="C774" s="159"/>
      <c r="D774" s="159"/>
      <c r="E774" s="159"/>
      <c r="F774" s="159"/>
      <c r="G774" s="159"/>
      <c r="H774" s="159"/>
      <c r="I774" s="159"/>
      <c r="J774" s="159"/>
      <c r="K774" s="159"/>
      <c r="L774" s="159"/>
      <c r="M774" s="606"/>
      <c r="N774" s="159"/>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row>
    <row r="775">
      <c r="A775" s="159"/>
      <c r="B775" s="159"/>
      <c r="C775" s="159"/>
      <c r="D775" s="159"/>
      <c r="E775" s="159"/>
      <c r="F775" s="159"/>
      <c r="G775" s="159"/>
      <c r="H775" s="159"/>
      <c r="I775" s="159"/>
      <c r="J775" s="159"/>
      <c r="K775" s="159"/>
      <c r="L775" s="159"/>
      <c r="M775" s="606"/>
      <c r="N775" s="159"/>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row>
    <row r="776">
      <c r="A776" s="159"/>
      <c r="B776" s="159"/>
      <c r="C776" s="159"/>
      <c r="D776" s="159"/>
      <c r="E776" s="159"/>
      <c r="F776" s="159"/>
      <c r="G776" s="159"/>
      <c r="H776" s="159"/>
      <c r="I776" s="159"/>
      <c r="J776" s="159"/>
      <c r="K776" s="159"/>
      <c r="L776" s="159"/>
      <c r="M776" s="606"/>
      <c r="N776" s="159"/>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row>
    <row r="777">
      <c r="A777" s="159"/>
      <c r="B777" s="159"/>
      <c r="C777" s="159"/>
      <c r="D777" s="159"/>
      <c r="E777" s="159"/>
      <c r="F777" s="159"/>
      <c r="G777" s="159"/>
      <c r="H777" s="159"/>
      <c r="I777" s="159"/>
      <c r="J777" s="159"/>
      <c r="K777" s="159"/>
      <c r="L777" s="159"/>
      <c r="M777" s="606"/>
      <c r="N777" s="159"/>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row>
    <row r="778">
      <c r="A778" s="159"/>
      <c r="B778" s="159"/>
      <c r="C778" s="159"/>
      <c r="D778" s="159"/>
      <c r="E778" s="159"/>
      <c r="F778" s="159"/>
      <c r="G778" s="159"/>
      <c r="H778" s="159"/>
      <c r="I778" s="159"/>
      <c r="J778" s="159"/>
      <c r="K778" s="159"/>
      <c r="L778" s="159"/>
      <c r="M778" s="606"/>
      <c r="N778" s="159"/>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row>
    <row r="779">
      <c r="A779" s="159"/>
      <c r="B779" s="159"/>
      <c r="C779" s="159"/>
      <c r="D779" s="159"/>
      <c r="E779" s="159"/>
      <c r="F779" s="159"/>
      <c r="G779" s="159"/>
      <c r="H779" s="159"/>
      <c r="I779" s="159"/>
      <c r="J779" s="159"/>
      <c r="K779" s="159"/>
      <c r="L779" s="159"/>
      <c r="M779" s="606"/>
      <c r="N779" s="159"/>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row>
    <row r="780">
      <c r="A780" s="159"/>
      <c r="B780" s="159"/>
      <c r="C780" s="159"/>
      <c r="D780" s="159"/>
      <c r="E780" s="159"/>
      <c r="F780" s="159"/>
      <c r="G780" s="159"/>
      <c r="H780" s="159"/>
      <c r="I780" s="159"/>
      <c r="J780" s="159"/>
      <c r="K780" s="159"/>
      <c r="L780" s="159"/>
      <c r="M780" s="606"/>
      <c r="N780" s="159"/>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row>
    <row r="781">
      <c r="A781" s="159"/>
      <c r="B781" s="159"/>
      <c r="C781" s="159"/>
      <c r="D781" s="159"/>
      <c r="E781" s="159"/>
      <c r="F781" s="159"/>
      <c r="G781" s="159"/>
      <c r="H781" s="159"/>
      <c r="I781" s="159"/>
      <c r="J781" s="159"/>
      <c r="K781" s="159"/>
      <c r="L781" s="159"/>
      <c r="M781" s="606"/>
      <c r="N781" s="159"/>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row>
    <row r="782">
      <c r="A782" s="159"/>
      <c r="B782" s="159"/>
      <c r="C782" s="159"/>
      <c r="D782" s="159"/>
      <c r="E782" s="159"/>
      <c r="F782" s="159"/>
      <c r="G782" s="159"/>
      <c r="H782" s="159"/>
      <c r="I782" s="159"/>
      <c r="J782" s="159"/>
      <c r="K782" s="159"/>
      <c r="L782" s="159"/>
      <c r="M782" s="606"/>
      <c r="N782" s="159"/>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row>
    <row r="783">
      <c r="A783" s="159"/>
      <c r="B783" s="159"/>
      <c r="C783" s="159"/>
      <c r="D783" s="159"/>
      <c r="E783" s="159"/>
      <c r="F783" s="159"/>
      <c r="G783" s="159"/>
      <c r="H783" s="159"/>
      <c r="I783" s="159"/>
      <c r="J783" s="159"/>
      <c r="K783" s="159"/>
      <c r="L783" s="159"/>
      <c r="M783" s="606"/>
      <c r="N783" s="159"/>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row>
    <row r="784">
      <c r="A784" s="159"/>
      <c r="B784" s="159"/>
      <c r="C784" s="159"/>
      <c r="D784" s="159"/>
      <c r="E784" s="159"/>
      <c r="F784" s="159"/>
      <c r="G784" s="159"/>
      <c r="H784" s="159"/>
      <c r="I784" s="159"/>
      <c r="J784" s="159"/>
      <c r="K784" s="159"/>
      <c r="L784" s="159"/>
      <c r="M784" s="606"/>
      <c r="N784" s="159"/>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row>
    <row r="785">
      <c r="A785" s="159"/>
      <c r="B785" s="159"/>
      <c r="C785" s="159"/>
      <c r="D785" s="159"/>
      <c r="E785" s="159"/>
      <c r="F785" s="159"/>
      <c r="G785" s="159"/>
      <c r="H785" s="159"/>
      <c r="I785" s="159"/>
      <c r="J785" s="159"/>
      <c r="K785" s="159"/>
      <c r="L785" s="159"/>
      <c r="M785" s="606"/>
      <c r="N785" s="159"/>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row>
    <row r="786">
      <c r="A786" s="159"/>
      <c r="B786" s="159"/>
      <c r="C786" s="159"/>
      <c r="D786" s="159"/>
      <c r="E786" s="159"/>
      <c r="F786" s="159"/>
      <c r="G786" s="159"/>
      <c r="H786" s="159"/>
      <c r="I786" s="159"/>
      <c r="J786" s="159"/>
      <c r="K786" s="159"/>
      <c r="L786" s="159"/>
      <c r="M786" s="606"/>
      <c r="N786" s="159"/>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row>
    <row r="787">
      <c r="A787" s="159"/>
      <c r="B787" s="159"/>
      <c r="C787" s="159"/>
      <c r="D787" s="159"/>
      <c r="E787" s="159"/>
      <c r="F787" s="159"/>
      <c r="G787" s="159"/>
      <c r="H787" s="159"/>
      <c r="I787" s="159"/>
      <c r="J787" s="159"/>
      <c r="K787" s="159"/>
      <c r="L787" s="159"/>
      <c r="M787" s="606"/>
      <c r="N787" s="159"/>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row>
    <row r="788">
      <c r="A788" s="159"/>
      <c r="B788" s="159"/>
      <c r="C788" s="159"/>
      <c r="D788" s="159"/>
      <c r="E788" s="159"/>
      <c r="F788" s="159"/>
      <c r="G788" s="159"/>
      <c r="H788" s="159"/>
      <c r="I788" s="159"/>
      <c r="J788" s="159"/>
      <c r="K788" s="159"/>
      <c r="L788" s="159"/>
      <c r="M788" s="606"/>
      <c r="N788" s="159"/>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row>
    <row r="789">
      <c r="A789" s="159"/>
      <c r="B789" s="159"/>
      <c r="C789" s="159"/>
      <c r="D789" s="159"/>
      <c r="E789" s="159"/>
      <c r="F789" s="159"/>
      <c r="G789" s="159"/>
      <c r="H789" s="159"/>
      <c r="I789" s="159"/>
      <c r="J789" s="159"/>
      <c r="K789" s="159"/>
      <c r="L789" s="159"/>
      <c r="M789" s="606"/>
      <c r="N789" s="159"/>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row>
    <row r="790">
      <c r="A790" s="159"/>
      <c r="B790" s="159"/>
      <c r="C790" s="159"/>
      <c r="D790" s="159"/>
      <c r="E790" s="159"/>
      <c r="F790" s="159"/>
      <c r="G790" s="159"/>
      <c r="H790" s="159"/>
      <c r="I790" s="159"/>
      <c r="J790" s="159"/>
      <c r="K790" s="159"/>
      <c r="L790" s="159"/>
      <c r="M790" s="606"/>
      <c r="N790" s="159"/>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row>
    <row r="791">
      <c r="A791" s="159"/>
      <c r="B791" s="159"/>
      <c r="C791" s="159"/>
      <c r="D791" s="159"/>
      <c r="E791" s="159"/>
      <c r="F791" s="159"/>
      <c r="G791" s="159"/>
      <c r="H791" s="159"/>
      <c r="I791" s="159"/>
      <c r="J791" s="159"/>
      <c r="K791" s="159"/>
      <c r="L791" s="159"/>
      <c r="M791" s="606"/>
      <c r="N791" s="159"/>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row>
    <row r="792">
      <c r="A792" s="159"/>
      <c r="B792" s="159"/>
      <c r="C792" s="159"/>
      <c r="D792" s="159"/>
      <c r="E792" s="159"/>
      <c r="F792" s="159"/>
      <c r="G792" s="159"/>
      <c r="H792" s="159"/>
      <c r="I792" s="159"/>
      <c r="J792" s="159"/>
      <c r="K792" s="159"/>
      <c r="L792" s="159"/>
      <c r="M792" s="606"/>
      <c r="N792" s="159"/>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row>
    <row r="793">
      <c r="A793" s="159"/>
      <c r="B793" s="159"/>
      <c r="C793" s="159"/>
      <c r="D793" s="159"/>
      <c r="E793" s="159"/>
      <c r="F793" s="159"/>
      <c r="G793" s="159"/>
      <c r="H793" s="159"/>
      <c r="I793" s="159"/>
      <c r="J793" s="159"/>
      <c r="K793" s="159"/>
      <c r="L793" s="159"/>
      <c r="M793" s="606"/>
      <c r="N793" s="159"/>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row>
    <row r="794">
      <c r="A794" s="159"/>
      <c r="B794" s="159"/>
      <c r="C794" s="159"/>
      <c r="D794" s="159"/>
      <c r="E794" s="159"/>
      <c r="F794" s="159"/>
      <c r="G794" s="159"/>
      <c r="H794" s="159"/>
      <c r="I794" s="159"/>
      <c r="J794" s="159"/>
      <c r="K794" s="159"/>
      <c r="L794" s="159"/>
      <c r="M794" s="606"/>
      <c r="N794" s="159"/>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row>
    <row r="795">
      <c r="A795" s="159"/>
      <c r="B795" s="159"/>
      <c r="C795" s="159"/>
      <c r="D795" s="159"/>
      <c r="E795" s="159"/>
      <c r="F795" s="159"/>
      <c r="G795" s="159"/>
      <c r="H795" s="159"/>
      <c r="I795" s="159"/>
      <c r="J795" s="159"/>
      <c r="K795" s="159"/>
      <c r="L795" s="159"/>
      <c r="M795" s="606"/>
      <c r="N795" s="159"/>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row>
    <row r="796">
      <c r="A796" s="159"/>
      <c r="B796" s="159"/>
      <c r="C796" s="159"/>
      <c r="D796" s="159"/>
      <c r="E796" s="159"/>
      <c r="F796" s="159"/>
      <c r="G796" s="159"/>
      <c r="H796" s="159"/>
      <c r="I796" s="159"/>
      <c r="J796" s="159"/>
      <c r="K796" s="159"/>
      <c r="L796" s="159"/>
      <c r="M796" s="606"/>
      <c r="N796" s="159"/>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row>
    <row r="797">
      <c r="A797" s="159"/>
      <c r="B797" s="159"/>
      <c r="C797" s="159"/>
      <c r="D797" s="159"/>
      <c r="E797" s="159"/>
      <c r="F797" s="159"/>
      <c r="G797" s="159"/>
      <c r="H797" s="159"/>
      <c r="I797" s="159"/>
      <c r="J797" s="159"/>
      <c r="K797" s="159"/>
      <c r="L797" s="159"/>
      <c r="M797" s="606"/>
      <c r="N797" s="159"/>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row>
    <row r="798">
      <c r="A798" s="159"/>
      <c r="B798" s="159"/>
      <c r="C798" s="159"/>
      <c r="D798" s="159"/>
      <c r="E798" s="159"/>
      <c r="F798" s="159"/>
      <c r="G798" s="159"/>
      <c r="H798" s="159"/>
      <c r="I798" s="159"/>
      <c r="J798" s="159"/>
      <c r="K798" s="159"/>
      <c r="L798" s="159"/>
      <c r="M798" s="606"/>
      <c r="N798" s="159"/>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row>
    <row r="799">
      <c r="A799" s="159"/>
      <c r="B799" s="159"/>
      <c r="C799" s="159"/>
      <c r="D799" s="159"/>
      <c r="E799" s="159"/>
      <c r="F799" s="159"/>
      <c r="G799" s="159"/>
      <c r="H799" s="159"/>
      <c r="I799" s="159"/>
      <c r="J799" s="159"/>
      <c r="K799" s="159"/>
      <c r="L799" s="159"/>
      <c r="M799" s="606"/>
      <c r="N799" s="159"/>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row>
    <row r="800">
      <c r="A800" s="159"/>
      <c r="B800" s="159"/>
      <c r="C800" s="159"/>
      <c r="D800" s="159"/>
      <c r="E800" s="159"/>
      <c r="F800" s="159"/>
      <c r="G800" s="159"/>
      <c r="H800" s="159"/>
      <c r="I800" s="159"/>
      <c r="J800" s="159"/>
      <c r="K800" s="159"/>
      <c r="L800" s="159"/>
      <c r="M800" s="606"/>
      <c r="N800" s="159"/>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row>
    <row r="801">
      <c r="A801" s="159"/>
      <c r="B801" s="159"/>
      <c r="C801" s="159"/>
      <c r="D801" s="159"/>
      <c r="E801" s="159"/>
      <c r="F801" s="159"/>
      <c r="G801" s="159"/>
      <c r="H801" s="159"/>
      <c r="I801" s="159"/>
      <c r="J801" s="159"/>
      <c r="K801" s="159"/>
      <c r="L801" s="159"/>
      <c r="M801" s="606"/>
      <c r="N801" s="159"/>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row>
    <row r="802">
      <c r="A802" s="159"/>
      <c r="B802" s="159"/>
      <c r="C802" s="159"/>
      <c r="D802" s="159"/>
      <c r="E802" s="159"/>
      <c r="F802" s="159"/>
      <c r="G802" s="159"/>
      <c r="H802" s="159"/>
      <c r="I802" s="159"/>
      <c r="J802" s="159"/>
      <c r="K802" s="159"/>
      <c r="L802" s="159"/>
      <c r="M802" s="606"/>
      <c r="N802" s="159"/>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row>
    <row r="803">
      <c r="A803" s="159"/>
      <c r="B803" s="159"/>
      <c r="C803" s="159"/>
      <c r="D803" s="159"/>
      <c r="E803" s="159"/>
      <c r="F803" s="159"/>
      <c r="G803" s="159"/>
      <c r="H803" s="159"/>
      <c r="I803" s="159"/>
      <c r="J803" s="159"/>
      <c r="K803" s="159"/>
      <c r="L803" s="159"/>
      <c r="M803" s="606"/>
      <c r="N803" s="159"/>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row>
    <row r="804">
      <c r="A804" s="159"/>
      <c r="B804" s="159"/>
      <c r="C804" s="159"/>
      <c r="D804" s="159"/>
      <c r="E804" s="159"/>
      <c r="F804" s="159"/>
      <c r="G804" s="159"/>
      <c r="H804" s="159"/>
      <c r="I804" s="159"/>
      <c r="J804" s="159"/>
      <c r="K804" s="159"/>
      <c r="L804" s="159"/>
      <c r="M804" s="606"/>
      <c r="N804" s="159"/>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row>
    <row r="805">
      <c r="A805" s="159"/>
      <c r="B805" s="159"/>
      <c r="C805" s="159"/>
      <c r="D805" s="159"/>
      <c r="E805" s="159"/>
      <c r="F805" s="159"/>
      <c r="G805" s="159"/>
      <c r="H805" s="159"/>
      <c r="I805" s="159"/>
      <c r="J805" s="159"/>
      <c r="K805" s="159"/>
      <c r="L805" s="159"/>
      <c r="M805" s="606"/>
      <c r="N805" s="159"/>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row>
    <row r="806">
      <c r="A806" s="159"/>
      <c r="B806" s="159"/>
      <c r="C806" s="159"/>
      <c r="D806" s="159"/>
      <c r="E806" s="159"/>
      <c r="F806" s="159"/>
      <c r="G806" s="159"/>
      <c r="H806" s="159"/>
      <c r="I806" s="159"/>
      <c r="J806" s="159"/>
      <c r="K806" s="159"/>
      <c r="L806" s="159"/>
      <c r="M806" s="606"/>
      <c r="N806" s="159"/>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row>
    <row r="807">
      <c r="A807" s="159"/>
      <c r="B807" s="159"/>
      <c r="C807" s="159"/>
      <c r="D807" s="159"/>
      <c r="E807" s="159"/>
      <c r="F807" s="159"/>
      <c r="G807" s="159"/>
      <c r="H807" s="159"/>
      <c r="I807" s="159"/>
      <c r="J807" s="159"/>
      <c r="K807" s="159"/>
      <c r="L807" s="159"/>
      <c r="M807" s="606"/>
      <c r="N807" s="159"/>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row>
    <row r="808">
      <c r="A808" s="159"/>
      <c r="B808" s="159"/>
      <c r="C808" s="159"/>
      <c r="D808" s="159"/>
      <c r="E808" s="159"/>
      <c r="F808" s="159"/>
      <c r="G808" s="159"/>
      <c r="H808" s="159"/>
      <c r="I808" s="159"/>
      <c r="J808" s="159"/>
      <c r="K808" s="159"/>
      <c r="L808" s="159"/>
      <c r="M808" s="606"/>
      <c r="N808" s="159"/>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row>
    <row r="809">
      <c r="A809" s="159"/>
      <c r="B809" s="159"/>
      <c r="C809" s="159"/>
      <c r="D809" s="159"/>
      <c r="E809" s="159"/>
      <c r="F809" s="159"/>
      <c r="G809" s="159"/>
      <c r="H809" s="159"/>
      <c r="I809" s="159"/>
      <c r="J809" s="159"/>
      <c r="K809" s="159"/>
      <c r="L809" s="159"/>
      <c r="M809" s="606"/>
      <c r="N809" s="159"/>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row>
    <row r="810">
      <c r="A810" s="159"/>
      <c r="B810" s="159"/>
      <c r="C810" s="159"/>
      <c r="D810" s="159"/>
      <c r="E810" s="159"/>
      <c r="F810" s="159"/>
      <c r="G810" s="159"/>
      <c r="H810" s="159"/>
      <c r="I810" s="159"/>
      <c r="J810" s="159"/>
      <c r="K810" s="159"/>
      <c r="L810" s="159"/>
      <c r="M810" s="606"/>
      <c r="N810" s="159"/>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row>
    <row r="811">
      <c r="A811" s="159"/>
      <c r="B811" s="159"/>
      <c r="C811" s="159"/>
      <c r="D811" s="159"/>
      <c r="E811" s="159"/>
      <c r="F811" s="159"/>
      <c r="G811" s="159"/>
      <c r="H811" s="159"/>
      <c r="I811" s="159"/>
      <c r="J811" s="159"/>
      <c r="K811" s="159"/>
      <c r="L811" s="159"/>
      <c r="M811" s="606"/>
      <c r="N811" s="159"/>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row>
    <row r="812">
      <c r="A812" s="159"/>
      <c r="B812" s="159"/>
      <c r="C812" s="159"/>
      <c r="D812" s="159"/>
      <c r="E812" s="159"/>
      <c r="F812" s="159"/>
      <c r="G812" s="159"/>
      <c r="H812" s="159"/>
      <c r="I812" s="159"/>
      <c r="J812" s="159"/>
      <c r="K812" s="159"/>
      <c r="L812" s="159"/>
      <c r="M812" s="606"/>
      <c r="N812" s="159"/>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row>
    <row r="813">
      <c r="A813" s="159"/>
      <c r="B813" s="159"/>
      <c r="C813" s="159"/>
      <c r="D813" s="159"/>
      <c r="E813" s="159"/>
      <c r="F813" s="159"/>
      <c r="G813" s="159"/>
      <c r="H813" s="159"/>
      <c r="I813" s="159"/>
      <c r="J813" s="159"/>
      <c r="K813" s="159"/>
      <c r="L813" s="159"/>
      <c r="M813" s="606"/>
      <c r="N813" s="159"/>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row>
    <row r="814">
      <c r="A814" s="159"/>
      <c r="B814" s="159"/>
      <c r="C814" s="159"/>
      <c r="D814" s="159"/>
      <c r="E814" s="159"/>
      <c r="F814" s="159"/>
      <c r="G814" s="159"/>
      <c r="H814" s="159"/>
      <c r="I814" s="159"/>
      <c r="J814" s="159"/>
      <c r="K814" s="159"/>
      <c r="L814" s="159"/>
      <c r="M814" s="606"/>
      <c r="N814" s="159"/>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row>
    <row r="815">
      <c r="A815" s="159"/>
      <c r="B815" s="159"/>
      <c r="C815" s="159"/>
      <c r="D815" s="159"/>
      <c r="E815" s="159"/>
      <c r="F815" s="159"/>
      <c r="G815" s="159"/>
      <c r="H815" s="159"/>
      <c r="I815" s="159"/>
      <c r="J815" s="159"/>
      <c r="K815" s="159"/>
      <c r="L815" s="159"/>
      <c r="M815" s="606"/>
      <c r="N815" s="159"/>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row>
    <row r="816">
      <c r="A816" s="159"/>
      <c r="B816" s="159"/>
      <c r="C816" s="159"/>
      <c r="D816" s="159"/>
      <c r="E816" s="159"/>
      <c r="F816" s="159"/>
      <c r="G816" s="159"/>
      <c r="H816" s="159"/>
      <c r="I816" s="159"/>
      <c r="J816" s="159"/>
      <c r="K816" s="159"/>
      <c r="L816" s="159"/>
      <c r="M816" s="606"/>
      <c r="N816" s="159"/>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row>
    <row r="817">
      <c r="A817" s="159"/>
      <c r="B817" s="159"/>
      <c r="C817" s="159"/>
      <c r="D817" s="159"/>
      <c r="E817" s="159"/>
      <c r="F817" s="159"/>
      <c r="G817" s="159"/>
      <c r="H817" s="159"/>
      <c r="I817" s="159"/>
      <c r="J817" s="159"/>
      <c r="K817" s="159"/>
      <c r="L817" s="159"/>
      <c r="M817" s="606"/>
      <c r="N817" s="159"/>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row>
    <row r="818">
      <c r="A818" s="159"/>
      <c r="B818" s="159"/>
      <c r="C818" s="159"/>
      <c r="D818" s="159"/>
      <c r="E818" s="159"/>
      <c r="F818" s="159"/>
      <c r="G818" s="159"/>
      <c r="H818" s="159"/>
      <c r="I818" s="159"/>
      <c r="J818" s="159"/>
      <c r="K818" s="159"/>
      <c r="L818" s="159"/>
      <c r="M818" s="606"/>
      <c r="N818" s="159"/>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row>
    <row r="819">
      <c r="A819" s="159"/>
      <c r="B819" s="159"/>
      <c r="C819" s="159"/>
      <c r="D819" s="159"/>
      <c r="E819" s="159"/>
      <c r="F819" s="159"/>
      <c r="G819" s="159"/>
      <c r="H819" s="159"/>
      <c r="I819" s="159"/>
      <c r="J819" s="159"/>
      <c r="K819" s="159"/>
      <c r="L819" s="159"/>
      <c r="M819" s="606"/>
      <c r="N819" s="159"/>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row>
    <row r="820">
      <c r="A820" s="159"/>
      <c r="B820" s="159"/>
      <c r="C820" s="159"/>
      <c r="D820" s="159"/>
      <c r="E820" s="159"/>
      <c r="F820" s="159"/>
      <c r="G820" s="159"/>
      <c r="H820" s="159"/>
      <c r="I820" s="159"/>
      <c r="J820" s="159"/>
      <c r="K820" s="159"/>
      <c r="L820" s="159"/>
      <c r="M820" s="606"/>
      <c r="N820" s="159"/>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row>
    <row r="821">
      <c r="A821" s="159"/>
      <c r="B821" s="159"/>
      <c r="C821" s="159"/>
      <c r="D821" s="159"/>
      <c r="E821" s="159"/>
      <c r="F821" s="159"/>
      <c r="G821" s="159"/>
      <c r="H821" s="159"/>
      <c r="I821" s="159"/>
      <c r="J821" s="159"/>
      <c r="K821" s="159"/>
      <c r="L821" s="159"/>
      <c r="M821" s="606"/>
      <c r="N821" s="159"/>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row>
    <row r="822">
      <c r="A822" s="159"/>
      <c r="B822" s="159"/>
      <c r="C822" s="159"/>
      <c r="D822" s="159"/>
      <c r="E822" s="159"/>
      <c r="F822" s="159"/>
      <c r="G822" s="159"/>
      <c r="H822" s="159"/>
      <c r="I822" s="159"/>
      <c r="J822" s="159"/>
      <c r="K822" s="159"/>
      <c r="L822" s="159"/>
      <c r="M822" s="606"/>
      <c r="N822" s="159"/>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row>
    <row r="823">
      <c r="A823" s="159"/>
      <c r="B823" s="159"/>
      <c r="C823" s="159"/>
      <c r="D823" s="159"/>
      <c r="E823" s="159"/>
      <c r="F823" s="159"/>
      <c r="G823" s="159"/>
      <c r="H823" s="159"/>
      <c r="I823" s="159"/>
      <c r="J823" s="159"/>
      <c r="K823" s="159"/>
      <c r="L823" s="159"/>
      <c r="M823" s="606"/>
      <c r="N823" s="159"/>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row>
    <row r="824">
      <c r="A824" s="159"/>
      <c r="B824" s="159"/>
      <c r="C824" s="159"/>
      <c r="D824" s="159"/>
      <c r="E824" s="159"/>
      <c r="F824" s="159"/>
      <c r="G824" s="159"/>
      <c r="H824" s="159"/>
      <c r="I824" s="159"/>
      <c r="J824" s="159"/>
      <c r="K824" s="159"/>
      <c r="L824" s="159"/>
      <c r="M824" s="606"/>
      <c r="N824" s="159"/>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row>
    <row r="825">
      <c r="A825" s="159"/>
      <c r="B825" s="159"/>
      <c r="C825" s="159"/>
      <c r="D825" s="159"/>
      <c r="E825" s="159"/>
      <c r="F825" s="159"/>
      <c r="G825" s="159"/>
      <c r="H825" s="159"/>
      <c r="I825" s="159"/>
      <c r="J825" s="159"/>
      <c r="K825" s="159"/>
      <c r="L825" s="159"/>
      <c r="M825" s="606"/>
      <c r="N825" s="159"/>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row>
    <row r="826">
      <c r="A826" s="159"/>
      <c r="B826" s="159"/>
      <c r="C826" s="159"/>
      <c r="D826" s="159"/>
      <c r="E826" s="159"/>
      <c r="F826" s="159"/>
      <c r="G826" s="159"/>
      <c r="H826" s="159"/>
      <c r="I826" s="159"/>
      <c r="J826" s="159"/>
      <c r="K826" s="159"/>
      <c r="L826" s="159"/>
      <c r="M826" s="606"/>
      <c r="N826" s="159"/>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row>
    <row r="827">
      <c r="A827" s="159"/>
      <c r="B827" s="159"/>
      <c r="C827" s="159"/>
      <c r="D827" s="159"/>
      <c r="E827" s="159"/>
      <c r="F827" s="159"/>
      <c r="G827" s="159"/>
      <c r="H827" s="159"/>
      <c r="I827" s="159"/>
      <c r="J827" s="159"/>
      <c r="K827" s="159"/>
      <c r="L827" s="159"/>
      <c r="M827" s="606"/>
      <c r="N827" s="159"/>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row>
    <row r="828">
      <c r="A828" s="159"/>
      <c r="B828" s="159"/>
      <c r="C828" s="159"/>
      <c r="D828" s="159"/>
      <c r="E828" s="159"/>
      <c r="F828" s="159"/>
      <c r="G828" s="159"/>
      <c r="H828" s="159"/>
      <c r="I828" s="159"/>
      <c r="J828" s="159"/>
      <c r="K828" s="159"/>
      <c r="L828" s="159"/>
      <c r="M828" s="606"/>
      <c r="N828" s="159"/>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row>
    <row r="829">
      <c r="A829" s="159"/>
      <c r="B829" s="159"/>
      <c r="C829" s="159"/>
      <c r="D829" s="159"/>
      <c r="E829" s="159"/>
      <c r="F829" s="159"/>
      <c r="G829" s="159"/>
      <c r="H829" s="159"/>
      <c r="I829" s="159"/>
      <c r="J829" s="159"/>
      <c r="K829" s="159"/>
      <c r="L829" s="159"/>
      <c r="M829" s="606"/>
      <c r="N829" s="159"/>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row>
    <row r="830">
      <c r="A830" s="159"/>
      <c r="B830" s="159"/>
      <c r="C830" s="159"/>
      <c r="D830" s="159"/>
      <c r="E830" s="159"/>
      <c r="F830" s="159"/>
      <c r="G830" s="159"/>
      <c r="H830" s="159"/>
      <c r="I830" s="159"/>
      <c r="J830" s="159"/>
      <c r="K830" s="159"/>
      <c r="L830" s="159"/>
      <c r="M830" s="606"/>
      <c r="N830" s="159"/>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row>
    <row r="831">
      <c r="A831" s="159"/>
      <c r="B831" s="159"/>
      <c r="C831" s="159"/>
      <c r="D831" s="159"/>
      <c r="E831" s="159"/>
      <c r="F831" s="159"/>
      <c r="G831" s="159"/>
      <c r="H831" s="159"/>
      <c r="I831" s="159"/>
      <c r="J831" s="159"/>
      <c r="K831" s="159"/>
      <c r="L831" s="159"/>
      <c r="M831" s="606"/>
      <c r="N831" s="159"/>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row>
    <row r="832">
      <c r="A832" s="159"/>
      <c r="B832" s="159"/>
      <c r="C832" s="159"/>
      <c r="D832" s="159"/>
      <c r="E832" s="159"/>
      <c r="F832" s="159"/>
      <c r="G832" s="159"/>
      <c r="H832" s="159"/>
      <c r="I832" s="159"/>
      <c r="J832" s="159"/>
      <c r="K832" s="159"/>
      <c r="L832" s="159"/>
      <c r="M832" s="606"/>
      <c r="N832" s="159"/>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row>
    <row r="833">
      <c r="A833" s="159"/>
      <c r="B833" s="159"/>
      <c r="C833" s="159"/>
      <c r="D833" s="159"/>
      <c r="E833" s="159"/>
      <c r="F833" s="159"/>
      <c r="G833" s="159"/>
      <c r="H833" s="159"/>
      <c r="I833" s="159"/>
      <c r="J833" s="159"/>
      <c r="K833" s="159"/>
      <c r="L833" s="159"/>
      <c r="M833" s="606"/>
      <c r="N833" s="159"/>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row>
    <row r="834">
      <c r="A834" s="159"/>
      <c r="B834" s="159"/>
      <c r="C834" s="159"/>
      <c r="D834" s="159"/>
      <c r="E834" s="159"/>
      <c r="F834" s="159"/>
      <c r="G834" s="159"/>
      <c r="H834" s="159"/>
      <c r="I834" s="159"/>
      <c r="J834" s="159"/>
      <c r="K834" s="159"/>
      <c r="L834" s="159"/>
      <c r="M834" s="606"/>
      <c r="N834" s="159"/>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row>
    <row r="835">
      <c r="A835" s="159"/>
      <c r="B835" s="159"/>
      <c r="C835" s="159"/>
      <c r="D835" s="159"/>
      <c r="E835" s="159"/>
      <c r="F835" s="159"/>
      <c r="G835" s="159"/>
      <c r="H835" s="159"/>
      <c r="I835" s="159"/>
      <c r="J835" s="159"/>
      <c r="K835" s="159"/>
      <c r="L835" s="159"/>
      <c r="M835" s="606"/>
      <c r="N835" s="159"/>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row>
    <row r="836">
      <c r="A836" s="159"/>
      <c r="B836" s="159"/>
      <c r="C836" s="159"/>
      <c r="D836" s="159"/>
      <c r="E836" s="159"/>
      <c r="F836" s="159"/>
      <c r="G836" s="159"/>
      <c r="H836" s="159"/>
      <c r="I836" s="159"/>
      <c r="J836" s="159"/>
      <c r="K836" s="159"/>
      <c r="L836" s="159"/>
      <c r="M836" s="606"/>
      <c r="N836" s="159"/>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row>
    <row r="837">
      <c r="A837" s="159"/>
      <c r="B837" s="159"/>
      <c r="C837" s="159"/>
      <c r="D837" s="159"/>
      <c r="E837" s="159"/>
      <c r="F837" s="159"/>
      <c r="G837" s="159"/>
      <c r="H837" s="159"/>
      <c r="I837" s="159"/>
      <c r="J837" s="159"/>
      <c r="K837" s="159"/>
      <c r="L837" s="159"/>
      <c r="M837" s="606"/>
      <c r="N837" s="159"/>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row>
    <row r="838">
      <c r="A838" s="159"/>
      <c r="B838" s="159"/>
      <c r="C838" s="159"/>
      <c r="D838" s="159"/>
      <c r="E838" s="159"/>
      <c r="F838" s="159"/>
      <c r="G838" s="159"/>
      <c r="H838" s="159"/>
      <c r="I838" s="159"/>
      <c r="J838" s="159"/>
      <c r="K838" s="159"/>
      <c r="L838" s="159"/>
      <c r="M838" s="606"/>
      <c r="N838" s="159"/>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row>
    <row r="839">
      <c r="A839" s="159"/>
      <c r="B839" s="159"/>
      <c r="C839" s="159"/>
      <c r="D839" s="159"/>
      <c r="E839" s="159"/>
      <c r="F839" s="159"/>
      <c r="G839" s="159"/>
      <c r="H839" s="159"/>
      <c r="I839" s="159"/>
      <c r="J839" s="159"/>
      <c r="K839" s="159"/>
      <c r="L839" s="159"/>
      <c r="M839" s="606"/>
      <c r="N839" s="159"/>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row>
    <row r="840">
      <c r="A840" s="159"/>
      <c r="B840" s="159"/>
      <c r="C840" s="159"/>
      <c r="D840" s="159"/>
      <c r="E840" s="159"/>
      <c r="F840" s="159"/>
      <c r="G840" s="159"/>
      <c r="H840" s="159"/>
      <c r="I840" s="159"/>
      <c r="J840" s="159"/>
      <c r="K840" s="159"/>
      <c r="L840" s="159"/>
      <c r="M840" s="606"/>
      <c r="N840" s="159"/>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row>
    <row r="841">
      <c r="A841" s="159"/>
      <c r="B841" s="159"/>
      <c r="C841" s="159"/>
      <c r="D841" s="159"/>
      <c r="E841" s="159"/>
      <c r="F841" s="159"/>
      <c r="G841" s="159"/>
      <c r="H841" s="159"/>
      <c r="I841" s="159"/>
      <c r="J841" s="159"/>
      <c r="K841" s="159"/>
      <c r="L841" s="159"/>
      <c r="M841" s="606"/>
      <c r="N841" s="159"/>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row>
    <row r="842">
      <c r="A842" s="159"/>
      <c r="B842" s="159"/>
      <c r="C842" s="159"/>
      <c r="D842" s="159"/>
      <c r="E842" s="159"/>
      <c r="F842" s="159"/>
      <c r="G842" s="159"/>
      <c r="H842" s="159"/>
      <c r="I842" s="159"/>
      <c r="J842" s="159"/>
      <c r="K842" s="159"/>
      <c r="L842" s="159"/>
      <c r="M842" s="606"/>
      <c r="N842" s="159"/>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row>
    <row r="843">
      <c r="A843" s="159"/>
      <c r="B843" s="159"/>
      <c r="C843" s="159"/>
      <c r="D843" s="159"/>
      <c r="E843" s="159"/>
      <c r="F843" s="159"/>
      <c r="G843" s="159"/>
      <c r="H843" s="159"/>
      <c r="I843" s="159"/>
      <c r="J843" s="159"/>
      <c r="K843" s="159"/>
      <c r="L843" s="159"/>
      <c r="M843" s="606"/>
      <c r="N843" s="159"/>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row>
    <row r="844">
      <c r="A844" s="159"/>
      <c r="B844" s="159"/>
      <c r="C844" s="159"/>
      <c r="D844" s="159"/>
      <c r="E844" s="159"/>
      <c r="F844" s="159"/>
      <c r="G844" s="159"/>
      <c r="H844" s="159"/>
      <c r="I844" s="159"/>
      <c r="J844" s="159"/>
      <c r="K844" s="159"/>
      <c r="L844" s="159"/>
      <c r="M844" s="606"/>
      <c r="N844" s="159"/>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row>
    <row r="845">
      <c r="A845" s="159"/>
      <c r="B845" s="159"/>
      <c r="C845" s="159"/>
      <c r="D845" s="159"/>
      <c r="E845" s="159"/>
      <c r="F845" s="159"/>
      <c r="G845" s="159"/>
      <c r="H845" s="159"/>
      <c r="I845" s="159"/>
      <c r="J845" s="159"/>
      <c r="K845" s="159"/>
      <c r="L845" s="159"/>
      <c r="M845" s="606"/>
      <c r="N845" s="159"/>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row>
    <row r="846">
      <c r="A846" s="159"/>
      <c r="B846" s="159"/>
      <c r="C846" s="159"/>
      <c r="D846" s="159"/>
      <c r="E846" s="159"/>
      <c r="F846" s="159"/>
      <c r="G846" s="159"/>
      <c r="H846" s="159"/>
      <c r="I846" s="159"/>
      <c r="J846" s="159"/>
      <c r="K846" s="159"/>
      <c r="L846" s="159"/>
      <c r="M846" s="606"/>
      <c r="N846" s="159"/>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row>
    <row r="847">
      <c r="A847" s="159"/>
      <c r="B847" s="159"/>
      <c r="C847" s="159"/>
      <c r="D847" s="159"/>
      <c r="E847" s="159"/>
      <c r="F847" s="159"/>
      <c r="G847" s="159"/>
      <c r="H847" s="159"/>
      <c r="I847" s="159"/>
      <c r="J847" s="159"/>
      <c r="K847" s="159"/>
      <c r="L847" s="159"/>
      <c r="M847" s="606"/>
      <c r="N847" s="159"/>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row>
    <row r="848">
      <c r="A848" s="159"/>
      <c r="B848" s="159"/>
      <c r="C848" s="159"/>
      <c r="D848" s="159"/>
      <c r="E848" s="159"/>
      <c r="F848" s="159"/>
      <c r="G848" s="159"/>
      <c r="H848" s="159"/>
      <c r="I848" s="159"/>
      <c r="J848" s="159"/>
      <c r="K848" s="159"/>
      <c r="L848" s="159"/>
      <c r="M848" s="606"/>
      <c r="N848" s="159"/>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row>
    <row r="849">
      <c r="A849" s="159"/>
      <c r="B849" s="159"/>
      <c r="C849" s="159"/>
      <c r="D849" s="159"/>
      <c r="E849" s="159"/>
      <c r="F849" s="159"/>
      <c r="G849" s="159"/>
      <c r="H849" s="159"/>
      <c r="I849" s="159"/>
      <c r="J849" s="159"/>
      <c r="K849" s="159"/>
      <c r="L849" s="159"/>
      <c r="M849" s="606"/>
      <c r="N849" s="159"/>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row>
    <row r="850">
      <c r="A850" s="159"/>
      <c r="B850" s="159"/>
      <c r="C850" s="159"/>
      <c r="D850" s="159"/>
      <c r="E850" s="159"/>
      <c r="F850" s="159"/>
      <c r="G850" s="159"/>
      <c r="H850" s="159"/>
      <c r="I850" s="159"/>
      <c r="J850" s="159"/>
      <c r="K850" s="159"/>
      <c r="L850" s="159"/>
      <c r="M850" s="606"/>
      <c r="N850" s="159"/>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row>
    <row r="851">
      <c r="A851" s="159"/>
      <c r="B851" s="159"/>
      <c r="C851" s="159"/>
      <c r="D851" s="159"/>
      <c r="E851" s="159"/>
      <c r="F851" s="159"/>
      <c r="G851" s="159"/>
      <c r="H851" s="159"/>
      <c r="I851" s="159"/>
      <c r="J851" s="159"/>
      <c r="K851" s="159"/>
      <c r="L851" s="159"/>
      <c r="M851" s="606"/>
      <c r="N851" s="159"/>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row>
    <row r="852">
      <c r="A852" s="159"/>
      <c r="B852" s="159"/>
      <c r="C852" s="159"/>
      <c r="D852" s="159"/>
      <c r="E852" s="159"/>
      <c r="F852" s="159"/>
      <c r="G852" s="159"/>
      <c r="H852" s="159"/>
      <c r="I852" s="159"/>
      <c r="J852" s="159"/>
      <c r="K852" s="159"/>
      <c r="L852" s="159"/>
      <c r="M852" s="606"/>
      <c r="N852" s="159"/>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row>
    <row r="853">
      <c r="A853" s="159"/>
      <c r="B853" s="159"/>
      <c r="C853" s="159"/>
      <c r="D853" s="159"/>
      <c r="E853" s="159"/>
      <c r="F853" s="159"/>
      <c r="G853" s="159"/>
      <c r="H853" s="159"/>
      <c r="I853" s="159"/>
      <c r="J853" s="159"/>
      <c r="K853" s="159"/>
      <c r="L853" s="159"/>
      <c r="M853" s="606"/>
      <c r="N853" s="159"/>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row>
    <row r="854">
      <c r="A854" s="159"/>
      <c r="B854" s="159"/>
      <c r="C854" s="159"/>
      <c r="D854" s="159"/>
      <c r="E854" s="159"/>
      <c r="F854" s="159"/>
      <c r="G854" s="159"/>
      <c r="H854" s="159"/>
      <c r="I854" s="159"/>
      <c r="J854" s="159"/>
      <c r="K854" s="159"/>
      <c r="L854" s="159"/>
      <c r="M854" s="606"/>
      <c r="N854" s="159"/>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row>
    <row r="855">
      <c r="A855" s="159"/>
      <c r="B855" s="159"/>
      <c r="C855" s="159"/>
      <c r="D855" s="159"/>
      <c r="E855" s="159"/>
      <c r="F855" s="159"/>
      <c r="G855" s="159"/>
      <c r="H855" s="159"/>
      <c r="I855" s="159"/>
      <c r="J855" s="159"/>
      <c r="K855" s="159"/>
      <c r="L855" s="159"/>
      <c r="M855" s="606"/>
      <c r="N855" s="159"/>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row>
    <row r="856">
      <c r="A856" s="159"/>
      <c r="B856" s="159"/>
      <c r="C856" s="159"/>
      <c r="D856" s="159"/>
      <c r="E856" s="159"/>
      <c r="F856" s="159"/>
      <c r="G856" s="159"/>
      <c r="H856" s="159"/>
      <c r="I856" s="159"/>
      <c r="J856" s="159"/>
      <c r="K856" s="159"/>
      <c r="L856" s="159"/>
      <c r="M856" s="606"/>
      <c r="N856" s="159"/>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row>
    <row r="857">
      <c r="A857" s="159"/>
      <c r="B857" s="159"/>
      <c r="C857" s="159"/>
      <c r="D857" s="159"/>
      <c r="E857" s="159"/>
      <c r="F857" s="159"/>
      <c r="G857" s="159"/>
      <c r="H857" s="159"/>
      <c r="I857" s="159"/>
      <c r="J857" s="159"/>
      <c r="K857" s="159"/>
      <c r="L857" s="159"/>
      <c r="M857" s="606"/>
      <c r="N857" s="159"/>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row>
    <row r="858">
      <c r="A858" s="159"/>
      <c r="B858" s="159"/>
      <c r="C858" s="159"/>
      <c r="D858" s="159"/>
      <c r="E858" s="159"/>
      <c r="F858" s="159"/>
      <c r="G858" s="159"/>
      <c r="H858" s="159"/>
      <c r="I858" s="159"/>
      <c r="J858" s="159"/>
      <c r="K858" s="159"/>
      <c r="L858" s="159"/>
      <c r="M858" s="606"/>
      <c r="N858" s="159"/>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row>
    <row r="859">
      <c r="A859" s="159"/>
      <c r="B859" s="159"/>
      <c r="C859" s="159"/>
      <c r="D859" s="159"/>
      <c r="E859" s="159"/>
      <c r="F859" s="159"/>
      <c r="G859" s="159"/>
      <c r="H859" s="159"/>
      <c r="I859" s="159"/>
      <c r="J859" s="159"/>
      <c r="K859" s="159"/>
      <c r="L859" s="159"/>
      <c r="M859" s="606"/>
      <c r="N859" s="159"/>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row>
    <row r="860">
      <c r="A860" s="159"/>
      <c r="B860" s="159"/>
      <c r="C860" s="159"/>
      <c r="D860" s="159"/>
      <c r="E860" s="159"/>
      <c r="F860" s="159"/>
      <c r="G860" s="159"/>
      <c r="H860" s="159"/>
      <c r="I860" s="159"/>
      <c r="J860" s="159"/>
      <c r="K860" s="159"/>
      <c r="L860" s="159"/>
      <c r="M860" s="606"/>
      <c r="N860" s="159"/>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row>
    <row r="861">
      <c r="A861" s="159"/>
      <c r="B861" s="159"/>
      <c r="C861" s="159"/>
      <c r="D861" s="159"/>
      <c r="E861" s="159"/>
      <c r="F861" s="159"/>
      <c r="G861" s="159"/>
      <c r="H861" s="159"/>
      <c r="I861" s="159"/>
      <c r="J861" s="159"/>
      <c r="K861" s="159"/>
      <c r="L861" s="159"/>
      <c r="M861" s="606"/>
      <c r="N861" s="159"/>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row>
    <row r="862">
      <c r="A862" s="159"/>
      <c r="B862" s="159"/>
      <c r="C862" s="159"/>
      <c r="D862" s="159"/>
      <c r="E862" s="159"/>
      <c r="F862" s="159"/>
      <c r="G862" s="159"/>
      <c r="H862" s="159"/>
      <c r="I862" s="159"/>
      <c r="J862" s="159"/>
      <c r="K862" s="159"/>
      <c r="L862" s="159"/>
      <c r="M862" s="606"/>
      <c r="N862" s="159"/>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row>
    <row r="863">
      <c r="A863" s="159"/>
      <c r="B863" s="159"/>
      <c r="C863" s="159"/>
      <c r="D863" s="159"/>
      <c r="E863" s="159"/>
      <c r="F863" s="159"/>
      <c r="G863" s="159"/>
      <c r="H863" s="159"/>
      <c r="I863" s="159"/>
      <c r="J863" s="159"/>
      <c r="K863" s="159"/>
      <c r="L863" s="159"/>
      <c r="M863" s="606"/>
      <c r="N863" s="159"/>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row>
    <row r="864">
      <c r="A864" s="159"/>
      <c r="B864" s="159"/>
      <c r="C864" s="159"/>
      <c r="D864" s="159"/>
      <c r="E864" s="159"/>
      <c r="F864" s="159"/>
      <c r="G864" s="159"/>
      <c r="H864" s="159"/>
      <c r="I864" s="159"/>
      <c r="J864" s="159"/>
      <c r="K864" s="159"/>
      <c r="L864" s="159"/>
      <c r="M864" s="606"/>
      <c r="N864" s="159"/>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row>
    <row r="865">
      <c r="A865" s="159"/>
      <c r="B865" s="159"/>
      <c r="C865" s="159"/>
      <c r="D865" s="159"/>
      <c r="E865" s="159"/>
      <c r="F865" s="159"/>
      <c r="G865" s="159"/>
      <c r="H865" s="159"/>
      <c r="I865" s="159"/>
      <c r="J865" s="159"/>
      <c r="K865" s="159"/>
      <c r="L865" s="159"/>
      <c r="M865" s="606"/>
      <c r="N865" s="159"/>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row>
    <row r="866">
      <c r="A866" s="159"/>
      <c r="B866" s="159"/>
      <c r="C866" s="159"/>
      <c r="D866" s="159"/>
      <c r="E866" s="159"/>
      <c r="F866" s="159"/>
      <c r="G866" s="159"/>
      <c r="H866" s="159"/>
      <c r="I866" s="159"/>
      <c r="J866" s="159"/>
      <c r="K866" s="159"/>
      <c r="L866" s="159"/>
      <c r="M866" s="606"/>
      <c r="N866" s="159"/>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row>
    <row r="867">
      <c r="A867" s="159"/>
      <c r="B867" s="159"/>
      <c r="C867" s="159"/>
      <c r="D867" s="159"/>
      <c r="E867" s="159"/>
      <c r="F867" s="159"/>
      <c r="G867" s="159"/>
      <c r="H867" s="159"/>
      <c r="I867" s="159"/>
      <c r="J867" s="159"/>
      <c r="K867" s="159"/>
      <c r="L867" s="159"/>
      <c r="M867" s="606"/>
      <c r="N867" s="159"/>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row>
    <row r="868">
      <c r="A868" s="159"/>
      <c r="B868" s="159"/>
      <c r="C868" s="159"/>
      <c r="D868" s="159"/>
      <c r="E868" s="159"/>
      <c r="F868" s="159"/>
      <c r="G868" s="159"/>
      <c r="H868" s="159"/>
      <c r="I868" s="159"/>
      <c r="J868" s="159"/>
      <c r="K868" s="159"/>
      <c r="L868" s="159"/>
      <c r="M868" s="606"/>
      <c r="N868" s="159"/>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row>
    <row r="869">
      <c r="A869" s="159"/>
      <c r="B869" s="159"/>
      <c r="C869" s="159"/>
      <c r="D869" s="159"/>
      <c r="E869" s="159"/>
      <c r="F869" s="159"/>
      <c r="G869" s="159"/>
      <c r="H869" s="159"/>
      <c r="I869" s="159"/>
      <c r="J869" s="159"/>
      <c r="K869" s="159"/>
      <c r="L869" s="159"/>
      <c r="M869" s="606"/>
      <c r="N869" s="159"/>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row>
    <row r="870">
      <c r="A870" s="159"/>
      <c r="B870" s="159"/>
      <c r="C870" s="159"/>
      <c r="D870" s="159"/>
      <c r="E870" s="159"/>
      <c r="F870" s="159"/>
      <c r="G870" s="159"/>
      <c r="H870" s="159"/>
      <c r="I870" s="159"/>
      <c r="J870" s="159"/>
      <c r="K870" s="159"/>
      <c r="L870" s="159"/>
      <c r="M870" s="606"/>
      <c r="N870" s="159"/>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row>
    <row r="871">
      <c r="A871" s="159"/>
      <c r="B871" s="159"/>
      <c r="C871" s="159"/>
      <c r="D871" s="159"/>
      <c r="E871" s="159"/>
      <c r="F871" s="159"/>
      <c r="G871" s="159"/>
      <c r="H871" s="159"/>
      <c r="I871" s="159"/>
      <c r="J871" s="159"/>
      <c r="K871" s="159"/>
      <c r="L871" s="159"/>
      <c r="M871" s="606"/>
      <c r="N871" s="159"/>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row>
    <row r="872">
      <c r="A872" s="159"/>
      <c r="B872" s="159"/>
      <c r="C872" s="159"/>
      <c r="D872" s="159"/>
      <c r="E872" s="159"/>
      <c r="F872" s="159"/>
      <c r="G872" s="159"/>
      <c r="H872" s="159"/>
      <c r="I872" s="159"/>
      <c r="J872" s="159"/>
      <c r="K872" s="159"/>
      <c r="L872" s="159"/>
      <c r="M872" s="606"/>
      <c r="N872" s="159"/>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row>
    <row r="873">
      <c r="A873" s="159"/>
      <c r="B873" s="159"/>
      <c r="C873" s="159"/>
      <c r="D873" s="159"/>
      <c r="E873" s="159"/>
      <c r="F873" s="159"/>
      <c r="G873" s="159"/>
      <c r="H873" s="159"/>
      <c r="I873" s="159"/>
      <c r="J873" s="159"/>
      <c r="K873" s="159"/>
      <c r="L873" s="159"/>
      <c r="M873" s="606"/>
      <c r="N873" s="159"/>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row>
    <row r="874">
      <c r="A874" s="159"/>
      <c r="B874" s="159"/>
      <c r="C874" s="159"/>
      <c r="D874" s="159"/>
      <c r="E874" s="159"/>
      <c r="F874" s="159"/>
      <c r="G874" s="159"/>
      <c r="H874" s="159"/>
      <c r="I874" s="159"/>
      <c r="J874" s="159"/>
      <c r="K874" s="159"/>
      <c r="L874" s="159"/>
      <c r="M874" s="606"/>
      <c r="N874" s="159"/>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row>
    <row r="875">
      <c r="A875" s="159"/>
      <c r="B875" s="159"/>
      <c r="C875" s="159"/>
      <c r="D875" s="159"/>
      <c r="E875" s="159"/>
      <c r="F875" s="159"/>
      <c r="G875" s="159"/>
      <c r="H875" s="159"/>
      <c r="I875" s="159"/>
      <c r="J875" s="159"/>
      <c r="K875" s="159"/>
      <c r="L875" s="159"/>
      <c r="M875" s="606"/>
      <c r="N875" s="159"/>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row>
    <row r="876">
      <c r="A876" s="159"/>
      <c r="B876" s="159"/>
      <c r="C876" s="159"/>
      <c r="D876" s="159"/>
      <c r="E876" s="159"/>
      <c r="F876" s="159"/>
      <c r="G876" s="159"/>
      <c r="H876" s="159"/>
      <c r="I876" s="159"/>
      <c r="J876" s="159"/>
      <c r="K876" s="159"/>
      <c r="L876" s="159"/>
      <c r="M876" s="606"/>
      <c r="N876" s="159"/>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row>
    <row r="877">
      <c r="A877" s="159"/>
      <c r="B877" s="159"/>
      <c r="C877" s="159"/>
      <c r="D877" s="159"/>
      <c r="E877" s="159"/>
      <c r="F877" s="159"/>
      <c r="G877" s="159"/>
      <c r="H877" s="159"/>
      <c r="I877" s="159"/>
      <c r="J877" s="159"/>
      <c r="K877" s="159"/>
      <c r="L877" s="159"/>
      <c r="M877" s="606"/>
      <c r="N877" s="159"/>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row>
    <row r="878">
      <c r="A878" s="159"/>
      <c r="B878" s="159"/>
      <c r="C878" s="159"/>
      <c r="D878" s="159"/>
      <c r="E878" s="159"/>
      <c r="F878" s="159"/>
      <c r="G878" s="159"/>
      <c r="H878" s="159"/>
      <c r="I878" s="159"/>
      <c r="J878" s="159"/>
      <c r="K878" s="159"/>
      <c r="L878" s="159"/>
      <c r="M878" s="606"/>
      <c r="N878" s="159"/>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row>
    <row r="879">
      <c r="A879" s="159"/>
      <c r="B879" s="159"/>
      <c r="C879" s="159"/>
      <c r="D879" s="159"/>
      <c r="E879" s="159"/>
      <c r="F879" s="159"/>
      <c r="G879" s="159"/>
      <c r="H879" s="159"/>
      <c r="I879" s="159"/>
      <c r="J879" s="159"/>
      <c r="K879" s="159"/>
      <c r="L879" s="159"/>
      <c r="M879" s="606"/>
      <c r="N879" s="159"/>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row>
    <row r="880">
      <c r="A880" s="159"/>
      <c r="B880" s="159"/>
      <c r="C880" s="159"/>
      <c r="D880" s="159"/>
      <c r="E880" s="159"/>
      <c r="F880" s="159"/>
      <c r="G880" s="159"/>
      <c r="H880" s="159"/>
      <c r="I880" s="159"/>
      <c r="J880" s="159"/>
      <c r="K880" s="159"/>
      <c r="L880" s="159"/>
      <c r="M880" s="606"/>
      <c r="N880" s="159"/>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row>
    <row r="881">
      <c r="A881" s="159"/>
      <c r="B881" s="159"/>
      <c r="C881" s="159"/>
      <c r="D881" s="159"/>
      <c r="E881" s="159"/>
      <c r="F881" s="159"/>
      <c r="G881" s="159"/>
      <c r="H881" s="159"/>
      <c r="I881" s="159"/>
      <c r="J881" s="159"/>
      <c r="K881" s="159"/>
      <c r="L881" s="159"/>
      <c r="M881" s="606"/>
      <c r="N881" s="159"/>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row>
    <row r="882">
      <c r="A882" s="159"/>
      <c r="B882" s="159"/>
      <c r="C882" s="159"/>
      <c r="D882" s="159"/>
      <c r="E882" s="159"/>
      <c r="F882" s="159"/>
      <c r="G882" s="159"/>
      <c r="H882" s="159"/>
      <c r="I882" s="159"/>
      <c r="J882" s="159"/>
      <c r="K882" s="159"/>
      <c r="L882" s="159"/>
      <c r="M882" s="606"/>
      <c r="N882" s="159"/>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row>
    <row r="883">
      <c r="A883" s="159"/>
      <c r="B883" s="159"/>
      <c r="C883" s="159"/>
      <c r="D883" s="159"/>
      <c r="E883" s="159"/>
      <c r="F883" s="159"/>
      <c r="G883" s="159"/>
      <c r="H883" s="159"/>
      <c r="I883" s="159"/>
      <c r="J883" s="159"/>
      <c r="K883" s="159"/>
      <c r="L883" s="159"/>
      <c r="M883" s="606"/>
      <c r="N883" s="159"/>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row>
    <row r="884">
      <c r="A884" s="159"/>
      <c r="B884" s="159"/>
      <c r="C884" s="159"/>
      <c r="D884" s="159"/>
      <c r="E884" s="159"/>
      <c r="F884" s="159"/>
      <c r="G884" s="159"/>
      <c r="H884" s="159"/>
      <c r="I884" s="159"/>
      <c r="J884" s="159"/>
      <c r="K884" s="159"/>
      <c r="L884" s="159"/>
      <c r="M884" s="606"/>
      <c r="N884" s="159"/>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row>
    <row r="885">
      <c r="A885" s="159"/>
      <c r="B885" s="159"/>
      <c r="C885" s="159"/>
      <c r="D885" s="159"/>
      <c r="E885" s="159"/>
      <c r="F885" s="159"/>
      <c r="G885" s="159"/>
      <c r="H885" s="159"/>
      <c r="I885" s="159"/>
      <c r="J885" s="159"/>
      <c r="K885" s="159"/>
      <c r="L885" s="159"/>
      <c r="M885" s="606"/>
      <c r="N885" s="159"/>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row>
    <row r="886">
      <c r="A886" s="159"/>
      <c r="B886" s="159"/>
      <c r="C886" s="159"/>
      <c r="D886" s="159"/>
      <c r="E886" s="159"/>
      <c r="F886" s="159"/>
      <c r="G886" s="159"/>
      <c r="H886" s="159"/>
      <c r="I886" s="159"/>
      <c r="J886" s="159"/>
      <c r="K886" s="159"/>
      <c r="L886" s="159"/>
      <c r="M886" s="606"/>
      <c r="N886" s="159"/>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row>
    <row r="887">
      <c r="A887" s="159"/>
      <c r="B887" s="159"/>
      <c r="C887" s="159"/>
      <c r="D887" s="159"/>
      <c r="E887" s="159"/>
      <c r="F887" s="159"/>
      <c r="G887" s="159"/>
      <c r="H887" s="159"/>
      <c r="I887" s="159"/>
      <c r="J887" s="159"/>
      <c r="K887" s="159"/>
      <c r="L887" s="159"/>
      <c r="M887" s="606"/>
      <c r="N887" s="159"/>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row>
    <row r="888">
      <c r="A888" s="159"/>
      <c r="B888" s="159"/>
      <c r="C888" s="159"/>
      <c r="D888" s="159"/>
      <c r="E888" s="159"/>
      <c r="F888" s="159"/>
      <c r="G888" s="159"/>
      <c r="H888" s="159"/>
      <c r="I888" s="159"/>
      <c r="J888" s="159"/>
      <c r="K888" s="159"/>
      <c r="L888" s="159"/>
      <c r="M888" s="606"/>
      <c r="N888" s="159"/>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row>
    <row r="889">
      <c r="A889" s="159"/>
      <c r="B889" s="159"/>
      <c r="C889" s="159"/>
      <c r="D889" s="159"/>
      <c r="E889" s="159"/>
      <c r="F889" s="159"/>
      <c r="G889" s="159"/>
      <c r="H889" s="159"/>
      <c r="I889" s="159"/>
      <c r="J889" s="159"/>
      <c r="K889" s="159"/>
      <c r="L889" s="159"/>
      <c r="M889" s="606"/>
      <c r="N889" s="159"/>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row>
    <row r="890">
      <c r="A890" s="159"/>
      <c r="B890" s="159"/>
      <c r="C890" s="159"/>
      <c r="D890" s="159"/>
      <c r="E890" s="159"/>
      <c r="F890" s="159"/>
      <c r="G890" s="159"/>
      <c r="H890" s="159"/>
      <c r="I890" s="159"/>
      <c r="J890" s="159"/>
      <c r="K890" s="159"/>
      <c r="L890" s="159"/>
      <c r="M890" s="606"/>
      <c r="N890" s="159"/>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row>
    <row r="891">
      <c r="A891" s="159"/>
      <c r="B891" s="159"/>
      <c r="C891" s="159"/>
      <c r="D891" s="159"/>
      <c r="E891" s="159"/>
      <c r="F891" s="159"/>
      <c r="G891" s="159"/>
      <c r="H891" s="159"/>
      <c r="I891" s="159"/>
      <c r="J891" s="159"/>
      <c r="K891" s="159"/>
      <c r="L891" s="159"/>
      <c r="M891" s="606"/>
      <c r="N891" s="159"/>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row>
    <row r="892">
      <c r="A892" s="159"/>
      <c r="B892" s="159"/>
      <c r="C892" s="159"/>
      <c r="D892" s="159"/>
      <c r="E892" s="159"/>
      <c r="F892" s="159"/>
      <c r="G892" s="159"/>
      <c r="H892" s="159"/>
      <c r="I892" s="159"/>
      <c r="J892" s="159"/>
      <c r="K892" s="159"/>
      <c r="L892" s="159"/>
      <c r="M892" s="606"/>
      <c r="N892" s="159"/>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row>
    <row r="893">
      <c r="A893" s="159"/>
      <c r="B893" s="159"/>
      <c r="C893" s="159"/>
      <c r="D893" s="159"/>
      <c r="E893" s="159"/>
      <c r="F893" s="159"/>
      <c r="G893" s="159"/>
      <c r="H893" s="159"/>
      <c r="I893" s="159"/>
      <c r="J893" s="159"/>
      <c r="K893" s="159"/>
      <c r="L893" s="159"/>
      <c r="M893" s="606"/>
      <c r="N893" s="159"/>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row>
    <row r="894">
      <c r="A894" s="159"/>
      <c r="B894" s="159"/>
      <c r="C894" s="159"/>
      <c r="D894" s="159"/>
      <c r="E894" s="159"/>
      <c r="F894" s="159"/>
      <c r="G894" s="159"/>
      <c r="H894" s="159"/>
      <c r="I894" s="159"/>
      <c r="J894" s="159"/>
      <c r="K894" s="159"/>
      <c r="L894" s="159"/>
      <c r="M894" s="606"/>
      <c r="N894" s="159"/>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row>
    <row r="895">
      <c r="A895" s="159"/>
      <c r="B895" s="159"/>
      <c r="C895" s="159"/>
      <c r="D895" s="159"/>
      <c r="E895" s="159"/>
      <c r="F895" s="159"/>
      <c r="G895" s="159"/>
      <c r="H895" s="159"/>
      <c r="I895" s="159"/>
      <c r="J895" s="159"/>
      <c r="K895" s="159"/>
      <c r="L895" s="159"/>
      <c r="M895" s="606"/>
      <c r="N895" s="159"/>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row>
    <row r="896">
      <c r="A896" s="159"/>
      <c r="B896" s="159"/>
      <c r="C896" s="159"/>
      <c r="D896" s="159"/>
      <c r="E896" s="159"/>
      <c r="F896" s="159"/>
      <c r="G896" s="159"/>
      <c r="H896" s="159"/>
      <c r="I896" s="159"/>
      <c r="J896" s="159"/>
      <c r="K896" s="159"/>
      <c r="L896" s="159"/>
      <c r="M896" s="606"/>
      <c r="N896" s="159"/>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row>
    <row r="897">
      <c r="A897" s="159"/>
      <c r="B897" s="159"/>
      <c r="C897" s="159"/>
      <c r="D897" s="159"/>
      <c r="E897" s="159"/>
      <c r="F897" s="159"/>
      <c r="G897" s="159"/>
      <c r="H897" s="159"/>
      <c r="I897" s="159"/>
      <c r="J897" s="159"/>
      <c r="K897" s="159"/>
      <c r="L897" s="159"/>
      <c r="M897" s="606"/>
      <c r="N897" s="159"/>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row>
    <row r="898">
      <c r="A898" s="159"/>
      <c r="B898" s="159"/>
      <c r="C898" s="159"/>
      <c r="D898" s="159"/>
      <c r="E898" s="159"/>
      <c r="F898" s="159"/>
      <c r="G898" s="159"/>
      <c r="H898" s="159"/>
      <c r="I898" s="159"/>
      <c r="J898" s="159"/>
      <c r="K898" s="159"/>
      <c r="L898" s="159"/>
      <c r="M898" s="606"/>
      <c r="N898" s="159"/>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row>
    <row r="899">
      <c r="A899" s="159"/>
      <c r="B899" s="159"/>
      <c r="C899" s="159"/>
      <c r="D899" s="159"/>
      <c r="E899" s="159"/>
      <c r="F899" s="159"/>
      <c r="G899" s="159"/>
      <c r="H899" s="159"/>
      <c r="I899" s="159"/>
      <c r="J899" s="159"/>
      <c r="K899" s="159"/>
      <c r="L899" s="159"/>
      <c r="M899" s="606"/>
      <c r="N899" s="159"/>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row>
    <row r="900">
      <c r="A900" s="159"/>
      <c r="B900" s="159"/>
      <c r="C900" s="159"/>
      <c r="D900" s="159"/>
      <c r="E900" s="159"/>
      <c r="F900" s="159"/>
      <c r="G900" s="159"/>
      <c r="H900" s="159"/>
      <c r="I900" s="159"/>
      <c r="J900" s="159"/>
      <c r="K900" s="159"/>
      <c r="L900" s="159"/>
      <c r="M900" s="606"/>
      <c r="N900" s="159"/>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row>
    <row r="901">
      <c r="A901" s="159"/>
      <c r="B901" s="159"/>
      <c r="C901" s="159"/>
      <c r="D901" s="159"/>
      <c r="E901" s="159"/>
      <c r="F901" s="159"/>
      <c r="G901" s="159"/>
      <c r="H901" s="159"/>
      <c r="I901" s="159"/>
      <c r="J901" s="159"/>
      <c r="K901" s="159"/>
      <c r="L901" s="159"/>
      <c r="M901" s="606"/>
      <c r="N901" s="159"/>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row>
    <row r="902">
      <c r="A902" s="159"/>
      <c r="B902" s="159"/>
      <c r="C902" s="159"/>
      <c r="D902" s="159"/>
      <c r="E902" s="159"/>
      <c r="F902" s="159"/>
      <c r="G902" s="159"/>
      <c r="H902" s="159"/>
      <c r="I902" s="159"/>
      <c r="J902" s="159"/>
      <c r="K902" s="159"/>
      <c r="L902" s="159"/>
      <c r="M902" s="606"/>
      <c r="N902" s="159"/>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row>
    <row r="903">
      <c r="A903" s="159"/>
      <c r="B903" s="159"/>
      <c r="C903" s="159"/>
      <c r="D903" s="159"/>
      <c r="E903" s="159"/>
      <c r="F903" s="159"/>
      <c r="G903" s="159"/>
      <c r="H903" s="159"/>
      <c r="I903" s="159"/>
      <c r="J903" s="159"/>
      <c r="K903" s="159"/>
      <c r="L903" s="159"/>
      <c r="M903" s="606"/>
      <c r="N903" s="159"/>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row>
    <row r="904">
      <c r="A904" s="159"/>
      <c r="B904" s="159"/>
      <c r="C904" s="159"/>
      <c r="D904" s="159"/>
      <c r="E904" s="159"/>
      <c r="F904" s="159"/>
      <c r="G904" s="159"/>
      <c r="H904" s="159"/>
      <c r="I904" s="159"/>
      <c r="J904" s="159"/>
      <c r="K904" s="159"/>
      <c r="L904" s="159"/>
      <c r="M904" s="606"/>
      <c r="N904" s="159"/>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row>
    <row r="905">
      <c r="A905" s="159"/>
      <c r="B905" s="159"/>
      <c r="C905" s="159"/>
      <c r="D905" s="159"/>
      <c r="E905" s="159"/>
      <c r="F905" s="159"/>
      <c r="G905" s="159"/>
      <c r="H905" s="159"/>
      <c r="I905" s="159"/>
      <c r="J905" s="159"/>
      <c r="K905" s="159"/>
      <c r="L905" s="159"/>
      <c r="M905" s="606"/>
      <c r="N905" s="159"/>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row>
    <row r="906">
      <c r="A906" s="159"/>
      <c r="B906" s="159"/>
      <c r="C906" s="159"/>
      <c r="D906" s="159"/>
      <c r="E906" s="159"/>
      <c r="F906" s="159"/>
      <c r="G906" s="159"/>
      <c r="H906" s="159"/>
      <c r="I906" s="159"/>
      <c r="J906" s="159"/>
      <c r="K906" s="159"/>
      <c r="L906" s="159"/>
      <c r="M906" s="606"/>
      <c r="N906" s="159"/>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row>
    <row r="907">
      <c r="A907" s="159"/>
      <c r="B907" s="159"/>
      <c r="C907" s="159"/>
      <c r="D907" s="159"/>
      <c r="E907" s="159"/>
      <c r="F907" s="159"/>
      <c r="G907" s="159"/>
      <c r="H907" s="159"/>
      <c r="I907" s="159"/>
      <c r="J907" s="159"/>
      <c r="K907" s="159"/>
      <c r="L907" s="159"/>
      <c r="M907" s="606"/>
      <c r="N907" s="159"/>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row>
    <row r="908">
      <c r="A908" s="159"/>
      <c r="B908" s="159"/>
      <c r="C908" s="159"/>
      <c r="D908" s="159"/>
      <c r="E908" s="159"/>
      <c r="F908" s="159"/>
      <c r="G908" s="159"/>
      <c r="H908" s="159"/>
      <c r="I908" s="159"/>
      <c r="J908" s="159"/>
      <c r="K908" s="159"/>
      <c r="L908" s="159"/>
      <c r="M908" s="606"/>
      <c r="N908" s="159"/>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row>
    <row r="909">
      <c r="A909" s="159"/>
      <c r="B909" s="159"/>
      <c r="C909" s="159"/>
      <c r="D909" s="159"/>
      <c r="E909" s="159"/>
      <c r="F909" s="159"/>
      <c r="G909" s="159"/>
      <c r="H909" s="159"/>
      <c r="I909" s="159"/>
      <c r="J909" s="159"/>
      <c r="K909" s="159"/>
      <c r="L909" s="159"/>
      <c r="M909" s="606"/>
      <c r="N909" s="159"/>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row>
    <row r="910">
      <c r="A910" s="159"/>
      <c r="B910" s="159"/>
      <c r="C910" s="159"/>
      <c r="D910" s="159"/>
      <c r="E910" s="159"/>
      <c r="F910" s="159"/>
      <c r="G910" s="159"/>
      <c r="H910" s="159"/>
      <c r="I910" s="159"/>
      <c r="J910" s="159"/>
      <c r="K910" s="159"/>
      <c r="L910" s="159"/>
      <c r="M910" s="606"/>
      <c r="N910" s="159"/>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row>
    <row r="911">
      <c r="A911" s="159"/>
      <c r="B911" s="159"/>
      <c r="C911" s="159"/>
      <c r="D911" s="159"/>
      <c r="E911" s="159"/>
      <c r="F911" s="159"/>
      <c r="G911" s="159"/>
      <c r="H911" s="159"/>
      <c r="I911" s="159"/>
      <c r="J911" s="159"/>
      <c r="K911" s="159"/>
      <c r="L911" s="159"/>
      <c r="M911" s="606"/>
      <c r="N911" s="159"/>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row>
    <row r="912">
      <c r="A912" s="159"/>
      <c r="B912" s="159"/>
      <c r="C912" s="159"/>
      <c r="D912" s="159"/>
      <c r="E912" s="159"/>
      <c r="F912" s="159"/>
      <c r="G912" s="159"/>
      <c r="H912" s="159"/>
      <c r="I912" s="159"/>
      <c r="J912" s="159"/>
      <c r="K912" s="159"/>
      <c r="L912" s="159"/>
      <c r="M912" s="606"/>
      <c r="N912" s="159"/>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row>
    <row r="913">
      <c r="A913" s="159"/>
      <c r="B913" s="159"/>
      <c r="C913" s="159"/>
      <c r="D913" s="159"/>
      <c r="E913" s="159"/>
      <c r="F913" s="159"/>
      <c r="G913" s="159"/>
      <c r="H913" s="159"/>
      <c r="I913" s="159"/>
      <c r="J913" s="159"/>
      <c r="K913" s="159"/>
      <c r="L913" s="159"/>
      <c r="M913" s="606"/>
      <c r="N913" s="159"/>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row>
    <row r="914">
      <c r="A914" s="159"/>
      <c r="B914" s="159"/>
      <c r="C914" s="159"/>
      <c r="D914" s="159"/>
      <c r="E914" s="159"/>
      <c r="F914" s="159"/>
      <c r="G914" s="159"/>
      <c r="H914" s="159"/>
      <c r="I914" s="159"/>
      <c r="J914" s="159"/>
      <c r="K914" s="159"/>
      <c r="L914" s="159"/>
      <c r="M914" s="606"/>
      <c r="N914" s="159"/>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row>
    <row r="915">
      <c r="A915" s="159"/>
      <c r="B915" s="159"/>
      <c r="C915" s="159"/>
      <c r="D915" s="159"/>
      <c r="E915" s="159"/>
      <c r="F915" s="159"/>
      <c r="G915" s="159"/>
      <c r="H915" s="159"/>
      <c r="I915" s="159"/>
      <c r="J915" s="159"/>
      <c r="K915" s="159"/>
      <c r="L915" s="159"/>
      <c r="M915" s="606"/>
      <c r="N915" s="159"/>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row>
    <row r="916">
      <c r="A916" s="159"/>
      <c r="B916" s="159"/>
      <c r="C916" s="159"/>
      <c r="D916" s="159"/>
      <c r="E916" s="159"/>
      <c r="F916" s="159"/>
      <c r="G916" s="159"/>
      <c r="H916" s="159"/>
      <c r="I916" s="159"/>
      <c r="J916" s="159"/>
      <c r="K916" s="159"/>
      <c r="L916" s="159"/>
      <c r="M916" s="606"/>
      <c r="N916" s="159"/>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row>
    <row r="917">
      <c r="A917" s="159"/>
      <c r="B917" s="159"/>
      <c r="C917" s="159"/>
      <c r="D917" s="159"/>
      <c r="E917" s="159"/>
      <c r="F917" s="159"/>
      <c r="G917" s="159"/>
      <c r="H917" s="159"/>
      <c r="I917" s="159"/>
      <c r="J917" s="159"/>
      <c r="K917" s="159"/>
      <c r="L917" s="159"/>
      <c r="M917" s="606"/>
      <c r="N917" s="159"/>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row>
    <row r="918">
      <c r="A918" s="159"/>
      <c r="B918" s="159"/>
      <c r="C918" s="159"/>
      <c r="D918" s="159"/>
      <c r="E918" s="159"/>
      <c r="F918" s="159"/>
      <c r="G918" s="159"/>
      <c r="H918" s="159"/>
      <c r="I918" s="159"/>
      <c r="J918" s="159"/>
      <c r="K918" s="159"/>
      <c r="L918" s="159"/>
      <c r="M918" s="606"/>
      <c r="N918" s="159"/>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row>
    <row r="919">
      <c r="A919" s="159"/>
      <c r="B919" s="159"/>
      <c r="C919" s="159"/>
      <c r="D919" s="159"/>
      <c r="E919" s="159"/>
      <c r="F919" s="159"/>
      <c r="G919" s="159"/>
      <c r="H919" s="159"/>
      <c r="I919" s="159"/>
      <c r="J919" s="159"/>
      <c r="K919" s="159"/>
      <c r="L919" s="159"/>
      <c r="M919" s="606"/>
      <c r="N919" s="159"/>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row>
    <row r="920">
      <c r="A920" s="159"/>
      <c r="B920" s="159"/>
      <c r="C920" s="159"/>
      <c r="D920" s="159"/>
      <c r="E920" s="159"/>
      <c r="F920" s="159"/>
      <c r="G920" s="159"/>
      <c r="H920" s="159"/>
      <c r="I920" s="159"/>
      <c r="J920" s="159"/>
      <c r="K920" s="159"/>
      <c r="L920" s="159"/>
      <c r="M920" s="606"/>
      <c r="N920" s="159"/>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row>
    <row r="921">
      <c r="A921" s="159"/>
      <c r="B921" s="159"/>
      <c r="C921" s="159"/>
      <c r="D921" s="159"/>
      <c r="E921" s="159"/>
      <c r="F921" s="159"/>
      <c r="G921" s="159"/>
      <c r="H921" s="159"/>
      <c r="I921" s="159"/>
      <c r="J921" s="159"/>
      <c r="K921" s="159"/>
      <c r="L921" s="159"/>
      <c r="M921" s="606"/>
      <c r="N921" s="159"/>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row>
    <row r="922">
      <c r="A922" s="159"/>
      <c r="B922" s="159"/>
      <c r="C922" s="159"/>
      <c r="D922" s="159"/>
      <c r="E922" s="159"/>
      <c r="F922" s="159"/>
      <c r="G922" s="159"/>
      <c r="H922" s="159"/>
      <c r="I922" s="159"/>
      <c r="J922" s="159"/>
      <c r="K922" s="159"/>
      <c r="L922" s="159"/>
      <c r="M922" s="606"/>
      <c r="N922" s="159"/>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row>
    <row r="923">
      <c r="A923" s="159"/>
      <c r="B923" s="159"/>
      <c r="C923" s="159"/>
      <c r="D923" s="159"/>
      <c r="E923" s="159"/>
      <c r="F923" s="159"/>
      <c r="G923" s="159"/>
      <c r="H923" s="159"/>
      <c r="I923" s="159"/>
      <c r="J923" s="159"/>
      <c r="K923" s="159"/>
      <c r="L923" s="159"/>
      <c r="M923" s="606"/>
      <c r="N923" s="159"/>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row>
    <row r="924">
      <c r="A924" s="159"/>
      <c r="B924" s="159"/>
      <c r="C924" s="159"/>
      <c r="D924" s="159"/>
      <c r="E924" s="159"/>
      <c r="F924" s="159"/>
      <c r="G924" s="159"/>
      <c r="H924" s="159"/>
      <c r="I924" s="159"/>
      <c r="J924" s="159"/>
      <c r="K924" s="159"/>
      <c r="L924" s="159"/>
      <c r="M924" s="606"/>
      <c r="N924" s="159"/>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row>
    <row r="925">
      <c r="A925" s="159"/>
      <c r="B925" s="159"/>
      <c r="C925" s="159"/>
      <c r="D925" s="159"/>
      <c r="E925" s="159"/>
      <c r="F925" s="159"/>
      <c r="G925" s="159"/>
      <c r="H925" s="159"/>
      <c r="I925" s="159"/>
      <c r="J925" s="159"/>
      <c r="K925" s="159"/>
      <c r="L925" s="159"/>
      <c r="M925" s="606"/>
      <c r="N925" s="159"/>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row>
    <row r="926">
      <c r="A926" s="159"/>
      <c r="B926" s="159"/>
      <c r="C926" s="159"/>
      <c r="D926" s="159"/>
      <c r="E926" s="159"/>
      <c r="F926" s="159"/>
      <c r="G926" s="159"/>
      <c r="H926" s="159"/>
      <c r="I926" s="159"/>
      <c r="J926" s="159"/>
      <c r="K926" s="159"/>
      <c r="L926" s="159"/>
      <c r="M926" s="606"/>
      <c r="N926" s="159"/>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row>
    <row r="927">
      <c r="A927" s="159"/>
      <c r="B927" s="159"/>
      <c r="C927" s="159"/>
      <c r="D927" s="159"/>
      <c r="E927" s="159"/>
      <c r="F927" s="159"/>
      <c r="G927" s="159"/>
      <c r="H927" s="159"/>
      <c r="I927" s="159"/>
      <c r="J927" s="159"/>
      <c r="K927" s="159"/>
      <c r="L927" s="159"/>
      <c r="M927" s="606"/>
      <c r="N927" s="159"/>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row>
    <row r="928">
      <c r="A928" s="159"/>
      <c r="B928" s="159"/>
      <c r="C928" s="159"/>
      <c r="D928" s="159"/>
      <c r="E928" s="159"/>
      <c r="F928" s="159"/>
      <c r="G928" s="159"/>
      <c r="H928" s="159"/>
      <c r="I928" s="159"/>
      <c r="J928" s="159"/>
      <c r="K928" s="159"/>
      <c r="L928" s="159"/>
      <c r="M928" s="606"/>
      <c r="N928" s="159"/>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row>
    <row r="929">
      <c r="A929" s="159"/>
      <c r="B929" s="159"/>
      <c r="C929" s="159"/>
      <c r="D929" s="159"/>
      <c r="E929" s="159"/>
      <c r="F929" s="159"/>
      <c r="G929" s="159"/>
      <c r="H929" s="159"/>
      <c r="I929" s="159"/>
      <c r="J929" s="159"/>
      <c r="K929" s="159"/>
      <c r="L929" s="159"/>
      <c r="M929" s="606"/>
      <c r="N929" s="159"/>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row>
    <row r="930">
      <c r="A930" s="159"/>
      <c r="B930" s="159"/>
      <c r="C930" s="159"/>
      <c r="D930" s="159"/>
      <c r="E930" s="159"/>
      <c r="F930" s="159"/>
      <c r="G930" s="159"/>
      <c r="H930" s="159"/>
      <c r="I930" s="159"/>
      <c r="J930" s="159"/>
      <c r="K930" s="159"/>
      <c r="L930" s="159"/>
      <c r="M930" s="606"/>
      <c r="N930" s="159"/>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row>
    <row r="931">
      <c r="A931" s="159"/>
      <c r="B931" s="159"/>
      <c r="C931" s="159"/>
      <c r="D931" s="159"/>
      <c r="E931" s="159"/>
      <c r="F931" s="159"/>
      <c r="G931" s="159"/>
      <c r="H931" s="159"/>
      <c r="I931" s="159"/>
      <c r="J931" s="159"/>
      <c r="K931" s="159"/>
      <c r="L931" s="159"/>
      <c r="M931" s="606"/>
      <c r="N931" s="159"/>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row>
    <row r="932">
      <c r="A932" s="159"/>
      <c r="B932" s="159"/>
      <c r="C932" s="159"/>
      <c r="D932" s="159"/>
      <c r="E932" s="159"/>
      <c r="F932" s="159"/>
      <c r="G932" s="159"/>
      <c r="H932" s="159"/>
      <c r="I932" s="159"/>
      <c r="J932" s="159"/>
      <c r="K932" s="159"/>
      <c r="L932" s="159"/>
      <c r="M932" s="606"/>
      <c r="N932" s="159"/>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row>
    <row r="933">
      <c r="A933" s="159"/>
      <c r="B933" s="159"/>
      <c r="C933" s="159"/>
      <c r="D933" s="159"/>
      <c r="E933" s="159"/>
      <c r="F933" s="159"/>
      <c r="G933" s="159"/>
      <c r="H933" s="159"/>
      <c r="I933" s="159"/>
      <c r="J933" s="159"/>
      <c r="K933" s="159"/>
      <c r="L933" s="159"/>
      <c r="M933" s="606"/>
      <c r="N933" s="159"/>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row>
    <row r="934">
      <c r="A934" s="159"/>
      <c r="B934" s="159"/>
      <c r="C934" s="159"/>
      <c r="D934" s="159"/>
      <c r="E934" s="159"/>
      <c r="F934" s="159"/>
      <c r="G934" s="159"/>
      <c r="H934" s="159"/>
      <c r="I934" s="159"/>
      <c r="J934" s="159"/>
      <c r="K934" s="159"/>
      <c r="L934" s="159"/>
      <c r="M934" s="606"/>
      <c r="N934" s="159"/>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row>
    <row r="935">
      <c r="A935" s="159"/>
      <c r="B935" s="159"/>
      <c r="C935" s="159"/>
      <c r="D935" s="159"/>
      <c r="E935" s="159"/>
      <c r="F935" s="159"/>
      <c r="G935" s="159"/>
      <c r="H935" s="159"/>
      <c r="I935" s="159"/>
      <c r="J935" s="159"/>
      <c r="K935" s="159"/>
      <c r="L935" s="159"/>
      <c r="M935" s="606"/>
      <c r="N935" s="159"/>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row>
    <row r="936">
      <c r="A936" s="159"/>
      <c r="B936" s="159"/>
      <c r="C936" s="159"/>
      <c r="D936" s="159"/>
      <c r="E936" s="159"/>
      <c r="F936" s="159"/>
      <c r="G936" s="159"/>
      <c r="H936" s="159"/>
      <c r="I936" s="159"/>
      <c r="J936" s="159"/>
      <c r="K936" s="159"/>
      <c r="L936" s="159"/>
      <c r="M936" s="606"/>
      <c r="N936" s="159"/>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row>
    <row r="937">
      <c r="A937" s="159"/>
      <c r="B937" s="159"/>
      <c r="C937" s="159"/>
      <c r="D937" s="159"/>
      <c r="E937" s="159"/>
      <c r="F937" s="159"/>
      <c r="G937" s="159"/>
      <c r="H937" s="159"/>
      <c r="I937" s="159"/>
      <c r="J937" s="159"/>
      <c r="K937" s="159"/>
      <c r="L937" s="159"/>
      <c r="M937" s="606"/>
      <c r="N937" s="159"/>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row>
    <row r="938">
      <c r="A938" s="159"/>
      <c r="B938" s="159"/>
      <c r="C938" s="159"/>
      <c r="D938" s="159"/>
      <c r="E938" s="159"/>
      <c r="F938" s="159"/>
      <c r="G938" s="159"/>
      <c r="H938" s="159"/>
      <c r="I938" s="159"/>
      <c r="J938" s="159"/>
      <c r="K938" s="159"/>
      <c r="L938" s="159"/>
      <c r="M938" s="606"/>
      <c r="N938" s="159"/>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row>
    <row r="939">
      <c r="A939" s="159"/>
      <c r="B939" s="159"/>
      <c r="C939" s="159"/>
      <c r="D939" s="159"/>
      <c r="E939" s="159"/>
      <c r="F939" s="159"/>
      <c r="G939" s="159"/>
      <c r="H939" s="159"/>
      <c r="I939" s="159"/>
      <c r="J939" s="159"/>
      <c r="K939" s="159"/>
      <c r="L939" s="159"/>
      <c r="M939" s="606"/>
      <c r="N939" s="159"/>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row>
    <row r="940">
      <c r="A940" s="159"/>
      <c r="B940" s="159"/>
      <c r="C940" s="159"/>
      <c r="D940" s="159"/>
      <c r="E940" s="159"/>
      <c r="F940" s="159"/>
      <c r="G940" s="159"/>
      <c r="H940" s="159"/>
      <c r="I940" s="159"/>
      <c r="J940" s="159"/>
      <c r="K940" s="159"/>
      <c r="L940" s="159"/>
      <c r="M940" s="606"/>
      <c r="N940" s="159"/>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row>
    <row r="941">
      <c r="A941" s="159"/>
      <c r="B941" s="159"/>
      <c r="C941" s="159"/>
      <c r="D941" s="159"/>
      <c r="E941" s="159"/>
      <c r="F941" s="159"/>
      <c r="G941" s="159"/>
      <c r="H941" s="159"/>
      <c r="I941" s="159"/>
      <c r="J941" s="159"/>
      <c r="K941" s="159"/>
      <c r="L941" s="159"/>
      <c r="M941" s="606"/>
      <c r="N941" s="159"/>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row>
    <row r="942">
      <c r="A942" s="159"/>
      <c r="B942" s="159"/>
      <c r="C942" s="159"/>
      <c r="D942" s="159"/>
      <c r="E942" s="159"/>
      <c r="F942" s="159"/>
      <c r="G942" s="159"/>
      <c r="H942" s="159"/>
      <c r="I942" s="159"/>
      <c r="J942" s="159"/>
      <c r="K942" s="159"/>
      <c r="L942" s="159"/>
      <c r="M942" s="606"/>
      <c r="N942" s="159"/>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row>
    <row r="943">
      <c r="A943" s="159"/>
      <c r="B943" s="159"/>
      <c r="C943" s="159"/>
      <c r="D943" s="159"/>
      <c r="E943" s="159"/>
      <c r="F943" s="159"/>
      <c r="G943" s="159"/>
      <c r="H943" s="159"/>
      <c r="I943" s="159"/>
      <c r="J943" s="159"/>
      <c r="K943" s="159"/>
      <c r="L943" s="159"/>
      <c r="M943" s="606"/>
      <c r="N943" s="159"/>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row>
    <row r="944">
      <c r="A944" s="159"/>
      <c r="B944" s="159"/>
      <c r="C944" s="159"/>
      <c r="D944" s="159"/>
      <c r="E944" s="159"/>
      <c r="F944" s="159"/>
      <c r="G944" s="159"/>
      <c r="H944" s="159"/>
      <c r="I944" s="159"/>
      <c r="J944" s="159"/>
      <c r="K944" s="159"/>
      <c r="L944" s="159"/>
      <c r="M944" s="606"/>
      <c r="N944" s="159"/>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row>
    <row r="945">
      <c r="A945" s="159"/>
      <c r="B945" s="159"/>
      <c r="C945" s="159"/>
      <c r="D945" s="159"/>
      <c r="E945" s="159"/>
      <c r="F945" s="159"/>
      <c r="G945" s="159"/>
      <c r="H945" s="159"/>
      <c r="I945" s="159"/>
      <c r="J945" s="159"/>
      <c r="K945" s="159"/>
      <c r="L945" s="159"/>
      <c r="M945" s="606"/>
      <c r="N945" s="159"/>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row>
    <row r="946">
      <c r="A946" s="159"/>
      <c r="B946" s="159"/>
      <c r="C946" s="159"/>
      <c r="D946" s="159"/>
      <c r="E946" s="159"/>
      <c r="F946" s="159"/>
      <c r="G946" s="159"/>
      <c r="H946" s="159"/>
      <c r="I946" s="159"/>
      <c r="J946" s="159"/>
      <c r="K946" s="159"/>
      <c r="L946" s="159"/>
      <c r="M946" s="606"/>
      <c r="N946" s="159"/>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row>
    <row r="947">
      <c r="A947" s="159"/>
      <c r="B947" s="159"/>
      <c r="C947" s="159"/>
      <c r="D947" s="159"/>
      <c r="E947" s="159"/>
      <c r="F947" s="159"/>
      <c r="G947" s="159"/>
      <c r="H947" s="159"/>
      <c r="I947" s="159"/>
      <c r="J947" s="159"/>
      <c r="K947" s="159"/>
      <c r="L947" s="159"/>
      <c r="M947" s="606"/>
      <c r="N947" s="159"/>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row>
    <row r="948">
      <c r="A948" s="159"/>
      <c r="B948" s="159"/>
      <c r="C948" s="159"/>
      <c r="D948" s="159"/>
      <c r="E948" s="159"/>
      <c r="F948" s="159"/>
      <c r="G948" s="159"/>
      <c r="H948" s="159"/>
      <c r="I948" s="159"/>
      <c r="J948" s="159"/>
      <c r="K948" s="159"/>
      <c r="L948" s="159"/>
      <c r="M948" s="606"/>
      <c r="N948" s="159"/>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row>
    <row r="949">
      <c r="A949" s="159"/>
      <c r="B949" s="159"/>
      <c r="C949" s="159"/>
      <c r="D949" s="159"/>
      <c r="E949" s="159"/>
      <c r="F949" s="159"/>
      <c r="G949" s="159"/>
      <c r="H949" s="159"/>
      <c r="I949" s="159"/>
      <c r="J949" s="159"/>
      <c r="K949" s="159"/>
      <c r="L949" s="159"/>
      <c r="M949" s="606"/>
      <c r="N949" s="159"/>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row>
    <row r="950">
      <c r="A950" s="159"/>
      <c r="B950" s="159"/>
      <c r="C950" s="159"/>
      <c r="D950" s="159"/>
      <c r="E950" s="159"/>
      <c r="F950" s="159"/>
      <c r="G950" s="159"/>
      <c r="H950" s="159"/>
      <c r="I950" s="159"/>
      <c r="J950" s="159"/>
      <c r="K950" s="159"/>
      <c r="L950" s="159"/>
      <c r="M950" s="606"/>
      <c r="N950" s="159"/>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row>
    <row r="951">
      <c r="A951" s="159"/>
      <c r="B951" s="159"/>
      <c r="C951" s="159"/>
      <c r="D951" s="159"/>
      <c r="E951" s="159"/>
      <c r="F951" s="159"/>
      <c r="G951" s="159"/>
      <c r="H951" s="159"/>
      <c r="I951" s="159"/>
      <c r="J951" s="159"/>
      <c r="K951" s="159"/>
      <c r="L951" s="159"/>
      <c r="M951" s="606"/>
      <c r="N951" s="159"/>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row>
    <row r="952">
      <c r="A952" s="159"/>
      <c r="B952" s="159"/>
      <c r="C952" s="159"/>
      <c r="D952" s="159"/>
      <c r="E952" s="159"/>
      <c r="F952" s="159"/>
      <c r="G952" s="159"/>
      <c r="H952" s="159"/>
      <c r="I952" s="159"/>
      <c r="J952" s="159"/>
      <c r="K952" s="159"/>
      <c r="L952" s="159"/>
      <c r="M952" s="606"/>
      <c r="N952" s="159"/>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row>
    <row r="953">
      <c r="A953" s="159"/>
      <c r="B953" s="159"/>
      <c r="C953" s="159"/>
      <c r="D953" s="159"/>
      <c r="E953" s="159"/>
      <c r="F953" s="159"/>
      <c r="G953" s="159"/>
      <c r="H953" s="159"/>
      <c r="I953" s="159"/>
      <c r="J953" s="159"/>
      <c r="K953" s="159"/>
      <c r="L953" s="159"/>
      <c r="M953" s="606"/>
      <c r="N953" s="159"/>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row>
    <row r="954">
      <c r="A954" s="159"/>
      <c r="B954" s="159"/>
      <c r="C954" s="159"/>
      <c r="D954" s="159"/>
      <c r="E954" s="159"/>
      <c r="F954" s="159"/>
      <c r="G954" s="159"/>
      <c r="H954" s="159"/>
      <c r="I954" s="159"/>
      <c r="J954" s="159"/>
      <c r="K954" s="159"/>
      <c r="L954" s="159"/>
      <c r="M954" s="606"/>
      <c r="N954" s="159"/>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row>
    <row r="955">
      <c r="A955" s="159"/>
      <c r="B955" s="159"/>
      <c r="C955" s="159"/>
      <c r="D955" s="159"/>
      <c r="E955" s="159"/>
      <c r="F955" s="159"/>
      <c r="G955" s="159"/>
      <c r="H955" s="159"/>
      <c r="I955" s="159"/>
      <c r="J955" s="159"/>
      <c r="K955" s="159"/>
      <c r="L955" s="159"/>
      <c r="M955" s="606"/>
      <c r="N955" s="159"/>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row>
    <row r="956">
      <c r="A956" s="159"/>
      <c r="B956" s="159"/>
      <c r="C956" s="159"/>
      <c r="D956" s="159"/>
      <c r="E956" s="159"/>
      <c r="F956" s="159"/>
      <c r="G956" s="159"/>
      <c r="H956" s="159"/>
      <c r="I956" s="159"/>
      <c r="J956" s="159"/>
      <c r="K956" s="159"/>
      <c r="L956" s="159"/>
      <c r="M956" s="606"/>
      <c r="N956" s="159"/>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row>
    <row r="957">
      <c r="A957" s="159"/>
      <c r="B957" s="159"/>
      <c r="C957" s="159"/>
      <c r="D957" s="159"/>
      <c r="E957" s="159"/>
      <c r="F957" s="159"/>
      <c r="G957" s="159"/>
      <c r="H957" s="159"/>
      <c r="I957" s="159"/>
      <c r="J957" s="159"/>
      <c r="K957" s="159"/>
      <c r="L957" s="159"/>
      <c r="M957" s="606"/>
      <c r="N957" s="159"/>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row>
    <row r="958">
      <c r="A958" s="159"/>
      <c r="B958" s="159"/>
      <c r="C958" s="159"/>
      <c r="D958" s="159"/>
      <c r="E958" s="159"/>
      <c r="F958" s="159"/>
      <c r="G958" s="159"/>
      <c r="H958" s="159"/>
      <c r="I958" s="159"/>
      <c r="J958" s="159"/>
      <c r="K958" s="159"/>
      <c r="L958" s="159"/>
      <c r="M958" s="606"/>
      <c r="N958" s="159"/>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row>
    <row r="959">
      <c r="A959" s="159"/>
      <c r="B959" s="159"/>
      <c r="C959" s="159"/>
      <c r="D959" s="159"/>
      <c r="E959" s="159"/>
      <c r="F959" s="159"/>
      <c r="G959" s="159"/>
      <c r="H959" s="159"/>
      <c r="I959" s="159"/>
      <c r="J959" s="159"/>
      <c r="K959" s="159"/>
      <c r="L959" s="159"/>
      <c r="M959" s="606"/>
      <c r="N959" s="159"/>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row>
    <row r="960">
      <c r="A960" s="159"/>
      <c r="B960" s="159"/>
      <c r="C960" s="159"/>
      <c r="D960" s="159"/>
      <c r="E960" s="159"/>
      <c r="F960" s="159"/>
      <c r="G960" s="159"/>
      <c r="H960" s="159"/>
      <c r="I960" s="159"/>
      <c r="J960" s="159"/>
      <c r="K960" s="159"/>
      <c r="L960" s="159"/>
      <c r="M960" s="606"/>
      <c r="N960" s="159"/>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row>
    <row r="961">
      <c r="A961" s="159"/>
      <c r="B961" s="159"/>
      <c r="C961" s="159"/>
      <c r="D961" s="159"/>
      <c r="E961" s="159"/>
      <c r="F961" s="159"/>
      <c r="G961" s="159"/>
      <c r="H961" s="159"/>
      <c r="I961" s="159"/>
      <c r="J961" s="159"/>
      <c r="K961" s="159"/>
      <c r="L961" s="159"/>
      <c r="M961" s="606"/>
      <c r="N961" s="159"/>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row>
    <row r="962">
      <c r="A962" s="159"/>
      <c r="B962" s="159"/>
      <c r="C962" s="159"/>
      <c r="D962" s="159"/>
      <c r="E962" s="159"/>
      <c r="F962" s="159"/>
      <c r="G962" s="159"/>
      <c r="H962" s="159"/>
      <c r="I962" s="159"/>
      <c r="J962" s="159"/>
      <c r="K962" s="159"/>
      <c r="L962" s="159"/>
      <c r="M962" s="606"/>
      <c r="N962" s="159"/>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row>
    <row r="963">
      <c r="A963" s="159"/>
      <c r="B963" s="159"/>
      <c r="C963" s="159"/>
      <c r="D963" s="159"/>
      <c r="E963" s="159"/>
      <c r="F963" s="159"/>
      <c r="G963" s="159"/>
      <c r="H963" s="159"/>
      <c r="I963" s="159"/>
      <c r="J963" s="159"/>
      <c r="K963" s="159"/>
      <c r="L963" s="159"/>
      <c r="M963" s="606"/>
      <c r="N963" s="159"/>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row>
    <row r="964">
      <c r="A964" s="159"/>
      <c r="B964" s="159"/>
      <c r="C964" s="159"/>
      <c r="D964" s="159"/>
      <c r="E964" s="159"/>
      <c r="F964" s="159"/>
      <c r="G964" s="159"/>
      <c r="H964" s="159"/>
      <c r="I964" s="159"/>
      <c r="J964" s="159"/>
      <c r="K964" s="159"/>
      <c r="L964" s="159"/>
      <c r="M964" s="606"/>
      <c r="N964" s="159"/>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row>
    <row r="965">
      <c r="A965" s="159"/>
      <c r="B965" s="159"/>
      <c r="C965" s="159"/>
      <c r="D965" s="159"/>
      <c r="E965" s="159"/>
      <c r="F965" s="159"/>
      <c r="G965" s="159"/>
      <c r="H965" s="159"/>
      <c r="I965" s="159"/>
      <c r="J965" s="159"/>
      <c r="K965" s="159"/>
      <c r="L965" s="159"/>
      <c r="M965" s="606"/>
      <c r="N965" s="159"/>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row>
    <row r="966">
      <c r="A966" s="159"/>
      <c r="B966" s="159"/>
      <c r="C966" s="159"/>
      <c r="D966" s="159"/>
      <c r="E966" s="159"/>
      <c r="F966" s="159"/>
      <c r="G966" s="159"/>
      <c r="H966" s="159"/>
      <c r="I966" s="159"/>
      <c r="J966" s="159"/>
      <c r="K966" s="159"/>
      <c r="L966" s="159"/>
      <c r="M966" s="606"/>
      <c r="N966" s="159"/>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row>
    <row r="967">
      <c r="A967" s="159"/>
      <c r="B967" s="159"/>
      <c r="C967" s="159"/>
      <c r="D967" s="159"/>
      <c r="E967" s="159"/>
      <c r="F967" s="159"/>
      <c r="G967" s="159"/>
      <c r="H967" s="159"/>
      <c r="I967" s="159"/>
      <c r="J967" s="159"/>
      <c r="K967" s="159"/>
      <c r="L967" s="159"/>
      <c r="M967" s="606"/>
      <c r="N967" s="159"/>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row>
    <row r="968">
      <c r="A968" s="159"/>
      <c r="B968" s="159"/>
      <c r="C968" s="159"/>
      <c r="D968" s="159"/>
      <c r="E968" s="159"/>
      <c r="F968" s="159"/>
      <c r="G968" s="159"/>
      <c r="H968" s="159"/>
      <c r="I968" s="159"/>
      <c r="J968" s="159"/>
      <c r="K968" s="159"/>
      <c r="L968" s="159"/>
      <c r="M968" s="606"/>
      <c r="N968" s="159"/>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row>
    <row r="969">
      <c r="A969" s="159"/>
      <c r="B969" s="159"/>
      <c r="C969" s="159"/>
      <c r="D969" s="159"/>
      <c r="E969" s="159"/>
      <c r="F969" s="159"/>
      <c r="G969" s="159"/>
      <c r="H969" s="159"/>
      <c r="I969" s="159"/>
      <c r="J969" s="159"/>
      <c r="K969" s="159"/>
      <c r="L969" s="159"/>
      <c r="M969" s="606"/>
      <c r="N969" s="159"/>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row>
    <row r="970">
      <c r="A970" s="159"/>
      <c r="B970" s="159"/>
      <c r="C970" s="159"/>
      <c r="D970" s="159"/>
      <c r="E970" s="159"/>
      <c r="F970" s="159"/>
      <c r="G970" s="159"/>
      <c r="H970" s="159"/>
      <c r="I970" s="159"/>
      <c r="J970" s="159"/>
      <c r="K970" s="159"/>
      <c r="L970" s="159"/>
      <c r="M970" s="606"/>
      <c r="N970" s="159"/>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row>
    <row r="971">
      <c r="A971" s="159"/>
      <c r="B971" s="159"/>
      <c r="C971" s="159"/>
      <c r="D971" s="159"/>
      <c r="E971" s="159"/>
      <c r="F971" s="159"/>
      <c r="G971" s="159"/>
      <c r="H971" s="159"/>
      <c r="I971" s="159"/>
      <c r="J971" s="159"/>
      <c r="K971" s="159"/>
      <c r="L971" s="159"/>
      <c r="M971" s="606"/>
      <c r="N971" s="159"/>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row>
    <row r="972">
      <c r="A972" s="159"/>
      <c r="B972" s="159"/>
      <c r="C972" s="159"/>
      <c r="D972" s="159"/>
      <c r="E972" s="159"/>
      <c r="F972" s="159"/>
      <c r="G972" s="159"/>
      <c r="H972" s="159"/>
      <c r="I972" s="159"/>
      <c r="J972" s="159"/>
      <c r="K972" s="159"/>
      <c r="L972" s="159"/>
      <c r="M972" s="606"/>
      <c r="N972" s="159"/>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row>
    <row r="973">
      <c r="A973" s="159"/>
      <c r="B973" s="159"/>
      <c r="C973" s="159"/>
      <c r="D973" s="159"/>
      <c r="E973" s="159"/>
      <c r="F973" s="159"/>
      <c r="G973" s="159"/>
      <c r="H973" s="159"/>
      <c r="I973" s="159"/>
      <c r="J973" s="159"/>
      <c r="K973" s="159"/>
      <c r="L973" s="159"/>
      <c r="M973" s="606"/>
      <c r="N973" s="159"/>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row>
    <row r="974">
      <c r="A974" s="159"/>
      <c r="B974" s="159"/>
      <c r="C974" s="159"/>
      <c r="D974" s="159"/>
      <c r="E974" s="159"/>
      <c r="F974" s="159"/>
      <c r="G974" s="159"/>
      <c r="H974" s="159"/>
      <c r="I974" s="159"/>
      <c r="J974" s="159"/>
      <c r="K974" s="159"/>
      <c r="L974" s="159"/>
      <c r="M974" s="606"/>
      <c r="N974" s="159"/>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row>
    <row r="975">
      <c r="A975" s="159"/>
      <c r="B975" s="159"/>
      <c r="C975" s="159"/>
      <c r="D975" s="159"/>
      <c r="E975" s="159"/>
      <c r="F975" s="159"/>
      <c r="G975" s="159"/>
      <c r="H975" s="159"/>
      <c r="I975" s="159"/>
      <c r="J975" s="159"/>
      <c r="K975" s="159"/>
      <c r="L975" s="159"/>
      <c r="M975" s="606"/>
      <c r="N975" s="159"/>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row>
    <row r="976">
      <c r="A976" s="159"/>
      <c r="B976" s="159"/>
      <c r="C976" s="159"/>
      <c r="D976" s="159"/>
      <c r="E976" s="159"/>
      <c r="F976" s="159"/>
      <c r="G976" s="159"/>
      <c r="H976" s="159"/>
      <c r="I976" s="159"/>
      <c r="J976" s="159"/>
      <c r="K976" s="159"/>
      <c r="L976" s="159"/>
      <c r="M976" s="606"/>
      <c r="N976" s="159"/>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row>
    <row r="977">
      <c r="A977" s="159"/>
      <c r="B977" s="159"/>
      <c r="C977" s="159"/>
      <c r="D977" s="159"/>
      <c r="E977" s="159"/>
      <c r="F977" s="159"/>
      <c r="G977" s="159"/>
      <c r="H977" s="159"/>
      <c r="I977" s="159"/>
      <c r="J977" s="159"/>
      <c r="K977" s="159"/>
      <c r="L977" s="159"/>
      <c r="M977" s="606"/>
      <c r="N977" s="159"/>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row>
    <row r="978">
      <c r="A978" s="159"/>
      <c r="B978" s="159"/>
      <c r="C978" s="159"/>
      <c r="D978" s="159"/>
      <c r="E978" s="159"/>
      <c r="F978" s="159"/>
      <c r="G978" s="159"/>
      <c r="H978" s="159"/>
      <c r="I978" s="159"/>
      <c r="J978" s="159"/>
      <c r="K978" s="159"/>
      <c r="L978" s="159"/>
      <c r="M978" s="606"/>
      <c r="N978" s="159"/>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row>
    <row r="979">
      <c r="A979" s="159"/>
      <c r="B979" s="159"/>
      <c r="C979" s="159"/>
      <c r="D979" s="159"/>
      <c r="E979" s="159"/>
      <c r="F979" s="159"/>
      <c r="G979" s="159"/>
      <c r="H979" s="159"/>
      <c r="I979" s="159"/>
      <c r="J979" s="159"/>
      <c r="K979" s="159"/>
      <c r="L979" s="159"/>
      <c r="M979" s="606"/>
      <c r="N979" s="159"/>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c r="BS979" s="159"/>
      <c r="BT979" s="159"/>
      <c r="BU979" s="159"/>
      <c r="BV979" s="159"/>
      <c r="BW979" s="159"/>
      <c r="BX979" s="159"/>
      <c r="BY979" s="159"/>
      <c r="BZ979" s="159"/>
      <c r="CA979" s="159"/>
      <c r="CB979" s="159"/>
      <c r="CC979" s="159"/>
    </row>
    <row r="980">
      <c r="A980" s="159"/>
      <c r="B980" s="159"/>
      <c r="C980" s="159"/>
      <c r="D980" s="159"/>
      <c r="E980" s="159"/>
      <c r="F980" s="159"/>
      <c r="G980" s="159"/>
      <c r="H980" s="159"/>
      <c r="I980" s="159"/>
      <c r="J980" s="159"/>
      <c r="K980" s="159"/>
      <c r="L980" s="159"/>
      <c r="M980" s="606"/>
      <c r="N980" s="159"/>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c r="BS980" s="159"/>
      <c r="BT980" s="159"/>
      <c r="BU980" s="159"/>
      <c r="BV980" s="159"/>
      <c r="BW980" s="159"/>
      <c r="BX980" s="159"/>
      <c r="BY980" s="159"/>
      <c r="BZ980" s="159"/>
      <c r="CA980" s="159"/>
      <c r="CB980" s="159"/>
      <c r="CC980" s="159"/>
    </row>
    <row r="981">
      <c r="A981" s="159"/>
      <c r="B981" s="159"/>
      <c r="C981" s="159"/>
      <c r="D981" s="159"/>
      <c r="E981" s="159"/>
      <c r="F981" s="159"/>
      <c r="G981" s="159"/>
      <c r="H981" s="159"/>
      <c r="I981" s="159"/>
      <c r="J981" s="159"/>
      <c r="K981" s="159"/>
      <c r="L981" s="159"/>
      <c r="M981" s="606"/>
      <c r="N981" s="159"/>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c r="BS981" s="159"/>
      <c r="BT981" s="159"/>
      <c r="BU981" s="159"/>
      <c r="BV981" s="159"/>
      <c r="BW981" s="159"/>
      <c r="BX981" s="159"/>
      <c r="BY981" s="159"/>
      <c r="BZ981" s="159"/>
      <c r="CA981" s="159"/>
      <c r="CB981" s="159"/>
      <c r="CC981" s="159"/>
    </row>
    <row r="982">
      <c r="A982" s="159"/>
      <c r="B982" s="159"/>
      <c r="C982" s="159"/>
      <c r="D982" s="159"/>
      <c r="E982" s="159"/>
      <c r="F982" s="159"/>
      <c r="G982" s="159"/>
      <c r="H982" s="159"/>
      <c r="I982" s="159"/>
      <c r="J982" s="159"/>
      <c r="K982" s="159"/>
      <c r="L982" s="159"/>
      <c r="M982" s="606"/>
      <c r="N982" s="159"/>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c r="BS982" s="159"/>
      <c r="BT982" s="159"/>
      <c r="BU982" s="159"/>
      <c r="BV982" s="159"/>
      <c r="BW982" s="159"/>
      <c r="BX982" s="159"/>
      <c r="BY982" s="159"/>
      <c r="BZ982" s="159"/>
      <c r="CA982" s="159"/>
      <c r="CB982" s="159"/>
      <c r="CC982" s="159"/>
    </row>
    <row r="983">
      <c r="A983" s="159"/>
      <c r="B983" s="159"/>
      <c r="C983" s="159"/>
      <c r="D983" s="159"/>
      <c r="E983" s="159"/>
      <c r="F983" s="159"/>
      <c r="G983" s="159"/>
      <c r="H983" s="159"/>
      <c r="I983" s="159"/>
      <c r="J983" s="159"/>
      <c r="K983" s="159"/>
      <c r="L983" s="159"/>
      <c r="M983" s="606"/>
      <c r="N983" s="159"/>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c r="BS983" s="159"/>
      <c r="BT983" s="159"/>
      <c r="BU983" s="159"/>
      <c r="BV983" s="159"/>
      <c r="BW983" s="159"/>
      <c r="BX983" s="159"/>
      <c r="BY983" s="159"/>
      <c r="BZ983" s="159"/>
      <c r="CA983" s="159"/>
      <c r="CB983" s="159"/>
      <c r="CC983" s="159"/>
    </row>
    <row r="984">
      <c r="A984" s="159"/>
      <c r="B984" s="159"/>
      <c r="C984" s="159"/>
      <c r="D984" s="159"/>
      <c r="E984" s="159"/>
      <c r="F984" s="159"/>
      <c r="G984" s="159"/>
      <c r="H984" s="159"/>
      <c r="I984" s="159"/>
      <c r="J984" s="159"/>
      <c r="K984" s="159"/>
      <c r="L984" s="159"/>
      <c r="M984" s="606"/>
      <c r="N984" s="159"/>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c r="BS984" s="159"/>
      <c r="BT984" s="159"/>
      <c r="BU984" s="159"/>
      <c r="BV984" s="159"/>
      <c r="BW984" s="159"/>
      <c r="BX984" s="159"/>
      <c r="BY984" s="159"/>
      <c r="BZ984" s="159"/>
      <c r="CA984" s="159"/>
      <c r="CB984" s="159"/>
      <c r="CC984" s="159"/>
    </row>
    <row r="985">
      <c r="A985" s="159"/>
      <c r="B985" s="159"/>
      <c r="C985" s="159"/>
      <c r="D985" s="159"/>
      <c r="E985" s="159"/>
      <c r="F985" s="159"/>
      <c r="G985" s="159"/>
      <c r="H985" s="159"/>
      <c r="I985" s="159"/>
      <c r="J985" s="159"/>
      <c r="K985" s="159"/>
      <c r="L985" s="159"/>
      <c r="M985" s="606"/>
      <c r="N985" s="159"/>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c r="BS985" s="159"/>
      <c r="BT985" s="159"/>
      <c r="BU985" s="159"/>
      <c r="BV985" s="159"/>
      <c r="BW985" s="159"/>
      <c r="BX985" s="159"/>
      <c r="BY985" s="159"/>
      <c r="BZ985" s="159"/>
      <c r="CA985" s="159"/>
      <c r="CB985" s="159"/>
      <c r="CC985" s="159"/>
    </row>
    <row r="986">
      <c r="A986" s="159"/>
      <c r="B986" s="159"/>
      <c r="C986" s="159"/>
      <c r="D986" s="159"/>
      <c r="E986" s="159"/>
      <c r="F986" s="159"/>
      <c r="G986" s="159"/>
      <c r="H986" s="159"/>
      <c r="I986" s="159"/>
      <c r="J986" s="159"/>
      <c r="K986" s="159"/>
      <c r="L986" s="159"/>
      <c r="M986" s="606"/>
      <c r="N986" s="159"/>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c r="BS986" s="159"/>
      <c r="BT986" s="159"/>
      <c r="BU986" s="159"/>
      <c r="BV986" s="159"/>
      <c r="BW986" s="159"/>
      <c r="BX986" s="159"/>
      <c r="BY986" s="159"/>
      <c r="BZ986" s="159"/>
      <c r="CA986" s="159"/>
      <c r="CB986" s="159"/>
      <c r="CC986" s="159"/>
    </row>
    <row r="987">
      <c r="A987" s="159"/>
      <c r="B987" s="159"/>
      <c r="C987" s="159"/>
      <c r="D987" s="159"/>
      <c r="E987" s="159"/>
      <c r="F987" s="159"/>
      <c r="G987" s="159"/>
      <c r="H987" s="159"/>
      <c r="I987" s="159"/>
      <c r="J987" s="159"/>
      <c r="K987" s="159"/>
      <c r="L987" s="159"/>
      <c r="M987" s="606"/>
      <c r="N987" s="159"/>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c r="BS987" s="159"/>
      <c r="BT987" s="159"/>
      <c r="BU987" s="159"/>
      <c r="BV987" s="159"/>
      <c r="BW987" s="159"/>
      <c r="BX987" s="159"/>
      <c r="BY987" s="159"/>
      <c r="BZ987" s="159"/>
      <c r="CA987" s="159"/>
      <c r="CB987" s="159"/>
      <c r="CC987" s="159"/>
    </row>
    <row r="988">
      <c r="A988" s="159"/>
      <c r="B988" s="159"/>
      <c r="C988" s="159"/>
      <c r="D988" s="159"/>
      <c r="E988" s="159"/>
      <c r="F988" s="159"/>
      <c r="G988" s="159"/>
      <c r="H988" s="159"/>
      <c r="I988" s="159"/>
      <c r="J988" s="159"/>
      <c r="K988" s="159"/>
      <c r="L988" s="159"/>
      <c r="M988" s="606"/>
      <c r="N988" s="159"/>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c r="BS988" s="159"/>
      <c r="BT988" s="159"/>
      <c r="BU988" s="159"/>
      <c r="BV988" s="159"/>
      <c r="BW988" s="159"/>
      <c r="BX988" s="159"/>
      <c r="BY988" s="159"/>
      <c r="BZ988" s="159"/>
      <c r="CA988" s="159"/>
      <c r="CB988" s="159"/>
      <c r="CC988" s="159"/>
    </row>
    <row r="989">
      <c r="A989" s="159"/>
      <c r="B989" s="159"/>
      <c r="C989" s="159"/>
      <c r="D989" s="159"/>
      <c r="E989" s="159"/>
      <c r="F989" s="159"/>
      <c r="G989" s="159"/>
      <c r="H989" s="159"/>
      <c r="I989" s="159"/>
      <c r="J989" s="159"/>
      <c r="K989" s="159"/>
      <c r="L989" s="159"/>
      <c r="M989" s="606"/>
      <c r="N989" s="159"/>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c r="BS989" s="159"/>
      <c r="BT989" s="159"/>
      <c r="BU989" s="159"/>
      <c r="BV989" s="159"/>
      <c r="BW989" s="159"/>
      <c r="BX989" s="159"/>
      <c r="BY989" s="159"/>
      <c r="BZ989" s="159"/>
      <c r="CA989" s="159"/>
      <c r="CB989" s="159"/>
      <c r="CC989" s="159"/>
    </row>
    <row r="990">
      <c r="A990" s="159"/>
      <c r="B990" s="159"/>
      <c r="C990" s="159"/>
      <c r="D990" s="159"/>
      <c r="E990" s="159"/>
      <c r="F990" s="159"/>
      <c r="G990" s="159"/>
      <c r="H990" s="159"/>
      <c r="I990" s="159"/>
      <c r="J990" s="159"/>
      <c r="K990" s="159"/>
      <c r="L990" s="159"/>
      <c r="M990" s="606"/>
      <c r="N990" s="159"/>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c r="BS990" s="159"/>
      <c r="BT990" s="159"/>
      <c r="BU990" s="159"/>
      <c r="BV990" s="159"/>
      <c r="BW990" s="159"/>
      <c r="BX990" s="159"/>
      <c r="BY990" s="159"/>
      <c r="BZ990" s="159"/>
      <c r="CA990" s="159"/>
      <c r="CB990" s="159"/>
      <c r="CC990" s="159"/>
    </row>
    <row r="991">
      <c r="A991" s="159"/>
      <c r="B991" s="159"/>
      <c r="C991" s="159"/>
      <c r="D991" s="159"/>
      <c r="E991" s="159"/>
      <c r="F991" s="159"/>
      <c r="G991" s="159"/>
      <c r="H991" s="159"/>
      <c r="I991" s="159"/>
      <c r="J991" s="159"/>
      <c r="K991" s="159"/>
      <c r="L991" s="159"/>
      <c r="M991" s="606"/>
      <c r="N991" s="159"/>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c r="BS991" s="159"/>
      <c r="BT991" s="159"/>
      <c r="BU991" s="159"/>
      <c r="BV991" s="159"/>
      <c r="BW991" s="159"/>
      <c r="BX991" s="159"/>
      <c r="BY991" s="159"/>
      <c r="BZ991" s="159"/>
      <c r="CA991" s="159"/>
      <c r="CB991" s="159"/>
      <c r="CC991" s="159"/>
    </row>
    <row r="992">
      <c r="A992" s="159"/>
      <c r="B992" s="159"/>
      <c r="C992" s="159"/>
      <c r="D992" s="159"/>
      <c r="E992" s="159"/>
      <c r="F992" s="159"/>
      <c r="G992" s="159"/>
      <c r="H992" s="159"/>
      <c r="I992" s="159"/>
      <c r="J992" s="159"/>
      <c r="K992" s="159"/>
      <c r="L992" s="159"/>
      <c r="M992" s="606"/>
      <c r="N992" s="159"/>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c r="BS992" s="159"/>
      <c r="BT992" s="159"/>
      <c r="BU992" s="159"/>
      <c r="BV992" s="159"/>
      <c r="BW992" s="159"/>
      <c r="BX992" s="159"/>
      <c r="BY992" s="159"/>
      <c r="BZ992" s="159"/>
      <c r="CA992" s="159"/>
      <c r="CB992" s="159"/>
      <c r="CC992" s="159"/>
    </row>
    <row r="993">
      <c r="A993" s="159"/>
      <c r="B993" s="159"/>
      <c r="C993" s="159"/>
      <c r="D993" s="159"/>
      <c r="E993" s="159"/>
      <c r="F993" s="159"/>
      <c r="G993" s="159"/>
      <c r="H993" s="159"/>
      <c r="I993" s="159"/>
      <c r="J993" s="159"/>
      <c r="K993" s="159"/>
      <c r="L993" s="159"/>
      <c r="M993" s="606"/>
      <c r="N993" s="159"/>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c r="BS993" s="159"/>
      <c r="BT993" s="159"/>
      <c r="BU993" s="159"/>
      <c r="BV993" s="159"/>
      <c r="BW993" s="159"/>
      <c r="BX993" s="159"/>
      <c r="BY993" s="159"/>
      <c r="BZ993" s="159"/>
      <c r="CA993" s="159"/>
      <c r="CB993" s="159"/>
      <c r="CC993" s="159"/>
    </row>
    <row r="994">
      <c r="A994" s="159"/>
      <c r="B994" s="159"/>
      <c r="C994" s="159"/>
      <c r="D994" s="159"/>
      <c r="E994" s="159"/>
      <c r="F994" s="159"/>
      <c r="G994" s="159"/>
      <c r="H994" s="159"/>
      <c r="I994" s="159"/>
      <c r="J994" s="159"/>
      <c r="K994" s="159"/>
      <c r="L994" s="159"/>
      <c r="M994" s="606"/>
      <c r="N994" s="159"/>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c r="BS994" s="159"/>
      <c r="BT994" s="159"/>
      <c r="BU994" s="159"/>
      <c r="BV994" s="159"/>
      <c r="BW994" s="159"/>
      <c r="BX994" s="159"/>
      <c r="BY994" s="159"/>
      <c r="BZ994" s="159"/>
      <c r="CA994" s="159"/>
      <c r="CB994" s="159"/>
      <c r="CC994" s="159"/>
    </row>
    <row r="995">
      <c r="A995" s="159"/>
      <c r="B995" s="159"/>
      <c r="C995" s="159"/>
      <c r="D995" s="159"/>
      <c r="E995" s="159"/>
      <c r="F995" s="159"/>
      <c r="G995" s="159"/>
      <c r="H995" s="159"/>
      <c r="I995" s="159"/>
      <c r="J995" s="159"/>
      <c r="K995" s="159"/>
      <c r="L995" s="159"/>
      <c r="M995" s="606"/>
      <c r="N995" s="159"/>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c r="BS995" s="159"/>
      <c r="BT995" s="159"/>
      <c r="BU995" s="159"/>
      <c r="BV995" s="159"/>
      <c r="BW995" s="159"/>
      <c r="BX995" s="159"/>
      <c r="BY995" s="159"/>
      <c r="BZ995" s="159"/>
      <c r="CA995" s="159"/>
      <c r="CB995" s="159"/>
      <c r="CC995" s="159"/>
    </row>
    <row r="996">
      <c r="A996" s="159"/>
      <c r="B996" s="159"/>
      <c r="C996" s="159"/>
      <c r="D996" s="159"/>
      <c r="E996" s="159"/>
      <c r="F996" s="159"/>
      <c r="G996" s="159"/>
      <c r="H996" s="159"/>
      <c r="I996" s="159"/>
      <c r="J996" s="159"/>
      <c r="K996" s="159"/>
      <c r="L996" s="159"/>
      <c r="M996" s="606"/>
      <c r="N996" s="159"/>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c r="BS996" s="159"/>
      <c r="BT996" s="159"/>
      <c r="BU996" s="159"/>
      <c r="BV996" s="159"/>
      <c r="BW996" s="159"/>
      <c r="BX996" s="159"/>
      <c r="BY996" s="159"/>
      <c r="BZ996" s="159"/>
      <c r="CA996" s="159"/>
      <c r="CB996" s="159"/>
      <c r="CC996" s="159"/>
    </row>
    <row r="997">
      <c r="A997" s="159"/>
      <c r="B997" s="159"/>
      <c r="C997" s="159"/>
      <c r="D997" s="159"/>
      <c r="E997" s="159"/>
      <c r="F997" s="159"/>
      <c r="G997" s="159"/>
      <c r="H997" s="159"/>
      <c r="I997" s="159"/>
      <c r="J997" s="159"/>
      <c r="K997" s="159"/>
      <c r="L997" s="159"/>
      <c r="M997" s="606"/>
      <c r="N997" s="159"/>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c r="BS997" s="159"/>
      <c r="BT997" s="159"/>
      <c r="BU997" s="159"/>
      <c r="BV997" s="159"/>
      <c r="BW997" s="159"/>
      <c r="BX997" s="159"/>
      <c r="BY997" s="159"/>
      <c r="BZ997" s="159"/>
      <c r="CA997" s="159"/>
      <c r="CB997" s="159"/>
      <c r="CC997" s="159"/>
    </row>
    <row r="998">
      <c r="A998" s="159"/>
      <c r="B998" s="159"/>
      <c r="C998" s="159"/>
      <c r="D998" s="159"/>
      <c r="E998" s="159"/>
      <c r="F998" s="159"/>
      <c r="G998" s="159"/>
      <c r="H998" s="159"/>
      <c r="I998" s="159"/>
      <c r="J998" s="159"/>
      <c r="K998" s="159"/>
      <c r="L998" s="159"/>
      <c r="M998" s="606"/>
      <c r="N998" s="159"/>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c r="BS998" s="159"/>
      <c r="BT998" s="159"/>
      <c r="BU998" s="159"/>
      <c r="BV998" s="159"/>
      <c r="BW998" s="159"/>
      <c r="BX998" s="159"/>
      <c r="BY998" s="159"/>
      <c r="BZ998" s="159"/>
      <c r="CA998" s="159"/>
      <c r="CB998" s="159"/>
      <c r="CC998" s="159"/>
    </row>
    <row r="999">
      <c r="A999" s="159"/>
      <c r="B999" s="159"/>
      <c r="C999" s="159"/>
      <c r="D999" s="159"/>
      <c r="E999" s="159"/>
      <c r="F999" s="159"/>
      <c r="G999" s="159"/>
      <c r="H999" s="159"/>
      <c r="I999" s="159"/>
      <c r="J999" s="159"/>
      <c r="K999" s="159"/>
      <c r="L999" s="159"/>
      <c r="M999" s="606"/>
      <c r="N999" s="159"/>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c r="BS999" s="159"/>
      <c r="BT999" s="159"/>
      <c r="BU999" s="159"/>
      <c r="BV999" s="159"/>
      <c r="BW999" s="159"/>
      <c r="BX999" s="159"/>
      <c r="BY999" s="159"/>
      <c r="BZ999" s="159"/>
      <c r="CA999" s="159"/>
      <c r="CB999" s="159"/>
      <c r="CC999" s="159"/>
    </row>
    <row r="1000">
      <c r="A1000" s="159"/>
      <c r="B1000" s="159"/>
      <c r="C1000" s="159"/>
      <c r="D1000" s="159"/>
      <c r="E1000" s="159"/>
      <c r="F1000" s="159"/>
      <c r="G1000" s="159"/>
      <c r="H1000" s="159"/>
      <c r="I1000" s="159"/>
      <c r="J1000" s="159"/>
      <c r="K1000" s="159"/>
      <c r="L1000" s="159"/>
      <c r="M1000" s="606"/>
      <c r="N1000" s="159"/>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c r="BS1000" s="159"/>
      <c r="BT1000" s="159"/>
      <c r="BU1000" s="159"/>
      <c r="BV1000" s="159"/>
      <c r="BW1000" s="159"/>
      <c r="BX1000" s="159"/>
      <c r="BY1000" s="159"/>
      <c r="BZ1000" s="159"/>
      <c r="CA1000" s="159"/>
      <c r="CB1000" s="159"/>
      <c r="CC1000" s="159"/>
    </row>
    <row r="1001">
      <c r="A1001" s="159"/>
      <c r="B1001" s="159"/>
      <c r="C1001" s="159"/>
      <c r="D1001" s="159"/>
      <c r="E1001" s="159"/>
      <c r="F1001" s="159"/>
      <c r="G1001" s="159"/>
      <c r="H1001" s="159"/>
      <c r="I1001" s="159"/>
      <c r="J1001" s="159"/>
      <c r="K1001" s="159"/>
      <c r="L1001" s="159"/>
      <c r="M1001" s="606"/>
      <c r="N1001" s="159"/>
      <c r="O1001" s="159"/>
      <c r="P1001" s="159"/>
      <c r="Q1001" s="159"/>
      <c r="R1001" s="159"/>
      <c r="S1001" s="159"/>
      <c r="T1001" s="159"/>
      <c r="U1001" s="159"/>
      <c r="V1001" s="159"/>
      <c r="W1001" s="159"/>
      <c r="X1001" s="159"/>
      <c r="Y1001" s="159"/>
      <c r="Z1001" s="159"/>
      <c r="AA1001" s="159"/>
      <c r="AB1001" s="159"/>
      <c r="AC1001" s="159"/>
      <c r="AD1001" s="159"/>
      <c r="AE1001" s="159"/>
      <c r="AF1001" s="159"/>
      <c r="AG1001" s="159"/>
      <c r="AH1001" s="159"/>
      <c r="AI1001" s="159"/>
      <c r="AJ1001" s="159"/>
      <c r="AK1001" s="159"/>
      <c r="AL1001" s="159"/>
      <c r="AM1001" s="159"/>
      <c r="AN1001" s="159"/>
      <c r="AO1001" s="159"/>
      <c r="AP1001" s="159"/>
      <c r="AQ1001" s="159"/>
      <c r="AR1001" s="159"/>
      <c r="AS1001" s="159"/>
      <c r="AT1001" s="159"/>
      <c r="AU1001" s="159"/>
      <c r="AV1001" s="159"/>
      <c r="AW1001" s="159"/>
      <c r="AX1001" s="159"/>
      <c r="AY1001" s="159"/>
      <c r="AZ1001" s="159"/>
      <c r="BA1001" s="159"/>
      <c r="BB1001" s="159"/>
      <c r="BC1001" s="159"/>
      <c r="BD1001" s="159"/>
      <c r="BE1001" s="159"/>
      <c r="BF1001" s="159"/>
      <c r="BG1001" s="159"/>
      <c r="BH1001" s="159"/>
      <c r="BI1001" s="159"/>
      <c r="BJ1001" s="159"/>
      <c r="BK1001" s="159"/>
      <c r="BL1001" s="159"/>
      <c r="BM1001" s="159"/>
      <c r="BN1001" s="159"/>
      <c r="BO1001" s="159"/>
      <c r="BP1001" s="159"/>
      <c r="BQ1001" s="159"/>
      <c r="BR1001" s="159"/>
      <c r="BS1001" s="159"/>
      <c r="BT1001" s="159"/>
      <c r="BU1001" s="159"/>
      <c r="BV1001" s="159"/>
      <c r="BW1001" s="159"/>
      <c r="BX1001" s="159"/>
      <c r="BY1001" s="159"/>
      <c r="BZ1001" s="159"/>
      <c r="CA1001" s="159"/>
      <c r="CB1001" s="159"/>
      <c r="CC1001" s="159"/>
    </row>
    <row r="1002">
      <c r="A1002" s="159"/>
      <c r="B1002" s="159"/>
      <c r="C1002" s="159"/>
      <c r="D1002" s="159"/>
      <c r="E1002" s="159"/>
      <c r="F1002" s="159"/>
      <c r="G1002" s="159"/>
      <c r="H1002" s="159"/>
      <c r="I1002" s="159"/>
      <c r="J1002" s="159"/>
      <c r="K1002" s="159"/>
      <c r="L1002" s="159"/>
      <c r="M1002" s="606"/>
      <c r="N1002" s="159"/>
      <c r="O1002" s="159"/>
      <c r="P1002" s="159"/>
      <c r="Q1002" s="159"/>
      <c r="R1002" s="159"/>
      <c r="S1002" s="159"/>
      <c r="T1002" s="159"/>
      <c r="U1002" s="159"/>
      <c r="V1002" s="159"/>
      <c r="W1002" s="159"/>
      <c r="X1002" s="159"/>
      <c r="Y1002" s="159"/>
      <c r="Z1002" s="159"/>
      <c r="AA1002" s="159"/>
      <c r="AB1002" s="159"/>
      <c r="AC1002" s="159"/>
      <c r="AD1002" s="159"/>
      <c r="AE1002" s="159"/>
      <c r="AF1002" s="159"/>
      <c r="AG1002" s="159"/>
      <c r="AH1002" s="159"/>
      <c r="AI1002" s="159"/>
      <c r="AJ1002" s="159"/>
      <c r="AK1002" s="159"/>
      <c r="AL1002" s="159"/>
      <c r="AM1002" s="159"/>
      <c r="AN1002" s="159"/>
      <c r="AO1002" s="159"/>
      <c r="AP1002" s="159"/>
      <c r="AQ1002" s="159"/>
      <c r="AR1002" s="159"/>
      <c r="AS1002" s="159"/>
      <c r="AT1002" s="159"/>
      <c r="AU1002" s="159"/>
      <c r="AV1002" s="159"/>
      <c r="AW1002" s="159"/>
      <c r="AX1002" s="159"/>
      <c r="AY1002" s="159"/>
      <c r="AZ1002" s="159"/>
      <c r="BA1002" s="159"/>
      <c r="BB1002" s="159"/>
      <c r="BC1002" s="159"/>
      <c r="BD1002" s="159"/>
      <c r="BE1002" s="159"/>
      <c r="BF1002" s="159"/>
      <c r="BG1002" s="159"/>
      <c r="BH1002" s="159"/>
      <c r="BI1002" s="159"/>
      <c r="BJ1002" s="159"/>
      <c r="BK1002" s="159"/>
      <c r="BL1002" s="159"/>
      <c r="BM1002" s="159"/>
      <c r="BN1002" s="159"/>
      <c r="BO1002" s="159"/>
      <c r="BP1002" s="159"/>
      <c r="BQ1002" s="159"/>
      <c r="BR1002" s="159"/>
      <c r="BS1002" s="159"/>
      <c r="BT1002" s="159"/>
      <c r="BU1002" s="159"/>
      <c r="BV1002" s="159"/>
      <c r="BW1002" s="159"/>
      <c r="BX1002" s="159"/>
      <c r="BY1002" s="159"/>
      <c r="BZ1002" s="159"/>
      <c r="CA1002" s="159"/>
      <c r="CB1002" s="159"/>
      <c r="CC1002" s="159"/>
    </row>
    <row r="1003">
      <c r="A1003" s="159"/>
      <c r="B1003" s="159"/>
      <c r="C1003" s="159"/>
      <c r="D1003" s="159"/>
      <c r="E1003" s="159"/>
      <c r="F1003" s="159"/>
      <c r="G1003" s="159"/>
      <c r="H1003" s="159"/>
      <c r="I1003" s="159"/>
      <c r="J1003" s="159"/>
      <c r="K1003" s="159"/>
      <c r="L1003" s="159"/>
      <c r="M1003" s="606"/>
      <c r="N1003" s="159"/>
      <c r="O1003" s="159"/>
      <c r="P1003" s="159"/>
      <c r="Q1003" s="159"/>
      <c r="R1003" s="159"/>
      <c r="S1003" s="159"/>
      <c r="T1003" s="159"/>
      <c r="U1003" s="159"/>
      <c r="V1003" s="159"/>
      <c r="W1003" s="159"/>
      <c r="X1003" s="159"/>
      <c r="Y1003" s="159"/>
      <c r="Z1003" s="159"/>
      <c r="AA1003" s="159"/>
      <c r="AB1003" s="159"/>
      <c r="AC1003" s="159"/>
      <c r="AD1003" s="159"/>
      <c r="AE1003" s="159"/>
      <c r="AF1003" s="159"/>
      <c r="AG1003" s="159"/>
      <c r="AH1003" s="159"/>
      <c r="AI1003" s="159"/>
      <c r="AJ1003" s="159"/>
      <c r="AK1003" s="159"/>
      <c r="AL1003" s="159"/>
      <c r="AM1003" s="159"/>
      <c r="AN1003" s="159"/>
      <c r="AO1003" s="159"/>
      <c r="AP1003" s="159"/>
      <c r="AQ1003" s="159"/>
      <c r="AR1003" s="159"/>
      <c r="AS1003" s="159"/>
      <c r="AT1003" s="159"/>
      <c r="AU1003" s="159"/>
      <c r="AV1003" s="159"/>
      <c r="AW1003" s="159"/>
      <c r="AX1003" s="159"/>
      <c r="AY1003" s="159"/>
      <c r="AZ1003" s="159"/>
      <c r="BA1003" s="159"/>
      <c r="BB1003" s="159"/>
      <c r="BC1003" s="159"/>
      <c r="BD1003" s="159"/>
      <c r="BE1003" s="159"/>
      <c r="BF1003" s="159"/>
      <c r="BG1003" s="159"/>
      <c r="BH1003" s="159"/>
      <c r="BI1003" s="159"/>
      <c r="BJ1003" s="159"/>
      <c r="BK1003" s="159"/>
      <c r="BL1003" s="159"/>
      <c r="BM1003" s="159"/>
      <c r="BN1003" s="159"/>
      <c r="BO1003" s="159"/>
      <c r="BP1003" s="159"/>
      <c r="BQ1003" s="159"/>
      <c r="BR1003" s="159"/>
      <c r="BS1003" s="159"/>
      <c r="BT1003" s="159"/>
      <c r="BU1003" s="159"/>
      <c r="BV1003" s="159"/>
      <c r="BW1003" s="159"/>
      <c r="BX1003" s="159"/>
      <c r="BY1003" s="159"/>
      <c r="BZ1003" s="159"/>
      <c r="CA1003" s="159"/>
      <c r="CB1003" s="159"/>
      <c r="CC1003" s="159"/>
    </row>
  </sheetData>
  <mergeCells count="7">
    <mergeCell ref="K1:K2"/>
    <mergeCell ref="J3:J12"/>
    <mergeCell ref="K4:K5"/>
    <mergeCell ref="K6:K8"/>
    <mergeCell ref="K10:K11"/>
    <mergeCell ref="K14:K15"/>
    <mergeCell ref="K17:K43"/>
  </mergeCells>
  <dataValidations>
    <dataValidation type="list" allowBlank="1" showErrorMessage="1" sqref="K16">
      <formula1>"Use regional average,Use global average,Leave blank,Fill with zeros,Use global median"</formula1>
    </dataValidation>
  </dataValidations>
  <hyperlinks>
    <hyperlink r:id="rId2" ref="N2"/>
    <hyperlink r:id="rId3" ref="P2"/>
    <hyperlink r:id="rId4" ref="Q2"/>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643" t="s">
        <v>912</v>
      </c>
      <c r="B1" s="644" t="s">
        <v>682</v>
      </c>
      <c r="C1" s="600" t="s">
        <v>913</v>
      </c>
      <c r="D1" s="600" t="s">
        <v>914</v>
      </c>
      <c r="E1" s="600" t="s">
        <v>915</v>
      </c>
      <c r="F1" s="600" t="s">
        <v>916</v>
      </c>
      <c r="G1" s="600" t="s">
        <v>917</v>
      </c>
      <c r="H1" s="600" t="s">
        <v>918</v>
      </c>
      <c r="I1" s="645" t="s">
        <v>683</v>
      </c>
      <c r="J1" s="646"/>
      <c r="K1" s="647" t="s">
        <v>919</v>
      </c>
      <c r="L1" s="648" t="s">
        <v>920</v>
      </c>
      <c r="M1" s="648" t="s">
        <v>921</v>
      </c>
      <c r="N1" s="648" t="s">
        <v>922</v>
      </c>
      <c r="O1" s="648" t="s">
        <v>923</v>
      </c>
      <c r="P1" s="648" t="s">
        <v>924</v>
      </c>
      <c r="Q1" s="648" t="s">
        <v>925</v>
      </c>
      <c r="R1" s="648" t="s">
        <v>926</v>
      </c>
      <c r="S1" s="649" t="s">
        <v>927</v>
      </c>
      <c r="T1" s="650"/>
      <c r="U1" s="651" t="s">
        <v>928</v>
      </c>
      <c r="V1" s="600" t="s">
        <v>929</v>
      </c>
      <c r="W1" s="600" t="s">
        <v>913</v>
      </c>
      <c r="X1" s="652" t="s">
        <v>930</v>
      </c>
      <c r="Y1" s="650"/>
      <c r="Z1" s="650"/>
      <c r="AA1" s="650"/>
      <c r="AB1" s="650"/>
    </row>
    <row r="2">
      <c r="A2" s="159"/>
      <c r="B2" s="610" t="s">
        <v>693</v>
      </c>
      <c r="C2" s="300" t="s">
        <v>931</v>
      </c>
      <c r="D2" s="300" t="s">
        <v>932</v>
      </c>
      <c r="E2" s="159"/>
      <c r="F2" s="159"/>
      <c r="G2" s="159"/>
      <c r="H2" s="159"/>
      <c r="I2" s="653" t="s">
        <v>905</v>
      </c>
      <c r="J2" s="654"/>
      <c r="K2" s="650"/>
      <c r="L2" s="655" t="s">
        <v>683</v>
      </c>
      <c r="M2" s="641" t="s">
        <v>897</v>
      </c>
      <c r="N2" s="159"/>
      <c r="O2" s="159"/>
      <c r="P2" s="159"/>
      <c r="Q2" s="159"/>
      <c r="R2" s="159"/>
      <c r="S2" s="636"/>
      <c r="T2" s="656"/>
      <c r="U2" s="657"/>
      <c r="V2" s="159" t="s">
        <v>933</v>
      </c>
      <c r="W2" s="300" t="s">
        <v>934</v>
      </c>
      <c r="X2" s="653" t="s">
        <v>778</v>
      </c>
      <c r="Y2" s="656"/>
      <c r="Z2" s="656"/>
      <c r="AA2" s="656"/>
      <c r="AB2" s="656"/>
    </row>
    <row r="3">
      <c r="A3" s="159"/>
      <c r="B3" s="610" t="s">
        <v>696</v>
      </c>
      <c r="C3" s="300" t="s">
        <v>935</v>
      </c>
      <c r="D3" s="300" t="s">
        <v>936</v>
      </c>
      <c r="E3" s="159"/>
      <c r="F3" s="159"/>
      <c r="G3" s="159"/>
      <c r="H3" s="159"/>
      <c r="I3" s="653" t="s">
        <v>900</v>
      </c>
      <c r="J3" s="654"/>
      <c r="K3" s="656"/>
      <c r="L3" s="655" t="s">
        <v>683</v>
      </c>
      <c r="M3" s="641" t="s">
        <v>898</v>
      </c>
      <c r="N3" s="159"/>
      <c r="O3" s="159"/>
      <c r="P3" s="159"/>
      <c r="Q3" s="159"/>
      <c r="R3" s="159"/>
      <c r="S3" s="636"/>
      <c r="T3" s="656"/>
      <c r="U3" s="658"/>
      <c r="V3" s="159" t="s">
        <v>937</v>
      </c>
      <c r="W3" s="300" t="s">
        <v>938</v>
      </c>
      <c r="X3" s="653" t="s">
        <v>778</v>
      </c>
      <c r="Y3" s="656"/>
      <c r="Z3" s="656"/>
      <c r="AA3" s="656"/>
      <c r="AB3" s="656"/>
    </row>
    <row r="4">
      <c r="A4" s="159"/>
      <c r="B4" s="610" t="s">
        <v>697</v>
      </c>
      <c r="C4" s="300" t="s">
        <v>939</v>
      </c>
      <c r="D4" s="300" t="s">
        <v>940</v>
      </c>
      <c r="E4" s="159"/>
      <c r="F4" s="159"/>
      <c r="G4" s="159"/>
      <c r="H4" s="159"/>
      <c r="I4" s="653" t="s">
        <v>902</v>
      </c>
      <c r="J4" s="654"/>
      <c r="K4" s="656"/>
      <c r="L4" s="655" t="s">
        <v>683</v>
      </c>
      <c r="M4" s="641" t="s">
        <v>899</v>
      </c>
      <c r="N4" s="159"/>
      <c r="O4" s="159"/>
      <c r="P4" s="159"/>
      <c r="Q4" s="159"/>
      <c r="R4" s="159"/>
      <c r="S4" s="636"/>
      <c r="T4" s="656"/>
      <c r="U4" s="658"/>
      <c r="V4" s="159" t="s">
        <v>941</v>
      </c>
      <c r="W4" s="300" t="s">
        <v>942</v>
      </c>
      <c r="X4" s="653" t="s">
        <v>778</v>
      </c>
      <c r="Y4" s="656"/>
      <c r="Z4" s="656"/>
      <c r="AA4" s="656"/>
      <c r="AB4" s="656"/>
    </row>
    <row r="5">
      <c r="A5" s="159"/>
      <c r="B5" s="610" t="s">
        <v>699</v>
      </c>
      <c r="C5" s="300" t="s">
        <v>943</v>
      </c>
      <c r="D5" s="300" t="s">
        <v>944</v>
      </c>
      <c r="E5" s="159"/>
      <c r="F5" s="159"/>
      <c r="G5" s="159"/>
      <c r="H5" s="159"/>
      <c r="I5" s="653" t="s">
        <v>900</v>
      </c>
      <c r="J5" s="654"/>
      <c r="K5" s="656"/>
      <c r="L5" s="655" t="s">
        <v>683</v>
      </c>
      <c r="M5" s="641" t="s">
        <v>900</v>
      </c>
      <c r="N5" s="159"/>
      <c r="O5" s="159"/>
      <c r="P5" s="159"/>
      <c r="Q5" s="159"/>
      <c r="R5" s="159"/>
      <c r="S5" s="636"/>
      <c r="T5" s="656"/>
      <c r="U5" s="658"/>
      <c r="V5" s="159" t="s">
        <v>945</v>
      </c>
      <c r="W5" s="300" t="s">
        <v>946</v>
      </c>
      <c r="X5" s="653" t="s">
        <v>778</v>
      </c>
      <c r="Y5" s="656"/>
      <c r="Z5" s="656"/>
      <c r="AA5" s="656"/>
      <c r="AB5" s="656"/>
    </row>
    <row r="6">
      <c r="A6" s="159"/>
      <c r="B6" s="610" t="s">
        <v>700</v>
      </c>
      <c r="C6" s="300" t="s">
        <v>947</v>
      </c>
      <c r="D6" s="300" t="s">
        <v>948</v>
      </c>
      <c r="E6" s="159"/>
      <c r="F6" s="159"/>
      <c r="G6" s="159"/>
      <c r="H6" s="159"/>
      <c r="I6" s="653" t="s">
        <v>907</v>
      </c>
      <c r="J6" s="654"/>
      <c r="K6" s="656"/>
      <c r="L6" s="655" t="s">
        <v>683</v>
      </c>
      <c r="M6" s="641" t="s">
        <v>901</v>
      </c>
      <c r="N6" s="159"/>
      <c r="O6" s="159"/>
      <c r="P6" s="159"/>
      <c r="Q6" s="159"/>
      <c r="R6" s="159"/>
      <c r="S6" s="636"/>
      <c r="T6" s="656"/>
      <c r="U6" s="658"/>
      <c r="V6" s="159" t="s">
        <v>949</v>
      </c>
      <c r="W6" s="300" t="s">
        <v>950</v>
      </c>
      <c r="X6" s="653" t="s">
        <v>778</v>
      </c>
      <c r="Y6" s="656"/>
      <c r="Z6" s="656"/>
      <c r="AA6" s="656"/>
      <c r="AB6" s="656"/>
    </row>
    <row r="7">
      <c r="A7" s="159"/>
      <c r="B7" s="610" t="s">
        <v>701</v>
      </c>
      <c r="C7" s="300" t="s">
        <v>951</v>
      </c>
      <c r="D7" s="159"/>
      <c r="E7" s="159"/>
      <c r="F7" s="159"/>
      <c r="G7" s="159"/>
      <c r="H7" s="159"/>
      <c r="I7" s="653" t="s">
        <v>897</v>
      </c>
      <c r="J7" s="654"/>
      <c r="K7" s="656"/>
      <c r="L7" s="655" t="s">
        <v>683</v>
      </c>
      <c r="M7" s="641" t="s">
        <v>902</v>
      </c>
      <c r="N7" s="159"/>
      <c r="O7" s="159"/>
      <c r="P7" s="159"/>
      <c r="Q7" s="159"/>
      <c r="R7" s="159"/>
      <c r="S7" s="636"/>
      <c r="T7" s="656"/>
      <c r="U7" s="658"/>
      <c r="V7" s="159" t="s">
        <v>952</v>
      </c>
      <c r="W7" s="300" t="s">
        <v>953</v>
      </c>
      <c r="X7" s="653" t="s">
        <v>778</v>
      </c>
      <c r="Y7" s="656"/>
      <c r="Z7" s="656"/>
      <c r="AA7" s="656"/>
      <c r="AB7" s="656"/>
    </row>
    <row r="8">
      <c r="A8" s="159"/>
      <c r="B8" s="610" t="s">
        <v>401</v>
      </c>
      <c r="C8" s="300" t="s">
        <v>954</v>
      </c>
      <c r="D8" s="300" t="s">
        <v>955</v>
      </c>
      <c r="E8" s="159"/>
      <c r="F8" s="159"/>
      <c r="G8" s="159"/>
      <c r="H8" s="159"/>
      <c r="I8" s="653" t="s">
        <v>901</v>
      </c>
      <c r="J8" s="654"/>
      <c r="K8" s="656"/>
      <c r="L8" s="655" t="s">
        <v>683</v>
      </c>
      <c r="M8" s="641" t="s">
        <v>903</v>
      </c>
      <c r="N8" s="159"/>
      <c r="O8" s="159"/>
      <c r="P8" s="159"/>
      <c r="Q8" s="159"/>
      <c r="R8" s="159"/>
      <c r="S8" s="636"/>
      <c r="T8" s="656"/>
      <c r="U8" s="658"/>
      <c r="V8" s="159" t="s">
        <v>956</v>
      </c>
      <c r="W8" s="300" t="s">
        <v>957</v>
      </c>
      <c r="X8" s="653" t="s">
        <v>778</v>
      </c>
      <c r="Y8" s="656"/>
      <c r="Z8" s="656"/>
      <c r="AA8" s="656"/>
      <c r="AB8" s="656"/>
    </row>
    <row r="9">
      <c r="A9" s="159"/>
      <c r="B9" s="610" t="s">
        <v>703</v>
      </c>
      <c r="C9" s="300" t="s">
        <v>958</v>
      </c>
      <c r="D9" s="300" t="s">
        <v>959</v>
      </c>
      <c r="E9" s="159"/>
      <c r="F9" s="159"/>
      <c r="G9" s="159"/>
      <c r="H9" s="159"/>
      <c r="I9" s="653" t="s">
        <v>900</v>
      </c>
      <c r="J9" s="654"/>
      <c r="K9" s="656"/>
      <c r="L9" s="655" t="s">
        <v>683</v>
      </c>
      <c r="M9" s="641" t="s">
        <v>904</v>
      </c>
      <c r="N9" s="159"/>
      <c r="O9" s="159"/>
      <c r="P9" s="159"/>
      <c r="Q9" s="159"/>
      <c r="R9" s="159"/>
      <c r="S9" s="636"/>
      <c r="T9" s="656"/>
      <c r="U9" s="658"/>
      <c r="V9" s="159" t="s">
        <v>960</v>
      </c>
      <c r="W9" s="300" t="s">
        <v>961</v>
      </c>
      <c r="X9" s="653" t="s">
        <v>778</v>
      </c>
      <c r="Y9" s="656"/>
      <c r="Z9" s="656"/>
      <c r="AA9" s="656"/>
      <c r="AB9" s="656"/>
    </row>
    <row r="10">
      <c r="A10" s="159"/>
      <c r="B10" s="610" t="s">
        <v>706</v>
      </c>
      <c r="C10" s="300" t="s">
        <v>962</v>
      </c>
      <c r="D10" s="159"/>
      <c r="E10" s="159"/>
      <c r="F10" s="159"/>
      <c r="G10" s="159"/>
      <c r="H10" s="159"/>
      <c r="I10" s="653" t="s">
        <v>706</v>
      </c>
      <c r="J10" s="654"/>
      <c r="K10" s="656"/>
      <c r="L10" s="655" t="s">
        <v>683</v>
      </c>
      <c r="M10" s="641" t="s">
        <v>905</v>
      </c>
      <c r="N10" s="159"/>
      <c r="O10" s="159"/>
      <c r="P10" s="159"/>
      <c r="Q10" s="159"/>
      <c r="R10" s="159"/>
      <c r="S10" s="636"/>
      <c r="T10" s="656"/>
      <c r="U10" s="658"/>
      <c r="V10" s="159" t="s">
        <v>963</v>
      </c>
      <c r="W10" s="300" t="s">
        <v>964</v>
      </c>
      <c r="X10" s="653" t="s">
        <v>778</v>
      </c>
      <c r="Y10" s="656"/>
      <c r="Z10" s="656"/>
      <c r="AA10" s="656"/>
      <c r="AB10" s="656"/>
    </row>
    <row r="11">
      <c r="A11" s="159"/>
      <c r="B11" s="610" t="s">
        <v>707</v>
      </c>
      <c r="C11" s="300" t="s">
        <v>965</v>
      </c>
      <c r="D11" s="300" t="s">
        <v>966</v>
      </c>
      <c r="E11" s="159"/>
      <c r="F11" s="159"/>
      <c r="G11" s="159"/>
      <c r="H11" s="159"/>
      <c r="I11" s="653" t="s">
        <v>900</v>
      </c>
      <c r="J11" s="654"/>
      <c r="K11" s="656"/>
      <c r="L11" s="655" t="s">
        <v>683</v>
      </c>
      <c r="M11" s="641" t="s">
        <v>906</v>
      </c>
      <c r="N11" s="159"/>
      <c r="O11" s="159"/>
      <c r="P11" s="159"/>
      <c r="Q11" s="159"/>
      <c r="R11" s="159"/>
      <c r="S11" s="636"/>
      <c r="T11" s="656"/>
      <c r="U11" s="658"/>
      <c r="V11" s="159" t="s">
        <v>967</v>
      </c>
      <c r="W11" s="300" t="s">
        <v>968</v>
      </c>
      <c r="X11" s="653" t="s">
        <v>778</v>
      </c>
      <c r="Y11" s="656"/>
      <c r="Z11" s="656"/>
      <c r="AA11" s="656"/>
      <c r="AB11" s="656"/>
    </row>
    <row r="12">
      <c r="A12" s="159"/>
      <c r="B12" s="610" t="s">
        <v>709</v>
      </c>
      <c r="C12" s="300" t="s">
        <v>969</v>
      </c>
      <c r="D12" s="300" t="s">
        <v>970</v>
      </c>
      <c r="E12" s="159"/>
      <c r="F12" s="159"/>
      <c r="G12" s="159"/>
      <c r="H12" s="159"/>
      <c r="I12" s="653" t="s">
        <v>908</v>
      </c>
      <c r="J12" s="654"/>
      <c r="K12" s="656"/>
      <c r="L12" s="655" t="s">
        <v>683</v>
      </c>
      <c r="M12" s="641" t="s">
        <v>907</v>
      </c>
      <c r="N12" s="159"/>
      <c r="O12" s="159"/>
      <c r="P12" s="159"/>
      <c r="Q12" s="159"/>
      <c r="R12" s="159"/>
      <c r="S12" s="636"/>
      <c r="T12" s="656"/>
      <c r="U12" s="658"/>
      <c r="V12" s="159" t="s">
        <v>971</v>
      </c>
      <c r="W12" s="300" t="s">
        <v>972</v>
      </c>
      <c r="X12" s="653" t="s">
        <v>778</v>
      </c>
      <c r="Y12" s="656"/>
      <c r="Z12" s="656"/>
      <c r="AA12" s="656"/>
      <c r="AB12" s="656"/>
    </row>
    <row r="13">
      <c r="A13" s="159"/>
      <c r="B13" s="610" t="s">
        <v>710</v>
      </c>
      <c r="C13" s="300" t="s">
        <v>973</v>
      </c>
      <c r="D13" s="300" t="s">
        <v>974</v>
      </c>
      <c r="E13" s="159"/>
      <c r="F13" s="159"/>
      <c r="G13" s="159"/>
      <c r="H13" s="159"/>
      <c r="I13" s="653" t="s">
        <v>897</v>
      </c>
      <c r="J13" s="654"/>
      <c r="K13" s="656"/>
      <c r="L13" s="655" t="s">
        <v>683</v>
      </c>
      <c r="M13" s="641" t="s">
        <v>908</v>
      </c>
      <c r="N13" s="159"/>
      <c r="O13" s="159"/>
      <c r="P13" s="159"/>
      <c r="Q13" s="159"/>
      <c r="R13" s="159"/>
      <c r="S13" s="636"/>
      <c r="T13" s="656"/>
      <c r="U13" s="658"/>
      <c r="V13" s="159" t="s">
        <v>975</v>
      </c>
      <c r="W13" s="300" t="s">
        <v>976</v>
      </c>
      <c r="X13" s="653" t="s">
        <v>778</v>
      </c>
      <c r="Y13" s="656"/>
      <c r="Z13" s="656"/>
      <c r="AA13" s="656"/>
      <c r="AB13" s="656"/>
    </row>
    <row r="14">
      <c r="A14" s="159"/>
      <c r="B14" s="610" t="s">
        <v>712</v>
      </c>
      <c r="C14" s="300" t="s">
        <v>977</v>
      </c>
      <c r="D14" s="300" t="s">
        <v>978</v>
      </c>
      <c r="E14" s="159"/>
      <c r="F14" s="159"/>
      <c r="G14" s="159"/>
      <c r="H14" s="159"/>
      <c r="I14" s="653" t="s">
        <v>908</v>
      </c>
      <c r="J14" s="654"/>
      <c r="K14" s="656"/>
      <c r="L14" s="655" t="s">
        <v>979</v>
      </c>
      <c r="M14" s="655" t="s">
        <v>980</v>
      </c>
      <c r="N14" s="655" t="s">
        <v>981</v>
      </c>
      <c r="O14" s="159"/>
      <c r="P14" s="159"/>
      <c r="Q14" s="159"/>
      <c r="R14" s="159"/>
      <c r="S14" s="636"/>
      <c r="T14" s="656"/>
      <c r="U14" s="658"/>
      <c r="V14" s="159" t="s">
        <v>982</v>
      </c>
      <c r="W14" s="300" t="s">
        <v>983</v>
      </c>
      <c r="X14" s="653" t="s">
        <v>778</v>
      </c>
      <c r="Y14" s="656"/>
      <c r="Z14" s="656"/>
      <c r="AA14" s="656"/>
      <c r="AB14" s="656"/>
    </row>
    <row r="15">
      <c r="A15" s="159"/>
      <c r="B15" s="610" t="s">
        <v>400</v>
      </c>
      <c r="C15" s="300" t="s">
        <v>984</v>
      </c>
      <c r="D15" s="300" t="s">
        <v>985</v>
      </c>
      <c r="E15" s="159"/>
      <c r="F15" s="159"/>
      <c r="G15" s="159"/>
      <c r="H15" s="159"/>
      <c r="I15" s="653" t="s">
        <v>905</v>
      </c>
      <c r="J15" s="654"/>
      <c r="K15" s="656"/>
      <c r="L15" s="655" t="s">
        <v>979</v>
      </c>
      <c r="M15" s="655" t="s">
        <v>986</v>
      </c>
      <c r="N15" s="655" t="s">
        <v>987</v>
      </c>
      <c r="O15" s="655" t="s">
        <v>988</v>
      </c>
      <c r="P15" s="159"/>
      <c r="Q15" s="159"/>
      <c r="R15" s="159"/>
      <c r="S15" s="636"/>
      <c r="T15" s="656"/>
      <c r="U15" s="658"/>
      <c r="V15" s="159" t="s">
        <v>989</v>
      </c>
      <c r="W15" s="300" t="s">
        <v>990</v>
      </c>
      <c r="X15" s="653" t="s">
        <v>778</v>
      </c>
      <c r="Y15" s="656"/>
      <c r="Z15" s="656"/>
      <c r="AA15" s="656"/>
      <c r="AB15" s="656"/>
    </row>
    <row r="16">
      <c r="A16" s="159"/>
      <c r="B16" s="610" t="s">
        <v>714</v>
      </c>
      <c r="C16" s="300" t="s">
        <v>991</v>
      </c>
      <c r="D16" s="159"/>
      <c r="E16" s="159"/>
      <c r="F16" s="159"/>
      <c r="G16" s="159"/>
      <c r="H16" s="159"/>
      <c r="I16" s="653" t="s">
        <v>897</v>
      </c>
      <c r="J16" s="654"/>
      <c r="K16" s="656"/>
      <c r="L16" s="655" t="s">
        <v>979</v>
      </c>
      <c r="M16" s="655" t="s">
        <v>992</v>
      </c>
      <c r="N16" s="655" t="s">
        <v>993</v>
      </c>
      <c r="O16" s="159"/>
      <c r="P16" s="159"/>
      <c r="Q16" s="159"/>
      <c r="R16" s="159"/>
      <c r="S16" s="636"/>
      <c r="T16" s="656"/>
      <c r="U16" s="658"/>
      <c r="V16" s="159" t="s">
        <v>994</v>
      </c>
      <c r="W16" s="300" t="s">
        <v>995</v>
      </c>
      <c r="X16" s="653" t="s">
        <v>778</v>
      </c>
      <c r="Y16" s="656"/>
      <c r="Z16" s="656"/>
      <c r="AA16" s="656"/>
      <c r="AB16" s="656"/>
    </row>
    <row r="17">
      <c r="A17" s="159"/>
      <c r="B17" s="610" t="s">
        <v>715</v>
      </c>
      <c r="C17" s="300" t="s">
        <v>996</v>
      </c>
      <c r="D17" s="300" t="s">
        <v>997</v>
      </c>
      <c r="E17" s="159"/>
      <c r="F17" s="159"/>
      <c r="G17" s="159"/>
      <c r="H17" s="159"/>
      <c r="I17" s="653" t="s">
        <v>900</v>
      </c>
      <c r="J17" s="654"/>
      <c r="K17" s="656"/>
      <c r="L17" s="655" t="s">
        <v>979</v>
      </c>
      <c r="M17" s="655" t="s">
        <v>998</v>
      </c>
      <c r="N17" s="655" t="s">
        <v>999</v>
      </c>
      <c r="O17" s="655" t="s">
        <v>1000</v>
      </c>
      <c r="P17" s="159"/>
      <c r="Q17" s="159"/>
      <c r="R17" s="159"/>
      <c r="S17" s="636"/>
      <c r="T17" s="656"/>
      <c r="U17" s="658"/>
      <c r="V17" s="159" t="s">
        <v>1001</v>
      </c>
      <c r="W17" s="300" t="s">
        <v>1002</v>
      </c>
      <c r="X17" s="653" t="s">
        <v>778</v>
      </c>
      <c r="Y17" s="656"/>
      <c r="Z17" s="656"/>
      <c r="AA17" s="656"/>
      <c r="AB17" s="656"/>
    </row>
    <row r="18">
      <c r="A18" s="159"/>
      <c r="B18" s="610" t="s">
        <v>716</v>
      </c>
      <c r="C18" s="300" t="s">
        <v>1003</v>
      </c>
      <c r="D18" s="300" t="s">
        <v>1004</v>
      </c>
      <c r="E18" s="159"/>
      <c r="F18" s="159"/>
      <c r="G18" s="159"/>
      <c r="H18" s="159"/>
      <c r="I18" s="653" t="s">
        <v>900</v>
      </c>
      <c r="J18" s="654"/>
      <c r="K18" s="656"/>
      <c r="L18" s="655" t="s">
        <v>979</v>
      </c>
      <c r="M18" s="655" t="s">
        <v>1005</v>
      </c>
      <c r="N18" s="655" t="s">
        <v>1006</v>
      </c>
      <c r="O18" s="655" t="s">
        <v>1007</v>
      </c>
      <c r="P18" s="159"/>
      <c r="Q18" s="159"/>
      <c r="R18" s="159"/>
      <c r="S18" s="636"/>
      <c r="T18" s="656"/>
      <c r="U18" s="658"/>
      <c r="V18" s="159" t="s">
        <v>1008</v>
      </c>
      <c r="W18" s="300" t="s">
        <v>1009</v>
      </c>
      <c r="X18" s="653" t="s">
        <v>778</v>
      </c>
      <c r="Y18" s="656"/>
      <c r="Z18" s="656"/>
      <c r="AA18" s="656"/>
      <c r="AB18" s="656"/>
    </row>
    <row r="19">
      <c r="A19" s="159"/>
      <c r="B19" s="610" t="s">
        <v>717</v>
      </c>
      <c r="C19" s="300" t="s">
        <v>1010</v>
      </c>
      <c r="D19" s="159"/>
      <c r="E19" s="159"/>
      <c r="F19" s="159"/>
      <c r="G19" s="159"/>
      <c r="H19" s="159"/>
      <c r="I19" s="653" t="s">
        <v>901</v>
      </c>
      <c r="J19" s="654"/>
      <c r="K19" s="656"/>
      <c r="L19" s="655" t="s">
        <v>979</v>
      </c>
      <c r="M19" s="655" t="s">
        <v>1011</v>
      </c>
      <c r="N19" s="655" t="s">
        <v>1012</v>
      </c>
      <c r="O19" s="159"/>
      <c r="P19" s="159"/>
      <c r="Q19" s="159"/>
      <c r="R19" s="159"/>
      <c r="S19" s="636"/>
      <c r="T19" s="656"/>
      <c r="U19" s="658"/>
      <c r="V19" s="159" t="s">
        <v>1013</v>
      </c>
      <c r="W19" s="300" t="s">
        <v>1014</v>
      </c>
      <c r="X19" s="653" t="s">
        <v>778</v>
      </c>
      <c r="Y19" s="656"/>
      <c r="Z19" s="656"/>
      <c r="AA19" s="656"/>
      <c r="AB19" s="656"/>
    </row>
    <row r="20">
      <c r="A20" s="159"/>
      <c r="B20" s="610" t="s">
        <v>718</v>
      </c>
      <c r="C20" s="300" t="s">
        <v>1015</v>
      </c>
      <c r="D20" s="300" t="s">
        <v>1016</v>
      </c>
      <c r="E20" s="159"/>
      <c r="F20" s="159"/>
      <c r="G20" s="159"/>
      <c r="H20" s="159"/>
      <c r="I20" s="653" t="s">
        <v>907</v>
      </c>
      <c r="J20" s="654"/>
      <c r="K20" s="656"/>
      <c r="L20" s="655" t="s">
        <v>979</v>
      </c>
      <c r="M20" s="655" t="s">
        <v>1017</v>
      </c>
      <c r="N20" s="655" t="s">
        <v>704</v>
      </c>
      <c r="O20" s="159"/>
      <c r="P20" s="159"/>
      <c r="Q20" s="159"/>
      <c r="R20" s="159"/>
      <c r="S20" s="636"/>
      <c r="T20" s="656"/>
      <c r="U20" s="658"/>
      <c r="V20" s="159" t="s">
        <v>1018</v>
      </c>
      <c r="W20" s="300" t="s">
        <v>1019</v>
      </c>
      <c r="X20" s="653" t="s">
        <v>778</v>
      </c>
      <c r="Y20" s="656"/>
      <c r="Z20" s="656"/>
      <c r="AA20" s="656"/>
      <c r="AB20" s="656"/>
    </row>
    <row r="21">
      <c r="A21" s="159"/>
      <c r="B21" s="610" t="s">
        <v>720</v>
      </c>
      <c r="C21" s="300" t="s">
        <v>1020</v>
      </c>
      <c r="D21" s="300" t="s">
        <v>1021</v>
      </c>
      <c r="E21" s="159"/>
      <c r="F21" s="159"/>
      <c r="G21" s="159"/>
      <c r="H21" s="159"/>
      <c r="I21" s="653" t="s">
        <v>905</v>
      </c>
      <c r="J21" s="654"/>
      <c r="K21" s="656"/>
      <c r="L21" s="655" t="s">
        <v>979</v>
      </c>
      <c r="M21" s="655" t="s">
        <v>1022</v>
      </c>
      <c r="N21" s="655" t="s">
        <v>1023</v>
      </c>
      <c r="O21" s="159"/>
      <c r="P21" s="159"/>
      <c r="Q21" s="159"/>
      <c r="R21" s="159"/>
      <c r="S21" s="636"/>
      <c r="T21" s="656"/>
      <c r="U21" s="658"/>
      <c r="V21" s="159" t="s">
        <v>1024</v>
      </c>
      <c r="W21" s="300" t="s">
        <v>1025</v>
      </c>
      <c r="X21" s="653" t="s">
        <v>778</v>
      </c>
      <c r="Y21" s="656"/>
      <c r="Z21" s="656"/>
      <c r="AA21" s="656"/>
      <c r="AB21" s="656"/>
    </row>
    <row r="22">
      <c r="A22" s="159"/>
      <c r="B22" s="460" t="s">
        <v>721</v>
      </c>
      <c r="C22" s="300" t="s">
        <v>1026</v>
      </c>
      <c r="D22" s="159" t="s">
        <v>1027</v>
      </c>
      <c r="E22" s="159" t="s">
        <v>1028</v>
      </c>
      <c r="F22" s="159"/>
      <c r="G22" s="159"/>
      <c r="H22" s="159"/>
      <c r="I22" s="653" t="s">
        <v>901</v>
      </c>
      <c r="J22" s="654"/>
      <c r="K22" s="656"/>
      <c r="L22" s="655" t="s">
        <v>979</v>
      </c>
      <c r="M22" s="655" t="s">
        <v>1029</v>
      </c>
      <c r="N22" s="655" t="s">
        <v>1030</v>
      </c>
      <c r="O22" s="655" t="s">
        <v>1031</v>
      </c>
      <c r="P22" s="655" t="s">
        <v>1032</v>
      </c>
      <c r="Q22" s="655" t="s">
        <v>1033</v>
      </c>
      <c r="R22" s="655" t="s">
        <v>1034</v>
      </c>
      <c r="S22" s="636"/>
      <c r="T22" s="656"/>
      <c r="U22" s="658"/>
      <c r="V22" s="159" t="s">
        <v>1035</v>
      </c>
      <c r="W22" s="300" t="s">
        <v>1036</v>
      </c>
      <c r="X22" s="653" t="s">
        <v>778</v>
      </c>
      <c r="Y22" s="656"/>
      <c r="Z22" s="656"/>
      <c r="AA22" s="656"/>
      <c r="AB22" s="656"/>
    </row>
    <row r="23">
      <c r="A23" s="159"/>
      <c r="B23" s="460" t="s">
        <v>1037</v>
      </c>
      <c r="C23" s="300" t="s">
        <v>1038</v>
      </c>
      <c r="D23" s="159" t="s">
        <v>722</v>
      </c>
      <c r="E23" s="159"/>
      <c r="F23" s="159"/>
      <c r="G23" s="159"/>
      <c r="H23" s="159"/>
      <c r="I23" s="653" t="s">
        <v>900</v>
      </c>
      <c r="J23" s="654"/>
      <c r="K23" s="656"/>
      <c r="L23" s="655" t="s">
        <v>979</v>
      </c>
      <c r="M23" s="655" t="s">
        <v>1039</v>
      </c>
      <c r="N23" s="655" t="s">
        <v>1040</v>
      </c>
      <c r="O23" s="655" t="s">
        <v>1041</v>
      </c>
      <c r="P23" s="655" t="s">
        <v>1042</v>
      </c>
      <c r="Q23" s="655" t="s">
        <v>1043</v>
      </c>
      <c r="R23" s="655" t="s">
        <v>1044</v>
      </c>
      <c r="S23" s="636"/>
      <c r="T23" s="656"/>
      <c r="U23" s="658"/>
      <c r="V23" s="159" t="s">
        <v>1045</v>
      </c>
      <c r="W23" s="300" t="s">
        <v>1046</v>
      </c>
      <c r="X23" s="653" t="s">
        <v>778</v>
      </c>
      <c r="Y23" s="656"/>
      <c r="Z23" s="656"/>
      <c r="AA23" s="656"/>
      <c r="AB23" s="656"/>
    </row>
    <row r="24">
      <c r="A24" s="159"/>
      <c r="B24" s="610" t="s">
        <v>723</v>
      </c>
      <c r="C24" s="300" t="s">
        <v>1047</v>
      </c>
      <c r="D24" s="300" t="s">
        <v>1048</v>
      </c>
      <c r="E24" s="159"/>
      <c r="F24" s="159"/>
      <c r="G24" s="159"/>
      <c r="H24" s="159"/>
      <c r="I24" s="653" t="s">
        <v>907</v>
      </c>
      <c r="J24" s="654"/>
      <c r="K24" s="656"/>
      <c r="L24" s="655" t="s">
        <v>979</v>
      </c>
      <c r="M24" s="655" t="s">
        <v>1049</v>
      </c>
      <c r="N24" s="655" t="s">
        <v>1050</v>
      </c>
      <c r="O24" s="655" t="s">
        <v>1051</v>
      </c>
      <c r="P24" s="159"/>
      <c r="Q24" s="159"/>
      <c r="R24" s="159"/>
      <c r="S24" s="636"/>
      <c r="T24" s="656"/>
      <c r="U24" s="658"/>
      <c r="V24" s="159" t="s">
        <v>1052</v>
      </c>
      <c r="W24" s="300" t="s">
        <v>1053</v>
      </c>
      <c r="X24" s="653" t="s">
        <v>778</v>
      </c>
      <c r="Y24" s="656"/>
      <c r="Z24" s="656"/>
      <c r="AA24" s="656"/>
      <c r="AB24" s="656"/>
    </row>
    <row r="25">
      <c r="A25" s="159"/>
      <c r="B25" s="610" t="s">
        <v>455</v>
      </c>
      <c r="C25" s="300" t="s">
        <v>1054</v>
      </c>
      <c r="D25" s="300" t="s">
        <v>1055</v>
      </c>
      <c r="E25" s="159"/>
      <c r="F25" s="159"/>
      <c r="G25" s="159"/>
      <c r="H25" s="159"/>
      <c r="I25" s="653" t="s">
        <v>901</v>
      </c>
      <c r="J25" s="654"/>
      <c r="K25" s="656"/>
      <c r="L25" s="655" t="s">
        <v>979</v>
      </c>
      <c r="M25" s="655" t="s">
        <v>1056</v>
      </c>
      <c r="N25" s="655" t="s">
        <v>719</v>
      </c>
      <c r="O25" s="655" t="s">
        <v>1057</v>
      </c>
      <c r="P25" s="159"/>
      <c r="Q25" s="159"/>
      <c r="R25" s="159"/>
      <c r="S25" s="636"/>
      <c r="T25" s="656"/>
      <c r="U25" s="658"/>
      <c r="V25" s="159" t="s">
        <v>1058</v>
      </c>
      <c r="W25" s="300" t="s">
        <v>1059</v>
      </c>
      <c r="X25" s="653" t="s">
        <v>778</v>
      </c>
      <c r="Y25" s="656"/>
      <c r="Z25" s="656"/>
      <c r="AA25" s="656"/>
      <c r="AB25" s="656"/>
    </row>
    <row r="26">
      <c r="A26" s="159"/>
      <c r="B26" s="610" t="s">
        <v>1060</v>
      </c>
      <c r="C26" s="300" t="s">
        <v>1061</v>
      </c>
      <c r="D26" s="300" t="s">
        <v>724</v>
      </c>
      <c r="E26" s="159"/>
      <c r="F26" s="159"/>
      <c r="G26" s="159"/>
      <c r="H26" s="159"/>
      <c r="I26" s="653" t="s">
        <v>906</v>
      </c>
      <c r="J26" s="654"/>
      <c r="K26" s="656"/>
      <c r="L26" s="655" t="s">
        <v>979</v>
      </c>
      <c r="M26" s="655" t="s">
        <v>1062</v>
      </c>
      <c r="N26" s="655" t="s">
        <v>1063</v>
      </c>
      <c r="O26" s="159"/>
      <c r="P26" s="159"/>
      <c r="Q26" s="159"/>
      <c r="R26" s="159"/>
      <c r="S26" s="636"/>
      <c r="T26" s="656"/>
      <c r="U26" s="658"/>
      <c r="V26" s="159" t="s">
        <v>1064</v>
      </c>
      <c r="W26" s="300" t="s">
        <v>1065</v>
      </c>
      <c r="X26" s="653" t="s">
        <v>778</v>
      </c>
      <c r="Y26" s="656"/>
      <c r="Z26" s="656"/>
      <c r="AA26" s="656"/>
      <c r="AB26" s="656"/>
    </row>
    <row r="27">
      <c r="A27" s="159"/>
      <c r="B27" s="610" t="s">
        <v>725</v>
      </c>
      <c r="C27" s="300" t="s">
        <v>1066</v>
      </c>
      <c r="D27" s="300" t="s">
        <v>1067</v>
      </c>
      <c r="E27" s="159"/>
      <c r="F27" s="159"/>
      <c r="G27" s="159"/>
      <c r="H27" s="159"/>
      <c r="I27" s="653" t="s">
        <v>900</v>
      </c>
      <c r="J27" s="654"/>
      <c r="K27" s="656"/>
      <c r="L27" s="655" t="s">
        <v>979</v>
      </c>
      <c r="M27" s="655" t="s">
        <v>1068</v>
      </c>
      <c r="N27" s="655" t="s">
        <v>1069</v>
      </c>
      <c r="O27" s="159"/>
      <c r="P27" s="159"/>
      <c r="Q27" s="159"/>
      <c r="R27" s="159"/>
      <c r="S27" s="636"/>
      <c r="T27" s="656"/>
      <c r="U27" s="658"/>
      <c r="V27" s="159" t="s">
        <v>1070</v>
      </c>
      <c r="W27" s="300" t="s">
        <v>1071</v>
      </c>
      <c r="X27" s="653" t="s">
        <v>778</v>
      </c>
      <c r="Y27" s="656"/>
      <c r="Z27" s="656"/>
      <c r="AA27" s="656"/>
      <c r="AB27" s="656"/>
    </row>
    <row r="28">
      <c r="A28" s="159"/>
      <c r="B28" s="610" t="s">
        <v>726</v>
      </c>
      <c r="C28" s="300" t="s">
        <v>1072</v>
      </c>
      <c r="D28" s="159"/>
      <c r="E28" s="159"/>
      <c r="F28" s="159"/>
      <c r="G28" s="159"/>
      <c r="H28" s="159"/>
      <c r="I28" s="653" t="s">
        <v>907</v>
      </c>
      <c r="J28" s="654"/>
      <c r="K28" s="656"/>
      <c r="L28" s="655" t="s">
        <v>979</v>
      </c>
      <c r="M28" s="655" t="s">
        <v>1073</v>
      </c>
      <c r="N28" s="655" t="s">
        <v>1074</v>
      </c>
      <c r="O28" s="655" t="s">
        <v>1075</v>
      </c>
      <c r="P28" s="159"/>
      <c r="Q28" s="159"/>
      <c r="R28" s="159"/>
      <c r="S28" s="636"/>
      <c r="T28" s="656"/>
      <c r="U28" s="658"/>
      <c r="V28" s="159" t="s">
        <v>1076</v>
      </c>
      <c r="W28" s="300" t="s">
        <v>1077</v>
      </c>
      <c r="X28" s="653" t="s">
        <v>778</v>
      </c>
      <c r="Y28" s="656"/>
      <c r="Z28" s="656"/>
      <c r="AA28" s="656"/>
      <c r="AB28" s="656"/>
    </row>
    <row r="29">
      <c r="A29" s="159"/>
      <c r="B29" s="610" t="s">
        <v>727</v>
      </c>
      <c r="C29" s="300" t="s">
        <v>1078</v>
      </c>
      <c r="D29" s="300" t="s">
        <v>1079</v>
      </c>
      <c r="E29" s="159"/>
      <c r="F29" s="159"/>
      <c r="G29" s="159"/>
      <c r="H29" s="159"/>
      <c r="I29" s="653" t="s">
        <v>907</v>
      </c>
      <c r="J29" s="654"/>
      <c r="K29" s="656"/>
      <c r="L29" s="655" t="s">
        <v>979</v>
      </c>
      <c r="M29" s="655" t="s">
        <v>1080</v>
      </c>
      <c r="N29" s="655" t="s">
        <v>1081</v>
      </c>
      <c r="O29" s="655" t="s">
        <v>1082</v>
      </c>
      <c r="P29" s="159"/>
      <c r="Q29" s="159"/>
      <c r="R29" s="159"/>
      <c r="S29" s="636"/>
      <c r="T29" s="656"/>
      <c r="U29" s="658"/>
      <c r="V29" s="159" t="s">
        <v>1083</v>
      </c>
      <c r="W29" s="300" t="s">
        <v>1084</v>
      </c>
      <c r="X29" s="653" t="s">
        <v>778</v>
      </c>
      <c r="Y29" s="656"/>
      <c r="Z29" s="656"/>
      <c r="AA29" s="656"/>
      <c r="AB29" s="656"/>
    </row>
    <row r="30">
      <c r="A30" s="159"/>
      <c r="B30" s="610" t="s">
        <v>728</v>
      </c>
      <c r="C30" s="300" t="s">
        <v>1085</v>
      </c>
      <c r="D30" s="300" t="s">
        <v>1086</v>
      </c>
      <c r="E30" s="159"/>
      <c r="F30" s="159"/>
      <c r="G30" s="159"/>
      <c r="H30" s="159"/>
      <c r="I30" s="653" t="s">
        <v>906</v>
      </c>
      <c r="J30" s="654"/>
      <c r="K30" s="656"/>
      <c r="L30" s="655" t="s">
        <v>979</v>
      </c>
      <c r="M30" s="655" t="s">
        <v>1087</v>
      </c>
      <c r="N30" s="655" t="s">
        <v>1088</v>
      </c>
      <c r="O30" s="159"/>
      <c r="P30" s="159"/>
      <c r="Q30" s="159"/>
      <c r="R30" s="159"/>
      <c r="S30" s="636"/>
      <c r="T30" s="656"/>
      <c r="U30" s="658"/>
      <c r="V30" s="159" t="s">
        <v>1089</v>
      </c>
      <c r="W30" s="300" t="s">
        <v>1090</v>
      </c>
      <c r="X30" s="653" t="s">
        <v>778</v>
      </c>
      <c r="Y30" s="656"/>
      <c r="Z30" s="656"/>
      <c r="AA30" s="656"/>
      <c r="AB30" s="656"/>
    </row>
    <row r="31">
      <c r="A31" s="159"/>
      <c r="B31" s="610" t="s">
        <v>729</v>
      </c>
      <c r="C31" s="300" t="s">
        <v>1091</v>
      </c>
      <c r="D31" s="300" t="s">
        <v>1092</v>
      </c>
      <c r="E31" s="159"/>
      <c r="F31" s="159"/>
      <c r="G31" s="159"/>
      <c r="H31" s="159"/>
      <c r="I31" s="653" t="s">
        <v>907</v>
      </c>
      <c r="J31" s="654"/>
      <c r="K31" s="656"/>
      <c r="L31" s="655" t="s">
        <v>979</v>
      </c>
      <c r="M31" s="655" t="s">
        <v>1093</v>
      </c>
      <c r="N31" s="655" t="s">
        <v>1094</v>
      </c>
      <c r="O31" s="655" t="s">
        <v>1095</v>
      </c>
      <c r="P31" s="159"/>
      <c r="Q31" s="159"/>
      <c r="R31" s="159"/>
      <c r="S31" s="636"/>
      <c r="T31" s="656"/>
      <c r="U31" s="658"/>
      <c r="V31" s="159" t="s">
        <v>1096</v>
      </c>
      <c r="W31" s="300" t="s">
        <v>1097</v>
      </c>
      <c r="X31" s="653" t="s">
        <v>778</v>
      </c>
      <c r="Y31" s="656"/>
      <c r="Z31" s="656"/>
      <c r="AA31" s="656"/>
      <c r="AB31" s="656"/>
    </row>
    <row r="32">
      <c r="A32" s="159"/>
      <c r="B32" s="610" t="s">
        <v>730</v>
      </c>
      <c r="C32" s="300" t="s">
        <v>1098</v>
      </c>
      <c r="D32" s="159"/>
      <c r="E32" s="159"/>
      <c r="F32" s="159"/>
      <c r="G32" s="159"/>
      <c r="H32" s="159"/>
      <c r="I32" s="653" t="s">
        <v>903</v>
      </c>
      <c r="J32" s="654"/>
      <c r="K32" s="656"/>
      <c r="L32" s="655" t="s">
        <v>979</v>
      </c>
      <c r="M32" s="655" t="s">
        <v>1099</v>
      </c>
      <c r="N32" s="655" t="s">
        <v>1100</v>
      </c>
      <c r="O32" s="159"/>
      <c r="P32" s="159"/>
      <c r="Q32" s="159"/>
      <c r="R32" s="159"/>
      <c r="S32" s="636"/>
      <c r="T32" s="656"/>
      <c r="U32" s="658"/>
      <c r="V32" s="159" t="s">
        <v>1101</v>
      </c>
      <c r="W32" s="300" t="s">
        <v>1102</v>
      </c>
      <c r="X32" s="653" t="s">
        <v>778</v>
      </c>
      <c r="Y32" s="656"/>
      <c r="Z32" s="656"/>
      <c r="AA32" s="656"/>
      <c r="AB32" s="656"/>
    </row>
    <row r="33">
      <c r="A33" s="159"/>
      <c r="B33" s="460" t="s">
        <v>731</v>
      </c>
      <c r="C33" s="300" t="s">
        <v>1103</v>
      </c>
      <c r="D33" s="159" t="s">
        <v>1104</v>
      </c>
      <c r="E33" s="300" t="s">
        <v>1105</v>
      </c>
      <c r="F33" s="300" t="s">
        <v>1106</v>
      </c>
      <c r="G33" s="159"/>
      <c r="H33" s="159"/>
      <c r="I33" s="653" t="s">
        <v>907</v>
      </c>
      <c r="J33" s="654"/>
      <c r="K33" s="656"/>
      <c r="L33" s="655" t="s">
        <v>979</v>
      </c>
      <c r="M33" s="655" t="s">
        <v>1107</v>
      </c>
      <c r="N33" s="655" t="s">
        <v>1108</v>
      </c>
      <c r="O33" s="159"/>
      <c r="P33" s="159"/>
      <c r="Q33" s="159"/>
      <c r="R33" s="159"/>
      <c r="S33" s="636"/>
      <c r="T33" s="656"/>
      <c r="U33" s="658"/>
      <c r="V33" s="159" t="s">
        <v>1109</v>
      </c>
      <c r="W33" s="300" t="s">
        <v>1110</v>
      </c>
      <c r="X33" s="653" t="s">
        <v>778</v>
      </c>
      <c r="Y33" s="656"/>
      <c r="Z33" s="656"/>
      <c r="AA33" s="656"/>
      <c r="AB33" s="656"/>
    </row>
    <row r="34">
      <c r="A34" s="159"/>
      <c r="B34" s="610" t="s">
        <v>732</v>
      </c>
      <c r="C34" s="300" t="s">
        <v>1111</v>
      </c>
      <c r="D34" s="300" t="s">
        <v>1112</v>
      </c>
      <c r="E34" s="634" t="s">
        <v>1113</v>
      </c>
      <c r="F34" s="159"/>
      <c r="G34" s="159"/>
      <c r="H34" s="159"/>
      <c r="I34" s="653" t="s">
        <v>907</v>
      </c>
      <c r="J34" s="654"/>
      <c r="K34" s="656"/>
      <c r="L34" s="655" t="s">
        <v>979</v>
      </c>
      <c r="M34" s="655" t="s">
        <v>1114</v>
      </c>
      <c r="N34" s="655" t="s">
        <v>1115</v>
      </c>
      <c r="O34" s="159"/>
      <c r="P34" s="159"/>
      <c r="Q34" s="159"/>
      <c r="R34" s="159"/>
      <c r="S34" s="636"/>
      <c r="T34" s="656"/>
      <c r="U34" s="658"/>
      <c r="V34" s="159" t="s">
        <v>1116</v>
      </c>
      <c r="W34" s="300" t="s">
        <v>1117</v>
      </c>
      <c r="X34" s="653" t="s">
        <v>778</v>
      </c>
      <c r="Y34" s="656"/>
      <c r="Z34" s="656"/>
      <c r="AA34" s="656"/>
      <c r="AB34" s="656"/>
    </row>
    <row r="35">
      <c r="A35" s="159"/>
      <c r="B35" s="610" t="s">
        <v>733</v>
      </c>
      <c r="C35" s="300" t="s">
        <v>1118</v>
      </c>
      <c r="D35" s="300" t="s">
        <v>1119</v>
      </c>
      <c r="E35" s="159"/>
      <c r="F35" s="159"/>
      <c r="G35" s="159"/>
      <c r="H35" s="159"/>
      <c r="I35" s="653" t="s">
        <v>907</v>
      </c>
      <c r="J35" s="654"/>
      <c r="K35" s="656"/>
      <c r="L35" s="655" t="s">
        <v>979</v>
      </c>
      <c r="M35" s="655" t="s">
        <v>1120</v>
      </c>
      <c r="N35" s="655" t="s">
        <v>1121</v>
      </c>
      <c r="O35" s="655" t="s">
        <v>1122</v>
      </c>
      <c r="P35" s="159"/>
      <c r="Q35" s="159"/>
      <c r="R35" s="159"/>
      <c r="S35" s="636"/>
      <c r="T35" s="656"/>
      <c r="U35" s="658"/>
      <c r="V35" s="159" t="s">
        <v>1123</v>
      </c>
      <c r="W35" s="300" t="s">
        <v>1124</v>
      </c>
      <c r="X35" s="653" t="s">
        <v>778</v>
      </c>
      <c r="Y35" s="656"/>
      <c r="Z35" s="656"/>
      <c r="AA35" s="656"/>
      <c r="AB35" s="656"/>
    </row>
    <row r="36">
      <c r="A36" s="159"/>
      <c r="B36" s="610" t="s">
        <v>734</v>
      </c>
      <c r="C36" s="300" t="s">
        <v>1125</v>
      </c>
      <c r="D36" s="300" t="s">
        <v>1126</v>
      </c>
      <c r="E36" s="159"/>
      <c r="F36" s="159"/>
      <c r="G36" s="159"/>
      <c r="H36" s="159"/>
      <c r="I36" s="653" t="s">
        <v>901</v>
      </c>
      <c r="J36" s="654"/>
      <c r="K36" s="656"/>
      <c r="L36" s="655" t="s">
        <v>979</v>
      </c>
      <c r="M36" s="655" t="s">
        <v>1127</v>
      </c>
      <c r="N36" s="655" t="s">
        <v>738</v>
      </c>
      <c r="O36" s="159"/>
      <c r="P36" s="159"/>
      <c r="Q36" s="159"/>
      <c r="R36" s="159"/>
      <c r="S36" s="636"/>
      <c r="T36" s="656"/>
      <c r="U36" s="658"/>
      <c r="V36" s="159" t="s">
        <v>1128</v>
      </c>
      <c r="W36" s="300" t="s">
        <v>1129</v>
      </c>
      <c r="X36" s="653" t="s">
        <v>778</v>
      </c>
      <c r="Y36" s="656"/>
      <c r="Z36" s="656"/>
      <c r="AA36" s="656"/>
      <c r="AB36" s="656"/>
    </row>
    <row r="37">
      <c r="A37" s="159"/>
      <c r="B37" s="610" t="s">
        <v>735</v>
      </c>
      <c r="C37" s="300" t="s">
        <v>1130</v>
      </c>
      <c r="D37" s="300" t="s">
        <v>1131</v>
      </c>
      <c r="E37" s="159"/>
      <c r="F37" s="159"/>
      <c r="G37" s="159"/>
      <c r="H37" s="159"/>
      <c r="I37" s="653" t="s">
        <v>899</v>
      </c>
      <c r="J37" s="654"/>
      <c r="K37" s="656"/>
      <c r="L37" s="655" t="s">
        <v>979</v>
      </c>
      <c r="M37" s="655" t="s">
        <v>1132</v>
      </c>
      <c r="N37" s="655" t="s">
        <v>1133</v>
      </c>
      <c r="O37" s="159"/>
      <c r="P37" s="159"/>
      <c r="Q37" s="159"/>
      <c r="R37" s="159"/>
      <c r="S37" s="636"/>
      <c r="T37" s="656"/>
      <c r="U37" s="658"/>
      <c r="V37" s="159" t="s">
        <v>1134</v>
      </c>
      <c r="W37" s="300" t="s">
        <v>1135</v>
      </c>
      <c r="X37" s="653" t="s">
        <v>778</v>
      </c>
      <c r="Y37" s="656"/>
      <c r="Z37" s="656"/>
      <c r="AA37" s="656"/>
      <c r="AB37" s="656"/>
    </row>
    <row r="38">
      <c r="A38" s="159"/>
      <c r="B38" s="610" t="s">
        <v>454</v>
      </c>
      <c r="C38" s="300" t="s">
        <v>1136</v>
      </c>
      <c r="D38" s="300" t="s">
        <v>1137</v>
      </c>
      <c r="E38" s="159"/>
      <c r="F38" s="159"/>
      <c r="G38" s="159"/>
      <c r="H38" s="159"/>
      <c r="I38" s="653" t="s">
        <v>901</v>
      </c>
      <c r="J38" s="654"/>
      <c r="K38" s="656"/>
      <c r="L38" s="655" t="s">
        <v>979</v>
      </c>
      <c r="M38" s="655" t="s">
        <v>1138</v>
      </c>
      <c r="N38" s="655" t="s">
        <v>1139</v>
      </c>
      <c r="O38" s="655" t="s">
        <v>1140</v>
      </c>
      <c r="P38" s="655" t="s">
        <v>743</v>
      </c>
      <c r="Q38" s="159"/>
      <c r="R38" s="159"/>
      <c r="S38" s="636"/>
      <c r="T38" s="656"/>
      <c r="U38" s="658"/>
      <c r="V38" s="159" t="s">
        <v>1141</v>
      </c>
      <c r="W38" s="300" t="s">
        <v>1142</v>
      </c>
      <c r="X38" s="653" t="s">
        <v>829</v>
      </c>
      <c r="Y38" s="656"/>
      <c r="Z38" s="656"/>
      <c r="AA38" s="656"/>
      <c r="AB38" s="656"/>
    </row>
    <row r="39">
      <c r="A39" s="159"/>
      <c r="B39" s="610" t="s">
        <v>736</v>
      </c>
      <c r="C39" s="300" t="s">
        <v>1143</v>
      </c>
      <c r="D39" s="300" t="s">
        <v>1144</v>
      </c>
      <c r="E39" s="159"/>
      <c r="F39" s="159"/>
      <c r="G39" s="159"/>
      <c r="H39" s="159"/>
      <c r="I39" s="653" t="s">
        <v>907</v>
      </c>
      <c r="J39" s="654"/>
      <c r="K39" s="656"/>
      <c r="L39" s="655" t="s">
        <v>979</v>
      </c>
      <c r="M39" s="655" t="s">
        <v>1145</v>
      </c>
      <c r="N39" s="655" t="s">
        <v>1146</v>
      </c>
      <c r="O39" s="159"/>
      <c r="P39" s="159"/>
      <c r="Q39" s="159"/>
      <c r="R39" s="159"/>
      <c r="S39" s="636"/>
      <c r="T39" s="656"/>
      <c r="U39" s="658"/>
      <c r="V39" s="159" t="s">
        <v>1147</v>
      </c>
      <c r="W39" s="300" t="s">
        <v>1148</v>
      </c>
      <c r="X39" s="653" t="s">
        <v>829</v>
      </c>
      <c r="Y39" s="656"/>
      <c r="Z39" s="656"/>
      <c r="AA39" s="656"/>
      <c r="AB39" s="656"/>
    </row>
    <row r="40">
      <c r="A40" s="159"/>
      <c r="B40" s="610" t="s">
        <v>737</v>
      </c>
      <c r="C40" s="300" t="s">
        <v>1149</v>
      </c>
      <c r="D40" s="300" t="s">
        <v>1150</v>
      </c>
      <c r="E40" s="634" t="s">
        <v>1151</v>
      </c>
      <c r="F40" s="634" t="s">
        <v>1152</v>
      </c>
      <c r="G40" s="159"/>
      <c r="H40" s="159"/>
      <c r="I40" s="653" t="s">
        <v>907</v>
      </c>
      <c r="J40" s="654"/>
      <c r="K40" s="656"/>
      <c r="L40" s="655" t="s">
        <v>979</v>
      </c>
      <c r="M40" s="655" t="s">
        <v>1153</v>
      </c>
      <c r="N40" s="655" t="s">
        <v>1154</v>
      </c>
      <c r="O40" s="655" t="s">
        <v>1155</v>
      </c>
      <c r="P40" s="159"/>
      <c r="Q40" s="159"/>
      <c r="R40" s="159"/>
      <c r="S40" s="636"/>
      <c r="T40" s="656"/>
      <c r="U40" s="658"/>
      <c r="V40" s="159" t="s">
        <v>1156</v>
      </c>
      <c r="W40" s="300" t="s">
        <v>1157</v>
      </c>
      <c r="X40" s="653" t="s">
        <v>829</v>
      </c>
      <c r="Y40" s="656"/>
      <c r="Z40" s="656"/>
      <c r="AA40" s="656"/>
      <c r="AB40" s="656"/>
    </row>
    <row r="41">
      <c r="A41" s="159"/>
      <c r="B41" s="610" t="s">
        <v>738</v>
      </c>
      <c r="C41" s="300" t="s">
        <v>1158</v>
      </c>
      <c r="D41" s="159"/>
      <c r="E41" s="159"/>
      <c r="F41" s="159"/>
      <c r="G41" s="159"/>
      <c r="H41" s="159"/>
      <c r="I41" s="653" t="s">
        <v>904</v>
      </c>
      <c r="J41" s="654"/>
      <c r="K41" s="656"/>
      <c r="L41" s="655" t="s">
        <v>979</v>
      </c>
      <c r="M41" s="655" t="s">
        <v>1159</v>
      </c>
      <c r="N41" s="655" t="s">
        <v>1160</v>
      </c>
      <c r="O41" s="159"/>
      <c r="P41" s="159"/>
      <c r="Q41" s="159"/>
      <c r="R41" s="159"/>
      <c r="S41" s="636"/>
      <c r="T41" s="656"/>
      <c r="U41" s="658"/>
      <c r="V41" s="159" t="s">
        <v>1161</v>
      </c>
      <c r="W41" s="300" t="s">
        <v>1162</v>
      </c>
      <c r="X41" s="653" t="s">
        <v>829</v>
      </c>
      <c r="Y41" s="656"/>
      <c r="Z41" s="656"/>
      <c r="AA41" s="656"/>
      <c r="AB41" s="656"/>
    </row>
    <row r="42">
      <c r="A42" s="159"/>
      <c r="B42" s="610" t="s">
        <v>739</v>
      </c>
      <c r="C42" s="300" t="s">
        <v>1163</v>
      </c>
      <c r="D42" s="300" t="s">
        <v>1164</v>
      </c>
      <c r="E42" s="159"/>
      <c r="F42" s="159"/>
      <c r="G42" s="159"/>
      <c r="H42" s="159"/>
      <c r="I42" s="653" t="s">
        <v>901</v>
      </c>
      <c r="J42" s="654"/>
      <c r="K42" s="656"/>
      <c r="L42" s="655" t="s">
        <v>979</v>
      </c>
      <c r="M42" s="655" t="s">
        <v>1165</v>
      </c>
      <c r="N42" s="655" t="s">
        <v>1166</v>
      </c>
      <c r="O42" s="159"/>
      <c r="P42" s="159"/>
      <c r="Q42" s="159"/>
      <c r="R42" s="159"/>
      <c r="S42" s="636"/>
      <c r="T42" s="656"/>
      <c r="U42" s="658"/>
      <c r="V42" s="159" t="s">
        <v>1167</v>
      </c>
      <c r="W42" s="300" t="s">
        <v>1168</v>
      </c>
      <c r="X42" s="653" t="s">
        <v>829</v>
      </c>
      <c r="Y42" s="656"/>
      <c r="Z42" s="656"/>
      <c r="AA42" s="656"/>
      <c r="AB42" s="656"/>
    </row>
    <row r="43">
      <c r="A43" s="159"/>
      <c r="B43" s="610" t="s">
        <v>1169</v>
      </c>
      <c r="C43" s="300" t="s">
        <v>1170</v>
      </c>
      <c r="D43" s="300" t="s">
        <v>1171</v>
      </c>
      <c r="E43" s="634" t="s">
        <v>740</v>
      </c>
      <c r="F43" s="300" t="s">
        <v>1172</v>
      </c>
      <c r="G43" s="300" t="s">
        <v>1173</v>
      </c>
      <c r="H43" s="659" t="s">
        <v>1174</v>
      </c>
      <c r="I43" s="653" t="s">
        <v>907</v>
      </c>
      <c r="J43" s="654"/>
      <c r="K43" s="656"/>
      <c r="L43" s="655" t="s">
        <v>979</v>
      </c>
      <c r="M43" s="655" t="s">
        <v>1175</v>
      </c>
      <c r="N43" s="655" t="s">
        <v>1176</v>
      </c>
      <c r="O43" s="159"/>
      <c r="P43" s="159"/>
      <c r="Q43" s="159"/>
      <c r="R43" s="159"/>
      <c r="S43" s="636"/>
      <c r="T43" s="656"/>
      <c r="U43" s="658"/>
      <c r="V43" s="159" t="s">
        <v>1177</v>
      </c>
      <c r="W43" s="300" t="s">
        <v>1178</v>
      </c>
      <c r="X43" s="653" t="s">
        <v>829</v>
      </c>
      <c r="Y43" s="656"/>
      <c r="Z43" s="656"/>
      <c r="AA43" s="656"/>
      <c r="AB43" s="656"/>
    </row>
    <row r="44">
      <c r="A44" s="159"/>
      <c r="B44" s="610" t="s">
        <v>741</v>
      </c>
      <c r="C44" s="300" t="s">
        <v>1179</v>
      </c>
      <c r="D44" s="300" t="s">
        <v>1180</v>
      </c>
      <c r="E44" s="159"/>
      <c r="F44" s="159"/>
      <c r="G44" s="159"/>
      <c r="H44" s="159"/>
      <c r="I44" s="653" t="s">
        <v>900</v>
      </c>
      <c r="J44" s="654"/>
      <c r="K44" s="656"/>
      <c r="L44" s="655" t="s">
        <v>979</v>
      </c>
      <c r="M44" s="655" t="s">
        <v>1181</v>
      </c>
      <c r="N44" s="655" t="s">
        <v>1182</v>
      </c>
      <c r="O44" s="159"/>
      <c r="P44" s="159"/>
      <c r="Q44" s="159"/>
      <c r="R44" s="159"/>
      <c r="S44" s="636"/>
      <c r="T44" s="656"/>
      <c r="U44" s="658"/>
      <c r="V44" s="159" t="s">
        <v>1183</v>
      </c>
      <c r="W44" s="300" t="s">
        <v>1184</v>
      </c>
      <c r="X44" s="653" t="s">
        <v>829</v>
      </c>
      <c r="Y44" s="656"/>
      <c r="Z44" s="656"/>
      <c r="AA44" s="656"/>
      <c r="AB44" s="656"/>
    </row>
    <row r="45">
      <c r="A45" s="159"/>
      <c r="B45" s="610" t="s">
        <v>742</v>
      </c>
      <c r="C45" s="300" t="s">
        <v>1185</v>
      </c>
      <c r="D45" s="300" t="s">
        <v>1186</v>
      </c>
      <c r="E45" s="159"/>
      <c r="F45" s="159"/>
      <c r="G45" s="159"/>
      <c r="H45" s="159"/>
      <c r="I45" s="653" t="s">
        <v>897</v>
      </c>
      <c r="J45" s="654"/>
      <c r="K45" s="656"/>
      <c r="L45" s="655" t="s">
        <v>979</v>
      </c>
      <c r="M45" s="655" t="s">
        <v>1187</v>
      </c>
      <c r="N45" s="655" t="s">
        <v>1188</v>
      </c>
      <c r="O45" s="159"/>
      <c r="P45" s="159"/>
      <c r="Q45" s="159"/>
      <c r="R45" s="159"/>
      <c r="S45" s="636"/>
      <c r="T45" s="656"/>
      <c r="U45" s="658"/>
      <c r="V45" s="159" t="s">
        <v>1189</v>
      </c>
      <c r="W45" s="300" t="s">
        <v>1190</v>
      </c>
      <c r="X45" s="653" t="s">
        <v>829</v>
      </c>
      <c r="Y45" s="656"/>
      <c r="Z45" s="656"/>
      <c r="AA45" s="656"/>
      <c r="AB45" s="656"/>
    </row>
    <row r="46">
      <c r="A46" s="159"/>
      <c r="B46" s="610" t="s">
        <v>744</v>
      </c>
      <c r="C46" s="300" t="s">
        <v>1191</v>
      </c>
      <c r="D46" s="300" t="s">
        <v>1192</v>
      </c>
      <c r="E46" s="159"/>
      <c r="F46" s="159"/>
      <c r="G46" s="159"/>
      <c r="H46" s="159"/>
      <c r="I46" s="653" t="s">
        <v>900</v>
      </c>
      <c r="J46" s="654"/>
      <c r="K46" s="656"/>
      <c r="L46" s="655" t="s">
        <v>979</v>
      </c>
      <c r="M46" s="655" t="s">
        <v>1193</v>
      </c>
      <c r="N46" s="655" t="s">
        <v>1194</v>
      </c>
      <c r="O46" s="655" t="s">
        <v>1195</v>
      </c>
      <c r="P46" s="159"/>
      <c r="Q46" s="159"/>
      <c r="R46" s="159"/>
      <c r="S46" s="636"/>
      <c r="T46" s="656"/>
      <c r="U46" s="658"/>
      <c r="V46" s="159" t="s">
        <v>828</v>
      </c>
      <c r="W46" s="300" t="s">
        <v>1196</v>
      </c>
      <c r="X46" s="653" t="s">
        <v>829</v>
      </c>
      <c r="Y46" s="656"/>
      <c r="Z46" s="656"/>
      <c r="AA46" s="656"/>
      <c r="AB46" s="656"/>
    </row>
    <row r="47">
      <c r="A47" s="159"/>
      <c r="B47" s="610" t="s">
        <v>745</v>
      </c>
      <c r="C47" s="300" t="s">
        <v>1197</v>
      </c>
      <c r="D47" s="300" t="s">
        <v>1198</v>
      </c>
      <c r="E47" s="159"/>
      <c r="F47" s="159"/>
      <c r="G47" s="159"/>
      <c r="H47" s="159"/>
      <c r="I47" s="653" t="s">
        <v>900</v>
      </c>
      <c r="J47" s="654"/>
      <c r="K47" s="656"/>
      <c r="L47" s="655" t="s">
        <v>979</v>
      </c>
      <c r="M47" s="655" t="s">
        <v>1199</v>
      </c>
      <c r="N47" s="655" t="s">
        <v>1200</v>
      </c>
      <c r="O47" s="159"/>
      <c r="P47" s="159"/>
      <c r="Q47" s="159"/>
      <c r="R47" s="159"/>
      <c r="S47" s="636"/>
      <c r="T47" s="656"/>
      <c r="U47" s="658"/>
      <c r="V47" s="159" t="s">
        <v>1201</v>
      </c>
      <c r="W47" s="300" t="s">
        <v>1202</v>
      </c>
      <c r="X47" s="653" t="s">
        <v>829</v>
      </c>
      <c r="Y47" s="656"/>
      <c r="Z47" s="656"/>
      <c r="AA47" s="656"/>
      <c r="AB47" s="656"/>
    </row>
    <row r="48">
      <c r="A48" s="159"/>
      <c r="B48" s="610" t="s">
        <v>747</v>
      </c>
      <c r="C48" s="300" t="s">
        <v>1203</v>
      </c>
      <c r="D48" s="300" t="s">
        <v>1204</v>
      </c>
      <c r="E48" s="159"/>
      <c r="F48" s="159"/>
      <c r="G48" s="159"/>
      <c r="H48" s="159"/>
      <c r="I48" s="653" t="s">
        <v>900</v>
      </c>
      <c r="J48" s="654"/>
      <c r="K48" s="656"/>
      <c r="L48" s="655" t="s">
        <v>979</v>
      </c>
      <c r="M48" s="655" t="s">
        <v>1205</v>
      </c>
      <c r="N48" s="655" t="s">
        <v>1206</v>
      </c>
      <c r="O48" s="159"/>
      <c r="P48" s="159"/>
      <c r="Q48" s="159"/>
      <c r="R48" s="159"/>
      <c r="S48" s="636"/>
      <c r="T48" s="656"/>
      <c r="U48" s="658"/>
      <c r="V48" s="159" t="s">
        <v>1207</v>
      </c>
      <c r="W48" s="300" t="s">
        <v>1208</v>
      </c>
      <c r="X48" s="653" t="s">
        <v>829</v>
      </c>
      <c r="Y48" s="656"/>
      <c r="Z48" s="656"/>
      <c r="AA48" s="656"/>
      <c r="AB48" s="656"/>
    </row>
    <row r="49">
      <c r="A49" s="159"/>
      <c r="B49" s="610" t="s">
        <v>748</v>
      </c>
      <c r="C49" s="300" t="s">
        <v>1209</v>
      </c>
      <c r="D49" s="300" t="s">
        <v>1210</v>
      </c>
      <c r="E49" s="159"/>
      <c r="F49" s="159"/>
      <c r="G49" s="159"/>
      <c r="H49" s="159"/>
      <c r="I49" s="653" t="s">
        <v>907</v>
      </c>
      <c r="J49" s="654"/>
      <c r="K49" s="656"/>
      <c r="L49" s="655" t="s">
        <v>979</v>
      </c>
      <c r="M49" s="655" t="s">
        <v>1211</v>
      </c>
      <c r="N49" s="655" t="s">
        <v>1212</v>
      </c>
      <c r="O49" s="655" t="s">
        <v>1213</v>
      </c>
      <c r="P49" s="159"/>
      <c r="Q49" s="159"/>
      <c r="R49" s="159"/>
      <c r="S49" s="636"/>
      <c r="T49" s="656"/>
      <c r="U49" s="658"/>
      <c r="V49" s="159" t="s">
        <v>1214</v>
      </c>
      <c r="W49" s="300" t="s">
        <v>1215</v>
      </c>
      <c r="X49" s="653" t="s">
        <v>829</v>
      </c>
      <c r="Y49" s="656"/>
      <c r="Z49" s="656"/>
      <c r="AA49" s="656"/>
      <c r="AB49" s="656"/>
    </row>
    <row r="50">
      <c r="A50" s="159"/>
      <c r="B50" s="610" t="s">
        <v>749</v>
      </c>
      <c r="C50" s="300" t="s">
        <v>1216</v>
      </c>
      <c r="D50" s="300" t="s">
        <v>1217</v>
      </c>
      <c r="E50" s="159"/>
      <c r="F50" s="159"/>
      <c r="G50" s="159"/>
      <c r="H50" s="159"/>
      <c r="I50" s="653" t="s">
        <v>897</v>
      </c>
      <c r="J50" s="654"/>
      <c r="K50" s="656"/>
      <c r="L50" s="655" t="s">
        <v>979</v>
      </c>
      <c r="M50" s="655" t="s">
        <v>1218</v>
      </c>
      <c r="N50" s="655" t="s">
        <v>1219</v>
      </c>
      <c r="O50" s="159"/>
      <c r="P50" s="159"/>
      <c r="Q50" s="159"/>
      <c r="R50" s="159"/>
      <c r="S50" s="636"/>
      <c r="T50" s="656"/>
      <c r="U50" s="658"/>
      <c r="V50" s="159" t="s">
        <v>1220</v>
      </c>
      <c r="W50" s="300" t="s">
        <v>1221</v>
      </c>
      <c r="X50" s="653" t="s">
        <v>829</v>
      </c>
      <c r="Y50" s="656"/>
      <c r="Z50" s="656"/>
      <c r="AA50" s="656"/>
      <c r="AB50" s="656"/>
    </row>
    <row r="51">
      <c r="A51" s="159"/>
      <c r="B51" s="610" t="s">
        <v>750</v>
      </c>
      <c r="C51" s="300" t="s">
        <v>1222</v>
      </c>
      <c r="D51" s="159"/>
      <c r="E51" s="159"/>
      <c r="F51" s="159"/>
      <c r="G51" s="159"/>
      <c r="H51" s="159"/>
      <c r="I51" s="653" t="s">
        <v>897</v>
      </c>
      <c r="J51" s="654"/>
      <c r="K51" s="656"/>
      <c r="L51" s="159"/>
      <c r="M51" s="159"/>
      <c r="N51" s="159"/>
      <c r="O51" s="159"/>
      <c r="P51" s="159"/>
      <c r="Q51" s="159"/>
      <c r="R51" s="159"/>
      <c r="S51" s="636"/>
      <c r="T51" s="656"/>
      <c r="U51" s="658"/>
      <c r="V51" s="159" t="s">
        <v>1223</v>
      </c>
      <c r="W51" s="300" t="s">
        <v>1224</v>
      </c>
      <c r="X51" s="653" t="s">
        <v>829</v>
      </c>
      <c r="Y51" s="656"/>
      <c r="Z51" s="656"/>
      <c r="AA51" s="656"/>
      <c r="AB51" s="656"/>
    </row>
    <row r="52">
      <c r="A52" s="159"/>
      <c r="B52" s="460" t="s">
        <v>1225</v>
      </c>
      <c r="C52" s="300" t="s">
        <v>1226</v>
      </c>
      <c r="D52" s="159" t="s">
        <v>1227</v>
      </c>
      <c r="E52" s="634" t="s">
        <v>1228</v>
      </c>
      <c r="F52" s="634" t="s">
        <v>746</v>
      </c>
      <c r="G52" s="634" t="s">
        <v>1229</v>
      </c>
      <c r="H52" s="159"/>
      <c r="I52" s="653" t="s">
        <v>907</v>
      </c>
      <c r="J52" s="654"/>
      <c r="K52" s="656"/>
      <c r="L52" s="655" t="s">
        <v>979</v>
      </c>
      <c r="M52" s="655" t="s">
        <v>1230</v>
      </c>
      <c r="N52" s="655" t="s">
        <v>1231</v>
      </c>
      <c r="O52" s="655" t="s">
        <v>1232</v>
      </c>
      <c r="P52" s="159"/>
      <c r="Q52" s="159"/>
      <c r="R52" s="159"/>
      <c r="S52" s="636"/>
      <c r="T52" s="656"/>
      <c r="U52" s="658"/>
      <c r="V52" s="159" t="s">
        <v>1233</v>
      </c>
      <c r="W52" s="300" t="s">
        <v>1234</v>
      </c>
      <c r="X52" s="653" t="s">
        <v>829</v>
      </c>
      <c r="Y52" s="656"/>
      <c r="Z52" s="656"/>
      <c r="AA52" s="656"/>
      <c r="AB52" s="656"/>
    </row>
    <row r="53">
      <c r="A53" s="159"/>
      <c r="B53" s="610" t="s">
        <v>752</v>
      </c>
      <c r="C53" s="300" t="s">
        <v>1235</v>
      </c>
      <c r="D53" s="300" t="s">
        <v>1236</v>
      </c>
      <c r="E53" s="159"/>
      <c r="F53" s="159"/>
      <c r="G53" s="159"/>
      <c r="H53" s="159"/>
      <c r="I53" s="653" t="s">
        <v>901</v>
      </c>
      <c r="J53" s="654"/>
      <c r="K53" s="656"/>
      <c r="L53" s="655" t="s">
        <v>979</v>
      </c>
      <c r="M53" s="655" t="s">
        <v>1237</v>
      </c>
      <c r="N53" s="655" t="s">
        <v>1238</v>
      </c>
      <c r="O53" s="655" t="s">
        <v>1239</v>
      </c>
      <c r="P53" s="655" t="s">
        <v>1240</v>
      </c>
      <c r="Q53" s="159"/>
      <c r="R53" s="159"/>
      <c r="S53" s="636"/>
      <c r="T53" s="656"/>
      <c r="U53" s="658"/>
      <c r="V53" s="159" t="s">
        <v>1241</v>
      </c>
      <c r="W53" s="300" t="s">
        <v>1242</v>
      </c>
      <c r="X53" s="653" t="s">
        <v>829</v>
      </c>
      <c r="Y53" s="656"/>
      <c r="Z53" s="656"/>
      <c r="AA53" s="656"/>
      <c r="AB53" s="656"/>
    </row>
    <row r="54">
      <c r="A54" s="159"/>
      <c r="B54" s="610" t="s">
        <v>753</v>
      </c>
      <c r="C54" s="300" t="s">
        <v>1243</v>
      </c>
      <c r="D54" s="300" t="s">
        <v>1244</v>
      </c>
      <c r="E54" s="159"/>
      <c r="F54" s="159"/>
      <c r="G54" s="159"/>
      <c r="H54" s="159"/>
      <c r="I54" s="653" t="s">
        <v>902</v>
      </c>
      <c r="J54" s="654"/>
      <c r="K54" s="656"/>
      <c r="L54" s="655" t="s">
        <v>979</v>
      </c>
      <c r="M54" s="655" t="s">
        <v>1245</v>
      </c>
      <c r="N54" s="655" t="s">
        <v>1246</v>
      </c>
      <c r="O54" s="655" t="s">
        <v>1247</v>
      </c>
      <c r="P54" s="159"/>
      <c r="Q54" s="159"/>
      <c r="R54" s="159"/>
      <c r="S54" s="636"/>
      <c r="T54" s="656"/>
      <c r="U54" s="658"/>
      <c r="V54" s="159" t="s">
        <v>1248</v>
      </c>
      <c r="W54" s="300" t="s">
        <v>1249</v>
      </c>
      <c r="X54" s="653" t="s">
        <v>829</v>
      </c>
      <c r="Y54" s="656"/>
      <c r="Z54" s="656"/>
      <c r="AA54" s="656"/>
      <c r="AB54" s="656"/>
    </row>
    <row r="55">
      <c r="A55" s="159"/>
      <c r="B55" s="610" t="s">
        <v>754</v>
      </c>
      <c r="C55" s="300" t="s">
        <v>1250</v>
      </c>
      <c r="D55" s="300" t="s">
        <v>1251</v>
      </c>
      <c r="E55" s="159"/>
      <c r="F55" s="159"/>
      <c r="G55" s="159"/>
      <c r="H55" s="159"/>
      <c r="I55" s="653" t="s">
        <v>901</v>
      </c>
      <c r="J55" s="654"/>
      <c r="K55" s="656"/>
      <c r="L55" s="655" t="s">
        <v>979</v>
      </c>
      <c r="M55" s="655" t="s">
        <v>1252</v>
      </c>
      <c r="N55" s="655" t="s">
        <v>1253</v>
      </c>
      <c r="O55" s="655" t="s">
        <v>1254</v>
      </c>
      <c r="P55" s="159"/>
      <c r="Q55" s="159"/>
      <c r="R55" s="159"/>
      <c r="S55" s="636"/>
      <c r="T55" s="656"/>
      <c r="U55" s="658"/>
      <c r="V55" s="159" t="s">
        <v>1255</v>
      </c>
      <c r="W55" s="300" t="s">
        <v>1256</v>
      </c>
      <c r="X55" s="653" t="s">
        <v>829</v>
      </c>
      <c r="Y55" s="656"/>
      <c r="Z55" s="656"/>
      <c r="AA55" s="656"/>
      <c r="AB55" s="656"/>
    </row>
    <row r="56">
      <c r="A56" s="159"/>
      <c r="B56" s="610" t="s">
        <v>755</v>
      </c>
      <c r="C56" s="300" t="s">
        <v>1257</v>
      </c>
      <c r="D56" s="300" t="s">
        <v>1258</v>
      </c>
      <c r="E56" s="159"/>
      <c r="F56" s="159"/>
      <c r="G56" s="159"/>
      <c r="H56" s="159"/>
      <c r="I56" s="653" t="s">
        <v>907</v>
      </c>
      <c r="J56" s="654"/>
      <c r="K56" s="656"/>
      <c r="L56" s="655" t="s">
        <v>979</v>
      </c>
      <c r="M56" s="655" t="s">
        <v>1259</v>
      </c>
      <c r="N56" s="655" t="s">
        <v>1260</v>
      </c>
      <c r="O56" s="655" t="s">
        <v>1261</v>
      </c>
      <c r="P56" s="159"/>
      <c r="Q56" s="159"/>
      <c r="R56" s="159"/>
      <c r="S56" s="636"/>
      <c r="T56" s="656"/>
      <c r="U56" s="658"/>
      <c r="V56" s="159" t="s">
        <v>1262</v>
      </c>
      <c r="W56" s="300" t="s">
        <v>1263</v>
      </c>
      <c r="X56" s="653" t="s">
        <v>829</v>
      </c>
      <c r="Y56" s="656"/>
      <c r="Z56" s="656"/>
      <c r="AA56" s="656"/>
      <c r="AB56" s="656"/>
    </row>
    <row r="57">
      <c r="A57" s="159"/>
      <c r="B57" s="610" t="s">
        <v>756</v>
      </c>
      <c r="C57" s="300" t="s">
        <v>1264</v>
      </c>
      <c r="D57" s="300" t="s">
        <v>1265</v>
      </c>
      <c r="E57" s="159"/>
      <c r="F57" s="159"/>
      <c r="G57" s="159"/>
      <c r="H57" s="159"/>
      <c r="I57" s="653" t="s">
        <v>907</v>
      </c>
      <c r="J57" s="654"/>
      <c r="K57" s="656"/>
      <c r="L57" s="655" t="s">
        <v>979</v>
      </c>
      <c r="M57" s="655" t="s">
        <v>1266</v>
      </c>
      <c r="N57" s="655" t="s">
        <v>791</v>
      </c>
      <c r="O57" s="159"/>
      <c r="P57" s="159"/>
      <c r="Q57" s="159"/>
      <c r="R57" s="159"/>
      <c r="S57" s="636"/>
      <c r="T57" s="656"/>
      <c r="U57" s="658"/>
      <c r="V57" s="159" t="s">
        <v>1267</v>
      </c>
      <c r="W57" s="300" t="s">
        <v>1268</v>
      </c>
      <c r="X57" s="653" t="s">
        <v>829</v>
      </c>
      <c r="Y57" s="656"/>
      <c r="Z57" s="656"/>
      <c r="AA57" s="656"/>
      <c r="AB57" s="656"/>
    </row>
    <row r="58">
      <c r="A58" s="159"/>
      <c r="B58" s="610" t="s">
        <v>757</v>
      </c>
      <c r="C58" s="300" t="s">
        <v>1269</v>
      </c>
      <c r="D58" s="300" t="s">
        <v>1270</v>
      </c>
      <c r="E58" s="159"/>
      <c r="F58" s="159"/>
      <c r="G58" s="159"/>
      <c r="H58" s="159"/>
      <c r="I58" s="653" t="s">
        <v>900</v>
      </c>
      <c r="J58" s="654"/>
      <c r="K58" s="656"/>
      <c r="L58" s="159"/>
      <c r="M58" s="159"/>
      <c r="N58" s="159"/>
      <c r="O58" s="159"/>
      <c r="P58" s="159"/>
      <c r="Q58" s="159"/>
      <c r="R58" s="159"/>
      <c r="S58" s="636"/>
      <c r="T58" s="656"/>
      <c r="U58" s="658"/>
      <c r="V58" s="159" t="s">
        <v>1271</v>
      </c>
      <c r="W58" s="300" t="s">
        <v>1272</v>
      </c>
      <c r="X58" s="653" t="s">
        <v>829</v>
      </c>
      <c r="Y58" s="656"/>
      <c r="Z58" s="656"/>
      <c r="AA58" s="656"/>
      <c r="AB58" s="656"/>
    </row>
    <row r="59">
      <c r="A59" s="159"/>
      <c r="B59" s="610" t="s">
        <v>758</v>
      </c>
      <c r="C59" s="300" t="s">
        <v>1273</v>
      </c>
      <c r="D59" s="300" t="s">
        <v>1274</v>
      </c>
      <c r="E59" s="634" t="s">
        <v>1275</v>
      </c>
      <c r="F59" s="159"/>
      <c r="G59" s="159"/>
      <c r="H59" s="159"/>
      <c r="I59" s="653" t="s">
        <v>907</v>
      </c>
      <c r="J59" s="654"/>
      <c r="K59" s="656"/>
      <c r="L59" s="655" t="s">
        <v>979</v>
      </c>
      <c r="M59" s="655" t="s">
        <v>1276</v>
      </c>
      <c r="N59" s="655" t="s">
        <v>1277</v>
      </c>
      <c r="O59" s="159"/>
      <c r="P59" s="159"/>
      <c r="Q59" s="159"/>
      <c r="R59" s="159"/>
      <c r="S59" s="636"/>
      <c r="T59" s="656"/>
      <c r="U59" s="658"/>
      <c r="V59" s="159" t="s">
        <v>1278</v>
      </c>
      <c r="W59" s="300" t="s">
        <v>1279</v>
      </c>
      <c r="X59" s="653" t="s">
        <v>829</v>
      </c>
      <c r="Y59" s="656"/>
      <c r="Z59" s="656"/>
      <c r="AA59" s="656"/>
      <c r="AB59" s="656"/>
    </row>
    <row r="60">
      <c r="A60" s="159"/>
      <c r="B60" s="610" t="s">
        <v>759</v>
      </c>
      <c r="C60" s="300" t="s">
        <v>1280</v>
      </c>
      <c r="D60" s="300" t="s">
        <v>1281</v>
      </c>
      <c r="E60" s="159"/>
      <c r="F60" s="159"/>
      <c r="G60" s="159"/>
      <c r="H60" s="159"/>
      <c r="I60" s="653" t="s">
        <v>907</v>
      </c>
      <c r="J60" s="654"/>
      <c r="K60" s="656"/>
      <c r="L60" s="655" t="s">
        <v>979</v>
      </c>
      <c r="M60" s="655" t="s">
        <v>1282</v>
      </c>
      <c r="N60" s="655" t="s">
        <v>1283</v>
      </c>
      <c r="O60" s="159"/>
      <c r="P60" s="159"/>
      <c r="Q60" s="159"/>
      <c r="R60" s="159"/>
      <c r="S60" s="636"/>
      <c r="T60" s="656"/>
      <c r="U60" s="658"/>
      <c r="V60" s="159" t="s">
        <v>1284</v>
      </c>
      <c r="W60" s="300" t="s">
        <v>1285</v>
      </c>
      <c r="X60" s="653" t="s">
        <v>829</v>
      </c>
      <c r="Y60" s="656"/>
      <c r="Z60" s="656"/>
      <c r="AA60" s="656"/>
      <c r="AB60" s="656"/>
    </row>
    <row r="61">
      <c r="A61" s="159"/>
      <c r="B61" s="610" t="s">
        <v>760</v>
      </c>
      <c r="C61" s="300" t="s">
        <v>1286</v>
      </c>
      <c r="D61" s="300" t="s">
        <v>1287</v>
      </c>
      <c r="E61" s="159"/>
      <c r="F61" s="159"/>
      <c r="G61" s="159"/>
      <c r="H61" s="159"/>
      <c r="I61" s="653" t="s">
        <v>904</v>
      </c>
      <c r="J61" s="654"/>
      <c r="K61" s="656"/>
      <c r="L61" s="655" t="s">
        <v>979</v>
      </c>
      <c r="M61" s="655" t="s">
        <v>1288</v>
      </c>
      <c r="N61" s="655" t="s">
        <v>1289</v>
      </c>
      <c r="O61" s="159"/>
      <c r="P61" s="159"/>
      <c r="Q61" s="159"/>
      <c r="R61" s="159"/>
      <c r="S61" s="636"/>
      <c r="T61" s="656"/>
      <c r="U61" s="658"/>
      <c r="V61" s="159" t="s">
        <v>1290</v>
      </c>
      <c r="W61" s="300" t="s">
        <v>1291</v>
      </c>
      <c r="X61" s="653" t="s">
        <v>829</v>
      </c>
      <c r="Y61" s="656"/>
      <c r="Z61" s="656"/>
      <c r="AA61" s="656"/>
      <c r="AB61" s="656"/>
    </row>
    <row r="62">
      <c r="A62" s="159"/>
      <c r="B62" s="610" t="s">
        <v>761</v>
      </c>
      <c r="C62" s="300" t="s">
        <v>1292</v>
      </c>
      <c r="D62" s="300" t="s">
        <v>1293</v>
      </c>
      <c r="E62" s="159"/>
      <c r="F62" s="159"/>
      <c r="G62" s="159"/>
      <c r="H62" s="159"/>
      <c r="I62" s="653" t="s">
        <v>900</v>
      </c>
      <c r="J62" s="654"/>
      <c r="K62" s="656"/>
      <c r="L62" s="655" t="s">
        <v>979</v>
      </c>
      <c r="M62" s="655" t="s">
        <v>1294</v>
      </c>
      <c r="N62" s="655" t="s">
        <v>1295</v>
      </c>
      <c r="O62" s="159"/>
      <c r="P62" s="159"/>
      <c r="Q62" s="159"/>
      <c r="R62" s="159"/>
      <c r="S62" s="636"/>
      <c r="T62" s="656"/>
      <c r="U62" s="658"/>
      <c r="V62" s="159" t="s">
        <v>1296</v>
      </c>
      <c r="W62" s="300" t="s">
        <v>1297</v>
      </c>
      <c r="X62" s="653" t="s">
        <v>829</v>
      </c>
      <c r="Y62" s="656"/>
      <c r="Z62" s="656"/>
      <c r="AA62" s="656"/>
      <c r="AB62" s="656"/>
    </row>
    <row r="63">
      <c r="A63" s="159"/>
      <c r="B63" s="610" t="s">
        <v>762</v>
      </c>
      <c r="C63" s="300" t="s">
        <v>1298</v>
      </c>
      <c r="D63" s="300" t="s">
        <v>1299</v>
      </c>
      <c r="E63" s="159"/>
      <c r="F63" s="159"/>
      <c r="G63" s="159"/>
      <c r="H63" s="159"/>
      <c r="I63" s="653" t="s">
        <v>900</v>
      </c>
      <c r="J63" s="654"/>
      <c r="K63" s="656"/>
      <c r="L63" s="655" t="s">
        <v>979</v>
      </c>
      <c r="M63" s="655" t="s">
        <v>1300</v>
      </c>
      <c r="N63" s="655" t="s">
        <v>1301</v>
      </c>
      <c r="O63" s="655" t="s">
        <v>1302</v>
      </c>
      <c r="P63" s="159"/>
      <c r="Q63" s="159"/>
      <c r="R63" s="159"/>
      <c r="S63" s="636"/>
      <c r="T63" s="656"/>
      <c r="U63" s="658"/>
      <c r="V63" s="159" t="s">
        <v>1303</v>
      </c>
      <c r="W63" s="300" t="s">
        <v>1304</v>
      </c>
      <c r="X63" s="653" t="s">
        <v>829</v>
      </c>
      <c r="Y63" s="656"/>
      <c r="Z63" s="656"/>
      <c r="AA63" s="656"/>
      <c r="AB63" s="656"/>
    </row>
    <row r="64">
      <c r="A64" s="159"/>
      <c r="B64" s="610" t="s">
        <v>763</v>
      </c>
      <c r="C64" s="300" t="s">
        <v>1305</v>
      </c>
      <c r="D64" s="300" t="s">
        <v>1306</v>
      </c>
      <c r="E64" s="159"/>
      <c r="F64" s="159"/>
      <c r="G64" s="159"/>
      <c r="H64" s="159"/>
      <c r="I64" s="653" t="s">
        <v>907</v>
      </c>
      <c r="J64" s="654"/>
      <c r="K64" s="656"/>
      <c r="L64" s="655" t="s">
        <v>979</v>
      </c>
      <c r="M64" s="655" t="s">
        <v>1307</v>
      </c>
      <c r="N64" s="655" t="s">
        <v>818</v>
      </c>
      <c r="O64" s="655" t="s">
        <v>1308</v>
      </c>
      <c r="P64" s="159"/>
      <c r="Q64" s="159"/>
      <c r="R64" s="159"/>
      <c r="S64" s="636"/>
      <c r="T64" s="656"/>
      <c r="U64" s="658"/>
      <c r="V64" s="159" t="s">
        <v>1309</v>
      </c>
      <c r="W64" s="300" t="s">
        <v>1310</v>
      </c>
      <c r="X64" s="653" t="s">
        <v>829</v>
      </c>
      <c r="Y64" s="656"/>
      <c r="Z64" s="656"/>
      <c r="AA64" s="656"/>
      <c r="AB64" s="656"/>
    </row>
    <row r="65">
      <c r="A65" s="159"/>
      <c r="B65" s="610" t="s">
        <v>764</v>
      </c>
      <c r="C65" s="300" t="s">
        <v>1311</v>
      </c>
      <c r="D65" s="300" t="s">
        <v>1312</v>
      </c>
      <c r="E65" s="159"/>
      <c r="F65" s="159"/>
      <c r="G65" s="159"/>
      <c r="H65" s="159"/>
      <c r="I65" s="653" t="s">
        <v>907</v>
      </c>
      <c r="J65" s="654"/>
      <c r="K65" s="656"/>
      <c r="L65" s="655" t="s">
        <v>979</v>
      </c>
      <c r="M65" s="655" t="s">
        <v>1313</v>
      </c>
      <c r="N65" s="655" t="s">
        <v>1314</v>
      </c>
      <c r="O65" s="655" t="s">
        <v>1315</v>
      </c>
      <c r="P65" s="159"/>
      <c r="Q65" s="159"/>
      <c r="R65" s="159"/>
      <c r="S65" s="636"/>
      <c r="T65" s="656"/>
      <c r="U65" s="658"/>
      <c r="V65" s="159" t="s">
        <v>1316</v>
      </c>
      <c r="W65" s="300" t="s">
        <v>1317</v>
      </c>
      <c r="X65" s="653" t="s">
        <v>829</v>
      </c>
      <c r="Y65" s="656"/>
      <c r="Z65" s="656"/>
      <c r="AA65" s="656"/>
      <c r="AB65" s="656"/>
    </row>
    <row r="66">
      <c r="A66" s="159"/>
      <c r="B66" s="610" t="s">
        <v>765</v>
      </c>
      <c r="C66" s="300" t="s">
        <v>1318</v>
      </c>
      <c r="D66" s="159"/>
      <c r="E66" s="159"/>
      <c r="F66" s="159"/>
      <c r="G66" s="159"/>
      <c r="H66" s="159"/>
      <c r="I66" s="653" t="s">
        <v>900</v>
      </c>
      <c r="J66" s="654"/>
      <c r="K66" s="656"/>
      <c r="L66" s="655" t="s">
        <v>979</v>
      </c>
      <c r="M66" s="655" t="s">
        <v>1319</v>
      </c>
      <c r="N66" s="655" t="s">
        <v>1320</v>
      </c>
      <c r="O66" s="159"/>
      <c r="P66" s="159"/>
      <c r="Q66" s="159"/>
      <c r="R66" s="159"/>
      <c r="S66" s="636"/>
      <c r="T66" s="656"/>
      <c r="U66" s="658"/>
      <c r="V66" s="159" t="s">
        <v>1321</v>
      </c>
      <c r="W66" s="300" t="s">
        <v>1322</v>
      </c>
      <c r="X66" s="653" t="s">
        <v>829</v>
      </c>
      <c r="Y66" s="656"/>
      <c r="Z66" s="656"/>
      <c r="AA66" s="656"/>
      <c r="AB66" s="656"/>
    </row>
    <row r="67">
      <c r="A67" s="159"/>
      <c r="B67" s="610" t="s">
        <v>766</v>
      </c>
      <c r="C67" s="300" t="s">
        <v>1323</v>
      </c>
      <c r="D67" s="300" t="s">
        <v>1324</v>
      </c>
      <c r="E67" s="159"/>
      <c r="F67" s="159"/>
      <c r="G67" s="159"/>
      <c r="H67" s="159"/>
      <c r="I67" s="653" t="s">
        <v>900</v>
      </c>
      <c r="J67" s="654"/>
      <c r="K67" s="656"/>
      <c r="L67" s="655" t="s">
        <v>979</v>
      </c>
      <c r="M67" s="655" t="s">
        <v>1325</v>
      </c>
      <c r="N67" s="655" t="s">
        <v>1326</v>
      </c>
      <c r="O67" s="159"/>
      <c r="P67" s="159"/>
      <c r="Q67" s="159"/>
      <c r="R67" s="159"/>
      <c r="S67" s="636"/>
      <c r="T67" s="656"/>
      <c r="U67" s="658"/>
      <c r="V67" s="159" t="s">
        <v>1327</v>
      </c>
      <c r="W67" s="300" t="s">
        <v>1328</v>
      </c>
      <c r="X67" s="653" t="s">
        <v>829</v>
      </c>
      <c r="Y67" s="656"/>
      <c r="Z67" s="656"/>
      <c r="AA67" s="656"/>
      <c r="AB67" s="656"/>
    </row>
    <row r="68">
      <c r="A68" s="159"/>
      <c r="B68" s="610" t="s">
        <v>767</v>
      </c>
      <c r="C68" s="300" t="s">
        <v>1329</v>
      </c>
      <c r="D68" s="300" t="s">
        <v>1330</v>
      </c>
      <c r="E68" s="159"/>
      <c r="F68" s="159"/>
      <c r="G68" s="159"/>
      <c r="H68" s="159"/>
      <c r="I68" s="653" t="s">
        <v>907</v>
      </c>
      <c r="J68" s="654"/>
      <c r="K68" s="656"/>
      <c r="L68" s="655" t="s">
        <v>979</v>
      </c>
      <c r="M68" s="655" t="s">
        <v>1331</v>
      </c>
      <c r="N68" s="655" t="s">
        <v>1332</v>
      </c>
      <c r="O68" s="159"/>
      <c r="P68" s="159"/>
      <c r="Q68" s="159"/>
      <c r="R68" s="159"/>
      <c r="S68" s="636"/>
      <c r="T68" s="656"/>
      <c r="U68" s="658"/>
      <c r="V68" s="159" t="s">
        <v>1333</v>
      </c>
      <c r="W68" s="300" t="s">
        <v>1334</v>
      </c>
      <c r="X68" s="653" t="s">
        <v>829</v>
      </c>
      <c r="Y68" s="656"/>
      <c r="Z68" s="656"/>
      <c r="AA68" s="656"/>
      <c r="AB68" s="656"/>
    </row>
    <row r="69">
      <c r="A69" s="159"/>
      <c r="B69" s="610" t="s">
        <v>768</v>
      </c>
      <c r="C69" s="300" t="s">
        <v>1335</v>
      </c>
      <c r="D69" s="300" t="s">
        <v>1336</v>
      </c>
      <c r="E69" s="159"/>
      <c r="F69" s="159"/>
      <c r="G69" s="159"/>
      <c r="H69" s="159"/>
      <c r="I69" s="653" t="s">
        <v>900</v>
      </c>
      <c r="J69" s="654"/>
      <c r="K69" s="656"/>
      <c r="L69" s="655" t="s">
        <v>979</v>
      </c>
      <c r="M69" s="655" t="s">
        <v>1337</v>
      </c>
      <c r="N69" s="655" t="s">
        <v>1338</v>
      </c>
      <c r="O69" s="655" t="s">
        <v>1339</v>
      </c>
      <c r="P69" s="159"/>
      <c r="Q69" s="159"/>
      <c r="R69" s="159"/>
      <c r="S69" s="636"/>
      <c r="T69" s="656"/>
      <c r="U69" s="658"/>
      <c r="V69" s="159" t="s">
        <v>1340</v>
      </c>
      <c r="W69" s="300" t="s">
        <v>1341</v>
      </c>
      <c r="X69" s="653" t="s">
        <v>829</v>
      </c>
      <c r="Y69" s="656"/>
      <c r="Z69" s="656"/>
      <c r="AA69" s="656"/>
      <c r="AB69" s="656"/>
    </row>
    <row r="70">
      <c r="A70" s="159"/>
      <c r="B70" s="610" t="s">
        <v>769</v>
      </c>
      <c r="C70" s="300" t="s">
        <v>1342</v>
      </c>
      <c r="D70" s="159"/>
      <c r="E70" s="159"/>
      <c r="F70" s="159"/>
      <c r="G70" s="159"/>
      <c r="H70" s="159"/>
      <c r="I70" s="653" t="s">
        <v>897</v>
      </c>
      <c r="J70" s="654"/>
      <c r="K70" s="656"/>
      <c r="L70" s="655" t="s">
        <v>979</v>
      </c>
      <c r="M70" s="655" t="s">
        <v>1343</v>
      </c>
      <c r="N70" s="655" t="s">
        <v>1344</v>
      </c>
      <c r="O70" s="655" t="s">
        <v>1345</v>
      </c>
      <c r="P70" s="159"/>
      <c r="Q70" s="159"/>
      <c r="R70" s="159"/>
      <c r="S70" s="636"/>
      <c r="T70" s="656"/>
      <c r="U70" s="658"/>
      <c r="V70" s="159" t="s">
        <v>1346</v>
      </c>
      <c r="W70" s="300" t="s">
        <v>1347</v>
      </c>
      <c r="X70" s="653" t="s">
        <v>829</v>
      </c>
      <c r="Y70" s="656"/>
      <c r="Z70" s="656"/>
      <c r="AA70" s="656"/>
      <c r="AB70" s="656"/>
    </row>
    <row r="71">
      <c r="A71" s="159"/>
      <c r="B71" s="610" t="s">
        <v>770</v>
      </c>
      <c r="C71" s="300" t="s">
        <v>1348</v>
      </c>
      <c r="D71" s="300" t="s">
        <v>1349</v>
      </c>
      <c r="E71" s="159"/>
      <c r="F71" s="159"/>
      <c r="G71" s="159"/>
      <c r="H71" s="159"/>
      <c r="I71" s="653" t="s">
        <v>901</v>
      </c>
      <c r="J71" s="654"/>
      <c r="K71" s="656"/>
      <c r="L71" s="159"/>
      <c r="M71" s="159"/>
      <c r="N71" s="159"/>
      <c r="O71" s="159"/>
      <c r="P71" s="159"/>
      <c r="Q71" s="159"/>
      <c r="R71" s="159"/>
      <c r="S71" s="636"/>
      <c r="T71" s="656"/>
      <c r="U71" s="658"/>
      <c r="V71" s="159" t="s">
        <v>1350</v>
      </c>
      <c r="W71" s="300" t="s">
        <v>1351</v>
      </c>
      <c r="X71" s="653" t="s">
        <v>829</v>
      </c>
      <c r="Y71" s="656"/>
      <c r="Z71" s="656"/>
      <c r="AA71" s="656"/>
      <c r="AB71" s="656"/>
    </row>
    <row r="72">
      <c r="A72" s="159"/>
      <c r="B72" s="610" t="s">
        <v>771</v>
      </c>
      <c r="C72" s="300" t="s">
        <v>1352</v>
      </c>
      <c r="D72" s="300" t="s">
        <v>1353</v>
      </c>
      <c r="E72" s="159"/>
      <c r="F72" s="159"/>
      <c r="G72" s="159"/>
      <c r="H72" s="159"/>
      <c r="I72" s="653" t="s">
        <v>907</v>
      </c>
      <c r="J72" s="654"/>
      <c r="K72" s="656"/>
      <c r="L72" s="655" t="s">
        <v>979</v>
      </c>
      <c r="M72" s="655" t="s">
        <v>1354</v>
      </c>
      <c r="N72" s="655" t="s">
        <v>1355</v>
      </c>
      <c r="O72" s="655" t="s">
        <v>1356</v>
      </c>
      <c r="P72" s="159"/>
      <c r="Q72" s="159"/>
      <c r="R72" s="159"/>
      <c r="S72" s="636"/>
      <c r="T72" s="656"/>
      <c r="U72" s="658"/>
      <c r="V72" s="159" t="s">
        <v>1357</v>
      </c>
      <c r="W72" s="300" t="s">
        <v>1358</v>
      </c>
      <c r="X72" s="653" t="s">
        <v>829</v>
      </c>
      <c r="Y72" s="656"/>
      <c r="Z72" s="656"/>
      <c r="AA72" s="656"/>
      <c r="AB72" s="656"/>
    </row>
    <row r="73">
      <c r="A73" s="159"/>
      <c r="B73" s="610" t="s">
        <v>772</v>
      </c>
      <c r="C73" s="300" t="s">
        <v>1359</v>
      </c>
      <c r="D73" s="300" t="s">
        <v>1360</v>
      </c>
      <c r="E73" s="300" t="s">
        <v>1361</v>
      </c>
      <c r="F73" s="159"/>
      <c r="G73" s="159"/>
      <c r="H73" s="159"/>
      <c r="I73" s="653" t="s">
        <v>907</v>
      </c>
      <c r="J73" s="654"/>
      <c r="K73" s="656"/>
      <c r="L73" s="655" t="s">
        <v>979</v>
      </c>
      <c r="M73" s="655" t="s">
        <v>1362</v>
      </c>
      <c r="N73" s="655" t="s">
        <v>1363</v>
      </c>
      <c r="O73" s="655" t="s">
        <v>1364</v>
      </c>
      <c r="P73" s="159"/>
      <c r="Q73" s="159"/>
      <c r="R73" s="159"/>
      <c r="S73" s="636"/>
      <c r="T73" s="656"/>
      <c r="U73" s="658"/>
      <c r="V73" s="159" t="s">
        <v>1365</v>
      </c>
      <c r="W73" s="300" t="s">
        <v>1366</v>
      </c>
      <c r="X73" s="653" t="s">
        <v>829</v>
      </c>
      <c r="Y73" s="656"/>
      <c r="Z73" s="656"/>
      <c r="AA73" s="656"/>
      <c r="AB73" s="656"/>
    </row>
    <row r="74">
      <c r="A74" s="159"/>
      <c r="B74" s="610" t="s">
        <v>773</v>
      </c>
      <c r="C74" s="300" t="s">
        <v>1367</v>
      </c>
      <c r="D74" s="300" t="s">
        <v>1368</v>
      </c>
      <c r="E74" s="159"/>
      <c r="F74" s="159"/>
      <c r="G74" s="159"/>
      <c r="H74" s="159"/>
      <c r="I74" s="653" t="s">
        <v>901</v>
      </c>
      <c r="J74" s="654"/>
      <c r="K74" s="656"/>
      <c r="L74" s="655" t="s">
        <v>979</v>
      </c>
      <c r="M74" s="655" t="s">
        <v>1369</v>
      </c>
      <c r="N74" s="655" t="s">
        <v>1370</v>
      </c>
      <c r="O74" s="159"/>
      <c r="P74" s="159"/>
      <c r="Q74" s="159"/>
      <c r="R74" s="159"/>
      <c r="S74" s="636"/>
      <c r="T74" s="656"/>
      <c r="U74" s="658"/>
      <c r="V74" s="159" t="s">
        <v>1371</v>
      </c>
      <c r="W74" s="300" t="s">
        <v>1372</v>
      </c>
      <c r="X74" s="653" t="s">
        <v>829</v>
      </c>
      <c r="Y74" s="656"/>
      <c r="Z74" s="656"/>
      <c r="AA74" s="656"/>
      <c r="AB74" s="656"/>
    </row>
    <row r="75">
      <c r="A75" s="159"/>
      <c r="B75" s="610" t="s">
        <v>774</v>
      </c>
      <c r="C75" s="300" t="s">
        <v>1373</v>
      </c>
      <c r="D75" s="300" t="s">
        <v>1374</v>
      </c>
      <c r="E75" s="159"/>
      <c r="F75" s="159"/>
      <c r="G75" s="159"/>
      <c r="H75" s="159"/>
      <c r="I75" s="653" t="s">
        <v>897</v>
      </c>
      <c r="J75" s="654"/>
      <c r="K75" s="656"/>
      <c r="L75" s="655" t="s">
        <v>979</v>
      </c>
      <c r="M75" s="655" t="s">
        <v>1375</v>
      </c>
      <c r="N75" s="655" t="s">
        <v>1376</v>
      </c>
      <c r="O75" s="655" t="s">
        <v>1377</v>
      </c>
      <c r="P75" s="159"/>
      <c r="Q75" s="159"/>
      <c r="R75" s="159"/>
      <c r="S75" s="636"/>
      <c r="T75" s="656"/>
      <c r="U75" s="658"/>
      <c r="V75" s="159"/>
      <c r="W75" s="159"/>
      <c r="X75" s="636"/>
      <c r="Y75" s="656"/>
      <c r="Z75" s="656"/>
      <c r="AA75" s="656"/>
      <c r="AB75" s="656"/>
    </row>
    <row r="76">
      <c r="A76" s="159"/>
      <c r="B76" s="610" t="s">
        <v>775</v>
      </c>
      <c r="C76" s="300" t="s">
        <v>1378</v>
      </c>
      <c r="D76" s="300" t="s">
        <v>1379</v>
      </c>
      <c r="E76" s="159"/>
      <c r="F76" s="159"/>
      <c r="G76" s="159"/>
      <c r="H76" s="159"/>
      <c r="I76" s="653" t="s">
        <v>901</v>
      </c>
      <c r="J76" s="654"/>
      <c r="K76" s="656"/>
      <c r="L76" s="655" t="s">
        <v>979</v>
      </c>
      <c r="M76" s="655" t="s">
        <v>1380</v>
      </c>
      <c r="N76" s="655" t="s">
        <v>1381</v>
      </c>
      <c r="O76" s="159"/>
      <c r="P76" s="159"/>
      <c r="Q76" s="159"/>
      <c r="R76" s="159"/>
      <c r="S76" s="636"/>
      <c r="T76" s="656"/>
      <c r="U76" s="658"/>
      <c r="V76" s="159"/>
      <c r="W76" s="159"/>
      <c r="X76" s="636"/>
      <c r="Y76" s="656"/>
      <c r="Z76" s="656"/>
      <c r="AA76" s="656"/>
      <c r="AB76" s="656"/>
    </row>
    <row r="77">
      <c r="A77" s="159"/>
      <c r="B77" s="610" t="s">
        <v>776</v>
      </c>
      <c r="C77" s="300" t="s">
        <v>1382</v>
      </c>
      <c r="D77" s="159"/>
      <c r="E77" s="159"/>
      <c r="F77" s="159"/>
      <c r="G77" s="159"/>
      <c r="H77" s="159"/>
      <c r="I77" s="653" t="s">
        <v>900</v>
      </c>
      <c r="J77" s="654"/>
      <c r="K77" s="656"/>
      <c r="L77" s="655" t="s">
        <v>979</v>
      </c>
      <c r="M77" s="655" t="s">
        <v>1383</v>
      </c>
      <c r="N77" s="655" t="s">
        <v>1384</v>
      </c>
      <c r="O77" s="159"/>
      <c r="P77" s="159"/>
      <c r="Q77" s="159"/>
      <c r="R77" s="159"/>
      <c r="S77" s="636"/>
      <c r="T77" s="656"/>
      <c r="U77" s="658"/>
      <c r="V77" s="159"/>
      <c r="W77" s="159"/>
      <c r="X77" s="636"/>
      <c r="Y77" s="656"/>
      <c r="Z77" s="656"/>
      <c r="AA77" s="656"/>
      <c r="AB77" s="656"/>
    </row>
    <row r="78">
      <c r="A78" s="159"/>
      <c r="B78" s="610" t="s">
        <v>777</v>
      </c>
      <c r="C78" s="300" t="s">
        <v>1385</v>
      </c>
      <c r="D78" s="300" t="s">
        <v>1386</v>
      </c>
      <c r="E78" s="159"/>
      <c r="F78" s="159"/>
      <c r="G78" s="159"/>
      <c r="H78" s="159"/>
      <c r="I78" s="653" t="s">
        <v>900</v>
      </c>
      <c r="J78" s="654"/>
      <c r="K78" s="656"/>
      <c r="L78" s="655" t="s">
        <v>979</v>
      </c>
      <c r="M78" s="655" t="s">
        <v>1387</v>
      </c>
      <c r="N78" s="655" t="s">
        <v>1388</v>
      </c>
      <c r="O78" s="159"/>
      <c r="P78" s="159"/>
      <c r="Q78" s="159"/>
      <c r="R78" s="159"/>
      <c r="S78" s="636"/>
      <c r="T78" s="656"/>
      <c r="U78" s="658"/>
      <c r="V78" s="159"/>
      <c r="W78" s="159"/>
      <c r="X78" s="636"/>
      <c r="Y78" s="656"/>
      <c r="Z78" s="656"/>
      <c r="AA78" s="656"/>
      <c r="AB78" s="656"/>
    </row>
    <row r="79">
      <c r="A79" s="159"/>
      <c r="B79" s="610" t="s">
        <v>778</v>
      </c>
      <c r="C79" s="300" t="s">
        <v>1389</v>
      </c>
      <c r="D79" s="300" t="s">
        <v>1390</v>
      </c>
      <c r="E79" s="159"/>
      <c r="F79" s="159"/>
      <c r="G79" s="159"/>
      <c r="H79" s="159"/>
      <c r="I79" s="653" t="s">
        <v>905</v>
      </c>
      <c r="J79" s="654"/>
      <c r="K79" s="656"/>
      <c r="L79" s="655" t="s">
        <v>979</v>
      </c>
      <c r="M79" s="655" t="s">
        <v>1391</v>
      </c>
      <c r="N79" s="655" t="s">
        <v>1392</v>
      </c>
      <c r="O79" s="655" t="s">
        <v>1393</v>
      </c>
      <c r="P79" s="159"/>
      <c r="Q79" s="159"/>
      <c r="R79" s="159"/>
      <c r="S79" s="636"/>
      <c r="T79" s="656"/>
      <c r="U79" s="658"/>
      <c r="V79" s="159"/>
      <c r="W79" s="159"/>
      <c r="X79" s="636"/>
      <c r="Y79" s="656"/>
      <c r="Z79" s="656"/>
      <c r="AA79" s="656"/>
      <c r="AB79" s="656"/>
    </row>
    <row r="80">
      <c r="A80" s="159"/>
      <c r="B80" s="610" t="s">
        <v>779</v>
      </c>
      <c r="C80" s="300" t="s">
        <v>1394</v>
      </c>
      <c r="D80" s="300" t="s">
        <v>1395</v>
      </c>
      <c r="E80" s="159"/>
      <c r="F80" s="159"/>
      <c r="G80" s="159"/>
      <c r="H80" s="159"/>
      <c r="I80" s="653" t="s">
        <v>906</v>
      </c>
      <c r="J80" s="654"/>
      <c r="K80" s="656"/>
      <c r="L80" s="655" t="s">
        <v>979</v>
      </c>
      <c r="M80" s="655" t="s">
        <v>1396</v>
      </c>
      <c r="N80" s="655" t="s">
        <v>1397</v>
      </c>
      <c r="O80" s="159"/>
      <c r="P80" s="655" t="s">
        <v>1398</v>
      </c>
      <c r="Q80" s="159"/>
      <c r="R80" s="159"/>
      <c r="S80" s="636"/>
      <c r="T80" s="656"/>
      <c r="U80" s="658"/>
      <c r="V80" s="159"/>
      <c r="W80" s="159"/>
      <c r="X80" s="636"/>
      <c r="Y80" s="656"/>
      <c r="Z80" s="656"/>
      <c r="AA80" s="656"/>
      <c r="AB80" s="656"/>
    </row>
    <row r="81">
      <c r="A81" s="159"/>
      <c r="B81" s="610" t="s">
        <v>780</v>
      </c>
      <c r="C81" s="300" t="s">
        <v>1399</v>
      </c>
      <c r="D81" s="159" t="s">
        <v>1400</v>
      </c>
      <c r="E81" s="634" t="s">
        <v>1401</v>
      </c>
      <c r="F81" s="159"/>
      <c r="G81" s="159"/>
      <c r="H81" s="159"/>
      <c r="I81" s="653" t="s">
        <v>908</v>
      </c>
      <c r="J81" s="654"/>
      <c r="K81" s="656"/>
      <c r="L81" s="655" t="s">
        <v>979</v>
      </c>
      <c r="M81" s="655" t="s">
        <v>1402</v>
      </c>
      <c r="N81" s="655" t="s">
        <v>1403</v>
      </c>
      <c r="O81" s="159"/>
      <c r="P81" s="159"/>
      <c r="Q81" s="159"/>
      <c r="R81" s="159"/>
      <c r="S81" s="636"/>
      <c r="T81" s="656"/>
      <c r="U81" s="658"/>
      <c r="V81" s="159"/>
      <c r="W81" s="159"/>
      <c r="X81" s="636"/>
      <c r="Y81" s="656"/>
      <c r="Z81" s="656"/>
      <c r="AA81" s="656"/>
      <c r="AB81" s="656"/>
    </row>
    <row r="82">
      <c r="A82" s="159"/>
      <c r="B82" s="610" t="s">
        <v>781</v>
      </c>
      <c r="C82" s="300" t="s">
        <v>1404</v>
      </c>
      <c r="D82" s="300" t="s">
        <v>1405</v>
      </c>
      <c r="E82" s="159"/>
      <c r="F82" s="159"/>
      <c r="G82" s="159"/>
      <c r="H82" s="159"/>
      <c r="I82" s="653" t="s">
        <v>908</v>
      </c>
      <c r="J82" s="654"/>
      <c r="K82" s="656"/>
      <c r="L82" s="655" t="s">
        <v>979</v>
      </c>
      <c r="M82" s="655" t="s">
        <v>1406</v>
      </c>
      <c r="N82" s="655" t="s">
        <v>1407</v>
      </c>
      <c r="O82" s="159"/>
      <c r="P82" s="159"/>
      <c r="Q82" s="159"/>
      <c r="R82" s="159"/>
      <c r="S82" s="636"/>
      <c r="T82" s="656"/>
      <c r="U82" s="658"/>
      <c r="V82" s="159"/>
      <c r="W82" s="159"/>
      <c r="X82" s="636"/>
      <c r="Y82" s="656"/>
      <c r="Z82" s="656"/>
      <c r="AA82" s="656"/>
      <c r="AB82" s="656"/>
    </row>
    <row r="83">
      <c r="A83" s="159"/>
      <c r="B83" s="610" t="s">
        <v>782</v>
      </c>
      <c r="C83" s="300" t="s">
        <v>1408</v>
      </c>
      <c r="D83" s="159"/>
      <c r="E83" s="159"/>
      <c r="F83" s="159"/>
      <c r="G83" s="159"/>
      <c r="H83" s="159"/>
      <c r="I83" s="653" t="s">
        <v>900</v>
      </c>
      <c r="J83" s="654"/>
      <c r="K83" s="656"/>
      <c r="L83" s="655" t="s">
        <v>979</v>
      </c>
      <c r="M83" s="655" t="s">
        <v>1409</v>
      </c>
      <c r="N83" s="655" t="s">
        <v>1410</v>
      </c>
      <c r="O83" s="159"/>
      <c r="P83" s="655" t="s">
        <v>1411</v>
      </c>
      <c r="Q83" s="159"/>
      <c r="R83" s="159"/>
      <c r="S83" s="636"/>
      <c r="T83" s="656"/>
      <c r="U83" s="658"/>
      <c r="V83" s="159"/>
      <c r="W83" s="159"/>
      <c r="X83" s="636"/>
      <c r="Y83" s="656"/>
      <c r="Z83" s="656"/>
      <c r="AA83" s="656"/>
      <c r="AB83" s="656"/>
    </row>
    <row r="84">
      <c r="A84" s="159"/>
      <c r="B84" s="610" t="s">
        <v>783</v>
      </c>
      <c r="C84" s="300" t="s">
        <v>1412</v>
      </c>
      <c r="D84" s="300" t="s">
        <v>1413</v>
      </c>
      <c r="E84" s="159"/>
      <c r="F84" s="159"/>
      <c r="G84" s="159"/>
      <c r="H84" s="159"/>
      <c r="I84" s="653" t="s">
        <v>908</v>
      </c>
      <c r="J84" s="654"/>
      <c r="K84" s="656"/>
      <c r="L84" s="655" t="s">
        <v>979</v>
      </c>
      <c r="M84" s="655" t="s">
        <v>1414</v>
      </c>
      <c r="N84" s="655" t="s">
        <v>1415</v>
      </c>
      <c r="O84" s="159"/>
      <c r="P84" s="159"/>
      <c r="Q84" s="159"/>
      <c r="R84" s="159"/>
      <c r="S84" s="636"/>
      <c r="T84" s="656"/>
      <c r="U84" s="658"/>
      <c r="V84" s="159"/>
      <c r="W84" s="159"/>
      <c r="X84" s="636"/>
      <c r="Y84" s="656"/>
      <c r="Z84" s="656"/>
      <c r="AA84" s="656"/>
      <c r="AB84" s="656"/>
    </row>
    <row r="85">
      <c r="A85" s="159"/>
      <c r="B85" s="610" t="s">
        <v>784</v>
      </c>
      <c r="C85" s="300" t="s">
        <v>1416</v>
      </c>
      <c r="D85" s="300" t="s">
        <v>1417</v>
      </c>
      <c r="E85" s="159"/>
      <c r="F85" s="159"/>
      <c r="G85" s="159"/>
      <c r="H85" s="159"/>
      <c r="I85" s="653" t="s">
        <v>900</v>
      </c>
      <c r="J85" s="654"/>
      <c r="K85" s="656"/>
      <c r="L85" s="655" t="s">
        <v>979</v>
      </c>
      <c r="M85" s="655" t="s">
        <v>1418</v>
      </c>
      <c r="N85" s="655" t="s">
        <v>1419</v>
      </c>
      <c r="O85" s="159"/>
      <c r="P85" s="159"/>
      <c r="Q85" s="159"/>
      <c r="R85" s="159"/>
      <c r="S85" s="636"/>
      <c r="T85" s="656"/>
      <c r="U85" s="658"/>
      <c r="V85" s="159"/>
      <c r="W85" s="159"/>
      <c r="X85" s="636"/>
      <c r="Y85" s="656"/>
      <c r="Z85" s="656"/>
      <c r="AA85" s="656"/>
      <c r="AB85" s="656"/>
    </row>
    <row r="86">
      <c r="A86" s="159"/>
      <c r="B86" s="610" t="s">
        <v>785</v>
      </c>
      <c r="C86" s="300" t="s">
        <v>1420</v>
      </c>
      <c r="D86" s="159"/>
      <c r="E86" s="159"/>
      <c r="F86" s="159"/>
      <c r="G86" s="159"/>
      <c r="H86" s="159"/>
      <c r="I86" s="653" t="s">
        <v>897</v>
      </c>
      <c r="J86" s="654"/>
      <c r="K86" s="656"/>
      <c r="L86" s="655" t="s">
        <v>979</v>
      </c>
      <c r="M86" s="655" t="s">
        <v>1421</v>
      </c>
      <c r="N86" s="655" t="s">
        <v>1422</v>
      </c>
      <c r="O86" s="655" t="s">
        <v>1423</v>
      </c>
      <c r="P86" s="159"/>
      <c r="Q86" s="159"/>
      <c r="R86" s="159"/>
      <c r="S86" s="636"/>
      <c r="T86" s="656"/>
      <c r="U86" s="658"/>
      <c r="V86" s="159"/>
      <c r="W86" s="159"/>
      <c r="X86" s="636"/>
      <c r="Y86" s="656"/>
      <c r="Z86" s="656"/>
      <c r="AA86" s="656"/>
      <c r="AB86" s="656"/>
    </row>
    <row r="87">
      <c r="A87" s="159"/>
      <c r="B87" s="610" t="s">
        <v>786</v>
      </c>
      <c r="C87" s="300" t="s">
        <v>1424</v>
      </c>
      <c r="D87" s="159"/>
      <c r="E87" s="159"/>
      <c r="F87" s="159"/>
      <c r="G87" s="159"/>
      <c r="H87" s="159"/>
      <c r="I87" s="653" t="s">
        <v>899</v>
      </c>
      <c r="J87" s="654"/>
      <c r="K87" s="656"/>
      <c r="L87" s="655" t="s">
        <v>979</v>
      </c>
      <c r="M87" s="655" t="s">
        <v>1425</v>
      </c>
      <c r="N87" s="655" t="s">
        <v>1426</v>
      </c>
      <c r="O87" s="159"/>
      <c r="P87" s="159"/>
      <c r="Q87" s="159"/>
      <c r="R87" s="159"/>
      <c r="S87" s="636"/>
      <c r="T87" s="656"/>
      <c r="U87" s="658"/>
      <c r="V87" s="159"/>
      <c r="W87" s="159"/>
      <c r="X87" s="636"/>
      <c r="Y87" s="656"/>
      <c r="Z87" s="656"/>
      <c r="AA87" s="656"/>
      <c r="AB87" s="656"/>
    </row>
    <row r="88">
      <c r="A88" s="159"/>
      <c r="B88" s="610" t="s">
        <v>787</v>
      </c>
      <c r="C88" s="300" t="s">
        <v>1427</v>
      </c>
      <c r="D88" s="300" t="s">
        <v>1428</v>
      </c>
      <c r="E88" s="159"/>
      <c r="F88" s="159"/>
      <c r="G88" s="159"/>
      <c r="H88" s="159"/>
      <c r="I88" s="653" t="s">
        <v>908</v>
      </c>
      <c r="J88" s="654"/>
      <c r="K88" s="656"/>
      <c r="L88" s="655" t="s">
        <v>979</v>
      </c>
      <c r="M88" s="655" t="s">
        <v>1429</v>
      </c>
      <c r="N88" s="655" t="s">
        <v>1430</v>
      </c>
      <c r="O88" s="159"/>
      <c r="P88" s="159"/>
      <c r="Q88" s="159"/>
      <c r="R88" s="159"/>
      <c r="S88" s="636"/>
      <c r="T88" s="656"/>
      <c r="U88" s="658"/>
      <c r="V88" s="159"/>
      <c r="W88" s="159"/>
      <c r="X88" s="636"/>
      <c r="Y88" s="656"/>
      <c r="Z88" s="656"/>
      <c r="AA88" s="656"/>
      <c r="AB88" s="656"/>
    </row>
    <row r="89">
      <c r="A89" s="159"/>
      <c r="B89" s="610" t="s">
        <v>788</v>
      </c>
      <c r="C89" s="300" t="s">
        <v>1431</v>
      </c>
      <c r="D89" s="300" t="s">
        <v>1432</v>
      </c>
      <c r="E89" s="159"/>
      <c r="F89" s="159"/>
      <c r="G89" s="159"/>
      <c r="H89" s="159"/>
      <c r="I89" s="653" t="s">
        <v>898</v>
      </c>
      <c r="J89" s="654"/>
      <c r="K89" s="656"/>
      <c r="L89" s="159"/>
      <c r="M89" s="159"/>
      <c r="N89" s="159"/>
      <c r="O89" s="159"/>
      <c r="P89" s="159"/>
      <c r="Q89" s="159"/>
      <c r="R89" s="159"/>
      <c r="S89" s="636"/>
      <c r="T89" s="656"/>
      <c r="U89" s="658"/>
      <c r="V89" s="159"/>
      <c r="W89" s="159"/>
      <c r="X89" s="636"/>
      <c r="Y89" s="656"/>
      <c r="Z89" s="656"/>
      <c r="AA89" s="656"/>
      <c r="AB89" s="656"/>
    </row>
    <row r="90">
      <c r="A90" s="159"/>
      <c r="B90" s="610" t="s">
        <v>789</v>
      </c>
      <c r="C90" s="300" t="s">
        <v>1433</v>
      </c>
      <c r="D90" s="300" t="s">
        <v>1434</v>
      </c>
      <c r="E90" s="159"/>
      <c r="F90" s="159"/>
      <c r="G90" s="159"/>
      <c r="H90" s="159"/>
      <c r="I90" s="653" t="s">
        <v>907</v>
      </c>
      <c r="J90" s="654"/>
      <c r="K90" s="656"/>
      <c r="L90" s="655" t="s">
        <v>979</v>
      </c>
      <c r="M90" s="655" t="s">
        <v>1435</v>
      </c>
      <c r="N90" s="655" t="s">
        <v>1436</v>
      </c>
      <c r="O90" s="159"/>
      <c r="P90" s="159"/>
      <c r="Q90" s="159"/>
      <c r="R90" s="159"/>
      <c r="S90" s="636"/>
      <c r="T90" s="656"/>
      <c r="U90" s="658"/>
      <c r="V90" s="159"/>
      <c r="W90" s="159"/>
      <c r="X90" s="636"/>
      <c r="Y90" s="656"/>
      <c r="Z90" s="656"/>
      <c r="AA90" s="656"/>
      <c r="AB90" s="656"/>
    </row>
    <row r="91">
      <c r="A91" s="159"/>
      <c r="B91" s="610" t="s">
        <v>790</v>
      </c>
      <c r="C91" s="300" t="s">
        <v>1437</v>
      </c>
      <c r="D91" s="300" t="s">
        <v>1438</v>
      </c>
      <c r="E91" s="159"/>
      <c r="F91" s="159"/>
      <c r="G91" s="159"/>
      <c r="H91" s="159"/>
      <c r="I91" s="653" t="s">
        <v>904</v>
      </c>
      <c r="J91" s="654"/>
      <c r="K91" s="656"/>
      <c r="L91" s="655" t="s">
        <v>979</v>
      </c>
      <c r="M91" s="655" t="s">
        <v>1439</v>
      </c>
      <c r="N91" s="655" t="s">
        <v>1440</v>
      </c>
      <c r="O91" s="159"/>
      <c r="P91" s="159"/>
      <c r="Q91" s="159"/>
      <c r="R91" s="159"/>
      <c r="S91" s="636"/>
      <c r="T91" s="656"/>
      <c r="U91" s="658"/>
      <c r="V91" s="159"/>
      <c r="W91" s="159"/>
      <c r="X91" s="636"/>
      <c r="Y91" s="656"/>
      <c r="Z91" s="656"/>
      <c r="AA91" s="656"/>
      <c r="AB91" s="656"/>
    </row>
    <row r="92">
      <c r="A92" s="159"/>
      <c r="B92" s="610" t="s">
        <v>792</v>
      </c>
      <c r="C92" s="300" t="s">
        <v>1441</v>
      </c>
      <c r="D92" s="300" t="s">
        <v>1442</v>
      </c>
      <c r="E92" s="159"/>
      <c r="F92" s="159"/>
      <c r="G92" s="159"/>
      <c r="H92" s="159"/>
      <c r="I92" s="653" t="s">
        <v>908</v>
      </c>
      <c r="J92" s="654"/>
      <c r="K92" s="656"/>
      <c r="L92" s="655" t="s">
        <v>979</v>
      </c>
      <c r="M92" s="655" t="s">
        <v>1443</v>
      </c>
      <c r="N92" s="655" t="s">
        <v>1444</v>
      </c>
      <c r="O92" s="655" t="s">
        <v>1445</v>
      </c>
      <c r="P92" s="655" t="s">
        <v>1446</v>
      </c>
      <c r="Q92" s="159"/>
      <c r="R92" s="159"/>
      <c r="S92" s="636"/>
      <c r="T92" s="656"/>
      <c r="U92" s="658"/>
      <c r="V92" s="159"/>
      <c r="W92" s="159"/>
      <c r="X92" s="636"/>
      <c r="Y92" s="656"/>
      <c r="Z92" s="656"/>
      <c r="AA92" s="656"/>
      <c r="AB92" s="656"/>
    </row>
    <row r="93">
      <c r="A93" s="159"/>
      <c r="B93" s="610" t="s">
        <v>793</v>
      </c>
      <c r="C93" s="300" t="s">
        <v>1447</v>
      </c>
      <c r="D93" s="300" t="s">
        <v>1448</v>
      </c>
      <c r="E93" s="159"/>
      <c r="F93" s="159"/>
      <c r="G93" s="159"/>
      <c r="H93" s="159"/>
      <c r="I93" s="653" t="s">
        <v>898</v>
      </c>
      <c r="J93" s="654"/>
      <c r="K93" s="656"/>
      <c r="L93" s="655" t="s">
        <v>979</v>
      </c>
      <c r="M93" s="655" t="s">
        <v>1449</v>
      </c>
      <c r="N93" s="655" t="s">
        <v>1450</v>
      </c>
      <c r="O93" s="655" t="s">
        <v>1451</v>
      </c>
      <c r="P93" s="655" t="s">
        <v>1452</v>
      </c>
      <c r="Q93" s="159"/>
      <c r="R93" s="159"/>
      <c r="S93" s="636"/>
      <c r="T93" s="656"/>
      <c r="U93" s="658"/>
      <c r="V93" s="159"/>
      <c r="W93" s="159"/>
      <c r="X93" s="636"/>
      <c r="Y93" s="656"/>
      <c r="Z93" s="656"/>
      <c r="AA93" s="656"/>
      <c r="AB93" s="656"/>
    </row>
    <row r="94">
      <c r="A94" s="159"/>
      <c r="B94" s="460" t="s">
        <v>794</v>
      </c>
      <c r="C94" s="300" t="s">
        <v>1453</v>
      </c>
      <c r="D94" s="159" t="s">
        <v>1454</v>
      </c>
      <c r="E94" s="159"/>
      <c r="F94" s="159"/>
      <c r="G94" s="159"/>
      <c r="H94" s="159"/>
      <c r="I94" s="653" t="s">
        <v>906</v>
      </c>
      <c r="J94" s="654"/>
      <c r="K94" s="656"/>
      <c r="L94" s="655" t="s">
        <v>979</v>
      </c>
      <c r="M94" s="655" t="s">
        <v>1455</v>
      </c>
      <c r="N94" s="655" t="s">
        <v>1456</v>
      </c>
      <c r="O94" s="159"/>
      <c r="P94" s="159"/>
      <c r="Q94" s="159"/>
      <c r="R94" s="159"/>
      <c r="S94" s="636"/>
      <c r="T94" s="656"/>
      <c r="U94" s="658"/>
      <c r="V94" s="159"/>
      <c r="W94" s="159"/>
      <c r="X94" s="636"/>
      <c r="Y94" s="656"/>
      <c r="Z94" s="656"/>
      <c r="AA94" s="656"/>
      <c r="AB94" s="656"/>
    </row>
    <row r="95">
      <c r="A95" s="159"/>
      <c r="B95" s="610" t="s">
        <v>795</v>
      </c>
      <c r="C95" s="300" t="s">
        <v>1457</v>
      </c>
      <c r="D95" s="300" t="s">
        <v>1458</v>
      </c>
      <c r="E95" s="159"/>
      <c r="F95" s="159"/>
      <c r="G95" s="159"/>
      <c r="H95" s="159"/>
      <c r="I95" s="653" t="s">
        <v>900</v>
      </c>
      <c r="J95" s="654"/>
      <c r="K95" s="656"/>
      <c r="L95" s="655" t="s">
        <v>979</v>
      </c>
      <c r="M95" s="655" t="s">
        <v>1459</v>
      </c>
      <c r="N95" s="655" t="s">
        <v>1460</v>
      </c>
      <c r="O95" s="655" t="s">
        <v>1461</v>
      </c>
      <c r="P95" s="159"/>
      <c r="Q95" s="159"/>
      <c r="R95" s="159"/>
      <c r="S95" s="636"/>
      <c r="T95" s="656"/>
      <c r="U95" s="658"/>
      <c r="V95" s="159"/>
      <c r="W95" s="159"/>
      <c r="X95" s="636"/>
      <c r="Y95" s="656"/>
      <c r="Z95" s="656"/>
      <c r="AA95" s="656"/>
      <c r="AB95" s="656"/>
    </row>
    <row r="96">
      <c r="A96" s="159"/>
      <c r="B96" s="610" t="s">
        <v>796</v>
      </c>
      <c r="C96" s="300" t="s">
        <v>1462</v>
      </c>
      <c r="D96" s="300" t="s">
        <v>1463</v>
      </c>
      <c r="E96" s="159"/>
      <c r="F96" s="159"/>
      <c r="G96" s="159"/>
      <c r="H96" s="159"/>
      <c r="I96" s="653" t="s">
        <v>908</v>
      </c>
      <c r="J96" s="654"/>
      <c r="K96" s="656"/>
      <c r="L96" s="655" t="s">
        <v>979</v>
      </c>
      <c r="M96" s="655" t="s">
        <v>1464</v>
      </c>
      <c r="N96" s="655" t="s">
        <v>1465</v>
      </c>
      <c r="O96" s="159"/>
      <c r="P96" s="159"/>
      <c r="Q96" s="159"/>
      <c r="R96" s="159"/>
      <c r="S96" s="636"/>
      <c r="T96" s="656"/>
      <c r="U96" s="658"/>
      <c r="V96" s="159"/>
      <c r="W96" s="159"/>
      <c r="X96" s="636"/>
      <c r="Y96" s="656"/>
      <c r="Z96" s="656"/>
      <c r="AA96" s="656"/>
      <c r="AB96" s="656"/>
    </row>
    <row r="97">
      <c r="A97" s="159"/>
      <c r="B97" s="610" t="s">
        <v>797</v>
      </c>
      <c r="C97" s="300" t="s">
        <v>1466</v>
      </c>
      <c r="D97" s="300" t="s">
        <v>1467</v>
      </c>
      <c r="E97" s="159"/>
      <c r="F97" s="159"/>
      <c r="G97" s="159"/>
      <c r="H97" s="159"/>
      <c r="I97" s="653" t="s">
        <v>907</v>
      </c>
      <c r="J97" s="654"/>
      <c r="K97" s="656"/>
      <c r="L97" s="655" t="s">
        <v>979</v>
      </c>
      <c r="M97" s="655" t="s">
        <v>1468</v>
      </c>
      <c r="N97" s="655" t="s">
        <v>1469</v>
      </c>
      <c r="O97" s="159"/>
      <c r="P97" s="159"/>
      <c r="Q97" s="159"/>
      <c r="R97" s="159"/>
      <c r="S97" s="636"/>
      <c r="T97" s="656"/>
      <c r="U97" s="658"/>
      <c r="V97" s="159"/>
      <c r="W97" s="159"/>
      <c r="X97" s="636"/>
      <c r="Y97" s="656"/>
      <c r="Z97" s="656"/>
      <c r="AA97" s="656"/>
      <c r="AB97" s="656"/>
    </row>
    <row r="98">
      <c r="A98" s="159"/>
      <c r="B98" s="610" t="s">
        <v>798</v>
      </c>
      <c r="C98" s="300" t="s">
        <v>1470</v>
      </c>
      <c r="D98" s="300" t="s">
        <v>1471</v>
      </c>
      <c r="E98" s="159"/>
      <c r="F98" s="159"/>
      <c r="G98" s="159"/>
      <c r="H98" s="159"/>
      <c r="I98" s="653" t="s">
        <v>907</v>
      </c>
      <c r="J98" s="654"/>
      <c r="K98" s="656"/>
      <c r="L98" s="655" t="s">
        <v>979</v>
      </c>
      <c r="M98" s="655" t="s">
        <v>1472</v>
      </c>
      <c r="N98" s="655" t="s">
        <v>1473</v>
      </c>
      <c r="O98" s="159"/>
      <c r="P98" s="159"/>
      <c r="Q98" s="159"/>
      <c r="R98" s="159"/>
      <c r="S98" s="636"/>
      <c r="T98" s="656"/>
      <c r="U98" s="658"/>
      <c r="V98" s="159"/>
      <c r="W98" s="159"/>
      <c r="X98" s="636"/>
      <c r="Y98" s="656"/>
      <c r="Z98" s="656"/>
      <c r="AA98" s="656"/>
      <c r="AB98" s="656"/>
    </row>
    <row r="99">
      <c r="A99" s="159"/>
      <c r="B99" s="610" t="s">
        <v>799</v>
      </c>
      <c r="C99" s="300" t="s">
        <v>1474</v>
      </c>
      <c r="D99" s="300" t="s">
        <v>1475</v>
      </c>
      <c r="E99" s="159"/>
      <c r="F99" s="159"/>
      <c r="G99" s="159"/>
      <c r="H99" s="159"/>
      <c r="I99" s="653" t="s">
        <v>902</v>
      </c>
      <c r="J99" s="654"/>
      <c r="K99" s="656"/>
      <c r="L99" s="655" t="s">
        <v>979</v>
      </c>
      <c r="M99" s="655" t="s">
        <v>1476</v>
      </c>
      <c r="N99" s="655" t="s">
        <v>1477</v>
      </c>
      <c r="O99" s="655" t="s">
        <v>1478</v>
      </c>
      <c r="P99" s="159"/>
      <c r="Q99" s="159"/>
      <c r="R99" s="159"/>
      <c r="S99" s="636"/>
      <c r="T99" s="656"/>
      <c r="U99" s="658"/>
      <c r="V99" s="159"/>
      <c r="W99" s="159"/>
      <c r="X99" s="636"/>
      <c r="Y99" s="656"/>
      <c r="Z99" s="656"/>
      <c r="AA99" s="656"/>
      <c r="AB99" s="656"/>
    </row>
    <row r="100">
      <c r="A100" s="159"/>
      <c r="B100" s="610" t="s">
        <v>800</v>
      </c>
      <c r="C100" s="300" t="s">
        <v>1479</v>
      </c>
      <c r="D100" s="300" t="s">
        <v>1480</v>
      </c>
      <c r="E100" s="159"/>
      <c r="F100" s="159"/>
      <c r="G100" s="159"/>
      <c r="H100" s="159"/>
      <c r="I100" s="653" t="s">
        <v>900</v>
      </c>
      <c r="J100" s="654"/>
      <c r="K100" s="656"/>
      <c r="L100" s="655" t="s">
        <v>979</v>
      </c>
      <c r="M100" s="655" t="s">
        <v>1481</v>
      </c>
      <c r="N100" s="655" t="s">
        <v>1482</v>
      </c>
      <c r="O100" s="655" t="s">
        <v>1483</v>
      </c>
      <c r="P100" s="159"/>
      <c r="Q100" s="159"/>
      <c r="R100" s="159"/>
      <c r="S100" s="636"/>
      <c r="T100" s="656"/>
      <c r="U100" s="658"/>
      <c r="V100" s="159"/>
      <c r="W100" s="159"/>
      <c r="X100" s="636"/>
      <c r="Y100" s="656"/>
      <c r="Z100" s="656"/>
      <c r="AA100" s="656"/>
      <c r="AB100" s="656"/>
    </row>
    <row r="101">
      <c r="A101" s="159"/>
      <c r="B101" s="610" t="s">
        <v>801</v>
      </c>
      <c r="C101" s="300" t="s">
        <v>1484</v>
      </c>
      <c r="D101" s="300" t="s">
        <v>1485</v>
      </c>
      <c r="E101" s="159"/>
      <c r="F101" s="159"/>
      <c r="G101" s="159"/>
      <c r="H101" s="159"/>
      <c r="I101" s="653" t="s">
        <v>900</v>
      </c>
      <c r="J101" s="654"/>
      <c r="K101" s="656"/>
      <c r="L101" s="655" t="s">
        <v>1486</v>
      </c>
      <c r="M101" s="634" t="s">
        <v>1487</v>
      </c>
      <c r="N101" s="159"/>
      <c r="O101" s="159"/>
      <c r="P101" s="159"/>
      <c r="Q101" s="159"/>
      <c r="R101" s="159"/>
      <c r="S101" s="636"/>
      <c r="T101" s="656"/>
      <c r="U101" s="658"/>
      <c r="V101" s="159"/>
      <c r="W101" s="159"/>
      <c r="X101" s="636"/>
      <c r="Y101" s="656"/>
      <c r="Z101" s="656"/>
      <c r="AA101" s="656"/>
      <c r="AB101" s="656"/>
    </row>
    <row r="102">
      <c r="A102" s="159"/>
      <c r="B102" s="610" t="s">
        <v>802</v>
      </c>
      <c r="C102" s="300" t="s">
        <v>1488</v>
      </c>
      <c r="D102" s="300" t="s">
        <v>1489</v>
      </c>
      <c r="E102" s="159"/>
      <c r="F102" s="159"/>
      <c r="G102" s="159"/>
      <c r="H102" s="159"/>
      <c r="I102" s="653" t="s">
        <v>900</v>
      </c>
      <c r="J102" s="654"/>
      <c r="K102" s="656"/>
      <c r="L102" s="655" t="s">
        <v>683</v>
      </c>
      <c r="M102" s="660" t="s">
        <v>1490</v>
      </c>
      <c r="N102" s="159"/>
      <c r="O102" s="159"/>
      <c r="P102" s="159"/>
      <c r="Q102" s="159"/>
      <c r="R102" s="159"/>
      <c r="S102" s="636"/>
      <c r="T102" s="656"/>
      <c r="U102" s="658"/>
      <c r="V102" s="159"/>
      <c r="W102" s="159"/>
      <c r="X102" s="636"/>
      <c r="Y102" s="656"/>
      <c r="Z102" s="656"/>
      <c r="AA102" s="656"/>
      <c r="AB102" s="656"/>
    </row>
    <row r="103">
      <c r="A103" s="159"/>
      <c r="B103" s="610" t="s">
        <v>803</v>
      </c>
      <c r="C103" s="300" t="s">
        <v>1491</v>
      </c>
      <c r="D103" s="300" t="s">
        <v>1492</v>
      </c>
      <c r="E103" s="159"/>
      <c r="F103" s="159"/>
      <c r="G103" s="159"/>
      <c r="H103" s="159"/>
      <c r="I103" s="653" t="s">
        <v>907</v>
      </c>
      <c r="J103" s="654"/>
      <c r="K103" s="656"/>
      <c r="L103" s="159"/>
      <c r="M103" s="159"/>
      <c r="N103" s="159"/>
      <c r="O103" s="159"/>
      <c r="P103" s="159"/>
      <c r="Q103" s="159"/>
      <c r="R103" s="159"/>
      <c r="S103" s="636"/>
      <c r="T103" s="656"/>
      <c r="U103" s="658"/>
      <c r="V103" s="159"/>
      <c r="W103" s="159"/>
      <c r="X103" s="636"/>
      <c r="Y103" s="656"/>
      <c r="Z103" s="656"/>
      <c r="AA103" s="656"/>
      <c r="AB103" s="656"/>
    </row>
    <row r="104">
      <c r="A104" s="159"/>
      <c r="B104" s="610" t="s">
        <v>804</v>
      </c>
      <c r="C104" s="300" t="s">
        <v>1493</v>
      </c>
      <c r="D104" s="300" t="s">
        <v>1494</v>
      </c>
      <c r="E104" s="159"/>
      <c r="F104" s="159"/>
      <c r="G104" s="159"/>
      <c r="H104" s="159"/>
      <c r="I104" s="653" t="s">
        <v>907</v>
      </c>
      <c r="J104" s="654"/>
      <c r="K104" s="656"/>
      <c r="L104" s="159"/>
      <c r="M104" s="159"/>
      <c r="N104" s="159"/>
      <c r="O104" s="159"/>
      <c r="P104" s="159"/>
      <c r="Q104" s="159"/>
      <c r="R104" s="159"/>
      <c r="S104" s="636"/>
      <c r="T104" s="656"/>
      <c r="U104" s="658"/>
      <c r="V104" s="159"/>
      <c r="W104" s="159"/>
      <c r="X104" s="636"/>
      <c r="Y104" s="656"/>
      <c r="Z104" s="656"/>
      <c r="AA104" s="656"/>
      <c r="AB104" s="656"/>
    </row>
    <row r="105">
      <c r="A105" s="159"/>
      <c r="B105" s="610" t="s">
        <v>805</v>
      </c>
      <c r="C105" s="300" t="s">
        <v>1495</v>
      </c>
      <c r="D105" s="159"/>
      <c r="E105" s="159"/>
      <c r="F105" s="159"/>
      <c r="G105" s="159"/>
      <c r="H105" s="159"/>
      <c r="I105" s="653" t="s">
        <v>906</v>
      </c>
      <c r="J105" s="654"/>
      <c r="K105" s="656"/>
      <c r="L105" s="159"/>
      <c r="M105" s="159"/>
      <c r="N105" s="159"/>
      <c r="O105" s="159"/>
      <c r="P105" s="159"/>
      <c r="Q105" s="159"/>
      <c r="R105" s="159"/>
      <c r="S105" s="636"/>
      <c r="T105" s="656"/>
      <c r="U105" s="658"/>
      <c r="V105" s="159"/>
      <c r="W105" s="159"/>
      <c r="X105" s="636"/>
      <c r="Y105" s="656"/>
      <c r="Z105" s="656"/>
      <c r="AA105" s="656"/>
      <c r="AB105" s="656"/>
    </row>
    <row r="106">
      <c r="A106" s="159"/>
      <c r="B106" s="610" t="s">
        <v>806</v>
      </c>
      <c r="C106" s="300" t="s">
        <v>1496</v>
      </c>
      <c r="D106" s="300" t="s">
        <v>1497</v>
      </c>
      <c r="E106" s="159"/>
      <c r="F106" s="159"/>
      <c r="G106" s="159"/>
      <c r="H106" s="159"/>
      <c r="I106" s="653" t="s">
        <v>905</v>
      </c>
      <c r="J106" s="654"/>
      <c r="K106" s="656"/>
      <c r="L106" s="159"/>
      <c r="M106" s="159"/>
      <c r="N106" s="159"/>
      <c r="O106" s="159"/>
      <c r="P106" s="159"/>
      <c r="Q106" s="159"/>
      <c r="R106" s="159"/>
      <c r="S106" s="636"/>
      <c r="T106" s="656"/>
      <c r="U106" s="658"/>
      <c r="V106" s="159"/>
      <c r="W106" s="159"/>
      <c r="X106" s="636"/>
      <c r="Y106" s="656"/>
      <c r="Z106" s="656"/>
      <c r="AA106" s="656"/>
      <c r="AB106" s="656"/>
    </row>
    <row r="107">
      <c r="A107" s="159"/>
      <c r="B107" s="610" t="s">
        <v>807</v>
      </c>
      <c r="C107" s="300" t="s">
        <v>1498</v>
      </c>
      <c r="D107" s="300" t="s">
        <v>1499</v>
      </c>
      <c r="E107" s="159"/>
      <c r="F107" s="159"/>
      <c r="G107" s="159"/>
      <c r="H107" s="159"/>
      <c r="I107" s="653" t="s">
        <v>907</v>
      </c>
      <c r="J107" s="654"/>
      <c r="K107" s="656"/>
      <c r="L107" s="159"/>
      <c r="M107" s="159"/>
      <c r="N107" s="159"/>
      <c r="O107" s="159"/>
      <c r="P107" s="159"/>
      <c r="Q107" s="159"/>
      <c r="R107" s="159"/>
      <c r="S107" s="636"/>
      <c r="T107" s="656"/>
      <c r="U107" s="658"/>
      <c r="V107" s="159"/>
      <c r="W107" s="159"/>
      <c r="X107" s="636"/>
      <c r="Y107" s="656"/>
      <c r="Z107" s="656"/>
      <c r="AA107" s="656"/>
      <c r="AB107" s="656"/>
    </row>
    <row r="108">
      <c r="A108" s="159"/>
      <c r="B108" s="610" t="s">
        <v>808</v>
      </c>
      <c r="C108" s="300" t="s">
        <v>1500</v>
      </c>
      <c r="D108" s="300" t="s">
        <v>1501</v>
      </c>
      <c r="E108" s="159"/>
      <c r="F108" s="159"/>
      <c r="G108" s="159"/>
      <c r="H108" s="159"/>
      <c r="I108" s="653" t="s">
        <v>900</v>
      </c>
      <c r="J108" s="654"/>
      <c r="K108" s="656"/>
      <c r="L108" s="159"/>
      <c r="M108" s="159"/>
      <c r="N108" s="159"/>
      <c r="O108" s="159"/>
      <c r="P108" s="159"/>
      <c r="Q108" s="159"/>
      <c r="R108" s="159"/>
      <c r="S108" s="636"/>
      <c r="T108" s="656"/>
      <c r="U108" s="658"/>
      <c r="V108" s="159"/>
      <c r="W108" s="159"/>
      <c r="X108" s="636"/>
      <c r="Y108" s="656"/>
      <c r="Z108" s="656"/>
      <c r="AA108" s="656"/>
      <c r="AB108" s="656"/>
    </row>
    <row r="109">
      <c r="A109" s="159"/>
      <c r="B109" s="610" t="s">
        <v>809</v>
      </c>
      <c r="C109" s="300" t="s">
        <v>1502</v>
      </c>
      <c r="D109" s="300" t="s">
        <v>1503</v>
      </c>
      <c r="E109" s="159"/>
      <c r="F109" s="159"/>
      <c r="G109" s="159"/>
      <c r="H109" s="159"/>
      <c r="I109" s="653" t="s">
        <v>904</v>
      </c>
      <c r="J109" s="654"/>
      <c r="K109" s="656"/>
      <c r="L109" s="159"/>
      <c r="M109" s="159"/>
      <c r="N109" s="159"/>
      <c r="O109" s="159"/>
      <c r="P109" s="159"/>
      <c r="Q109" s="159"/>
      <c r="R109" s="159"/>
      <c r="S109" s="636"/>
      <c r="T109" s="656"/>
      <c r="U109" s="658"/>
      <c r="V109" s="159"/>
      <c r="W109" s="159"/>
      <c r="X109" s="636"/>
      <c r="Y109" s="656"/>
      <c r="Z109" s="656"/>
      <c r="AA109" s="656"/>
      <c r="AB109" s="656"/>
    </row>
    <row r="110">
      <c r="A110" s="159"/>
      <c r="B110" s="610" t="s">
        <v>810</v>
      </c>
      <c r="C110" s="300" t="s">
        <v>1504</v>
      </c>
      <c r="D110" s="300" t="s">
        <v>1505</v>
      </c>
      <c r="E110" s="159"/>
      <c r="F110" s="159"/>
      <c r="G110" s="159"/>
      <c r="H110" s="159"/>
      <c r="I110" s="653" t="s">
        <v>907</v>
      </c>
      <c r="J110" s="654"/>
      <c r="K110" s="656"/>
      <c r="L110" s="159"/>
      <c r="M110" s="159"/>
      <c r="N110" s="159"/>
      <c r="O110" s="159"/>
      <c r="P110" s="159"/>
      <c r="Q110" s="159"/>
      <c r="R110" s="159"/>
      <c r="S110" s="636"/>
      <c r="T110" s="656"/>
      <c r="U110" s="658"/>
      <c r="V110" s="159"/>
      <c r="W110" s="159"/>
      <c r="X110" s="636"/>
      <c r="Y110" s="656"/>
      <c r="Z110" s="656"/>
      <c r="AA110" s="656"/>
      <c r="AB110" s="656"/>
    </row>
    <row r="111">
      <c r="A111" s="159"/>
      <c r="B111" s="610" t="s">
        <v>811</v>
      </c>
      <c r="C111" s="300" t="s">
        <v>1506</v>
      </c>
      <c r="D111" s="300" t="s">
        <v>1507</v>
      </c>
      <c r="E111" s="159"/>
      <c r="F111" s="159"/>
      <c r="G111" s="159"/>
      <c r="H111" s="159"/>
      <c r="I111" s="653" t="s">
        <v>907</v>
      </c>
      <c r="J111" s="654"/>
      <c r="K111" s="656"/>
      <c r="L111" s="159"/>
      <c r="M111" s="159"/>
      <c r="N111" s="159"/>
      <c r="O111" s="159"/>
      <c r="P111" s="159"/>
      <c r="Q111" s="159"/>
      <c r="R111" s="159"/>
      <c r="S111" s="636"/>
      <c r="T111" s="656"/>
      <c r="U111" s="658"/>
      <c r="V111" s="159"/>
      <c r="W111" s="159"/>
      <c r="X111" s="636"/>
      <c r="Y111" s="656"/>
      <c r="Z111" s="656"/>
      <c r="AA111" s="656"/>
      <c r="AB111" s="656"/>
    </row>
    <row r="112">
      <c r="A112" s="159"/>
      <c r="B112" s="610" t="s">
        <v>812</v>
      </c>
      <c r="C112" s="300" t="s">
        <v>1508</v>
      </c>
      <c r="D112" s="300" t="s">
        <v>1509</v>
      </c>
      <c r="E112" s="159"/>
      <c r="F112" s="159"/>
      <c r="G112" s="159"/>
      <c r="H112" s="159"/>
      <c r="I112" s="653" t="s">
        <v>901</v>
      </c>
      <c r="J112" s="654"/>
      <c r="K112" s="656"/>
      <c r="L112" s="159"/>
      <c r="M112" s="159"/>
      <c r="N112" s="159"/>
      <c r="O112" s="159"/>
      <c r="P112" s="159"/>
      <c r="Q112" s="159"/>
      <c r="R112" s="159"/>
      <c r="S112" s="636"/>
      <c r="T112" s="656"/>
      <c r="U112" s="658"/>
      <c r="V112" s="159"/>
      <c r="W112" s="159"/>
      <c r="X112" s="636"/>
      <c r="Y112" s="656"/>
      <c r="Z112" s="656"/>
      <c r="AA112" s="656"/>
      <c r="AB112" s="656"/>
    </row>
    <row r="113">
      <c r="A113" s="159"/>
      <c r="B113" s="610" t="s">
        <v>1510</v>
      </c>
      <c r="C113" s="300" t="s">
        <v>1511</v>
      </c>
      <c r="D113" s="300" t="s">
        <v>1512</v>
      </c>
      <c r="E113" s="634" t="s">
        <v>813</v>
      </c>
      <c r="F113" s="634" t="s">
        <v>1513</v>
      </c>
      <c r="G113" s="159"/>
      <c r="H113" s="159"/>
      <c r="I113" s="653" t="s">
        <v>904</v>
      </c>
      <c r="J113" s="654"/>
      <c r="K113" s="656"/>
      <c r="L113" s="159"/>
      <c r="M113" s="159"/>
      <c r="N113" s="159"/>
      <c r="O113" s="159"/>
      <c r="P113" s="159"/>
      <c r="Q113" s="159"/>
      <c r="R113" s="159"/>
      <c r="S113" s="636"/>
      <c r="T113" s="656"/>
      <c r="U113" s="658"/>
      <c r="V113" s="159"/>
      <c r="W113" s="159"/>
      <c r="X113" s="636"/>
      <c r="Y113" s="656"/>
      <c r="Z113" s="656"/>
      <c r="AA113" s="656"/>
      <c r="AB113" s="656"/>
    </row>
    <row r="114">
      <c r="A114" s="159"/>
      <c r="B114" s="460" t="s">
        <v>814</v>
      </c>
      <c r="C114" s="300" t="s">
        <v>1514</v>
      </c>
      <c r="D114" s="159" t="s">
        <v>1515</v>
      </c>
      <c r="E114" s="159"/>
      <c r="F114" s="159"/>
      <c r="G114" s="159"/>
      <c r="H114" s="159"/>
      <c r="I114" s="653" t="s">
        <v>900</v>
      </c>
      <c r="J114" s="654"/>
      <c r="K114" s="656"/>
      <c r="L114" s="159"/>
      <c r="M114" s="159"/>
      <c r="N114" s="159"/>
      <c r="O114" s="159"/>
      <c r="P114" s="159"/>
      <c r="Q114" s="159"/>
      <c r="R114" s="159"/>
      <c r="S114" s="636"/>
      <c r="T114" s="656"/>
      <c r="U114" s="658"/>
      <c r="V114" s="159"/>
      <c r="W114" s="159"/>
      <c r="X114" s="636"/>
      <c r="Y114" s="656"/>
      <c r="Z114" s="656"/>
      <c r="AA114" s="656"/>
      <c r="AB114" s="656"/>
    </row>
    <row r="115">
      <c r="A115" s="159"/>
      <c r="B115" s="610" t="s">
        <v>815</v>
      </c>
      <c r="C115" s="300" t="s">
        <v>1516</v>
      </c>
      <c r="D115" s="300" t="s">
        <v>1517</v>
      </c>
      <c r="E115" s="159"/>
      <c r="F115" s="159"/>
      <c r="G115" s="159"/>
      <c r="H115" s="159"/>
      <c r="I115" s="653" t="s">
        <v>900</v>
      </c>
      <c r="J115" s="654"/>
      <c r="K115" s="656"/>
      <c r="L115" s="159"/>
      <c r="M115" s="159"/>
      <c r="N115" s="159"/>
      <c r="O115" s="159"/>
      <c r="P115" s="159"/>
      <c r="Q115" s="159"/>
      <c r="R115" s="159"/>
      <c r="S115" s="636"/>
      <c r="T115" s="656"/>
      <c r="U115" s="658"/>
      <c r="V115" s="159"/>
      <c r="W115" s="159"/>
      <c r="X115" s="636"/>
      <c r="Y115" s="656"/>
      <c r="Z115" s="656"/>
      <c r="AA115" s="656"/>
      <c r="AB115" s="656"/>
    </row>
    <row r="116">
      <c r="A116" s="159"/>
      <c r="B116" s="610" t="s">
        <v>816</v>
      </c>
      <c r="C116" s="300" t="s">
        <v>1518</v>
      </c>
      <c r="D116" s="159"/>
      <c r="E116" s="159"/>
      <c r="F116" s="159"/>
      <c r="G116" s="159"/>
      <c r="H116" s="159"/>
      <c r="I116" s="653" t="s">
        <v>899</v>
      </c>
      <c r="J116" s="654"/>
      <c r="K116" s="656"/>
      <c r="L116" s="159"/>
      <c r="M116" s="159"/>
      <c r="N116" s="159"/>
      <c r="O116" s="159"/>
      <c r="P116" s="159"/>
      <c r="Q116" s="159"/>
      <c r="R116" s="159"/>
      <c r="S116" s="636"/>
      <c r="T116" s="656"/>
      <c r="U116" s="658"/>
      <c r="V116" s="159"/>
      <c r="W116" s="159"/>
      <c r="X116" s="636"/>
      <c r="Y116" s="656"/>
      <c r="Z116" s="656"/>
      <c r="AA116" s="656"/>
      <c r="AB116" s="656"/>
    </row>
    <row r="117">
      <c r="A117" s="159"/>
      <c r="B117" s="610" t="s">
        <v>817</v>
      </c>
      <c r="C117" s="300" t="s">
        <v>1519</v>
      </c>
      <c r="D117" s="300" t="s">
        <v>1520</v>
      </c>
      <c r="E117" s="159"/>
      <c r="F117" s="159"/>
      <c r="G117" s="159"/>
      <c r="H117" s="159"/>
      <c r="I117" s="653" t="s">
        <v>900</v>
      </c>
      <c r="J117" s="654"/>
      <c r="K117" s="656"/>
      <c r="L117" s="159"/>
      <c r="M117" s="159"/>
      <c r="N117" s="159"/>
      <c r="O117" s="159"/>
      <c r="P117" s="159"/>
      <c r="Q117" s="159"/>
      <c r="R117" s="159"/>
      <c r="S117" s="636"/>
      <c r="T117" s="656"/>
      <c r="U117" s="658"/>
      <c r="V117" s="159"/>
      <c r="W117" s="159"/>
      <c r="X117" s="636"/>
      <c r="Y117" s="656"/>
      <c r="Z117" s="656"/>
      <c r="AA117" s="656"/>
      <c r="AB117" s="656"/>
    </row>
    <row r="118">
      <c r="A118" s="159"/>
      <c r="B118" s="610" t="s">
        <v>819</v>
      </c>
      <c r="C118" s="300" t="s">
        <v>1521</v>
      </c>
      <c r="D118" s="300" t="s">
        <v>1522</v>
      </c>
      <c r="E118" s="159"/>
      <c r="F118" s="159"/>
      <c r="G118" s="159"/>
      <c r="H118" s="159"/>
      <c r="I118" s="653" t="s">
        <v>902</v>
      </c>
      <c r="J118" s="654"/>
      <c r="K118" s="656"/>
      <c r="L118" s="159"/>
      <c r="M118" s="159"/>
      <c r="N118" s="159"/>
      <c r="O118" s="159"/>
      <c r="P118" s="159"/>
      <c r="Q118" s="159"/>
      <c r="R118" s="159"/>
      <c r="S118" s="636"/>
      <c r="T118" s="656"/>
      <c r="U118" s="658"/>
      <c r="V118" s="159"/>
      <c r="W118" s="159"/>
      <c r="X118" s="636"/>
      <c r="Y118" s="656"/>
      <c r="Z118" s="656"/>
      <c r="AA118" s="656"/>
      <c r="AB118" s="656"/>
    </row>
    <row r="119">
      <c r="A119" s="159"/>
      <c r="B119" s="610" t="s">
        <v>820</v>
      </c>
      <c r="C119" s="300" t="s">
        <v>1523</v>
      </c>
      <c r="D119" s="300" t="s">
        <v>1524</v>
      </c>
      <c r="E119" s="159"/>
      <c r="F119" s="159"/>
      <c r="G119" s="159"/>
      <c r="H119" s="159"/>
      <c r="I119" s="653" t="s">
        <v>907</v>
      </c>
      <c r="J119" s="654"/>
      <c r="K119" s="656"/>
      <c r="L119" s="159"/>
      <c r="M119" s="159"/>
      <c r="N119" s="159"/>
      <c r="O119" s="159"/>
      <c r="P119" s="159"/>
      <c r="Q119" s="159"/>
      <c r="R119" s="159"/>
      <c r="S119" s="636"/>
      <c r="T119" s="656"/>
      <c r="U119" s="658"/>
      <c r="V119" s="159"/>
      <c r="W119" s="159"/>
      <c r="X119" s="636"/>
      <c r="Y119" s="656"/>
      <c r="Z119" s="656"/>
      <c r="AA119" s="656"/>
      <c r="AB119" s="656"/>
    </row>
    <row r="120">
      <c r="A120" s="159"/>
      <c r="B120" s="610" t="s">
        <v>821</v>
      </c>
      <c r="C120" s="300" t="s">
        <v>1525</v>
      </c>
      <c r="D120" s="300" t="s">
        <v>1526</v>
      </c>
      <c r="E120" s="159"/>
      <c r="F120" s="159"/>
      <c r="G120" s="159"/>
      <c r="H120" s="159"/>
      <c r="I120" s="653" t="s">
        <v>906</v>
      </c>
      <c r="J120" s="654"/>
      <c r="K120" s="656"/>
      <c r="L120" s="159"/>
      <c r="M120" s="159"/>
      <c r="N120" s="159"/>
      <c r="O120" s="159"/>
      <c r="P120" s="159"/>
      <c r="Q120" s="159"/>
      <c r="R120" s="159"/>
      <c r="S120" s="636"/>
      <c r="T120" s="656"/>
      <c r="U120" s="658"/>
      <c r="V120" s="159"/>
      <c r="W120" s="159"/>
      <c r="X120" s="636"/>
      <c r="Y120" s="656"/>
      <c r="Z120" s="656"/>
      <c r="AA120" s="656"/>
      <c r="AB120" s="656"/>
    </row>
    <row r="121">
      <c r="A121" s="159"/>
      <c r="B121" s="610" t="s">
        <v>822</v>
      </c>
      <c r="C121" s="300" t="s">
        <v>1527</v>
      </c>
      <c r="D121" s="300" t="s">
        <v>1528</v>
      </c>
      <c r="E121" s="159"/>
      <c r="F121" s="159"/>
      <c r="G121" s="159"/>
      <c r="H121" s="159"/>
      <c r="I121" s="653" t="s">
        <v>907</v>
      </c>
      <c r="J121" s="654"/>
      <c r="K121" s="656"/>
      <c r="L121" s="159"/>
      <c r="M121" s="159"/>
      <c r="N121" s="159"/>
      <c r="O121" s="159"/>
      <c r="P121" s="159"/>
      <c r="Q121" s="159"/>
      <c r="R121" s="159"/>
      <c r="S121" s="636"/>
      <c r="T121" s="656"/>
      <c r="U121" s="658"/>
      <c r="V121" s="159"/>
      <c r="W121" s="159"/>
      <c r="X121" s="636"/>
      <c r="Y121" s="656"/>
      <c r="Z121" s="656"/>
      <c r="AA121" s="656"/>
      <c r="AB121" s="656"/>
    </row>
    <row r="122">
      <c r="A122" s="159"/>
      <c r="B122" s="610" t="s">
        <v>823</v>
      </c>
      <c r="C122" s="300" t="s">
        <v>1529</v>
      </c>
      <c r="D122" s="300" t="s">
        <v>1530</v>
      </c>
      <c r="E122" s="159"/>
      <c r="F122" s="159"/>
      <c r="G122" s="159"/>
      <c r="H122" s="159"/>
      <c r="I122" s="653" t="s">
        <v>904</v>
      </c>
      <c r="J122" s="654"/>
      <c r="K122" s="656"/>
      <c r="L122" s="159"/>
      <c r="M122" s="159"/>
      <c r="N122" s="159"/>
      <c r="O122" s="159"/>
      <c r="P122" s="159"/>
      <c r="Q122" s="159"/>
      <c r="R122" s="159"/>
      <c r="S122" s="636"/>
      <c r="T122" s="656"/>
      <c r="U122" s="658"/>
      <c r="V122" s="159"/>
      <c r="W122" s="159"/>
      <c r="X122" s="636"/>
      <c r="Y122" s="656"/>
      <c r="Z122" s="656"/>
      <c r="AA122" s="656"/>
      <c r="AB122" s="656"/>
    </row>
    <row r="123">
      <c r="A123" s="159"/>
      <c r="B123" s="610" t="s">
        <v>824</v>
      </c>
      <c r="C123" s="300" t="s">
        <v>1531</v>
      </c>
      <c r="D123" s="300" t="s">
        <v>1532</v>
      </c>
      <c r="E123" s="159"/>
      <c r="F123" s="159"/>
      <c r="G123" s="159"/>
      <c r="H123" s="159"/>
      <c r="I123" s="653" t="s">
        <v>905</v>
      </c>
      <c r="J123" s="654"/>
      <c r="K123" s="656"/>
      <c r="L123" s="159"/>
      <c r="M123" s="159"/>
      <c r="N123" s="159"/>
      <c r="O123" s="159"/>
      <c r="P123" s="159"/>
      <c r="Q123" s="159"/>
      <c r="R123" s="159"/>
      <c r="S123" s="636"/>
      <c r="T123" s="656"/>
      <c r="U123" s="658"/>
      <c r="V123" s="159"/>
      <c r="W123" s="159"/>
      <c r="X123" s="636"/>
      <c r="Y123" s="656"/>
      <c r="Z123" s="656"/>
      <c r="AA123" s="656"/>
      <c r="AB123" s="656"/>
    </row>
    <row r="124">
      <c r="A124" s="159"/>
      <c r="B124" s="610" t="s">
        <v>825</v>
      </c>
      <c r="C124" s="300" t="s">
        <v>1533</v>
      </c>
      <c r="D124" s="300" t="s">
        <v>1534</v>
      </c>
      <c r="E124" s="634" t="s">
        <v>1535</v>
      </c>
      <c r="F124" s="159"/>
      <c r="G124" s="159"/>
      <c r="H124" s="159"/>
      <c r="I124" s="653" t="s">
        <v>900</v>
      </c>
      <c r="J124" s="654"/>
      <c r="K124" s="656"/>
      <c r="L124" s="159"/>
      <c r="M124" s="159"/>
      <c r="N124" s="159"/>
      <c r="O124" s="159"/>
      <c r="P124" s="159"/>
      <c r="Q124" s="159"/>
      <c r="R124" s="159"/>
      <c r="S124" s="636"/>
      <c r="T124" s="656"/>
      <c r="U124" s="658"/>
      <c r="V124" s="159"/>
      <c r="W124" s="159"/>
      <c r="X124" s="636"/>
      <c r="Y124" s="656"/>
      <c r="Z124" s="656"/>
      <c r="AA124" s="656"/>
      <c r="AB124" s="656"/>
    </row>
    <row r="125">
      <c r="A125" s="159"/>
      <c r="B125" s="610" t="s">
        <v>826</v>
      </c>
      <c r="C125" s="300" t="s">
        <v>1536</v>
      </c>
      <c r="D125" s="159"/>
      <c r="E125" s="159"/>
      <c r="F125" s="159"/>
      <c r="G125" s="159"/>
      <c r="H125" s="159"/>
      <c r="I125" s="653" t="s">
        <v>706</v>
      </c>
      <c r="J125" s="654"/>
      <c r="K125" s="656"/>
      <c r="L125" s="159"/>
      <c r="M125" s="159"/>
      <c r="N125" s="159"/>
      <c r="O125" s="159"/>
      <c r="P125" s="159"/>
      <c r="Q125" s="159"/>
      <c r="R125" s="159"/>
      <c r="S125" s="636"/>
      <c r="T125" s="656"/>
      <c r="U125" s="658"/>
      <c r="V125" s="159"/>
      <c r="W125" s="159"/>
      <c r="X125" s="636"/>
      <c r="Y125" s="656"/>
      <c r="Z125" s="656"/>
      <c r="AA125" s="656"/>
      <c r="AB125" s="656"/>
    </row>
    <row r="126">
      <c r="A126" s="159"/>
      <c r="B126" s="610" t="s">
        <v>827</v>
      </c>
      <c r="C126" s="300" t="s">
        <v>1537</v>
      </c>
      <c r="D126" s="300" t="s">
        <v>1538</v>
      </c>
      <c r="E126" s="159"/>
      <c r="F126" s="159"/>
      <c r="G126" s="159"/>
      <c r="H126" s="159"/>
      <c r="I126" s="653" t="s">
        <v>901</v>
      </c>
      <c r="J126" s="654"/>
      <c r="K126" s="656"/>
      <c r="L126" s="159"/>
      <c r="M126" s="159"/>
      <c r="N126" s="159"/>
      <c r="O126" s="159"/>
      <c r="P126" s="159"/>
      <c r="Q126" s="159"/>
      <c r="R126" s="159"/>
      <c r="S126" s="636"/>
      <c r="T126" s="656"/>
      <c r="U126" s="658"/>
      <c r="V126" s="159"/>
      <c r="W126" s="159"/>
      <c r="X126" s="636"/>
      <c r="Y126" s="656"/>
      <c r="Z126" s="656"/>
      <c r="AA126" s="656"/>
      <c r="AB126" s="656"/>
    </row>
    <row r="127">
      <c r="A127" s="159"/>
      <c r="B127" s="610" t="s">
        <v>828</v>
      </c>
      <c r="C127" s="300" t="s">
        <v>1539</v>
      </c>
      <c r="D127" s="300" t="s">
        <v>1540</v>
      </c>
      <c r="E127" s="159"/>
      <c r="F127" s="159"/>
      <c r="G127" s="159"/>
      <c r="H127" s="159"/>
      <c r="I127" s="653" t="s">
        <v>907</v>
      </c>
      <c r="J127" s="654"/>
      <c r="K127" s="656"/>
      <c r="L127" s="159"/>
      <c r="M127" s="159"/>
      <c r="N127" s="159"/>
      <c r="O127" s="159"/>
      <c r="P127" s="159"/>
      <c r="Q127" s="159"/>
      <c r="R127" s="159"/>
      <c r="S127" s="636"/>
      <c r="T127" s="656"/>
      <c r="U127" s="658"/>
      <c r="V127" s="159"/>
      <c r="W127" s="159"/>
      <c r="X127" s="636"/>
      <c r="Y127" s="656"/>
      <c r="Z127" s="656"/>
      <c r="AA127" s="656"/>
      <c r="AB127" s="656"/>
    </row>
    <row r="128">
      <c r="A128" s="159"/>
      <c r="B128" s="610" t="s">
        <v>829</v>
      </c>
      <c r="C128" s="300" t="s">
        <v>1541</v>
      </c>
      <c r="D128" s="300" t="s">
        <v>1542</v>
      </c>
      <c r="E128" s="159"/>
      <c r="F128" s="159"/>
      <c r="G128" s="159"/>
      <c r="H128" s="159"/>
      <c r="I128" s="653" t="s">
        <v>907</v>
      </c>
      <c r="J128" s="654"/>
      <c r="K128" s="656"/>
      <c r="L128" s="159"/>
      <c r="M128" s="159"/>
      <c r="N128" s="159"/>
      <c r="O128" s="159"/>
      <c r="P128" s="159"/>
      <c r="Q128" s="159"/>
      <c r="R128" s="159"/>
      <c r="S128" s="636"/>
      <c r="T128" s="656"/>
      <c r="U128" s="658"/>
      <c r="V128" s="159"/>
      <c r="W128" s="159"/>
      <c r="X128" s="636"/>
      <c r="Y128" s="656"/>
      <c r="Z128" s="656"/>
      <c r="AA128" s="656"/>
      <c r="AB128" s="656"/>
    </row>
    <row r="129">
      <c r="A129" s="159"/>
      <c r="B129" s="610" t="s">
        <v>1326</v>
      </c>
      <c r="C129" s="300" t="s">
        <v>1543</v>
      </c>
      <c r="D129" s="300" t="s">
        <v>1544</v>
      </c>
      <c r="E129" s="159"/>
      <c r="F129" s="159"/>
      <c r="G129" s="159"/>
      <c r="H129" s="159"/>
      <c r="I129" s="653" t="s">
        <v>904</v>
      </c>
      <c r="J129" s="654"/>
      <c r="K129" s="656"/>
      <c r="L129" s="159"/>
      <c r="M129" s="159"/>
      <c r="N129" s="159"/>
      <c r="O129" s="159"/>
      <c r="P129" s="159"/>
      <c r="Q129" s="159"/>
      <c r="R129" s="159"/>
      <c r="S129" s="636"/>
      <c r="T129" s="656"/>
      <c r="U129" s="658"/>
      <c r="V129" s="159"/>
      <c r="W129" s="159"/>
      <c r="X129" s="636"/>
      <c r="Y129" s="656"/>
      <c r="Z129" s="656"/>
      <c r="AA129" s="656"/>
      <c r="AB129" s="656"/>
    </row>
    <row r="130">
      <c r="A130" s="159"/>
      <c r="B130" s="460" t="s">
        <v>1545</v>
      </c>
      <c r="C130" s="300" t="s">
        <v>1546</v>
      </c>
      <c r="D130" s="159" t="s">
        <v>1547</v>
      </c>
      <c r="E130" s="159"/>
      <c r="F130" s="159"/>
      <c r="G130" s="159"/>
      <c r="H130" s="159"/>
      <c r="I130" s="653" t="s">
        <v>899</v>
      </c>
      <c r="J130" s="654"/>
      <c r="K130" s="656"/>
      <c r="L130" s="159"/>
      <c r="M130" s="159"/>
      <c r="N130" s="159"/>
      <c r="O130" s="159"/>
      <c r="P130" s="159"/>
      <c r="Q130" s="159"/>
      <c r="R130" s="159"/>
      <c r="S130" s="636"/>
      <c r="T130" s="656"/>
      <c r="U130" s="658"/>
      <c r="V130" s="159"/>
      <c r="W130" s="159"/>
      <c r="X130" s="636"/>
      <c r="Y130" s="656"/>
      <c r="Z130" s="656"/>
      <c r="AA130" s="656"/>
      <c r="AB130" s="656"/>
    </row>
    <row r="131">
      <c r="A131" s="159"/>
      <c r="B131" s="610" t="s">
        <v>830</v>
      </c>
      <c r="C131" s="300" t="s">
        <v>1548</v>
      </c>
      <c r="D131" s="159"/>
      <c r="E131" s="159"/>
      <c r="F131" s="159"/>
      <c r="G131" s="159"/>
      <c r="H131" s="159"/>
      <c r="I131" s="653" t="s">
        <v>900</v>
      </c>
      <c r="J131" s="654"/>
      <c r="K131" s="656"/>
      <c r="L131" s="159"/>
      <c r="M131" s="159"/>
      <c r="N131" s="159"/>
      <c r="O131" s="159"/>
      <c r="P131" s="159"/>
      <c r="Q131" s="159"/>
      <c r="R131" s="159"/>
      <c r="S131" s="636"/>
      <c r="T131" s="656"/>
      <c r="U131" s="658"/>
      <c r="V131" s="159"/>
      <c r="W131" s="159"/>
      <c r="X131" s="636"/>
      <c r="Y131" s="656"/>
      <c r="Z131" s="656"/>
      <c r="AA131" s="656"/>
      <c r="AB131" s="656"/>
    </row>
    <row r="132">
      <c r="A132" s="159"/>
      <c r="B132" s="610" t="s">
        <v>831</v>
      </c>
      <c r="C132" s="300" t="s">
        <v>1549</v>
      </c>
      <c r="D132" s="300" t="s">
        <v>1550</v>
      </c>
      <c r="E132" s="159"/>
      <c r="F132" s="159"/>
      <c r="G132" s="159"/>
      <c r="H132" s="159"/>
      <c r="I132" s="653" t="s">
        <v>900</v>
      </c>
      <c r="J132" s="654"/>
      <c r="K132" s="656"/>
      <c r="L132" s="159"/>
      <c r="M132" s="159"/>
      <c r="N132" s="159"/>
      <c r="O132" s="159"/>
      <c r="P132" s="159"/>
      <c r="Q132" s="159"/>
      <c r="R132" s="159"/>
      <c r="S132" s="636"/>
      <c r="T132" s="656"/>
      <c r="U132" s="658"/>
      <c r="V132" s="159"/>
      <c r="W132" s="159"/>
      <c r="X132" s="636"/>
      <c r="Y132" s="656"/>
      <c r="Z132" s="656"/>
      <c r="AA132" s="656"/>
      <c r="AB132" s="656"/>
    </row>
    <row r="133">
      <c r="A133" s="159"/>
      <c r="B133" s="610" t="s">
        <v>832</v>
      </c>
      <c r="C133" s="300" t="s">
        <v>1551</v>
      </c>
      <c r="D133" s="300" t="s">
        <v>1552</v>
      </c>
      <c r="E133" s="159"/>
      <c r="F133" s="159"/>
      <c r="G133" s="159"/>
      <c r="H133" s="159"/>
      <c r="I133" s="653" t="s">
        <v>908</v>
      </c>
      <c r="J133" s="654"/>
      <c r="K133" s="656"/>
      <c r="L133" s="159"/>
      <c r="M133" s="159"/>
      <c r="N133" s="159"/>
      <c r="O133" s="159"/>
      <c r="P133" s="159"/>
      <c r="Q133" s="159"/>
      <c r="R133" s="159"/>
      <c r="S133" s="636"/>
      <c r="T133" s="656"/>
      <c r="U133" s="658"/>
      <c r="V133" s="159"/>
      <c r="W133" s="159"/>
      <c r="X133" s="636"/>
      <c r="Y133" s="656"/>
      <c r="Z133" s="656"/>
      <c r="AA133" s="656"/>
      <c r="AB133" s="656"/>
    </row>
    <row r="134">
      <c r="A134" s="159"/>
      <c r="B134" s="610" t="s">
        <v>833</v>
      </c>
      <c r="C134" s="300" t="s">
        <v>1553</v>
      </c>
      <c r="D134" s="300" t="s">
        <v>1554</v>
      </c>
      <c r="E134" s="159"/>
      <c r="F134" s="159"/>
      <c r="G134" s="159"/>
      <c r="H134" s="159"/>
      <c r="I134" s="653" t="s">
        <v>905</v>
      </c>
      <c r="J134" s="654"/>
      <c r="K134" s="656"/>
      <c r="L134" s="159"/>
      <c r="M134" s="159"/>
      <c r="N134" s="159"/>
      <c r="O134" s="159"/>
      <c r="P134" s="159"/>
      <c r="Q134" s="159"/>
      <c r="R134" s="159"/>
      <c r="S134" s="636"/>
      <c r="T134" s="656"/>
      <c r="U134" s="658"/>
      <c r="V134" s="159"/>
      <c r="W134" s="159"/>
      <c r="X134" s="636"/>
      <c r="Y134" s="656"/>
      <c r="Z134" s="656"/>
      <c r="AA134" s="656"/>
      <c r="AB134" s="656"/>
    </row>
    <row r="135">
      <c r="A135" s="159"/>
      <c r="B135" s="610" t="s">
        <v>1555</v>
      </c>
      <c r="C135" s="300" t="s">
        <v>1556</v>
      </c>
      <c r="D135" s="300" t="s">
        <v>1557</v>
      </c>
      <c r="E135" s="159"/>
      <c r="F135" s="159"/>
      <c r="G135" s="159"/>
      <c r="H135" s="159"/>
      <c r="I135" s="653" t="s">
        <v>904</v>
      </c>
      <c r="J135" s="654"/>
      <c r="K135" s="656"/>
      <c r="L135" s="159"/>
      <c r="M135" s="159"/>
      <c r="N135" s="159"/>
      <c r="O135" s="159"/>
      <c r="P135" s="159"/>
      <c r="Q135" s="159"/>
      <c r="R135" s="159"/>
      <c r="S135" s="636"/>
      <c r="T135" s="656"/>
      <c r="U135" s="658"/>
      <c r="V135" s="159"/>
      <c r="W135" s="159"/>
      <c r="X135" s="636"/>
      <c r="Y135" s="656"/>
      <c r="Z135" s="656"/>
      <c r="AA135" s="656"/>
      <c r="AB135" s="656"/>
    </row>
    <row r="136">
      <c r="A136" s="159"/>
      <c r="B136" s="661" t="s">
        <v>834</v>
      </c>
      <c r="C136" s="300" t="s">
        <v>1558</v>
      </c>
      <c r="D136" s="159"/>
      <c r="E136" s="159"/>
      <c r="F136" s="159"/>
      <c r="G136" s="159"/>
      <c r="H136" s="159"/>
      <c r="I136" s="653" t="s">
        <v>908</v>
      </c>
      <c r="J136" s="654"/>
      <c r="K136" s="656"/>
      <c r="L136" s="159"/>
      <c r="M136" s="159"/>
      <c r="N136" s="159"/>
      <c r="O136" s="159"/>
      <c r="P136" s="159"/>
      <c r="Q136" s="159"/>
      <c r="R136" s="159"/>
      <c r="S136" s="636"/>
      <c r="T136" s="656"/>
      <c r="U136" s="658"/>
      <c r="V136" s="159"/>
      <c r="W136" s="159"/>
      <c r="X136" s="636"/>
      <c r="Y136" s="656"/>
      <c r="Z136" s="656"/>
      <c r="AA136" s="656"/>
      <c r="AB136" s="656"/>
    </row>
    <row r="137">
      <c r="A137" s="159"/>
      <c r="B137" s="610" t="s">
        <v>835</v>
      </c>
      <c r="C137" s="300" t="s">
        <v>1559</v>
      </c>
      <c r="D137" s="300" t="s">
        <v>1560</v>
      </c>
      <c r="E137" s="159"/>
      <c r="F137" s="159"/>
      <c r="G137" s="159"/>
      <c r="H137" s="159"/>
      <c r="I137" s="653" t="s">
        <v>901</v>
      </c>
      <c r="J137" s="654"/>
      <c r="K137" s="656"/>
      <c r="L137" s="159"/>
      <c r="M137" s="159"/>
      <c r="N137" s="159"/>
      <c r="O137" s="159"/>
      <c r="P137" s="159"/>
      <c r="Q137" s="159"/>
      <c r="R137" s="159"/>
      <c r="S137" s="636"/>
      <c r="T137" s="656"/>
      <c r="U137" s="658"/>
      <c r="V137" s="159"/>
      <c r="W137" s="159"/>
      <c r="X137" s="636"/>
      <c r="Y137" s="656"/>
      <c r="Z137" s="656"/>
      <c r="AA137" s="656"/>
      <c r="AB137" s="656"/>
    </row>
    <row r="138">
      <c r="A138" s="159"/>
      <c r="B138" s="610" t="s">
        <v>836</v>
      </c>
      <c r="C138" s="300" t="s">
        <v>1561</v>
      </c>
      <c r="D138" s="300" t="s">
        <v>1562</v>
      </c>
      <c r="E138" s="159"/>
      <c r="F138" s="159"/>
      <c r="G138" s="159"/>
      <c r="H138" s="159"/>
      <c r="I138" s="653" t="s">
        <v>904</v>
      </c>
      <c r="J138" s="654"/>
      <c r="K138" s="656"/>
      <c r="L138" s="159"/>
      <c r="M138" s="159"/>
      <c r="N138" s="159"/>
      <c r="O138" s="159"/>
      <c r="P138" s="159"/>
      <c r="Q138" s="159"/>
      <c r="R138" s="159"/>
      <c r="S138" s="636"/>
      <c r="T138" s="656"/>
      <c r="U138" s="658"/>
      <c r="V138" s="159"/>
      <c r="W138" s="159"/>
      <c r="X138" s="636"/>
      <c r="Y138" s="656"/>
      <c r="Z138" s="656"/>
      <c r="AA138" s="656"/>
      <c r="AB138" s="656"/>
    </row>
    <row r="139">
      <c r="A139" s="159"/>
      <c r="B139" s="610" t="s">
        <v>837</v>
      </c>
      <c r="C139" s="300" t="s">
        <v>1563</v>
      </c>
      <c r="D139" s="300" t="s">
        <v>1564</v>
      </c>
      <c r="E139" s="159"/>
      <c r="F139" s="159"/>
      <c r="G139" s="159"/>
      <c r="H139" s="159"/>
      <c r="I139" s="653" t="s">
        <v>901</v>
      </c>
      <c r="J139" s="654"/>
      <c r="K139" s="656"/>
      <c r="L139" s="159"/>
      <c r="M139" s="159"/>
      <c r="N139" s="159"/>
      <c r="O139" s="159"/>
      <c r="P139" s="159"/>
      <c r="Q139" s="159"/>
      <c r="R139" s="159"/>
      <c r="S139" s="636"/>
      <c r="T139" s="656"/>
      <c r="U139" s="658"/>
      <c r="V139" s="159"/>
      <c r="W139" s="159"/>
      <c r="X139" s="636"/>
      <c r="Y139" s="656"/>
      <c r="Z139" s="656"/>
      <c r="AA139" s="656"/>
      <c r="AB139" s="656"/>
    </row>
    <row r="140">
      <c r="A140" s="159"/>
      <c r="B140" s="610" t="s">
        <v>838</v>
      </c>
      <c r="C140" s="300" t="s">
        <v>1565</v>
      </c>
      <c r="D140" s="300" t="s">
        <v>1566</v>
      </c>
      <c r="E140" s="159"/>
      <c r="F140" s="159"/>
      <c r="G140" s="159"/>
      <c r="H140" s="159"/>
      <c r="I140" s="653" t="s">
        <v>901</v>
      </c>
      <c r="J140" s="654"/>
      <c r="K140" s="656"/>
      <c r="L140" s="159"/>
      <c r="M140" s="159"/>
      <c r="N140" s="159"/>
      <c r="O140" s="159"/>
      <c r="P140" s="159"/>
      <c r="Q140" s="159"/>
      <c r="R140" s="159"/>
      <c r="S140" s="636"/>
      <c r="T140" s="656"/>
      <c r="U140" s="658"/>
      <c r="V140" s="159"/>
      <c r="W140" s="159"/>
      <c r="X140" s="636"/>
      <c r="Y140" s="656"/>
      <c r="Z140" s="656"/>
      <c r="AA140" s="656"/>
      <c r="AB140" s="656"/>
    </row>
    <row r="141">
      <c r="A141" s="159"/>
      <c r="B141" s="610" t="s">
        <v>839</v>
      </c>
      <c r="C141" s="300" t="s">
        <v>1567</v>
      </c>
      <c r="D141" s="300" t="s">
        <v>1568</v>
      </c>
      <c r="E141" s="662" t="s">
        <v>1569</v>
      </c>
      <c r="F141" s="159"/>
      <c r="G141" s="159"/>
      <c r="H141" s="159"/>
      <c r="I141" s="653" t="s">
        <v>906</v>
      </c>
      <c r="J141" s="654"/>
      <c r="K141" s="656"/>
      <c r="L141" s="159"/>
      <c r="M141" s="159"/>
      <c r="N141" s="159"/>
      <c r="O141" s="159"/>
      <c r="P141" s="159"/>
      <c r="Q141" s="159"/>
      <c r="R141" s="159"/>
      <c r="S141" s="636"/>
      <c r="T141" s="656"/>
      <c r="U141" s="658"/>
      <c r="V141" s="159"/>
      <c r="W141" s="159"/>
      <c r="X141" s="636"/>
      <c r="Y141" s="656"/>
      <c r="Z141" s="656"/>
      <c r="AA141" s="656"/>
      <c r="AB141" s="656"/>
    </row>
    <row r="142">
      <c r="A142" s="159"/>
      <c r="B142" s="610" t="s">
        <v>840</v>
      </c>
      <c r="C142" s="300" t="s">
        <v>1570</v>
      </c>
      <c r="D142" s="300" t="s">
        <v>1571</v>
      </c>
      <c r="E142" s="159"/>
      <c r="F142" s="159"/>
      <c r="G142" s="159"/>
      <c r="H142" s="159"/>
      <c r="I142" s="653" t="s">
        <v>900</v>
      </c>
      <c r="J142" s="654"/>
      <c r="K142" s="656"/>
      <c r="L142" s="159"/>
      <c r="M142" s="159"/>
      <c r="N142" s="159"/>
      <c r="O142" s="159"/>
      <c r="P142" s="159"/>
      <c r="Q142" s="159"/>
      <c r="R142" s="159"/>
      <c r="S142" s="636"/>
      <c r="T142" s="656"/>
      <c r="U142" s="658"/>
      <c r="V142" s="159"/>
      <c r="W142" s="159"/>
      <c r="X142" s="636"/>
      <c r="Y142" s="656"/>
      <c r="Z142" s="656"/>
      <c r="AA142" s="656"/>
      <c r="AB142" s="656"/>
    </row>
    <row r="143">
      <c r="A143" s="159"/>
      <c r="B143" s="610" t="s">
        <v>841</v>
      </c>
      <c r="C143" s="300" t="s">
        <v>1572</v>
      </c>
      <c r="D143" s="300" t="s">
        <v>1573</v>
      </c>
      <c r="E143" s="159"/>
      <c r="F143" s="159"/>
      <c r="G143" s="159"/>
      <c r="H143" s="159"/>
      <c r="I143" s="653" t="s">
        <v>900</v>
      </c>
      <c r="J143" s="654"/>
      <c r="K143" s="656"/>
      <c r="L143" s="159"/>
      <c r="M143" s="159"/>
      <c r="N143" s="159"/>
      <c r="O143" s="159"/>
      <c r="P143" s="159"/>
      <c r="Q143" s="159"/>
      <c r="R143" s="159"/>
      <c r="S143" s="636"/>
      <c r="T143" s="656"/>
      <c r="U143" s="658"/>
      <c r="V143" s="159"/>
      <c r="W143" s="159"/>
      <c r="X143" s="636"/>
      <c r="Y143" s="656"/>
      <c r="Z143" s="656"/>
      <c r="AA143" s="656"/>
      <c r="AB143" s="656"/>
    </row>
    <row r="144">
      <c r="A144" s="159"/>
      <c r="B144" s="610" t="s">
        <v>1376</v>
      </c>
      <c r="C144" s="300" t="s">
        <v>1574</v>
      </c>
      <c r="D144" s="159"/>
      <c r="E144" s="159"/>
      <c r="F144" s="159"/>
      <c r="G144" s="159"/>
      <c r="H144" s="159"/>
      <c r="I144" s="653" t="s">
        <v>897</v>
      </c>
      <c r="J144" s="654"/>
      <c r="K144" s="656"/>
      <c r="L144" s="159"/>
      <c r="M144" s="159"/>
      <c r="N144" s="159"/>
      <c r="O144" s="159"/>
      <c r="P144" s="159"/>
      <c r="Q144" s="159"/>
      <c r="R144" s="159"/>
      <c r="S144" s="636"/>
      <c r="T144" s="656"/>
      <c r="U144" s="658"/>
      <c r="V144" s="159"/>
      <c r="W144" s="159"/>
      <c r="X144" s="636"/>
      <c r="Y144" s="656"/>
      <c r="Z144" s="656"/>
      <c r="AA144" s="656"/>
      <c r="AB144" s="656"/>
    </row>
    <row r="145">
      <c r="A145" s="159"/>
      <c r="B145" s="610" t="s">
        <v>842</v>
      </c>
      <c r="C145" s="300" t="s">
        <v>1575</v>
      </c>
      <c r="D145" s="300" t="s">
        <v>1576</v>
      </c>
      <c r="E145" s="159"/>
      <c r="F145" s="159"/>
      <c r="G145" s="159"/>
      <c r="H145" s="159"/>
      <c r="I145" s="653" t="s">
        <v>908</v>
      </c>
      <c r="J145" s="654"/>
      <c r="K145" s="656"/>
      <c r="L145" s="159"/>
      <c r="M145" s="159"/>
      <c r="N145" s="159"/>
      <c r="O145" s="159"/>
      <c r="P145" s="159"/>
      <c r="Q145" s="159"/>
      <c r="R145" s="159"/>
      <c r="S145" s="636"/>
      <c r="T145" s="656"/>
      <c r="U145" s="658"/>
      <c r="V145" s="159"/>
      <c r="W145" s="159"/>
      <c r="X145" s="636"/>
      <c r="Y145" s="656"/>
      <c r="Z145" s="656"/>
      <c r="AA145" s="656"/>
      <c r="AB145" s="656"/>
    </row>
    <row r="146">
      <c r="A146" s="159"/>
      <c r="B146" s="610" t="s">
        <v>843</v>
      </c>
      <c r="C146" s="300" t="s">
        <v>1577</v>
      </c>
      <c r="D146" s="159"/>
      <c r="E146" s="159"/>
      <c r="F146" s="159"/>
      <c r="G146" s="159"/>
      <c r="H146" s="159"/>
      <c r="I146" s="653" t="s">
        <v>900</v>
      </c>
      <c r="J146" s="654"/>
      <c r="K146" s="656"/>
      <c r="L146" s="159"/>
      <c r="M146" s="159"/>
      <c r="N146" s="159"/>
      <c r="O146" s="159"/>
      <c r="P146" s="159"/>
      <c r="Q146" s="159"/>
      <c r="R146" s="159"/>
      <c r="S146" s="636"/>
      <c r="T146" s="656"/>
      <c r="U146" s="658"/>
      <c r="V146" s="159"/>
      <c r="W146" s="159"/>
      <c r="X146" s="636"/>
      <c r="Y146" s="656"/>
      <c r="Z146" s="656"/>
      <c r="AA146" s="656"/>
      <c r="AB146" s="656"/>
    </row>
    <row r="147">
      <c r="A147" s="159"/>
      <c r="B147" s="610" t="s">
        <v>844</v>
      </c>
      <c r="C147" s="300" t="s">
        <v>1578</v>
      </c>
      <c r="D147" s="300" t="s">
        <v>1579</v>
      </c>
      <c r="E147" s="159"/>
      <c r="F147" s="159"/>
      <c r="G147" s="159"/>
      <c r="H147" s="159"/>
      <c r="I147" s="653" t="s">
        <v>900</v>
      </c>
      <c r="J147" s="654"/>
      <c r="K147" s="656"/>
      <c r="L147" s="159"/>
      <c r="M147" s="159"/>
      <c r="N147" s="159"/>
      <c r="O147" s="159"/>
      <c r="P147" s="159"/>
      <c r="Q147" s="159"/>
      <c r="R147" s="159"/>
      <c r="S147" s="636"/>
      <c r="T147" s="656"/>
      <c r="U147" s="658"/>
      <c r="V147" s="159"/>
      <c r="W147" s="159"/>
      <c r="X147" s="636"/>
      <c r="Y147" s="656"/>
      <c r="Z147" s="656"/>
      <c r="AA147" s="656"/>
      <c r="AB147" s="656"/>
    </row>
    <row r="148">
      <c r="A148" s="159"/>
      <c r="B148" s="610" t="s">
        <v>845</v>
      </c>
      <c r="C148" s="300" t="s">
        <v>1580</v>
      </c>
      <c r="D148" s="300" t="s">
        <v>1581</v>
      </c>
      <c r="E148" s="159"/>
      <c r="F148" s="159"/>
      <c r="G148" s="159"/>
      <c r="H148" s="159"/>
      <c r="I148" s="653" t="s">
        <v>907</v>
      </c>
      <c r="J148" s="654"/>
      <c r="K148" s="656"/>
      <c r="L148" s="159"/>
      <c r="M148" s="159"/>
      <c r="N148" s="159"/>
      <c r="O148" s="159"/>
      <c r="P148" s="159"/>
      <c r="Q148" s="159"/>
      <c r="R148" s="159"/>
      <c r="S148" s="636"/>
      <c r="T148" s="656"/>
      <c r="U148" s="658"/>
      <c r="V148" s="159"/>
      <c r="W148" s="159"/>
      <c r="X148" s="636"/>
      <c r="Y148" s="656"/>
      <c r="Z148" s="656"/>
      <c r="AA148" s="656"/>
      <c r="AB148" s="656"/>
    </row>
    <row r="149">
      <c r="A149" s="159"/>
      <c r="B149" s="610" t="s">
        <v>1582</v>
      </c>
      <c r="C149" s="300" t="s">
        <v>1583</v>
      </c>
      <c r="D149" s="159"/>
      <c r="E149" s="159"/>
      <c r="F149" s="159"/>
      <c r="G149" s="159"/>
      <c r="H149" s="159"/>
      <c r="I149" s="653" t="s">
        <v>897</v>
      </c>
      <c r="J149" s="654"/>
      <c r="K149" s="656"/>
      <c r="L149" s="159"/>
      <c r="M149" s="159"/>
      <c r="N149" s="159"/>
      <c r="O149" s="159"/>
      <c r="P149" s="159"/>
      <c r="Q149" s="159"/>
      <c r="R149" s="159"/>
      <c r="S149" s="636"/>
      <c r="T149" s="656"/>
      <c r="U149" s="658"/>
      <c r="V149" s="159"/>
      <c r="W149" s="159"/>
      <c r="X149" s="636"/>
      <c r="Y149" s="656"/>
      <c r="Z149" s="656"/>
      <c r="AA149" s="656"/>
      <c r="AB149" s="656"/>
    </row>
    <row r="150">
      <c r="A150" s="159"/>
      <c r="B150" s="610" t="s">
        <v>846</v>
      </c>
      <c r="C150" s="300" t="s">
        <v>1584</v>
      </c>
      <c r="D150" s="159"/>
      <c r="E150" s="159"/>
      <c r="F150" s="159"/>
      <c r="G150" s="159"/>
      <c r="H150" s="159"/>
      <c r="I150" s="653" t="s">
        <v>897</v>
      </c>
      <c r="J150" s="654"/>
      <c r="K150" s="656"/>
      <c r="L150" s="159"/>
      <c r="M150" s="159"/>
      <c r="N150" s="159"/>
      <c r="O150" s="159"/>
      <c r="P150" s="159"/>
      <c r="Q150" s="159"/>
      <c r="R150" s="159"/>
      <c r="S150" s="636"/>
      <c r="T150" s="656"/>
      <c r="U150" s="658"/>
      <c r="V150" s="159"/>
      <c r="W150" s="159"/>
      <c r="X150" s="636"/>
      <c r="Y150" s="656"/>
      <c r="Z150" s="656"/>
      <c r="AA150" s="656"/>
      <c r="AB150" s="656"/>
    </row>
    <row r="151">
      <c r="A151" s="159"/>
      <c r="B151" s="610" t="s">
        <v>1585</v>
      </c>
      <c r="C151" s="300" t="s">
        <v>1586</v>
      </c>
      <c r="D151" s="159"/>
      <c r="E151" s="159"/>
      <c r="F151" s="159"/>
      <c r="G151" s="159"/>
      <c r="H151" s="159"/>
      <c r="I151" s="653" t="s">
        <v>897</v>
      </c>
      <c r="J151" s="654"/>
      <c r="K151" s="656"/>
      <c r="L151" s="159"/>
      <c r="M151" s="159"/>
      <c r="N151" s="159"/>
      <c r="O151" s="159"/>
      <c r="P151" s="159"/>
      <c r="Q151" s="159"/>
      <c r="R151" s="159"/>
      <c r="S151" s="636"/>
      <c r="T151" s="656"/>
      <c r="U151" s="658"/>
      <c r="V151" s="159"/>
      <c r="W151" s="159"/>
      <c r="X151" s="636"/>
      <c r="Y151" s="656"/>
      <c r="Z151" s="656"/>
      <c r="AA151" s="656"/>
      <c r="AB151" s="656"/>
    </row>
    <row r="152">
      <c r="A152" s="159"/>
      <c r="B152" s="610" t="s">
        <v>847</v>
      </c>
      <c r="C152" s="300" t="s">
        <v>1587</v>
      </c>
      <c r="D152" s="300" t="s">
        <v>1588</v>
      </c>
      <c r="E152" s="159"/>
      <c r="F152" s="159"/>
      <c r="G152" s="159"/>
      <c r="H152" s="159"/>
      <c r="I152" s="653" t="s">
        <v>904</v>
      </c>
      <c r="J152" s="654"/>
      <c r="K152" s="656"/>
      <c r="L152" s="159"/>
      <c r="M152" s="159"/>
      <c r="N152" s="159"/>
      <c r="O152" s="159"/>
      <c r="P152" s="159"/>
      <c r="Q152" s="159"/>
      <c r="R152" s="159"/>
      <c r="S152" s="636"/>
      <c r="T152" s="656"/>
      <c r="U152" s="658"/>
      <c r="V152" s="159"/>
      <c r="W152" s="159"/>
      <c r="X152" s="636"/>
      <c r="Y152" s="656"/>
      <c r="Z152" s="656"/>
      <c r="AA152" s="656"/>
      <c r="AB152" s="656"/>
    </row>
    <row r="153">
      <c r="A153" s="159"/>
      <c r="B153" s="610" t="s">
        <v>1589</v>
      </c>
      <c r="C153" s="300" t="s">
        <v>1590</v>
      </c>
      <c r="D153" s="300" t="s">
        <v>1591</v>
      </c>
      <c r="E153" s="159"/>
      <c r="F153" s="159"/>
      <c r="G153" s="159"/>
      <c r="H153" s="159"/>
      <c r="I153" s="653" t="s">
        <v>900</v>
      </c>
      <c r="J153" s="654"/>
      <c r="K153" s="656"/>
      <c r="L153" s="159"/>
      <c r="M153" s="159"/>
      <c r="N153" s="159"/>
      <c r="O153" s="159"/>
      <c r="P153" s="159"/>
      <c r="Q153" s="159"/>
      <c r="R153" s="159"/>
      <c r="S153" s="636"/>
      <c r="T153" s="656"/>
      <c r="U153" s="658"/>
      <c r="V153" s="159"/>
      <c r="W153" s="159"/>
      <c r="X153" s="636"/>
      <c r="Y153" s="656"/>
      <c r="Z153" s="656"/>
      <c r="AA153" s="656"/>
      <c r="AB153" s="656"/>
    </row>
    <row r="154">
      <c r="A154" s="159"/>
      <c r="B154" s="610" t="s">
        <v>848</v>
      </c>
      <c r="C154" s="300" t="s">
        <v>1592</v>
      </c>
      <c r="D154" s="300" t="s">
        <v>1593</v>
      </c>
      <c r="E154" s="634" t="s">
        <v>1594</v>
      </c>
      <c r="F154" s="634" t="s">
        <v>1595</v>
      </c>
      <c r="G154" s="159"/>
      <c r="H154" s="159"/>
      <c r="I154" s="653" t="s">
        <v>907</v>
      </c>
      <c r="J154" s="654"/>
      <c r="K154" s="656"/>
      <c r="L154" s="159"/>
      <c r="M154" s="159"/>
      <c r="N154" s="159"/>
      <c r="O154" s="159"/>
      <c r="P154" s="159"/>
      <c r="Q154" s="159"/>
      <c r="R154" s="159"/>
      <c r="S154" s="636"/>
      <c r="T154" s="656"/>
      <c r="U154" s="658"/>
      <c r="V154" s="159"/>
      <c r="W154" s="159"/>
      <c r="X154" s="636"/>
      <c r="Y154" s="656"/>
      <c r="Z154" s="656"/>
      <c r="AA154" s="656"/>
      <c r="AB154" s="656"/>
    </row>
    <row r="155">
      <c r="A155" s="159"/>
      <c r="B155" s="610" t="s">
        <v>849</v>
      </c>
      <c r="C155" s="300" t="s">
        <v>1596</v>
      </c>
      <c r="D155" s="300" t="s">
        <v>1597</v>
      </c>
      <c r="E155" s="159"/>
      <c r="F155" s="159"/>
      <c r="G155" s="159"/>
      <c r="H155" s="159"/>
      <c r="I155" s="653" t="s">
        <v>908</v>
      </c>
      <c r="J155" s="654"/>
      <c r="K155" s="656"/>
      <c r="L155" s="159"/>
      <c r="M155" s="159"/>
      <c r="N155" s="159"/>
      <c r="O155" s="159"/>
      <c r="P155" s="159"/>
      <c r="Q155" s="159"/>
      <c r="R155" s="159"/>
      <c r="S155" s="636"/>
      <c r="T155" s="656"/>
      <c r="U155" s="658"/>
      <c r="V155" s="159"/>
      <c r="W155" s="159"/>
      <c r="X155" s="636"/>
      <c r="Y155" s="656"/>
      <c r="Z155" s="656"/>
      <c r="AA155" s="656"/>
      <c r="AB155" s="656"/>
    </row>
    <row r="156">
      <c r="A156" s="159"/>
      <c r="B156" s="610" t="s">
        <v>850</v>
      </c>
      <c r="C156" s="300" t="s">
        <v>1598</v>
      </c>
      <c r="D156" s="300" t="s">
        <v>1599</v>
      </c>
      <c r="E156" s="159"/>
      <c r="F156" s="159"/>
      <c r="G156" s="159"/>
      <c r="H156" s="159"/>
      <c r="I156" s="653" t="s">
        <v>907</v>
      </c>
      <c r="J156" s="654"/>
      <c r="K156" s="656"/>
      <c r="L156" s="159"/>
      <c r="M156" s="159"/>
      <c r="N156" s="159"/>
      <c r="O156" s="159"/>
      <c r="P156" s="159"/>
      <c r="Q156" s="159"/>
      <c r="R156" s="159"/>
      <c r="S156" s="636"/>
      <c r="T156" s="656"/>
      <c r="U156" s="658"/>
      <c r="V156" s="159"/>
      <c r="W156" s="159"/>
      <c r="X156" s="636"/>
      <c r="Y156" s="656"/>
      <c r="Z156" s="656"/>
      <c r="AA156" s="656"/>
      <c r="AB156" s="656"/>
    </row>
    <row r="157">
      <c r="A157" s="159"/>
      <c r="B157" s="610" t="s">
        <v>851</v>
      </c>
      <c r="C157" s="300" t="s">
        <v>1600</v>
      </c>
      <c r="D157" s="300" t="s">
        <v>1601</v>
      </c>
      <c r="E157" s="159"/>
      <c r="F157" s="159"/>
      <c r="G157" s="159"/>
      <c r="H157" s="159"/>
      <c r="I157" s="653" t="s">
        <v>900</v>
      </c>
      <c r="J157" s="654"/>
      <c r="K157" s="656"/>
      <c r="L157" s="159"/>
      <c r="M157" s="159"/>
      <c r="N157" s="159"/>
      <c r="O157" s="159"/>
      <c r="P157" s="159"/>
      <c r="Q157" s="159"/>
      <c r="R157" s="159"/>
      <c r="S157" s="636"/>
      <c r="T157" s="656"/>
      <c r="U157" s="658"/>
      <c r="V157" s="159"/>
      <c r="W157" s="159"/>
      <c r="X157" s="636"/>
      <c r="Y157" s="656"/>
      <c r="Z157" s="656"/>
      <c r="AA157" s="656"/>
      <c r="AB157" s="656"/>
    </row>
    <row r="158">
      <c r="A158" s="159"/>
      <c r="B158" s="610" t="s">
        <v>852</v>
      </c>
      <c r="C158" s="300" t="s">
        <v>1602</v>
      </c>
      <c r="D158" s="300" t="s">
        <v>1603</v>
      </c>
      <c r="E158" s="159"/>
      <c r="F158" s="159"/>
      <c r="G158" s="159"/>
      <c r="H158" s="159"/>
      <c r="I158" s="653" t="s">
        <v>907</v>
      </c>
      <c r="J158" s="654"/>
      <c r="K158" s="656"/>
      <c r="L158" s="159"/>
      <c r="M158" s="159"/>
      <c r="N158" s="159"/>
      <c r="O158" s="159"/>
      <c r="P158" s="159"/>
      <c r="Q158" s="159"/>
      <c r="R158" s="159"/>
      <c r="S158" s="636"/>
      <c r="T158" s="656"/>
      <c r="U158" s="658"/>
      <c r="V158" s="159"/>
      <c r="W158" s="159"/>
      <c r="X158" s="636"/>
      <c r="Y158" s="656"/>
      <c r="Z158" s="656"/>
      <c r="AA158" s="656"/>
      <c r="AB158" s="656"/>
    </row>
    <row r="159">
      <c r="A159" s="159"/>
      <c r="B159" s="610" t="s">
        <v>853</v>
      </c>
      <c r="C159" s="300" t="s">
        <v>1604</v>
      </c>
      <c r="D159" s="300" t="s">
        <v>1605</v>
      </c>
      <c r="E159" s="159"/>
      <c r="F159" s="159"/>
      <c r="G159" s="159"/>
      <c r="H159" s="159"/>
      <c r="I159" s="653" t="s">
        <v>907</v>
      </c>
      <c r="J159" s="654"/>
      <c r="K159" s="656"/>
      <c r="L159" s="159"/>
      <c r="M159" s="159"/>
      <c r="N159" s="159"/>
      <c r="O159" s="159"/>
      <c r="P159" s="159"/>
      <c r="Q159" s="159"/>
      <c r="R159" s="159"/>
      <c r="S159" s="636"/>
      <c r="T159" s="656"/>
      <c r="U159" s="658"/>
      <c r="V159" s="159"/>
      <c r="W159" s="159"/>
      <c r="X159" s="636"/>
      <c r="Y159" s="656"/>
      <c r="Z159" s="656"/>
      <c r="AA159" s="656"/>
      <c r="AB159" s="656"/>
    </row>
    <row r="160">
      <c r="A160" s="159"/>
      <c r="B160" s="610" t="s">
        <v>854</v>
      </c>
      <c r="C160" s="300" t="s">
        <v>1606</v>
      </c>
      <c r="D160" s="300" t="s">
        <v>1607</v>
      </c>
      <c r="E160" s="159"/>
      <c r="F160" s="159"/>
      <c r="G160" s="159"/>
      <c r="H160" s="159"/>
      <c r="I160" s="653" t="s">
        <v>906</v>
      </c>
      <c r="J160" s="654"/>
      <c r="K160" s="656"/>
      <c r="L160" s="159"/>
      <c r="M160" s="159"/>
      <c r="N160" s="159"/>
      <c r="O160" s="159"/>
      <c r="P160" s="159"/>
      <c r="Q160" s="159"/>
      <c r="R160" s="159"/>
      <c r="S160" s="636"/>
      <c r="T160" s="656"/>
      <c r="U160" s="658"/>
      <c r="V160" s="159"/>
      <c r="W160" s="159"/>
      <c r="X160" s="636"/>
      <c r="Y160" s="656"/>
      <c r="Z160" s="656"/>
      <c r="AA160" s="656"/>
      <c r="AB160" s="656"/>
    </row>
    <row r="161">
      <c r="A161" s="159"/>
      <c r="B161" s="610" t="s">
        <v>855</v>
      </c>
      <c r="C161" s="300" t="s">
        <v>1608</v>
      </c>
      <c r="D161" s="300" t="s">
        <v>1609</v>
      </c>
      <c r="E161" s="159"/>
      <c r="F161" s="159"/>
      <c r="G161" s="159"/>
      <c r="H161" s="159"/>
      <c r="I161" s="653" t="s">
        <v>900</v>
      </c>
      <c r="J161" s="654"/>
      <c r="K161" s="656"/>
      <c r="L161" s="159"/>
      <c r="M161" s="159"/>
      <c r="N161" s="159"/>
      <c r="O161" s="159"/>
      <c r="P161" s="159"/>
      <c r="Q161" s="159"/>
      <c r="R161" s="159"/>
      <c r="S161" s="636"/>
      <c r="T161" s="656"/>
      <c r="U161" s="658"/>
      <c r="V161" s="159"/>
      <c r="W161" s="159"/>
      <c r="X161" s="636"/>
      <c r="Y161" s="656"/>
      <c r="Z161" s="656"/>
      <c r="AA161" s="656"/>
      <c r="AB161" s="656"/>
    </row>
    <row r="162">
      <c r="A162" s="159"/>
      <c r="B162" s="610" t="s">
        <v>856</v>
      </c>
      <c r="C162" s="300" t="s">
        <v>1610</v>
      </c>
      <c r="D162" s="300" t="s">
        <v>1611</v>
      </c>
      <c r="E162" s="159"/>
      <c r="F162" s="159"/>
      <c r="G162" s="159"/>
      <c r="H162" s="159"/>
      <c r="I162" s="653" t="s">
        <v>900</v>
      </c>
      <c r="J162" s="654"/>
      <c r="K162" s="656"/>
      <c r="L162" s="159"/>
      <c r="M162" s="159"/>
      <c r="N162" s="159"/>
      <c r="O162" s="159"/>
      <c r="P162" s="159"/>
      <c r="Q162" s="159"/>
      <c r="R162" s="159"/>
      <c r="S162" s="636"/>
      <c r="T162" s="656"/>
      <c r="U162" s="658"/>
      <c r="V162" s="159"/>
      <c r="W162" s="159"/>
      <c r="X162" s="636"/>
      <c r="Y162" s="656"/>
      <c r="Z162" s="656"/>
      <c r="AA162" s="656"/>
      <c r="AB162" s="656"/>
    </row>
    <row r="163">
      <c r="A163" s="159"/>
      <c r="B163" s="610" t="s">
        <v>857</v>
      </c>
      <c r="C163" s="300" t="s">
        <v>1612</v>
      </c>
      <c r="D163" s="159"/>
      <c r="E163" s="159"/>
      <c r="F163" s="159"/>
      <c r="G163" s="159"/>
      <c r="H163" s="159"/>
      <c r="I163" s="653" t="s">
        <v>904</v>
      </c>
      <c r="J163" s="654"/>
      <c r="K163" s="656"/>
      <c r="L163" s="159"/>
      <c r="M163" s="159"/>
      <c r="N163" s="159"/>
      <c r="O163" s="159"/>
      <c r="P163" s="159"/>
      <c r="Q163" s="159"/>
      <c r="R163" s="159"/>
      <c r="S163" s="636"/>
      <c r="T163" s="656"/>
      <c r="U163" s="658"/>
      <c r="V163" s="159"/>
      <c r="W163" s="159"/>
      <c r="X163" s="636"/>
      <c r="Y163" s="656"/>
      <c r="Z163" s="656"/>
      <c r="AA163" s="656"/>
      <c r="AB163" s="656"/>
    </row>
    <row r="164">
      <c r="A164" s="159"/>
      <c r="B164" s="610" t="s">
        <v>858</v>
      </c>
      <c r="C164" s="300" t="s">
        <v>1613</v>
      </c>
      <c r="D164" s="300" t="s">
        <v>1614</v>
      </c>
      <c r="E164" s="159"/>
      <c r="F164" s="159"/>
      <c r="G164" s="159"/>
      <c r="H164" s="159"/>
      <c r="I164" s="653" t="s">
        <v>907</v>
      </c>
      <c r="J164" s="654"/>
      <c r="K164" s="656"/>
      <c r="L164" s="159"/>
      <c r="M164" s="159"/>
      <c r="N164" s="159"/>
      <c r="O164" s="159"/>
      <c r="P164" s="159"/>
      <c r="Q164" s="159"/>
      <c r="R164" s="159"/>
      <c r="S164" s="636"/>
      <c r="T164" s="656"/>
      <c r="U164" s="658"/>
      <c r="V164" s="159"/>
      <c r="W164" s="159"/>
      <c r="X164" s="636"/>
      <c r="Y164" s="656"/>
      <c r="Z164" s="656"/>
      <c r="AA164" s="656"/>
      <c r="AB164" s="656"/>
    </row>
    <row r="165">
      <c r="A165" s="159"/>
      <c r="B165" s="610" t="s">
        <v>859</v>
      </c>
      <c r="C165" s="300" t="s">
        <v>1615</v>
      </c>
      <c r="D165" s="300" t="s">
        <v>1616</v>
      </c>
      <c r="E165" s="159"/>
      <c r="F165" s="159"/>
      <c r="G165" s="159"/>
      <c r="H165" s="159"/>
      <c r="I165" s="653" t="s">
        <v>907</v>
      </c>
      <c r="J165" s="654"/>
      <c r="K165" s="656"/>
      <c r="L165" s="159"/>
      <c r="M165" s="159"/>
      <c r="N165" s="159"/>
      <c r="O165" s="159"/>
      <c r="P165" s="159"/>
      <c r="Q165" s="159"/>
      <c r="R165" s="159"/>
      <c r="S165" s="636"/>
      <c r="T165" s="656"/>
      <c r="U165" s="658"/>
      <c r="V165" s="159"/>
      <c r="W165" s="159"/>
      <c r="X165" s="636"/>
      <c r="Y165" s="656"/>
      <c r="Z165" s="656"/>
      <c r="AA165" s="656"/>
      <c r="AB165" s="656"/>
    </row>
    <row r="166">
      <c r="A166" s="159"/>
      <c r="B166" s="460" t="s">
        <v>860</v>
      </c>
      <c r="C166" s="300" t="s">
        <v>1617</v>
      </c>
      <c r="D166" s="159" t="s">
        <v>1618</v>
      </c>
      <c r="E166" s="159"/>
      <c r="F166" s="159"/>
      <c r="G166" s="159"/>
      <c r="H166" s="159"/>
      <c r="I166" s="653" t="s">
        <v>899</v>
      </c>
      <c r="J166" s="654"/>
      <c r="K166" s="656"/>
      <c r="L166" s="159"/>
      <c r="M166" s="159"/>
      <c r="N166" s="159"/>
      <c r="O166" s="159"/>
      <c r="P166" s="159"/>
      <c r="Q166" s="159"/>
      <c r="R166" s="159"/>
      <c r="S166" s="636"/>
      <c r="T166" s="656"/>
      <c r="U166" s="658"/>
      <c r="V166" s="159"/>
      <c r="W166" s="159"/>
      <c r="X166" s="636"/>
      <c r="Y166" s="656"/>
      <c r="Z166" s="656"/>
      <c r="AA166" s="656"/>
      <c r="AB166" s="656"/>
    </row>
    <row r="167">
      <c r="A167" s="159"/>
      <c r="B167" s="610" t="s">
        <v>861</v>
      </c>
      <c r="C167" s="300" t="s">
        <v>1619</v>
      </c>
      <c r="D167" s="300" t="s">
        <v>1620</v>
      </c>
      <c r="E167" s="159"/>
      <c r="F167" s="159"/>
      <c r="G167" s="159"/>
      <c r="H167" s="159"/>
      <c r="I167" s="653" t="s">
        <v>907</v>
      </c>
      <c r="J167" s="654"/>
      <c r="K167" s="656"/>
      <c r="L167" s="159"/>
      <c r="M167" s="159"/>
      <c r="N167" s="159"/>
      <c r="O167" s="159"/>
      <c r="P167" s="159"/>
      <c r="Q167" s="159"/>
      <c r="R167" s="159"/>
      <c r="S167" s="636"/>
      <c r="T167" s="656"/>
      <c r="U167" s="658"/>
      <c r="V167" s="159"/>
      <c r="W167" s="159"/>
      <c r="X167" s="636"/>
      <c r="Y167" s="656"/>
      <c r="Z167" s="656"/>
      <c r="AA167" s="656"/>
      <c r="AB167" s="656"/>
    </row>
    <row r="168">
      <c r="A168" s="159"/>
      <c r="B168" s="610" t="s">
        <v>862</v>
      </c>
      <c r="C168" s="300" t="s">
        <v>1621</v>
      </c>
      <c r="D168" s="300" t="s">
        <v>1622</v>
      </c>
      <c r="E168" s="159"/>
      <c r="F168" s="159"/>
      <c r="G168" s="159"/>
      <c r="H168" s="159"/>
      <c r="I168" s="653" t="s">
        <v>900</v>
      </c>
      <c r="J168" s="654"/>
      <c r="K168" s="656"/>
      <c r="L168" s="159"/>
      <c r="M168" s="159"/>
      <c r="N168" s="159"/>
      <c r="O168" s="159"/>
      <c r="P168" s="159"/>
      <c r="Q168" s="159"/>
      <c r="R168" s="159"/>
      <c r="S168" s="636"/>
      <c r="T168" s="656"/>
      <c r="U168" s="658"/>
      <c r="V168" s="159"/>
      <c r="W168" s="159"/>
      <c r="X168" s="636"/>
      <c r="Y168" s="656"/>
      <c r="Z168" s="656"/>
      <c r="AA168" s="656"/>
      <c r="AB168" s="656"/>
    </row>
    <row r="169">
      <c r="A169" s="159"/>
      <c r="B169" s="610" t="s">
        <v>863</v>
      </c>
      <c r="C169" s="300" t="s">
        <v>1623</v>
      </c>
      <c r="D169" s="300" t="s">
        <v>1624</v>
      </c>
      <c r="E169" s="159"/>
      <c r="F169" s="159"/>
      <c r="G169" s="159"/>
      <c r="H169" s="159"/>
      <c r="I169" s="653" t="s">
        <v>905</v>
      </c>
      <c r="J169" s="654"/>
      <c r="K169" s="656"/>
      <c r="L169" s="159"/>
      <c r="M169" s="159"/>
      <c r="N169" s="159"/>
      <c r="O169" s="159"/>
      <c r="P169" s="159"/>
      <c r="Q169" s="159"/>
      <c r="R169" s="159"/>
      <c r="S169" s="636"/>
      <c r="T169" s="656"/>
      <c r="U169" s="658"/>
      <c r="V169" s="159"/>
      <c r="W169" s="159"/>
      <c r="X169" s="636"/>
      <c r="Y169" s="656"/>
      <c r="Z169" s="656"/>
      <c r="AA169" s="656"/>
      <c r="AB169" s="656"/>
    </row>
    <row r="170">
      <c r="A170" s="159"/>
      <c r="B170" s="610" t="s">
        <v>864</v>
      </c>
      <c r="C170" s="300" t="s">
        <v>1625</v>
      </c>
      <c r="D170" s="300" t="s">
        <v>1626</v>
      </c>
      <c r="E170" s="159"/>
      <c r="F170" s="159"/>
      <c r="G170" s="159"/>
      <c r="H170" s="159"/>
      <c r="I170" s="653" t="s">
        <v>907</v>
      </c>
      <c r="J170" s="654"/>
      <c r="K170" s="656"/>
      <c r="L170" s="159"/>
      <c r="M170" s="159"/>
      <c r="N170" s="159"/>
      <c r="O170" s="159"/>
      <c r="P170" s="159"/>
      <c r="Q170" s="159"/>
      <c r="R170" s="159"/>
      <c r="S170" s="636"/>
      <c r="T170" s="656"/>
      <c r="U170" s="658"/>
      <c r="V170" s="159"/>
      <c r="W170" s="159"/>
      <c r="X170" s="636"/>
      <c r="Y170" s="656"/>
      <c r="Z170" s="656"/>
      <c r="AA170" s="656"/>
      <c r="AB170" s="656"/>
    </row>
    <row r="171">
      <c r="A171" s="159"/>
      <c r="B171" s="610" t="s">
        <v>865</v>
      </c>
      <c r="C171" s="300" t="s">
        <v>1627</v>
      </c>
      <c r="D171" s="300" t="s">
        <v>1628</v>
      </c>
      <c r="E171" s="159"/>
      <c r="F171" s="159"/>
      <c r="G171" s="159"/>
      <c r="H171" s="159"/>
      <c r="I171" s="653" t="s">
        <v>901</v>
      </c>
      <c r="J171" s="654"/>
      <c r="K171" s="656"/>
      <c r="L171" s="159"/>
      <c r="M171" s="159"/>
      <c r="N171" s="159"/>
      <c r="O171" s="159"/>
      <c r="P171" s="159"/>
      <c r="Q171" s="159"/>
      <c r="R171" s="159"/>
      <c r="S171" s="636"/>
      <c r="T171" s="656"/>
      <c r="U171" s="658"/>
      <c r="V171" s="159"/>
      <c r="W171" s="159"/>
      <c r="X171" s="636"/>
      <c r="Y171" s="656"/>
      <c r="Z171" s="656"/>
      <c r="AA171" s="656"/>
      <c r="AB171" s="656"/>
    </row>
    <row r="172">
      <c r="A172" s="159"/>
      <c r="B172" s="610" t="s">
        <v>866</v>
      </c>
      <c r="C172" s="300" t="s">
        <v>1629</v>
      </c>
      <c r="D172" s="300" t="s">
        <v>1630</v>
      </c>
      <c r="E172" s="159"/>
      <c r="F172" s="159"/>
      <c r="G172" s="159"/>
      <c r="H172" s="159"/>
      <c r="I172" s="653" t="s">
        <v>900</v>
      </c>
      <c r="J172" s="654"/>
      <c r="K172" s="656"/>
      <c r="L172" s="159"/>
      <c r="M172" s="159"/>
      <c r="N172" s="159"/>
      <c r="O172" s="159"/>
      <c r="P172" s="159"/>
      <c r="Q172" s="159"/>
      <c r="R172" s="159"/>
      <c r="S172" s="636"/>
      <c r="T172" s="656"/>
      <c r="U172" s="658"/>
      <c r="V172" s="159"/>
      <c r="W172" s="159"/>
      <c r="X172" s="636"/>
      <c r="Y172" s="656"/>
      <c r="Z172" s="656"/>
      <c r="AA172" s="656"/>
      <c r="AB172" s="656"/>
    </row>
    <row r="173">
      <c r="A173" s="159"/>
      <c r="B173" s="610" t="s">
        <v>867</v>
      </c>
      <c r="C173" s="300" t="s">
        <v>1631</v>
      </c>
      <c r="D173" s="300" t="s">
        <v>1632</v>
      </c>
      <c r="E173" s="159"/>
      <c r="F173" s="159"/>
      <c r="G173" s="159"/>
      <c r="H173" s="159"/>
      <c r="I173" s="653" t="s">
        <v>900</v>
      </c>
      <c r="J173" s="654"/>
      <c r="K173" s="656"/>
      <c r="L173" s="159"/>
      <c r="M173" s="159"/>
      <c r="N173" s="159"/>
      <c r="O173" s="159"/>
      <c r="P173" s="159"/>
      <c r="Q173" s="159"/>
      <c r="R173" s="159"/>
      <c r="S173" s="636"/>
      <c r="T173" s="656"/>
      <c r="U173" s="658"/>
      <c r="V173" s="159"/>
      <c r="W173" s="159"/>
      <c r="X173" s="636"/>
      <c r="Y173" s="656"/>
      <c r="Z173" s="656"/>
      <c r="AA173" s="656"/>
      <c r="AB173" s="656"/>
    </row>
    <row r="174">
      <c r="A174" s="159"/>
      <c r="B174" s="460" t="s">
        <v>868</v>
      </c>
      <c r="C174" s="300" t="s">
        <v>1633</v>
      </c>
      <c r="D174" s="159" t="s">
        <v>1634</v>
      </c>
      <c r="E174" s="159"/>
      <c r="F174" s="159"/>
      <c r="G174" s="159"/>
      <c r="H174" s="159"/>
      <c r="I174" s="653" t="s">
        <v>908</v>
      </c>
      <c r="J174" s="654"/>
      <c r="K174" s="656"/>
      <c r="L174" s="159"/>
      <c r="M174" s="159"/>
      <c r="N174" s="159"/>
      <c r="O174" s="159"/>
      <c r="P174" s="159"/>
      <c r="Q174" s="159"/>
      <c r="R174" s="159"/>
      <c r="S174" s="636"/>
      <c r="T174" s="656"/>
      <c r="U174" s="658"/>
      <c r="V174" s="159"/>
      <c r="W174" s="159"/>
      <c r="X174" s="636"/>
      <c r="Y174" s="656"/>
      <c r="Z174" s="656"/>
      <c r="AA174" s="656"/>
      <c r="AB174" s="656"/>
    </row>
    <row r="175">
      <c r="A175" s="159"/>
      <c r="B175" s="661" t="s">
        <v>869</v>
      </c>
      <c r="C175" s="300" t="s">
        <v>1635</v>
      </c>
      <c r="D175" s="300" t="s">
        <v>1636</v>
      </c>
      <c r="E175" s="159"/>
      <c r="F175" s="159"/>
      <c r="G175" s="159"/>
      <c r="H175" s="159"/>
      <c r="I175" s="653" t="s">
        <v>899</v>
      </c>
      <c r="J175" s="654"/>
      <c r="K175" s="656"/>
      <c r="L175" s="159"/>
      <c r="M175" s="159"/>
      <c r="N175" s="159"/>
      <c r="O175" s="159"/>
      <c r="P175" s="159"/>
      <c r="Q175" s="159"/>
      <c r="R175" s="159"/>
      <c r="S175" s="636"/>
      <c r="T175" s="656"/>
      <c r="U175" s="658"/>
      <c r="V175" s="159"/>
      <c r="W175" s="159"/>
      <c r="X175" s="636"/>
      <c r="Y175" s="656"/>
      <c r="Z175" s="656"/>
      <c r="AA175" s="656"/>
      <c r="AB175" s="656"/>
    </row>
    <row r="176">
      <c r="A176" s="159"/>
      <c r="B176" s="610" t="s">
        <v>870</v>
      </c>
      <c r="C176" s="300" t="s">
        <v>1637</v>
      </c>
      <c r="D176" s="300" t="s">
        <v>1638</v>
      </c>
      <c r="E176" s="159"/>
      <c r="F176" s="159"/>
      <c r="G176" s="159"/>
      <c r="H176" s="159"/>
      <c r="I176" s="653" t="s">
        <v>898</v>
      </c>
      <c r="J176" s="654"/>
      <c r="K176" s="656"/>
      <c r="L176" s="159"/>
      <c r="M176" s="159"/>
      <c r="N176" s="159"/>
      <c r="O176" s="159"/>
      <c r="P176" s="159"/>
      <c r="Q176" s="159"/>
      <c r="R176" s="159"/>
      <c r="S176" s="636"/>
      <c r="T176" s="656"/>
      <c r="U176" s="658"/>
      <c r="V176" s="159"/>
      <c r="W176" s="159"/>
      <c r="X176" s="636"/>
      <c r="Y176" s="656"/>
      <c r="Z176" s="656"/>
      <c r="AA176" s="656"/>
      <c r="AB176" s="656"/>
    </row>
    <row r="177">
      <c r="A177" s="159"/>
      <c r="B177" s="460" t="s">
        <v>871</v>
      </c>
      <c r="C177" s="300" t="s">
        <v>1639</v>
      </c>
      <c r="D177" s="159" t="s">
        <v>1640</v>
      </c>
      <c r="E177" s="159"/>
      <c r="F177" s="159"/>
      <c r="G177" s="159"/>
      <c r="H177" s="159"/>
      <c r="I177" s="653" t="s">
        <v>907</v>
      </c>
      <c r="J177" s="654"/>
      <c r="K177" s="656"/>
      <c r="L177" s="159"/>
      <c r="M177" s="159"/>
      <c r="N177" s="159"/>
      <c r="O177" s="159"/>
      <c r="P177" s="159"/>
      <c r="Q177" s="159"/>
      <c r="R177" s="159"/>
      <c r="S177" s="636"/>
      <c r="T177" s="656"/>
      <c r="U177" s="658"/>
      <c r="V177" s="159"/>
      <c r="W177" s="159"/>
      <c r="X177" s="636"/>
      <c r="Y177" s="656"/>
      <c r="Z177" s="656"/>
      <c r="AA177" s="656"/>
      <c r="AB177" s="656"/>
    </row>
    <row r="178">
      <c r="A178" s="159"/>
      <c r="B178" s="610" t="s">
        <v>79</v>
      </c>
      <c r="C178" s="300" t="s">
        <v>1641</v>
      </c>
      <c r="D178" s="300" t="s">
        <v>1642</v>
      </c>
      <c r="E178" s="159"/>
      <c r="F178" s="159"/>
      <c r="G178" s="159"/>
      <c r="H178" s="159"/>
      <c r="I178" s="653" t="s">
        <v>906</v>
      </c>
      <c r="J178" s="654"/>
      <c r="K178" s="656"/>
      <c r="L178" s="159"/>
      <c r="M178" s="159"/>
      <c r="N178" s="159"/>
      <c r="O178" s="159"/>
      <c r="P178" s="159"/>
      <c r="Q178" s="159"/>
      <c r="R178" s="159"/>
      <c r="S178" s="636"/>
      <c r="T178" s="656"/>
      <c r="U178" s="658"/>
      <c r="V178" s="159"/>
      <c r="W178" s="159"/>
      <c r="X178" s="636"/>
      <c r="Y178" s="656"/>
      <c r="Z178" s="656"/>
      <c r="AA178" s="656"/>
      <c r="AB178" s="656"/>
    </row>
    <row r="179">
      <c r="A179" s="159"/>
      <c r="B179" s="610" t="s">
        <v>1643</v>
      </c>
      <c r="C179" s="300" t="s">
        <v>1644</v>
      </c>
      <c r="D179" s="300" t="s">
        <v>751</v>
      </c>
      <c r="E179" s="634" t="s">
        <v>1645</v>
      </c>
      <c r="F179" s="634" t="s">
        <v>1646</v>
      </c>
      <c r="G179" s="159"/>
      <c r="H179" s="159"/>
      <c r="I179" s="653" t="s">
        <v>906</v>
      </c>
      <c r="J179" s="654"/>
      <c r="K179" s="656"/>
      <c r="L179" s="159"/>
      <c r="M179" s="159"/>
      <c r="N179" s="159"/>
      <c r="O179" s="159"/>
      <c r="P179" s="159"/>
      <c r="Q179" s="159"/>
      <c r="R179" s="159"/>
      <c r="S179" s="636"/>
      <c r="T179" s="656"/>
      <c r="U179" s="658"/>
      <c r="V179" s="159"/>
      <c r="W179" s="159"/>
      <c r="X179" s="636"/>
      <c r="Y179" s="656"/>
      <c r="Z179" s="656"/>
      <c r="AA179" s="656"/>
      <c r="AB179" s="656"/>
    </row>
    <row r="180">
      <c r="A180" s="159"/>
      <c r="B180" s="610" t="s">
        <v>872</v>
      </c>
      <c r="C180" s="300" t="s">
        <v>1647</v>
      </c>
      <c r="D180" s="300" t="s">
        <v>1648</v>
      </c>
      <c r="E180" s="159"/>
      <c r="F180" s="159"/>
      <c r="G180" s="159"/>
      <c r="H180" s="159"/>
      <c r="I180" s="653" t="s">
        <v>907</v>
      </c>
      <c r="J180" s="654"/>
      <c r="K180" s="656"/>
      <c r="L180" s="159"/>
      <c r="M180" s="159"/>
      <c r="N180" s="159"/>
      <c r="O180" s="159"/>
      <c r="P180" s="159"/>
      <c r="Q180" s="159"/>
      <c r="R180" s="159"/>
      <c r="S180" s="636"/>
      <c r="T180" s="656"/>
      <c r="U180" s="658"/>
      <c r="V180" s="159"/>
      <c r="W180" s="159"/>
      <c r="X180" s="636"/>
      <c r="Y180" s="656"/>
      <c r="Z180" s="656"/>
      <c r="AA180" s="656"/>
      <c r="AB180" s="656"/>
    </row>
    <row r="181">
      <c r="A181" s="159"/>
      <c r="B181" s="610" t="s">
        <v>873</v>
      </c>
      <c r="C181" s="300" t="s">
        <v>1649</v>
      </c>
      <c r="D181" s="300" t="s">
        <v>1650</v>
      </c>
      <c r="E181" s="159"/>
      <c r="F181" s="159"/>
      <c r="G181" s="159"/>
      <c r="H181" s="159"/>
      <c r="I181" s="653" t="s">
        <v>904</v>
      </c>
      <c r="J181" s="654"/>
      <c r="K181" s="656"/>
      <c r="L181" s="159"/>
      <c r="M181" s="159"/>
      <c r="N181" s="159"/>
      <c r="O181" s="159"/>
      <c r="P181" s="159"/>
      <c r="Q181" s="159"/>
      <c r="R181" s="159"/>
      <c r="S181" s="636"/>
      <c r="T181" s="656"/>
      <c r="U181" s="658"/>
      <c r="V181" s="159"/>
      <c r="W181" s="159"/>
      <c r="X181" s="636"/>
      <c r="Y181" s="656"/>
      <c r="Z181" s="656"/>
      <c r="AA181" s="656"/>
      <c r="AB181" s="656"/>
    </row>
    <row r="182">
      <c r="A182" s="159"/>
      <c r="B182" s="610" t="s">
        <v>874</v>
      </c>
      <c r="C182" s="300" t="s">
        <v>1651</v>
      </c>
      <c r="D182" s="300" t="s">
        <v>1652</v>
      </c>
      <c r="E182" s="300" t="s">
        <v>1653</v>
      </c>
      <c r="F182" s="159"/>
      <c r="G182" s="159"/>
      <c r="H182" s="159"/>
      <c r="I182" s="653" t="s">
        <v>897</v>
      </c>
      <c r="J182" s="654"/>
      <c r="K182" s="656"/>
      <c r="L182" s="159"/>
      <c r="M182" s="159"/>
      <c r="N182" s="159"/>
      <c r="O182" s="159"/>
      <c r="P182" s="159"/>
      <c r="Q182" s="159"/>
      <c r="R182" s="159"/>
      <c r="S182" s="636"/>
      <c r="T182" s="656"/>
      <c r="U182" s="658"/>
      <c r="V182" s="159"/>
      <c r="W182" s="159"/>
      <c r="X182" s="636"/>
      <c r="Y182" s="656"/>
      <c r="Z182" s="656"/>
      <c r="AA182" s="656"/>
      <c r="AB182" s="656"/>
    </row>
    <row r="183">
      <c r="A183" s="159"/>
      <c r="B183" s="610" t="s">
        <v>875</v>
      </c>
      <c r="C183" s="300" t="s">
        <v>1654</v>
      </c>
      <c r="D183" s="300" t="s">
        <v>1655</v>
      </c>
      <c r="E183" s="159"/>
      <c r="F183" s="159"/>
      <c r="G183" s="159"/>
      <c r="H183" s="159"/>
      <c r="I183" s="653" t="s">
        <v>902</v>
      </c>
      <c r="J183" s="654"/>
      <c r="K183" s="656"/>
      <c r="L183" s="159"/>
      <c r="M183" s="159"/>
      <c r="N183" s="159"/>
      <c r="O183" s="159"/>
      <c r="P183" s="159"/>
      <c r="Q183" s="159"/>
      <c r="R183" s="159"/>
      <c r="S183" s="636"/>
      <c r="T183" s="656"/>
      <c r="U183" s="658"/>
      <c r="V183" s="159"/>
      <c r="W183" s="159"/>
      <c r="X183" s="636"/>
      <c r="Y183" s="656"/>
      <c r="Z183" s="656"/>
      <c r="AA183" s="656"/>
      <c r="AB183" s="656"/>
    </row>
    <row r="184">
      <c r="A184" s="159"/>
      <c r="B184" s="610" t="s">
        <v>876</v>
      </c>
      <c r="C184" s="300" t="s">
        <v>1656</v>
      </c>
      <c r="D184" s="300" t="s">
        <v>1657</v>
      </c>
      <c r="E184" s="159"/>
      <c r="F184" s="159"/>
      <c r="G184" s="159"/>
      <c r="H184" s="159"/>
      <c r="I184" s="653" t="s">
        <v>908</v>
      </c>
      <c r="J184" s="654"/>
      <c r="K184" s="656"/>
      <c r="L184" s="159"/>
      <c r="M184" s="159"/>
      <c r="N184" s="159"/>
      <c r="O184" s="159"/>
      <c r="P184" s="159"/>
      <c r="Q184" s="159"/>
      <c r="R184" s="159"/>
      <c r="S184" s="636"/>
      <c r="T184" s="656"/>
      <c r="U184" s="658"/>
      <c r="V184" s="159"/>
      <c r="W184" s="159"/>
      <c r="X184" s="636"/>
      <c r="Y184" s="656"/>
      <c r="Z184" s="656"/>
      <c r="AA184" s="656"/>
      <c r="AB184" s="656"/>
    </row>
    <row r="185">
      <c r="A185" s="159"/>
      <c r="B185" s="610" t="s">
        <v>877</v>
      </c>
      <c r="C185" s="300" t="s">
        <v>1658</v>
      </c>
      <c r="D185" s="159"/>
      <c r="E185" s="159"/>
      <c r="F185" s="159"/>
      <c r="G185" s="159"/>
      <c r="H185" s="159"/>
      <c r="I185" s="653" t="s">
        <v>898</v>
      </c>
      <c r="J185" s="654"/>
      <c r="K185" s="656"/>
      <c r="L185" s="159"/>
      <c r="M185" s="159"/>
      <c r="N185" s="159"/>
      <c r="O185" s="159"/>
      <c r="P185" s="159"/>
      <c r="Q185" s="159"/>
      <c r="R185" s="159"/>
      <c r="S185" s="636"/>
      <c r="T185" s="656"/>
      <c r="U185" s="658"/>
      <c r="V185" s="159"/>
      <c r="W185" s="159"/>
      <c r="X185" s="636"/>
      <c r="Y185" s="656"/>
      <c r="Z185" s="656"/>
      <c r="AA185" s="656"/>
      <c r="AB185" s="656"/>
    </row>
    <row r="186">
      <c r="A186" s="159"/>
      <c r="B186" s="610" t="s">
        <v>878</v>
      </c>
      <c r="C186" s="300" t="s">
        <v>1659</v>
      </c>
      <c r="D186" s="159"/>
      <c r="E186" s="159"/>
      <c r="F186" s="159"/>
      <c r="G186" s="159"/>
      <c r="H186" s="159"/>
      <c r="I186" s="653" t="s">
        <v>904</v>
      </c>
      <c r="J186" s="654"/>
      <c r="K186" s="656"/>
      <c r="L186" s="159"/>
      <c r="M186" s="159"/>
      <c r="N186" s="159"/>
      <c r="O186" s="159"/>
      <c r="P186" s="159"/>
      <c r="Q186" s="159"/>
      <c r="R186" s="159"/>
      <c r="S186" s="636"/>
      <c r="T186" s="656"/>
      <c r="U186" s="658"/>
      <c r="V186" s="159"/>
      <c r="W186" s="159"/>
      <c r="X186" s="636"/>
      <c r="Y186" s="656"/>
      <c r="Z186" s="656"/>
      <c r="AA186" s="656"/>
      <c r="AB186" s="656"/>
    </row>
    <row r="187">
      <c r="A187" s="159"/>
      <c r="B187" s="610" t="s">
        <v>879</v>
      </c>
      <c r="C187" s="300" t="s">
        <v>1660</v>
      </c>
      <c r="D187" s="300" t="s">
        <v>1661</v>
      </c>
      <c r="E187" s="159"/>
      <c r="F187" s="159"/>
      <c r="G187" s="159"/>
      <c r="H187" s="159"/>
      <c r="I187" s="653" t="s">
        <v>907</v>
      </c>
      <c r="J187" s="654"/>
      <c r="K187" s="656"/>
      <c r="L187" s="159"/>
      <c r="M187" s="159"/>
      <c r="N187" s="159"/>
      <c r="O187" s="159"/>
      <c r="P187" s="159"/>
      <c r="Q187" s="159"/>
      <c r="R187" s="159"/>
      <c r="S187" s="636"/>
      <c r="T187" s="656"/>
      <c r="U187" s="658"/>
      <c r="V187" s="159"/>
      <c r="W187" s="159"/>
      <c r="X187" s="636"/>
      <c r="Y187" s="656"/>
      <c r="Z187" s="656"/>
      <c r="AA187" s="656"/>
      <c r="AB187" s="656"/>
    </row>
    <row r="188">
      <c r="A188" s="159"/>
      <c r="B188" s="610" t="s">
        <v>880</v>
      </c>
      <c r="C188" s="300" t="s">
        <v>1662</v>
      </c>
      <c r="D188" s="159"/>
      <c r="E188" s="159"/>
      <c r="F188" s="159"/>
      <c r="G188" s="159"/>
      <c r="H188" s="159"/>
      <c r="I188" s="653" t="s">
        <v>900</v>
      </c>
      <c r="J188" s="654"/>
      <c r="K188" s="656"/>
      <c r="L188" s="159"/>
      <c r="M188" s="159"/>
      <c r="N188" s="159"/>
      <c r="O188" s="159"/>
      <c r="P188" s="159"/>
      <c r="Q188" s="159"/>
      <c r="R188" s="159"/>
      <c r="S188" s="636"/>
      <c r="T188" s="656"/>
      <c r="U188" s="658"/>
      <c r="V188" s="159"/>
      <c r="W188" s="159"/>
      <c r="X188" s="636"/>
      <c r="Y188" s="656"/>
      <c r="Z188" s="656"/>
      <c r="AA188" s="656"/>
      <c r="AB188" s="656"/>
    </row>
    <row r="189">
      <c r="A189" s="159"/>
      <c r="B189" s="610" t="s">
        <v>881</v>
      </c>
      <c r="C189" s="300" t="s">
        <v>1663</v>
      </c>
      <c r="D189" s="300" t="s">
        <v>1664</v>
      </c>
      <c r="E189" s="159"/>
      <c r="F189" s="159"/>
      <c r="G189" s="159"/>
      <c r="H189" s="159"/>
      <c r="I189" s="653" t="s">
        <v>908</v>
      </c>
      <c r="J189" s="654"/>
      <c r="K189" s="656"/>
      <c r="L189" s="159"/>
      <c r="M189" s="159"/>
      <c r="N189" s="159"/>
      <c r="O189" s="159"/>
      <c r="P189" s="159"/>
      <c r="Q189" s="159"/>
      <c r="R189" s="159"/>
      <c r="S189" s="636"/>
      <c r="T189" s="656"/>
      <c r="U189" s="658"/>
      <c r="V189" s="159"/>
      <c r="W189" s="159"/>
      <c r="X189" s="636"/>
      <c r="Y189" s="656"/>
      <c r="Z189" s="656"/>
      <c r="AA189" s="656"/>
      <c r="AB189" s="656"/>
    </row>
    <row r="190">
      <c r="A190" s="159"/>
      <c r="B190" s="610" t="s">
        <v>882</v>
      </c>
      <c r="C190" s="300" t="s">
        <v>1665</v>
      </c>
      <c r="D190" s="300" t="s">
        <v>1666</v>
      </c>
      <c r="E190" s="634" t="s">
        <v>1667</v>
      </c>
      <c r="F190" s="159"/>
      <c r="G190" s="159"/>
      <c r="H190" s="159"/>
      <c r="I190" s="653" t="s">
        <v>900</v>
      </c>
      <c r="J190" s="654"/>
      <c r="K190" s="656"/>
      <c r="L190" s="159"/>
      <c r="M190" s="159"/>
      <c r="N190" s="159"/>
      <c r="O190" s="159"/>
      <c r="P190" s="159"/>
      <c r="Q190" s="159"/>
      <c r="R190" s="159"/>
      <c r="S190" s="636"/>
      <c r="T190" s="656"/>
      <c r="U190" s="658"/>
      <c r="V190" s="159"/>
      <c r="W190" s="159"/>
      <c r="X190" s="636"/>
      <c r="Y190" s="656"/>
      <c r="Z190" s="656"/>
      <c r="AA190" s="656"/>
      <c r="AB190" s="656"/>
    </row>
    <row r="191">
      <c r="A191" s="159"/>
      <c r="B191" s="610" t="s">
        <v>1668</v>
      </c>
      <c r="C191" s="300" t="s">
        <v>1669</v>
      </c>
      <c r="D191" s="300" t="s">
        <v>883</v>
      </c>
      <c r="E191" s="159"/>
      <c r="F191" s="159"/>
      <c r="G191" s="159"/>
      <c r="H191" s="159"/>
      <c r="I191" s="653" t="s">
        <v>903</v>
      </c>
      <c r="J191" s="654"/>
      <c r="K191" s="656"/>
      <c r="L191" s="159"/>
      <c r="M191" s="159"/>
      <c r="N191" s="159"/>
      <c r="O191" s="159"/>
      <c r="P191" s="159"/>
      <c r="Q191" s="159"/>
      <c r="R191" s="159"/>
      <c r="S191" s="636"/>
      <c r="T191" s="656"/>
      <c r="U191" s="658"/>
      <c r="V191" s="159"/>
      <c r="W191" s="159"/>
      <c r="X191" s="636"/>
      <c r="Y191" s="656"/>
      <c r="Z191" s="656"/>
      <c r="AA191" s="656"/>
      <c r="AB191" s="656"/>
    </row>
    <row r="192">
      <c r="A192" s="159"/>
      <c r="B192" s="610" t="s">
        <v>884</v>
      </c>
      <c r="C192" s="300" t="s">
        <v>1670</v>
      </c>
      <c r="D192" s="300" t="s">
        <v>1671</v>
      </c>
      <c r="E192" s="159"/>
      <c r="F192" s="159"/>
      <c r="G192" s="159"/>
      <c r="H192" s="159"/>
      <c r="I192" s="653" t="s">
        <v>901</v>
      </c>
      <c r="J192" s="654"/>
      <c r="K192" s="656"/>
      <c r="L192" s="159"/>
      <c r="M192" s="159"/>
      <c r="N192" s="159"/>
      <c r="O192" s="159"/>
      <c r="P192" s="159"/>
      <c r="Q192" s="159"/>
      <c r="R192" s="159"/>
      <c r="S192" s="636"/>
      <c r="T192" s="656"/>
      <c r="U192" s="658"/>
      <c r="V192" s="159"/>
      <c r="W192" s="159"/>
      <c r="X192" s="636"/>
      <c r="Y192" s="656"/>
      <c r="Z192" s="656"/>
      <c r="AA192" s="656"/>
      <c r="AB192" s="656"/>
    </row>
    <row r="193">
      <c r="A193" s="159"/>
      <c r="B193" s="610" t="s">
        <v>885</v>
      </c>
      <c r="C193" s="300" t="s">
        <v>1672</v>
      </c>
      <c r="D193" s="300" t="s">
        <v>1673</v>
      </c>
      <c r="E193" s="159"/>
      <c r="F193" s="159"/>
      <c r="G193" s="159"/>
      <c r="H193" s="159"/>
      <c r="I193" s="653" t="s">
        <v>898</v>
      </c>
      <c r="J193" s="654"/>
      <c r="K193" s="656"/>
      <c r="L193" s="159"/>
      <c r="M193" s="159"/>
      <c r="N193" s="159"/>
      <c r="O193" s="159"/>
      <c r="P193" s="159"/>
      <c r="Q193" s="159"/>
      <c r="R193" s="159"/>
      <c r="S193" s="636"/>
      <c r="T193" s="656"/>
      <c r="U193" s="658"/>
      <c r="V193" s="159"/>
      <c r="W193" s="159"/>
      <c r="X193" s="636"/>
      <c r="Y193" s="656"/>
      <c r="Z193" s="656"/>
      <c r="AA193" s="656"/>
      <c r="AB193" s="656"/>
    </row>
    <row r="194">
      <c r="A194" s="159"/>
      <c r="B194" s="610" t="s">
        <v>886</v>
      </c>
      <c r="C194" s="300" t="s">
        <v>1674</v>
      </c>
      <c r="D194" s="300" t="s">
        <v>1675</v>
      </c>
      <c r="E194" s="159"/>
      <c r="F194" s="159"/>
      <c r="G194" s="159"/>
      <c r="H194" s="159"/>
      <c r="I194" s="653" t="s">
        <v>904</v>
      </c>
      <c r="J194" s="654"/>
      <c r="K194" s="656"/>
      <c r="L194" s="159"/>
      <c r="M194" s="159"/>
      <c r="N194" s="159"/>
      <c r="O194" s="159"/>
      <c r="P194" s="159"/>
      <c r="Q194" s="159"/>
      <c r="R194" s="159"/>
      <c r="S194" s="636"/>
      <c r="T194" s="656"/>
      <c r="U194" s="658"/>
      <c r="V194" s="159"/>
      <c r="W194" s="159"/>
      <c r="X194" s="636"/>
      <c r="Y194" s="656"/>
      <c r="Z194" s="656"/>
      <c r="AA194" s="656"/>
      <c r="AB194" s="656"/>
    </row>
    <row r="195">
      <c r="A195" s="159"/>
      <c r="B195" s="460" t="s">
        <v>887</v>
      </c>
      <c r="C195" s="300" t="s">
        <v>1676</v>
      </c>
      <c r="D195" s="159" t="s">
        <v>1677</v>
      </c>
      <c r="E195" s="159" t="s">
        <v>1678</v>
      </c>
      <c r="F195" s="159"/>
      <c r="G195" s="159"/>
      <c r="H195" s="159"/>
      <c r="I195" s="653" t="s">
        <v>901</v>
      </c>
      <c r="J195" s="654"/>
      <c r="K195" s="656"/>
      <c r="L195" s="159"/>
      <c r="M195" s="159"/>
      <c r="N195" s="159"/>
      <c r="O195" s="159"/>
      <c r="P195" s="159"/>
      <c r="Q195" s="159"/>
      <c r="R195" s="159"/>
      <c r="S195" s="636"/>
      <c r="T195" s="656"/>
      <c r="U195" s="658"/>
      <c r="V195" s="159"/>
      <c r="W195" s="159"/>
      <c r="X195" s="636"/>
      <c r="Y195" s="656"/>
      <c r="Z195" s="656"/>
      <c r="AA195" s="656"/>
      <c r="AB195" s="656"/>
    </row>
    <row r="196">
      <c r="A196" s="159"/>
      <c r="B196" s="460" t="s">
        <v>888</v>
      </c>
      <c r="C196" s="300" t="s">
        <v>1679</v>
      </c>
      <c r="D196" s="159" t="s">
        <v>1680</v>
      </c>
      <c r="E196" s="159" t="s">
        <v>1681</v>
      </c>
      <c r="F196" s="159"/>
      <c r="G196" s="159"/>
      <c r="H196" s="159"/>
      <c r="I196" s="653" t="s">
        <v>906</v>
      </c>
      <c r="J196" s="654"/>
      <c r="K196" s="656"/>
      <c r="L196" s="159"/>
      <c r="M196" s="159"/>
      <c r="N196" s="159"/>
      <c r="O196" s="159"/>
      <c r="P196" s="159"/>
      <c r="Q196" s="159"/>
      <c r="R196" s="159"/>
      <c r="S196" s="636"/>
      <c r="T196" s="656"/>
      <c r="U196" s="658"/>
      <c r="V196" s="159"/>
      <c r="W196" s="159"/>
      <c r="X196" s="636"/>
      <c r="Y196" s="656"/>
      <c r="Z196" s="656"/>
      <c r="AA196" s="656"/>
      <c r="AB196" s="656"/>
    </row>
    <row r="197">
      <c r="A197" s="159"/>
      <c r="B197" s="610" t="s">
        <v>890</v>
      </c>
      <c r="C197" s="300" t="s">
        <v>1682</v>
      </c>
      <c r="D197" s="300" t="s">
        <v>1683</v>
      </c>
      <c r="E197" s="159"/>
      <c r="F197" s="159"/>
      <c r="G197" s="159"/>
      <c r="H197" s="159"/>
      <c r="I197" s="653" t="s">
        <v>908</v>
      </c>
      <c r="J197" s="654"/>
      <c r="K197" s="656"/>
      <c r="L197" s="159"/>
      <c r="M197" s="159"/>
      <c r="N197" s="159"/>
      <c r="O197" s="159"/>
      <c r="P197" s="159"/>
      <c r="Q197" s="159"/>
      <c r="R197" s="159"/>
      <c r="S197" s="636"/>
      <c r="T197" s="656"/>
      <c r="U197" s="658"/>
      <c r="V197" s="159"/>
      <c r="W197" s="159"/>
      <c r="X197" s="636"/>
      <c r="Y197" s="656"/>
      <c r="Z197" s="656"/>
      <c r="AA197" s="656"/>
      <c r="AB197" s="656"/>
    </row>
    <row r="198">
      <c r="A198" s="159"/>
      <c r="B198" s="610" t="s">
        <v>891</v>
      </c>
      <c r="C198" s="300" t="s">
        <v>1684</v>
      </c>
      <c r="D198" s="300" t="s">
        <v>1685</v>
      </c>
      <c r="E198" s="159"/>
      <c r="F198" s="159"/>
      <c r="G198" s="159"/>
      <c r="H198" s="159"/>
      <c r="I198" s="653" t="s">
        <v>907</v>
      </c>
      <c r="J198" s="654"/>
      <c r="K198" s="656"/>
      <c r="L198" s="159"/>
      <c r="M198" s="159"/>
      <c r="N198" s="159"/>
      <c r="O198" s="159"/>
      <c r="P198" s="159"/>
      <c r="Q198" s="159"/>
      <c r="R198" s="159"/>
      <c r="S198" s="636"/>
      <c r="T198" s="656"/>
      <c r="U198" s="658"/>
      <c r="V198" s="159"/>
      <c r="W198" s="159"/>
      <c r="X198" s="636"/>
      <c r="Y198" s="656"/>
      <c r="Z198" s="656"/>
      <c r="AA198" s="656"/>
      <c r="AB198" s="656"/>
    </row>
    <row r="199">
      <c r="A199" s="159"/>
      <c r="B199" s="610" t="s">
        <v>892</v>
      </c>
      <c r="C199" s="300" t="s">
        <v>1686</v>
      </c>
      <c r="D199" s="300" t="s">
        <v>1687</v>
      </c>
      <c r="E199" s="159"/>
      <c r="F199" s="159"/>
      <c r="G199" s="159"/>
      <c r="H199" s="159"/>
      <c r="I199" s="653" t="s">
        <v>907</v>
      </c>
      <c r="J199" s="654"/>
      <c r="K199" s="656"/>
      <c r="L199" s="159"/>
      <c r="M199" s="159"/>
      <c r="N199" s="159"/>
      <c r="O199" s="159"/>
      <c r="P199" s="159"/>
      <c r="Q199" s="159"/>
      <c r="R199" s="159"/>
      <c r="S199" s="636"/>
      <c r="T199" s="656"/>
      <c r="U199" s="658"/>
      <c r="V199" s="159"/>
      <c r="W199" s="159"/>
      <c r="X199" s="636"/>
      <c r="Y199" s="656"/>
      <c r="Z199" s="656"/>
      <c r="AA199" s="656"/>
      <c r="AB199" s="656"/>
    </row>
    <row r="200">
      <c r="A200" s="159"/>
      <c r="B200" s="663" t="s">
        <v>1688</v>
      </c>
      <c r="C200" s="663" t="s">
        <v>1689</v>
      </c>
      <c r="D200" s="300" t="s">
        <v>900</v>
      </c>
      <c r="E200" s="159"/>
      <c r="F200" s="159"/>
      <c r="G200" s="159"/>
      <c r="H200" s="159"/>
      <c r="I200" s="653" t="s">
        <v>900</v>
      </c>
      <c r="J200" s="654"/>
      <c r="K200" s="656"/>
      <c r="L200" s="159"/>
      <c r="M200" s="159"/>
      <c r="N200" s="159"/>
      <c r="O200" s="159"/>
      <c r="P200" s="159"/>
      <c r="Q200" s="159"/>
      <c r="R200" s="159"/>
      <c r="S200" s="636"/>
      <c r="T200" s="656"/>
      <c r="U200" s="658"/>
      <c r="V200" s="159"/>
      <c r="W200" s="159"/>
      <c r="X200" s="636"/>
      <c r="Y200" s="656"/>
      <c r="Z200" s="656"/>
      <c r="AA200" s="656"/>
      <c r="AB200" s="656"/>
    </row>
    <row r="201">
      <c r="A201" s="159"/>
      <c r="B201" s="159"/>
      <c r="C201" s="159"/>
      <c r="D201" s="159"/>
      <c r="E201" s="159"/>
      <c r="F201" s="159"/>
      <c r="G201" s="159"/>
      <c r="H201" s="159"/>
      <c r="I201" s="636"/>
      <c r="J201" s="654"/>
      <c r="K201" s="656"/>
      <c r="L201" s="159"/>
      <c r="M201" s="159"/>
      <c r="N201" s="159"/>
      <c r="O201" s="159"/>
      <c r="P201" s="159"/>
      <c r="Q201" s="159"/>
      <c r="R201" s="159"/>
      <c r="S201" s="636"/>
      <c r="T201" s="656"/>
      <c r="U201" s="658"/>
      <c r="V201" s="159"/>
      <c r="W201" s="159"/>
      <c r="X201" s="636"/>
      <c r="Y201" s="656"/>
      <c r="Z201" s="656"/>
      <c r="AA201" s="656"/>
      <c r="AB201" s="656"/>
    </row>
    <row r="202">
      <c r="A202" s="159"/>
      <c r="B202" s="159"/>
      <c r="C202" s="159"/>
      <c r="D202" s="159"/>
      <c r="E202" s="159"/>
      <c r="F202" s="159"/>
      <c r="G202" s="159"/>
      <c r="H202" s="159"/>
      <c r="I202" s="636"/>
      <c r="J202" s="654"/>
      <c r="K202" s="656"/>
      <c r="L202" s="159"/>
      <c r="M202" s="159"/>
      <c r="N202" s="159"/>
      <c r="O202" s="159"/>
      <c r="P202" s="159"/>
      <c r="Q202" s="159"/>
      <c r="R202" s="159"/>
      <c r="S202" s="636"/>
      <c r="T202" s="656"/>
      <c r="U202" s="658"/>
      <c r="V202" s="159"/>
      <c r="W202" s="159"/>
      <c r="X202" s="636"/>
      <c r="Y202" s="656"/>
      <c r="Z202" s="656"/>
      <c r="AA202" s="656"/>
      <c r="AB202" s="656"/>
    </row>
    <row r="203">
      <c r="A203" s="159"/>
      <c r="B203" s="159"/>
      <c r="C203" s="159"/>
      <c r="D203" s="159"/>
      <c r="E203" s="159"/>
      <c r="F203" s="159"/>
      <c r="G203" s="159"/>
      <c r="H203" s="159"/>
      <c r="I203" s="636"/>
      <c r="J203" s="654"/>
      <c r="K203" s="656"/>
      <c r="L203" s="159"/>
      <c r="M203" s="159"/>
      <c r="N203" s="159"/>
      <c r="O203" s="159"/>
      <c r="P203" s="159"/>
      <c r="Q203" s="159"/>
      <c r="R203" s="159"/>
      <c r="S203" s="636"/>
      <c r="T203" s="656"/>
      <c r="U203" s="658"/>
      <c r="V203" s="159"/>
      <c r="W203" s="159"/>
      <c r="X203" s="636"/>
      <c r="Y203" s="656"/>
      <c r="Z203" s="656"/>
      <c r="AA203" s="656"/>
      <c r="AB203" s="656"/>
    </row>
    <row r="204">
      <c r="A204" s="159"/>
      <c r="B204" s="159"/>
      <c r="C204" s="159"/>
      <c r="D204" s="159"/>
      <c r="E204" s="159"/>
      <c r="F204" s="159"/>
      <c r="G204" s="159"/>
      <c r="H204" s="159"/>
      <c r="I204" s="636"/>
      <c r="J204" s="654"/>
      <c r="K204" s="656"/>
      <c r="L204" s="159"/>
      <c r="M204" s="159"/>
      <c r="N204" s="159"/>
      <c r="O204" s="159"/>
      <c r="P204" s="159"/>
      <c r="Q204" s="159"/>
      <c r="R204" s="159"/>
      <c r="S204" s="636"/>
      <c r="T204" s="656"/>
      <c r="U204" s="658"/>
      <c r="V204" s="159"/>
      <c r="W204" s="159"/>
      <c r="X204" s="636"/>
      <c r="Y204" s="656"/>
      <c r="Z204" s="656"/>
      <c r="AA204" s="656"/>
      <c r="AB204" s="656"/>
    </row>
    <row r="205">
      <c r="A205" s="159"/>
      <c r="B205" s="159"/>
      <c r="C205" s="159"/>
      <c r="D205" s="159"/>
      <c r="E205" s="159"/>
      <c r="F205" s="159"/>
      <c r="G205" s="159"/>
      <c r="H205" s="159"/>
      <c r="I205" s="636"/>
      <c r="J205" s="654"/>
      <c r="K205" s="656"/>
      <c r="L205" s="159"/>
      <c r="M205" s="159"/>
      <c r="N205" s="159"/>
      <c r="O205" s="159"/>
      <c r="P205" s="159"/>
      <c r="Q205" s="159"/>
      <c r="R205" s="159"/>
      <c r="S205" s="636"/>
      <c r="T205" s="656"/>
      <c r="U205" s="658"/>
      <c r="V205" s="159"/>
      <c r="W205" s="159"/>
      <c r="X205" s="636"/>
      <c r="Y205" s="656"/>
      <c r="Z205" s="656"/>
      <c r="AA205" s="656"/>
      <c r="AB205" s="656"/>
    </row>
    <row r="206">
      <c r="A206" s="159"/>
      <c r="B206" s="159"/>
      <c r="C206" s="159"/>
      <c r="D206" s="159"/>
      <c r="E206" s="159"/>
      <c r="F206" s="159"/>
      <c r="G206" s="159"/>
      <c r="H206" s="159"/>
      <c r="I206" s="636"/>
      <c r="J206" s="654"/>
      <c r="K206" s="656"/>
      <c r="L206" s="159"/>
      <c r="M206" s="159"/>
      <c r="N206" s="159"/>
      <c r="O206" s="159"/>
      <c r="P206" s="159"/>
      <c r="Q206" s="159"/>
      <c r="R206" s="159"/>
      <c r="S206" s="636"/>
      <c r="T206" s="656"/>
      <c r="U206" s="658"/>
      <c r="V206" s="159"/>
      <c r="W206" s="159"/>
      <c r="X206" s="636"/>
      <c r="Y206" s="656"/>
      <c r="Z206" s="656"/>
      <c r="AA206" s="656"/>
      <c r="AB206" s="656"/>
    </row>
    <row r="207">
      <c r="A207" s="159"/>
      <c r="B207" s="159"/>
      <c r="C207" s="159"/>
      <c r="D207" s="159"/>
      <c r="E207" s="159"/>
      <c r="F207" s="159"/>
      <c r="G207" s="159"/>
      <c r="H207" s="159"/>
      <c r="I207" s="636"/>
      <c r="J207" s="654"/>
      <c r="K207" s="656"/>
      <c r="L207" s="159"/>
      <c r="M207" s="159"/>
      <c r="N207" s="159"/>
      <c r="O207" s="159"/>
      <c r="P207" s="159"/>
      <c r="Q207" s="159"/>
      <c r="R207" s="159"/>
      <c r="S207" s="636"/>
      <c r="T207" s="656"/>
      <c r="U207" s="658"/>
      <c r="V207" s="159"/>
      <c r="W207" s="159"/>
      <c r="X207" s="636"/>
      <c r="Y207" s="656"/>
      <c r="Z207" s="656"/>
      <c r="AA207" s="656"/>
      <c r="AB207" s="656"/>
    </row>
    <row r="208">
      <c r="A208" s="159"/>
      <c r="B208" s="159"/>
      <c r="C208" s="159"/>
      <c r="D208" s="159"/>
      <c r="E208" s="159"/>
      <c r="F208" s="159"/>
      <c r="G208" s="159"/>
      <c r="H208" s="159"/>
      <c r="I208" s="636"/>
      <c r="J208" s="654"/>
      <c r="K208" s="656"/>
      <c r="L208" s="159"/>
      <c r="M208" s="159"/>
      <c r="N208" s="159"/>
      <c r="O208" s="159"/>
      <c r="P208" s="159"/>
      <c r="Q208" s="159"/>
      <c r="R208" s="159"/>
      <c r="S208" s="636"/>
      <c r="T208" s="656"/>
      <c r="U208" s="658"/>
      <c r="V208" s="159"/>
      <c r="W208" s="159"/>
      <c r="X208" s="636"/>
      <c r="Y208" s="656"/>
      <c r="Z208" s="656"/>
      <c r="AA208" s="656"/>
      <c r="AB208" s="656"/>
    </row>
    <row r="209">
      <c r="A209" s="159"/>
      <c r="B209" s="159"/>
      <c r="C209" s="159"/>
      <c r="D209" s="159"/>
      <c r="E209" s="159"/>
      <c r="F209" s="159"/>
      <c r="G209" s="159"/>
      <c r="H209" s="159"/>
      <c r="I209" s="636"/>
      <c r="J209" s="654"/>
      <c r="K209" s="656"/>
      <c r="L209" s="159"/>
      <c r="M209" s="159"/>
      <c r="N209" s="159"/>
      <c r="O209" s="159"/>
      <c r="P209" s="159"/>
      <c r="Q209" s="159"/>
      <c r="R209" s="159"/>
      <c r="S209" s="636"/>
      <c r="T209" s="656"/>
      <c r="U209" s="658"/>
      <c r="V209" s="159"/>
      <c r="W209" s="159"/>
      <c r="X209" s="636"/>
      <c r="Y209" s="656"/>
      <c r="Z209" s="656"/>
      <c r="AA209" s="656"/>
      <c r="AB209" s="656"/>
    </row>
    <row r="210">
      <c r="A210" s="159"/>
      <c r="B210" s="159"/>
      <c r="C210" s="159"/>
      <c r="D210" s="159"/>
      <c r="E210" s="159"/>
      <c r="F210" s="159"/>
      <c r="G210" s="159"/>
      <c r="H210" s="159"/>
      <c r="I210" s="636"/>
      <c r="J210" s="654"/>
      <c r="K210" s="656"/>
      <c r="L210" s="159"/>
      <c r="M210" s="159"/>
      <c r="N210" s="159"/>
      <c r="O210" s="159"/>
      <c r="P210" s="159"/>
      <c r="Q210" s="159"/>
      <c r="R210" s="159"/>
      <c r="S210" s="636"/>
      <c r="T210" s="656"/>
      <c r="U210" s="658"/>
      <c r="V210" s="159"/>
      <c r="W210" s="159"/>
      <c r="X210" s="636"/>
      <c r="Y210" s="656"/>
      <c r="Z210" s="656"/>
      <c r="AA210" s="656"/>
      <c r="AB210" s="656"/>
    </row>
    <row r="211">
      <c r="A211" s="159"/>
      <c r="B211" s="159"/>
      <c r="C211" s="159"/>
      <c r="D211" s="159"/>
      <c r="E211" s="159"/>
      <c r="F211" s="159"/>
      <c r="G211" s="159"/>
      <c r="H211" s="159"/>
      <c r="I211" s="636"/>
      <c r="J211" s="654"/>
      <c r="K211" s="656"/>
      <c r="L211" s="159"/>
      <c r="M211" s="159"/>
      <c r="N211" s="159"/>
      <c r="O211" s="159"/>
      <c r="P211" s="159"/>
      <c r="Q211" s="159"/>
      <c r="R211" s="159"/>
      <c r="S211" s="636"/>
      <c r="T211" s="656"/>
      <c r="U211" s="658"/>
      <c r="V211" s="159"/>
      <c r="W211" s="159"/>
      <c r="X211" s="636"/>
      <c r="Y211" s="656"/>
      <c r="Z211" s="656"/>
      <c r="AA211" s="656"/>
      <c r="AB211" s="656"/>
    </row>
    <row r="212">
      <c r="A212" s="159"/>
      <c r="B212" s="159"/>
      <c r="C212" s="159"/>
      <c r="D212" s="159"/>
      <c r="E212" s="159"/>
      <c r="F212" s="159"/>
      <c r="G212" s="159"/>
      <c r="H212" s="159"/>
      <c r="I212" s="636"/>
      <c r="J212" s="654"/>
      <c r="K212" s="656"/>
      <c r="L212" s="159"/>
      <c r="M212" s="159"/>
      <c r="N212" s="159"/>
      <c r="O212" s="159"/>
      <c r="P212" s="159"/>
      <c r="Q212" s="159"/>
      <c r="R212" s="159"/>
      <c r="S212" s="636"/>
      <c r="T212" s="656"/>
      <c r="U212" s="658"/>
      <c r="V212" s="159"/>
      <c r="W212" s="159"/>
      <c r="X212" s="636"/>
      <c r="Y212" s="656"/>
      <c r="Z212" s="656"/>
      <c r="AA212" s="656"/>
      <c r="AB212" s="656"/>
    </row>
    <row r="213">
      <c r="A213" s="159"/>
      <c r="B213" s="159"/>
      <c r="C213" s="159"/>
      <c r="D213" s="159"/>
      <c r="E213" s="159"/>
      <c r="F213" s="159"/>
      <c r="G213" s="159"/>
      <c r="H213" s="159"/>
      <c r="I213" s="636"/>
      <c r="J213" s="654"/>
      <c r="K213" s="656"/>
      <c r="L213" s="159"/>
      <c r="M213" s="159"/>
      <c r="N213" s="159"/>
      <c r="O213" s="159"/>
      <c r="P213" s="159"/>
      <c r="Q213" s="159"/>
      <c r="R213" s="159"/>
      <c r="S213" s="636"/>
      <c r="T213" s="656"/>
      <c r="U213" s="658"/>
      <c r="V213" s="159"/>
      <c r="W213" s="159"/>
      <c r="X213" s="636"/>
      <c r="Y213" s="656"/>
      <c r="Z213" s="656"/>
      <c r="AA213" s="656"/>
      <c r="AB213" s="656"/>
    </row>
    <row r="214">
      <c r="A214" s="159"/>
      <c r="B214" s="159"/>
      <c r="C214" s="159"/>
      <c r="D214" s="159"/>
      <c r="E214" s="159"/>
      <c r="F214" s="159"/>
      <c r="G214" s="159"/>
      <c r="H214" s="159"/>
      <c r="I214" s="636"/>
      <c r="J214" s="654"/>
      <c r="K214" s="656"/>
      <c r="L214" s="159"/>
      <c r="M214" s="159"/>
      <c r="N214" s="159"/>
      <c r="O214" s="159"/>
      <c r="P214" s="159"/>
      <c r="Q214" s="159"/>
      <c r="R214" s="159"/>
      <c r="S214" s="636"/>
      <c r="T214" s="656"/>
      <c r="U214" s="658"/>
      <c r="V214" s="159"/>
      <c r="W214" s="159"/>
      <c r="X214" s="636"/>
      <c r="Y214" s="656"/>
      <c r="Z214" s="656"/>
      <c r="AA214" s="656"/>
      <c r="AB214" s="656"/>
    </row>
    <row r="215">
      <c r="A215" s="159"/>
      <c r="B215" s="159"/>
      <c r="C215" s="159"/>
      <c r="D215" s="159"/>
      <c r="E215" s="159"/>
      <c r="F215" s="159"/>
      <c r="G215" s="159"/>
      <c r="H215" s="159"/>
      <c r="I215" s="636"/>
      <c r="J215" s="654"/>
      <c r="K215" s="656"/>
      <c r="L215" s="159"/>
      <c r="M215" s="159"/>
      <c r="N215" s="159"/>
      <c r="O215" s="159"/>
      <c r="P215" s="159"/>
      <c r="Q215" s="159"/>
      <c r="R215" s="159"/>
      <c r="S215" s="636"/>
      <c r="T215" s="656"/>
      <c r="U215" s="658"/>
      <c r="V215" s="159"/>
      <c r="W215" s="159"/>
      <c r="X215" s="636"/>
      <c r="Y215" s="656"/>
      <c r="Z215" s="656"/>
      <c r="AA215" s="656"/>
      <c r="AB215" s="656"/>
    </row>
    <row r="216">
      <c r="A216" s="159"/>
      <c r="B216" s="159"/>
      <c r="C216" s="159"/>
      <c r="D216" s="159"/>
      <c r="E216" s="159"/>
      <c r="F216" s="159"/>
      <c r="G216" s="159"/>
      <c r="H216" s="159"/>
      <c r="I216" s="636"/>
      <c r="J216" s="654"/>
      <c r="K216" s="656"/>
      <c r="L216" s="159"/>
      <c r="M216" s="159"/>
      <c r="N216" s="159"/>
      <c r="O216" s="159"/>
      <c r="P216" s="159"/>
      <c r="Q216" s="159"/>
      <c r="R216" s="159"/>
      <c r="S216" s="636"/>
      <c r="T216" s="656"/>
      <c r="U216" s="658"/>
      <c r="V216" s="159"/>
      <c r="W216" s="159"/>
      <c r="X216" s="636"/>
      <c r="Y216" s="656"/>
      <c r="Z216" s="656"/>
      <c r="AA216" s="656"/>
      <c r="AB216" s="656"/>
    </row>
    <row r="217">
      <c r="A217" s="159"/>
      <c r="B217" s="159"/>
      <c r="C217" s="159"/>
      <c r="D217" s="159"/>
      <c r="E217" s="159"/>
      <c r="F217" s="159"/>
      <c r="G217" s="159"/>
      <c r="H217" s="159"/>
      <c r="I217" s="636"/>
      <c r="J217" s="654"/>
      <c r="K217" s="656"/>
      <c r="L217" s="159"/>
      <c r="M217" s="159"/>
      <c r="N217" s="159"/>
      <c r="O217" s="159"/>
      <c r="P217" s="159"/>
      <c r="Q217" s="159"/>
      <c r="R217" s="159"/>
      <c r="S217" s="636"/>
      <c r="T217" s="656"/>
      <c r="U217" s="658"/>
      <c r="V217" s="159"/>
      <c r="W217" s="159"/>
      <c r="X217" s="636"/>
      <c r="Y217" s="656"/>
      <c r="Z217" s="656"/>
      <c r="AA217" s="656"/>
      <c r="AB217" s="656"/>
    </row>
    <row r="218">
      <c r="A218" s="159"/>
      <c r="B218" s="159"/>
      <c r="C218" s="159"/>
      <c r="D218" s="159"/>
      <c r="E218" s="159"/>
      <c r="F218" s="159"/>
      <c r="G218" s="159"/>
      <c r="H218" s="159"/>
      <c r="I218" s="636"/>
      <c r="J218" s="654"/>
      <c r="K218" s="656"/>
      <c r="L218" s="159"/>
      <c r="M218" s="159"/>
      <c r="N218" s="159"/>
      <c r="O218" s="159"/>
      <c r="P218" s="159"/>
      <c r="Q218" s="159"/>
      <c r="R218" s="159"/>
      <c r="S218" s="636"/>
      <c r="T218" s="656"/>
      <c r="U218" s="658"/>
      <c r="V218" s="159"/>
      <c r="W218" s="159"/>
      <c r="X218" s="636"/>
      <c r="Y218" s="656"/>
      <c r="Z218" s="656"/>
      <c r="AA218" s="656"/>
      <c r="AB218" s="656"/>
    </row>
    <row r="219">
      <c r="A219" s="159"/>
      <c r="B219" s="159"/>
      <c r="C219" s="159"/>
      <c r="D219" s="159"/>
      <c r="E219" s="159"/>
      <c r="F219" s="159"/>
      <c r="G219" s="159"/>
      <c r="H219" s="159"/>
      <c r="I219" s="636"/>
      <c r="J219" s="654"/>
      <c r="K219" s="656"/>
      <c r="L219" s="159"/>
      <c r="M219" s="159"/>
      <c r="N219" s="159"/>
      <c r="O219" s="159"/>
      <c r="P219" s="159"/>
      <c r="Q219" s="159"/>
      <c r="R219" s="159"/>
      <c r="S219" s="636"/>
      <c r="T219" s="656"/>
      <c r="U219" s="658"/>
      <c r="V219" s="159"/>
      <c r="W219" s="159"/>
      <c r="X219" s="636"/>
      <c r="Y219" s="656"/>
      <c r="Z219" s="656"/>
      <c r="AA219" s="656"/>
      <c r="AB219" s="656"/>
    </row>
    <row r="220">
      <c r="A220" s="159"/>
      <c r="B220" s="159"/>
      <c r="C220" s="159"/>
      <c r="D220" s="159"/>
      <c r="E220" s="159"/>
      <c r="F220" s="159"/>
      <c r="G220" s="159"/>
      <c r="H220" s="159"/>
      <c r="I220" s="636"/>
      <c r="J220" s="654"/>
      <c r="K220" s="656"/>
      <c r="L220" s="159"/>
      <c r="M220" s="159"/>
      <c r="N220" s="159"/>
      <c r="O220" s="159"/>
      <c r="P220" s="159"/>
      <c r="Q220" s="159"/>
      <c r="R220" s="159"/>
      <c r="S220" s="636"/>
      <c r="T220" s="656"/>
      <c r="U220" s="658"/>
      <c r="V220" s="159"/>
      <c r="W220" s="159"/>
      <c r="X220" s="636"/>
      <c r="Y220" s="656"/>
      <c r="Z220" s="656"/>
      <c r="AA220" s="656"/>
      <c r="AB220" s="656"/>
    </row>
    <row r="221">
      <c r="A221" s="159"/>
      <c r="B221" s="159"/>
      <c r="C221" s="159"/>
      <c r="D221" s="159"/>
      <c r="E221" s="159"/>
      <c r="F221" s="159"/>
      <c r="G221" s="159"/>
      <c r="H221" s="159"/>
      <c r="I221" s="636"/>
      <c r="J221" s="654"/>
      <c r="K221" s="656"/>
      <c r="L221" s="159"/>
      <c r="M221" s="159"/>
      <c r="N221" s="159"/>
      <c r="O221" s="159"/>
      <c r="P221" s="159"/>
      <c r="Q221" s="159"/>
      <c r="R221" s="159"/>
      <c r="S221" s="636"/>
      <c r="T221" s="656"/>
      <c r="U221" s="658"/>
      <c r="V221" s="159"/>
      <c r="W221" s="159"/>
      <c r="X221" s="636"/>
      <c r="Y221" s="656"/>
      <c r="Z221" s="656"/>
      <c r="AA221" s="656"/>
      <c r="AB221" s="656"/>
    </row>
    <row r="222">
      <c r="A222" s="159"/>
      <c r="B222" s="159"/>
      <c r="C222" s="159"/>
      <c r="D222" s="159"/>
      <c r="E222" s="159"/>
      <c r="F222" s="159"/>
      <c r="G222" s="159"/>
      <c r="H222" s="159"/>
      <c r="I222" s="636"/>
      <c r="J222" s="654"/>
      <c r="K222" s="656"/>
      <c r="L222" s="159"/>
      <c r="M222" s="159"/>
      <c r="N222" s="159"/>
      <c r="O222" s="159"/>
      <c r="P222" s="159"/>
      <c r="Q222" s="159"/>
      <c r="R222" s="159"/>
      <c r="S222" s="636"/>
      <c r="T222" s="656"/>
      <c r="U222" s="658"/>
      <c r="V222" s="159"/>
      <c r="W222" s="159"/>
      <c r="X222" s="636"/>
      <c r="Y222" s="656"/>
      <c r="Z222" s="656"/>
      <c r="AA222" s="656"/>
      <c r="AB222" s="656"/>
    </row>
    <row r="223">
      <c r="A223" s="159"/>
      <c r="B223" s="159"/>
      <c r="C223" s="159"/>
      <c r="D223" s="159"/>
      <c r="E223" s="159"/>
      <c r="F223" s="159"/>
      <c r="G223" s="159"/>
      <c r="H223" s="159"/>
      <c r="I223" s="636"/>
      <c r="J223" s="654"/>
      <c r="K223" s="656"/>
      <c r="L223" s="159"/>
      <c r="M223" s="159"/>
      <c r="N223" s="159"/>
      <c r="O223" s="159"/>
      <c r="P223" s="159"/>
      <c r="Q223" s="159"/>
      <c r="R223" s="159"/>
      <c r="S223" s="636"/>
      <c r="T223" s="656"/>
      <c r="U223" s="658"/>
      <c r="V223" s="159"/>
      <c r="W223" s="159"/>
      <c r="X223" s="636"/>
      <c r="Y223" s="656"/>
      <c r="Z223" s="656"/>
      <c r="AA223" s="656"/>
      <c r="AB223" s="656"/>
    </row>
    <row r="224">
      <c r="A224" s="159"/>
      <c r="B224" s="159"/>
      <c r="C224" s="159"/>
      <c r="D224" s="159"/>
      <c r="E224" s="159"/>
      <c r="F224" s="159"/>
      <c r="G224" s="159"/>
      <c r="H224" s="159"/>
      <c r="I224" s="636"/>
      <c r="J224" s="654"/>
      <c r="K224" s="656"/>
      <c r="L224" s="159"/>
      <c r="M224" s="159"/>
      <c r="N224" s="159"/>
      <c r="O224" s="159"/>
      <c r="P224" s="159"/>
      <c r="Q224" s="159"/>
      <c r="R224" s="159"/>
      <c r="S224" s="636"/>
      <c r="T224" s="656"/>
      <c r="U224" s="658"/>
      <c r="V224" s="159"/>
      <c r="W224" s="159"/>
      <c r="X224" s="636"/>
      <c r="Y224" s="656"/>
      <c r="Z224" s="656"/>
      <c r="AA224" s="656"/>
      <c r="AB224" s="656"/>
    </row>
    <row r="225">
      <c r="A225" s="159"/>
      <c r="B225" s="159"/>
      <c r="C225" s="159"/>
      <c r="D225" s="159"/>
      <c r="E225" s="159"/>
      <c r="F225" s="159"/>
      <c r="G225" s="159"/>
      <c r="H225" s="159"/>
      <c r="I225" s="636"/>
      <c r="J225" s="654"/>
      <c r="K225" s="656"/>
      <c r="L225" s="159"/>
      <c r="M225" s="159"/>
      <c r="N225" s="159"/>
      <c r="O225" s="159"/>
      <c r="P225" s="159"/>
      <c r="Q225" s="159"/>
      <c r="R225" s="159"/>
      <c r="S225" s="636"/>
      <c r="T225" s="656"/>
      <c r="U225" s="658"/>
      <c r="V225" s="159"/>
      <c r="W225" s="159"/>
      <c r="X225" s="636"/>
      <c r="Y225" s="656"/>
      <c r="Z225" s="656"/>
      <c r="AA225" s="656"/>
      <c r="AB225" s="656"/>
    </row>
    <row r="226">
      <c r="A226" s="159"/>
      <c r="B226" s="159"/>
      <c r="C226" s="159"/>
      <c r="D226" s="159"/>
      <c r="E226" s="159"/>
      <c r="F226" s="159"/>
      <c r="G226" s="159"/>
      <c r="H226" s="159"/>
      <c r="I226" s="636"/>
      <c r="J226" s="654"/>
      <c r="K226" s="656"/>
      <c r="L226" s="159"/>
      <c r="M226" s="159"/>
      <c r="N226" s="159"/>
      <c r="O226" s="159"/>
      <c r="P226" s="159"/>
      <c r="Q226" s="159"/>
      <c r="R226" s="159"/>
      <c r="S226" s="636"/>
      <c r="T226" s="656"/>
      <c r="U226" s="658"/>
      <c r="V226" s="159"/>
      <c r="W226" s="159"/>
      <c r="X226" s="636"/>
      <c r="Y226" s="656"/>
      <c r="Z226" s="656"/>
      <c r="AA226" s="656"/>
      <c r="AB226" s="656"/>
    </row>
    <row r="227">
      <c r="A227" s="159"/>
      <c r="B227" s="159"/>
      <c r="C227" s="159"/>
      <c r="D227" s="159"/>
      <c r="E227" s="159"/>
      <c r="F227" s="159"/>
      <c r="G227" s="159"/>
      <c r="H227" s="159"/>
      <c r="I227" s="636"/>
      <c r="J227" s="654"/>
      <c r="K227" s="656"/>
      <c r="L227" s="159"/>
      <c r="M227" s="159"/>
      <c r="N227" s="159"/>
      <c r="O227" s="159"/>
      <c r="P227" s="159"/>
      <c r="Q227" s="159"/>
      <c r="R227" s="159"/>
      <c r="S227" s="636"/>
      <c r="T227" s="656"/>
      <c r="U227" s="658"/>
      <c r="V227" s="159"/>
      <c r="W227" s="159"/>
      <c r="X227" s="636"/>
      <c r="Y227" s="656"/>
      <c r="Z227" s="656"/>
      <c r="AA227" s="656"/>
      <c r="AB227" s="656"/>
    </row>
    <row r="228">
      <c r="A228" s="159"/>
      <c r="B228" s="159"/>
      <c r="C228" s="159"/>
      <c r="D228" s="159"/>
      <c r="E228" s="159"/>
      <c r="F228" s="159"/>
      <c r="G228" s="159"/>
      <c r="H228" s="159"/>
      <c r="I228" s="636"/>
      <c r="J228" s="654"/>
      <c r="K228" s="656"/>
      <c r="L228" s="159"/>
      <c r="M228" s="159"/>
      <c r="N228" s="159"/>
      <c r="O228" s="159"/>
      <c r="P228" s="159"/>
      <c r="Q228" s="159"/>
      <c r="R228" s="159"/>
      <c r="S228" s="636"/>
      <c r="T228" s="656"/>
      <c r="U228" s="658"/>
      <c r="V228" s="159"/>
      <c r="W228" s="159"/>
      <c r="X228" s="636"/>
      <c r="Y228" s="656"/>
      <c r="Z228" s="656"/>
      <c r="AA228" s="656"/>
      <c r="AB228" s="656"/>
    </row>
    <row r="229">
      <c r="A229" s="159"/>
      <c r="B229" s="159"/>
      <c r="C229" s="159"/>
      <c r="D229" s="159"/>
      <c r="E229" s="159"/>
      <c r="F229" s="159"/>
      <c r="G229" s="159"/>
      <c r="H229" s="159"/>
      <c r="I229" s="636"/>
      <c r="J229" s="654"/>
      <c r="K229" s="656"/>
      <c r="L229" s="159"/>
      <c r="M229" s="159"/>
      <c r="N229" s="159"/>
      <c r="O229" s="159"/>
      <c r="P229" s="159"/>
      <c r="Q229" s="159"/>
      <c r="R229" s="159"/>
      <c r="S229" s="636"/>
      <c r="T229" s="656"/>
      <c r="U229" s="658"/>
      <c r="V229" s="159"/>
      <c r="W229" s="159"/>
      <c r="X229" s="636"/>
      <c r="Y229" s="656"/>
      <c r="Z229" s="656"/>
      <c r="AA229" s="656"/>
      <c r="AB229" s="656"/>
    </row>
    <row r="230">
      <c r="A230" s="159"/>
      <c r="B230" s="159"/>
      <c r="C230" s="159"/>
      <c r="D230" s="159"/>
      <c r="E230" s="159"/>
      <c r="F230" s="159"/>
      <c r="G230" s="159"/>
      <c r="H230" s="159"/>
      <c r="I230" s="636"/>
      <c r="J230" s="654"/>
      <c r="K230" s="656"/>
      <c r="L230" s="159"/>
      <c r="M230" s="159"/>
      <c r="N230" s="159"/>
      <c r="O230" s="159"/>
      <c r="P230" s="159"/>
      <c r="Q230" s="159"/>
      <c r="R230" s="159"/>
      <c r="S230" s="636"/>
      <c r="T230" s="656"/>
      <c r="U230" s="658"/>
      <c r="V230" s="159"/>
      <c r="W230" s="159"/>
      <c r="X230" s="636"/>
      <c r="Y230" s="656"/>
      <c r="Z230" s="656"/>
      <c r="AA230" s="656"/>
      <c r="AB230" s="656"/>
    </row>
    <row r="231">
      <c r="A231" s="159"/>
      <c r="B231" s="159"/>
      <c r="C231" s="159"/>
      <c r="D231" s="159"/>
      <c r="E231" s="159"/>
      <c r="F231" s="159"/>
      <c r="G231" s="159"/>
      <c r="H231" s="159"/>
      <c r="I231" s="636"/>
      <c r="J231" s="654"/>
      <c r="K231" s="656"/>
      <c r="L231" s="159"/>
      <c r="M231" s="159"/>
      <c r="N231" s="159"/>
      <c r="O231" s="159"/>
      <c r="P231" s="159"/>
      <c r="Q231" s="159"/>
      <c r="R231" s="159"/>
      <c r="S231" s="636"/>
      <c r="T231" s="656"/>
      <c r="U231" s="658"/>
      <c r="V231" s="159"/>
      <c r="W231" s="159"/>
      <c r="X231" s="636"/>
      <c r="Y231" s="656"/>
      <c r="Z231" s="656"/>
      <c r="AA231" s="656"/>
      <c r="AB231" s="656"/>
    </row>
    <row r="232">
      <c r="A232" s="159"/>
      <c r="B232" s="159"/>
      <c r="C232" s="159"/>
      <c r="D232" s="159"/>
      <c r="E232" s="159"/>
      <c r="F232" s="159"/>
      <c r="G232" s="159"/>
      <c r="H232" s="159"/>
      <c r="I232" s="636"/>
      <c r="J232" s="654"/>
      <c r="K232" s="656"/>
      <c r="L232" s="159"/>
      <c r="M232" s="159"/>
      <c r="N232" s="159"/>
      <c r="O232" s="159"/>
      <c r="P232" s="159"/>
      <c r="Q232" s="159"/>
      <c r="R232" s="159"/>
      <c r="S232" s="636"/>
      <c r="T232" s="656"/>
      <c r="U232" s="658"/>
      <c r="V232" s="159"/>
      <c r="W232" s="159"/>
      <c r="X232" s="636"/>
      <c r="Y232" s="656"/>
      <c r="Z232" s="656"/>
      <c r="AA232" s="656"/>
      <c r="AB232" s="656"/>
    </row>
    <row r="233">
      <c r="A233" s="159"/>
      <c r="B233" s="159"/>
      <c r="C233" s="159"/>
      <c r="D233" s="159"/>
      <c r="E233" s="159"/>
      <c r="F233" s="159"/>
      <c r="G233" s="159"/>
      <c r="H233" s="159"/>
      <c r="I233" s="636"/>
      <c r="J233" s="654"/>
      <c r="K233" s="656"/>
      <c r="L233" s="159"/>
      <c r="M233" s="159"/>
      <c r="N233" s="159"/>
      <c r="O233" s="159"/>
      <c r="P233" s="159"/>
      <c r="Q233" s="159"/>
      <c r="R233" s="159"/>
      <c r="S233" s="636"/>
      <c r="T233" s="656"/>
      <c r="U233" s="658"/>
      <c r="V233" s="159"/>
      <c r="W233" s="159"/>
      <c r="X233" s="636"/>
      <c r="Y233" s="656"/>
      <c r="Z233" s="656"/>
      <c r="AA233" s="656"/>
      <c r="AB233" s="656"/>
    </row>
    <row r="234">
      <c r="A234" s="159"/>
      <c r="B234" s="159"/>
      <c r="C234" s="159"/>
      <c r="D234" s="159"/>
      <c r="E234" s="159"/>
      <c r="F234" s="159"/>
      <c r="G234" s="159"/>
      <c r="H234" s="159"/>
      <c r="I234" s="636"/>
      <c r="J234" s="654"/>
      <c r="K234" s="656"/>
      <c r="L234" s="159"/>
      <c r="M234" s="159"/>
      <c r="N234" s="159"/>
      <c r="O234" s="159"/>
      <c r="P234" s="159"/>
      <c r="Q234" s="159"/>
      <c r="R234" s="159"/>
      <c r="S234" s="636"/>
      <c r="T234" s="656"/>
      <c r="U234" s="658"/>
      <c r="V234" s="159"/>
      <c r="W234" s="159"/>
      <c r="X234" s="636"/>
      <c r="Y234" s="656"/>
      <c r="Z234" s="656"/>
      <c r="AA234" s="656"/>
      <c r="AB234" s="656"/>
    </row>
    <row r="235">
      <c r="A235" s="159"/>
      <c r="B235" s="159"/>
      <c r="C235" s="159"/>
      <c r="D235" s="159"/>
      <c r="E235" s="159"/>
      <c r="F235" s="159"/>
      <c r="G235" s="159"/>
      <c r="H235" s="159"/>
      <c r="I235" s="636"/>
      <c r="J235" s="654"/>
      <c r="K235" s="656"/>
      <c r="L235" s="159"/>
      <c r="M235" s="159"/>
      <c r="N235" s="159"/>
      <c r="O235" s="159"/>
      <c r="P235" s="159"/>
      <c r="Q235" s="159"/>
      <c r="R235" s="159"/>
      <c r="S235" s="636"/>
      <c r="T235" s="656"/>
      <c r="U235" s="658"/>
      <c r="V235" s="159"/>
      <c r="W235" s="159"/>
      <c r="X235" s="636"/>
      <c r="Y235" s="656"/>
      <c r="Z235" s="656"/>
      <c r="AA235" s="656"/>
      <c r="AB235" s="656"/>
    </row>
    <row r="236">
      <c r="A236" s="159"/>
      <c r="B236" s="159"/>
      <c r="C236" s="159"/>
      <c r="D236" s="159"/>
      <c r="E236" s="159"/>
      <c r="F236" s="159"/>
      <c r="G236" s="159"/>
      <c r="H236" s="159"/>
      <c r="I236" s="636"/>
      <c r="J236" s="654"/>
      <c r="K236" s="656"/>
      <c r="L236" s="159"/>
      <c r="M236" s="159"/>
      <c r="N236" s="159"/>
      <c r="O236" s="159"/>
      <c r="P236" s="159"/>
      <c r="Q236" s="159"/>
      <c r="R236" s="159"/>
      <c r="S236" s="636"/>
      <c r="T236" s="656"/>
      <c r="U236" s="658"/>
      <c r="V236" s="159"/>
      <c r="W236" s="159"/>
      <c r="X236" s="636"/>
      <c r="Y236" s="656"/>
      <c r="Z236" s="656"/>
      <c r="AA236" s="656"/>
      <c r="AB236" s="656"/>
    </row>
    <row r="237">
      <c r="A237" s="159"/>
      <c r="B237" s="159"/>
      <c r="C237" s="159"/>
      <c r="D237" s="159"/>
      <c r="E237" s="159"/>
      <c r="F237" s="159"/>
      <c r="G237" s="159"/>
      <c r="H237" s="159"/>
      <c r="I237" s="636"/>
      <c r="J237" s="654"/>
      <c r="K237" s="656"/>
      <c r="L237" s="159"/>
      <c r="M237" s="159"/>
      <c r="N237" s="159"/>
      <c r="O237" s="159"/>
      <c r="P237" s="159"/>
      <c r="Q237" s="159"/>
      <c r="R237" s="159"/>
      <c r="S237" s="636"/>
      <c r="T237" s="656"/>
      <c r="U237" s="658"/>
      <c r="V237" s="159"/>
      <c r="W237" s="159"/>
      <c r="X237" s="636"/>
      <c r="Y237" s="656"/>
      <c r="Z237" s="656"/>
      <c r="AA237" s="656"/>
      <c r="AB237" s="656"/>
    </row>
    <row r="238">
      <c r="A238" s="159"/>
      <c r="B238" s="159"/>
      <c r="C238" s="159"/>
      <c r="D238" s="159"/>
      <c r="E238" s="159"/>
      <c r="F238" s="159"/>
      <c r="G238" s="159"/>
      <c r="H238" s="159"/>
      <c r="I238" s="636"/>
      <c r="J238" s="654"/>
      <c r="K238" s="656"/>
      <c r="L238" s="159"/>
      <c r="M238" s="159"/>
      <c r="N238" s="159"/>
      <c r="O238" s="159"/>
      <c r="P238" s="159"/>
      <c r="Q238" s="159"/>
      <c r="R238" s="159"/>
      <c r="S238" s="636"/>
      <c r="T238" s="656"/>
      <c r="U238" s="658"/>
      <c r="V238" s="159"/>
      <c r="W238" s="159"/>
      <c r="X238" s="636"/>
      <c r="Y238" s="656"/>
      <c r="Z238" s="656"/>
      <c r="AA238" s="656"/>
      <c r="AB238" s="656"/>
    </row>
    <row r="239">
      <c r="A239" s="159"/>
      <c r="B239" s="159"/>
      <c r="C239" s="159"/>
      <c r="D239" s="159"/>
      <c r="E239" s="159"/>
      <c r="F239" s="159"/>
      <c r="G239" s="159"/>
      <c r="H239" s="159"/>
      <c r="I239" s="636"/>
      <c r="J239" s="654"/>
      <c r="K239" s="656"/>
      <c r="L239" s="159"/>
      <c r="M239" s="159"/>
      <c r="N239" s="159"/>
      <c r="O239" s="159"/>
      <c r="P239" s="159"/>
      <c r="Q239" s="159"/>
      <c r="R239" s="159"/>
      <c r="S239" s="636"/>
      <c r="T239" s="656"/>
      <c r="U239" s="658"/>
      <c r="V239" s="159"/>
      <c r="W239" s="159"/>
      <c r="X239" s="636"/>
      <c r="Y239" s="656"/>
      <c r="Z239" s="656"/>
      <c r="AA239" s="656"/>
      <c r="AB239" s="656"/>
    </row>
    <row r="240">
      <c r="A240" s="159"/>
      <c r="B240" s="159"/>
      <c r="C240" s="159"/>
      <c r="D240" s="159"/>
      <c r="E240" s="159"/>
      <c r="F240" s="159"/>
      <c r="G240" s="159"/>
      <c r="H240" s="159"/>
      <c r="I240" s="636"/>
      <c r="J240" s="654"/>
      <c r="K240" s="656"/>
      <c r="L240" s="159"/>
      <c r="M240" s="159"/>
      <c r="N240" s="159"/>
      <c r="O240" s="159"/>
      <c r="P240" s="159"/>
      <c r="Q240" s="159"/>
      <c r="R240" s="159"/>
      <c r="S240" s="636"/>
      <c r="T240" s="656"/>
      <c r="U240" s="658"/>
      <c r="V240" s="159"/>
      <c r="W240" s="159"/>
      <c r="X240" s="636"/>
      <c r="Y240" s="656"/>
      <c r="Z240" s="656"/>
      <c r="AA240" s="656"/>
      <c r="AB240" s="656"/>
    </row>
    <row r="241">
      <c r="A241" s="159"/>
      <c r="B241" s="159"/>
      <c r="C241" s="159"/>
      <c r="D241" s="159"/>
      <c r="E241" s="159"/>
      <c r="F241" s="159"/>
      <c r="G241" s="159"/>
      <c r="H241" s="159"/>
      <c r="I241" s="636"/>
      <c r="J241" s="654"/>
      <c r="K241" s="656"/>
      <c r="L241" s="159"/>
      <c r="M241" s="159"/>
      <c r="N241" s="159"/>
      <c r="O241" s="159"/>
      <c r="P241" s="159"/>
      <c r="Q241" s="159"/>
      <c r="R241" s="159"/>
      <c r="S241" s="636"/>
      <c r="T241" s="656"/>
      <c r="U241" s="658"/>
      <c r="V241" s="159"/>
      <c r="W241" s="159"/>
      <c r="X241" s="636"/>
      <c r="Y241" s="656"/>
      <c r="Z241" s="656"/>
      <c r="AA241" s="656"/>
      <c r="AB241" s="656"/>
    </row>
    <row r="242">
      <c r="A242" s="159"/>
      <c r="B242" s="159"/>
      <c r="C242" s="159"/>
      <c r="D242" s="159"/>
      <c r="E242" s="159"/>
      <c r="F242" s="159"/>
      <c r="G242" s="159"/>
      <c r="H242" s="159"/>
      <c r="I242" s="636"/>
      <c r="J242" s="654"/>
      <c r="K242" s="656"/>
      <c r="L242" s="159"/>
      <c r="M242" s="159"/>
      <c r="N242" s="159"/>
      <c r="O242" s="159"/>
      <c r="P242" s="159"/>
      <c r="Q242" s="159"/>
      <c r="R242" s="159"/>
      <c r="S242" s="636"/>
      <c r="T242" s="656"/>
      <c r="U242" s="658"/>
      <c r="V242" s="159"/>
      <c r="W242" s="159"/>
      <c r="X242" s="636"/>
      <c r="Y242" s="656"/>
      <c r="Z242" s="656"/>
      <c r="AA242" s="656"/>
      <c r="AB242" s="656"/>
    </row>
    <row r="243">
      <c r="A243" s="159"/>
      <c r="B243" s="159"/>
      <c r="C243" s="159"/>
      <c r="D243" s="159"/>
      <c r="E243" s="159"/>
      <c r="F243" s="159"/>
      <c r="G243" s="159"/>
      <c r="H243" s="159"/>
      <c r="I243" s="636"/>
      <c r="J243" s="654"/>
      <c r="K243" s="656"/>
      <c r="L243" s="159"/>
      <c r="M243" s="159"/>
      <c r="N243" s="159"/>
      <c r="O243" s="159"/>
      <c r="P243" s="159"/>
      <c r="Q243" s="159"/>
      <c r="R243" s="159"/>
      <c r="S243" s="636"/>
      <c r="T243" s="656"/>
      <c r="U243" s="658"/>
      <c r="V243" s="159"/>
      <c r="W243" s="159"/>
      <c r="X243" s="636"/>
      <c r="Y243" s="656"/>
      <c r="Z243" s="656"/>
      <c r="AA243" s="656"/>
      <c r="AB243" s="656"/>
    </row>
    <row r="244">
      <c r="A244" s="159"/>
      <c r="B244" s="159"/>
      <c r="C244" s="159"/>
      <c r="D244" s="159"/>
      <c r="E244" s="159"/>
      <c r="F244" s="159"/>
      <c r="G244" s="159"/>
      <c r="H244" s="159"/>
      <c r="I244" s="636"/>
      <c r="J244" s="654"/>
      <c r="K244" s="656"/>
      <c r="L244" s="159"/>
      <c r="M244" s="159"/>
      <c r="N244" s="159"/>
      <c r="O244" s="159"/>
      <c r="P244" s="159"/>
      <c r="Q244" s="159"/>
      <c r="R244" s="159"/>
      <c r="S244" s="636"/>
      <c r="T244" s="656"/>
      <c r="U244" s="658"/>
      <c r="V244" s="159"/>
      <c r="W244" s="159"/>
      <c r="X244" s="636"/>
      <c r="Y244" s="656"/>
      <c r="Z244" s="656"/>
      <c r="AA244" s="656"/>
      <c r="AB244" s="656"/>
    </row>
    <row r="245">
      <c r="A245" s="159"/>
      <c r="B245" s="159"/>
      <c r="C245" s="159"/>
      <c r="D245" s="159"/>
      <c r="E245" s="159"/>
      <c r="F245" s="159"/>
      <c r="G245" s="159"/>
      <c r="H245" s="159"/>
      <c r="I245" s="636"/>
      <c r="J245" s="654"/>
      <c r="K245" s="656"/>
      <c r="L245" s="159"/>
      <c r="M245" s="159"/>
      <c r="N245" s="159"/>
      <c r="O245" s="159"/>
      <c r="P245" s="159"/>
      <c r="Q245" s="159"/>
      <c r="R245" s="159"/>
      <c r="S245" s="636"/>
      <c r="T245" s="656"/>
      <c r="U245" s="658"/>
      <c r="V245" s="159"/>
      <c r="W245" s="159"/>
      <c r="X245" s="636"/>
      <c r="Y245" s="656"/>
      <c r="Z245" s="656"/>
      <c r="AA245" s="656"/>
      <c r="AB245" s="656"/>
    </row>
    <row r="246">
      <c r="A246" s="159"/>
      <c r="B246" s="159"/>
      <c r="C246" s="159"/>
      <c r="D246" s="159"/>
      <c r="E246" s="159"/>
      <c r="F246" s="159"/>
      <c r="G246" s="159"/>
      <c r="H246" s="159"/>
      <c r="I246" s="636"/>
      <c r="J246" s="654"/>
      <c r="K246" s="656"/>
      <c r="L246" s="159"/>
      <c r="M246" s="159"/>
      <c r="N246" s="159"/>
      <c r="O246" s="159"/>
      <c r="P246" s="159"/>
      <c r="Q246" s="159"/>
      <c r="R246" s="159"/>
      <c r="S246" s="636"/>
      <c r="T246" s="656"/>
      <c r="U246" s="658"/>
      <c r="V246" s="159"/>
      <c r="W246" s="159"/>
      <c r="X246" s="636"/>
      <c r="Y246" s="656"/>
      <c r="Z246" s="656"/>
      <c r="AA246" s="656"/>
      <c r="AB246" s="656"/>
    </row>
    <row r="247">
      <c r="A247" s="159"/>
      <c r="B247" s="159"/>
      <c r="C247" s="159"/>
      <c r="D247" s="159"/>
      <c r="E247" s="159"/>
      <c r="F247" s="159"/>
      <c r="G247" s="159"/>
      <c r="H247" s="159"/>
      <c r="I247" s="636"/>
      <c r="J247" s="654"/>
      <c r="K247" s="656"/>
      <c r="L247" s="159"/>
      <c r="M247" s="159"/>
      <c r="N247" s="159"/>
      <c r="O247" s="159"/>
      <c r="P247" s="159"/>
      <c r="Q247" s="159"/>
      <c r="R247" s="159"/>
      <c r="S247" s="636"/>
      <c r="T247" s="656"/>
      <c r="U247" s="658"/>
      <c r="V247" s="159"/>
      <c r="W247" s="159"/>
      <c r="X247" s="636"/>
      <c r="Y247" s="656"/>
      <c r="Z247" s="656"/>
      <c r="AA247" s="656"/>
      <c r="AB247" s="656"/>
    </row>
    <row r="248">
      <c r="A248" s="159"/>
      <c r="B248" s="159"/>
      <c r="C248" s="159"/>
      <c r="D248" s="159"/>
      <c r="E248" s="159"/>
      <c r="F248" s="159"/>
      <c r="G248" s="159"/>
      <c r="H248" s="159"/>
      <c r="I248" s="636"/>
      <c r="J248" s="654"/>
      <c r="K248" s="656"/>
      <c r="L248" s="159"/>
      <c r="M248" s="159"/>
      <c r="N248" s="159"/>
      <c r="O248" s="159"/>
      <c r="P248" s="159"/>
      <c r="Q248" s="159"/>
      <c r="R248" s="159"/>
      <c r="S248" s="636"/>
      <c r="T248" s="656"/>
      <c r="U248" s="658"/>
      <c r="V248" s="159"/>
      <c r="W248" s="159"/>
      <c r="X248" s="636"/>
      <c r="Y248" s="656"/>
      <c r="Z248" s="656"/>
      <c r="AA248" s="656"/>
      <c r="AB248" s="656"/>
    </row>
    <row r="249">
      <c r="A249" s="159"/>
      <c r="B249" s="159"/>
      <c r="C249" s="159"/>
      <c r="D249" s="159"/>
      <c r="E249" s="159"/>
      <c r="F249" s="159"/>
      <c r="G249" s="159"/>
      <c r="H249" s="159"/>
      <c r="I249" s="636"/>
      <c r="J249" s="654"/>
      <c r="K249" s="656"/>
      <c r="L249" s="159"/>
      <c r="M249" s="159"/>
      <c r="N249" s="159"/>
      <c r="O249" s="159"/>
      <c r="P249" s="159"/>
      <c r="Q249" s="159"/>
      <c r="R249" s="159"/>
      <c r="S249" s="636"/>
      <c r="T249" s="656"/>
      <c r="U249" s="658"/>
      <c r="V249" s="159"/>
      <c r="W249" s="159"/>
      <c r="X249" s="636"/>
      <c r="Y249" s="656"/>
      <c r="Z249" s="656"/>
      <c r="AA249" s="656"/>
      <c r="AB249" s="656"/>
    </row>
    <row r="250">
      <c r="A250" s="159"/>
      <c r="B250" s="159"/>
      <c r="C250" s="159"/>
      <c r="D250" s="159"/>
      <c r="E250" s="159"/>
      <c r="F250" s="159"/>
      <c r="G250" s="159"/>
      <c r="H250" s="159"/>
      <c r="I250" s="636"/>
      <c r="J250" s="654"/>
      <c r="K250" s="656"/>
      <c r="L250" s="159"/>
      <c r="M250" s="159"/>
      <c r="N250" s="159"/>
      <c r="O250" s="159"/>
      <c r="P250" s="159"/>
      <c r="Q250" s="159"/>
      <c r="R250" s="159"/>
      <c r="S250" s="636"/>
      <c r="T250" s="656"/>
      <c r="U250" s="658"/>
      <c r="V250" s="159"/>
      <c r="W250" s="159"/>
      <c r="X250" s="636"/>
      <c r="Y250" s="656"/>
      <c r="Z250" s="656"/>
      <c r="AA250" s="656"/>
      <c r="AB250" s="656"/>
    </row>
    <row r="251">
      <c r="A251" s="159"/>
      <c r="B251" s="159"/>
      <c r="C251" s="159"/>
      <c r="D251" s="159"/>
      <c r="E251" s="159"/>
      <c r="F251" s="159"/>
      <c r="G251" s="159"/>
      <c r="H251" s="159"/>
      <c r="I251" s="636"/>
      <c r="J251" s="654"/>
      <c r="K251" s="656"/>
      <c r="L251" s="159"/>
      <c r="M251" s="159"/>
      <c r="N251" s="159"/>
      <c r="O251" s="159"/>
      <c r="P251" s="159"/>
      <c r="Q251" s="159"/>
      <c r="R251" s="159"/>
      <c r="S251" s="636"/>
      <c r="T251" s="656"/>
      <c r="U251" s="658"/>
      <c r="V251" s="159"/>
      <c r="W251" s="159"/>
      <c r="X251" s="636"/>
      <c r="Y251" s="656"/>
      <c r="Z251" s="656"/>
      <c r="AA251" s="656"/>
      <c r="AB251" s="656"/>
    </row>
    <row r="252">
      <c r="A252" s="159"/>
      <c r="B252" s="159"/>
      <c r="C252" s="159"/>
      <c r="D252" s="159"/>
      <c r="E252" s="159"/>
      <c r="F252" s="159"/>
      <c r="G252" s="159"/>
      <c r="H252" s="159"/>
      <c r="I252" s="636"/>
      <c r="J252" s="654"/>
      <c r="K252" s="656"/>
      <c r="L252" s="159"/>
      <c r="M252" s="159"/>
      <c r="N252" s="159"/>
      <c r="O252" s="159"/>
      <c r="P252" s="159"/>
      <c r="Q252" s="159"/>
      <c r="R252" s="159"/>
      <c r="S252" s="636"/>
      <c r="T252" s="656"/>
      <c r="U252" s="658"/>
      <c r="V252" s="159"/>
      <c r="W252" s="159"/>
      <c r="X252" s="636"/>
      <c r="Y252" s="656"/>
      <c r="Z252" s="656"/>
      <c r="AA252" s="656"/>
      <c r="AB252" s="656"/>
    </row>
    <row r="253">
      <c r="A253" s="159"/>
      <c r="B253" s="159"/>
      <c r="C253" s="159"/>
      <c r="D253" s="159"/>
      <c r="E253" s="159"/>
      <c r="F253" s="159"/>
      <c r="G253" s="159"/>
      <c r="H253" s="159"/>
      <c r="I253" s="636"/>
      <c r="J253" s="654"/>
      <c r="K253" s="656"/>
      <c r="L253" s="159"/>
      <c r="M253" s="159"/>
      <c r="N253" s="159"/>
      <c r="O253" s="159"/>
      <c r="P253" s="159"/>
      <c r="Q253" s="159"/>
      <c r="R253" s="159"/>
      <c r="S253" s="636"/>
      <c r="T253" s="656"/>
      <c r="U253" s="658"/>
      <c r="V253" s="159"/>
      <c r="W253" s="159"/>
      <c r="X253" s="636"/>
      <c r="Y253" s="656"/>
      <c r="Z253" s="656"/>
      <c r="AA253" s="656"/>
      <c r="AB253" s="656"/>
    </row>
    <row r="254">
      <c r="A254" s="159"/>
      <c r="B254" s="159"/>
      <c r="C254" s="159"/>
      <c r="D254" s="159"/>
      <c r="E254" s="159"/>
      <c r="F254" s="159"/>
      <c r="G254" s="159"/>
      <c r="H254" s="159"/>
      <c r="I254" s="636"/>
      <c r="J254" s="654"/>
      <c r="K254" s="656"/>
      <c r="L254" s="159"/>
      <c r="M254" s="159"/>
      <c r="N254" s="159"/>
      <c r="O254" s="159"/>
      <c r="P254" s="159"/>
      <c r="Q254" s="159"/>
      <c r="R254" s="159"/>
      <c r="S254" s="636"/>
      <c r="T254" s="656"/>
      <c r="U254" s="658"/>
      <c r="V254" s="159"/>
      <c r="W254" s="159"/>
      <c r="X254" s="636"/>
      <c r="Y254" s="656"/>
      <c r="Z254" s="656"/>
      <c r="AA254" s="656"/>
      <c r="AB254" s="656"/>
    </row>
    <row r="255">
      <c r="A255" s="159"/>
      <c r="B255" s="159"/>
      <c r="C255" s="159"/>
      <c r="D255" s="159"/>
      <c r="E255" s="159"/>
      <c r="F255" s="159"/>
      <c r="G255" s="159"/>
      <c r="H255" s="159"/>
      <c r="I255" s="636"/>
      <c r="J255" s="654"/>
      <c r="K255" s="656"/>
      <c r="L255" s="159"/>
      <c r="M255" s="159"/>
      <c r="N255" s="159"/>
      <c r="O255" s="159"/>
      <c r="P255" s="159"/>
      <c r="Q255" s="159"/>
      <c r="R255" s="159"/>
      <c r="S255" s="636"/>
      <c r="T255" s="656"/>
      <c r="U255" s="658"/>
      <c r="V255" s="159"/>
      <c r="W255" s="159"/>
      <c r="X255" s="636"/>
      <c r="Y255" s="656"/>
      <c r="Z255" s="656"/>
      <c r="AA255" s="656"/>
      <c r="AB255" s="656"/>
    </row>
    <row r="256">
      <c r="A256" s="159"/>
      <c r="B256" s="159"/>
      <c r="C256" s="159"/>
      <c r="D256" s="159"/>
      <c r="E256" s="159"/>
      <c r="F256" s="159"/>
      <c r="G256" s="159"/>
      <c r="H256" s="159"/>
      <c r="I256" s="636"/>
      <c r="J256" s="654"/>
      <c r="K256" s="656"/>
      <c r="L256" s="159"/>
      <c r="M256" s="159"/>
      <c r="N256" s="159"/>
      <c r="O256" s="159"/>
      <c r="P256" s="159"/>
      <c r="Q256" s="159"/>
      <c r="R256" s="159"/>
      <c r="S256" s="636"/>
      <c r="T256" s="656"/>
      <c r="U256" s="658"/>
      <c r="V256" s="159"/>
      <c r="W256" s="159"/>
      <c r="X256" s="636"/>
      <c r="Y256" s="656"/>
      <c r="Z256" s="656"/>
      <c r="AA256" s="656"/>
      <c r="AB256" s="656"/>
    </row>
    <row r="257">
      <c r="A257" s="159"/>
      <c r="B257" s="159"/>
      <c r="C257" s="159"/>
      <c r="D257" s="159"/>
      <c r="E257" s="159"/>
      <c r="F257" s="159"/>
      <c r="G257" s="159"/>
      <c r="H257" s="159"/>
      <c r="I257" s="636"/>
      <c r="J257" s="654"/>
      <c r="K257" s="656"/>
      <c r="L257" s="159"/>
      <c r="M257" s="159"/>
      <c r="N257" s="159"/>
      <c r="O257" s="159"/>
      <c r="P257" s="159"/>
      <c r="Q257" s="159"/>
      <c r="R257" s="159"/>
      <c r="S257" s="636"/>
      <c r="T257" s="656"/>
      <c r="U257" s="658"/>
      <c r="V257" s="159"/>
      <c r="W257" s="159"/>
      <c r="X257" s="636"/>
      <c r="Y257" s="656"/>
      <c r="Z257" s="656"/>
      <c r="AA257" s="656"/>
      <c r="AB257" s="656"/>
    </row>
    <row r="258">
      <c r="A258" s="159"/>
      <c r="B258" s="159"/>
      <c r="C258" s="159"/>
      <c r="D258" s="159"/>
      <c r="E258" s="159"/>
      <c r="F258" s="159"/>
      <c r="G258" s="159"/>
      <c r="H258" s="159"/>
      <c r="I258" s="636"/>
      <c r="J258" s="654"/>
      <c r="K258" s="656"/>
      <c r="L258" s="159"/>
      <c r="M258" s="159"/>
      <c r="N258" s="159"/>
      <c r="O258" s="159"/>
      <c r="P258" s="159"/>
      <c r="Q258" s="159"/>
      <c r="R258" s="159"/>
      <c r="S258" s="636"/>
      <c r="T258" s="656"/>
      <c r="U258" s="658"/>
      <c r="V258" s="159"/>
      <c r="W258" s="159"/>
      <c r="X258" s="636"/>
      <c r="Y258" s="656"/>
      <c r="Z258" s="656"/>
      <c r="AA258" s="656"/>
      <c r="AB258" s="656"/>
    </row>
    <row r="259">
      <c r="A259" s="159"/>
      <c r="B259" s="159"/>
      <c r="C259" s="159"/>
      <c r="D259" s="159"/>
      <c r="E259" s="159"/>
      <c r="F259" s="159"/>
      <c r="G259" s="159"/>
      <c r="H259" s="159"/>
      <c r="I259" s="636"/>
      <c r="J259" s="654"/>
      <c r="K259" s="656"/>
      <c r="L259" s="159"/>
      <c r="M259" s="159"/>
      <c r="N259" s="159"/>
      <c r="O259" s="159"/>
      <c r="P259" s="159"/>
      <c r="Q259" s="159"/>
      <c r="R259" s="159"/>
      <c r="S259" s="636"/>
      <c r="T259" s="656"/>
      <c r="U259" s="658"/>
      <c r="V259" s="159"/>
      <c r="W259" s="159"/>
      <c r="X259" s="636"/>
      <c r="Y259" s="656"/>
      <c r="Z259" s="656"/>
      <c r="AA259" s="656"/>
      <c r="AB259" s="656"/>
    </row>
    <row r="260">
      <c r="A260" s="159"/>
      <c r="B260" s="159"/>
      <c r="C260" s="159"/>
      <c r="D260" s="159"/>
      <c r="E260" s="159"/>
      <c r="F260" s="159"/>
      <c r="G260" s="159"/>
      <c r="H260" s="159"/>
      <c r="I260" s="636"/>
      <c r="J260" s="654"/>
      <c r="K260" s="656"/>
      <c r="L260" s="159"/>
      <c r="M260" s="159"/>
      <c r="N260" s="159"/>
      <c r="O260" s="159"/>
      <c r="P260" s="159"/>
      <c r="Q260" s="159"/>
      <c r="R260" s="159"/>
      <c r="S260" s="636"/>
      <c r="T260" s="656"/>
      <c r="U260" s="658"/>
      <c r="V260" s="159"/>
      <c r="W260" s="159"/>
      <c r="X260" s="636"/>
      <c r="Y260" s="656"/>
      <c r="Z260" s="656"/>
      <c r="AA260" s="656"/>
      <c r="AB260" s="656"/>
    </row>
    <row r="261">
      <c r="A261" s="159"/>
      <c r="B261" s="159"/>
      <c r="C261" s="159"/>
      <c r="D261" s="159"/>
      <c r="E261" s="159"/>
      <c r="F261" s="159"/>
      <c r="G261" s="159"/>
      <c r="H261" s="159"/>
      <c r="I261" s="636"/>
      <c r="J261" s="654"/>
      <c r="K261" s="656"/>
      <c r="L261" s="159"/>
      <c r="M261" s="159"/>
      <c r="N261" s="159"/>
      <c r="O261" s="159"/>
      <c r="P261" s="159"/>
      <c r="Q261" s="159"/>
      <c r="R261" s="159"/>
      <c r="S261" s="636"/>
      <c r="T261" s="656"/>
      <c r="U261" s="658"/>
      <c r="V261" s="159"/>
      <c r="W261" s="159"/>
      <c r="X261" s="636"/>
      <c r="Y261" s="656"/>
      <c r="Z261" s="656"/>
      <c r="AA261" s="656"/>
      <c r="AB261" s="656"/>
    </row>
    <row r="262">
      <c r="A262" s="159"/>
      <c r="B262" s="159"/>
      <c r="C262" s="159"/>
      <c r="D262" s="159"/>
      <c r="E262" s="159"/>
      <c r="F262" s="159"/>
      <c r="G262" s="159"/>
      <c r="H262" s="159"/>
      <c r="I262" s="636"/>
      <c r="J262" s="654"/>
      <c r="K262" s="656"/>
      <c r="L262" s="159"/>
      <c r="M262" s="159"/>
      <c r="N262" s="159"/>
      <c r="O262" s="159"/>
      <c r="P262" s="159"/>
      <c r="Q262" s="159"/>
      <c r="R262" s="159"/>
      <c r="S262" s="636"/>
      <c r="T262" s="656"/>
      <c r="U262" s="658"/>
      <c r="V262" s="159"/>
      <c r="W262" s="159"/>
      <c r="X262" s="636"/>
      <c r="Y262" s="656"/>
      <c r="Z262" s="656"/>
      <c r="AA262" s="656"/>
      <c r="AB262" s="656"/>
    </row>
    <row r="263">
      <c r="A263" s="159"/>
      <c r="B263" s="159"/>
      <c r="C263" s="159"/>
      <c r="D263" s="159"/>
      <c r="E263" s="159"/>
      <c r="F263" s="159"/>
      <c r="G263" s="159"/>
      <c r="H263" s="159"/>
      <c r="I263" s="636"/>
      <c r="J263" s="654"/>
      <c r="K263" s="656"/>
      <c r="L263" s="159"/>
      <c r="M263" s="159"/>
      <c r="N263" s="159"/>
      <c r="O263" s="159"/>
      <c r="P263" s="159"/>
      <c r="Q263" s="159"/>
      <c r="R263" s="159"/>
      <c r="S263" s="636"/>
      <c r="T263" s="656"/>
      <c r="U263" s="658"/>
      <c r="V263" s="159"/>
      <c r="W263" s="159"/>
      <c r="X263" s="636"/>
      <c r="Y263" s="656"/>
      <c r="Z263" s="656"/>
      <c r="AA263" s="656"/>
      <c r="AB263" s="656"/>
    </row>
    <row r="264">
      <c r="A264" s="159"/>
      <c r="B264" s="159"/>
      <c r="C264" s="159"/>
      <c r="D264" s="159"/>
      <c r="E264" s="159"/>
      <c r="F264" s="159"/>
      <c r="G264" s="159"/>
      <c r="H264" s="159"/>
      <c r="I264" s="636"/>
      <c r="J264" s="654"/>
      <c r="K264" s="656"/>
      <c r="L264" s="159"/>
      <c r="M264" s="159"/>
      <c r="N264" s="159"/>
      <c r="O264" s="159"/>
      <c r="P264" s="159"/>
      <c r="Q264" s="159"/>
      <c r="R264" s="159"/>
      <c r="S264" s="636"/>
      <c r="T264" s="656"/>
      <c r="U264" s="658"/>
      <c r="V264" s="159"/>
      <c r="W264" s="159"/>
      <c r="X264" s="636"/>
      <c r="Y264" s="656"/>
      <c r="Z264" s="656"/>
      <c r="AA264" s="656"/>
      <c r="AB264" s="656"/>
    </row>
    <row r="265">
      <c r="A265" s="159"/>
      <c r="B265" s="159"/>
      <c r="C265" s="159"/>
      <c r="D265" s="159"/>
      <c r="E265" s="159"/>
      <c r="F265" s="159"/>
      <c r="G265" s="159"/>
      <c r="H265" s="159"/>
      <c r="I265" s="636"/>
      <c r="J265" s="654"/>
      <c r="K265" s="656"/>
      <c r="L265" s="159"/>
      <c r="M265" s="159"/>
      <c r="N265" s="159"/>
      <c r="O265" s="159"/>
      <c r="P265" s="159"/>
      <c r="Q265" s="159"/>
      <c r="R265" s="159"/>
      <c r="S265" s="636"/>
      <c r="T265" s="656"/>
      <c r="U265" s="658"/>
      <c r="V265" s="159"/>
      <c r="W265" s="159"/>
      <c r="X265" s="636"/>
      <c r="Y265" s="656"/>
      <c r="Z265" s="656"/>
      <c r="AA265" s="656"/>
      <c r="AB265" s="656"/>
    </row>
    <row r="266">
      <c r="A266" s="159"/>
      <c r="B266" s="159"/>
      <c r="C266" s="159"/>
      <c r="D266" s="159"/>
      <c r="E266" s="159"/>
      <c r="F266" s="159"/>
      <c r="G266" s="159"/>
      <c r="H266" s="159"/>
      <c r="I266" s="636"/>
      <c r="J266" s="654"/>
      <c r="K266" s="656"/>
      <c r="L266" s="159"/>
      <c r="M266" s="159"/>
      <c r="N266" s="159"/>
      <c r="O266" s="159"/>
      <c r="P266" s="159"/>
      <c r="Q266" s="159"/>
      <c r="R266" s="159"/>
      <c r="S266" s="636"/>
      <c r="T266" s="656"/>
      <c r="U266" s="658"/>
      <c r="V266" s="159"/>
      <c r="W266" s="159"/>
      <c r="X266" s="636"/>
      <c r="Y266" s="656"/>
      <c r="Z266" s="656"/>
      <c r="AA266" s="656"/>
      <c r="AB266" s="656"/>
    </row>
    <row r="267">
      <c r="A267" s="159"/>
      <c r="B267" s="159"/>
      <c r="C267" s="159"/>
      <c r="D267" s="159"/>
      <c r="E267" s="159"/>
      <c r="F267" s="159"/>
      <c r="G267" s="159"/>
      <c r="H267" s="159"/>
      <c r="I267" s="636"/>
      <c r="J267" s="654"/>
      <c r="K267" s="656"/>
      <c r="L267" s="159"/>
      <c r="M267" s="159"/>
      <c r="N267" s="159"/>
      <c r="O267" s="159"/>
      <c r="P267" s="159"/>
      <c r="Q267" s="159"/>
      <c r="R267" s="159"/>
      <c r="S267" s="636"/>
      <c r="T267" s="656"/>
      <c r="U267" s="658"/>
      <c r="V267" s="159"/>
      <c r="W267" s="159"/>
      <c r="X267" s="636"/>
      <c r="Y267" s="656"/>
      <c r="Z267" s="656"/>
      <c r="AA267" s="656"/>
      <c r="AB267" s="656"/>
    </row>
    <row r="268">
      <c r="A268" s="159"/>
      <c r="B268" s="159"/>
      <c r="C268" s="159"/>
      <c r="D268" s="159"/>
      <c r="E268" s="159"/>
      <c r="F268" s="159"/>
      <c r="G268" s="159"/>
      <c r="H268" s="159"/>
      <c r="I268" s="636"/>
      <c r="J268" s="654"/>
      <c r="K268" s="656"/>
      <c r="L268" s="159"/>
      <c r="M268" s="159"/>
      <c r="N268" s="159"/>
      <c r="O268" s="159"/>
      <c r="P268" s="159"/>
      <c r="Q268" s="159"/>
      <c r="R268" s="159"/>
      <c r="S268" s="636"/>
      <c r="T268" s="656"/>
      <c r="U268" s="658"/>
      <c r="V268" s="159"/>
      <c r="W268" s="159"/>
      <c r="X268" s="636"/>
      <c r="Y268" s="656"/>
      <c r="Z268" s="656"/>
      <c r="AA268" s="656"/>
      <c r="AB268" s="656"/>
    </row>
    <row r="269">
      <c r="A269" s="159"/>
      <c r="B269" s="159"/>
      <c r="C269" s="159"/>
      <c r="D269" s="159"/>
      <c r="E269" s="159"/>
      <c r="F269" s="159"/>
      <c r="G269" s="159"/>
      <c r="H269" s="159"/>
      <c r="I269" s="636"/>
      <c r="J269" s="654"/>
      <c r="K269" s="656"/>
      <c r="L269" s="159"/>
      <c r="M269" s="159"/>
      <c r="N269" s="159"/>
      <c r="O269" s="159"/>
      <c r="P269" s="159"/>
      <c r="Q269" s="159"/>
      <c r="R269" s="159"/>
      <c r="S269" s="636"/>
      <c r="T269" s="656"/>
      <c r="U269" s="658"/>
      <c r="V269" s="159"/>
      <c r="W269" s="159"/>
      <c r="X269" s="636"/>
      <c r="Y269" s="656"/>
      <c r="Z269" s="656"/>
      <c r="AA269" s="656"/>
      <c r="AB269" s="656"/>
    </row>
    <row r="270">
      <c r="A270" s="159"/>
      <c r="B270" s="159"/>
      <c r="C270" s="159"/>
      <c r="D270" s="159"/>
      <c r="E270" s="159"/>
      <c r="F270" s="159"/>
      <c r="G270" s="159"/>
      <c r="H270" s="159"/>
      <c r="I270" s="636"/>
      <c r="J270" s="654"/>
      <c r="K270" s="656"/>
      <c r="L270" s="159"/>
      <c r="M270" s="159"/>
      <c r="N270" s="159"/>
      <c r="O270" s="159"/>
      <c r="P270" s="159"/>
      <c r="Q270" s="159"/>
      <c r="R270" s="159"/>
      <c r="S270" s="636"/>
      <c r="T270" s="656"/>
      <c r="U270" s="658"/>
      <c r="V270" s="159"/>
      <c r="W270" s="159"/>
      <c r="X270" s="636"/>
      <c r="Y270" s="656"/>
      <c r="Z270" s="656"/>
      <c r="AA270" s="656"/>
      <c r="AB270" s="656"/>
    </row>
    <row r="271">
      <c r="A271" s="159"/>
      <c r="B271" s="159"/>
      <c r="C271" s="159"/>
      <c r="D271" s="159"/>
      <c r="E271" s="159"/>
      <c r="F271" s="159"/>
      <c r="G271" s="159"/>
      <c r="H271" s="159"/>
      <c r="I271" s="636"/>
      <c r="J271" s="654"/>
      <c r="K271" s="656"/>
      <c r="L271" s="159"/>
      <c r="M271" s="159"/>
      <c r="N271" s="159"/>
      <c r="O271" s="159"/>
      <c r="P271" s="159"/>
      <c r="Q271" s="159"/>
      <c r="R271" s="159"/>
      <c r="S271" s="636"/>
      <c r="T271" s="656"/>
      <c r="U271" s="658"/>
      <c r="V271" s="159"/>
      <c r="W271" s="159"/>
      <c r="X271" s="636"/>
      <c r="Y271" s="656"/>
      <c r="Z271" s="656"/>
      <c r="AA271" s="656"/>
      <c r="AB271" s="656"/>
    </row>
    <row r="272">
      <c r="A272" s="159"/>
      <c r="B272" s="159"/>
      <c r="C272" s="159"/>
      <c r="D272" s="159"/>
      <c r="E272" s="159"/>
      <c r="F272" s="159"/>
      <c r="G272" s="159"/>
      <c r="H272" s="159"/>
      <c r="I272" s="636"/>
      <c r="J272" s="654"/>
      <c r="K272" s="656"/>
      <c r="L272" s="159"/>
      <c r="M272" s="159"/>
      <c r="N272" s="159"/>
      <c r="O272" s="159"/>
      <c r="P272" s="159"/>
      <c r="Q272" s="159"/>
      <c r="R272" s="159"/>
      <c r="S272" s="636"/>
      <c r="T272" s="656"/>
      <c r="U272" s="658"/>
      <c r="V272" s="159"/>
      <c r="W272" s="159"/>
      <c r="X272" s="636"/>
      <c r="Y272" s="656"/>
      <c r="Z272" s="656"/>
      <c r="AA272" s="656"/>
      <c r="AB272" s="656"/>
    </row>
    <row r="273">
      <c r="A273" s="159"/>
      <c r="B273" s="159"/>
      <c r="C273" s="159"/>
      <c r="D273" s="159"/>
      <c r="E273" s="159"/>
      <c r="F273" s="159"/>
      <c r="G273" s="159"/>
      <c r="H273" s="159"/>
      <c r="I273" s="636"/>
      <c r="J273" s="654"/>
      <c r="K273" s="656"/>
      <c r="L273" s="159"/>
      <c r="M273" s="159"/>
      <c r="N273" s="159"/>
      <c r="O273" s="159"/>
      <c r="P273" s="159"/>
      <c r="Q273" s="159"/>
      <c r="R273" s="159"/>
      <c r="S273" s="636"/>
      <c r="T273" s="656"/>
      <c r="U273" s="658"/>
      <c r="V273" s="159"/>
      <c r="W273" s="159"/>
      <c r="X273" s="636"/>
      <c r="Y273" s="656"/>
      <c r="Z273" s="656"/>
      <c r="AA273" s="656"/>
      <c r="AB273" s="656"/>
    </row>
    <row r="274">
      <c r="A274" s="159"/>
      <c r="B274" s="159"/>
      <c r="C274" s="159"/>
      <c r="D274" s="159"/>
      <c r="E274" s="159"/>
      <c r="F274" s="159"/>
      <c r="G274" s="159"/>
      <c r="H274" s="159"/>
      <c r="I274" s="636"/>
      <c r="J274" s="654"/>
      <c r="K274" s="656"/>
      <c r="L274" s="159"/>
      <c r="M274" s="159"/>
      <c r="N274" s="159"/>
      <c r="O274" s="159"/>
      <c r="P274" s="159"/>
      <c r="Q274" s="159"/>
      <c r="R274" s="159"/>
      <c r="S274" s="636"/>
      <c r="T274" s="656"/>
      <c r="U274" s="658"/>
      <c r="V274" s="159"/>
      <c r="W274" s="159"/>
      <c r="X274" s="636"/>
      <c r="Y274" s="656"/>
      <c r="Z274" s="656"/>
      <c r="AA274" s="656"/>
      <c r="AB274" s="656"/>
    </row>
    <row r="275">
      <c r="A275" s="159"/>
      <c r="B275" s="159"/>
      <c r="C275" s="159"/>
      <c r="D275" s="159"/>
      <c r="E275" s="159"/>
      <c r="F275" s="159"/>
      <c r="G275" s="159"/>
      <c r="H275" s="159"/>
      <c r="I275" s="636"/>
      <c r="J275" s="654"/>
      <c r="K275" s="656"/>
      <c r="L275" s="159"/>
      <c r="M275" s="159"/>
      <c r="N275" s="159"/>
      <c r="O275" s="159"/>
      <c r="P275" s="159"/>
      <c r="Q275" s="159"/>
      <c r="R275" s="159"/>
      <c r="S275" s="636"/>
      <c r="T275" s="656"/>
      <c r="U275" s="658"/>
      <c r="V275" s="159"/>
      <c r="W275" s="159"/>
      <c r="X275" s="636"/>
      <c r="Y275" s="656"/>
      <c r="Z275" s="656"/>
      <c r="AA275" s="656"/>
      <c r="AB275" s="656"/>
    </row>
    <row r="276">
      <c r="A276" s="159"/>
      <c r="B276" s="159"/>
      <c r="C276" s="159"/>
      <c r="D276" s="159"/>
      <c r="E276" s="159"/>
      <c r="F276" s="159"/>
      <c r="G276" s="159"/>
      <c r="H276" s="159"/>
      <c r="I276" s="636"/>
      <c r="J276" s="654"/>
      <c r="K276" s="656"/>
      <c r="L276" s="159"/>
      <c r="M276" s="159"/>
      <c r="N276" s="159"/>
      <c r="O276" s="159"/>
      <c r="P276" s="159"/>
      <c r="Q276" s="159"/>
      <c r="R276" s="159"/>
      <c r="S276" s="636"/>
      <c r="T276" s="656"/>
      <c r="U276" s="658"/>
      <c r="V276" s="159"/>
      <c r="W276" s="159"/>
      <c r="X276" s="636"/>
      <c r="Y276" s="656"/>
      <c r="Z276" s="656"/>
      <c r="AA276" s="656"/>
      <c r="AB276" s="656"/>
    </row>
    <row r="277">
      <c r="A277" s="159"/>
      <c r="B277" s="159"/>
      <c r="C277" s="159"/>
      <c r="D277" s="159"/>
      <c r="E277" s="159"/>
      <c r="F277" s="159"/>
      <c r="G277" s="159"/>
      <c r="H277" s="159"/>
      <c r="I277" s="636"/>
      <c r="J277" s="654"/>
      <c r="K277" s="656"/>
      <c r="L277" s="159"/>
      <c r="M277" s="159"/>
      <c r="N277" s="159"/>
      <c r="O277" s="159"/>
      <c r="P277" s="159"/>
      <c r="Q277" s="159"/>
      <c r="R277" s="159"/>
      <c r="S277" s="636"/>
      <c r="T277" s="656"/>
      <c r="U277" s="658"/>
      <c r="V277" s="159"/>
      <c r="W277" s="159"/>
      <c r="X277" s="636"/>
      <c r="Y277" s="656"/>
      <c r="Z277" s="656"/>
      <c r="AA277" s="656"/>
      <c r="AB277" s="656"/>
    </row>
    <row r="278">
      <c r="A278" s="159"/>
      <c r="B278" s="159"/>
      <c r="C278" s="159"/>
      <c r="D278" s="159"/>
      <c r="E278" s="159"/>
      <c r="F278" s="159"/>
      <c r="G278" s="159"/>
      <c r="H278" s="159"/>
      <c r="I278" s="636"/>
      <c r="J278" s="654"/>
      <c r="K278" s="656"/>
      <c r="L278" s="159"/>
      <c r="M278" s="159"/>
      <c r="N278" s="159"/>
      <c r="O278" s="159"/>
      <c r="P278" s="159"/>
      <c r="Q278" s="159"/>
      <c r="R278" s="159"/>
      <c r="S278" s="636"/>
      <c r="T278" s="656"/>
      <c r="U278" s="658"/>
      <c r="V278" s="159"/>
      <c r="W278" s="159"/>
      <c r="X278" s="636"/>
      <c r="Y278" s="656"/>
      <c r="Z278" s="656"/>
      <c r="AA278" s="656"/>
      <c r="AB278" s="656"/>
    </row>
    <row r="279">
      <c r="A279" s="159"/>
      <c r="B279" s="159"/>
      <c r="C279" s="159"/>
      <c r="D279" s="159"/>
      <c r="E279" s="159"/>
      <c r="F279" s="159"/>
      <c r="G279" s="159"/>
      <c r="H279" s="159"/>
      <c r="I279" s="636"/>
      <c r="J279" s="654"/>
      <c r="K279" s="656"/>
      <c r="L279" s="159"/>
      <c r="M279" s="159"/>
      <c r="N279" s="159"/>
      <c r="O279" s="159"/>
      <c r="P279" s="159"/>
      <c r="Q279" s="159"/>
      <c r="R279" s="159"/>
      <c r="S279" s="636"/>
      <c r="T279" s="656"/>
      <c r="U279" s="658"/>
      <c r="V279" s="159"/>
      <c r="W279" s="159"/>
      <c r="X279" s="636"/>
      <c r="Y279" s="656"/>
      <c r="Z279" s="656"/>
      <c r="AA279" s="656"/>
      <c r="AB279" s="656"/>
    </row>
    <row r="280">
      <c r="A280" s="159"/>
      <c r="B280" s="159"/>
      <c r="C280" s="159"/>
      <c r="D280" s="159"/>
      <c r="E280" s="159"/>
      <c r="F280" s="159"/>
      <c r="G280" s="159"/>
      <c r="H280" s="159"/>
      <c r="I280" s="636"/>
      <c r="J280" s="654"/>
      <c r="K280" s="656"/>
      <c r="L280" s="159"/>
      <c r="M280" s="159"/>
      <c r="N280" s="159"/>
      <c r="O280" s="159"/>
      <c r="P280" s="159"/>
      <c r="Q280" s="159"/>
      <c r="R280" s="159"/>
      <c r="S280" s="636"/>
      <c r="T280" s="656"/>
      <c r="U280" s="658"/>
      <c r="V280" s="159"/>
      <c r="W280" s="159"/>
      <c r="X280" s="636"/>
      <c r="Y280" s="656"/>
      <c r="Z280" s="656"/>
      <c r="AA280" s="656"/>
      <c r="AB280" s="656"/>
    </row>
    <row r="281">
      <c r="A281" s="159"/>
      <c r="B281" s="159"/>
      <c r="C281" s="159"/>
      <c r="D281" s="159"/>
      <c r="E281" s="159"/>
      <c r="F281" s="159"/>
      <c r="G281" s="159"/>
      <c r="H281" s="159"/>
      <c r="I281" s="636"/>
      <c r="J281" s="654"/>
      <c r="K281" s="656"/>
      <c r="L281" s="159"/>
      <c r="M281" s="159"/>
      <c r="N281" s="159"/>
      <c r="O281" s="159"/>
      <c r="P281" s="159"/>
      <c r="Q281" s="159"/>
      <c r="R281" s="159"/>
      <c r="S281" s="636"/>
      <c r="T281" s="656"/>
      <c r="U281" s="658"/>
      <c r="V281" s="159"/>
      <c r="W281" s="159"/>
      <c r="X281" s="636"/>
      <c r="Y281" s="656"/>
      <c r="Z281" s="656"/>
      <c r="AA281" s="656"/>
      <c r="AB281" s="656"/>
    </row>
    <row r="282">
      <c r="A282" s="159"/>
      <c r="B282" s="159"/>
      <c r="C282" s="159"/>
      <c r="D282" s="159"/>
      <c r="E282" s="159"/>
      <c r="F282" s="159"/>
      <c r="G282" s="159"/>
      <c r="H282" s="159"/>
      <c r="I282" s="636"/>
      <c r="J282" s="654"/>
      <c r="K282" s="656"/>
      <c r="L282" s="159"/>
      <c r="M282" s="159"/>
      <c r="N282" s="159"/>
      <c r="O282" s="159"/>
      <c r="P282" s="159"/>
      <c r="Q282" s="159"/>
      <c r="R282" s="159"/>
      <c r="S282" s="636"/>
      <c r="T282" s="656"/>
      <c r="U282" s="658"/>
      <c r="V282" s="159"/>
      <c r="W282" s="159"/>
      <c r="X282" s="636"/>
      <c r="Y282" s="656"/>
      <c r="Z282" s="656"/>
      <c r="AA282" s="656"/>
      <c r="AB282" s="656"/>
    </row>
    <row r="283">
      <c r="A283" s="159"/>
      <c r="B283" s="159"/>
      <c r="C283" s="159"/>
      <c r="D283" s="159"/>
      <c r="E283" s="159"/>
      <c r="F283" s="159"/>
      <c r="G283" s="159"/>
      <c r="H283" s="159"/>
      <c r="I283" s="636"/>
      <c r="J283" s="654"/>
      <c r="K283" s="656"/>
      <c r="L283" s="159"/>
      <c r="M283" s="159"/>
      <c r="N283" s="159"/>
      <c r="O283" s="159"/>
      <c r="P283" s="159"/>
      <c r="Q283" s="159"/>
      <c r="R283" s="159"/>
      <c r="S283" s="636"/>
      <c r="T283" s="656"/>
      <c r="U283" s="658"/>
      <c r="V283" s="159"/>
      <c r="W283" s="159"/>
      <c r="X283" s="636"/>
      <c r="Y283" s="656"/>
      <c r="Z283" s="656"/>
      <c r="AA283" s="656"/>
      <c r="AB283" s="656"/>
    </row>
    <row r="284">
      <c r="A284" s="159"/>
      <c r="B284" s="159"/>
      <c r="C284" s="159"/>
      <c r="D284" s="159"/>
      <c r="E284" s="159"/>
      <c r="F284" s="159"/>
      <c r="G284" s="159"/>
      <c r="H284" s="159"/>
      <c r="I284" s="636"/>
      <c r="J284" s="654"/>
      <c r="K284" s="656"/>
      <c r="L284" s="159"/>
      <c r="M284" s="159"/>
      <c r="N284" s="159"/>
      <c r="O284" s="159"/>
      <c r="P284" s="159"/>
      <c r="Q284" s="159"/>
      <c r="R284" s="159"/>
      <c r="S284" s="636"/>
      <c r="T284" s="656"/>
      <c r="U284" s="658"/>
      <c r="V284" s="159"/>
      <c r="W284" s="159"/>
      <c r="X284" s="636"/>
      <c r="Y284" s="656"/>
      <c r="Z284" s="656"/>
      <c r="AA284" s="656"/>
      <c r="AB284" s="656"/>
    </row>
    <row r="285">
      <c r="A285" s="159"/>
      <c r="B285" s="159"/>
      <c r="C285" s="159"/>
      <c r="D285" s="159"/>
      <c r="E285" s="159"/>
      <c r="F285" s="159"/>
      <c r="G285" s="159"/>
      <c r="H285" s="159"/>
      <c r="I285" s="636"/>
      <c r="J285" s="654"/>
      <c r="K285" s="656"/>
      <c r="L285" s="159"/>
      <c r="M285" s="159"/>
      <c r="N285" s="159"/>
      <c r="O285" s="159"/>
      <c r="P285" s="159"/>
      <c r="Q285" s="159"/>
      <c r="R285" s="159"/>
      <c r="S285" s="636"/>
      <c r="T285" s="656"/>
      <c r="U285" s="658"/>
      <c r="V285" s="159"/>
      <c r="W285" s="159"/>
      <c r="X285" s="636"/>
      <c r="Y285" s="656"/>
      <c r="Z285" s="656"/>
      <c r="AA285" s="656"/>
      <c r="AB285" s="656"/>
    </row>
    <row r="286">
      <c r="A286" s="159"/>
      <c r="B286" s="159"/>
      <c r="C286" s="159"/>
      <c r="D286" s="159"/>
      <c r="E286" s="159"/>
      <c r="F286" s="159"/>
      <c r="G286" s="159"/>
      <c r="H286" s="159"/>
      <c r="I286" s="636"/>
      <c r="J286" s="654"/>
      <c r="K286" s="656"/>
      <c r="L286" s="159"/>
      <c r="M286" s="159"/>
      <c r="N286" s="159"/>
      <c r="O286" s="159"/>
      <c r="P286" s="159"/>
      <c r="Q286" s="159"/>
      <c r="R286" s="159"/>
      <c r="S286" s="636"/>
      <c r="T286" s="656"/>
      <c r="U286" s="658"/>
      <c r="V286" s="159"/>
      <c r="W286" s="159"/>
      <c r="X286" s="636"/>
      <c r="Y286" s="656"/>
      <c r="Z286" s="656"/>
      <c r="AA286" s="656"/>
      <c r="AB286" s="656"/>
    </row>
    <row r="287">
      <c r="A287" s="159"/>
      <c r="B287" s="159"/>
      <c r="C287" s="159"/>
      <c r="D287" s="159"/>
      <c r="E287" s="159"/>
      <c r="F287" s="159"/>
      <c r="G287" s="159"/>
      <c r="H287" s="159"/>
      <c r="I287" s="636"/>
      <c r="J287" s="654"/>
      <c r="K287" s="656"/>
      <c r="L287" s="159"/>
      <c r="M287" s="159"/>
      <c r="N287" s="159"/>
      <c r="O287" s="159"/>
      <c r="P287" s="159"/>
      <c r="Q287" s="159"/>
      <c r="R287" s="159"/>
      <c r="S287" s="636"/>
      <c r="T287" s="656"/>
      <c r="U287" s="658"/>
      <c r="V287" s="159"/>
      <c r="W287" s="159"/>
      <c r="X287" s="636"/>
      <c r="Y287" s="656"/>
      <c r="Z287" s="656"/>
      <c r="AA287" s="656"/>
      <c r="AB287" s="656"/>
    </row>
    <row r="288">
      <c r="A288" s="159"/>
      <c r="B288" s="159"/>
      <c r="C288" s="159"/>
      <c r="D288" s="159"/>
      <c r="E288" s="159"/>
      <c r="F288" s="159"/>
      <c r="G288" s="159"/>
      <c r="H288" s="159"/>
      <c r="I288" s="636"/>
      <c r="J288" s="654"/>
      <c r="K288" s="656"/>
      <c r="L288" s="159"/>
      <c r="M288" s="159"/>
      <c r="N288" s="159"/>
      <c r="O288" s="159"/>
      <c r="P288" s="159"/>
      <c r="Q288" s="159"/>
      <c r="R288" s="159"/>
      <c r="S288" s="636"/>
      <c r="T288" s="656"/>
      <c r="U288" s="658"/>
      <c r="V288" s="159"/>
      <c r="W288" s="159"/>
      <c r="X288" s="636"/>
      <c r="Y288" s="656"/>
      <c r="Z288" s="656"/>
      <c r="AA288" s="656"/>
      <c r="AB288" s="656"/>
    </row>
    <row r="289">
      <c r="A289" s="159"/>
      <c r="B289" s="159"/>
      <c r="C289" s="159"/>
      <c r="D289" s="159"/>
      <c r="E289" s="159"/>
      <c r="F289" s="159"/>
      <c r="G289" s="159"/>
      <c r="H289" s="159"/>
      <c r="I289" s="636"/>
      <c r="J289" s="654"/>
      <c r="K289" s="656"/>
      <c r="L289" s="159"/>
      <c r="M289" s="159"/>
      <c r="N289" s="159"/>
      <c r="O289" s="159"/>
      <c r="P289" s="159"/>
      <c r="Q289" s="159"/>
      <c r="R289" s="159"/>
      <c r="S289" s="636"/>
      <c r="T289" s="656"/>
      <c r="U289" s="658"/>
      <c r="V289" s="159"/>
      <c r="W289" s="159"/>
      <c r="X289" s="636"/>
      <c r="Y289" s="656"/>
      <c r="Z289" s="656"/>
      <c r="AA289" s="656"/>
      <c r="AB289" s="656"/>
    </row>
    <row r="290">
      <c r="A290" s="159"/>
      <c r="B290" s="159"/>
      <c r="C290" s="159"/>
      <c r="D290" s="159"/>
      <c r="E290" s="159"/>
      <c r="F290" s="159"/>
      <c r="G290" s="159"/>
      <c r="H290" s="159"/>
      <c r="I290" s="636"/>
      <c r="J290" s="654"/>
      <c r="K290" s="656"/>
      <c r="L290" s="159"/>
      <c r="M290" s="159"/>
      <c r="N290" s="159"/>
      <c r="O290" s="159"/>
      <c r="P290" s="159"/>
      <c r="Q290" s="159"/>
      <c r="R290" s="159"/>
      <c r="S290" s="636"/>
      <c r="T290" s="656"/>
      <c r="U290" s="658"/>
      <c r="V290" s="159"/>
      <c r="W290" s="159"/>
      <c r="X290" s="636"/>
      <c r="Y290" s="656"/>
      <c r="Z290" s="656"/>
      <c r="AA290" s="656"/>
      <c r="AB290" s="656"/>
    </row>
    <row r="291">
      <c r="A291" s="159"/>
      <c r="B291" s="159"/>
      <c r="C291" s="159"/>
      <c r="D291" s="159"/>
      <c r="E291" s="159"/>
      <c r="F291" s="159"/>
      <c r="G291" s="159"/>
      <c r="H291" s="159"/>
      <c r="I291" s="636"/>
      <c r="J291" s="654"/>
      <c r="K291" s="656"/>
      <c r="L291" s="159"/>
      <c r="M291" s="159"/>
      <c r="N291" s="159"/>
      <c r="O291" s="159"/>
      <c r="P291" s="159"/>
      <c r="Q291" s="159"/>
      <c r="R291" s="159"/>
      <c r="S291" s="636"/>
      <c r="T291" s="656"/>
      <c r="U291" s="658"/>
      <c r="V291" s="159"/>
      <c r="W291" s="159"/>
      <c r="X291" s="636"/>
      <c r="Y291" s="656"/>
      <c r="Z291" s="656"/>
      <c r="AA291" s="656"/>
      <c r="AB291" s="656"/>
    </row>
    <row r="292">
      <c r="A292" s="159"/>
      <c r="B292" s="159"/>
      <c r="C292" s="159"/>
      <c r="D292" s="159"/>
      <c r="E292" s="159"/>
      <c r="F292" s="159"/>
      <c r="G292" s="159"/>
      <c r="H292" s="159"/>
      <c r="I292" s="636"/>
      <c r="J292" s="654"/>
      <c r="K292" s="656"/>
      <c r="L292" s="159"/>
      <c r="M292" s="159"/>
      <c r="N292" s="159"/>
      <c r="O292" s="159"/>
      <c r="P292" s="159"/>
      <c r="Q292" s="159"/>
      <c r="R292" s="159"/>
      <c r="S292" s="636"/>
      <c r="T292" s="656"/>
      <c r="U292" s="658"/>
      <c r="V292" s="159"/>
      <c r="W292" s="159"/>
      <c r="X292" s="636"/>
      <c r="Y292" s="656"/>
      <c r="Z292" s="656"/>
      <c r="AA292" s="656"/>
      <c r="AB292" s="656"/>
    </row>
    <row r="293">
      <c r="A293" s="159"/>
      <c r="B293" s="159"/>
      <c r="C293" s="159"/>
      <c r="D293" s="159"/>
      <c r="E293" s="159"/>
      <c r="F293" s="159"/>
      <c r="G293" s="159"/>
      <c r="H293" s="159"/>
      <c r="I293" s="636"/>
      <c r="J293" s="654"/>
      <c r="K293" s="656"/>
      <c r="L293" s="159"/>
      <c r="M293" s="159"/>
      <c r="N293" s="159"/>
      <c r="O293" s="159"/>
      <c r="P293" s="159"/>
      <c r="Q293" s="159"/>
      <c r="R293" s="159"/>
      <c r="S293" s="636"/>
      <c r="T293" s="656"/>
      <c r="U293" s="658"/>
      <c r="V293" s="159"/>
      <c r="W293" s="159"/>
      <c r="X293" s="636"/>
      <c r="Y293" s="656"/>
      <c r="Z293" s="656"/>
      <c r="AA293" s="656"/>
      <c r="AB293" s="656"/>
    </row>
    <row r="294">
      <c r="A294" s="159"/>
      <c r="B294" s="159"/>
      <c r="C294" s="159"/>
      <c r="D294" s="159"/>
      <c r="E294" s="159"/>
      <c r="F294" s="159"/>
      <c r="G294" s="159"/>
      <c r="H294" s="159"/>
      <c r="I294" s="636"/>
      <c r="J294" s="654"/>
      <c r="K294" s="656"/>
      <c r="L294" s="159"/>
      <c r="M294" s="159"/>
      <c r="N294" s="159"/>
      <c r="O294" s="159"/>
      <c r="P294" s="159"/>
      <c r="Q294" s="159"/>
      <c r="R294" s="159"/>
      <c r="S294" s="636"/>
      <c r="T294" s="656"/>
      <c r="U294" s="658"/>
      <c r="V294" s="159"/>
      <c r="W294" s="159"/>
      <c r="X294" s="636"/>
      <c r="Y294" s="656"/>
      <c r="Z294" s="656"/>
      <c r="AA294" s="656"/>
      <c r="AB294" s="656"/>
    </row>
    <row r="295">
      <c r="A295" s="159"/>
      <c r="B295" s="159"/>
      <c r="C295" s="159"/>
      <c r="D295" s="159"/>
      <c r="E295" s="159"/>
      <c r="F295" s="159"/>
      <c r="G295" s="159"/>
      <c r="H295" s="159"/>
      <c r="I295" s="636"/>
      <c r="J295" s="654"/>
      <c r="K295" s="656"/>
      <c r="L295" s="159"/>
      <c r="M295" s="159"/>
      <c r="N295" s="159"/>
      <c r="O295" s="159"/>
      <c r="P295" s="159"/>
      <c r="Q295" s="159"/>
      <c r="R295" s="159"/>
      <c r="S295" s="636"/>
      <c r="T295" s="656"/>
      <c r="U295" s="658"/>
      <c r="V295" s="159"/>
      <c r="W295" s="159"/>
      <c r="X295" s="636"/>
      <c r="Y295" s="656"/>
      <c r="Z295" s="656"/>
      <c r="AA295" s="656"/>
      <c r="AB295" s="656"/>
    </row>
    <row r="296">
      <c r="A296" s="159"/>
      <c r="B296" s="159"/>
      <c r="C296" s="159"/>
      <c r="D296" s="159"/>
      <c r="E296" s="159"/>
      <c r="F296" s="159"/>
      <c r="G296" s="159"/>
      <c r="H296" s="159"/>
      <c r="I296" s="636"/>
      <c r="J296" s="654"/>
      <c r="K296" s="656"/>
      <c r="L296" s="159"/>
      <c r="M296" s="159"/>
      <c r="N296" s="159"/>
      <c r="O296" s="159"/>
      <c r="P296" s="159"/>
      <c r="Q296" s="159"/>
      <c r="R296" s="159"/>
      <c r="S296" s="636"/>
      <c r="T296" s="656"/>
      <c r="U296" s="658"/>
      <c r="V296" s="159"/>
      <c r="W296" s="159"/>
      <c r="X296" s="636"/>
      <c r="Y296" s="656"/>
      <c r="Z296" s="656"/>
      <c r="AA296" s="656"/>
      <c r="AB296" s="656"/>
    </row>
    <row r="297">
      <c r="A297" s="159"/>
      <c r="B297" s="159"/>
      <c r="C297" s="159"/>
      <c r="D297" s="159"/>
      <c r="E297" s="159"/>
      <c r="F297" s="159"/>
      <c r="G297" s="159"/>
      <c r="H297" s="159"/>
      <c r="I297" s="636"/>
      <c r="J297" s="654"/>
      <c r="K297" s="656"/>
      <c r="L297" s="159"/>
      <c r="M297" s="159"/>
      <c r="N297" s="159"/>
      <c r="O297" s="159"/>
      <c r="P297" s="159"/>
      <c r="Q297" s="159"/>
      <c r="R297" s="159"/>
      <c r="S297" s="636"/>
      <c r="T297" s="656"/>
      <c r="U297" s="658"/>
      <c r="V297" s="159"/>
      <c r="W297" s="159"/>
      <c r="X297" s="636"/>
      <c r="Y297" s="656"/>
      <c r="Z297" s="656"/>
      <c r="AA297" s="656"/>
      <c r="AB297" s="656"/>
    </row>
    <row r="298">
      <c r="A298" s="159"/>
      <c r="B298" s="159"/>
      <c r="C298" s="159"/>
      <c r="D298" s="159"/>
      <c r="E298" s="159"/>
      <c r="F298" s="159"/>
      <c r="G298" s="159"/>
      <c r="H298" s="159"/>
      <c r="I298" s="636"/>
      <c r="J298" s="654"/>
      <c r="K298" s="656"/>
      <c r="L298" s="159"/>
      <c r="M298" s="159"/>
      <c r="N298" s="159"/>
      <c r="O298" s="159"/>
      <c r="P298" s="159"/>
      <c r="Q298" s="159"/>
      <c r="R298" s="159"/>
      <c r="S298" s="636"/>
      <c r="T298" s="656"/>
      <c r="U298" s="658"/>
      <c r="V298" s="159"/>
      <c r="W298" s="159"/>
      <c r="X298" s="636"/>
      <c r="Y298" s="656"/>
      <c r="Z298" s="656"/>
      <c r="AA298" s="656"/>
      <c r="AB298" s="656"/>
    </row>
    <row r="299">
      <c r="A299" s="159"/>
      <c r="B299" s="159"/>
      <c r="C299" s="159"/>
      <c r="D299" s="159"/>
      <c r="E299" s="159"/>
      <c r="F299" s="159"/>
      <c r="G299" s="159"/>
      <c r="H299" s="159"/>
      <c r="I299" s="636"/>
      <c r="J299" s="654"/>
      <c r="K299" s="656"/>
      <c r="L299" s="159"/>
      <c r="M299" s="159"/>
      <c r="N299" s="159"/>
      <c r="O299" s="159"/>
      <c r="P299" s="159"/>
      <c r="Q299" s="159"/>
      <c r="R299" s="159"/>
      <c r="S299" s="636"/>
      <c r="T299" s="656"/>
      <c r="U299" s="658"/>
      <c r="V299" s="159"/>
      <c r="W299" s="159"/>
      <c r="X299" s="636"/>
      <c r="Y299" s="656"/>
      <c r="Z299" s="656"/>
      <c r="AA299" s="656"/>
      <c r="AB299" s="656"/>
    </row>
    <row r="300">
      <c r="A300" s="159"/>
      <c r="B300" s="159"/>
      <c r="C300" s="159"/>
      <c r="D300" s="159"/>
      <c r="E300" s="159"/>
      <c r="F300" s="159"/>
      <c r="G300" s="159"/>
      <c r="H300" s="159"/>
      <c r="I300" s="636"/>
      <c r="J300" s="654"/>
      <c r="K300" s="656"/>
      <c r="L300" s="159"/>
      <c r="M300" s="159"/>
      <c r="N300" s="159"/>
      <c r="O300" s="159"/>
      <c r="P300" s="159"/>
      <c r="Q300" s="159"/>
      <c r="R300" s="159"/>
      <c r="S300" s="636"/>
      <c r="T300" s="656"/>
      <c r="U300" s="658"/>
      <c r="V300" s="159"/>
      <c r="W300" s="159"/>
      <c r="X300" s="636"/>
      <c r="Y300" s="656"/>
      <c r="Z300" s="656"/>
      <c r="AA300" s="656"/>
      <c r="AB300" s="656"/>
    </row>
    <row r="301">
      <c r="A301" s="159"/>
      <c r="B301" s="159"/>
      <c r="C301" s="159"/>
      <c r="D301" s="159"/>
      <c r="E301" s="159"/>
      <c r="F301" s="159"/>
      <c r="G301" s="159"/>
      <c r="H301" s="159"/>
      <c r="I301" s="636"/>
      <c r="J301" s="654"/>
      <c r="K301" s="656"/>
      <c r="L301" s="159"/>
      <c r="M301" s="159"/>
      <c r="N301" s="159"/>
      <c r="O301" s="159"/>
      <c r="P301" s="159"/>
      <c r="Q301" s="159"/>
      <c r="R301" s="159"/>
      <c r="S301" s="636"/>
      <c r="T301" s="656"/>
      <c r="U301" s="658"/>
      <c r="V301" s="159"/>
      <c r="W301" s="159"/>
      <c r="X301" s="636"/>
      <c r="Y301" s="656"/>
      <c r="Z301" s="656"/>
      <c r="AA301" s="656"/>
      <c r="AB301" s="656"/>
    </row>
    <row r="302">
      <c r="A302" s="159"/>
      <c r="B302" s="159"/>
      <c r="C302" s="159"/>
      <c r="D302" s="159"/>
      <c r="E302" s="159"/>
      <c r="F302" s="159"/>
      <c r="G302" s="159"/>
      <c r="H302" s="159"/>
      <c r="I302" s="636"/>
      <c r="J302" s="654"/>
      <c r="K302" s="656"/>
      <c r="L302" s="159"/>
      <c r="M302" s="159"/>
      <c r="N302" s="159"/>
      <c r="O302" s="159"/>
      <c r="P302" s="159"/>
      <c r="Q302" s="159"/>
      <c r="R302" s="159"/>
      <c r="S302" s="636"/>
      <c r="T302" s="656"/>
      <c r="U302" s="658"/>
      <c r="V302" s="159"/>
      <c r="W302" s="159"/>
      <c r="X302" s="636"/>
      <c r="Y302" s="656"/>
      <c r="Z302" s="656"/>
      <c r="AA302" s="656"/>
      <c r="AB302" s="656"/>
    </row>
    <row r="303">
      <c r="A303" s="159"/>
      <c r="B303" s="159"/>
      <c r="C303" s="159"/>
      <c r="D303" s="159"/>
      <c r="E303" s="159"/>
      <c r="F303" s="159"/>
      <c r="G303" s="159"/>
      <c r="H303" s="159"/>
      <c r="I303" s="636"/>
      <c r="J303" s="654"/>
      <c r="K303" s="656"/>
      <c r="L303" s="159"/>
      <c r="M303" s="159"/>
      <c r="N303" s="159"/>
      <c r="O303" s="159"/>
      <c r="P303" s="159"/>
      <c r="Q303" s="159"/>
      <c r="R303" s="159"/>
      <c r="S303" s="636"/>
      <c r="T303" s="656"/>
      <c r="U303" s="658"/>
      <c r="V303" s="159"/>
      <c r="W303" s="159"/>
      <c r="X303" s="636"/>
      <c r="Y303" s="656"/>
      <c r="Z303" s="656"/>
      <c r="AA303" s="656"/>
      <c r="AB303" s="656"/>
    </row>
    <row r="304">
      <c r="A304" s="159"/>
      <c r="B304" s="159"/>
      <c r="C304" s="159"/>
      <c r="D304" s="159"/>
      <c r="E304" s="159"/>
      <c r="F304" s="159"/>
      <c r="G304" s="159"/>
      <c r="H304" s="159"/>
      <c r="I304" s="636"/>
      <c r="J304" s="654"/>
      <c r="K304" s="656"/>
      <c r="L304" s="159"/>
      <c r="M304" s="159"/>
      <c r="N304" s="159"/>
      <c r="O304" s="159"/>
      <c r="P304" s="159"/>
      <c r="Q304" s="159"/>
      <c r="R304" s="159"/>
      <c r="S304" s="636"/>
      <c r="T304" s="656"/>
      <c r="U304" s="658"/>
      <c r="V304" s="159"/>
      <c r="W304" s="159"/>
      <c r="X304" s="636"/>
      <c r="Y304" s="656"/>
      <c r="Z304" s="656"/>
      <c r="AA304" s="656"/>
      <c r="AB304" s="656"/>
    </row>
    <row r="305">
      <c r="A305" s="159"/>
      <c r="B305" s="159"/>
      <c r="C305" s="159"/>
      <c r="D305" s="159"/>
      <c r="E305" s="159"/>
      <c r="F305" s="159"/>
      <c r="G305" s="159"/>
      <c r="H305" s="159"/>
      <c r="I305" s="636"/>
      <c r="J305" s="654"/>
      <c r="K305" s="656"/>
      <c r="L305" s="159"/>
      <c r="M305" s="159"/>
      <c r="N305" s="159"/>
      <c r="O305" s="159"/>
      <c r="P305" s="159"/>
      <c r="Q305" s="159"/>
      <c r="R305" s="159"/>
      <c r="S305" s="636"/>
      <c r="T305" s="656"/>
      <c r="U305" s="658"/>
      <c r="V305" s="159"/>
      <c r="W305" s="159"/>
      <c r="X305" s="636"/>
      <c r="Y305" s="656"/>
      <c r="Z305" s="656"/>
      <c r="AA305" s="656"/>
      <c r="AB305" s="656"/>
    </row>
    <row r="306">
      <c r="A306" s="159"/>
      <c r="B306" s="159"/>
      <c r="C306" s="159"/>
      <c r="D306" s="159"/>
      <c r="E306" s="159"/>
      <c r="F306" s="159"/>
      <c r="G306" s="159"/>
      <c r="H306" s="159"/>
      <c r="I306" s="636"/>
      <c r="J306" s="654"/>
      <c r="K306" s="656"/>
      <c r="L306" s="159"/>
      <c r="M306" s="159"/>
      <c r="N306" s="159"/>
      <c r="O306" s="159"/>
      <c r="P306" s="159"/>
      <c r="Q306" s="159"/>
      <c r="R306" s="159"/>
      <c r="S306" s="636"/>
      <c r="T306" s="656"/>
      <c r="U306" s="658"/>
      <c r="V306" s="159"/>
      <c r="W306" s="159"/>
      <c r="X306" s="636"/>
      <c r="Y306" s="656"/>
      <c r="Z306" s="656"/>
      <c r="AA306" s="656"/>
      <c r="AB306" s="656"/>
    </row>
    <row r="307">
      <c r="A307" s="159"/>
      <c r="B307" s="159"/>
      <c r="C307" s="159"/>
      <c r="D307" s="159"/>
      <c r="E307" s="159"/>
      <c r="F307" s="159"/>
      <c r="G307" s="159"/>
      <c r="H307" s="159"/>
      <c r="I307" s="636"/>
      <c r="J307" s="654"/>
      <c r="K307" s="656"/>
      <c r="L307" s="159"/>
      <c r="M307" s="159"/>
      <c r="N307" s="159"/>
      <c r="O307" s="159"/>
      <c r="P307" s="159"/>
      <c r="Q307" s="159"/>
      <c r="R307" s="159"/>
      <c r="S307" s="636"/>
      <c r="T307" s="656"/>
      <c r="U307" s="658"/>
      <c r="V307" s="159"/>
      <c r="W307" s="159"/>
      <c r="X307" s="636"/>
      <c r="Y307" s="656"/>
      <c r="Z307" s="656"/>
      <c r="AA307" s="656"/>
      <c r="AB307" s="656"/>
    </row>
    <row r="308">
      <c r="A308" s="159"/>
      <c r="B308" s="159"/>
      <c r="C308" s="159"/>
      <c r="D308" s="159"/>
      <c r="E308" s="159"/>
      <c r="F308" s="159"/>
      <c r="G308" s="159"/>
      <c r="H308" s="159"/>
      <c r="I308" s="636"/>
      <c r="J308" s="654"/>
      <c r="K308" s="656"/>
      <c r="L308" s="159"/>
      <c r="M308" s="159"/>
      <c r="N308" s="159"/>
      <c r="O308" s="159"/>
      <c r="P308" s="159"/>
      <c r="Q308" s="159"/>
      <c r="R308" s="159"/>
      <c r="S308" s="636"/>
      <c r="T308" s="656"/>
      <c r="U308" s="658"/>
      <c r="V308" s="159"/>
      <c r="W308" s="159"/>
      <c r="X308" s="636"/>
      <c r="Y308" s="656"/>
      <c r="Z308" s="656"/>
      <c r="AA308" s="656"/>
      <c r="AB308" s="656"/>
    </row>
    <row r="309">
      <c r="A309" s="159"/>
      <c r="B309" s="159"/>
      <c r="C309" s="159"/>
      <c r="D309" s="159"/>
      <c r="E309" s="159"/>
      <c r="F309" s="159"/>
      <c r="G309" s="159"/>
      <c r="H309" s="159"/>
      <c r="I309" s="636"/>
      <c r="J309" s="654"/>
      <c r="K309" s="656"/>
      <c r="L309" s="159"/>
      <c r="M309" s="159"/>
      <c r="N309" s="159"/>
      <c r="O309" s="159"/>
      <c r="P309" s="159"/>
      <c r="Q309" s="159"/>
      <c r="R309" s="159"/>
      <c r="S309" s="636"/>
      <c r="T309" s="656"/>
      <c r="U309" s="658"/>
      <c r="V309" s="159"/>
      <c r="W309" s="159"/>
      <c r="X309" s="636"/>
      <c r="Y309" s="656"/>
      <c r="Z309" s="656"/>
      <c r="AA309" s="656"/>
      <c r="AB309" s="656"/>
    </row>
    <row r="310">
      <c r="A310" s="159"/>
      <c r="B310" s="159"/>
      <c r="C310" s="159"/>
      <c r="D310" s="159"/>
      <c r="E310" s="159"/>
      <c r="F310" s="159"/>
      <c r="G310" s="159"/>
      <c r="H310" s="159"/>
      <c r="I310" s="636"/>
      <c r="J310" s="654"/>
      <c r="K310" s="656"/>
      <c r="L310" s="159"/>
      <c r="M310" s="159"/>
      <c r="N310" s="159"/>
      <c r="O310" s="159"/>
      <c r="P310" s="159"/>
      <c r="Q310" s="159"/>
      <c r="R310" s="159"/>
      <c r="S310" s="636"/>
      <c r="T310" s="656"/>
      <c r="U310" s="658"/>
      <c r="V310" s="159"/>
      <c r="W310" s="159"/>
      <c r="X310" s="636"/>
      <c r="Y310" s="656"/>
      <c r="Z310" s="656"/>
      <c r="AA310" s="656"/>
      <c r="AB310" s="656"/>
    </row>
    <row r="311">
      <c r="A311" s="159"/>
      <c r="B311" s="159"/>
      <c r="C311" s="159"/>
      <c r="D311" s="159"/>
      <c r="E311" s="159"/>
      <c r="F311" s="159"/>
      <c r="G311" s="159"/>
      <c r="H311" s="159"/>
      <c r="I311" s="636"/>
      <c r="J311" s="654"/>
      <c r="K311" s="656"/>
      <c r="L311" s="159"/>
      <c r="M311" s="159"/>
      <c r="N311" s="159"/>
      <c r="O311" s="159"/>
      <c r="P311" s="159"/>
      <c r="Q311" s="159"/>
      <c r="R311" s="159"/>
      <c r="S311" s="636"/>
      <c r="T311" s="656"/>
      <c r="U311" s="658"/>
      <c r="V311" s="159"/>
      <c r="W311" s="159"/>
      <c r="X311" s="636"/>
      <c r="Y311" s="656"/>
      <c r="Z311" s="656"/>
      <c r="AA311" s="656"/>
      <c r="AB311" s="656"/>
    </row>
    <row r="312">
      <c r="A312" s="159"/>
      <c r="B312" s="159"/>
      <c r="C312" s="159"/>
      <c r="D312" s="159"/>
      <c r="E312" s="159"/>
      <c r="F312" s="159"/>
      <c r="G312" s="159"/>
      <c r="H312" s="159"/>
      <c r="I312" s="636"/>
      <c r="J312" s="654"/>
      <c r="K312" s="656"/>
      <c r="L312" s="159"/>
      <c r="M312" s="159"/>
      <c r="N312" s="159"/>
      <c r="O312" s="159"/>
      <c r="P312" s="159"/>
      <c r="Q312" s="159"/>
      <c r="R312" s="159"/>
      <c r="S312" s="636"/>
      <c r="T312" s="656"/>
      <c r="U312" s="658"/>
      <c r="V312" s="159"/>
      <c r="W312" s="159"/>
      <c r="X312" s="636"/>
      <c r="Y312" s="656"/>
      <c r="Z312" s="656"/>
      <c r="AA312" s="656"/>
      <c r="AB312" s="656"/>
    </row>
    <row r="313">
      <c r="A313" s="159"/>
      <c r="B313" s="159"/>
      <c r="C313" s="159"/>
      <c r="D313" s="159"/>
      <c r="E313" s="159"/>
      <c r="F313" s="159"/>
      <c r="G313" s="159"/>
      <c r="H313" s="159"/>
      <c r="I313" s="636"/>
      <c r="J313" s="654"/>
      <c r="K313" s="656"/>
      <c r="L313" s="159"/>
      <c r="M313" s="159"/>
      <c r="N313" s="159"/>
      <c r="O313" s="159"/>
      <c r="P313" s="159"/>
      <c r="Q313" s="159"/>
      <c r="R313" s="159"/>
      <c r="S313" s="636"/>
      <c r="T313" s="656"/>
      <c r="U313" s="658"/>
      <c r="V313" s="159"/>
      <c r="W313" s="159"/>
      <c r="X313" s="636"/>
      <c r="Y313" s="656"/>
      <c r="Z313" s="656"/>
      <c r="AA313" s="656"/>
      <c r="AB313" s="656"/>
    </row>
    <row r="314">
      <c r="A314" s="159"/>
      <c r="B314" s="159"/>
      <c r="C314" s="159"/>
      <c r="D314" s="159"/>
      <c r="E314" s="159"/>
      <c r="F314" s="159"/>
      <c r="G314" s="159"/>
      <c r="H314" s="159"/>
      <c r="I314" s="636"/>
      <c r="J314" s="654"/>
      <c r="K314" s="656"/>
      <c r="L314" s="159"/>
      <c r="M314" s="159"/>
      <c r="N314" s="159"/>
      <c r="O314" s="159"/>
      <c r="P314" s="159"/>
      <c r="Q314" s="159"/>
      <c r="R314" s="159"/>
      <c r="S314" s="636"/>
      <c r="T314" s="656"/>
      <c r="U314" s="658"/>
      <c r="V314" s="159"/>
      <c r="W314" s="159"/>
      <c r="X314" s="636"/>
      <c r="Y314" s="656"/>
      <c r="Z314" s="656"/>
      <c r="AA314" s="656"/>
      <c r="AB314" s="656"/>
    </row>
    <row r="315">
      <c r="A315" s="159"/>
      <c r="B315" s="159"/>
      <c r="C315" s="159"/>
      <c r="D315" s="159"/>
      <c r="E315" s="159"/>
      <c r="F315" s="159"/>
      <c r="G315" s="159"/>
      <c r="H315" s="159"/>
      <c r="I315" s="636"/>
      <c r="J315" s="654"/>
      <c r="K315" s="656"/>
      <c r="L315" s="159"/>
      <c r="M315" s="159"/>
      <c r="N315" s="159"/>
      <c r="O315" s="159"/>
      <c r="P315" s="159"/>
      <c r="Q315" s="159"/>
      <c r="R315" s="159"/>
      <c r="S315" s="636"/>
      <c r="T315" s="656"/>
      <c r="U315" s="658"/>
      <c r="V315" s="159"/>
      <c r="W315" s="159"/>
      <c r="X315" s="636"/>
      <c r="Y315" s="656"/>
      <c r="Z315" s="656"/>
      <c r="AA315" s="656"/>
      <c r="AB315" s="656"/>
    </row>
    <row r="316">
      <c r="A316" s="159"/>
      <c r="B316" s="159"/>
      <c r="C316" s="159"/>
      <c r="D316" s="159"/>
      <c r="E316" s="159"/>
      <c r="F316" s="159"/>
      <c r="G316" s="159"/>
      <c r="H316" s="159"/>
      <c r="I316" s="636"/>
      <c r="J316" s="654"/>
      <c r="K316" s="656"/>
      <c r="L316" s="159"/>
      <c r="M316" s="159"/>
      <c r="N316" s="159"/>
      <c r="O316" s="159"/>
      <c r="P316" s="159"/>
      <c r="Q316" s="159"/>
      <c r="R316" s="159"/>
      <c r="S316" s="636"/>
      <c r="T316" s="656"/>
      <c r="U316" s="658"/>
      <c r="V316" s="159"/>
      <c r="W316" s="159"/>
      <c r="X316" s="636"/>
      <c r="Y316" s="656"/>
      <c r="Z316" s="656"/>
      <c r="AA316" s="656"/>
      <c r="AB316" s="656"/>
    </row>
    <row r="317">
      <c r="A317" s="159"/>
      <c r="B317" s="159"/>
      <c r="C317" s="159"/>
      <c r="D317" s="159"/>
      <c r="E317" s="159"/>
      <c r="F317" s="159"/>
      <c r="G317" s="159"/>
      <c r="H317" s="159"/>
      <c r="I317" s="636"/>
      <c r="J317" s="654"/>
      <c r="K317" s="656"/>
      <c r="L317" s="159"/>
      <c r="M317" s="159"/>
      <c r="N317" s="159"/>
      <c r="O317" s="159"/>
      <c r="P317" s="159"/>
      <c r="Q317" s="159"/>
      <c r="R317" s="159"/>
      <c r="S317" s="636"/>
      <c r="T317" s="656"/>
      <c r="U317" s="658"/>
      <c r="V317" s="159"/>
      <c r="W317" s="159"/>
      <c r="X317" s="636"/>
      <c r="Y317" s="656"/>
      <c r="Z317" s="656"/>
      <c r="AA317" s="656"/>
      <c r="AB317" s="656"/>
    </row>
    <row r="318">
      <c r="A318" s="159"/>
      <c r="B318" s="159"/>
      <c r="C318" s="159"/>
      <c r="D318" s="159"/>
      <c r="E318" s="159"/>
      <c r="F318" s="159"/>
      <c r="G318" s="159"/>
      <c r="H318" s="159"/>
      <c r="I318" s="636"/>
      <c r="J318" s="654"/>
      <c r="K318" s="656"/>
      <c r="L318" s="159"/>
      <c r="M318" s="159"/>
      <c r="N318" s="159"/>
      <c r="O318" s="159"/>
      <c r="P318" s="159"/>
      <c r="Q318" s="159"/>
      <c r="R318" s="159"/>
      <c r="S318" s="636"/>
      <c r="T318" s="656"/>
      <c r="U318" s="658"/>
      <c r="V318" s="159"/>
      <c r="W318" s="159"/>
      <c r="X318" s="636"/>
      <c r="Y318" s="656"/>
      <c r="Z318" s="656"/>
      <c r="AA318" s="656"/>
      <c r="AB318" s="656"/>
    </row>
    <row r="319">
      <c r="A319" s="159"/>
      <c r="B319" s="159"/>
      <c r="C319" s="159"/>
      <c r="D319" s="159"/>
      <c r="E319" s="159"/>
      <c r="F319" s="159"/>
      <c r="G319" s="159"/>
      <c r="H319" s="159"/>
      <c r="I319" s="636"/>
      <c r="J319" s="654"/>
      <c r="K319" s="656"/>
      <c r="L319" s="159"/>
      <c r="M319" s="159"/>
      <c r="N319" s="159"/>
      <c r="O319" s="159"/>
      <c r="P319" s="159"/>
      <c r="Q319" s="159"/>
      <c r="R319" s="159"/>
      <c r="S319" s="636"/>
      <c r="T319" s="656"/>
      <c r="U319" s="658"/>
      <c r="V319" s="159"/>
      <c r="W319" s="159"/>
      <c r="X319" s="636"/>
      <c r="Y319" s="656"/>
      <c r="Z319" s="656"/>
      <c r="AA319" s="656"/>
      <c r="AB319" s="656"/>
    </row>
    <row r="320">
      <c r="A320" s="159"/>
      <c r="B320" s="159"/>
      <c r="C320" s="159"/>
      <c r="D320" s="159"/>
      <c r="E320" s="159"/>
      <c r="F320" s="159"/>
      <c r="G320" s="159"/>
      <c r="H320" s="159"/>
      <c r="I320" s="636"/>
      <c r="J320" s="654"/>
      <c r="K320" s="656"/>
      <c r="L320" s="159"/>
      <c r="M320" s="159"/>
      <c r="N320" s="159"/>
      <c r="O320" s="159"/>
      <c r="P320" s="159"/>
      <c r="Q320" s="159"/>
      <c r="R320" s="159"/>
      <c r="S320" s="636"/>
      <c r="T320" s="656"/>
      <c r="U320" s="658"/>
      <c r="V320" s="159"/>
      <c r="W320" s="159"/>
      <c r="X320" s="636"/>
      <c r="Y320" s="656"/>
      <c r="Z320" s="656"/>
      <c r="AA320" s="656"/>
      <c r="AB320" s="656"/>
    </row>
    <row r="321">
      <c r="A321" s="159"/>
      <c r="B321" s="159"/>
      <c r="C321" s="159"/>
      <c r="D321" s="159"/>
      <c r="E321" s="159"/>
      <c r="F321" s="159"/>
      <c r="G321" s="159"/>
      <c r="H321" s="159"/>
      <c r="I321" s="636"/>
      <c r="J321" s="654"/>
      <c r="K321" s="656"/>
      <c r="L321" s="159"/>
      <c r="M321" s="159"/>
      <c r="N321" s="159"/>
      <c r="O321" s="159"/>
      <c r="P321" s="159"/>
      <c r="Q321" s="159"/>
      <c r="R321" s="159"/>
      <c r="S321" s="636"/>
      <c r="T321" s="656"/>
      <c r="U321" s="658"/>
      <c r="V321" s="159"/>
      <c r="W321" s="159"/>
      <c r="X321" s="636"/>
      <c r="Y321" s="656"/>
      <c r="Z321" s="656"/>
      <c r="AA321" s="656"/>
      <c r="AB321" s="656"/>
    </row>
    <row r="322">
      <c r="A322" s="159"/>
      <c r="B322" s="159"/>
      <c r="C322" s="159"/>
      <c r="D322" s="159"/>
      <c r="E322" s="159"/>
      <c r="F322" s="159"/>
      <c r="G322" s="159"/>
      <c r="H322" s="159"/>
      <c r="I322" s="636"/>
      <c r="J322" s="654"/>
      <c r="K322" s="656"/>
      <c r="L322" s="159"/>
      <c r="M322" s="159"/>
      <c r="N322" s="159"/>
      <c r="O322" s="159"/>
      <c r="P322" s="159"/>
      <c r="Q322" s="159"/>
      <c r="R322" s="159"/>
      <c r="S322" s="636"/>
      <c r="T322" s="656"/>
      <c r="U322" s="658"/>
      <c r="V322" s="159"/>
      <c r="W322" s="159"/>
      <c r="X322" s="636"/>
      <c r="Y322" s="656"/>
      <c r="Z322" s="656"/>
      <c r="AA322" s="656"/>
      <c r="AB322" s="656"/>
    </row>
    <row r="323">
      <c r="A323" s="159"/>
      <c r="B323" s="159"/>
      <c r="C323" s="159"/>
      <c r="D323" s="159"/>
      <c r="E323" s="159"/>
      <c r="F323" s="159"/>
      <c r="G323" s="159"/>
      <c r="H323" s="159"/>
      <c r="I323" s="636"/>
      <c r="J323" s="654"/>
      <c r="K323" s="656"/>
      <c r="L323" s="159"/>
      <c r="M323" s="159"/>
      <c r="N323" s="159"/>
      <c r="O323" s="159"/>
      <c r="P323" s="159"/>
      <c r="Q323" s="159"/>
      <c r="R323" s="159"/>
      <c r="S323" s="636"/>
      <c r="T323" s="656"/>
      <c r="U323" s="658"/>
      <c r="V323" s="159"/>
      <c r="W323" s="159"/>
      <c r="X323" s="636"/>
      <c r="Y323" s="656"/>
      <c r="Z323" s="656"/>
      <c r="AA323" s="656"/>
      <c r="AB323" s="656"/>
    </row>
    <row r="324">
      <c r="A324" s="159"/>
      <c r="B324" s="159"/>
      <c r="C324" s="159"/>
      <c r="D324" s="159"/>
      <c r="E324" s="159"/>
      <c r="F324" s="159"/>
      <c r="G324" s="159"/>
      <c r="H324" s="159"/>
      <c r="I324" s="636"/>
      <c r="J324" s="654"/>
      <c r="K324" s="656"/>
      <c r="L324" s="159"/>
      <c r="M324" s="159"/>
      <c r="N324" s="159"/>
      <c r="O324" s="159"/>
      <c r="P324" s="159"/>
      <c r="Q324" s="159"/>
      <c r="R324" s="159"/>
      <c r="S324" s="636"/>
      <c r="T324" s="656"/>
      <c r="U324" s="658"/>
      <c r="V324" s="159"/>
      <c r="W324" s="159"/>
      <c r="X324" s="636"/>
      <c r="Y324" s="656"/>
      <c r="Z324" s="656"/>
      <c r="AA324" s="656"/>
      <c r="AB324" s="656"/>
    </row>
    <row r="325">
      <c r="A325" s="159"/>
      <c r="B325" s="159"/>
      <c r="C325" s="159"/>
      <c r="D325" s="159"/>
      <c r="E325" s="159"/>
      <c r="F325" s="159"/>
      <c r="G325" s="159"/>
      <c r="H325" s="159"/>
      <c r="I325" s="636"/>
      <c r="J325" s="654"/>
      <c r="K325" s="656"/>
      <c r="L325" s="159"/>
      <c r="M325" s="159"/>
      <c r="N325" s="159"/>
      <c r="O325" s="159"/>
      <c r="P325" s="159"/>
      <c r="Q325" s="159"/>
      <c r="R325" s="159"/>
      <c r="S325" s="636"/>
      <c r="T325" s="656"/>
      <c r="U325" s="658"/>
      <c r="V325" s="159"/>
      <c r="W325" s="159"/>
      <c r="X325" s="636"/>
      <c r="Y325" s="656"/>
      <c r="Z325" s="656"/>
      <c r="AA325" s="656"/>
      <c r="AB325" s="656"/>
    </row>
    <row r="326">
      <c r="A326" s="159"/>
      <c r="B326" s="159"/>
      <c r="C326" s="159"/>
      <c r="D326" s="159"/>
      <c r="E326" s="159"/>
      <c r="F326" s="159"/>
      <c r="G326" s="159"/>
      <c r="H326" s="159"/>
      <c r="I326" s="636"/>
      <c r="J326" s="654"/>
      <c r="K326" s="656"/>
      <c r="L326" s="159"/>
      <c r="M326" s="159"/>
      <c r="N326" s="159"/>
      <c r="O326" s="159"/>
      <c r="P326" s="159"/>
      <c r="Q326" s="159"/>
      <c r="R326" s="159"/>
      <c r="S326" s="636"/>
      <c r="T326" s="656"/>
      <c r="U326" s="658"/>
      <c r="V326" s="159"/>
      <c r="W326" s="159"/>
      <c r="X326" s="636"/>
      <c r="Y326" s="656"/>
      <c r="Z326" s="656"/>
      <c r="AA326" s="656"/>
      <c r="AB326" s="656"/>
    </row>
    <row r="327">
      <c r="A327" s="159"/>
      <c r="B327" s="159"/>
      <c r="C327" s="159"/>
      <c r="D327" s="159"/>
      <c r="E327" s="159"/>
      <c r="F327" s="159"/>
      <c r="G327" s="159"/>
      <c r="H327" s="159"/>
      <c r="I327" s="636"/>
      <c r="J327" s="654"/>
      <c r="K327" s="656"/>
      <c r="L327" s="159"/>
      <c r="M327" s="159"/>
      <c r="N327" s="159"/>
      <c r="O327" s="159"/>
      <c r="P327" s="159"/>
      <c r="Q327" s="159"/>
      <c r="R327" s="159"/>
      <c r="S327" s="636"/>
      <c r="T327" s="656"/>
      <c r="U327" s="658"/>
      <c r="V327" s="159"/>
      <c r="W327" s="159"/>
      <c r="X327" s="636"/>
      <c r="Y327" s="656"/>
      <c r="Z327" s="656"/>
      <c r="AA327" s="656"/>
      <c r="AB327" s="656"/>
    </row>
    <row r="328">
      <c r="A328" s="159"/>
      <c r="B328" s="159"/>
      <c r="C328" s="159"/>
      <c r="D328" s="159"/>
      <c r="E328" s="159"/>
      <c r="F328" s="159"/>
      <c r="G328" s="159"/>
      <c r="H328" s="159"/>
      <c r="I328" s="636"/>
      <c r="J328" s="654"/>
      <c r="K328" s="656"/>
      <c r="L328" s="159"/>
      <c r="M328" s="159"/>
      <c r="N328" s="159"/>
      <c r="O328" s="159"/>
      <c r="P328" s="159"/>
      <c r="Q328" s="159"/>
      <c r="R328" s="159"/>
      <c r="S328" s="636"/>
      <c r="T328" s="656"/>
      <c r="U328" s="658"/>
      <c r="V328" s="159"/>
      <c r="W328" s="159"/>
      <c r="X328" s="636"/>
      <c r="Y328" s="656"/>
      <c r="Z328" s="656"/>
      <c r="AA328" s="656"/>
      <c r="AB328" s="656"/>
    </row>
    <row r="329">
      <c r="A329" s="159"/>
      <c r="B329" s="159"/>
      <c r="C329" s="159"/>
      <c r="D329" s="159"/>
      <c r="E329" s="159"/>
      <c r="F329" s="159"/>
      <c r="G329" s="159"/>
      <c r="H329" s="159"/>
      <c r="I329" s="636"/>
      <c r="J329" s="654"/>
      <c r="K329" s="656"/>
      <c r="L329" s="159"/>
      <c r="M329" s="159"/>
      <c r="N329" s="159"/>
      <c r="O329" s="159"/>
      <c r="P329" s="159"/>
      <c r="Q329" s="159"/>
      <c r="R329" s="159"/>
      <c r="S329" s="636"/>
      <c r="T329" s="656"/>
      <c r="U329" s="658"/>
      <c r="V329" s="159"/>
      <c r="W329" s="159"/>
      <c r="X329" s="636"/>
      <c r="Y329" s="656"/>
      <c r="Z329" s="656"/>
      <c r="AA329" s="656"/>
      <c r="AB329" s="656"/>
    </row>
    <row r="330">
      <c r="A330" s="159"/>
      <c r="B330" s="159"/>
      <c r="C330" s="159"/>
      <c r="D330" s="159"/>
      <c r="E330" s="159"/>
      <c r="F330" s="159"/>
      <c r="G330" s="159"/>
      <c r="H330" s="159"/>
      <c r="I330" s="636"/>
      <c r="J330" s="654"/>
      <c r="K330" s="656"/>
      <c r="L330" s="159"/>
      <c r="M330" s="159"/>
      <c r="N330" s="159"/>
      <c r="O330" s="159"/>
      <c r="P330" s="159"/>
      <c r="Q330" s="159"/>
      <c r="R330" s="159"/>
      <c r="S330" s="636"/>
      <c r="T330" s="656"/>
      <c r="U330" s="658"/>
      <c r="V330" s="159"/>
      <c r="W330" s="159"/>
      <c r="X330" s="636"/>
      <c r="Y330" s="656"/>
      <c r="Z330" s="656"/>
      <c r="AA330" s="656"/>
      <c r="AB330" s="656"/>
    </row>
    <row r="331">
      <c r="A331" s="159"/>
      <c r="B331" s="159"/>
      <c r="C331" s="159"/>
      <c r="D331" s="159"/>
      <c r="E331" s="159"/>
      <c r="F331" s="159"/>
      <c r="G331" s="159"/>
      <c r="H331" s="159"/>
      <c r="I331" s="636"/>
      <c r="J331" s="654"/>
      <c r="K331" s="656"/>
      <c r="L331" s="159"/>
      <c r="M331" s="159"/>
      <c r="N331" s="159"/>
      <c r="O331" s="159"/>
      <c r="P331" s="159"/>
      <c r="Q331" s="159"/>
      <c r="R331" s="159"/>
      <c r="S331" s="636"/>
      <c r="T331" s="656"/>
      <c r="U331" s="658"/>
      <c r="V331" s="159"/>
      <c r="W331" s="159"/>
      <c r="X331" s="636"/>
      <c r="Y331" s="656"/>
      <c r="Z331" s="656"/>
      <c r="AA331" s="656"/>
      <c r="AB331" s="656"/>
    </row>
    <row r="332">
      <c r="A332" s="159"/>
      <c r="B332" s="159"/>
      <c r="C332" s="159"/>
      <c r="D332" s="159"/>
      <c r="E332" s="159"/>
      <c r="F332" s="159"/>
      <c r="G332" s="159"/>
      <c r="H332" s="159"/>
      <c r="I332" s="636"/>
      <c r="J332" s="654"/>
      <c r="K332" s="656"/>
      <c r="L332" s="159"/>
      <c r="M332" s="159"/>
      <c r="N332" s="159"/>
      <c r="O332" s="159"/>
      <c r="P332" s="159"/>
      <c r="Q332" s="159"/>
      <c r="R332" s="159"/>
      <c r="S332" s="636"/>
      <c r="T332" s="656"/>
      <c r="U332" s="658"/>
      <c r="V332" s="159"/>
      <c r="W332" s="159"/>
      <c r="X332" s="636"/>
      <c r="Y332" s="656"/>
      <c r="Z332" s="656"/>
      <c r="AA332" s="656"/>
      <c r="AB332" s="656"/>
    </row>
    <row r="333">
      <c r="A333" s="159"/>
      <c r="B333" s="159"/>
      <c r="C333" s="159"/>
      <c r="D333" s="159"/>
      <c r="E333" s="159"/>
      <c r="F333" s="159"/>
      <c r="G333" s="159"/>
      <c r="H333" s="159"/>
      <c r="I333" s="636"/>
      <c r="J333" s="654"/>
      <c r="K333" s="656"/>
      <c r="L333" s="159"/>
      <c r="M333" s="159"/>
      <c r="N333" s="159"/>
      <c r="O333" s="159"/>
      <c r="P333" s="159"/>
      <c r="Q333" s="159"/>
      <c r="R333" s="159"/>
      <c r="S333" s="636"/>
      <c r="T333" s="656"/>
      <c r="U333" s="658"/>
      <c r="V333" s="159"/>
      <c r="W333" s="159"/>
      <c r="X333" s="636"/>
      <c r="Y333" s="656"/>
      <c r="Z333" s="656"/>
      <c r="AA333" s="656"/>
      <c r="AB333" s="656"/>
    </row>
    <row r="334">
      <c r="A334" s="159"/>
      <c r="B334" s="159"/>
      <c r="C334" s="159"/>
      <c r="D334" s="159"/>
      <c r="E334" s="159"/>
      <c r="F334" s="159"/>
      <c r="G334" s="159"/>
      <c r="H334" s="159"/>
      <c r="I334" s="636"/>
      <c r="J334" s="654"/>
      <c r="K334" s="656"/>
      <c r="L334" s="159"/>
      <c r="M334" s="159"/>
      <c r="N334" s="159"/>
      <c r="O334" s="159"/>
      <c r="P334" s="159"/>
      <c r="Q334" s="159"/>
      <c r="R334" s="159"/>
      <c r="S334" s="636"/>
      <c r="T334" s="656"/>
      <c r="U334" s="658"/>
      <c r="V334" s="159"/>
      <c r="W334" s="159"/>
      <c r="X334" s="636"/>
      <c r="Y334" s="656"/>
      <c r="Z334" s="656"/>
      <c r="AA334" s="656"/>
      <c r="AB334" s="656"/>
    </row>
    <row r="335">
      <c r="A335" s="159"/>
      <c r="B335" s="159"/>
      <c r="C335" s="159"/>
      <c r="D335" s="159"/>
      <c r="E335" s="159"/>
      <c r="F335" s="159"/>
      <c r="G335" s="159"/>
      <c r="H335" s="159"/>
      <c r="I335" s="636"/>
      <c r="J335" s="654"/>
      <c r="K335" s="656"/>
      <c r="L335" s="159"/>
      <c r="M335" s="159"/>
      <c r="N335" s="159"/>
      <c r="O335" s="159"/>
      <c r="P335" s="159"/>
      <c r="Q335" s="159"/>
      <c r="R335" s="159"/>
      <c r="S335" s="636"/>
      <c r="T335" s="656"/>
      <c r="U335" s="658"/>
      <c r="V335" s="159"/>
      <c r="W335" s="159"/>
      <c r="X335" s="636"/>
      <c r="Y335" s="656"/>
      <c r="Z335" s="656"/>
      <c r="AA335" s="656"/>
      <c r="AB335" s="656"/>
    </row>
    <row r="336">
      <c r="A336" s="159"/>
      <c r="B336" s="159"/>
      <c r="C336" s="159"/>
      <c r="D336" s="159"/>
      <c r="E336" s="159"/>
      <c r="F336" s="159"/>
      <c r="G336" s="159"/>
      <c r="H336" s="159"/>
      <c r="I336" s="636"/>
      <c r="J336" s="654"/>
      <c r="K336" s="656"/>
      <c r="L336" s="159"/>
      <c r="M336" s="159"/>
      <c r="N336" s="159"/>
      <c r="O336" s="159"/>
      <c r="P336" s="159"/>
      <c r="Q336" s="159"/>
      <c r="R336" s="159"/>
      <c r="S336" s="636"/>
      <c r="T336" s="656"/>
      <c r="U336" s="658"/>
      <c r="V336" s="159"/>
      <c r="W336" s="159"/>
      <c r="X336" s="636"/>
      <c r="Y336" s="656"/>
      <c r="Z336" s="656"/>
      <c r="AA336" s="656"/>
      <c r="AB336" s="656"/>
    </row>
    <row r="337">
      <c r="A337" s="159"/>
      <c r="B337" s="159"/>
      <c r="C337" s="159"/>
      <c r="D337" s="159"/>
      <c r="E337" s="159"/>
      <c r="F337" s="159"/>
      <c r="G337" s="159"/>
      <c r="H337" s="159"/>
      <c r="I337" s="636"/>
      <c r="J337" s="654"/>
      <c r="K337" s="656"/>
      <c r="L337" s="159"/>
      <c r="M337" s="159"/>
      <c r="N337" s="159"/>
      <c r="O337" s="159"/>
      <c r="P337" s="159"/>
      <c r="Q337" s="159"/>
      <c r="R337" s="159"/>
      <c r="S337" s="636"/>
      <c r="T337" s="656"/>
      <c r="U337" s="658"/>
      <c r="V337" s="159"/>
      <c r="W337" s="159"/>
      <c r="X337" s="636"/>
      <c r="Y337" s="656"/>
      <c r="Z337" s="656"/>
      <c r="AA337" s="656"/>
      <c r="AB337" s="656"/>
    </row>
    <row r="338">
      <c r="A338" s="159"/>
      <c r="B338" s="159"/>
      <c r="C338" s="159"/>
      <c r="D338" s="159"/>
      <c r="E338" s="159"/>
      <c r="F338" s="159"/>
      <c r="G338" s="159"/>
      <c r="H338" s="159"/>
      <c r="I338" s="636"/>
      <c r="J338" s="654"/>
      <c r="K338" s="656"/>
      <c r="L338" s="159"/>
      <c r="M338" s="159"/>
      <c r="N338" s="159"/>
      <c r="O338" s="159"/>
      <c r="P338" s="159"/>
      <c r="Q338" s="159"/>
      <c r="R338" s="159"/>
      <c r="S338" s="636"/>
      <c r="T338" s="656"/>
      <c r="U338" s="658"/>
      <c r="V338" s="159"/>
      <c r="W338" s="159"/>
      <c r="X338" s="636"/>
      <c r="Y338" s="656"/>
      <c r="Z338" s="656"/>
      <c r="AA338" s="656"/>
      <c r="AB338" s="656"/>
    </row>
    <row r="339">
      <c r="A339" s="159"/>
      <c r="B339" s="159"/>
      <c r="C339" s="159"/>
      <c r="D339" s="159"/>
      <c r="E339" s="159"/>
      <c r="F339" s="159"/>
      <c r="G339" s="159"/>
      <c r="H339" s="159"/>
      <c r="I339" s="636"/>
      <c r="J339" s="654"/>
      <c r="K339" s="656"/>
      <c r="L339" s="159"/>
      <c r="M339" s="159"/>
      <c r="N339" s="159"/>
      <c r="O339" s="159"/>
      <c r="P339" s="159"/>
      <c r="Q339" s="159"/>
      <c r="R339" s="159"/>
      <c r="S339" s="636"/>
      <c r="T339" s="656"/>
      <c r="U339" s="658"/>
      <c r="V339" s="159"/>
      <c r="W339" s="159"/>
      <c r="X339" s="636"/>
      <c r="Y339" s="656"/>
      <c r="Z339" s="656"/>
      <c r="AA339" s="656"/>
      <c r="AB339" s="656"/>
    </row>
    <row r="340">
      <c r="A340" s="159"/>
      <c r="B340" s="159"/>
      <c r="C340" s="159"/>
      <c r="D340" s="159"/>
      <c r="E340" s="159"/>
      <c r="F340" s="159"/>
      <c r="G340" s="159"/>
      <c r="H340" s="159"/>
      <c r="I340" s="636"/>
      <c r="J340" s="654"/>
      <c r="K340" s="656"/>
      <c r="L340" s="159"/>
      <c r="M340" s="159"/>
      <c r="N340" s="159"/>
      <c r="O340" s="159"/>
      <c r="P340" s="159"/>
      <c r="Q340" s="159"/>
      <c r="R340" s="159"/>
      <c r="S340" s="636"/>
      <c r="T340" s="656"/>
      <c r="U340" s="658"/>
      <c r="V340" s="159"/>
      <c r="W340" s="159"/>
      <c r="X340" s="636"/>
      <c r="Y340" s="656"/>
      <c r="Z340" s="656"/>
      <c r="AA340" s="656"/>
      <c r="AB340" s="656"/>
    </row>
    <row r="341">
      <c r="A341" s="159"/>
      <c r="B341" s="159"/>
      <c r="C341" s="159"/>
      <c r="D341" s="159"/>
      <c r="E341" s="159"/>
      <c r="F341" s="159"/>
      <c r="G341" s="159"/>
      <c r="H341" s="159"/>
      <c r="I341" s="636"/>
      <c r="J341" s="654"/>
      <c r="K341" s="656"/>
      <c r="L341" s="159"/>
      <c r="M341" s="159"/>
      <c r="N341" s="159"/>
      <c r="O341" s="159"/>
      <c r="P341" s="159"/>
      <c r="Q341" s="159"/>
      <c r="R341" s="159"/>
      <c r="S341" s="636"/>
      <c r="T341" s="656"/>
      <c r="U341" s="658"/>
      <c r="V341" s="159"/>
      <c r="W341" s="159"/>
      <c r="X341" s="636"/>
      <c r="Y341" s="656"/>
      <c r="Z341" s="656"/>
      <c r="AA341" s="656"/>
      <c r="AB341" s="656"/>
    </row>
    <row r="342">
      <c r="A342" s="159"/>
      <c r="B342" s="159"/>
      <c r="C342" s="159"/>
      <c r="D342" s="159"/>
      <c r="E342" s="159"/>
      <c r="F342" s="159"/>
      <c r="G342" s="159"/>
      <c r="H342" s="159"/>
      <c r="I342" s="636"/>
      <c r="J342" s="654"/>
      <c r="K342" s="656"/>
      <c r="L342" s="159"/>
      <c r="M342" s="159"/>
      <c r="N342" s="159"/>
      <c r="O342" s="159"/>
      <c r="P342" s="159"/>
      <c r="Q342" s="159"/>
      <c r="R342" s="159"/>
      <c r="S342" s="636"/>
      <c r="T342" s="656"/>
      <c r="U342" s="658"/>
      <c r="V342" s="159"/>
      <c r="W342" s="159"/>
      <c r="X342" s="636"/>
      <c r="Y342" s="656"/>
      <c r="Z342" s="656"/>
      <c r="AA342" s="656"/>
      <c r="AB342" s="656"/>
    </row>
    <row r="343">
      <c r="A343" s="159"/>
      <c r="B343" s="159"/>
      <c r="C343" s="159"/>
      <c r="D343" s="159"/>
      <c r="E343" s="159"/>
      <c r="F343" s="159"/>
      <c r="G343" s="159"/>
      <c r="H343" s="159"/>
      <c r="I343" s="636"/>
      <c r="J343" s="654"/>
      <c r="K343" s="656"/>
      <c r="L343" s="159"/>
      <c r="M343" s="159"/>
      <c r="N343" s="159"/>
      <c r="O343" s="159"/>
      <c r="P343" s="159"/>
      <c r="Q343" s="159"/>
      <c r="R343" s="159"/>
      <c r="S343" s="636"/>
      <c r="T343" s="656"/>
      <c r="U343" s="658"/>
      <c r="V343" s="159"/>
      <c r="W343" s="159"/>
      <c r="X343" s="636"/>
      <c r="Y343" s="656"/>
      <c r="Z343" s="656"/>
      <c r="AA343" s="656"/>
      <c r="AB343" s="656"/>
    </row>
    <row r="344">
      <c r="A344" s="159"/>
      <c r="B344" s="159"/>
      <c r="C344" s="159"/>
      <c r="D344" s="159"/>
      <c r="E344" s="159"/>
      <c r="F344" s="159"/>
      <c r="G344" s="159"/>
      <c r="H344" s="159"/>
      <c r="I344" s="636"/>
      <c r="J344" s="654"/>
      <c r="K344" s="656"/>
      <c r="L344" s="159"/>
      <c r="M344" s="159"/>
      <c r="N344" s="159"/>
      <c r="O344" s="159"/>
      <c r="P344" s="159"/>
      <c r="Q344" s="159"/>
      <c r="R344" s="159"/>
      <c r="S344" s="636"/>
      <c r="T344" s="656"/>
      <c r="U344" s="658"/>
      <c r="V344" s="159"/>
      <c r="W344" s="159"/>
      <c r="X344" s="636"/>
      <c r="Y344" s="656"/>
      <c r="Z344" s="656"/>
      <c r="AA344" s="656"/>
      <c r="AB344" s="656"/>
    </row>
    <row r="345">
      <c r="A345" s="159"/>
      <c r="B345" s="159"/>
      <c r="C345" s="159"/>
      <c r="D345" s="159"/>
      <c r="E345" s="159"/>
      <c r="F345" s="159"/>
      <c r="G345" s="159"/>
      <c r="H345" s="159"/>
      <c r="I345" s="636"/>
      <c r="J345" s="654"/>
      <c r="K345" s="656"/>
      <c r="L345" s="159"/>
      <c r="M345" s="159"/>
      <c r="N345" s="159"/>
      <c r="O345" s="159"/>
      <c r="P345" s="159"/>
      <c r="Q345" s="159"/>
      <c r="R345" s="159"/>
      <c r="S345" s="636"/>
      <c r="T345" s="656"/>
      <c r="U345" s="658"/>
      <c r="V345" s="159"/>
      <c r="W345" s="159"/>
      <c r="X345" s="636"/>
      <c r="Y345" s="656"/>
      <c r="Z345" s="656"/>
      <c r="AA345" s="656"/>
      <c r="AB345" s="656"/>
    </row>
    <row r="346">
      <c r="A346" s="159"/>
      <c r="B346" s="159"/>
      <c r="C346" s="159"/>
      <c r="D346" s="159"/>
      <c r="E346" s="159"/>
      <c r="F346" s="159"/>
      <c r="G346" s="159"/>
      <c r="H346" s="159"/>
      <c r="I346" s="636"/>
      <c r="J346" s="654"/>
      <c r="K346" s="656"/>
      <c r="L346" s="159"/>
      <c r="M346" s="159"/>
      <c r="N346" s="159"/>
      <c r="O346" s="159"/>
      <c r="P346" s="159"/>
      <c r="Q346" s="159"/>
      <c r="R346" s="159"/>
      <c r="S346" s="636"/>
      <c r="T346" s="656"/>
      <c r="U346" s="658"/>
      <c r="V346" s="159"/>
      <c r="W346" s="159"/>
      <c r="X346" s="636"/>
      <c r="Y346" s="656"/>
      <c r="Z346" s="656"/>
      <c r="AA346" s="656"/>
      <c r="AB346" s="656"/>
    </row>
    <row r="347">
      <c r="A347" s="159"/>
      <c r="B347" s="159"/>
      <c r="C347" s="159"/>
      <c r="D347" s="159"/>
      <c r="E347" s="159"/>
      <c r="F347" s="159"/>
      <c r="G347" s="159"/>
      <c r="H347" s="159"/>
      <c r="I347" s="636"/>
      <c r="J347" s="654"/>
      <c r="K347" s="656"/>
      <c r="L347" s="159"/>
      <c r="M347" s="159"/>
      <c r="N347" s="159"/>
      <c r="O347" s="159"/>
      <c r="P347" s="159"/>
      <c r="Q347" s="159"/>
      <c r="R347" s="159"/>
      <c r="S347" s="636"/>
      <c r="T347" s="656"/>
      <c r="U347" s="658"/>
      <c r="V347" s="159"/>
      <c r="W347" s="159"/>
      <c r="X347" s="636"/>
      <c r="Y347" s="656"/>
      <c r="Z347" s="656"/>
      <c r="AA347" s="656"/>
      <c r="AB347" s="656"/>
    </row>
    <row r="348">
      <c r="A348" s="159"/>
      <c r="B348" s="159"/>
      <c r="C348" s="159"/>
      <c r="D348" s="159"/>
      <c r="E348" s="159"/>
      <c r="F348" s="159"/>
      <c r="G348" s="159"/>
      <c r="H348" s="159"/>
      <c r="I348" s="636"/>
      <c r="J348" s="654"/>
      <c r="K348" s="656"/>
      <c r="L348" s="159"/>
      <c r="M348" s="159"/>
      <c r="N348" s="159"/>
      <c r="O348" s="159"/>
      <c r="P348" s="159"/>
      <c r="Q348" s="159"/>
      <c r="R348" s="159"/>
      <c r="S348" s="636"/>
      <c r="T348" s="656"/>
      <c r="U348" s="658"/>
      <c r="V348" s="159"/>
      <c r="W348" s="159"/>
      <c r="X348" s="636"/>
      <c r="Y348" s="656"/>
      <c r="Z348" s="656"/>
      <c r="AA348" s="656"/>
      <c r="AB348" s="656"/>
    </row>
    <row r="349">
      <c r="A349" s="159"/>
      <c r="B349" s="159"/>
      <c r="C349" s="159"/>
      <c r="D349" s="159"/>
      <c r="E349" s="159"/>
      <c r="F349" s="159"/>
      <c r="G349" s="159"/>
      <c r="H349" s="159"/>
      <c r="I349" s="636"/>
      <c r="J349" s="654"/>
      <c r="K349" s="656"/>
      <c r="L349" s="159"/>
      <c r="M349" s="159"/>
      <c r="N349" s="159"/>
      <c r="O349" s="159"/>
      <c r="P349" s="159"/>
      <c r="Q349" s="159"/>
      <c r="R349" s="159"/>
      <c r="S349" s="636"/>
      <c r="T349" s="656"/>
      <c r="U349" s="658"/>
      <c r="V349" s="159"/>
      <c r="W349" s="159"/>
      <c r="X349" s="636"/>
      <c r="Y349" s="656"/>
      <c r="Z349" s="656"/>
      <c r="AA349" s="656"/>
      <c r="AB349" s="656"/>
    </row>
    <row r="350">
      <c r="A350" s="159"/>
      <c r="B350" s="159"/>
      <c r="C350" s="159"/>
      <c r="D350" s="159"/>
      <c r="E350" s="159"/>
      <c r="F350" s="159"/>
      <c r="G350" s="159"/>
      <c r="H350" s="159"/>
      <c r="I350" s="636"/>
      <c r="J350" s="654"/>
      <c r="K350" s="656"/>
      <c r="L350" s="159"/>
      <c r="M350" s="159"/>
      <c r="N350" s="159"/>
      <c r="O350" s="159"/>
      <c r="P350" s="159"/>
      <c r="Q350" s="159"/>
      <c r="R350" s="159"/>
      <c r="S350" s="636"/>
      <c r="T350" s="656"/>
      <c r="U350" s="658"/>
      <c r="V350" s="159"/>
      <c r="W350" s="159"/>
      <c r="X350" s="636"/>
      <c r="Y350" s="656"/>
      <c r="Z350" s="656"/>
      <c r="AA350" s="656"/>
      <c r="AB350" s="656"/>
    </row>
    <row r="351">
      <c r="A351" s="159"/>
      <c r="B351" s="159"/>
      <c r="C351" s="159"/>
      <c r="D351" s="159"/>
      <c r="E351" s="159"/>
      <c r="F351" s="159"/>
      <c r="G351" s="159"/>
      <c r="H351" s="159"/>
      <c r="I351" s="636"/>
      <c r="J351" s="654"/>
      <c r="K351" s="656"/>
      <c r="L351" s="159"/>
      <c r="M351" s="159"/>
      <c r="N351" s="159"/>
      <c r="O351" s="159"/>
      <c r="P351" s="159"/>
      <c r="Q351" s="159"/>
      <c r="R351" s="159"/>
      <c r="S351" s="636"/>
      <c r="T351" s="656"/>
      <c r="U351" s="658"/>
      <c r="V351" s="159"/>
      <c r="W351" s="159"/>
      <c r="X351" s="636"/>
      <c r="Y351" s="656"/>
      <c r="Z351" s="656"/>
      <c r="AA351" s="656"/>
      <c r="AB351" s="656"/>
    </row>
    <row r="352">
      <c r="A352" s="159"/>
      <c r="B352" s="159"/>
      <c r="C352" s="159"/>
      <c r="D352" s="159"/>
      <c r="E352" s="159"/>
      <c r="F352" s="159"/>
      <c r="G352" s="159"/>
      <c r="H352" s="159"/>
      <c r="I352" s="636"/>
      <c r="J352" s="654"/>
      <c r="K352" s="656"/>
      <c r="L352" s="159"/>
      <c r="M352" s="159"/>
      <c r="N352" s="159"/>
      <c r="O352" s="159"/>
      <c r="P352" s="159"/>
      <c r="Q352" s="159"/>
      <c r="R352" s="159"/>
      <c r="S352" s="636"/>
      <c r="T352" s="656"/>
      <c r="U352" s="658"/>
      <c r="V352" s="159"/>
      <c r="W352" s="159"/>
      <c r="X352" s="636"/>
      <c r="Y352" s="656"/>
      <c r="Z352" s="656"/>
      <c r="AA352" s="656"/>
      <c r="AB352" s="656"/>
    </row>
    <row r="353">
      <c r="A353" s="159"/>
      <c r="B353" s="159"/>
      <c r="C353" s="159"/>
      <c r="D353" s="159"/>
      <c r="E353" s="159"/>
      <c r="F353" s="159"/>
      <c r="G353" s="159"/>
      <c r="H353" s="159"/>
      <c r="I353" s="636"/>
      <c r="J353" s="654"/>
      <c r="K353" s="656"/>
      <c r="L353" s="159"/>
      <c r="M353" s="159"/>
      <c r="N353" s="159"/>
      <c r="O353" s="159"/>
      <c r="P353" s="159"/>
      <c r="Q353" s="159"/>
      <c r="R353" s="159"/>
      <c r="S353" s="636"/>
      <c r="T353" s="656"/>
      <c r="U353" s="658"/>
      <c r="V353" s="159"/>
      <c r="W353" s="159"/>
      <c r="X353" s="636"/>
      <c r="Y353" s="656"/>
      <c r="Z353" s="656"/>
      <c r="AA353" s="656"/>
      <c r="AB353" s="656"/>
    </row>
    <row r="354">
      <c r="A354" s="159"/>
      <c r="B354" s="159"/>
      <c r="C354" s="159"/>
      <c r="D354" s="159"/>
      <c r="E354" s="159"/>
      <c r="F354" s="159"/>
      <c r="G354" s="159"/>
      <c r="H354" s="159"/>
      <c r="I354" s="636"/>
      <c r="J354" s="654"/>
      <c r="K354" s="656"/>
      <c r="L354" s="159"/>
      <c r="M354" s="159"/>
      <c r="N354" s="159"/>
      <c r="O354" s="159"/>
      <c r="P354" s="159"/>
      <c r="Q354" s="159"/>
      <c r="R354" s="159"/>
      <c r="S354" s="636"/>
      <c r="T354" s="656"/>
      <c r="U354" s="658"/>
      <c r="V354" s="159"/>
      <c r="W354" s="159"/>
      <c r="X354" s="636"/>
      <c r="Y354" s="656"/>
      <c r="Z354" s="656"/>
      <c r="AA354" s="656"/>
      <c r="AB354" s="656"/>
    </row>
    <row r="355">
      <c r="A355" s="159"/>
      <c r="B355" s="159"/>
      <c r="C355" s="159"/>
      <c r="D355" s="159"/>
      <c r="E355" s="159"/>
      <c r="F355" s="159"/>
      <c r="G355" s="159"/>
      <c r="H355" s="159"/>
      <c r="I355" s="636"/>
      <c r="J355" s="654"/>
      <c r="K355" s="656"/>
      <c r="L355" s="159"/>
      <c r="M355" s="159"/>
      <c r="N355" s="159"/>
      <c r="O355" s="159"/>
      <c r="P355" s="159"/>
      <c r="Q355" s="159"/>
      <c r="R355" s="159"/>
      <c r="S355" s="636"/>
      <c r="T355" s="656"/>
      <c r="U355" s="658"/>
      <c r="V355" s="159"/>
      <c r="W355" s="159"/>
      <c r="X355" s="636"/>
      <c r="Y355" s="656"/>
      <c r="Z355" s="656"/>
      <c r="AA355" s="656"/>
      <c r="AB355" s="656"/>
    </row>
    <row r="356">
      <c r="A356" s="159"/>
      <c r="B356" s="159"/>
      <c r="C356" s="159"/>
      <c r="D356" s="159"/>
      <c r="E356" s="159"/>
      <c r="F356" s="159"/>
      <c r="G356" s="159"/>
      <c r="H356" s="159"/>
      <c r="I356" s="636"/>
      <c r="J356" s="654"/>
      <c r="K356" s="656"/>
      <c r="L356" s="159"/>
      <c r="M356" s="159"/>
      <c r="N356" s="159"/>
      <c r="O356" s="159"/>
      <c r="P356" s="159"/>
      <c r="Q356" s="159"/>
      <c r="R356" s="159"/>
      <c r="S356" s="636"/>
      <c r="T356" s="656"/>
      <c r="U356" s="658"/>
      <c r="V356" s="159"/>
      <c r="W356" s="159"/>
      <c r="X356" s="636"/>
      <c r="Y356" s="656"/>
      <c r="Z356" s="656"/>
      <c r="AA356" s="656"/>
      <c r="AB356" s="656"/>
    </row>
    <row r="357">
      <c r="A357" s="159"/>
      <c r="B357" s="159"/>
      <c r="C357" s="159"/>
      <c r="D357" s="159"/>
      <c r="E357" s="159"/>
      <c r="F357" s="159"/>
      <c r="G357" s="159"/>
      <c r="H357" s="159"/>
      <c r="I357" s="636"/>
      <c r="J357" s="654"/>
      <c r="K357" s="656"/>
      <c r="L357" s="159"/>
      <c r="M357" s="159"/>
      <c r="N357" s="159"/>
      <c r="O357" s="159"/>
      <c r="P357" s="159"/>
      <c r="Q357" s="159"/>
      <c r="R357" s="159"/>
      <c r="S357" s="636"/>
      <c r="T357" s="656"/>
      <c r="U357" s="658"/>
      <c r="V357" s="159"/>
      <c r="W357" s="159"/>
      <c r="X357" s="636"/>
      <c r="Y357" s="656"/>
      <c r="Z357" s="656"/>
      <c r="AA357" s="656"/>
      <c r="AB357" s="656"/>
    </row>
    <row r="358">
      <c r="A358" s="159"/>
      <c r="B358" s="159"/>
      <c r="C358" s="159"/>
      <c r="D358" s="159"/>
      <c r="E358" s="159"/>
      <c r="F358" s="159"/>
      <c r="G358" s="159"/>
      <c r="H358" s="159"/>
      <c r="I358" s="636"/>
      <c r="J358" s="654"/>
      <c r="K358" s="656"/>
      <c r="L358" s="159"/>
      <c r="M358" s="159"/>
      <c r="N358" s="159"/>
      <c r="O358" s="159"/>
      <c r="P358" s="159"/>
      <c r="Q358" s="159"/>
      <c r="R358" s="159"/>
      <c r="S358" s="636"/>
      <c r="T358" s="656"/>
      <c r="U358" s="658"/>
      <c r="V358" s="159"/>
      <c r="W358" s="159"/>
      <c r="X358" s="636"/>
      <c r="Y358" s="656"/>
      <c r="Z358" s="656"/>
      <c r="AA358" s="656"/>
      <c r="AB358" s="656"/>
    </row>
    <row r="359">
      <c r="A359" s="159"/>
      <c r="B359" s="159"/>
      <c r="C359" s="159"/>
      <c r="D359" s="159"/>
      <c r="E359" s="159"/>
      <c r="F359" s="159"/>
      <c r="G359" s="159"/>
      <c r="H359" s="159"/>
      <c r="I359" s="636"/>
      <c r="J359" s="654"/>
      <c r="K359" s="656"/>
      <c r="L359" s="159"/>
      <c r="M359" s="159"/>
      <c r="N359" s="159"/>
      <c r="O359" s="159"/>
      <c r="P359" s="159"/>
      <c r="Q359" s="159"/>
      <c r="R359" s="159"/>
      <c r="S359" s="636"/>
      <c r="T359" s="656"/>
      <c r="U359" s="658"/>
      <c r="V359" s="159"/>
      <c r="W359" s="159"/>
      <c r="X359" s="636"/>
      <c r="Y359" s="656"/>
      <c r="Z359" s="656"/>
      <c r="AA359" s="656"/>
      <c r="AB359" s="656"/>
    </row>
    <row r="360">
      <c r="A360" s="159"/>
      <c r="B360" s="159"/>
      <c r="C360" s="159"/>
      <c r="D360" s="159"/>
      <c r="E360" s="159"/>
      <c r="F360" s="159"/>
      <c r="G360" s="159"/>
      <c r="H360" s="159"/>
      <c r="I360" s="636"/>
      <c r="J360" s="654"/>
      <c r="K360" s="656"/>
      <c r="L360" s="159"/>
      <c r="M360" s="159"/>
      <c r="N360" s="159"/>
      <c r="O360" s="159"/>
      <c r="P360" s="159"/>
      <c r="Q360" s="159"/>
      <c r="R360" s="159"/>
      <c r="S360" s="636"/>
      <c r="T360" s="656"/>
      <c r="U360" s="658"/>
      <c r="V360" s="159"/>
      <c r="W360" s="159"/>
      <c r="X360" s="636"/>
      <c r="Y360" s="656"/>
      <c r="Z360" s="656"/>
      <c r="AA360" s="656"/>
      <c r="AB360" s="656"/>
    </row>
    <row r="361">
      <c r="A361" s="159"/>
      <c r="B361" s="159"/>
      <c r="C361" s="159"/>
      <c r="D361" s="159"/>
      <c r="E361" s="159"/>
      <c r="F361" s="159"/>
      <c r="G361" s="159"/>
      <c r="H361" s="159"/>
      <c r="I361" s="636"/>
      <c r="J361" s="654"/>
      <c r="K361" s="656"/>
      <c r="L361" s="159"/>
      <c r="M361" s="159"/>
      <c r="N361" s="159"/>
      <c r="O361" s="159"/>
      <c r="P361" s="159"/>
      <c r="Q361" s="159"/>
      <c r="R361" s="159"/>
      <c r="S361" s="636"/>
      <c r="T361" s="656"/>
      <c r="U361" s="658"/>
      <c r="V361" s="159"/>
      <c r="W361" s="159"/>
      <c r="X361" s="636"/>
      <c r="Y361" s="656"/>
      <c r="Z361" s="656"/>
      <c r="AA361" s="656"/>
      <c r="AB361" s="656"/>
    </row>
    <row r="362">
      <c r="A362" s="159"/>
      <c r="B362" s="159"/>
      <c r="C362" s="159"/>
      <c r="D362" s="159"/>
      <c r="E362" s="159"/>
      <c r="F362" s="159"/>
      <c r="G362" s="159"/>
      <c r="H362" s="159"/>
      <c r="I362" s="636"/>
      <c r="J362" s="654"/>
      <c r="K362" s="656"/>
      <c r="L362" s="159"/>
      <c r="M362" s="159"/>
      <c r="N362" s="159"/>
      <c r="O362" s="159"/>
      <c r="P362" s="159"/>
      <c r="Q362" s="159"/>
      <c r="R362" s="159"/>
      <c r="S362" s="636"/>
      <c r="T362" s="656"/>
      <c r="U362" s="658"/>
      <c r="V362" s="159"/>
      <c r="W362" s="159"/>
      <c r="X362" s="636"/>
      <c r="Y362" s="656"/>
      <c r="Z362" s="656"/>
      <c r="AA362" s="656"/>
      <c r="AB362" s="656"/>
    </row>
    <row r="363">
      <c r="A363" s="159"/>
      <c r="B363" s="159"/>
      <c r="C363" s="159"/>
      <c r="D363" s="159"/>
      <c r="E363" s="159"/>
      <c r="F363" s="159"/>
      <c r="G363" s="159"/>
      <c r="H363" s="159"/>
      <c r="I363" s="636"/>
      <c r="J363" s="654"/>
      <c r="K363" s="656"/>
      <c r="L363" s="159"/>
      <c r="M363" s="159"/>
      <c r="N363" s="159"/>
      <c r="O363" s="159"/>
      <c r="P363" s="159"/>
      <c r="Q363" s="159"/>
      <c r="R363" s="159"/>
      <c r="S363" s="636"/>
      <c r="T363" s="656"/>
      <c r="U363" s="658"/>
      <c r="V363" s="159"/>
      <c r="W363" s="159"/>
      <c r="X363" s="636"/>
      <c r="Y363" s="656"/>
      <c r="Z363" s="656"/>
      <c r="AA363" s="656"/>
      <c r="AB363" s="656"/>
    </row>
    <row r="364">
      <c r="A364" s="159"/>
      <c r="B364" s="159"/>
      <c r="C364" s="159"/>
      <c r="D364" s="159"/>
      <c r="E364" s="159"/>
      <c r="F364" s="159"/>
      <c r="G364" s="159"/>
      <c r="H364" s="159"/>
      <c r="I364" s="636"/>
      <c r="J364" s="654"/>
      <c r="K364" s="656"/>
      <c r="L364" s="159"/>
      <c r="M364" s="159"/>
      <c r="N364" s="159"/>
      <c r="O364" s="159"/>
      <c r="P364" s="159"/>
      <c r="Q364" s="159"/>
      <c r="R364" s="159"/>
      <c r="S364" s="636"/>
      <c r="T364" s="656"/>
      <c r="U364" s="658"/>
      <c r="V364" s="159"/>
      <c r="W364" s="159"/>
      <c r="X364" s="636"/>
      <c r="Y364" s="656"/>
      <c r="Z364" s="656"/>
      <c r="AA364" s="656"/>
      <c r="AB364" s="656"/>
    </row>
    <row r="365">
      <c r="A365" s="159"/>
      <c r="B365" s="159"/>
      <c r="C365" s="159"/>
      <c r="D365" s="159"/>
      <c r="E365" s="159"/>
      <c r="F365" s="159"/>
      <c r="G365" s="159"/>
      <c r="H365" s="159"/>
      <c r="I365" s="636"/>
      <c r="J365" s="654"/>
      <c r="K365" s="656"/>
      <c r="L365" s="159"/>
      <c r="M365" s="159"/>
      <c r="N365" s="159"/>
      <c r="O365" s="159"/>
      <c r="P365" s="159"/>
      <c r="Q365" s="159"/>
      <c r="R365" s="159"/>
      <c r="S365" s="636"/>
      <c r="T365" s="656"/>
      <c r="U365" s="658"/>
      <c r="V365" s="159"/>
      <c r="W365" s="159"/>
      <c r="X365" s="636"/>
      <c r="Y365" s="656"/>
      <c r="Z365" s="656"/>
      <c r="AA365" s="656"/>
      <c r="AB365" s="656"/>
    </row>
    <row r="366">
      <c r="A366" s="159"/>
      <c r="B366" s="159"/>
      <c r="C366" s="159"/>
      <c r="D366" s="159"/>
      <c r="E366" s="159"/>
      <c r="F366" s="159"/>
      <c r="G366" s="159"/>
      <c r="H366" s="159"/>
      <c r="I366" s="636"/>
      <c r="J366" s="654"/>
      <c r="K366" s="656"/>
      <c r="L366" s="159"/>
      <c r="M366" s="159"/>
      <c r="N366" s="159"/>
      <c r="O366" s="159"/>
      <c r="P366" s="159"/>
      <c r="Q366" s="159"/>
      <c r="R366" s="159"/>
      <c r="S366" s="636"/>
      <c r="T366" s="656"/>
      <c r="U366" s="658"/>
      <c r="V366" s="159"/>
      <c r="W366" s="159"/>
      <c r="X366" s="636"/>
      <c r="Y366" s="656"/>
      <c r="Z366" s="656"/>
      <c r="AA366" s="656"/>
      <c r="AB366" s="656"/>
    </row>
    <row r="367">
      <c r="A367" s="159"/>
      <c r="B367" s="159"/>
      <c r="C367" s="159"/>
      <c r="D367" s="159"/>
      <c r="E367" s="159"/>
      <c r="F367" s="159"/>
      <c r="G367" s="159"/>
      <c r="H367" s="159"/>
      <c r="I367" s="636"/>
      <c r="J367" s="654"/>
      <c r="K367" s="656"/>
      <c r="L367" s="159"/>
      <c r="M367" s="159"/>
      <c r="N367" s="159"/>
      <c r="O367" s="159"/>
      <c r="P367" s="159"/>
      <c r="Q367" s="159"/>
      <c r="R367" s="159"/>
      <c r="S367" s="636"/>
      <c r="T367" s="656"/>
      <c r="U367" s="658"/>
      <c r="V367" s="159"/>
      <c r="W367" s="159"/>
      <c r="X367" s="636"/>
      <c r="Y367" s="656"/>
      <c r="Z367" s="656"/>
      <c r="AA367" s="656"/>
      <c r="AB367" s="656"/>
    </row>
    <row r="368">
      <c r="A368" s="159"/>
      <c r="B368" s="159"/>
      <c r="C368" s="159"/>
      <c r="D368" s="159"/>
      <c r="E368" s="159"/>
      <c r="F368" s="159"/>
      <c r="G368" s="159"/>
      <c r="H368" s="159"/>
      <c r="I368" s="636"/>
      <c r="J368" s="654"/>
      <c r="K368" s="656"/>
      <c r="L368" s="159"/>
      <c r="M368" s="159"/>
      <c r="N368" s="159"/>
      <c r="O368" s="159"/>
      <c r="P368" s="159"/>
      <c r="Q368" s="159"/>
      <c r="R368" s="159"/>
      <c r="S368" s="636"/>
      <c r="T368" s="656"/>
      <c r="U368" s="658"/>
      <c r="V368" s="159"/>
      <c r="W368" s="159"/>
      <c r="X368" s="636"/>
      <c r="Y368" s="656"/>
      <c r="Z368" s="656"/>
      <c r="AA368" s="656"/>
      <c r="AB368" s="656"/>
    </row>
    <row r="369">
      <c r="A369" s="159"/>
      <c r="B369" s="159"/>
      <c r="C369" s="159"/>
      <c r="D369" s="159"/>
      <c r="E369" s="159"/>
      <c r="F369" s="159"/>
      <c r="G369" s="159"/>
      <c r="H369" s="159"/>
      <c r="I369" s="636"/>
      <c r="J369" s="654"/>
      <c r="K369" s="656"/>
      <c r="L369" s="159"/>
      <c r="M369" s="159"/>
      <c r="N369" s="159"/>
      <c r="O369" s="159"/>
      <c r="P369" s="159"/>
      <c r="Q369" s="159"/>
      <c r="R369" s="159"/>
      <c r="S369" s="636"/>
      <c r="T369" s="656"/>
      <c r="U369" s="658"/>
      <c r="V369" s="159"/>
      <c r="W369" s="159"/>
      <c r="X369" s="636"/>
      <c r="Y369" s="656"/>
      <c r="Z369" s="656"/>
      <c r="AA369" s="656"/>
      <c r="AB369" s="656"/>
    </row>
    <row r="370">
      <c r="A370" s="159"/>
      <c r="B370" s="159"/>
      <c r="C370" s="159"/>
      <c r="D370" s="159"/>
      <c r="E370" s="159"/>
      <c r="F370" s="159"/>
      <c r="G370" s="159"/>
      <c r="H370" s="159"/>
      <c r="I370" s="636"/>
      <c r="J370" s="654"/>
      <c r="K370" s="656"/>
      <c r="L370" s="159"/>
      <c r="M370" s="159"/>
      <c r="N370" s="159"/>
      <c r="O370" s="159"/>
      <c r="P370" s="159"/>
      <c r="Q370" s="159"/>
      <c r="R370" s="159"/>
      <c r="S370" s="636"/>
      <c r="T370" s="656"/>
      <c r="U370" s="658"/>
      <c r="V370" s="159"/>
      <c r="W370" s="159"/>
      <c r="X370" s="636"/>
      <c r="Y370" s="656"/>
      <c r="Z370" s="656"/>
      <c r="AA370" s="656"/>
      <c r="AB370" s="656"/>
    </row>
    <row r="371">
      <c r="A371" s="159"/>
      <c r="B371" s="159"/>
      <c r="C371" s="159"/>
      <c r="D371" s="159"/>
      <c r="E371" s="159"/>
      <c r="F371" s="159"/>
      <c r="G371" s="159"/>
      <c r="H371" s="159"/>
      <c r="I371" s="636"/>
      <c r="J371" s="654"/>
      <c r="K371" s="656"/>
      <c r="L371" s="159"/>
      <c r="M371" s="159"/>
      <c r="N371" s="159"/>
      <c r="O371" s="159"/>
      <c r="P371" s="159"/>
      <c r="Q371" s="159"/>
      <c r="R371" s="159"/>
      <c r="S371" s="636"/>
      <c r="T371" s="656"/>
      <c r="U371" s="658"/>
      <c r="V371" s="159"/>
      <c r="W371" s="159"/>
      <c r="X371" s="636"/>
      <c r="Y371" s="656"/>
      <c r="Z371" s="656"/>
      <c r="AA371" s="656"/>
      <c r="AB371" s="656"/>
    </row>
    <row r="372">
      <c r="A372" s="159"/>
      <c r="B372" s="159"/>
      <c r="C372" s="159"/>
      <c r="D372" s="159"/>
      <c r="E372" s="159"/>
      <c r="F372" s="159"/>
      <c r="G372" s="159"/>
      <c r="H372" s="159"/>
      <c r="I372" s="636"/>
      <c r="J372" s="654"/>
      <c r="K372" s="656"/>
      <c r="L372" s="159"/>
      <c r="M372" s="159"/>
      <c r="N372" s="159"/>
      <c r="O372" s="159"/>
      <c r="P372" s="159"/>
      <c r="Q372" s="159"/>
      <c r="R372" s="159"/>
      <c r="S372" s="636"/>
      <c r="T372" s="656"/>
      <c r="U372" s="658"/>
      <c r="V372" s="159"/>
      <c r="W372" s="159"/>
      <c r="X372" s="636"/>
      <c r="Y372" s="656"/>
      <c r="Z372" s="656"/>
      <c r="AA372" s="656"/>
      <c r="AB372" s="656"/>
    </row>
    <row r="373">
      <c r="A373" s="159"/>
      <c r="B373" s="159"/>
      <c r="C373" s="159"/>
      <c r="D373" s="159"/>
      <c r="E373" s="159"/>
      <c r="F373" s="159"/>
      <c r="G373" s="159"/>
      <c r="H373" s="159"/>
      <c r="I373" s="636"/>
      <c r="J373" s="654"/>
      <c r="K373" s="656"/>
      <c r="L373" s="159"/>
      <c r="M373" s="159"/>
      <c r="N373" s="159"/>
      <c r="O373" s="159"/>
      <c r="P373" s="159"/>
      <c r="Q373" s="159"/>
      <c r="R373" s="159"/>
      <c r="S373" s="636"/>
      <c r="T373" s="656"/>
      <c r="U373" s="658"/>
      <c r="V373" s="159"/>
      <c r="W373" s="159"/>
      <c r="X373" s="636"/>
      <c r="Y373" s="656"/>
      <c r="Z373" s="656"/>
      <c r="AA373" s="656"/>
      <c r="AB373" s="656"/>
    </row>
    <row r="374">
      <c r="A374" s="159"/>
      <c r="B374" s="159"/>
      <c r="C374" s="159"/>
      <c r="D374" s="159"/>
      <c r="E374" s="159"/>
      <c r="F374" s="159"/>
      <c r="G374" s="159"/>
      <c r="H374" s="159"/>
      <c r="I374" s="636"/>
      <c r="J374" s="654"/>
      <c r="K374" s="656"/>
      <c r="L374" s="159"/>
      <c r="M374" s="159"/>
      <c r="N374" s="159"/>
      <c r="O374" s="159"/>
      <c r="P374" s="159"/>
      <c r="Q374" s="159"/>
      <c r="R374" s="159"/>
      <c r="S374" s="636"/>
      <c r="T374" s="656"/>
      <c r="U374" s="658"/>
      <c r="V374" s="159"/>
      <c r="W374" s="159"/>
      <c r="X374" s="636"/>
      <c r="Y374" s="656"/>
      <c r="Z374" s="656"/>
      <c r="AA374" s="656"/>
      <c r="AB374" s="656"/>
    </row>
    <row r="375">
      <c r="A375" s="159"/>
      <c r="B375" s="159"/>
      <c r="C375" s="159"/>
      <c r="D375" s="159"/>
      <c r="E375" s="159"/>
      <c r="F375" s="159"/>
      <c r="G375" s="159"/>
      <c r="H375" s="159"/>
      <c r="I375" s="636"/>
      <c r="J375" s="654"/>
      <c r="K375" s="656"/>
      <c r="L375" s="159"/>
      <c r="M375" s="159"/>
      <c r="N375" s="159"/>
      <c r="O375" s="159"/>
      <c r="P375" s="159"/>
      <c r="Q375" s="159"/>
      <c r="R375" s="159"/>
      <c r="S375" s="636"/>
      <c r="T375" s="656"/>
      <c r="U375" s="658"/>
      <c r="V375" s="159"/>
      <c r="W375" s="159"/>
      <c r="X375" s="636"/>
      <c r="Y375" s="656"/>
      <c r="Z375" s="656"/>
      <c r="AA375" s="656"/>
      <c r="AB375" s="656"/>
    </row>
    <row r="376">
      <c r="A376" s="159"/>
      <c r="B376" s="159"/>
      <c r="C376" s="159"/>
      <c r="D376" s="159"/>
      <c r="E376" s="159"/>
      <c r="F376" s="159"/>
      <c r="G376" s="159"/>
      <c r="H376" s="159"/>
      <c r="I376" s="636"/>
      <c r="J376" s="654"/>
      <c r="K376" s="656"/>
      <c r="L376" s="159"/>
      <c r="M376" s="159"/>
      <c r="N376" s="159"/>
      <c r="O376" s="159"/>
      <c r="P376" s="159"/>
      <c r="Q376" s="159"/>
      <c r="R376" s="159"/>
      <c r="S376" s="636"/>
      <c r="T376" s="656"/>
      <c r="U376" s="658"/>
      <c r="V376" s="159"/>
      <c r="W376" s="159"/>
      <c r="X376" s="636"/>
      <c r="Y376" s="656"/>
      <c r="Z376" s="656"/>
      <c r="AA376" s="656"/>
      <c r="AB376" s="656"/>
    </row>
    <row r="377">
      <c r="A377" s="159"/>
      <c r="B377" s="159"/>
      <c r="C377" s="159"/>
      <c r="D377" s="159"/>
      <c r="E377" s="159"/>
      <c r="F377" s="159"/>
      <c r="G377" s="159"/>
      <c r="H377" s="159"/>
      <c r="I377" s="636"/>
      <c r="J377" s="654"/>
      <c r="K377" s="656"/>
      <c r="L377" s="159"/>
      <c r="M377" s="159"/>
      <c r="N377" s="159"/>
      <c r="O377" s="159"/>
      <c r="P377" s="159"/>
      <c r="Q377" s="159"/>
      <c r="R377" s="159"/>
      <c r="S377" s="636"/>
      <c r="T377" s="656"/>
      <c r="U377" s="658"/>
      <c r="V377" s="159"/>
      <c r="W377" s="159"/>
      <c r="X377" s="636"/>
      <c r="Y377" s="656"/>
      <c r="Z377" s="656"/>
      <c r="AA377" s="656"/>
      <c r="AB377" s="656"/>
    </row>
    <row r="378">
      <c r="A378" s="159"/>
      <c r="B378" s="159"/>
      <c r="C378" s="159"/>
      <c r="D378" s="159"/>
      <c r="E378" s="159"/>
      <c r="F378" s="159"/>
      <c r="G378" s="159"/>
      <c r="H378" s="159"/>
      <c r="I378" s="636"/>
      <c r="J378" s="654"/>
      <c r="K378" s="656"/>
      <c r="L378" s="159"/>
      <c r="M378" s="159"/>
      <c r="N378" s="159"/>
      <c r="O378" s="159"/>
      <c r="P378" s="159"/>
      <c r="Q378" s="159"/>
      <c r="R378" s="159"/>
      <c r="S378" s="636"/>
      <c r="T378" s="656"/>
      <c r="U378" s="658"/>
      <c r="V378" s="159"/>
      <c r="W378" s="159"/>
      <c r="X378" s="636"/>
      <c r="Y378" s="656"/>
      <c r="Z378" s="656"/>
      <c r="AA378" s="656"/>
      <c r="AB378" s="656"/>
    </row>
    <row r="379">
      <c r="A379" s="159"/>
      <c r="B379" s="159"/>
      <c r="C379" s="159"/>
      <c r="D379" s="159"/>
      <c r="E379" s="159"/>
      <c r="F379" s="159"/>
      <c r="G379" s="159"/>
      <c r="H379" s="159"/>
      <c r="I379" s="636"/>
      <c r="J379" s="654"/>
      <c r="K379" s="656"/>
      <c r="L379" s="159"/>
      <c r="M379" s="159"/>
      <c r="N379" s="159"/>
      <c r="O379" s="159"/>
      <c r="P379" s="159"/>
      <c r="Q379" s="159"/>
      <c r="R379" s="159"/>
      <c r="S379" s="636"/>
      <c r="T379" s="656"/>
      <c r="U379" s="658"/>
      <c r="V379" s="159"/>
      <c r="W379" s="159"/>
      <c r="X379" s="636"/>
      <c r="Y379" s="656"/>
      <c r="Z379" s="656"/>
      <c r="AA379" s="656"/>
      <c r="AB379" s="656"/>
    </row>
    <row r="380">
      <c r="A380" s="159"/>
      <c r="B380" s="159"/>
      <c r="C380" s="159"/>
      <c r="D380" s="159"/>
      <c r="E380" s="159"/>
      <c r="F380" s="159"/>
      <c r="G380" s="159"/>
      <c r="H380" s="159"/>
      <c r="I380" s="636"/>
      <c r="J380" s="654"/>
      <c r="K380" s="656"/>
      <c r="L380" s="159"/>
      <c r="M380" s="159"/>
      <c r="N380" s="159"/>
      <c r="O380" s="159"/>
      <c r="P380" s="159"/>
      <c r="Q380" s="159"/>
      <c r="R380" s="159"/>
      <c r="S380" s="636"/>
      <c r="T380" s="656"/>
      <c r="U380" s="658"/>
      <c r="V380" s="159"/>
      <c r="W380" s="159"/>
      <c r="X380" s="636"/>
      <c r="Y380" s="656"/>
      <c r="Z380" s="656"/>
      <c r="AA380" s="656"/>
      <c r="AB380" s="656"/>
    </row>
    <row r="381">
      <c r="A381" s="159"/>
      <c r="B381" s="159"/>
      <c r="C381" s="159"/>
      <c r="D381" s="159"/>
      <c r="E381" s="159"/>
      <c r="F381" s="159"/>
      <c r="G381" s="159"/>
      <c r="H381" s="159"/>
      <c r="I381" s="636"/>
      <c r="J381" s="654"/>
      <c r="K381" s="656"/>
      <c r="L381" s="159"/>
      <c r="M381" s="159"/>
      <c r="N381" s="159"/>
      <c r="O381" s="159"/>
      <c r="P381" s="159"/>
      <c r="Q381" s="159"/>
      <c r="R381" s="159"/>
      <c r="S381" s="636"/>
      <c r="T381" s="656"/>
      <c r="U381" s="658"/>
      <c r="V381" s="159"/>
      <c r="W381" s="159"/>
      <c r="X381" s="636"/>
      <c r="Y381" s="656"/>
      <c r="Z381" s="656"/>
      <c r="AA381" s="656"/>
      <c r="AB381" s="656"/>
    </row>
    <row r="382">
      <c r="A382" s="159"/>
      <c r="B382" s="159"/>
      <c r="C382" s="159"/>
      <c r="D382" s="159"/>
      <c r="E382" s="159"/>
      <c r="F382" s="159"/>
      <c r="G382" s="159"/>
      <c r="H382" s="159"/>
      <c r="I382" s="636"/>
      <c r="J382" s="654"/>
      <c r="K382" s="656"/>
      <c r="L382" s="159"/>
      <c r="M382" s="159"/>
      <c r="N382" s="159"/>
      <c r="O382" s="159"/>
      <c r="P382" s="159"/>
      <c r="Q382" s="159"/>
      <c r="R382" s="159"/>
      <c r="S382" s="636"/>
      <c r="T382" s="656"/>
      <c r="U382" s="658"/>
      <c r="V382" s="159"/>
      <c r="W382" s="159"/>
      <c r="X382" s="636"/>
      <c r="Y382" s="656"/>
      <c r="Z382" s="656"/>
      <c r="AA382" s="656"/>
      <c r="AB382" s="656"/>
    </row>
    <row r="383">
      <c r="A383" s="159"/>
      <c r="B383" s="159"/>
      <c r="C383" s="159"/>
      <c r="D383" s="159"/>
      <c r="E383" s="159"/>
      <c r="F383" s="159"/>
      <c r="G383" s="159"/>
      <c r="H383" s="159"/>
      <c r="I383" s="636"/>
      <c r="J383" s="654"/>
      <c r="K383" s="656"/>
      <c r="L383" s="159"/>
      <c r="M383" s="159"/>
      <c r="N383" s="159"/>
      <c r="O383" s="159"/>
      <c r="P383" s="159"/>
      <c r="Q383" s="159"/>
      <c r="R383" s="159"/>
      <c r="S383" s="636"/>
      <c r="T383" s="656"/>
      <c r="U383" s="658"/>
      <c r="V383" s="159"/>
      <c r="W383" s="159"/>
      <c r="X383" s="636"/>
      <c r="Y383" s="656"/>
      <c r="Z383" s="656"/>
      <c r="AA383" s="656"/>
      <c r="AB383" s="656"/>
    </row>
    <row r="384">
      <c r="A384" s="159"/>
      <c r="B384" s="159"/>
      <c r="C384" s="159"/>
      <c r="D384" s="159"/>
      <c r="E384" s="159"/>
      <c r="F384" s="159"/>
      <c r="G384" s="159"/>
      <c r="H384" s="159"/>
      <c r="I384" s="636"/>
      <c r="J384" s="654"/>
      <c r="K384" s="656"/>
      <c r="L384" s="159"/>
      <c r="M384" s="159"/>
      <c r="N384" s="159"/>
      <c r="O384" s="159"/>
      <c r="P384" s="159"/>
      <c r="Q384" s="159"/>
      <c r="R384" s="159"/>
      <c r="S384" s="636"/>
      <c r="T384" s="656"/>
      <c r="U384" s="658"/>
      <c r="V384" s="159"/>
      <c r="W384" s="159"/>
      <c r="X384" s="636"/>
      <c r="Y384" s="656"/>
      <c r="Z384" s="656"/>
      <c r="AA384" s="656"/>
      <c r="AB384" s="656"/>
    </row>
    <row r="385">
      <c r="A385" s="159"/>
      <c r="B385" s="159"/>
      <c r="C385" s="159"/>
      <c r="D385" s="159"/>
      <c r="E385" s="159"/>
      <c r="F385" s="159"/>
      <c r="G385" s="159"/>
      <c r="H385" s="159"/>
      <c r="I385" s="636"/>
      <c r="J385" s="654"/>
      <c r="K385" s="656"/>
      <c r="L385" s="159"/>
      <c r="M385" s="159"/>
      <c r="N385" s="159"/>
      <c r="O385" s="159"/>
      <c r="P385" s="159"/>
      <c r="Q385" s="159"/>
      <c r="R385" s="159"/>
      <c r="S385" s="636"/>
      <c r="T385" s="656"/>
      <c r="U385" s="658"/>
      <c r="V385" s="159"/>
      <c r="W385" s="159"/>
      <c r="X385" s="636"/>
      <c r="Y385" s="656"/>
      <c r="Z385" s="656"/>
      <c r="AA385" s="656"/>
      <c r="AB385" s="656"/>
    </row>
    <row r="386">
      <c r="A386" s="159"/>
      <c r="B386" s="159"/>
      <c r="C386" s="159"/>
      <c r="D386" s="159"/>
      <c r="E386" s="159"/>
      <c r="F386" s="159"/>
      <c r="G386" s="159"/>
      <c r="H386" s="159"/>
      <c r="I386" s="636"/>
      <c r="J386" s="654"/>
      <c r="K386" s="656"/>
      <c r="L386" s="159"/>
      <c r="M386" s="159"/>
      <c r="N386" s="159"/>
      <c r="O386" s="159"/>
      <c r="P386" s="159"/>
      <c r="Q386" s="159"/>
      <c r="R386" s="159"/>
      <c r="S386" s="636"/>
      <c r="T386" s="656"/>
      <c r="U386" s="658"/>
      <c r="V386" s="159"/>
      <c r="W386" s="159"/>
      <c r="X386" s="636"/>
      <c r="Y386" s="656"/>
      <c r="Z386" s="656"/>
      <c r="AA386" s="656"/>
      <c r="AB386" s="656"/>
    </row>
    <row r="387">
      <c r="A387" s="159"/>
      <c r="B387" s="159"/>
      <c r="C387" s="159"/>
      <c r="D387" s="159"/>
      <c r="E387" s="159"/>
      <c r="F387" s="159"/>
      <c r="G387" s="159"/>
      <c r="H387" s="159"/>
      <c r="I387" s="636"/>
      <c r="J387" s="654"/>
      <c r="K387" s="656"/>
      <c r="L387" s="159"/>
      <c r="M387" s="159"/>
      <c r="N387" s="159"/>
      <c r="O387" s="159"/>
      <c r="P387" s="159"/>
      <c r="Q387" s="159"/>
      <c r="R387" s="159"/>
      <c r="S387" s="636"/>
      <c r="T387" s="656"/>
      <c r="U387" s="658"/>
      <c r="V387" s="159"/>
      <c r="W387" s="159"/>
      <c r="X387" s="636"/>
      <c r="Y387" s="656"/>
      <c r="Z387" s="656"/>
      <c r="AA387" s="656"/>
      <c r="AB387" s="656"/>
    </row>
    <row r="388">
      <c r="A388" s="159"/>
      <c r="B388" s="159"/>
      <c r="C388" s="159"/>
      <c r="D388" s="159"/>
      <c r="E388" s="159"/>
      <c r="F388" s="159"/>
      <c r="G388" s="159"/>
      <c r="H388" s="159"/>
      <c r="I388" s="636"/>
      <c r="J388" s="654"/>
      <c r="K388" s="656"/>
      <c r="L388" s="159"/>
      <c r="M388" s="159"/>
      <c r="N388" s="159"/>
      <c r="O388" s="159"/>
      <c r="P388" s="159"/>
      <c r="Q388" s="159"/>
      <c r="R388" s="159"/>
      <c r="S388" s="636"/>
      <c r="T388" s="656"/>
      <c r="U388" s="658"/>
      <c r="V388" s="159"/>
      <c r="W388" s="159"/>
      <c r="X388" s="636"/>
      <c r="Y388" s="656"/>
      <c r="Z388" s="656"/>
      <c r="AA388" s="656"/>
      <c r="AB388" s="656"/>
    </row>
    <row r="389">
      <c r="A389" s="159"/>
      <c r="B389" s="159"/>
      <c r="C389" s="159"/>
      <c r="D389" s="159"/>
      <c r="E389" s="159"/>
      <c r="F389" s="159"/>
      <c r="G389" s="159"/>
      <c r="H389" s="159"/>
      <c r="I389" s="636"/>
      <c r="J389" s="654"/>
      <c r="K389" s="656"/>
      <c r="L389" s="159"/>
      <c r="M389" s="159"/>
      <c r="N389" s="159"/>
      <c r="O389" s="159"/>
      <c r="P389" s="159"/>
      <c r="Q389" s="159"/>
      <c r="R389" s="159"/>
      <c r="S389" s="636"/>
      <c r="T389" s="656"/>
      <c r="U389" s="658"/>
      <c r="V389" s="159"/>
      <c r="W389" s="159"/>
      <c r="X389" s="636"/>
      <c r="Y389" s="656"/>
      <c r="Z389" s="656"/>
      <c r="AA389" s="656"/>
      <c r="AB389" s="656"/>
    </row>
    <row r="390">
      <c r="A390" s="159"/>
      <c r="B390" s="159"/>
      <c r="C390" s="159"/>
      <c r="D390" s="159"/>
      <c r="E390" s="159"/>
      <c r="F390" s="159"/>
      <c r="G390" s="159"/>
      <c r="H390" s="159"/>
      <c r="I390" s="636"/>
      <c r="J390" s="654"/>
      <c r="K390" s="656"/>
      <c r="L390" s="159"/>
      <c r="M390" s="159"/>
      <c r="N390" s="159"/>
      <c r="O390" s="159"/>
      <c r="P390" s="159"/>
      <c r="Q390" s="159"/>
      <c r="R390" s="159"/>
      <c r="S390" s="636"/>
      <c r="T390" s="656"/>
      <c r="U390" s="658"/>
      <c r="V390" s="159"/>
      <c r="W390" s="159"/>
      <c r="X390" s="636"/>
      <c r="Y390" s="656"/>
      <c r="Z390" s="656"/>
      <c r="AA390" s="656"/>
      <c r="AB390" s="656"/>
    </row>
    <row r="391">
      <c r="A391" s="159"/>
      <c r="B391" s="159"/>
      <c r="C391" s="159"/>
      <c r="D391" s="159"/>
      <c r="E391" s="159"/>
      <c r="F391" s="159"/>
      <c r="G391" s="159"/>
      <c r="H391" s="159"/>
      <c r="I391" s="636"/>
      <c r="J391" s="654"/>
      <c r="K391" s="656"/>
      <c r="L391" s="159"/>
      <c r="M391" s="159"/>
      <c r="N391" s="159"/>
      <c r="O391" s="159"/>
      <c r="P391" s="159"/>
      <c r="Q391" s="159"/>
      <c r="R391" s="159"/>
      <c r="S391" s="636"/>
      <c r="T391" s="656"/>
      <c r="U391" s="658"/>
      <c r="V391" s="159"/>
      <c r="W391" s="159"/>
      <c r="X391" s="636"/>
      <c r="Y391" s="656"/>
      <c r="Z391" s="656"/>
      <c r="AA391" s="656"/>
      <c r="AB391" s="656"/>
    </row>
    <row r="392">
      <c r="A392" s="159"/>
      <c r="B392" s="159"/>
      <c r="C392" s="159"/>
      <c r="D392" s="159"/>
      <c r="E392" s="159"/>
      <c r="F392" s="159"/>
      <c r="G392" s="159"/>
      <c r="H392" s="159"/>
      <c r="I392" s="636"/>
      <c r="J392" s="654"/>
      <c r="K392" s="656"/>
      <c r="L392" s="159"/>
      <c r="M392" s="159"/>
      <c r="N392" s="159"/>
      <c r="O392" s="159"/>
      <c r="P392" s="159"/>
      <c r="Q392" s="159"/>
      <c r="R392" s="159"/>
      <c r="S392" s="636"/>
      <c r="T392" s="656"/>
      <c r="U392" s="658"/>
      <c r="V392" s="159"/>
      <c r="W392" s="159"/>
      <c r="X392" s="636"/>
      <c r="Y392" s="656"/>
      <c r="Z392" s="656"/>
      <c r="AA392" s="656"/>
      <c r="AB392" s="656"/>
    </row>
    <row r="393">
      <c r="A393" s="159"/>
      <c r="B393" s="159"/>
      <c r="C393" s="159"/>
      <c r="D393" s="159"/>
      <c r="E393" s="159"/>
      <c r="F393" s="159"/>
      <c r="G393" s="159"/>
      <c r="H393" s="159"/>
      <c r="I393" s="636"/>
      <c r="J393" s="654"/>
      <c r="K393" s="656"/>
      <c r="L393" s="159"/>
      <c r="M393" s="159"/>
      <c r="N393" s="159"/>
      <c r="O393" s="159"/>
      <c r="P393" s="159"/>
      <c r="Q393" s="159"/>
      <c r="R393" s="159"/>
      <c r="S393" s="636"/>
      <c r="T393" s="656"/>
      <c r="U393" s="658"/>
      <c r="V393" s="159"/>
      <c r="W393" s="159"/>
      <c r="X393" s="636"/>
      <c r="Y393" s="656"/>
      <c r="Z393" s="656"/>
      <c r="AA393" s="656"/>
      <c r="AB393" s="656"/>
    </row>
    <row r="394">
      <c r="A394" s="159"/>
      <c r="B394" s="159"/>
      <c r="C394" s="159"/>
      <c r="D394" s="159"/>
      <c r="E394" s="159"/>
      <c r="F394" s="159"/>
      <c r="G394" s="159"/>
      <c r="H394" s="159"/>
      <c r="I394" s="636"/>
      <c r="J394" s="654"/>
      <c r="K394" s="656"/>
      <c r="L394" s="159"/>
      <c r="M394" s="159"/>
      <c r="N394" s="159"/>
      <c r="O394" s="159"/>
      <c r="P394" s="159"/>
      <c r="Q394" s="159"/>
      <c r="R394" s="159"/>
      <c r="S394" s="636"/>
      <c r="T394" s="656"/>
      <c r="U394" s="658"/>
      <c r="V394" s="159"/>
      <c r="W394" s="159"/>
      <c r="X394" s="636"/>
      <c r="Y394" s="656"/>
      <c r="Z394" s="656"/>
      <c r="AA394" s="656"/>
      <c r="AB394" s="656"/>
    </row>
    <row r="395">
      <c r="A395" s="159"/>
      <c r="B395" s="159"/>
      <c r="C395" s="159"/>
      <c r="D395" s="159"/>
      <c r="E395" s="159"/>
      <c r="F395" s="159"/>
      <c r="G395" s="159"/>
      <c r="H395" s="159"/>
      <c r="I395" s="636"/>
      <c r="J395" s="654"/>
      <c r="K395" s="656"/>
      <c r="L395" s="159"/>
      <c r="M395" s="159"/>
      <c r="N395" s="159"/>
      <c r="O395" s="159"/>
      <c r="P395" s="159"/>
      <c r="Q395" s="159"/>
      <c r="R395" s="159"/>
      <c r="S395" s="636"/>
      <c r="T395" s="656"/>
      <c r="U395" s="658"/>
      <c r="V395" s="159"/>
      <c r="W395" s="159"/>
      <c r="X395" s="636"/>
      <c r="Y395" s="656"/>
      <c r="Z395" s="656"/>
      <c r="AA395" s="656"/>
      <c r="AB395" s="656"/>
    </row>
    <row r="396">
      <c r="A396" s="159"/>
      <c r="B396" s="159"/>
      <c r="C396" s="159"/>
      <c r="D396" s="159"/>
      <c r="E396" s="159"/>
      <c r="F396" s="159"/>
      <c r="G396" s="159"/>
      <c r="H396" s="159"/>
      <c r="I396" s="636"/>
      <c r="J396" s="654"/>
      <c r="K396" s="656"/>
      <c r="L396" s="159"/>
      <c r="M396" s="159"/>
      <c r="N396" s="159"/>
      <c r="O396" s="159"/>
      <c r="P396" s="159"/>
      <c r="Q396" s="159"/>
      <c r="R396" s="159"/>
      <c r="S396" s="636"/>
      <c r="T396" s="656"/>
      <c r="U396" s="658"/>
      <c r="V396" s="159"/>
      <c r="W396" s="159"/>
      <c r="X396" s="636"/>
      <c r="Y396" s="656"/>
      <c r="Z396" s="656"/>
      <c r="AA396" s="656"/>
      <c r="AB396" s="656"/>
    </row>
    <row r="397">
      <c r="A397" s="159"/>
      <c r="B397" s="159"/>
      <c r="C397" s="159"/>
      <c r="D397" s="159"/>
      <c r="E397" s="159"/>
      <c r="F397" s="159"/>
      <c r="G397" s="159"/>
      <c r="H397" s="159"/>
      <c r="I397" s="636"/>
      <c r="J397" s="654"/>
      <c r="K397" s="656"/>
      <c r="L397" s="159"/>
      <c r="M397" s="159"/>
      <c r="N397" s="159"/>
      <c r="O397" s="159"/>
      <c r="P397" s="159"/>
      <c r="Q397" s="159"/>
      <c r="R397" s="159"/>
      <c r="S397" s="636"/>
      <c r="T397" s="656"/>
      <c r="U397" s="658"/>
      <c r="V397" s="159"/>
      <c r="W397" s="159"/>
      <c r="X397" s="636"/>
      <c r="Y397" s="656"/>
      <c r="Z397" s="656"/>
      <c r="AA397" s="656"/>
      <c r="AB397" s="656"/>
    </row>
    <row r="398">
      <c r="A398" s="159"/>
      <c r="B398" s="159"/>
      <c r="C398" s="159"/>
      <c r="D398" s="159"/>
      <c r="E398" s="159"/>
      <c r="F398" s="159"/>
      <c r="G398" s="159"/>
      <c r="H398" s="159"/>
      <c r="I398" s="636"/>
      <c r="J398" s="654"/>
      <c r="K398" s="656"/>
      <c r="L398" s="159"/>
      <c r="M398" s="159"/>
      <c r="N398" s="159"/>
      <c r="O398" s="159"/>
      <c r="P398" s="159"/>
      <c r="Q398" s="159"/>
      <c r="R398" s="159"/>
      <c r="S398" s="636"/>
      <c r="T398" s="656"/>
      <c r="U398" s="658"/>
      <c r="V398" s="159"/>
      <c r="W398" s="159"/>
      <c r="X398" s="636"/>
      <c r="Y398" s="656"/>
      <c r="Z398" s="656"/>
      <c r="AA398" s="656"/>
      <c r="AB398" s="656"/>
    </row>
    <row r="399">
      <c r="A399" s="159"/>
      <c r="B399" s="159"/>
      <c r="C399" s="159"/>
      <c r="D399" s="159"/>
      <c r="E399" s="159"/>
      <c r="F399" s="159"/>
      <c r="G399" s="159"/>
      <c r="H399" s="159"/>
      <c r="I399" s="636"/>
      <c r="J399" s="654"/>
      <c r="K399" s="656"/>
      <c r="L399" s="159"/>
      <c r="M399" s="159"/>
      <c r="N399" s="159"/>
      <c r="O399" s="159"/>
      <c r="P399" s="159"/>
      <c r="Q399" s="159"/>
      <c r="R399" s="159"/>
      <c r="S399" s="636"/>
      <c r="T399" s="656"/>
      <c r="U399" s="658"/>
      <c r="V399" s="159"/>
      <c r="W399" s="159"/>
      <c r="X399" s="636"/>
      <c r="Y399" s="656"/>
      <c r="Z399" s="656"/>
      <c r="AA399" s="656"/>
      <c r="AB399" s="656"/>
    </row>
    <row r="400">
      <c r="A400" s="159"/>
      <c r="B400" s="159"/>
      <c r="C400" s="159"/>
      <c r="D400" s="159"/>
      <c r="E400" s="159"/>
      <c r="F400" s="159"/>
      <c r="G400" s="159"/>
      <c r="H400" s="159"/>
      <c r="I400" s="636"/>
      <c r="J400" s="664"/>
      <c r="K400" s="665"/>
      <c r="L400" s="159"/>
      <c r="M400" s="159"/>
      <c r="N400" s="159"/>
      <c r="O400" s="159"/>
      <c r="P400" s="159"/>
      <c r="Q400" s="159"/>
      <c r="R400" s="159"/>
      <c r="S400" s="636"/>
      <c r="T400" s="665"/>
      <c r="U400" s="666"/>
      <c r="V400" s="159"/>
      <c r="W400" s="159"/>
      <c r="X400" s="636"/>
      <c r="Y400" s="665"/>
      <c r="Z400" s="665"/>
      <c r="AA400" s="665"/>
      <c r="AB400" s="665"/>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c r="AB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c r="AB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c r="AB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c r="AB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c r="AB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c r="AB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c r="AB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c r="AB1000" s="159"/>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25"/>
    <col customWidth="1" min="26" max="26" width="3.25"/>
    <col customWidth="1" min="37" max="37" width="4.5"/>
    <col customWidth="1" min="38" max="40" width="37.63"/>
    <col customWidth="1" min="43" max="43" width="4.75"/>
    <col customWidth="1" min="44" max="44" width="22.0"/>
  </cols>
  <sheetData>
    <row r="1">
      <c r="A1" s="667" t="s">
        <v>1690</v>
      </c>
      <c r="B1" s="157"/>
      <c r="C1" s="169" t="s">
        <v>1691</v>
      </c>
      <c r="D1" s="668"/>
      <c r="E1" s="668"/>
      <c r="F1" s="667" t="s">
        <v>1692</v>
      </c>
      <c r="G1" s="157"/>
      <c r="H1" s="169" t="s">
        <v>1691</v>
      </c>
      <c r="I1" s="668"/>
      <c r="J1" s="157"/>
      <c r="K1" s="669" t="s">
        <v>1693</v>
      </c>
      <c r="L1" s="157"/>
      <c r="M1" s="169" t="s">
        <v>1694</v>
      </c>
      <c r="N1" s="670" t="s">
        <v>1695</v>
      </c>
      <c r="O1" s="671"/>
      <c r="P1" s="16"/>
      <c r="Q1" s="95" t="s">
        <v>1696</v>
      </c>
      <c r="R1" s="61"/>
      <c r="S1" s="39"/>
      <c r="T1" s="95" t="s">
        <v>1697</v>
      </c>
      <c r="V1" s="434" t="str">
        <f>"Set at "&amp;$AH$4&amp;" times median salary data"</f>
        <v>Set at 2 times median salary data</v>
      </c>
      <c r="Z1" s="103"/>
      <c r="AG1" s="672"/>
      <c r="AH1" s="673"/>
      <c r="AI1" s="39"/>
      <c r="AK1" s="94"/>
      <c r="AL1" s="674" t="s">
        <v>1698</v>
      </c>
      <c r="AM1" s="675"/>
      <c r="AN1" s="675"/>
      <c r="AO1" s="676"/>
      <c r="AP1" s="677"/>
      <c r="AT1" s="40" t="s">
        <v>1699</v>
      </c>
    </row>
    <row r="2" ht="1.5" customHeight="1">
      <c r="A2" s="678" t="s">
        <v>1700</v>
      </c>
      <c r="B2" s="157"/>
      <c r="C2" s="157"/>
      <c r="D2" s="668"/>
      <c r="E2" s="668"/>
      <c r="F2" s="678" t="s">
        <v>1701</v>
      </c>
      <c r="G2" s="157"/>
      <c r="H2" s="157"/>
      <c r="I2" s="157"/>
      <c r="J2" s="157"/>
      <c r="K2" s="679" t="s">
        <v>1702</v>
      </c>
      <c r="O2" s="680"/>
      <c r="P2" s="22"/>
      <c r="Q2" s="681" t="s">
        <v>1703</v>
      </c>
      <c r="R2" s="61"/>
      <c r="S2" s="41" t="str">
        <f>""</f>
        <v/>
      </c>
      <c r="T2" s="681" t="s">
        <v>1704</v>
      </c>
      <c r="Y2" s="61"/>
      <c r="Z2" s="682" t="s">
        <v>1705</v>
      </c>
      <c r="AF2" s="61"/>
      <c r="AG2" s="672" t="s">
        <v>1706</v>
      </c>
      <c r="AH2" s="680"/>
      <c r="AI2" s="41"/>
      <c r="AK2" s="683"/>
      <c r="AL2" s="684"/>
      <c r="AM2" s="685"/>
      <c r="AN2" s="685"/>
      <c r="AO2" s="686"/>
      <c r="AP2" s="687"/>
      <c r="AQ2" s="40"/>
      <c r="AR2" s="40"/>
      <c r="AT2" s="81"/>
    </row>
    <row r="3">
      <c r="A3" s="159"/>
      <c r="B3" s="159"/>
      <c r="C3" s="159"/>
      <c r="D3" s="636"/>
      <c r="E3" s="636"/>
      <c r="F3" s="159"/>
      <c r="G3" s="159"/>
      <c r="H3" s="159"/>
      <c r="I3" s="636"/>
      <c r="J3" s="159"/>
      <c r="K3" s="688" t="s">
        <v>1707</v>
      </c>
      <c r="L3" s="689"/>
      <c r="M3" s="689"/>
      <c r="N3" s="689"/>
      <c r="O3" s="690"/>
      <c r="P3" s="41"/>
      <c r="Q3" s="59"/>
      <c r="R3" s="61"/>
      <c r="S3" s="41"/>
      <c r="T3" s="691" t="s">
        <v>1708</v>
      </c>
      <c r="V3" s="692" t="s">
        <v>1709</v>
      </c>
      <c r="W3" s="693">
        <v>0.6</v>
      </c>
      <c r="Y3" s="61"/>
      <c r="Z3" s="691" t="s">
        <v>1710</v>
      </c>
      <c r="AD3" s="692" t="s">
        <v>1709</v>
      </c>
      <c r="AE3" s="693">
        <v>0.4</v>
      </c>
      <c r="AF3" s="61"/>
      <c r="AH3" s="680"/>
      <c r="AI3" s="41"/>
      <c r="AK3" s="683" t="s">
        <v>912</v>
      </c>
      <c r="AL3" s="684" t="s">
        <v>1711</v>
      </c>
      <c r="AM3" s="685" t="s">
        <v>1712</v>
      </c>
      <c r="AN3" s="685" t="s">
        <v>1713</v>
      </c>
      <c r="AO3" s="686" t="s">
        <v>1714</v>
      </c>
      <c r="AP3" s="686" t="s">
        <v>1714</v>
      </c>
      <c r="AQ3" s="40"/>
      <c r="AR3" s="40" t="s">
        <v>1715</v>
      </c>
      <c r="AT3" s="154" t="s">
        <v>1716</v>
      </c>
    </row>
    <row r="4">
      <c r="A4" s="694" t="s">
        <v>1717</v>
      </c>
      <c r="B4" s="694" t="s">
        <v>1718</v>
      </c>
      <c r="C4" s="694" t="s">
        <v>253</v>
      </c>
      <c r="D4" s="667" t="s">
        <v>1719</v>
      </c>
      <c r="E4" s="668"/>
      <c r="F4" s="694" t="s">
        <v>1717</v>
      </c>
      <c r="G4" s="694" t="s">
        <v>1718</v>
      </c>
      <c r="H4" s="694" t="s">
        <v>253</v>
      </c>
      <c r="I4" s="667" t="s">
        <v>1720</v>
      </c>
      <c r="J4" s="667"/>
      <c r="K4" s="695" t="s">
        <v>1717</v>
      </c>
      <c r="L4" s="694" t="s">
        <v>1718</v>
      </c>
      <c r="M4" s="694" t="s">
        <v>253</v>
      </c>
      <c r="N4" s="694" t="s">
        <v>1721</v>
      </c>
      <c r="O4" s="696" t="s">
        <v>1722</v>
      </c>
      <c r="P4" s="697"/>
      <c r="Q4" s="698" t="s">
        <v>1723</v>
      </c>
      <c r="R4" s="699" t="s">
        <v>1724</v>
      </c>
      <c r="S4" s="41"/>
      <c r="T4" s="691"/>
      <c r="U4" s="40"/>
      <c r="V4" s="36"/>
      <c r="W4" s="40"/>
      <c r="X4" s="40"/>
      <c r="Y4" s="700"/>
      <c r="Z4" s="691"/>
      <c r="AA4" s="40"/>
      <c r="AB4" s="40"/>
      <c r="AC4" s="36"/>
      <c r="AD4" s="40"/>
      <c r="AE4" s="40"/>
      <c r="AF4" s="700"/>
      <c r="AG4" s="40" t="s">
        <v>1725</v>
      </c>
      <c r="AH4" s="701">
        <v>2.0</v>
      </c>
      <c r="AI4" s="41"/>
      <c r="AK4" s="40">
        <v>62.0</v>
      </c>
      <c r="AL4" s="702" t="s">
        <v>1726</v>
      </c>
      <c r="AM4" s="702" t="s">
        <v>1727</v>
      </c>
      <c r="AN4" s="703"/>
      <c r="AO4" s="704" t="s">
        <v>1728</v>
      </c>
      <c r="AP4" s="705"/>
    </row>
    <row r="5">
      <c r="A5" s="157" t="s">
        <v>693</v>
      </c>
      <c r="B5" s="157" t="s">
        <v>931</v>
      </c>
      <c r="C5" s="706">
        <v>2021.0</v>
      </c>
      <c r="D5" s="707">
        <v>4.009946E7</v>
      </c>
      <c r="E5" s="668"/>
      <c r="F5" s="157" t="s">
        <v>693</v>
      </c>
      <c r="G5" s="157" t="s">
        <v>931</v>
      </c>
      <c r="H5" s="706">
        <v>2021.0</v>
      </c>
      <c r="I5" s="707">
        <v>35.842</v>
      </c>
      <c r="J5" s="706"/>
      <c r="K5" s="708" t="s">
        <v>693</v>
      </c>
      <c r="L5" s="157" t="s">
        <v>931</v>
      </c>
      <c r="M5" s="706">
        <v>2022.0</v>
      </c>
      <c r="N5" s="157"/>
      <c r="O5" s="707">
        <v>2.67</v>
      </c>
      <c r="P5" s="709"/>
      <c r="Q5" s="710" t="s">
        <v>693</v>
      </c>
      <c r="R5" s="711">
        <v>0.22</v>
      </c>
      <c r="S5" s="712"/>
      <c r="T5" s="713" t="s">
        <v>912</v>
      </c>
      <c r="U5" s="714" t="s">
        <v>687</v>
      </c>
      <c r="V5" s="715" t="s">
        <v>1729</v>
      </c>
      <c r="W5" s="714" t="s">
        <v>1730</v>
      </c>
      <c r="X5" s="714" t="s">
        <v>1731</v>
      </c>
      <c r="Y5" s="716" t="s">
        <v>1732</v>
      </c>
      <c r="Z5" s="713" t="s">
        <v>912</v>
      </c>
      <c r="AA5" s="714" t="s">
        <v>687</v>
      </c>
      <c r="AB5" s="714" t="s">
        <v>1733</v>
      </c>
      <c r="AC5" s="216" t="s">
        <v>1734</v>
      </c>
      <c r="AD5" s="714" t="s">
        <v>1735</v>
      </c>
      <c r="AE5" s="714" t="s">
        <v>1736</v>
      </c>
      <c r="AF5" s="716" t="s">
        <v>1737</v>
      </c>
      <c r="AG5" s="715" t="s">
        <v>687</v>
      </c>
      <c r="AH5" s="717" t="s">
        <v>1738</v>
      </c>
      <c r="AI5" s="712"/>
      <c r="AJ5" s="718"/>
      <c r="AK5" s="40">
        <v>96.0</v>
      </c>
      <c r="AL5" s="719" t="s">
        <v>1739</v>
      </c>
      <c r="AM5" s="720" t="s">
        <v>1727</v>
      </c>
      <c r="AN5" s="721"/>
      <c r="AO5" s="722" t="s">
        <v>1728</v>
      </c>
      <c r="AP5" s="723"/>
    </row>
    <row r="6">
      <c r="A6" s="157" t="s">
        <v>1740</v>
      </c>
      <c r="B6" s="157"/>
      <c r="C6" s="706">
        <v>2021.0</v>
      </c>
      <c r="D6" s="707">
        <v>1.393676724E9</v>
      </c>
      <c r="E6" s="668"/>
      <c r="F6" s="157" t="s">
        <v>1741</v>
      </c>
      <c r="G6" s="157"/>
      <c r="H6" s="706">
        <v>2021.0</v>
      </c>
      <c r="I6" s="707">
        <v>32.543</v>
      </c>
      <c r="J6" s="706"/>
      <c r="K6" s="708" t="s">
        <v>693</v>
      </c>
      <c r="L6" s="157" t="s">
        <v>931</v>
      </c>
      <c r="M6" s="706">
        <v>2023.0</v>
      </c>
      <c r="N6" s="157"/>
      <c r="O6" s="707">
        <v>2.66</v>
      </c>
      <c r="P6" s="709"/>
      <c r="Q6" s="710" t="s">
        <v>696</v>
      </c>
      <c r="R6" s="711">
        <v>0.41</v>
      </c>
      <c r="S6" s="41"/>
      <c r="T6" s="691">
        <v>1.0</v>
      </c>
      <c r="U6" s="40" t="s">
        <v>802</v>
      </c>
      <c r="V6" s="724">
        <v>26321.0</v>
      </c>
      <c r="W6" s="724">
        <v>31376.0</v>
      </c>
      <c r="X6" s="724">
        <v>124590.0</v>
      </c>
      <c r="Y6" s="725">
        <v>654768.0</v>
      </c>
      <c r="Z6" s="691">
        <v>1.0</v>
      </c>
      <c r="AA6" s="40" t="s">
        <v>802</v>
      </c>
      <c r="AB6" s="724">
        <v>69.48</v>
      </c>
      <c r="AC6" s="726">
        <f t="shared" ref="AC6:AC167" si="1">AB6*365.25</f>
        <v>25377.57</v>
      </c>
      <c r="AD6" s="724">
        <v>135683.0</v>
      </c>
      <c r="AE6" s="40">
        <v>0.93</v>
      </c>
      <c r="AF6" s="727">
        <v>0.0028</v>
      </c>
      <c r="AG6" s="40" t="s">
        <v>696</v>
      </c>
      <c r="AH6" s="728">
        <f>IFERROR(__xludf.DUMMYFUNCTION("$AH$4*(AVERAGE.WEIGHTED(IFERROR(INDEX(V:V,MATCH(AG6,U:U,0))/1,INDEX(AC:AC,MATCH(AG6,AA:AA,0))),$W$3,IFERROR(INDEX(AC:AC,MATCH(AG6,AA:AA,0))/1,INDEX(V:V,MATCH(AG6,U:U,0))),$AE$3))*INDEX(R:R,MATCH(AG6,Q:Q,0))"),2835.38616)</f>
        <v>2835.38616</v>
      </c>
      <c r="AI6" s="41"/>
      <c r="AK6" s="40">
        <v>100.0</v>
      </c>
      <c r="AL6" s="729" t="s">
        <v>1742</v>
      </c>
      <c r="AM6" s="729" t="s">
        <v>1743</v>
      </c>
      <c r="AN6" s="729" t="s">
        <v>1744</v>
      </c>
      <c r="AO6" s="730" t="s">
        <v>1728</v>
      </c>
      <c r="AP6" s="731"/>
    </row>
    <row r="7">
      <c r="A7" s="157" t="s">
        <v>1741</v>
      </c>
      <c r="B7" s="157"/>
      <c r="C7" s="706">
        <v>2021.0</v>
      </c>
      <c r="D7" s="707">
        <v>1.393676416E9</v>
      </c>
      <c r="E7" s="668"/>
      <c r="F7" s="157" t="s">
        <v>696</v>
      </c>
      <c r="G7" s="157" t="s">
        <v>935</v>
      </c>
      <c r="H7" s="706">
        <v>2021.0</v>
      </c>
      <c r="I7" s="707">
        <v>10.24</v>
      </c>
      <c r="J7" s="706"/>
      <c r="K7" s="708" t="s">
        <v>693</v>
      </c>
      <c r="L7" s="157" t="s">
        <v>931</v>
      </c>
      <c r="M7" s="706">
        <v>2024.0</v>
      </c>
      <c r="N7" s="157"/>
      <c r="O7" s="707">
        <v>2.63</v>
      </c>
      <c r="P7" s="709"/>
      <c r="Q7" s="710" t="s">
        <v>697</v>
      </c>
      <c r="R7" s="711">
        <v>0.3</v>
      </c>
      <c r="S7" s="41"/>
      <c r="T7" s="691">
        <v>2.0</v>
      </c>
      <c r="U7" s="40" t="s">
        <v>881</v>
      </c>
      <c r="V7" s="724">
        <v>24292.0</v>
      </c>
      <c r="W7" s="724">
        <v>27017.0</v>
      </c>
      <c r="X7" s="724">
        <v>70089.0</v>
      </c>
      <c r="Y7" s="725">
        <v>9516871.0</v>
      </c>
      <c r="Z7" s="691">
        <v>2.0</v>
      </c>
      <c r="AA7" s="40" t="s">
        <v>831</v>
      </c>
      <c r="AB7" s="724">
        <v>65.3</v>
      </c>
      <c r="AC7" s="726">
        <f t="shared" si="1"/>
        <v>23850.825</v>
      </c>
      <c r="AD7" s="724">
        <v>89203.0</v>
      </c>
      <c r="AE7" s="40">
        <v>0.96</v>
      </c>
      <c r="AF7" s="727">
        <v>0.0025</v>
      </c>
      <c r="AG7" s="40" t="s">
        <v>697</v>
      </c>
      <c r="AH7" s="728">
        <f>IFERROR(__xludf.DUMMYFUNCTION("$AH$4*(AVERAGE.WEIGHTED(IFERROR(INDEX(V:V,MATCH(AG7,U:U,0))/1,INDEX(AC:AC,MATCH(AG7,AA:AA,0))),$W$3,IFERROR(INDEX(AC:AC,MATCH(AG7,AA:AA,0))/1,INDEX(V:V,MATCH(AG7,U:U,0))),$AE$3))*INDEX(R:R,MATCH(AG7,Q:Q,0))"),1645.1064)</f>
        <v>1645.1064</v>
      </c>
      <c r="AI7" s="41"/>
      <c r="AK7" s="40">
        <v>101.0</v>
      </c>
      <c r="AL7" s="732" t="s">
        <v>1742</v>
      </c>
      <c r="AM7" s="733" t="s">
        <v>1743</v>
      </c>
      <c r="AN7" s="733" t="s">
        <v>1744</v>
      </c>
      <c r="AO7" s="734" t="s">
        <v>1728</v>
      </c>
      <c r="AP7" s="735"/>
    </row>
    <row r="8">
      <c r="A8" s="157" t="s">
        <v>696</v>
      </c>
      <c r="B8" s="157" t="s">
        <v>935</v>
      </c>
      <c r="C8" s="706">
        <v>2021.0</v>
      </c>
      <c r="D8" s="707">
        <v>2854710.0</v>
      </c>
      <c r="E8" s="668"/>
      <c r="F8" s="157" t="s">
        <v>697</v>
      </c>
      <c r="G8" s="157" t="s">
        <v>939</v>
      </c>
      <c r="H8" s="706">
        <v>2021.0</v>
      </c>
      <c r="I8" s="707">
        <v>21.524</v>
      </c>
      <c r="J8" s="706"/>
      <c r="K8" s="708" t="s">
        <v>693</v>
      </c>
      <c r="L8" s="157" t="s">
        <v>931</v>
      </c>
      <c r="M8" s="706">
        <v>2025.0</v>
      </c>
      <c r="N8" s="157"/>
      <c r="O8" s="707">
        <v>2.57</v>
      </c>
      <c r="P8" s="709"/>
      <c r="Q8" s="710" t="s">
        <v>700</v>
      </c>
      <c r="R8" s="711">
        <v>0.3</v>
      </c>
      <c r="S8" s="41"/>
      <c r="T8" s="691">
        <v>3.0</v>
      </c>
      <c r="U8" s="40" t="s">
        <v>831</v>
      </c>
      <c r="V8" s="724">
        <v>22684.0</v>
      </c>
      <c r="W8" s="724">
        <v>25272.0</v>
      </c>
      <c r="X8" s="724">
        <v>70005.0</v>
      </c>
      <c r="Y8" s="725">
        <v>5474360.0</v>
      </c>
      <c r="Z8" s="691">
        <v>3.0</v>
      </c>
      <c r="AA8" s="40" t="s">
        <v>881</v>
      </c>
      <c r="AB8" s="724">
        <v>65.14</v>
      </c>
      <c r="AC8" s="726">
        <f t="shared" si="1"/>
        <v>23792.385</v>
      </c>
      <c r="AD8" s="736"/>
      <c r="AE8" s="40">
        <v>0.91</v>
      </c>
      <c r="AF8" s="61"/>
      <c r="AG8" s="40" t="s">
        <v>700</v>
      </c>
      <c r="AH8" s="728">
        <f>IFERROR(__xludf.DUMMYFUNCTION("$AH$4*(AVERAGE.WEIGHTED(IFERROR(INDEX(V:V,MATCH(AG8,U:U,0))/1,INDEX(AC:AC,MATCH(AG8,AA:AA,0))),$W$3,IFERROR(INDEX(AC:AC,MATCH(AG8,AA:AA,0))/1,INDEX(V:V,MATCH(AG8,U:U,0))),$AE$3))*INDEX(R:R,MATCH(AG8,Q:Q,0))"),539.1972)</f>
        <v>539.1972</v>
      </c>
      <c r="AI8" s="41"/>
      <c r="AK8" s="40">
        <v>102.0</v>
      </c>
      <c r="AL8" s="729" t="s">
        <v>1742</v>
      </c>
      <c r="AM8" s="729" t="s">
        <v>1743</v>
      </c>
      <c r="AN8" s="729" t="s">
        <v>1744</v>
      </c>
      <c r="AO8" s="730" t="s">
        <v>1728</v>
      </c>
      <c r="AP8" s="731"/>
    </row>
    <row r="9">
      <c r="A9" s="157" t="s">
        <v>697</v>
      </c>
      <c r="B9" s="157" t="s">
        <v>939</v>
      </c>
      <c r="C9" s="706">
        <v>2021.0</v>
      </c>
      <c r="D9" s="707">
        <v>4.4177964E7</v>
      </c>
      <c r="E9" s="668"/>
      <c r="F9" s="157" t="s">
        <v>999</v>
      </c>
      <c r="G9" s="157" t="s">
        <v>1745</v>
      </c>
      <c r="H9" s="706">
        <v>2021.0</v>
      </c>
      <c r="I9" s="707">
        <v>17.175</v>
      </c>
      <c r="J9" s="706"/>
      <c r="K9" s="708" t="s">
        <v>693</v>
      </c>
      <c r="L9" s="157" t="s">
        <v>931</v>
      </c>
      <c r="M9" s="706">
        <v>2026.0</v>
      </c>
      <c r="N9" s="157"/>
      <c r="O9" s="707">
        <v>2.54</v>
      </c>
      <c r="P9" s="709"/>
      <c r="Q9" s="710" t="s">
        <v>701</v>
      </c>
      <c r="R9" s="711">
        <v>0.75</v>
      </c>
      <c r="S9" s="41"/>
      <c r="T9" s="691">
        <v>4.0</v>
      </c>
      <c r="U9" s="40" t="s">
        <v>867</v>
      </c>
      <c r="V9" s="724">
        <v>21490.0</v>
      </c>
      <c r="W9" s="724">
        <v>25787.0</v>
      </c>
      <c r="X9" s="724">
        <v>72376.0</v>
      </c>
      <c r="Y9" s="725">
        <v>8796669.0</v>
      </c>
      <c r="Z9" s="691">
        <v>4.0</v>
      </c>
      <c r="AA9" s="40" t="s">
        <v>1668</v>
      </c>
      <c r="AB9" s="724">
        <v>65.04</v>
      </c>
      <c r="AC9" s="726">
        <f t="shared" si="1"/>
        <v>23755.86</v>
      </c>
      <c r="AD9" s="724">
        <v>69288.0</v>
      </c>
      <c r="AE9" s="40">
        <v>0.92</v>
      </c>
      <c r="AF9" s="737">
        <v>0.01</v>
      </c>
      <c r="AG9" s="40" t="s">
        <v>401</v>
      </c>
      <c r="AH9" s="728">
        <f>IFERROR(__xludf.DUMMYFUNCTION("$AH$4*(AVERAGE.WEIGHTED(IFERROR(INDEX(V:V,MATCH(AG9,U:U,0))/1,INDEX(AC:AC,MATCH(AG9,AA:AA,0))),$W$3,IFERROR(INDEX(AC:AC,MATCH(AG9,AA:AA,0))/1,INDEX(V:V,MATCH(AG9,U:U,0))),$AE$3))*INDEX(R:R,MATCH(AG9,Q:Q,0))"),5137.8327)</f>
        <v>5137.8327</v>
      </c>
      <c r="AI9" s="41"/>
      <c r="AK9" s="40">
        <v>103.0</v>
      </c>
      <c r="AL9" s="732" t="s">
        <v>1746</v>
      </c>
      <c r="AM9" s="733" t="s">
        <v>1747</v>
      </c>
      <c r="AN9" s="733" t="s">
        <v>1744</v>
      </c>
      <c r="AO9" s="734" t="s">
        <v>1728</v>
      </c>
      <c r="AP9" s="735"/>
    </row>
    <row r="10">
      <c r="A10" s="157" t="s">
        <v>999</v>
      </c>
      <c r="B10" s="157" t="s">
        <v>1745</v>
      </c>
      <c r="C10" s="706">
        <v>2021.0</v>
      </c>
      <c r="D10" s="707">
        <v>45056.0</v>
      </c>
      <c r="E10" s="668"/>
      <c r="F10" s="157" t="s">
        <v>699</v>
      </c>
      <c r="G10" s="157" t="s">
        <v>943</v>
      </c>
      <c r="H10" s="706">
        <v>2021.0</v>
      </c>
      <c r="I10" s="707">
        <v>7.233</v>
      </c>
      <c r="J10" s="706"/>
      <c r="K10" s="708" t="s">
        <v>693</v>
      </c>
      <c r="L10" s="157" t="s">
        <v>931</v>
      </c>
      <c r="M10" s="706">
        <v>2027.0</v>
      </c>
      <c r="N10" s="157"/>
      <c r="O10" s="707">
        <v>2.48</v>
      </c>
      <c r="P10" s="709"/>
      <c r="Q10" s="710" t="s">
        <v>401</v>
      </c>
      <c r="R10" s="711">
        <v>0.45</v>
      </c>
      <c r="S10" s="41"/>
      <c r="T10" s="691">
        <v>5.0</v>
      </c>
      <c r="U10" s="504" t="s">
        <v>1668</v>
      </c>
      <c r="V10" s="724">
        <v>19306.0</v>
      </c>
      <c r="W10" s="724">
        <v>25332.0</v>
      </c>
      <c r="X10" s="724">
        <v>65297.0</v>
      </c>
      <c r="Y10" s="725">
        <v>3.39996563E8</v>
      </c>
      <c r="Z10" s="691">
        <v>5.0</v>
      </c>
      <c r="AA10" s="40" t="s">
        <v>867</v>
      </c>
      <c r="AB10" s="724">
        <v>64.35</v>
      </c>
      <c r="AC10" s="726">
        <f t="shared" si="1"/>
        <v>23503.8375</v>
      </c>
      <c r="AD10" s="724">
        <v>93457.0</v>
      </c>
      <c r="AE10" s="40">
        <v>0.96</v>
      </c>
      <c r="AF10" s="727">
        <v>3.0E-4</v>
      </c>
      <c r="AG10" s="40" t="s">
        <v>703</v>
      </c>
      <c r="AH10" s="728">
        <f>IFERROR(__xludf.DUMMYFUNCTION("$AH$4*(AVERAGE.WEIGHTED(IFERROR(INDEX(V:V,MATCH(AG10,U:U,0))/1,INDEX(AC:AC,MATCH(AG10,AA:AA,0))),$W$3,IFERROR(INDEX(AC:AC,MATCH(AG10,AA:AA,0))/1,INDEX(V:V,MATCH(AG10,U:U,0))),$AE$3))*INDEX(R:R,MATCH(AG10,Q:Q,0))"),1469.9404800000002)</f>
        <v>1469.94048</v>
      </c>
      <c r="AI10" s="41"/>
      <c r="AK10" s="40">
        <v>104.0</v>
      </c>
      <c r="AL10" s="729" t="s">
        <v>1746</v>
      </c>
      <c r="AM10" s="729" t="s">
        <v>1747</v>
      </c>
      <c r="AN10" s="729" t="s">
        <v>1744</v>
      </c>
      <c r="AO10" s="730" t="s">
        <v>1728</v>
      </c>
      <c r="AP10" s="731"/>
    </row>
    <row r="11">
      <c r="A11" s="157" t="s">
        <v>699</v>
      </c>
      <c r="B11" s="157" t="s">
        <v>943</v>
      </c>
      <c r="C11" s="706">
        <v>2021.0</v>
      </c>
      <c r="D11" s="707">
        <v>79057.0</v>
      </c>
      <c r="E11" s="668"/>
      <c r="F11" s="157" t="s">
        <v>700</v>
      </c>
      <c r="G11" s="157" t="s">
        <v>947</v>
      </c>
      <c r="H11" s="706">
        <v>2021.0</v>
      </c>
      <c r="I11" s="707">
        <v>38.809</v>
      </c>
      <c r="J11" s="706"/>
      <c r="K11" s="708" t="s">
        <v>693</v>
      </c>
      <c r="L11" s="157" t="s">
        <v>931</v>
      </c>
      <c r="M11" s="706">
        <v>2028.0</v>
      </c>
      <c r="N11" s="157"/>
      <c r="O11" s="707">
        <v>2.43</v>
      </c>
      <c r="P11" s="709"/>
      <c r="Q11" s="710" t="s">
        <v>703</v>
      </c>
      <c r="R11" s="711">
        <v>0.32</v>
      </c>
      <c r="S11" s="41"/>
      <c r="T11" s="691">
        <v>6.0</v>
      </c>
      <c r="U11" s="40" t="s">
        <v>730</v>
      </c>
      <c r="V11" s="724">
        <v>18652.0</v>
      </c>
      <c r="W11" s="724">
        <v>22042.0</v>
      </c>
      <c r="X11" s="724">
        <v>51668.0</v>
      </c>
      <c r="Y11" s="725">
        <v>3.8781291E7</v>
      </c>
      <c r="Z11" s="691">
        <v>6.0</v>
      </c>
      <c r="AA11" s="40" t="s">
        <v>707</v>
      </c>
      <c r="AB11" s="724">
        <v>57.64</v>
      </c>
      <c r="AC11" s="726">
        <f t="shared" si="1"/>
        <v>21053.01</v>
      </c>
      <c r="AD11" s="724">
        <v>53268.0</v>
      </c>
      <c r="AE11" s="40">
        <v>0.92</v>
      </c>
      <c r="AF11" s="727">
        <v>0.0057</v>
      </c>
      <c r="AG11" s="40" t="s">
        <v>706</v>
      </c>
      <c r="AH11" s="728">
        <f>IFERROR(__xludf.DUMMYFUNCTION("$AH$4*(AVERAGE.WEIGHTED(IFERROR(INDEX(V:V,MATCH(AG11,U:U,0))/1,INDEX(AC:AC,MATCH(AG11,AA:AA,0))),$W$3,IFERROR(INDEX(AC:AC,MATCH(AG11,AA:AA,0))/1,INDEX(V:V,MATCH(AG11,U:U,0))),$AE$3))*INDEX(R:R,MATCH(AG11,Q:Q,0))"),38511.87870000001)</f>
        <v>38511.8787</v>
      </c>
      <c r="AI11" s="41"/>
      <c r="AK11" s="40">
        <v>105.0</v>
      </c>
      <c r="AL11" s="732" t="s">
        <v>1746</v>
      </c>
      <c r="AM11" s="733" t="s">
        <v>1747</v>
      </c>
      <c r="AN11" s="733" t="s">
        <v>1744</v>
      </c>
      <c r="AO11" s="734" t="s">
        <v>1728</v>
      </c>
      <c r="AP11" s="735"/>
    </row>
    <row r="12">
      <c r="A12" s="157" t="s">
        <v>700</v>
      </c>
      <c r="B12" s="157" t="s">
        <v>947</v>
      </c>
      <c r="C12" s="706">
        <v>2021.0</v>
      </c>
      <c r="D12" s="707">
        <v>3.4503776E7</v>
      </c>
      <c r="E12" s="668"/>
      <c r="F12" s="157" t="s">
        <v>1006</v>
      </c>
      <c r="G12" s="157" t="s">
        <v>1748</v>
      </c>
      <c r="H12" s="706">
        <v>2021.0</v>
      </c>
      <c r="I12" s="707">
        <v>9.568</v>
      </c>
      <c r="J12" s="706"/>
      <c r="K12" s="708" t="s">
        <v>693</v>
      </c>
      <c r="L12" s="157" t="s">
        <v>931</v>
      </c>
      <c r="M12" s="706">
        <v>2029.0</v>
      </c>
      <c r="N12" s="157"/>
      <c r="O12" s="707">
        <v>2.38</v>
      </c>
      <c r="P12" s="709"/>
      <c r="Q12" s="710" t="s">
        <v>704</v>
      </c>
      <c r="R12" s="711">
        <v>0.69</v>
      </c>
      <c r="S12" s="41"/>
      <c r="T12" s="691">
        <v>7.0</v>
      </c>
      <c r="U12" s="40" t="s">
        <v>707</v>
      </c>
      <c r="V12" s="724">
        <v>18405.0</v>
      </c>
      <c r="W12" s="724">
        <v>20718.0</v>
      </c>
      <c r="X12" s="724">
        <v>60418.0</v>
      </c>
      <c r="Y12" s="725">
        <v>8958960.0</v>
      </c>
      <c r="Z12" s="691">
        <v>7.0</v>
      </c>
      <c r="AA12" s="40" t="s">
        <v>777</v>
      </c>
      <c r="AB12" s="724">
        <v>56.52</v>
      </c>
      <c r="AC12" s="726">
        <f t="shared" si="1"/>
        <v>20643.93</v>
      </c>
      <c r="AD12" s="724">
        <v>68384.0</v>
      </c>
      <c r="AE12" s="40">
        <v>0.96</v>
      </c>
      <c r="AF12" s="61"/>
      <c r="AG12" s="40" t="s">
        <v>707</v>
      </c>
      <c r="AH12" s="728">
        <f>IFERROR(__xludf.DUMMYFUNCTION("$AH$4*(AVERAGE.WEIGHTED(IFERROR(INDEX(V:V,MATCH(AG12,U:U,0))/1,INDEX(AC:AC,MATCH(AG12,AA:AA,0))),$W$3,IFERROR(INDEX(AC:AC,MATCH(AG12,AA:AA,0))/1,INDEX(V:V,MATCH(AG12,U:U,0))),$AE$3))*INDEX(R:R,MATCH(AG12,Q:Q,0))"),35424.851279999995)</f>
        <v>35424.85128</v>
      </c>
      <c r="AI12" s="41"/>
      <c r="AK12" s="40">
        <v>106.0</v>
      </c>
      <c r="AL12" s="729" t="s">
        <v>1746</v>
      </c>
      <c r="AM12" s="729" t="s">
        <v>1747</v>
      </c>
      <c r="AN12" s="729" t="s">
        <v>1744</v>
      </c>
      <c r="AO12" s="730" t="s">
        <v>1728</v>
      </c>
      <c r="AP12" s="731"/>
    </row>
    <row r="13">
      <c r="A13" s="157" t="s">
        <v>1006</v>
      </c>
      <c r="B13" s="157" t="s">
        <v>1748</v>
      </c>
      <c r="C13" s="706">
        <v>2021.0</v>
      </c>
      <c r="D13" s="707">
        <v>15779.0</v>
      </c>
      <c r="E13" s="668"/>
      <c r="F13" s="157" t="s">
        <v>701</v>
      </c>
      <c r="G13" s="157" t="s">
        <v>951</v>
      </c>
      <c r="H13" s="706">
        <v>2021.0</v>
      </c>
      <c r="I13" s="707">
        <v>12.115</v>
      </c>
      <c r="J13" s="706"/>
      <c r="K13" s="708" t="s">
        <v>693</v>
      </c>
      <c r="L13" s="157" t="s">
        <v>931</v>
      </c>
      <c r="M13" s="706">
        <v>2030.0</v>
      </c>
      <c r="N13" s="157"/>
      <c r="O13" s="707">
        <v>2.34</v>
      </c>
      <c r="P13" s="709"/>
      <c r="Q13" s="710" t="s">
        <v>706</v>
      </c>
      <c r="R13" s="711">
        <v>1.07</v>
      </c>
      <c r="S13" s="41"/>
      <c r="T13" s="691">
        <v>8.0</v>
      </c>
      <c r="U13" s="40" t="s">
        <v>866</v>
      </c>
      <c r="V13" s="724">
        <v>17625.0</v>
      </c>
      <c r="W13" s="724">
        <v>20193.0</v>
      </c>
      <c r="X13" s="724">
        <v>56632.0</v>
      </c>
      <c r="Y13" s="725">
        <v>1.0612086E7</v>
      </c>
      <c r="Z13" s="691">
        <v>8.0</v>
      </c>
      <c r="AA13" s="40" t="s">
        <v>730</v>
      </c>
      <c r="AB13" s="724">
        <v>55.42</v>
      </c>
      <c r="AC13" s="726">
        <f t="shared" si="1"/>
        <v>20242.155</v>
      </c>
      <c r="AD13" s="724">
        <v>52051.0</v>
      </c>
      <c r="AE13" s="40">
        <v>0.94</v>
      </c>
      <c r="AF13" s="727">
        <v>0.0025</v>
      </c>
      <c r="AG13" s="40" t="s">
        <v>709</v>
      </c>
      <c r="AH13" s="728">
        <f>IFERROR(__xludf.DUMMYFUNCTION("$AH$4*(AVERAGE.WEIGHTED(IFERROR(INDEX(V:V,MATCH(AG13,U:U,0))/1,INDEX(AC:AC,MATCH(AG13,AA:AA,0))),$W$3,IFERROR(INDEX(AC:AC,MATCH(AG13,AA:AA,0))/1,INDEX(V:V,MATCH(AG13,U:U,0))),$AE$3))*INDEX(R:R,MATCH(AG13,Q:Q,0))"),2103.4888800000003)</f>
        <v>2103.48888</v>
      </c>
      <c r="AI13" s="41"/>
      <c r="AK13" s="40">
        <v>109.0</v>
      </c>
      <c r="AL13" s="732" t="s">
        <v>1749</v>
      </c>
      <c r="AM13" s="733" t="s">
        <v>1750</v>
      </c>
      <c r="AN13" s="733" t="s">
        <v>1744</v>
      </c>
      <c r="AO13" s="734" t="s">
        <v>1728</v>
      </c>
      <c r="AP13" s="735"/>
    </row>
    <row r="14">
      <c r="A14" s="157" t="s">
        <v>701</v>
      </c>
      <c r="B14" s="157" t="s">
        <v>951</v>
      </c>
      <c r="C14" s="706">
        <v>2021.0</v>
      </c>
      <c r="D14" s="707">
        <v>93229.0</v>
      </c>
      <c r="E14" s="668"/>
      <c r="F14" s="157" t="s">
        <v>401</v>
      </c>
      <c r="G14" s="157" t="s">
        <v>954</v>
      </c>
      <c r="H14" s="706">
        <v>2021.0</v>
      </c>
      <c r="I14" s="707">
        <v>13.902</v>
      </c>
      <c r="J14" s="706"/>
      <c r="K14" s="708" t="s">
        <v>693</v>
      </c>
      <c r="L14" s="157" t="s">
        <v>931</v>
      </c>
      <c r="M14" s="706">
        <v>2031.0</v>
      </c>
      <c r="N14" s="157"/>
      <c r="O14" s="707">
        <v>2.28</v>
      </c>
      <c r="P14" s="709"/>
      <c r="Q14" s="710" t="s">
        <v>707</v>
      </c>
      <c r="R14" s="711">
        <v>0.91</v>
      </c>
      <c r="S14" s="41"/>
      <c r="T14" s="691">
        <v>9.0</v>
      </c>
      <c r="U14" s="40" t="s">
        <v>747</v>
      </c>
      <c r="V14" s="724">
        <v>17432.0</v>
      </c>
      <c r="W14" s="724">
        <v>20304.0</v>
      </c>
      <c r="X14" s="724">
        <v>62089.0</v>
      </c>
      <c r="Y14" s="725">
        <v>5910913.0</v>
      </c>
      <c r="Z14" s="691">
        <v>9.0</v>
      </c>
      <c r="AA14" s="40" t="s">
        <v>766</v>
      </c>
      <c r="AB14" s="724">
        <v>54.82</v>
      </c>
      <c r="AC14" s="726">
        <f t="shared" si="1"/>
        <v>20023.005</v>
      </c>
      <c r="AD14" s="724">
        <v>50802.0</v>
      </c>
      <c r="AE14" s="40">
        <v>0.94</v>
      </c>
      <c r="AF14" s="61"/>
      <c r="AG14" s="40" t="s">
        <v>400</v>
      </c>
      <c r="AH14" s="728">
        <f>IFERROR(__xludf.DUMMYFUNCTION("$AH$4*(AVERAGE.WEIGHTED(IFERROR(INDEX(V:V,MATCH(AG14,U:U,0))/1,INDEX(AC:AC,MATCH(AG14,AA:AA,0))),$W$3,IFERROR(INDEX(AC:AC,MATCH(AG14,AA:AA,0))/1,INDEX(V:V,MATCH(AG14,U:U,0))),$AE$3))*INDEX(R:R,MATCH(AG14,Q:Q,0))"),913.24488)</f>
        <v>913.24488</v>
      </c>
      <c r="AI14" s="41"/>
      <c r="AK14" s="40">
        <v>110.0</v>
      </c>
      <c r="AL14" s="729" t="s">
        <v>1749</v>
      </c>
      <c r="AM14" s="729" t="s">
        <v>1750</v>
      </c>
      <c r="AN14" s="729" t="s">
        <v>1744</v>
      </c>
      <c r="AO14" s="730" t="s">
        <v>1728</v>
      </c>
      <c r="AP14" s="731"/>
    </row>
    <row r="15">
      <c r="A15" s="157" t="s">
        <v>401</v>
      </c>
      <c r="B15" s="157" t="s">
        <v>954</v>
      </c>
      <c r="C15" s="706">
        <v>2021.0</v>
      </c>
      <c r="D15" s="707">
        <v>4.5276788E7</v>
      </c>
      <c r="E15" s="668"/>
      <c r="F15" s="157" t="s">
        <v>703</v>
      </c>
      <c r="G15" s="157" t="s">
        <v>958</v>
      </c>
      <c r="H15" s="706">
        <v>2021.0</v>
      </c>
      <c r="I15" s="707">
        <v>12.049</v>
      </c>
      <c r="J15" s="706"/>
      <c r="K15" s="708" t="s">
        <v>693</v>
      </c>
      <c r="L15" s="157" t="s">
        <v>931</v>
      </c>
      <c r="M15" s="706">
        <v>2032.0</v>
      </c>
      <c r="N15" s="157"/>
      <c r="O15" s="707">
        <v>2.24</v>
      </c>
      <c r="P15" s="709"/>
      <c r="Q15" s="710" t="s">
        <v>709</v>
      </c>
      <c r="R15" s="711">
        <v>0.34</v>
      </c>
      <c r="S15" s="41"/>
      <c r="T15" s="691">
        <v>10.0</v>
      </c>
      <c r="U15" s="40" t="s">
        <v>825</v>
      </c>
      <c r="V15" s="724">
        <v>17154.0</v>
      </c>
      <c r="W15" s="724">
        <v>19690.0</v>
      </c>
      <c r="X15" s="724">
        <v>61285.0</v>
      </c>
      <c r="Y15" s="725">
        <v>1.7618299E7</v>
      </c>
      <c r="Z15" s="691">
        <v>10.0</v>
      </c>
      <c r="AA15" s="40" t="s">
        <v>825</v>
      </c>
      <c r="AB15" s="724">
        <v>54.42</v>
      </c>
      <c r="AC15" s="726">
        <f t="shared" si="1"/>
        <v>19876.905</v>
      </c>
      <c r="AD15" s="724">
        <v>58061.0</v>
      </c>
      <c r="AE15" s="40">
        <v>0.94</v>
      </c>
      <c r="AF15" s="727">
        <v>0.001</v>
      </c>
      <c r="AG15" s="40" t="s">
        <v>715</v>
      </c>
      <c r="AH15" s="728">
        <f>IFERROR(__xludf.DUMMYFUNCTION("$AH$4*(AVERAGE.WEIGHTED(IFERROR(INDEX(V:V,MATCH(AG15,U:U,0))/1,INDEX(AC:AC,MATCH(AG15,AA:AA,0))),$W$3,IFERROR(INDEX(AC:AC,MATCH(AG15,AA:AA,0))/1,INDEX(V:V,MATCH(AG15,U:U,0))),$AE$3))*INDEX(R:R,MATCH(AG15,Q:Q,0))"),4367.61552)</f>
        <v>4367.61552</v>
      </c>
      <c r="AI15" s="41"/>
      <c r="AK15" s="40">
        <v>111.0</v>
      </c>
      <c r="AL15" s="732" t="s">
        <v>1749</v>
      </c>
      <c r="AM15" s="733" t="s">
        <v>1750</v>
      </c>
      <c r="AN15" s="733" t="s">
        <v>1744</v>
      </c>
      <c r="AO15" s="734" t="s">
        <v>1728</v>
      </c>
      <c r="AP15" s="735"/>
    </row>
    <row r="16">
      <c r="A16" s="157" t="s">
        <v>703</v>
      </c>
      <c r="B16" s="157" t="s">
        <v>958</v>
      </c>
      <c r="C16" s="706">
        <v>2021.0</v>
      </c>
      <c r="D16" s="707">
        <v>2790971.0</v>
      </c>
      <c r="E16" s="668"/>
      <c r="F16" s="157" t="s">
        <v>704</v>
      </c>
      <c r="G16" s="157" t="s">
        <v>1751</v>
      </c>
      <c r="H16" s="706">
        <v>2021.0</v>
      </c>
      <c r="I16" s="707">
        <v>7.193</v>
      </c>
      <c r="J16" s="706"/>
      <c r="K16" s="708" t="s">
        <v>693</v>
      </c>
      <c r="L16" s="157" t="s">
        <v>931</v>
      </c>
      <c r="M16" s="706">
        <v>2033.0</v>
      </c>
      <c r="N16" s="157"/>
      <c r="O16" s="707">
        <v>2.19</v>
      </c>
      <c r="P16" s="709"/>
      <c r="Q16" s="710" t="s">
        <v>710</v>
      </c>
      <c r="R16" s="711">
        <v>0.83</v>
      </c>
      <c r="S16" s="41"/>
      <c r="T16" s="691">
        <v>11.0</v>
      </c>
      <c r="U16" s="40" t="s">
        <v>706</v>
      </c>
      <c r="V16" s="724">
        <v>17076.0</v>
      </c>
      <c r="W16" s="724">
        <v>21329.0</v>
      </c>
      <c r="X16" s="724">
        <v>53381.0</v>
      </c>
      <c r="Y16" s="725">
        <v>2.6439111E7</v>
      </c>
      <c r="Z16" s="691">
        <v>11.0</v>
      </c>
      <c r="AA16" s="40" t="s">
        <v>747</v>
      </c>
      <c r="AB16" s="724">
        <v>54.08</v>
      </c>
      <c r="AC16" s="726">
        <f t="shared" si="1"/>
        <v>19752.72</v>
      </c>
      <c r="AD16" s="724">
        <v>67803.0</v>
      </c>
      <c r="AE16" s="40">
        <v>0.95</v>
      </c>
      <c r="AF16" s="727">
        <v>0.0017</v>
      </c>
      <c r="AG16" s="40" t="s">
        <v>716</v>
      </c>
      <c r="AH16" s="728">
        <f>IFERROR(__xludf.DUMMYFUNCTION("$AH$4*(AVERAGE.WEIGHTED(IFERROR(INDEX(V:V,MATCH(AG16,U:U,0))/1,INDEX(AC:AC,MATCH(AG16,AA:AA,0))),$W$3,IFERROR(INDEX(AC:AC,MATCH(AG16,AA:AA,0))/1,INDEX(V:V,MATCH(AG16,U:U,0))),$AE$3))*INDEX(R:R,MATCH(AG16,Q:Q,0))"),30594.859679999998)</f>
        <v>30594.85968</v>
      </c>
      <c r="AI16" s="41"/>
      <c r="AK16" s="40">
        <v>112.0</v>
      </c>
      <c r="AL16" s="729" t="s">
        <v>1749</v>
      </c>
      <c r="AM16" s="729" t="s">
        <v>1750</v>
      </c>
      <c r="AN16" s="729" t="s">
        <v>1744</v>
      </c>
      <c r="AO16" s="730" t="s">
        <v>1728</v>
      </c>
      <c r="AP16" s="731"/>
    </row>
    <row r="17">
      <c r="A17" s="157" t="s">
        <v>704</v>
      </c>
      <c r="B17" s="157" t="s">
        <v>1751</v>
      </c>
      <c r="C17" s="706">
        <v>2021.0</v>
      </c>
      <c r="D17" s="707">
        <v>106543.0</v>
      </c>
      <c r="E17" s="668"/>
      <c r="F17" s="157" t="s">
        <v>1752</v>
      </c>
      <c r="G17" s="157"/>
      <c r="H17" s="706">
        <v>2021.0</v>
      </c>
      <c r="I17" s="707">
        <v>14.319</v>
      </c>
      <c r="J17" s="706"/>
      <c r="K17" s="708" t="s">
        <v>693</v>
      </c>
      <c r="L17" s="157" t="s">
        <v>931</v>
      </c>
      <c r="M17" s="706">
        <v>2034.0</v>
      </c>
      <c r="N17" s="157"/>
      <c r="O17" s="707">
        <v>2.14</v>
      </c>
      <c r="P17" s="709"/>
      <c r="Q17" s="710" t="s">
        <v>712</v>
      </c>
      <c r="R17" s="711">
        <v>0.49</v>
      </c>
      <c r="S17" s="41"/>
      <c r="T17" s="691">
        <v>12.0</v>
      </c>
      <c r="U17" s="40" t="s">
        <v>777</v>
      </c>
      <c r="V17" s="724">
        <v>17017.0</v>
      </c>
      <c r="W17" s="724">
        <v>19300.0</v>
      </c>
      <c r="X17" s="724">
        <v>60132.0</v>
      </c>
      <c r="Y17" s="725">
        <v>375318.0</v>
      </c>
      <c r="Z17" s="691">
        <v>12.0</v>
      </c>
      <c r="AA17" s="40" t="s">
        <v>706</v>
      </c>
      <c r="AB17" s="724">
        <v>53.05</v>
      </c>
      <c r="AC17" s="726">
        <f t="shared" si="1"/>
        <v>19376.5125</v>
      </c>
      <c r="AD17" s="724">
        <v>59934.0</v>
      </c>
      <c r="AE17" s="40">
        <v>0.95</v>
      </c>
      <c r="AF17" s="727">
        <v>0.005</v>
      </c>
      <c r="AG17" s="40" t="s">
        <v>717</v>
      </c>
      <c r="AH17" s="728">
        <f>IFERROR(__xludf.DUMMYFUNCTION("$AH$4*(AVERAGE.WEIGHTED(IFERROR(INDEX(V:V,MATCH(AG17,U:U,0))/1,INDEX(AC:AC,MATCH(AG17,AA:AA,0))),$W$3,IFERROR(INDEX(AC:AC,MATCH(AG17,AA:AA,0))/1,INDEX(V:V,MATCH(AG17,U:U,0))),$AE$3))*INDEX(R:R,MATCH(AG17,Q:Q,0))"),2437.5156)</f>
        <v>2437.5156</v>
      </c>
      <c r="AI17" s="41"/>
      <c r="AK17" s="40">
        <v>113.0</v>
      </c>
      <c r="AL17" s="732" t="s">
        <v>1753</v>
      </c>
      <c r="AM17" s="733" t="s">
        <v>1754</v>
      </c>
      <c r="AN17" s="733" t="s">
        <v>1744</v>
      </c>
      <c r="AO17" s="734" t="s">
        <v>1728</v>
      </c>
      <c r="AP17" s="735"/>
    </row>
    <row r="18">
      <c r="A18" s="157" t="s">
        <v>1755</v>
      </c>
      <c r="B18" s="157"/>
      <c r="C18" s="706">
        <v>2021.0</v>
      </c>
      <c r="D18" s="707">
        <v>4.693332132E9</v>
      </c>
      <c r="E18" s="668"/>
      <c r="F18" s="157" t="s">
        <v>706</v>
      </c>
      <c r="G18" s="157" t="s">
        <v>962</v>
      </c>
      <c r="H18" s="706">
        <v>2021.0</v>
      </c>
      <c r="I18" s="707">
        <v>11.542</v>
      </c>
      <c r="J18" s="706"/>
      <c r="K18" s="708" t="s">
        <v>693</v>
      </c>
      <c r="L18" s="157" t="s">
        <v>931</v>
      </c>
      <c r="M18" s="706">
        <v>2035.0</v>
      </c>
      <c r="N18" s="157"/>
      <c r="O18" s="707">
        <v>2.1</v>
      </c>
      <c r="P18" s="709"/>
      <c r="Q18" s="710" t="s">
        <v>400</v>
      </c>
      <c r="R18" s="711">
        <v>0.38</v>
      </c>
      <c r="S18" s="41"/>
      <c r="T18" s="691">
        <v>13.0</v>
      </c>
      <c r="U18" s="40" t="s">
        <v>766</v>
      </c>
      <c r="V18" s="724">
        <v>16845.0</v>
      </c>
      <c r="W18" s="724">
        <v>19730.0</v>
      </c>
      <c r="X18" s="724">
        <v>57530.0</v>
      </c>
      <c r="Y18" s="725">
        <v>8.3294633E7</v>
      </c>
      <c r="Z18" s="691">
        <v>13.0</v>
      </c>
      <c r="AA18" s="40" t="s">
        <v>716</v>
      </c>
      <c r="AB18" s="724">
        <v>52.63</v>
      </c>
      <c r="AC18" s="726">
        <f t="shared" si="1"/>
        <v>19223.1075</v>
      </c>
      <c r="AD18" s="724">
        <v>51768.0</v>
      </c>
      <c r="AE18" s="40">
        <v>0.94</v>
      </c>
      <c r="AF18" s="727">
        <v>8.0E-4</v>
      </c>
      <c r="AG18" s="40" t="s">
        <v>718</v>
      </c>
      <c r="AH18" s="728">
        <f>IFERROR(__xludf.DUMMYFUNCTION("$AH$4*(AVERAGE.WEIGHTED(IFERROR(INDEX(V:V,MATCH(AG18,U:U,0))/1,INDEX(AC:AC,MATCH(AG18,AA:AA,0))),$W$3,IFERROR(INDEX(AC:AC,MATCH(AG18,AA:AA,0))/1,INDEX(V:V,MATCH(AG18,U:U,0))),$AE$3))*INDEX(R:R,MATCH(AG18,Q:Q,0))"),668.03616)</f>
        <v>668.03616</v>
      </c>
      <c r="AI18" s="41"/>
      <c r="AK18" s="40">
        <v>114.0</v>
      </c>
      <c r="AL18" s="729" t="s">
        <v>1753</v>
      </c>
      <c r="AM18" s="729" t="s">
        <v>1754</v>
      </c>
      <c r="AN18" s="729" t="s">
        <v>1744</v>
      </c>
      <c r="AO18" s="730" t="s">
        <v>1728</v>
      </c>
      <c r="AP18" s="731"/>
    </row>
    <row r="19">
      <c r="A19" s="157" t="s">
        <v>1752</v>
      </c>
      <c r="B19" s="157"/>
      <c r="C19" s="706">
        <v>2021.0</v>
      </c>
      <c r="D19" s="707">
        <v>4.694576128E9</v>
      </c>
      <c r="E19" s="668"/>
      <c r="F19" s="157" t="s">
        <v>707</v>
      </c>
      <c r="G19" s="157" t="s">
        <v>965</v>
      </c>
      <c r="H19" s="706">
        <v>2021.0</v>
      </c>
      <c r="I19" s="707">
        <v>9.498</v>
      </c>
      <c r="J19" s="706"/>
      <c r="K19" s="708" t="s">
        <v>693</v>
      </c>
      <c r="L19" s="157" t="s">
        <v>931</v>
      </c>
      <c r="M19" s="706">
        <v>2036.0</v>
      </c>
      <c r="N19" s="157"/>
      <c r="O19" s="707">
        <v>2.07</v>
      </c>
      <c r="P19" s="709"/>
      <c r="Q19" s="710" t="s">
        <v>714</v>
      </c>
      <c r="R19" s="711">
        <v>1.14</v>
      </c>
      <c r="S19" s="41"/>
      <c r="T19" s="691">
        <v>14.0</v>
      </c>
      <c r="U19" s="40" t="s">
        <v>762</v>
      </c>
      <c r="V19" s="724">
        <v>16372.0</v>
      </c>
      <c r="W19" s="724">
        <v>19409.0</v>
      </c>
      <c r="X19" s="724">
        <v>50992.0</v>
      </c>
      <c r="Y19" s="725">
        <v>6.4756584E7</v>
      </c>
      <c r="Z19" s="691">
        <v>14.0</v>
      </c>
      <c r="AA19" s="40" t="s">
        <v>761</v>
      </c>
      <c r="AB19" s="724">
        <v>51.26</v>
      </c>
      <c r="AC19" s="726">
        <f t="shared" si="1"/>
        <v>18722.715</v>
      </c>
      <c r="AD19" s="724">
        <v>53983.0</v>
      </c>
      <c r="AE19" s="40">
        <v>0.94</v>
      </c>
      <c r="AF19" s="727">
        <v>6.0E-4</v>
      </c>
      <c r="AG19" s="40" t="s">
        <v>720</v>
      </c>
      <c r="AH19" s="728">
        <f>IFERROR(__xludf.DUMMYFUNCTION("$AH$4*(AVERAGE.WEIGHTED(IFERROR(INDEX(V:V,MATCH(AG19,U:U,0))/1,INDEX(AC:AC,MATCH(AG19,AA:AA,0))),$W$3,IFERROR(INDEX(AC:AC,MATCH(AG19,AA:AA,0))/1,INDEX(V:V,MATCH(AG19,U:U,0))),$AE$3))*INDEX(R:R,MATCH(AG19,Q:Q,0))"),1444.1684400000001)</f>
        <v>1444.16844</v>
      </c>
      <c r="AI19" s="41"/>
      <c r="AK19" s="40">
        <v>115.0</v>
      </c>
      <c r="AL19" s="732" t="s">
        <v>1753</v>
      </c>
      <c r="AM19" s="733" t="s">
        <v>1754</v>
      </c>
      <c r="AN19" s="733" t="s">
        <v>1744</v>
      </c>
      <c r="AO19" s="734" t="s">
        <v>1728</v>
      </c>
      <c r="AP19" s="735"/>
    </row>
    <row r="20">
      <c r="A20" s="157" t="s">
        <v>706</v>
      </c>
      <c r="B20" s="157" t="s">
        <v>962</v>
      </c>
      <c r="C20" s="706">
        <v>2021.0</v>
      </c>
      <c r="D20" s="707">
        <v>2.5921094E7</v>
      </c>
      <c r="E20" s="668"/>
      <c r="F20" s="157" t="s">
        <v>709</v>
      </c>
      <c r="G20" s="157" t="s">
        <v>969</v>
      </c>
      <c r="H20" s="706">
        <v>2021.0</v>
      </c>
      <c r="I20" s="707">
        <v>12.326</v>
      </c>
      <c r="J20" s="706"/>
      <c r="K20" s="708" t="s">
        <v>693</v>
      </c>
      <c r="L20" s="157" t="s">
        <v>931</v>
      </c>
      <c r="M20" s="706">
        <v>2037.0</v>
      </c>
      <c r="N20" s="157"/>
      <c r="O20" s="707">
        <v>2.04</v>
      </c>
      <c r="P20" s="709"/>
      <c r="Q20" s="710" t="s">
        <v>715</v>
      </c>
      <c r="R20" s="711">
        <v>0.34</v>
      </c>
      <c r="S20" s="41"/>
      <c r="T20" s="691">
        <v>15.0</v>
      </c>
      <c r="U20" s="40" t="s">
        <v>761</v>
      </c>
      <c r="V20" s="724">
        <v>16332.0</v>
      </c>
      <c r="W20" s="724">
        <v>18742.0</v>
      </c>
      <c r="X20" s="724">
        <v>53171.0</v>
      </c>
      <c r="Y20" s="725">
        <v>5545475.0</v>
      </c>
      <c r="Z20" s="691">
        <v>15.0</v>
      </c>
      <c r="AA20" s="40" t="s">
        <v>866</v>
      </c>
      <c r="AB20" s="724">
        <v>50.57</v>
      </c>
      <c r="AC20" s="726">
        <f t="shared" si="1"/>
        <v>18470.6925</v>
      </c>
      <c r="AD20" s="724">
        <v>60239.0</v>
      </c>
      <c r="AE20" s="40">
        <v>0.95</v>
      </c>
      <c r="AF20" s="727">
        <v>0.0069</v>
      </c>
      <c r="AG20" s="40" t="s">
        <v>721</v>
      </c>
      <c r="AH20" s="728">
        <f>IFERROR(__xludf.DUMMYFUNCTION("$AH$4*(AVERAGE.WEIGHTED(IFERROR(INDEX(V:V,MATCH(AG20,U:U,0))/1,INDEX(AC:AC,MATCH(AG20,AA:AA,0))),$W$3,IFERROR(INDEX(AC:AC,MATCH(AG20,AA:AA,0))/1,INDEX(V:V,MATCH(AG20,U:U,0))),$AE$3))*INDEX(R:R,MATCH(AG20,Q:Q,0))"),3212.4607200000005)</f>
        <v>3212.46072</v>
      </c>
      <c r="AI20" s="41"/>
      <c r="AK20" s="40">
        <v>116.0</v>
      </c>
      <c r="AL20" s="729" t="s">
        <v>1753</v>
      </c>
      <c r="AM20" s="729" t="s">
        <v>1754</v>
      </c>
      <c r="AN20" s="729" t="s">
        <v>1744</v>
      </c>
      <c r="AO20" s="730" t="s">
        <v>1728</v>
      </c>
      <c r="AP20" s="731"/>
    </row>
    <row r="21">
      <c r="A21" s="157" t="s">
        <v>707</v>
      </c>
      <c r="B21" s="157" t="s">
        <v>965</v>
      </c>
      <c r="C21" s="706">
        <v>2021.0</v>
      </c>
      <c r="D21" s="707">
        <v>8922086.0</v>
      </c>
      <c r="E21" s="668"/>
      <c r="F21" s="157" t="s">
        <v>710</v>
      </c>
      <c r="G21" s="157" t="s">
        <v>973</v>
      </c>
      <c r="H21" s="706">
        <v>2021.0</v>
      </c>
      <c r="I21" s="707">
        <v>11.445</v>
      </c>
      <c r="J21" s="706"/>
      <c r="K21" s="708" t="s">
        <v>693</v>
      </c>
      <c r="L21" s="157" t="s">
        <v>931</v>
      </c>
      <c r="M21" s="706">
        <v>2038.0</v>
      </c>
      <c r="N21" s="157"/>
      <c r="O21" s="707">
        <v>1.99</v>
      </c>
      <c r="P21" s="709"/>
      <c r="Q21" s="710" t="s">
        <v>716</v>
      </c>
      <c r="R21" s="711">
        <v>0.88</v>
      </c>
      <c r="S21" s="41"/>
      <c r="T21" s="691">
        <v>16.0</v>
      </c>
      <c r="U21" s="40" t="s">
        <v>716</v>
      </c>
      <c r="V21" s="724">
        <v>16157.0</v>
      </c>
      <c r="W21" s="724">
        <v>17917.0</v>
      </c>
      <c r="X21" s="724">
        <v>56348.0</v>
      </c>
      <c r="Y21" s="725">
        <v>1.168614E7</v>
      </c>
      <c r="Z21" s="691">
        <v>16.0</v>
      </c>
      <c r="AA21" s="40" t="s">
        <v>762</v>
      </c>
      <c r="AB21" s="724">
        <v>49.59</v>
      </c>
      <c r="AC21" s="726">
        <f t="shared" si="1"/>
        <v>18112.7475</v>
      </c>
      <c r="AD21" s="724">
        <v>43519.0</v>
      </c>
      <c r="AE21" s="40">
        <v>0.91</v>
      </c>
      <c r="AF21" s="727">
        <v>2.0E-4</v>
      </c>
      <c r="AG21" s="40" t="s">
        <v>1756</v>
      </c>
      <c r="AH21" s="728">
        <f>IFERROR(__xludf.DUMMYFUNCTION("$AH$4*(AVERAGE.WEIGHTED(IFERROR(INDEX(V:V,MATCH(AG21,U:U,0))/1,INDEX(AC:AC,MATCH(AG21,AA:AA,0))),$W$3,IFERROR(INDEX(AC:AC,MATCH(AG21,AA:AA,0))/1,INDEX(V:V,MATCH(AG21,U:U,0))),$AE$3))*INDEX(R:R,MATCH(AG21,Q:Q,0))"),5023.6152)</f>
        <v>5023.6152</v>
      </c>
      <c r="AI21" s="41"/>
      <c r="AK21" s="40">
        <v>117.0</v>
      </c>
      <c r="AL21" s="732" t="s">
        <v>1753</v>
      </c>
      <c r="AM21" s="733" t="s">
        <v>1754</v>
      </c>
      <c r="AN21" s="733" t="s">
        <v>1744</v>
      </c>
      <c r="AO21" s="734" t="s">
        <v>1728</v>
      </c>
      <c r="AP21" s="735"/>
    </row>
    <row r="22">
      <c r="A22" s="157" t="s">
        <v>709</v>
      </c>
      <c r="B22" s="157" t="s">
        <v>969</v>
      </c>
      <c r="C22" s="706">
        <v>2021.0</v>
      </c>
      <c r="D22" s="707">
        <v>1.0312992E7</v>
      </c>
      <c r="E22" s="668"/>
      <c r="F22" s="157" t="s">
        <v>712</v>
      </c>
      <c r="G22" s="157" t="s">
        <v>977</v>
      </c>
      <c r="H22" s="706">
        <v>2021.0</v>
      </c>
      <c r="I22" s="707">
        <v>11.926</v>
      </c>
      <c r="J22" s="706"/>
      <c r="K22" s="708" t="s">
        <v>693</v>
      </c>
      <c r="L22" s="157" t="s">
        <v>931</v>
      </c>
      <c r="M22" s="706">
        <v>2039.0</v>
      </c>
      <c r="N22" s="157"/>
      <c r="O22" s="707">
        <v>1.96</v>
      </c>
      <c r="P22" s="709"/>
      <c r="Q22" s="710" t="s">
        <v>717</v>
      </c>
      <c r="R22" s="711">
        <v>0.65</v>
      </c>
      <c r="S22" s="41"/>
      <c r="T22" s="691">
        <v>17.0</v>
      </c>
      <c r="U22" s="40" t="s">
        <v>882</v>
      </c>
      <c r="V22" s="724">
        <v>14793.0</v>
      </c>
      <c r="W22" s="724">
        <v>18133.0</v>
      </c>
      <c r="X22" s="724">
        <v>49931.0</v>
      </c>
      <c r="Y22" s="725">
        <v>6.7736802E7</v>
      </c>
      <c r="Z22" s="691">
        <v>17.0</v>
      </c>
      <c r="AA22" s="40" t="s">
        <v>808</v>
      </c>
      <c r="AB22" s="724">
        <v>45.71</v>
      </c>
      <c r="AC22" s="726">
        <f t="shared" si="1"/>
        <v>16695.5775</v>
      </c>
      <c r="AD22" s="724">
        <v>33257.0</v>
      </c>
      <c r="AE22" s="40">
        <v>0.92</v>
      </c>
      <c r="AF22" s="727">
        <v>0.001</v>
      </c>
      <c r="AG22" s="40" t="s">
        <v>723</v>
      </c>
      <c r="AH22" s="728">
        <f>IFERROR(__xludf.DUMMYFUNCTION("$AH$4*(AVERAGE.WEIGHTED(IFERROR(INDEX(V:V,MATCH(AG22,U:U,0))/1,INDEX(AC:AC,MATCH(AG22,AA:AA,0))),$W$3,IFERROR(INDEX(AC:AC,MATCH(AG22,AA:AA,0))/1,INDEX(V:V,MATCH(AG22,U:U,0))),$AE$3))*INDEX(R:R,MATCH(AG22,Q:Q,0))"),1398.36816)</f>
        <v>1398.36816</v>
      </c>
      <c r="AI22" s="41"/>
      <c r="AK22" s="40">
        <v>119.0</v>
      </c>
      <c r="AL22" s="738" t="s">
        <v>1757</v>
      </c>
      <c r="AM22" s="738" t="s">
        <v>1758</v>
      </c>
      <c r="AN22" s="738" t="s">
        <v>1744</v>
      </c>
      <c r="AO22" s="739" t="s">
        <v>1728</v>
      </c>
      <c r="AP22" s="740"/>
    </row>
    <row r="23">
      <c r="A23" s="157" t="s">
        <v>710</v>
      </c>
      <c r="B23" s="157" t="s">
        <v>973</v>
      </c>
      <c r="C23" s="706">
        <v>2021.0</v>
      </c>
      <c r="D23" s="707">
        <v>407920.0</v>
      </c>
      <c r="E23" s="668"/>
      <c r="F23" s="157" t="s">
        <v>400</v>
      </c>
      <c r="G23" s="157" t="s">
        <v>984</v>
      </c>
      <c r="H23" s="706">
        <v>2021.0</v>
      </c>
      <c r="I23" s="707">
        <v>17.821</v>
      </c>
      <c r="J23" s="706"/>
      <c r="K23" s="708" t="s">
        <v>693</v>
      </c>
      <c r="L23" s="157" t="s">
        <v>931</v>
      </c>
      <c r="M23" s="706">
        <v>2040.0</v>
      </c>
      <c r="N23" s="157"/>
      <c r="O23" s="707">
        <v>1.92</v>
      </c>
      <c r="P23" s="709"/>
      <c r="Q23" s="710" t="s">
        <v>718</v>
      </c>
      <c r="R23" s="711">
        <v>0.36</v>
      </c>
      <c r="S23" s="41"/>
      <c r="T23" s="691">
        <v>18.0</v>
      </c>
      <c r="U23" s="40" t="s">
        <v>808</v>
      </c>
      <c r="V23" s="724">
        <v>14543.0</v>
      </c>
      <c r="W23" s="724">
        <v>16509.0</v>
      </c>
      <c r="X23" s="724">
        <v>47578.0</v>
      </c>
      <c r="Y23" s="725">
        <v>535064.0</v>
      </c>
      <c r="Z23" s="691">
        <v>18.0</v>
      </c>
      <c r="AA23" s="40" t="s">
        <v>882</v>
      </c>
      <c r="AB23" s="724">
        <v>45.0</v>
      </c>
      <c r="AC23" s="726">
        <f t="shared" si="1"/>
        <v>16436.25</v>
      </c>
      <c r="AD23" s="724">
        <v>47334.0</v>
      </c>
      <c r="AE23" s="40">
        <v>0.93</v>
      </c>
      <c r="AF23" s="727">
        <v>0.003</v>
      </c>
      <c r="AG23" s="40" t="s">
        <v>455</v>
      </c>
      <c r="AH23" s="728">
        <f>IFERROR(__xludf.DUMMYFUNCTION("$AH$4*(AVERAGE.WEIGHTED(IFERROR(INDEX(V:V,MATCH(AG23,U:U,0))/1,INDEX(AC:AC,MATCH(AG23,AA:AA,0))),$W$3,IFERROR(INDEX(AC:AC,MATCH(AG23,AA:AA,0))/1,INDEX(V:V,MATCH(AG23,U:U,0))),$AE$3))*INDEX(R:R,MATCH(AG23,Q:Q,0))"),4423.91166)</f>
        <v>4423.91166</v>
      </c>
      <c r="AI23" s="41"/>
      <c r="AK23" s="40">
        <v>120.0</v>
      </c>
      <c r="AL23" s="719" t="s">
        <v>1757</v>
      </c>
      <c r="AM23" s="720" t="s">
        <v>1758</v>
      </c>
      <c r="AN23" s="720" t="s">
        <v>1744</v>
      </c>
      <c r="AO23" s="722" t="s">
        <v>1728</v>
      </c>
      <c r="AP23" s="723"/>
    </row>
    <row r="24">
      <c r="A24" s="157" t="s">
        <v>712</v>
      </c>
      <c r="B24" s="157" t="s">
        <v>977</v>
      </c>
      <c r="C24" s="706">
        <v>2021.0</v>
      </c>
      <c r="D24" s="707">
        <v>1463266.0</v>
      </c>
      <c r="E24" s="668"/>
      <c r="F24" s="157" t="s">
        <v>714</v>
      </c>
      <c r="G24" s="157" t="s">
        <v>991</v>
      </c>
      <c r="H24" s="706">
        <v>2021.0</v>
      </c>
      <c r="I24" s="707">
        <v>10.832</v>
      </c>
      <c r="J24" s="706"/>
      <c r="K24" s="708" t="s">
        <v>693</v>
      </c>
      <c r="L24" s="157" t="s">
        <v>931</v>
      </c>
      <c r="M24" s="706">
        <v>2041.0</v>
      </c>
      <c r="N24" s="157"/>
      <c r="O24" s="707">
        <v>1.88</v>
      </c>
      <c r="P24" s="709"/>
      <c r="Q24" s="710" t="s">
        <v>719</v>
      </c>
      <c r="R24" s="711">
        <v>1.29</v>
      </c>
      <c r="S24" s="41"/>
      <c r="T24" s="691">
        <v>19.0</v>
      </c>
      <c r="U24" s="40" t="s">
        <v>782</v>
      </c>
      <c r="V24" s="724">
        <v>14520.0</v>
      </c>
      <c r="W24" s="724">
        <v>17938.0</v>
      </c>
      <c r="X24" s="724">
        <v>89683.0</v>
      </c>
      <c r="Y24" s="725">
        <v>5056935.0</v>
      </c>
      <c r="Z24" s="691">
        <v>19.0</v>
      </c>
      <c r="AA24" s="40" t="s">
        <v>782</v>
      </c>
      <c r="AB24" s="724">
        <v>44.73</v>
      </c>
      <c r="AC24" s="726">
        <f t="shared" si="1"/>
        <v>16337.6325</v>
      </c>
      <c r="AD24" s="724">
        <v>99152.0</v>
      </c>
      <c r="AE24" s="40">
        <v>0.95</v>
      </c>
      <c r="AF24" s="727">
        <v>0.0024</v>
      </c>
      <c r="AG24" s="40" t="s">
        <v>725</v>
      </c>
      <c r="AH24" s="728">
        <f>IFERROR(__xludf.DUMMYFUNCTION("$AH$4*(AVERAGE.WEIGHTED(IFERROR(INDEX(V:V,MATCH(AG24,U:U,0))/1,INDEX(AC:AC,MATCH(AG24,AA:AA,0))),$W$3,IFERROR(INDEX(AC:AC,MATCH(AG24,AA:AA,0))/1,INDEX(V:V,MATCH(AG24,U:U,0))),$AE$3))*INDEX(R:R,MATCH(AG24,Q:Q,0))"),5689.41648)</f>
        <v>5689.41648</v>
      </c>
      <c r="AI24" s="41"/>
      <c r="AK24" s="40">
        <v>121.0</v>
      </c>
      <c r="AL24" s="738" t="s">
        <v>1757</v>
      </c>
      <c r="AM24" s="738" t="s">
        <v>1758</v>
      </c>
      <c r="AN24" s="738" t="s">
        <v>1744</v>
      </c>
      <c r="AO24" s="739" t="s">
        <v>1728</v>
      </c>
      <c r="AP24" s="740"/>
    </row>
    <row r="25">
      <c r="A25" s="157" t="s">
        <v>400</v>
      </c>
      <c r="B25" s="157" t="s">
        <v>984</v>
      </c>
      <c r="C25" s="706">
        <v>2021.0</v>
      </c>
      <c r="D25" s="707">
        <v>1.6935624E8</v>
      </c>
      <c r="E25" s="668"/>
      <c r="F25" s="157" t="s">
        <v>715</v>
      </c>
      <c r="G25" s="157" t="s">
        <v>996</v>
      </c>
      <c r="H25" s="706">
        <v>2021.0</v>
      </c>
      <c r="I25" s="707">
        <v>9.283</v>
      </c>
      <c r="J25" s="706"/>
      <c r="K25" s="708" t="s">
        <v>693</v>
      </c>
      <c r="L25" s="157" t="s">
        <v>931</v>
      </c>
      <c r="M25" s="706">
        <v>2042.0</v>
      </c>
      <c r="N25" s="157"/>
      <c r="O25" s="707">
        <v>1.86</v>
      </c>
      <c r="P25" s="709"/>
      <c r="Q25" s="710" t="s">
        <v>720</v>
      </c>
      <c r="R25" s="711">
        <v>0.27</v>
      </c>
      <c r="S25" s="41"/>
      <c r="T25" s="691">
        <v>20.0</v>
      </c>
      <c r="U25" s="40" t="s">
        <v>786</v>
      </c>
      <c r="V25" s="724">
        <v>14255.0</v>
      </c>
      <c r="W25" s="724">
        <v>17095.0</v>
      </c>
      <c r="X25" s="724">
        <v>43593.0</v>
      </c>
      <c r="Y25" s="725">
        <v>1.23294513E8</v>
      </c>
      <c r="Z25" s="691">
        <v>20.0</v>
      </c>
      <c r="AA25" s="40" t="s">
        <v>744</v>
      </c>
      <c r="AB25" s="724">
        <v>43.2</v>
      </c>
      <c r="AC25" s="726">
        <f t="shared" si="1"/>
        <v>15778.8</v>
      </c>
      <c r="AD25" s="724">
        <v>30798.0</v>
      </c>
      <c r="AE25" s="40">
        <v>0.9</v>
      </c>
      <c r="AF25" s="727">
        <v>2.0E-4</v>
      </c>
      <c r="AG25" s="40" t="s">
        <v>726</v>
      </c>
      <c r="AH25" s="728">
        <f>IFERROR(__xludf.DUMMYFUNCTION("$AH$4*(AVERAGE.WEIGHTED(IFERROR(INDEX(V:V,MATCH(AG25,U:U,0))/1,INDEX(AC:AC,MATCH(AG25,AA:AA,0))),$W$3,IFERROR(INDEX(AC:AC,MATCH(AG25,AA:AA,0))/1,INDEX(V:V,MATCH(AG25,U:U,0))),$AE$3))*INDEX(R:R,MATCH(AG25,Q:Q,0))"),656.4540000000001)</f>
        <v>656.454</v>
      </c>
      <c r="AI25" s="41"/>
      <c r="AK25" s="40">
        <v>122.0</v>
      </c>
      <c r="AL25" s="719" t="s">
        <v>1759</v>
      </c>
      <c r="AM25" s="720" t="s">
        <v>1760</v>
      </c>
      <c r="AN25" s="720" t="s">
        <v>1744</v>
      </c>
      <c r="AO25" s="722" t="s">
        <v>1728</v>
      </c>
      <c r="AP25" s="723"/>
    </row>
    <row r="26">
      <c r="A26" s="157" t="s">
        <v>714</v>
      </c>
      <c r="B26" s="157" t="s">
        <v>991</v>
      </c>
      <c r="C26" s="706">
        <v>2021.0</v>
      </c>
      <c r="D26" s="707">
        <v>281204.0</v>
      </c>
      <c r="E26" s="668"/>
      <c r="F26" s="157" t="s">
        <v>716</v>
      </c>
      <c r="G26" s="157" t="s">
        <v>1003</v>
      </c>
      <c r="H26" s="706">
        <v>2021.0</v>
      </c>
      <c r="I26" s="707">
        <v>10.051</v>
      </c>
      <c r="J26" s="706"/>
      <c r="K26" s="708" t="s">
        <v>693</v>
      </c>
      <c r="L26" s="157" t="s">
        <v>931</v>
      </c>
      <c r="M26" s="706">
        <v>2043.0</v>
      </c>
      <c r="N26" s="157"/>
      <c r="O26" s="707">
        <v>1.82</v>
      </c>
      <c r="P26" s="709"/>
      <c r="Q26" s="710" t="s">
        <v>721</v>
      </c>
      <c r="R26" s="711">
        <v>0.38</v>
      </c>
      <c r="S26" s="41"/>
      <c r="T26" s="691">
        <v>21.0</v>
      </c>
      <c r="U26" s="40" t="s">
        <v>869</v>
      </c>
      <c r="V26" s="724">
        <v>13605.0</v>
      </c>
      <c r="W26" s="724">
        <v>16355.0</v>
      </c>
      <c r="X26" s="724"/>
      <c r="Y26" s="725">
        <v>2.3923276E7</v>
      </c>
      <c r="Z26" s="691">
        <v>21.0</v>
      </c>
      <c r="AA26" s="40" t="s">
        <v>786</v>
      </c>
      <c r="AB26" s="724">
        <v>41.49</v>
      </c>
      <c r="AC26" s="726">
        <f t="shared" si="1"/>
        <v>15154.2225</v>
      </c>
      <c r="AD26" s="724">
        <v>39285.0</v>
      </c>
      <c r="AE26" s="40">
        <v>0.93</v>
      </c>
      <c r="AF26" s="727">
        <v>0.0073</v>
      </c>
      <c r="AG26" s="40" t="s">
        <v>727</v>
      </c>
      <c r="AH26" s="728">
        <f>IFERROR(__xludf.DUMMYFUNCTION("$AH$4*(AVERAGE.WEIGHTED(IFERROR(INDEX(V:V,MATCH(AG26,U:U,0))/1,INDEX(AC:AC,MATCH(AG26,AA:AA,0))),$W$3,IFERROR(INDEX(AC:AC,MATCH(AG26,AA:AA,0))/1,INDEX(V:V,MATCH(AG26,U:U,0))),$AE$3))*INDEX(R:R,MATCH(AG26,Q:Q,0))"),309.3546)</f>
        <v>309.3546</v>
      </c>
      <c r="AI26" s="41"/>
      <c r="AK26" s="40">
        <v>123.0</v>
      </c>
      <c r="AL26" s="738" t="s">
        <v>1759</v>
      </c>
      <c r="AM26" s="738" t="s">
        <v>1760</v>
      </c>
      <c r="AN26" s="738" t="s">
        <v>1744</v>
      </c>
      <c r="AO26" s="739" t="s">
        <v>1728</v>
      </c>
      <c r="AP26" s="740"/>
    </row>
    <row r="27">
      <c r="A27" s="157" t="s">
        <v>715</v>
      </c>
      <c r="B27" s="157" t="s">
        <v>996</v>
      </c>
      <c r="C27" s="706">
        <v>2021.0</v>
      </c>
      <c r="D27" s="707">
        <v>9578172.0</v>
      </c>
      <c r="E27" s="668"/>
      <c r="F27" s="157" t="s">
        <v>717</v>
      </c>
      <c r="G27" s="157" t="s">
        <v>1010</v>
      </c>
      <c r="H27" s="706">
        <v>2021.0</v>
      </c>
      <c r="I27" s="707">
        <v>17.976</v>
      </c>
      <c r="J27" s="706"/>
      <c r="K27" s="708" t="s">
        <v>693</v>
      </c>
      <c r="L27" s="157" t="s">
        <v>931</v>
      </c>
      <c r="M27" s="706">
        <v>2044.0</v>
      </c>
      <c r="N27" s="157"/>
      <c r="O27" s="707">
        <v>1.79</v>
      </c>
      <c r="P27" s="709"/>
      <c r="Q27" s="710" t="s">
        <v>722</v>
      </c>
      <c r="R27" s="711">
        <v>0.41</v>
      </c>
      <c r="S27" s="41"/>
      <c r="T27" s="691">
        <v>22.0</v>
      </c>
      <c r="U27" s="40" t="s">
        <v>784</v>
      </c>
      <c r="V27" s="724">
        <v>13170.0</v>
      </c>
      <c r="W27" s="724">
        <v>15547.0</v>
      </c>
      <c r="X27" s="724">
        <v>45722.0</v>
      </c>
      <c r="Y27" s="725">
        <v>5.8870762E7</v>
      </c>
      <c r="Z27" s="691">
        <v>22.0</v>
      </c>
      <c r="AA27" s="40" t="s">
        <v>784</v>
      </c>
      <c r="AB27" s="724">
        <v>40.67</v>
      </c>
      <c r="AC27" s="726">
        <f t="shared" si="1"/>
        <v>14854.7175</v>
      </c>
      <c r="AD27" s="724">
        <v>35551.0</v>
      </c>
      <c r="AE27" s="40">
        <v>0.9</v>
      </c>
      <c r="AF27" s="727">
        <v>0.0139</v>
      </c>
      <c r="AG27" s="40" t="s">
        <v>729</v>
      </c>
      <c r="AH27" s="728">
        <f>IFERROR(__xludf.DUMMYFUNCTION("$AH$4*(AVERAGE.WEIGHTED(IFERROR(INDEX(V:V,MATCH(AG27,U:U,0))/1,INDEX(AC:AC,MATCH(AG27,AA:AA,0))),$W$3,IFERROR(INDEX(AC:AC,MATCH(AG27,AA:AA,0))/1,INDEX(V:V,MATCH(AG27,U:U,0))),$AE$3))*INDEX(R:R,MATCH(AG27,Q:Q,0))"),1078.5697799999998)</f>
        <v>1078.56978</v>
      </c>
      <c r="AI27" s="41"/>
      <c r="AK27" s="40">
        <v>124.0</v>
      </c>
      <c r="AL27" s="719" t="s">
        <v>1759</v>
      </c>
      <c r="AM27" s="720" t="s">
        <v>1760</v>
      </c>
      <c r="AN27" s="720" t="s">
        <v>1744</v>
      </c>
      <c r="AO27" s="722" t="s">
        <v>1728</v>
      </c>
      <c r="AP27" s="723"/>
    </row>
    <row r="28">
      <c r="A28" s="157" t="s">
        <v>716</v>
      </c>
      <c r="B28" s="157" t="s">
        <v>1003</v>
      </c>
      <c r="C28" s="706">
        <v>2021.0</v>
      </c>
      <c r="D28" s="707">
        <v>1.1611416E7</v>
      </c>
      <c r="E28" s="668"/>
      <c r="F28" s="157" t="s">
        <v>718</v>
      </c>
      <c r="G28" s="157" t="s">
        <v>1015</v>
      </c>
      <c r="H28" s="706">
        <v>2021.0</v>
      </c>
      <c r="I28" s="707">
        <v>36.608</v>
      </c>
      <c r="J28" s="706"/>
      <c r="K28" s="708" t="s">
        <v>693</v>
      </c>
      <c r="L28" s="157" t="s">
        <v>931</v>
      </c>
      <c r="M28" s="706">
        <v>2045.0</v>
      </c>
      <c r="N28" s="157"/>
      <c r="O28" s="707">
        <v>1.75</v>
      </c>
      <c r="P28" s="709"/>
      <c r="Q28" s="710" t="s">
        <v>723</v>
      </c>
      <c r="R28" s="711">
        <v>0.42</v>
      </c>
      <c r="S28" s="41"/>
      <c r="T28" s="691">
        <v>23.0</v>
      </c>
      <c r="U28" s="40" t="s">
        <v>744</v>
      </c>
      <c r="V28" s="724">
        <v>13053.0</v>
      </c>
      <c r="W28" s="724">
        <v>15663.0</v>
      </c>
      <c r="X28" s="724">
        <v>41254.0</v>
      </c>
      <c r="Y28" s="725">
        <v>1260138.0</v>
      </c>
      <c r="Z28" s="691">
        <v>23.0</v>
      </c>
      <c r="AA28" s="40" t="s">
        <v>862</v>
      </c>
      <c r="AB28" s="724">
        <v>40.29</v>
      </c>
      <c r="AC28" s="726">
        <f t="shared" si="1"/>
        <v>14715.9225</v>
      </c>
      <c r="AD28" s="724">
        <v>30116.0</v>
      </c>
      <c r="AE28" s="40">
        <v>0.91</v>
      </c>
      <c r="AF28" s="727">
        <v>0.0088</v>
      </c>
      <c r="AG28" s="40" t="s">
        <v>730</v>
      </c>
      <c r="AH28" s="728">
        <f>IFERROR(__xludf.DUMMYFUNCTION("$AH$4*(AVERAGE.WEIGHTED(IFERROR(INDEX(V:V,MATCH(AG28,U:U,0))/1,INDEX(AC:AC,MATCH(AG28,AA:AA,0))),$W$3,IFERROR(INDEX(AC:AC,MATCH(AG28,AA:AA,0))/1,INDEX(V:V,MATCH(AG28,U:U,0))),$AE$3))*INDEX(R:R,MATCH(AG28,Q:Q,0))"),38576.123999999996)</f>
        <v>38576.124</v>
      </c>
      <c r="AI28" s="41"/>
      <c r="AK28" s="40">
        <v>125.0</v>
      </c>
      <c r="AL28" s="738" t="s">
        <v>1759</v>
      </c>
      <c r="AM28" s="738" t="s">
        <v>1760</v>
      </c>
      <c r="AN28" s="738" t="s">
        <v>1744</v>
      </c>
      <c r="AO28" s="739" t="s">
        <v>1728</v>
      </c>
      <c r="AP28" s="740"/>
    </row>
    <row r="29">
      <c r="A29" s="157" t="s">
        <v>717</v>
      </c>
      <c r="B29" s="157" t="s">
        <v>1010</v>
      </c>
      <c r="C29" s="706">
        <v>2021.0</v>
      </c>
      <c r="D29" s="707">
        <v>400037.0</v>
      </c>
      <c r="E29" s="668"/>
      <c r="F29" s="157" t="s">
        <v>719</v>
      </c>
      <c r="G29" s="157" t="s">
        <v>1761</v>
      </c>
      <c r="H29" s="706">
        <v>2021.0</v>
      </c>
      <c r="I29" s="707">
        <v>7.755</v>
      </c>
      <c r="J29" s="706"/>
      <c r="K29" s="708" t="s">
        <v>693</v>
      </c>
      <c r="L29" s="157" t="s">
        <v>931</v>
      </c>
      <c r="M29" s="706">
        <v>2046.0</v>
      </c>
      <c r="N29" s="157"/>
      <c r="O29" s="707">
        <v>1.72</v>
      </c>
      <c r="P29" s="709"/>
      <c r="Q29" s="710" t="s">
        <v>455</v>
      </c>
      <c r="R29" s="711">
        <v>0.47</v>
      </c>
      <c r="S29" s="41"/>
      <c r="T29" s="691">
        <v>24.0</v>
      </c>
      <c r="U29" s="40" t="s">
        <v>860</v>
      </c>
      <c r="V29" s="724">
        <v>12507.0</v>
      </c>
      <c r="W29" s="724">
        <v>14316.0</v>
      </c>
      <c r="X29" s="724">
        <v>44011.0</v>
      </c>
      <c r="Y29" s="725">
        <v>5.1784059E7</v>
      </c>
      <c r="Z29" s="691">
        <v>24.0</v>
      </c>
      <c r="AA29" s="40" t="s">
        <v>856</v>
      </c>
      <c r="AB29" s="724">
        <v>39.5</v>
      </c>
      <c r="AC29" s="726">
        <f t="shared" si="1"/>
        <v>14427.375</v>
      </c>
      <c r="AD29" s="724">
        <v>29201.0</v>
      </c>
      <c r="AE29" s="40">
        <v>0.92</v>
      </c>
      <c r="AF29" s="61"/>
      <c r="AG29" s="40" t="s">
        <v>732</v>
      </c>
      <c r="AH29" s="728">
        <f>IFERROR(__xludf.DUMMYFUNCTION("$AH$4*(AVERAGE.WEIGHTED(IFERROR(INDEX(V:V,MATCH(AG29,U:U,0))/1,INDEX(AC:AC,MATCH(AG29,AA:AA,0))),$W$3,IFERROR(INDEX(AC:AC,MATCH(AG29,AA:AA,0))/1,INDEX(V:V,MATCH(AG29,U:U,0))),$AE$3))*INDEX(R:R,MATCH(AG29,Q:Q,0))"),540.048)</f>
        <v>540.048</v>
      </c>
      <c r="AI29" s="41"/>
      <c r="AK29" s="40">
        <v>128.0</v>
      </c>
      <c r="AL29" s="719" t="s">
        <v>1762</v>
      </c>
      <c r="AM29" s="720" t="s">
        <v>1763</v>
      </c>
      <c r="AN29" s="720" t="s">
        <v>1744</v>
      </c>
      <c r="AO29" s="722" t="s">
        <v>1728</v>
      </c>
      <c r="AP29" s="723"/>
    </row>
    <row r="30">
      <c r="A30" s="157" t="s">
        <v>718</v>
      </c>
      <c r="B30" s="157" t="s">
        <v>1015</v>
      </c>
      <c r="C30" s="706">
        <v>2021.0</v>
      </c>
      <c r="D30" s="707">
        <v>1.2996901E7</v>
      </c>
      <c r="E30" s="668"/>
      <c r="F30" s="157" t="s">
        <v>720</v>
      </c>
      <c r="G30" s="157" t="s">
        <v>1020</v>
      </c>
      <c r="H30" s="706">
        <v>2021.0</v>
      </c>
      <c r="I30" s="707">
        <v>12.482</v>
      </c>
      <c r="J30" s="706"/>
      <c r="K30" s="708" t="s">
        <v>693</v>
      </c>
      <c r="L30" s="157" t="s">
        <v>931</v>
      </c>
      <c r="M30" s="706">
        <v>2047.0</v>
      </c>
      <c r="N30" s="157"/>
      <c r="O30" s="707">
        <v>1.68</v>
      </c>
      <c r="P30" s="709"/>
      <c r="Q30" s="710" t="s">
        <v>724</v>
      </c>
      <c r="R30" s="711">
        <v>0.48</v>
      </c>
      <c r="S30" s="41"/>
      <c r="T30" s="691">
        <v>25.0</v>
      </c>
      <c r="U30" s="40" t="s">
        <v>856</v>
      </c>
      <c r="V30" s="724">
        <v>11878.0</v>
      </c>
      <c r="W30" s="724">
        <v>13056.0</v>
      </c>
      <c r="X30" s="724">
        <v>42431.0</v>
      </c>
      <c r="Y30" s="725">
        <v>2119675.0</v>
      </c>
      <c r="Z30" s="691">
        <v>25.0</v>
      </c>
      <c r="AA30" s="40" t="s">
        <v>869</v>
      </c>
      <c r="AB30" s="724">
        <v>38.27</v>
      </c>
      <c r="AC30" s="726">
        <f t="shared" si="1"/>
        <v>13978.1175</v>
      </c>
      <c r="AD30" s="736"/>
      <c r="AF30" s="61"/>
      <c r="AG30" s="40" t="s">
        <v>733</v>
      </c>
      <c r="AH30" s="728">
        <f>IFERROR(__xludf.DUMMYFUNCTION("$AH$4*(AVERAGE.WEIGHTED(IFERROR(INDEX(V:V,MATCH(AG30,U:U,0))/1,INDEX(AC:AC,MATCH(AG30,AA:AA,0))),$W$3,IFERROR(INDEX(AC:AC,MATCH(AG30,AA:AA,0))/1,INDEX(V:V,MATCH(AG30,U:U,0))),$AE$3))*INDEX(R:R,MATCH(AG30,Q:Q,0))"),834.91584)</f>
        <v>834.91584</v>
      </c>
      <c r="AI30" s="41"/>
      <c r="AK30" s="40">
        <v>129.0</v>
      </c>
      <c r="AL30" s="738" t="s">
        <v>1762</v>
      </c>
      <c r="AM30" s="738" t="s">
        <v>1763</v>
      </c>
      <c r="AN30" s="738" t="s">
        <v>1744</v>
      </c>
      <c r="AO30" s="739" t="s">
        <v>1728</v>
      </c>
      <c r="AP30" s="740"/>
    </row>
    <row r="31">
      <c r="A31" s="157" t="s">
        <v>719</v>
      </c>
      <c r="B31" s="157" t="s">
        <v>1761</v>
      </c>
      <c r="C31" s="706">
        <v>2021.0</v>
      </c>
      <c r="D31" s="707">
        <v>64213.0</v>
      </c>
      <c r="E31" s="668"/>
      <c r="F31" s="157" t="s">
        <v>721</v>
      </c>
      <c r="G31" s="157" t="s">
        <v>1026</v>
      </c>
      <c r="H31" s="706">
        <v>2021.0</v>
      </c>
      <c r="I31" s="707">
        <v>21.836</v>
      </c>
      <c r="J31" s="706"/>
      <c r="K31" s="708" t="s">
        <v>693</v>
      </c>
      <c r="L31" s="157" t="s">
        <v>931</v>
      </c>
      <c r="M31" s="706">
        <v>2048.0</v>
      </c>
      <c r="N31" s="157"/>
      <c r="O31" s="707">
        <v>1.65</v>
      </c>
      <c r="P31" s="709"/>
      <c r="Q31" s="710" t="s">
        <v>725</v>
      </c>
      <c r="R31" s="711">
        <v>0.44</v>
      </c>
      <c r="S31" s="41"/>
      <c r="T31" s="691">
        <v>26.0</v>
      </c>
      <c r="U31" s="40" t="s">
        <v>862</v>
      </c>
      <c r="V31" s="724">
        <v>11786.0</v>
      </c>
      <c r="W31" s="724">
        <v>13822.0</v>
      </c>
      <c r="X31" s="724">
        <v>43495.0</v>
      </c>
      <c r="Y31" s="725">
        <v>4.7519628E7</v>
      </c>
      <c r="Z31" s="691">
        <v>26.0</v>
      </c>
      <c r="AA31" s="40" t="s">
        <v>860</v>
      </c>
      <c r="AB31" s="724">
        <v>37.62</v>
      </c>
      <c r="AC31" s="726">
        <f t="shared" si="1"/>
        <v>13740.705</v>
      </c>
      <c r="AD31" s="724">
        <v>34758.0</v>
      </c>
      <c r="AE31" s="40">
        <v>0.93</v>
      </c>
      <c r="AF31" s="727">
        <v>0.0023</v>
      </c>
      <c r="AG31" s="40" t="s">
        <v>734</v>
      </c>
      <c r="AH31" s="728">
        <f>IFERROR(__xludf.DUMMYFUNCTION("$AH$4*(AVERAGE.WEIGHTED(IFERROR(INDEX(V:V,MATCH(AG31,U:U,0))/1,INDEX(AC:AC,MATCH(AG31,AA:AA,0))),$W$3,IFERROR(INDEX(AC:AC,MATCH(AG31,AA:AA,0))/1,INDEX(V:V,MATCH(AG31,U:U,0))),$AE$3))*INDEX(R:R,MATCH(AG31,Q:Q,0))"),7137.49554)</f>
        <v>7137.49554</v>
      </c>
      <c r="AI31" s="41"/>
      <c r="AK31" s="40">
        <v>130.0</v>
      </c>
      <c r="AL31" s="719" t="s">
        <v>1762</v>
      </c>
      <c r="AM31" s="720" t="s">
        <v>1763</v>
      </c>
      <c r="AN31" s="720" t="s">
        <v>1744</v>
      </c>
      <c r="AO31" s="722" t="s">
        <v>1728</v>
      </c>
      <c r="AP31" s="723"/>
    </row>
    <row r="32">
      <c r="A32" s="157" t="s">
        <v>720</v>
      </c>
      <c r="B32" s="157" t="s">
        <v>1020</v>
      </c>
      <c r="C32" s="706">
        <v>2021.0</v>
      </c>
      <c r="D32" s="707">
        <v>777500.0</v>
      </c>
      <c r="E32" s="668"/>
      <c r="F32" s="157" t="s">
        <v>1764</v>
      </c>
      <c r="G32" s="157" t="s">
        <v>1765</v>
      </c>
      <c r="H32" s="706">
        <v>2021.0</v>
      </c>
      <c r="I32" s="707">
        <v>10.818</v>
      </c>
      <c r="J32" s="706"/>
      <c r="K32" s="708" t="s">
        <v>693</v>
      </c>
      <c r="L32" s="157" t="s">
        <v>931</v>
      </c>
      <c r="M32" s="706">
        <v>2049.0</v>
      </c>
      <c r="N32" s="157"/>
      <c r="O32" s="707">
        <v>1.61</v>
      </c>
      <c r="P32" s="709"/>
      <c r="Q32" s="710" t="s">
        <v>726</v>
      </c>
      <c r="R32" s="711">
        <v>0.37</v>
      </c>
      <c r="S32" s="41"/>
      <c r="T32" s="691">
        <v>27.0</v>
      </c>
      <c r="U32" s="40" t="s">
        <v>783</v>
      </c>
      <c r="V32" s="724">
        <v>10866.0</v>
      </c>
      <c r="W32" s="724">
        <v>13271.0</v>
      </c>
      <c r="X32" s="724">
        <v>42897.0</v>
      </c>
      <c r="Y32" s="725">
        <v>9174520.0</v>
      </c>
      <c r="Z32" s="691">
        <v>27.0</v>
      </c>
      <c r="AA32" s="40" t="s">
        <v>757</v>
      </c>
      <c r="AB32" s="724">
        <v>34.65</v>
      </c>
      <c r="AC32" s="726">
        <f t="shared" si="1"/>
        <v>12655.9125</v>
      </c>
      <c r="AD32" s="724">
        <v>27281.0</v>
      </c>
      <c r="AE32" s="40">
        <v>0.89</v>
      </c>
      <c r="AF32" s="727">
        <v>0.0023</v>
      </c>
      <c r="AG32" s="40" t="s">
        <v>735</v>
      </c>
      <c r="AH32" s="728">
        <f>IFERROR(__xludf.DUMMYFUNCTION("$AH$4*(AVERAGE.WEIGHTED(IFERROR(INDEX(V:V,MATCH(AG32,U:U,0))/1,INDEX(AC:AC,MATCH(AG32,AA:AA,0))),$W$3,IFERROR(INDEX(AC:AC,MATCH(AG32,AA:AA,0))/1,INDEX(V:V,MATCH(AG32,U:U,0))),$AE$3))*INDEX(R:R,MATCH(AG32,Q:Q,0))"),2036.0496)</f>
        <v>2036.0496</v>
      </c>
      <c r="AI32" s="41"/>
      <c r="AK32" s="40">
        <v>131.0</v>
      </c>
      <c r="AL32" s="738" t="s">
        <v>1762</v>
      </c>
      <c r="AM32" s="738" t="s">
        <v>1763</v>
      </c>
      <c r="AN32" s="738" t="s">
        <v>1744</v>
      </c>
      <c r="AO32" s="739" t="s">
        <v>1728</v>
      </c>
      <c r="AP32" s="740"/>
    </row>
    <row r="33">
      <c r="A33" s="157" t="s">
        <v>721</v>
      </c>
      <c r="B33" s="157" t="s">
        <v>1026</v>
      </c>
      <c r="C33" s="706">
        <v>2021.0</v>
      </c>
      <c r="D33" s="707">
        <v>1.2079474E7</v>
      </c>
      <c r="E33" s="668"/>
      <c r="F33" s="157" t="s">
        <v>722</v>
      </c>
      <c r="G33" s="157" t="s">
        <v>1038</v>
      </c>
      <c r="H33" s="706">
        <v>2021.0</v>
      </c>
      <c r="I33" s="707">
        <v>8.42</v>
      </c>
      <c r="J33" s="706"/>
      <c r="K33" s="708" t="s">
        <v>693</v>
      </c>
      <c r="L33" s="157" t="s">
        <v>931</v>
      </c>
      <c r="M33" s="706">
        <v>2050.0</v>
      </c>
      <c r="N33" s="157"/>
      <c r="O33" s="707">
        <v>1.58</v>
      </c>
      <c r="P33" s="709"/>
      <c r="Q33" s="710" t="s">
        <v>727</v>
      </c>
      <c r="R33" s="711">
        <v>0.29</v>
      </c>
      <c r="S33" s="41"/>
      <c r="T33" s="691">
        <v>28.0</v>
      </c>
      <c r="U33" s="40" t="s">
        <v>757</v>
      </c>
      <c r="V33" s="724">
        <v>10651.0</v>
      </c>
      <c r="W33" s="724">
        <v>12540.0</v>
      </c>
      <c r="X33" s="724">
        <v>39986.0</v>
      </c>
      <c r="Y33" s="725">
        <v>1322765.0</v>
      </c>
      <c r="Z33" s="691">
        <v>28.0</v>
      </c>
      <c r="AA33" s="40" t="s">
        <v>1198</v>
      </c>
      <c r="AB33" s="724">
        <v>34.56</v>
      </c>
      <c r="AC33" s="726">
        <f t="shared" si="1"/>
        <v>12623.04</v>
      </c>
      <c r="AD33" s="724">
        <v>26378.0</v>
      </c>
      <c r="AE33" s="40">
        <v>0.89</v>
      </c>
      <c r="AF33" s="727">
        <v>1.0E-4</v>
      </c>
      <c r="AG33" s="40" t="s">
        <v>454</v>
      </c>
      <c r="AH33" s="728">
        <f>IFERROR(__xludf.DUMMYFUNCTION("$AH$4*(AVERAGE.WEIGHTED(IFERROR(INDEX(V:V,MATCH(AG33,U:U,0))/1,INDEX(AC:AC,MATCH(AG33,AA:AA,0))),$W$3,IFERROR(INDEX(AC:AC,MATCH(AG33,AA:AA,0))/1,INDEX(V:V,MATCH(AG33,U:U,0))),$AE$3))*INDEX(R:R,MATCH(AG33,Q:Q,0))"),2228.3856)</f>
        <v>2228.3856</v>
      </c>
      <c r="AI33" s="41"/>
      <c r="AK33" s="40">
        <v>132.0</v>
      </c>
      <c r="AL33" s="719" t="s">
        <v>1766</v>
      </c>
      <c r="AM33" s="720" t="s">
        <v>1767</v>
      </c>
      <c r="AN33" s="720" t="s">
        <v>1744</v>
      </c>
      <c r="AO33" s="722" t="s">
        <v>1728</v>
      </c>
      <c r="AP33" s="723"/>
    </row>
    <row r="34">
      <c r="A34" s="157" t="s">
        <v>1764</v>
      </c>
      <c r="B34" s="157" t="s">
        <v>1765</v>
      </c>
      <c r="C34" s="706">
        <v>2021.0</v>
      </c>
      <c r="D34" s="707">
        <v>26730.0</v>
      </c>
      <c r="E34" s="668"/>
      <c r="F34" s="157" t="s">
        <v>723</v>
      </c>
      <c r="G34" s="157" t="s">
        <v>1047</v>
      </c>
      <c r="H34" s="706">
        <v>2021.0</v>
      </c>
      <c r="I34" s="707">
        <v>23.576</v>
      </c>
      <c r="J34" s="706"/>
      <c r="K34" s="708" t="s">
        <v>693</v>
      </c>
      <c r="L34" s="157" t="s">
        <v>931</v>
      </c>
      <c r="M34" s="706">
        <v>2051.0</v>
      </c>
      <c r="N34" s="157"/>
      <c r="O34" s="707">
        <v>1.54</v>
      </c>
      <c r="P34" s="709"/>
      <c r="Q34" s="710" t="s">
        <v>728</v>
      </c>
      <c r="R34" s="711">
        <v>0.34</v>
      </c>
      <c r="S34" s="41"/>
      <c r="T34" s="691">
        <v>29.0</v>
      </c>
      <c r="U34" s="40" t="s">
        <v>1198</v>
      </c>
      <c r="V34" s="724">
        <v>10046.0</v>
      </c>
      <c r="W34" s="724">
        <v>11394.0</v>
      </c>
      <c r="X34" s="724">
        <v>44295.0</v>
      </c>
      <c r="Y34" s="725">
        <v>1.0495295E7</v>
      </c>
      <c r="Z34" s="691">
        <v>29.0</v>
      </c>
      <c r="AA34" s="40" t="s">
        <v>783</v>
      </c>
      <c r="AB34" s="724">
        <v>33.65</v>
      </c>
      <c r="AC34" s="726">
        <f t="shared" si="1"/>
        <v>12290.6625</v>
      </c>
      <c r="AD34" s="724">
        <v>51430.0</v>
      </c>
      <c r="AE34" s="40">
        <v>0.92</v>
      </c>
      <c r="AF34" s="727">
        <v>0.0024</v>
      </c>
      <c r="AG34" s="40" t="s">
        <v>736</v>
      </c>
      <c r="AH34" s="728">
        <f>IFERROR(__xludf.DUMMYFUNCTION("$AH$4*(AVERAGE.WEIGHTED(IFERROR(INDEX(V:V,MATCH(AG34,U:U,0))/1,INDEX(AC:AC,MATCH(AG34,AA:AA,0))),$W$3,IFERROR(INDEX(AC:AC,MATCH(AG34,AA:AA,0))/1,INDEX(V:V,MATCH(AG34,U:U,0))),$AE$3))*INDEX(R:R,MATCH(AG34,Q:Q,0))"),1304.1415200000001)</f>
        <v>1304.14152</v>
      </c>
      <c r="AI34" s="41"/>
      <c r="AK34" s="40">
        <v>133.0</v>
      </c>
      <c r="AL34" s="738" t="s">
        <v>1766</v>
      </c>
      <c r="AM34" s="738" t="s">
        <v>1767</v>
      </c>
      <c r="AN34" s="738" t="s">
        <v>1744</v>
      </c>
      <c r="AO34" s="739" t="s">
        <v>1728</v>
      </c>
      <c r="AP34" s="740"/>
    </row>
    <row r="35">
      <c r="A35" s="157" t="s">
        <v>722</v>
      </c>
      <c r="B35" s="157" t="s">
        <v>1038</v>
      </c>
      <c r="C35" s="706">
        <v>2021.0</v>
      </c>
      <c r="D35" s="707">
        <v>3270948.0</v>
      </c>
      <c r="E35" s="668"/>
      <c r="F35" s="157" t="s">
        <v>455</v>
      </c>
      <c r="G35" s="157" t="s">
        <v>1054</v>
      </c>
      <c r="H35" s="706">
        <v>2021.0</v>
      </c>
      <c r="I35" s="707">
        <v>12.883</v>
      </c>
      <c r="J35" s="706"/>
      <c r="K35" s="708" t="s">
        <v>693</v>
      </c>
      <c r="L35" s="157" t="s">
        <v>931</v>
      </c>
      <c r="M35" s="706">
        <v>2052.0</v>
      </c>
      <c r="N35" s="157"/>
      <c r="O35" s="707">
        <v>1.5</v>
      </c>
      <c r="P35" s="709"/>
      <c r="Q35" s="710" t="s">
        <v>729</v>
      </c>
      <c r="R35" s="711">
        <v>0.41</v>
      </c>
      <c r="S35" s="41"/>
      <c r="T35" s="691">
        <v>30.0</v>
      </c>
      <c r="U35" s="40" t="s">
        <v>840</v>
      </c>
      <c r="V35" s="724">
        <v>8885.0</v>
      </c>
      <c r="W35" s="724">
        <v>10155.0</v>
      </c>
      <c r="X35" s="724">
        <v>35165.0</v>
      </c>
      <c r="Y35" s="725">
        <v>4.1026067E7</v>
      </c>
      <c r="Z35" s="691">
        <v>30.0</v>
      </c>
      <c r="AA35" s="40" t="s">
        <v>801</v>
      </c>
      <c r="AB35" s="724">
        <v>30.71</v>
      </c>
      <c r="AC35" s="726">
        <f t="shared" si="1"/>
        <v>11216.8275</v>
      </c>
      <c r="AD35" s="724">
        <v>23433.0</v>
      </c>
      <c r="AE35" s="40">
        <v>0.88</v>
      </c>
      <c r="AF35" s="727">
        <v>0.009</v>
      </c>
      <c r="AG35" s="741" t="s">
        <v>737</v>
      </c>
      <c r="AH35" s="728">
        <f>IFERROR(__xludf.DUMMYFUNCTION("$AH$4*(AVERAGE.WEIGHTED(IFERROR(INDEX(V:V,MATCH(AG35,U:U,0))/1,INDEX(AC:AC,MATCH(AG35,AA:AA,0))),$W$3,IFERROR(INDEX(AC:AC,MATCH(AG35,AA:AA,0))/1,INDEX(V:V,MATCH(AG35,U:U,0))),$AE$3))*INDEX(R:R,MATCH(AG35,Q:Q,0))"),1141.76)</f>
        <v>1141.76</v>
      </c>
      <c r="AI35" s="41"/>
      <c r="AK35" s="40">
        <v>134.0</v>
      </c>
      <c r="AL35" s="719" t="s">
        <v>1766</v>
      </c>
      <c r="AM35" s="720" t="s">
        <v>1767</v>
      </c>
      <c r="AN35" s="720" t="s">
        <v>1744</v>
      </c>
      <c r="AO35" s="722" t="s">
        <v>1728</v>
      </c>
      <c r="AP35" s="723"/>
    </row>
    <row r="36">
      <c r="A36" s="157" t="s">
        <v>723</v>
      </c>
      <c r="B36" s="157" t="s">
        <v>1047</v>
      </c>
      <c r="C36" s="706">
        <v>2021.0</v>
      </c>
      <c r="D36" s="707">
        <v>2588424.0</v>
      </c>
      <c r="E36" s="668"/>
      <c r="F36" s="157" t="s">
        <v>1081</v>
      </c>
      <c r="G36" s="157" t="s">
        <v>1768</v>
      </c>
      <c r="H36" s="706">
        <v>2021.0</v>
      </c>
      <c r="I36" s="707">
        <v>7.634</v>
      </c>
      <c r="J36" s="706"/>
      <c r="K36" s="708" t="s">
        <v>693</v>
      </c>
      <c r="L36" s="157" t="s">
        <v>931</v>
      </c>
      <c r="M36" s="706">
        <v>2053.0</v>
      </c>
      <c r="N36" s="157"/>
      <c r="O36" s="707">
        <v>1.47</v>
      </c>
      <c r="P36" s="709"/>
      <c r="Q36" s="710" t="s">
        <v>730</v>
      </c>
      <c r="R36" s="711">
        <v>1.0</v>
      </c>
      <c r="S36" s="41"/>
      <c r="T36" s="691">
        <v>31.0</v>
      </c>
      <c r="U36" s="40" t="s">
        <v>841</v>
      </c>
      <c r="V36" s="724">
        <v>8439.0</v>
      </c>
      <c r="W36" s="724">
        <v>10316.0</v>
      </c>
      <c r="X36" s="724">
        <v>37918.0</v>
      </c>
      <c r="Y36" s="725">
        <v>1.0247605E7</v>
      </c>
      <c r="Z36" s="691">
        <v>31.0</v>
      </c>
      <c r="AA36" s="40" t="s">
        <v>841</v>
      </c>
      <c r="AB36" s="724">
        <v>29.43</v>
      </c>
      <c r="AC36" s="726">
        <f t="shared" si="1"/>
        <v>10749.3075</v>
      </c>
      <c r="AD36" s="724">
        <v>24262.0</v>
      </c>
      <c r="AE36" s="40">
        <v>0.87</v>
      </c>
      <c r="AF36" s="727">
        <v>0.0027</v>
      </c>
      <c r="AG36" s="40" t="s">
        <v>739</v>
      </c>
      <c r="AH36" s="728">
        <f>IFERROR(__xludf.DUMMYFUNCTION("$AH$4*(AVERAGE.WEIGHTED(IFERROR(INDEX(V:V,MATCH(AG36,U:U,0))/1,INDEX(AC:AC,MATCH(AG36,AA:AA,0))),$W$3,IFERROR(INDEX(AC:AC,MATCH(AG36,AA:AA,0))/1,INDEX(V:V,MATCH(AG36,U:U,0))),$AE$3))*INDEX(R:R,MATCH(AG36,Q:Q,0))"),5626.38672)</f>
        <v>5626.38672</v>
      </c>
      <c r="AI36" s="41"/>
      <c r="AK36" s="40">
        <v>135.0</v>
      </c>
      <c r="AL36" s="738" t="s">
        <v>1766</v>
      </c>
      <c r="AM36" s="738" t="s">
        <v>1767</v>
      </c>
      <c r="AN36" s="738" t="s">
        <v>1744</v>
      </c>
      <c r="AO36" s="739" t="s">
        <v>1728</v>
      </c>
      <c r="AP36" s="740"/>
    </row>
    <row r="37">
      <c r="A37" s="157" t="s">
        <v>455</v>
      </c>
      <c r="B37" s="157" t="s">
        <v>1054</v>
      </c>
      <c r="C37" s="706">
        <v>2021.0</v>
      </c>
      <c r="D37" s="707">
        <v>2.14326224E8</v>
      </c>
      <c r="E37" s="668"/>
      <c r="F37" s="157" t="s">
        <v>724</v>
      </c>
      <c r="G37" s="157" t="s">
        <v>1061</v>
      </c>
      <c r="H37" s="706">
        <v>2021.0</v>
      </c>
      <c r="I37" s="707">
        <v>13.8</v>
      </c>
      <c r="J37" s="706"/>
      <c r="K37" s="708" t="s">
        <v>693</v>
      </c>
      <c r="L37" s="157" t="s">
        <v>931</v>
      </c>
      <c r="M37" s="706">
        <v>2054.0</v>
      </c>
      <c r="N37" s="157"/>
      <c r="O37" s="707">
        <v>1.43</v>
      </c>
      <c r="P37" s="709"/>
      <c r="Q37" s="710" t="s">
        <v>731</v>
      </c>
      <c r="R37" s="711">
        <v>0.49</v>
      </c>
      <c r="S37" s="41"/>
      <c r="T37" s="691">
        <v>32.0</v>
      </c>
      <c r="U37" s="40" t="s">
        <v>801</v>
      </c>
      <c r="V37" s="724">
        <v>8267.0</v>
      </c>
      <c r="W37" s="724">
        <v>10479.0</v>
      </c>
      <c r="X37" s="724">
        <v>40016.0</v>
      </c>
      <c r="Y37" s="725">
        <v>2718352.0</v>
      </c>
      <c r="Z37" s="691">
        <v>32.0</v>
      </c>
      <c r="AA37" s="40" t="s">
        <v>795</v>
      </c>
      <c r="AB37" s="724">
        <v>26.94</v>
      </c>
      <c r="AC37" s="726">
        <f t="shared" si="1"/>
        <v>9839.835</v>
      </c>
      <c r="AD37" s="724">
        <v>20642.0</v>
      </c>
      <c r="AE37" s="40">
        <v>0.86</v>
      </c>
      <c r="AF37" s="727">
        <v>0.0034</v>
      </c>
      <c r="AG37" s="40" t="s">
        <v>741</v>
      </c>
      <c r="AH37" s="728">
        <f>IFERROR(__xludf.DUMMYFUNCTION("$AH$4*(AVERAGE.WEIGHTED(IFERROR(INDEX(V:V,MATCH(AG37,U:U,0))/1,INDEX(AC:AC,MATCH(AG37,AA:AA,0))),$W$3,IFERROR(INDEX(AC:AC,MATCH(AG37,AA:AA,0))/1,INDEX(V:V,MATCH(AG37,U:U,0))),$AE$3))*INDEX(R:R,MATCH(AG37,Q:Q,0))"),8459.08128)</f>
        <v>8459.08128</v>
      </c>
      <c r="AI37" s="41"/>
      <c r="AK37" s="40">
        <v>136.0</v>
      </c>
      <c r="AL37" s="719" t="s">
        <v>1766</v>
      </c>
      <c r="AM37" s="720" t="s">
        <v>1767</v>
      </c>
      <c r="AN37" s="720" t="s">
        <v>1744</v>
      </c>
      <c r="AO37" s="722" t="s">
        <v>1728</v>
      </c>
      <c r="AP37" s="723"/>
    </row>
    <row r="38">
      <c r="A38" s="157" t="s">
        <v>1081</v>
      </c>
      <c r="B38" s="157" t="s">
        <v>1768</v>
      </c>
      <c r="C38" s="706">
        <v>2021.0</v>
      </c>
      <c r="D38" s="707">
        <v>31145.0</v>
      </c>
      <c r="E38" s="668"/>
      <c r="F38" s="157" t="s">
        <v>725</v>
      </c>
      <c r="G38" s="157" t="s">
        <v>1066</v>
      </c>
      <c r="H38" s="706">
        <v>2021.0</v>
      </c>
      <c r="I38" s="707">
        <v>8.435</v>
      </c>
      <c r="J38" s="706"/>
      <c r="K38" s="708" t="s">
        <v>693</v>
      </c>
      <c r="L38" s="157" t="s">
        <v>931</v>
      </c>
      <c r="M38" s="706">
        <v>2055.0</v>
      </c>
      <c r="N38" s="157"/>
      <c r="O38" s="707">
        <v>1.41</v>
      </c>
      <c r="P38" s="709"/>
      <c r="Q38" s="710" t="s">
        <v>1094</v>
      </c>
      <c r="R38" s="711">
        <v>1.17</v>
      </c>
      <c r="S38" s="41"/>
      <c r="T38" s="691">
        <v>33.0</v>
      </c>
      <c r="U38" s="40" t="s">
        <v>855</v>
      </c>
      <c r="V38" s="724">
        <v>7991.0</v>
      </c>
      <c r="W38" s="724">
        <v>8408.0</v>
      </c>
      <c r="X38" s="724">
        <v>33515.0</v>
      </c>
      <c r="Y38" s="725">
        <v>5795199.0</v>
      </c>
      <c r="Z38" s="691">
        <v>33.0</v>
      </c>
      <c r="AA38" s="40" t="s">
        <v>741</v>
      </c>
      <c r="AB38" s="724">
        <v>26.12</v>
      </c>
      <c r="AC38" s="726">
        <f t="shared" si="1"/>
        <v>9540.33</v>
      </c>
      <c r="AD38" s="724">
        <v>17399.0</v>
      </c>
      <c r="AE38" s="40">
        <v>0.86</v>
      </c>
      <c r="AF38" s="727">
        <v>0.0044</v>
      </c>
      <c r="AG38" s="40" t="s">
        <v>744</v>
      </c>
      <c r="AH38" s="728">
        <f>IFERROR(__xludf.DUMMYFUNCTION("$AH$4*(AVERAGE.WEIGHTED(IFERROR(INDEX(V:V,MATCH(AG38,U:U,0))/1,INDEX(AC:AC,MATCH(AG38,AA:AA,0))),$W$3,IFERROR(INDEX(AC:AC,MATCH(AG38,AA:AA,0))/1,INDEX(V:V,MATCH(AG38,U:U,0))),$AE$3))*INDEX(R:R,MATCH(AG38,Q:Q,0))"),20366.3808)</f>
        <v>20366.3808</v>
      </c>
      <c r="AI38" s="41"/>
      <c r="AK38" s="40">
        <v>184.0</v>
      </c>
      <c r="AL38" s="729" t="s">
        <v>1769</v>
      </c>
      <c r="AM38" s="729" t="s">
        <v>1770</v>
      </c>
      <c r="AN38" s="729" t="s">
        <v>1744</v>
      </c>
      <c r="AO38" s="730" t="s">
        <v>1728</v>
      </c>
      <c r="AP38" s="731"/>
    </row>
    <row r="39">
      <c r="A39" s="157" t="s">
        <v>724</v>
      </c>
      <c r="B39" s="157" t="s">
        <v>1061</v>
      </c>
      <c r="C39" s="706">
        <v>2021.0</v>
      </c>
      <c r="D39" s="707">
        <v>445382.0</v>
      </c>
      <c r="E39" s="668"/>
      <c r="F39" s="157" t="s">
        <v>726</v>
      </c>
      <c r="G39" s="157" t="s">
        <v>1072</v>
      </c>
      <c r="H39" s="706">
        <v>2021.0</v>
      </c>
      <c r="I39" s="707">
        <v>35.541</v>
      </c>
      <c r="J39" s="706"/>
      <c r="K39" s="708" t="s">
        <v>693</v>
      </c>
      <c r="L39" s="157" t="s">
        <v>931</v>
      </c>
      <c r="M39" s="706">
        <v>2056.0</v>
      </c>
      <c r="N39" s="157"/>
      <c r="O39" s="707">
        <v>1.36</v>
      </c>
      <c r="P39" s="709"/>
      <c r="Q39" s="710" t="s">
        <v>732</v>
      </c>
      <c r="R39" s="711">
        <v>0.5</v>
      </c>
      <c r="S39" s="41"/>
      <c r="T39" s="691">
        <v>34.0</v>
      </c>
      <c r="U39" s="40" t="s">
        <v>795</v>
      </c>
      <c r="V39" s="724">
        <v>7971.0</v>
      </c>
      <c r="W39" s="724">
        <v>9727.0</v>
      </c>
      <c r="X39" s="724">
        <v>33020.0</v>
      </c>
      <c r="Y39" s="725">
        <v>1830211.0</v>
      </c>
      <c r="Z39" s="691">
        <v>34.0</v>
      </c>
      <c r="AA39" s="40" t="s">
        <v>796</v>
      </c>
      <c r="AB39" s="724">
        <v>26.12</v>
      </c>
      <c r="AC39" s="726">
        <f t="shared" si="1"/>
        <v>9540.33</v>
      </c>
      <c r="AD39" s="724">
        <v>2670.0</v>
      </c>
      <c r="AE39" s="40">
        <v>0.71</v>
      </c>
      <c r="AF39" s="61"/>
      <c r="AG39" s="40" t="s">
        <v>1198</v>
      </c>
      <c r="AH39" s="728">
        <f>IFERROR(__xludf.DUMMYFUNCTION("$AH$4*(AVERAGE.WEIGHTED(IFERROR(INDEX(V:V,MATCH(AG39,U:U,0))/1,INDEX(AC:AC,MATCH(AG39,AA:AA,0))),$W$3,IFERROR(INDEX(AC:AC,MATCH(AG39,AA:AA,0))/1,INDEX(V:V,MATCH(AG39,U:U,0))),$AE$3))*INDEX(R:R,MATCH(AG39,Q:Q,0))"),13292.1792)</f>
        <v>13292.1792</v>
      </c>
      <c r="AI39" s="41"/>
      <c r="AK39" s="40">
        <v>185.0</v>
      </c>
      <c r="AL39" s="732" t="s">
        <v>1769</v>
      </c>
      <c r="AM39" s="733" t="s">
        <v>1770</v>
      </c>
      <c r="AN39" s="733" t="s">
        <v>1744</v>
      </c>
      <c r="AO39" s="734" t="s">
        <v>1728</v>
      </c>
      <c r="AP39" s="735"/>
    </row>
    <row r="40">
      <c r="A40" s="157" t="s">
        <v>725</v>
      </c>
      <c r="B40" s="157" t="s">
        <v>1066</v>
      </c>
      <c r="C40" s="706">
        <v>2021.0</v>
      </c>
      <c r="D40" s="707">
        <v>6885864.0</v>
      </c>
      <c r="E40" s="668"/>
      <c r="F40" s="157" t="s">
        <v>727</v>
      </c>
      <c r="G40" s="157" t="s">
        <v>1078</v>
      </c>
      <c r="H40" s="706">
        <v>2021.0</v>
      </c>
      <c r="I40" s="707">
        <v>34.842</v>
      </c>
      <c r="J40" s="706"/>
      <c r="K40" s="708" t="s">
        <v>693</v>
      </c>
      <c r="L40" s="157" t="s">
        <v>931</v>
      </c>
      <c r="M40" s="706">
        <v>2057.0</v>
      </c>
      <c r="N40" s="157"/>
      <c r="O40" s="707">
        <v>1.34</v>
      </c>
      <c r="P40" s="709"/>
      <c r="Q40" s="710" t="s">
        <v>733</v>
      </c>
      <c r="R40" s="711">
        <v>0.44</v>
      </c>
      <c r="S40" s="41"/>
      <c r="T40" s="691">
        <v>35.0</v>
      </c>
      <c r="U40" s="40" t="s">
        <v>796</v>
      </c>
      <c r="V40" s="724">
        <v>7712.0</v>
      </c>
      <c r="W40" s="724">
        <v>9091.0</v>
      </c>
      <c r="X40" s="724">
        <v>15195.0</v>
      </c>
      <c r="Y40" s="725">
        <v>5353930.0</v>
      </c>
      <c r="Z40" s="691">
        <v>35.0</v>
      </c>
      <c r="AA40" s="40" t="s">
        <v>776</v>
      </c>
      <c r="AB40" s="724">
        <v>24.76</v>
      </c>
      <c r="AC40" s="726">
        <f t="shared" si="1"/>
        <v>9043.59</v>
      </c>
      <c r="AD40" s="724">
        <v>18773.0</v>
      </c>
      <c r="AE40" s="40">
        <v>0.85</v>
      </c>
      <c r="AF40" s="727">
        <v>0.0021</v>
      </c>
      <c r="AG40" s="741" t="s">
        <v>1227</v>
      </c>
      <c r="AH40" s="728">
        <f>IFERROR(__xludf.DUMMYFUNCTION("$AH$4*(AVERAGE.WEIGHTED(IFERROR(INDEX(V:V,MATCH(AG40,U:U,0))/1,INDEX(AC:AC,MATCH(AG40,AA:AA,0))),$W$3,IFERROR(INDEX(AC:AC,MATCH(AG40,AA:AA,0))/1,INDEX(V:V,MATCH(AG40,U:U,0))),$AE$3))*INDEX(R:R,MATCH(AG40,Q:Q,0))"),441.29988)</f>
        <v>441.29988</v>
      </c>
      <c r="AI40" s="41"/>
      <c r="AK40" s="40">
        <v>186.0</v>
      </c>
      <c r="AL40" s="729" t="s">
        <v>1769</v>
      </c>
      <c r="AM40" s="729" t="s">
        <v>1770</v>
      </c>
      <c r="AN40" s="729" t="s">
        <v>1744</v>
      </c>
      <c r="AO40" s="730" t="s">
        <v>1728</v>
      </c>
      <c r="AP40" s="731"/>
    </row>
    <row r="41">
      <c r="A41" s="157" t="s">
        <v>726</v>
      </c>
      <c r="B41" s="157" t="s">
        <v>1072</v>
      </c>
      <c r="C41" s="706">
        <v>2021.0</v>
      </c>
      <c r="D41" s="707">
        <v>2.210069E7</v>
      </c>
      <c r="E41" s="668"/>
      <c r="F41" s="157" t="s">
        <v>728</v>
      </c>
      <c r="G41" s="157" t="s">
        <v>1085</v>
      </c>
      <c r="H41" s="706">
        <v>2021.0</v>
      </c>
      <c r="I41" s="707">
        <v>19.334</v>
      </c>
      <c r="J41" s="706"/>
      <c r="K41" s="708" t="s">
        <v>693</v>
      </c>
      <c r="L41" s="157" t="s">
        <v>931</v>
      </c>
      <c r="M41" s="706">
        <v>2058.0</v>
      </c>
      <c r="N41" s="157"/>
      <c r="O41" s="707">
        <v>1.3</v>
      </c>
      <c r="P41" s="709"/>
      <c r="Q41" s="710" t="s">
        <v>734</v>
      </c>
      <c r="R41" s="711">
        <v>0.57</v>
      </c>
      <c r="S41" s="41"/>
      <c r="T41" s="691">
        <v>36.0</v>
      </c>
      <c r="U41" s="40" t="s">
        <v>776</v>
      </c>
      <c r="V41" s="724">
        <v>7684.0</v>
      </c>
      <c r="W41" s="724">
        <v>8613.0</v>
      </c>
      <c r="X41" s="724">
        <v>34966.0</v>
      </c>
      <c r="Y41" s="725">
        <v>1.0156239E7</v>
      </c>
      <c r="Z41" s="691">
        <v>36.0</v>
      </c>
      <c r="AA41" s="40" t="s">
        <v>855</v>
      </c>
      <c r="AB41" s="724">
        <v>24.76</v>
      </c>
      <c r="AC41" s="726">
        <f t="shared" si="1"/>
        <v>9043.59</v>
      </c>
      <c r="AD41" s="724">
        <v>21088.0</v>
      </c>
      <c r="AE41" s="40">
        <v>0.85</v>
      </c>
      <c r="AF41" s="727">
        <v>0.0017</v>
      </c>
      <c r="AG41" s="40" t="s">
        <v>747</v>
      </c>
      <c r="AH41" s="728">
        <f>IFERROR(__xludf.DUMMYFUNCTION("$AH$4*(AVERAGE.WEIGHTED(IFERROR(INDEX(V:V,MATCH(AG41,U:U,0))/1,INDEX(AC:AC,MATCH(AG41,AA:AA,0))),$W$3,IFERROR(INDEX(AC:AC,MATCH(AG41,AA:AA,0))/1,INDEX(V:V,MATCH(AG41,U:U,0))),$AE$3))*INDEX(R:R,MATCH(AG41,Q:Q,0))"),38556.6048)</f>
        <v>38556.6048</v>
      </c>
      <c r="AI41" s="41"/>
      <c r="AK41" s="40">
        <v>189.0</v>
      </c>
      <c r="AL41" s="732" t="s">
        <v>1771</v>
      </c>
      <c r="AM41" s="733" t="s">
        <v>1770</v>
      </c>
      <c r="AN41" s="733" t="s">
        <v>1744</v>
      </c>
      <c r="AO41" s="734" t="s">
        <v>1728</v>
      </c>
      <c r="AP41" s="735"/>
    </row>
    <row r="42">
      <c r="A42" s="157" t="s">
        <v>727</v>
      </c>
      <c r="B42" s="157" t="s">
        <v>1078</v>
      </c>
      <c r="C42" s="706">
        <v>2021.0</v>
      </c>
      <c r="D42" s="707">
        <v>1.2551215E7</v>
      </c>
      <c r="E42" s="668"/>
      <c r="F42" s="157" t="s">
        <v>729</v>
      </c>
      <c r="G42" s="157" t="s">
        <v>1091</v>
      </c>
      <c r="H42" s="706">
        <v>2021.0</v>
      </c>
      <c r="I42" s="707">
        <v>34.938</v>
      </c>
      <c r="J42" s="706"/>
      <c r="K42" s="708" t="s">
        <v>693</v>
      </c>
      <c r="L42" s="157" t="s">
        <v>931</v>
      </c>
      <c r="M42" s="706">
        <v>2059.0</v>
      </c>
      <c r="N42" s="157"/>
      <c r="O42" s="707">
        <v>1.26</v>
      </c>
      <c r="P42" s="709"/>
      <c r="Q42" s="710" t="s">
        <v>735</v>
      </c>
      <c r="R42" s="711">
        <v>0.65</v>
      </c>
      <c r="S42" s="41"/>
      <c r="T42" s="691">
        <v>37.0</v>
      </c>
      <c r="U42" s="40" t="s">
        <v>884</v>
      </c>
      <c r="V42" s="724">
        <v>7533.0</v>
      </c>
      <c r="W42" s="724">
        <v>9888.0</v>
      </c>
      <c r="X42" s="724">
        <v>22515.0</v>
      </c>
      <c r="Y42" s="725">
        <v>3423108.0</v>
      </c>
      <c r="Z42" s="691">
        <v>37.0</v>
      </c>
      <c r="AA42" s="40" t="s">
        <v>768</v>
      </c>
      <c r="AB42" s="724">
        <v>24.61</v>
      </c>
      <c r="AC42" s="726">
        <f t="shared" si="1"/>
        <v>8988.8025</v>
      </c>
      <c r="AD42" s="724">
        <v>20277.0</v>
      </c>
      <c r="AE42" s="40">
        <v>0.89</v>
      </c>
      <c r="AF42" s="727">
        <v>0.0014</v>
      </c>
      <c r="AG42" s="40" t="s">
        <v>748</v>
      </c>
      <c r="AH42" s="728">
        <f>IFERROR(__xludf.DUMMYFUNCTION("$AH$4*(AVERAGE.WEIGHTED(IFERROR(INDEX(V:V,MATCH(AG42,U:U,0))/1,INDEX(AC:AC,MATCH(AG42,AA:AA,0))),$W$3,IFERROR(INDEX(AC:AC,MATCH(AG42,AA:AA,0))/1,INDEX(V:V,MATCH(AG42,U:U,0))),$AE$3))*INDEX(R:R,MATCH(AG42,Q:Q,0))"),1669.6448399999997)</f>
        <v>1669.64484</v>
      </c>
      <c r="AI42" s="41"/>
      <c r="AK42" s="40">
        <v>190.0</v>
      </c>
      <c r="AL42" s="729" t="s">
        <v>1771</v>
      </c>
      <c r="AM42" s="729" t="s">
        <v>1770</v>
      </c>
      <c r="AN42" s="729" t="s">
        <v>1744</v>
      </c>
      <c r="AO42" s="730" t="s">
        <v>1728</v>
      </c>
      <c r="AP42" s="731"/>
    </row>
    <row r="43">
      <c r="A43" s="157" t="s">
        <v>728</v>
      </c>
      <c r="B43" s="157" t="s">
        <v>1085</v>
      </c>
      <c r="C43" s="706">
        <v>2021.0</v>
      </c>
      <c r="D43" s="707">
        <v>1.6589031E7</v>
      </c>
      <c r="E43" s="668"/>
      <c r="F43" s="157" t="s">
        <v>730</v>
      </c>
      <c r="G43" s="157" t="s">
        <v>1098</v>
      </c>
      <c r="H43" s="706">
        <v>2021.0</v>
      </c>
      <c r="I43" s="707">
        <v>9.82</v>
      </c>
      <c r="J43" s="706"/>
      <c r="K43" s="708" t="s">
        <v>693</v>
      </c>
      <c r="L43" s="157" t="s">
        <v>931</v>
      </c>
      <c r="M43" s="706">
        <v>2060.0</v>
      </c>
      <c r="N43" s="157"/>
      <c r="O43" s="707">
        <v>1.23</v>
      </c>
      <c r="P43" s="709"/>
      <c r="Q43" s="710" t="s">
        <v>454</v>
      </c>
      <c r="R43" s="711">
        <v>0.36</v>
      </c>
      <c r="S43" s="41"/>
      <c r="T43" s="691">
        <v>38.0</v>
      </c>
      <c r="U43" s="40" t="s">
        <v>805</v>
      </c>
      <c r="V43" s="724">
        <v>7512.0</v>
      </c>
      <c r="W43" s="724">
        <v>10200.0</v>
      </c>
      <c r="X43" s="724">
        <v>29619.0</v>
      </c>
      <c r="Y43" s="725">
        <v>3.4308525E7</v>
      </c>
      <c r="Z43" s="691">
        <v>38.0</v>
      </c>
      <c r="AA43" s="40" t="s">
        <v>835</v>
      </c>
      <c r="AB43" s="724">
        <v>21.85</v>
      </c>
      <c r="AC43" s="726">
        <f t="shared" si="1"/>
        <v>7980.7125</v>
      </c>
      <c r="AD43" s="724">
        <v>14516.0</v>
      </c>
      <c r="AE43" s="40">
        <v>0.81</v>
      </c>
      <c r="AF43" s="727">
        <v>0.0122</v>
      </c>
      <c r="AG43" s="40" t="s">
        <v>750</v>
      </c>
      <c r="AH43" s="728">
        <f>IFERROR(__xludf.DUMMYFUNCTION("$AH$4*(AVERAGE.WEIGHTED(IFERROR(INDEX(V:V,MATCH(AG43,U:U,0))/1,INDEX(AC:AC,MATCH(AG43,AA:AA,0))),$W$3,IFERROR(INDEX(AC:AC,MATCH(AG43,AA:AA,0))/1,INDEX(V:V,MATCH(AG43,U:U,0))),$AE$3))*INDEX(R:R,MATCH(AG43,Q:Q,0))"),3271.01526)</f>
        <v>3271.01526</v>
      </c>
      <c r="AI43" s="41"/>
      <c r="AK43" s="40">
        <v>191.0</v>
      </c>
      <c r="AL43" s="732" t="s">
        <v>1771</v>
      </c>
      <c r="AM43" s="733" t="s">
        <v>1770</v>
      </c>
      <c r="AN43" s="733" t="s">
        <v>1744</v>
      </c>
      <c r="AO43" s="734" t="s">
        <v>1728</v>
      </c>
      <c r="AP43" s="735"/>
    </row>
    <row r="44">
      <c r="A44" s="157" t="s">
        <v>729</v>
      </c>
      <c r="B44" s="157" t="s">
        <v>1091</v>
      </c>
      <c r="C44" s="706">
        <v>2021.0</v>
      </c>
      <c r="D44" s="707">
        <v>2.7198632E7</v>
      </c>
      <c r="E44" s="668"/>
      <c r="F44" s="157" t="s">
        <v>731</v>
      </c>
      <c r="G44" s="157" t="s">
        <v>1103</v>
      </c>
      <c r="H44" s="706">
        <v>2021.0</v>
      </c>
      <c r="I44" s="707">
        <v>16.951</v>
      </c>
      <c r="J44" s="706"/>
      <c r="K44" s="708" t="s">
        <v>693</v>
      </c>
      <c r="L44" s="157" t="s">
        <v>931</v>
      </c>
      <c r="M44" s="706">
        <v>2061.0</v>
      </c>
      <c r="N44" s="157"/>
      <c r="O44" s="707">
        <v>1.19</v>
      </c>
      <c r="P44" s="709"/>
      <c r="Q44" s="710" t="s">
        <v>736</v>
      </c>
      <c r="R44" s="711">
        <v>0.44</v>
      </c>
      <c r="S44" s="41"/>
      <c r="T44" s="691">
        <v>39.0</v>
      </c>
      <c r="U44" s="40" t="s">
        <v>741</v>
      </c>
      <c r="V44" s="724">
        <v>7196.0</v>
      </c>
      <c r="W44" s="724">
        <v>8008.0</v>
      </c>
      <c r="X44" s="724">
        <v>31130.0</v>
      </c>
      <c r="Y44" s="725">
        <v>4008617.0</v>
      </c>
      <c r="Z44" s="691">
        <v>39.0</v>
      </c>
      <c r="AA44" s="40" t="s">
        <v>805</v>
      </c>
      <c r="AB44" s="724">
        <v>21.62</v>
      </c>
      <c r="AC44" s="726">
        <f t="shared" si="1"/>
        <v>7896.705</v>
      </c>
      <c r="AD44" s="724">
        <v>11371.0</v>
      </c>
      <c r="AE44" s="40">
        <v>0.8</v>
      </c>
      <c r="AF44" s="727">
        <v>1.0E-4</v>
      </c>
      <c r="AG44" s="40" t="s">
        <v>752</v>
      </c>
      <c r="AH44" s="728">
        <f>IFERROR(__xludf.DUMMYFUNCTION("$AH$4*(AVERAGE.WEIGHTED(IFERROR(INDEX(V:V,MATCH(AG44,U:U,0))/1,INDEX(AC:AC,MATCH(AG44,AA:AA,0))),$W$3,IFERROR(INDEX(AC:AC,MATCH(AG44,AA:AA,0))/1,INDEX(V:V,MATCH(AG44,U:U,0))),$AE$3))*INDEX(R:R,MATCH(AG44,Q:Q,0))"),3522.34152)</f>
        <v>3522.34152</v>
      </c>
      <c r="AI44" s="41"/>
      <c r="AK44" s="40">
        <v>24.0</v>
      </c>
      <c r="AL44" s="729" t="s">
        <v>1772</v>
      </c>
      <c r="AM44" s="729" t="s">
        <v>1773</v>
      </c>
      <c r="AN44" s="729" t="s">
        <v>1744</v>
      </c>
      <c r="AO44" s="730">
        <v>0.642</v>
      </c>
      <c r="AP44" s="730" t="s">
        <v>1774</v>
      </c>
    </row>
    <row r="45">
      <c r="A45" s="157" t="s">
        <v>730</v>
      </c>
      <c r="B45" s="157" t="s">
        <v>1098</v>
      </c>
      <c r="C45" s="706">
        <v>2021.0</v>
      </c>
      <c r="D45" s="707">
        <v>3.8155012E7</v>
      </c>
      <c r="E45" s="668"/>
      <c r="F45" s="157" t="s">
        <v>1094</v>
      </c>
      <c r="G45" s="157" t="s">
        <v>1775</v>
      </c>
      <c r="H45" s="706">
        <v>2021.0</v>
      </c>
      <c r="I45" s="707">
        <v>9.99</v>
      </c>
      <c r="J45" s="706"/>
      <c r="K45" s="708" t="s">
        <v>693</v>
      </c>
      <c r="L45" s="157" t="s">
        <v>931</v>
      </c>
      <c r="M45" s="706">
        <v>2062.0</v>
      </c>
      <c r="N45" s="157"/>
      <c r="O45" s="707">
        <v>1.15</v>
      </c>
      <c r="P45" s="709"/>
      <c r="Q45" s="710" t="s">
        <v>737</v>
      </c>
      <c r="R45" s="711">
        <v>0.64</v>
      </c>
      <c r="S45" s="41"/>
      <c r="T45" s="691">
        <v>40.0</v>
      </c>
      <c r="U45" s="40" t="s">
        <v>768</v>
      </c>
      <c r="V45" s="724">
        <v>6936.0</v>
      </c>
      <c r="W45" s="724">
        <v>8131.0</v>
      </c>
      <c r="X45" s="724">
        <v>32506.0</v>
      </c>
      <c r="Y45" s="725">
        <v>1.0341277E7</v>
      </c>
      <c r="Z45" s="691">
        <v>40.0</v>
      </c>
      <c r="AA45" s="40" t="s">
        <v>725</v>
      </c>
      <c r="AB45" s="724">
        <v>20.86</v>
      </c>
      <c r="AC45" s="726">
        <f t="shared" si="1"/>
        <v>7619.115</v>
      </c>
      <c r="AD45" s="724">
        <v>11635.0</v>
      </c>
      <c r="AE45" s="40">
        <v>0.8</v>
      </c>
      <c r="AF45" s="727">
        <v>0.0079</v>
      </c>
      <c r="AG45" s="40" t="s">
        <v>753</v>
      </c>
      <c r="AH45" s="728">
        <f>IFERROR(__xludf.DUMMYFUNCTION("$AH$4*(AVERAGE.WEIGHTED(IFERROR(INDEX(V:V,MATCH(AG45,U:U,0))/1,INDEX(AC:AC,MATCH(AG45,AA:AA,0))),$W$3,IFERROR(INDEX(AC:AC,MATCH(AG45,AA:AA,0))/1,INDEX(V:V,MATCH(AG45,U:U,0))),$AE$3))*INDEX(R:R,MATCH(AG45,Q:Q,0))"),946.40166)</f>
        <v>946.40166</v>
      </c>
      <c r="AI45" s="41"/>
      <c r="AK45" s="40">
        <v>126.0</v>
      </c>
      <c r="AL45" s="719" t="s">
        <v>1776</v>
      </c>
      <c r="AM45" s="720" t="s">
        <v>1777</v>
      </c>
      <c r="AN45" s="720" t="s">
        <v>1744</v>
      </c>
      <c r="AO45" s="722">
        <v>0.625</v>
      </c>
      <c r="AP45" s="722" t="s">
        <v>1778</v>
      </c>
    </row>
    <row r="46">
      <c r="A46" s="157" t="s">
        <v>731</v>
      </c>
      <c r="B46" s="157" t="s">
        <v>1103</v>
      </c>
      <c r="C46" s="706">
        <v>2021.0</v>
      </c>
      <c r="D46" s="707">
        <v>587936.0</v>
      </c>
      <c r="E46" s="668"/>
      <c r="F46" s="157" t="s">
        <v>732</v>
      </c>
      <c r="G46" s="157" t="s">
        <v>1111</v>
      </c>
      <c r="H46" s="706">
        <v>2021.0</v>
      </c>
      <c r="I46" s="707">
        <v>42.68</v>
      </c>
      <c r="J46" s="706"/>
      <c r="K46" s="708" t="s">
        <v>693</v>
      </c>
      <c r="L46" s="157" t="s">
        <v>931</v>
      </c>
      <c r="M46" s="706">
        <v>2063.0</v>
      </c>
      <c r="N46" s="157"/>
      <c r="O46" s="707">
        <v>1.12</v>
      </c>
      <c r="P46" s="709"/>
      <c r="Q46" s="710" t="s">
        <v>739</v>
      </c>
      <c r="R46" s="711">
        <v>0.53</v>
      </c>
      <c r="S46" s="41"/>
      <c r="T46" s="691">
        <v>41.0</v>
      </c>
      <c r="U46" s="40" t="s">
        <v>715</v>
      </c>
      <c r="V46" s="724">
        <v>6507.0</v>
      </c>
      <c r="W46" s="724">
        <v>7359.0</v>
      </c>
      <c r="X46" s="724">
        <v>19997.0</v>
      </c>
      <c r="Y46" s="725">
        <v>9498238.0</v>
      </c>
      <c r="Z46" s="691">
        <v>41.0</v>
      </c>
      <c r="AA46" s="40" t="s">
        <v>884</v>
      </c>
      <c r="AB46" s="724">
        <v>20.38</v>
      </c>
      <c r="AC46" s="726">
        <f t="shared" si="1"/>
        <v>7443.795</v>
      </c>
      <c r="AD46" s="724">
        <v>17021.0</v>
      </c>
      <c r="AE46" s="40">
        <v>0.81</v>
      </c>
      <c r="AF46" s="727">
        <v>0.001</v>
      </c>
      <c r="AG46" s="40" t="s">
        <v>754</v>
      </c>
      <c r="AH46" s="728">
        <f>IFERROR(__xludf.DUMMYFUNCTION("$AH$4*(AVERAGE.WEIGHTED(IFERROR(INDEX(V:V,MATCH(AG46,U:U,0))/1,INDEX(AC:AC,MATCH(AG46,AA:AA,0))),$W$3,IFERROR(INDEX(AC:AC,MATCH(AG46,AA:AA,0))/1,INDEX(V:V,MATCH(AG46,U:U,0))),$AE$3))*INDEX(R:R,MATCH(AG46,Q:Q,0))"),3037.77468)</f>
        <v>3037.77468</v>
      </c>
      <c r="AI46" s="41"/>
      <c r="AK46" s="40">
        <v>127.0</v>
      </c>
      <c r="AL46" s="738" t="s">
        <v>1776</v>
      </c>
      <c r="AM46" s="738" t="s">
        <v>1777</v>
      </c>
      <c r="AN46" s="738" t="s">
        <v>1744</v>
      </c>
      <c r="AO46" s="739">
        <v>0.625</v>
      </c>
      <c r="AP46" s="739" t="s">
        <v>1778</v>
      </c>
    </row>
    <row r="47">
      <c r="A47" s="157" t="s">
        <v>1094</v>
      </c>
      <c r="B47" s="157" t="s">
        <v>1775</v>
      </c>
      <c r="C47" s="706">
        <v>2021.0</v>
      </c>
      <c r="D47" s="707">
        <v>68157.0</v>
      </c>
      <c r="E47" s="668"/>
      <c r="F47" s="157" t="s">
        <v>733</v>
      </c>
      <c r="G47" s="157" t="s">
        <v>1118</v>
      </c>
      <c r="H47" s="706">
        <v>2021.0</v>
      </c>
      <c r="I47" s="707">
        <v>43.357</v>
      </c>
      <c r="J47" s="706"/>
      <c r="K47" s="708" t="s">
        <v>693</v>
      </c>
      <c r="L47" s="157" t="s">
        <v>931</v>
      </c>
      <c r="M47" s="706">
        <v>2064.0</v>
      </c>
      <c r="N47" s="157"/>
      <c r="O47" s="707">
        <v>1.09</v>
      </c>
      <c r="P47" s="709"/>
      <c r="Q47" s="157" t="s">
        <v>1169</v>
      </c>
      <c r="R47" s="711">
        <v>0.44</v>
      </c>
      <c r="S47" s="41"/>
      <c r="T47" s="691">
        <v>42.0</v>
      </c>
      <c r="U47" s="40" t="s">
        <v>734</v>
      </c>
      <c r="V47" s="724">
        <v>6293.0</v>
      </c>
      <c r="W47" s="724">
        <v>9304.0</v>
      </c>
      <c r="X47" s="724">
        <v>27002.0</v>
      </c>
      <c r="Y47" s="725">
        <v>1.962959E7</v>
      </c>
      <c r="Z47" s="691">
        <v>42.0</v>
      </c>
      <c r="AA47" s="40" t="s">
        <v>852</v>
      </c>
      <c r="AB47" s="724">
        <v>19.5</v>
      </c>
      <c r="AC47" s="726">
        <f t="shared" si="1"/>
        <v>7122.375</v>
      </c>
      <c r="AD47" s="724">
        <v>13307.0</v>
      </c>
      <c r="AE47" s="40">
        <v>0.79</v>
      </c>
      <c r="AF47" s="727">
        <v>0.004</v>
      </c>
      <c r="AG47" s="40" t="s">
        <v>757</v>
      </c>
      <c r="AH47" s="728">
        <f>IFERROR(__xludf.DUMMYFUNCTION("$AH$4*(AVERAGE.WEIGHTED(IFERROR(INDEX(V:V,MATCH(AG47,U:U,0))/1,INDEX(AC:AC,MATCH(AG47,AA:AA,0))),$W$3,IFERROR(INDEX(AC:AC,MATCH(AG47,AA:AA,0))/1,INDEX(V:V,MATCH(AG47,U:U,0))),$AE$3))*INDEX(R:R,MATCH(AG47,Q:Q,0))"),14888.854500000001)</f>
        <v>14888.8545</v>
      </c>
      <c r="AI47" s="41"/>
      <c r="AK47" s="40">
        <v>23.0</v>
      </c>
      <c r="AL47" s="732" t="s">
        <v>1779</v>
      </c>
      <c r="AM47" s="733" t="s">
        <v>1780</v>
      </c>
      <c r="AN47" s="733" t="s">
        <v>1744</v>
      </c>
      <c r="AO47" s="734">
        <v>0.603</v>
      </c>
      <c r="AP47" s="734" t="s">
        <v>1781</v>
      </c>
    </row>
    <row r="48">
      <c r="A48" s="157" t="s">
        <v>732</v>
      </c>
      <c r="B48" s="157" t="s">
        <v>1111</v>
      </c>
      <c r="C48" s="706">
        <v>2021.0</v>
      </c>
      <c r="D48" s="707">
        <v>5457165.0</v>
      </c>
      <c r="E48" s="668"/>
      <c r="F48" s="157" t="s">
        <v>734</v>
      </c>
      <c r="G48" s="157" t="s">
        <v>1125</v>
      </c>
      <c r="H48" s="706">
        <v>2021.0</v>
      </c>
      <c r="I48" s="707">
        <v>11.788</v>
      </c>
      <c r="J48" s="706"/>
      <c r="K48" s="708" t="s">
        <v>693</v>
      </c>
      <c r="L48" s="157" t="s">
        <v>931</v>
      </c>
      <c r="M48" s="706">
        <v>2065.0</v>
      </c>
      <c r="N48" s="157"/>
      <c r="O48" s="707">
        <v>1.05</v>
      </c>
      <c r="P48" s="709"/>
      <c r="Q48" s="710" t="s">
        <v>741</v>
      </c>
      <c r="R48" s="711">
        <v>0.52</v>
      </c>
      <c r="S48" s="41"/>
      <c r="T48" s="691">
        <v>43.0</v>
      </c>
      <c r="U48" s="40" t="s">
        <v>835</v>
      </c>
      <c r="V48" s="724">
        <v>6254.0</v>
      </c>
      <c r="W48" s="724">
        <v>9453.0</v>
      </c>
      <c r="X48" s="724">
        <v>32850.0</v>
      </c>
      <c r="Y48" s="725">
        <v>4468087.0</v>
      </c>
      <c r="Z48" s="691">
        <v>43.0</v>
      </c>
      <c r="AA48" s="40" t="s">
        <v>843</v>
      </c>
      <c r="AB48" s="724">
        <v>19.03</v>
      </c>
      <c r="AC48" s="726">
        <f t="shared" si="1"/>
        <v>6950.7075</v>
      </c>
      <c r="AD48" s="724">
        <v>14862.0</v>
      </c>
      <c r="AE48" s="40">
        <v>0.82</v>
      </c>
      <c r="AF48" s="737">
        <v>0.02</v>
      </c>
      <c r="AG48" s="40" t="s">
        <v>758</v>
      </c>
      <c r="AH48" s="728">
        <f>IFERROR(__xludf.DUMMYFUNCTION("$AH$4*(AVERAGE.WEIGHTED(IFERROR(INDEX(V:V,MATCH(AG48,U:U,0))/1,INDEX(AC:AC,MATCH(AG48,AA:AA,0))),$W$3,IFERROR(INDEX(AC:AC,MATCH(AG48,AA:AA,0))/1,INDEX(V:V,MATCH(AG48,U:U,0))),$AE$3))*INDEX(R:R,MATCH(AG48,Q:Q,0))"),893.1398999999999)</f>
        <v>893.1399</v>
      </c>
      <c r="AI48" s="41"/>
      <c r="AK48" s="40">
        <v>22.0</v>
      </c>
      <c r="AL48" s="729" t="s">
        <v>1782</v>
      </c>
      <c r="AM48" s="729" t="s">
        <v>1783</v>
      </c>
      <c r="AN48" s="729" t="s">
        <v>1744</v>
      </c>
      <c r="AO48" s="730">
        <v>0.583</v>
      </c>
      <c r="AP48" s="730" t="s">
        <v>1784</v>
      </c>
    </row>
    <row r="49">
      <c r="A49" s="157" t="s">
        <v>733</v>
      </c>
      <c r="B49" s="157" t="s">
        <v>1118</v>
      </c>
      <c r="C49" s="706">
        <v>2021.0</v>
      </c>
      <c r="D49" s="707">
        <v>1.7179744E7</v>
      </c>
      <c r="E49" s="668"/>
      <c r="F49" s="157" t="s">
        <v>735</v>
      </c>
      <c r="G49" s="157" t="s">
        <v>1130</v>
      </c>
      <c r="H49" s="706">
        <v>2021.0</v>
      </c>
      <c r="I49" s="707">
        <v>7.633</v>
      </c>
      <c r="J49" s="706"/>
      <c r="K49" s="708" t="s">
        <v>693</v>
      </c>
      <c r="L49" s="157" t="s">
        <v>931</v>
      </c>
      <c r="M49" s="706">
        <v>2066.0</v>
      </c>
      <c r="N49" s="157"/>
      <c r="O49" s="707">
        <v>1.02</v>
      </c>
      <c r="P49" s="709"/>
      <c r="Q49" s="710" t="s">
        <v>743</v>
      </c>
      <c r="R49" s="711">
        <v>0.78</v>
      </c>
      <c r="S49" s="41"/>
      <c r="T49" s="691">
        <v>44.0</v>
      </c>
      <c r="U49" s="40" t="s">
        <v>1756</v>
      </c>
      <c r="V49" s="724">
        <v>5925.0</v>
      </c>
      <c r="W49" s="724">
        <v>7131.0</v>
      </c>
      <c r="X49" s="724">
        <v>16288.0</v>
      </c>
      <c r="Y49" s="725">
        <v>3210847.0</v>
      </c>
      <c r="Z49" s="691">
        <v>44.0</v>
      </c>
      <c r="AA49" s="40" t="s">
        <v>722</v>
      </c>
      <c r="AB49" s="724">
        <v>17.6</v>
      </c>
      <c r="AC49" s="726">
        <f t="shared" si="1"/>
        <v>6428.4</v>
      </c>
      <c r="AD49" s="724">
        <v>6916.0</v>
      </c>
      <c r="AE49" s="40">
        <v>0.78</v>
      </c>
      <c r="AF49" s="727">
        <v>6.0E-4</v>
      </c>
      <c r="AG49" s="40" t="s">
        <v>759</v>
      </c>
      <c r="AH49" s="728">
        <f>IFERROR(__xludf.DUMMYFUNCTION("$AH$4*(AVERAGE.WEIGHTED(IFERROR(INDEX(V:V,MATCH(AG49,U:U,0))/1,INDEX(AC:AC,MATCH(AG49,AA:AA,0))),$W$3,IFERROR(INDEX(AC:AC,MATCH(AG49,AA:AA,0))/1,INDEX(V:V,MATCH(AG49,U:U,0))),$AE$3))*INDEX(R:R,MATCH(AG49,Q:Q,0))"),713.71152)</f>
        <v>713.71152</v>
      </c>
      <c r="AI49" s="41"/>
      <c r="AK49" s="40">
        <v>14.0</v>
      </c>
      <c r="AL49" s="719" t="s">
        <v>1785</v>
      </c>
      <c r="AM49" s="720" t="s">
        <v>1786</v>
      </c>
      <c r="AN49" s="720" t="s">
        <v>1787</v>
      </c>
      <c r="AO49" s="722">
        <v>0.582</v>
      </c>
      <c r="AP49" s="722" t="s">
        <v>1788</v>
      </c>
    </row>
    <row r="50">
      <c r="A50" s="157" t="s">
        <v>734</v>
      </c>
      <c r="B50" s="157" t="s">
        <v>1125</v>
      </c>
      <c r="C50" s="706">
        <v>2021.0</v>
      </c>
      <c r="D50" s="707">
        <v>1.9493184E7</v>
      </c>
      <c r="E50" s="668"/>
      <c r="F50" s="157" t="s">
        <v>454</v>
      </c>
      <c r="G50" s="157" t="s">
        <v>1136</v>
      </c>
      <c r="H50" s="706">
        <v>2021.0</v>
      </c>
      <c r="I50" s="707">
        <v>14.204</v>
      </c>
      <c r="J50" s="706"/>
      <c r="K50" s="708" t="s">
        <v>693</v>
      </c>
      <c r="L50" s="157" t="s">
        <v>931</v>
      </c>
      <c r="M50" s="706">
        <v>2067.0</v>
      </c>
      <c r="N50" s="157"/>
      <c r="O50" s="707">
        <v>1.0</v>
      </c>
      <c r="P50" s="709"/>
      <c r="Q50" s="710" t="s">
        <v>744</v>
      </c>
      <c r="R50" s="711">
        <v>0.72</v>
      </c>
      <c r="S50" s="41"/>
      <c r="T50" s="691">
        <v>45.0</v>
      </c>
      <c r="U50" s="40" t="s">
        <v>725</v>
      </c>
      <c r="V50" s="724">
        <v>5696.0</v>
      </c>
      <c r="W50" s="724">
        <v>7474.0</v>
      </c>
      <c r="X50" s="724">
        <v>25312.0</v>
      </c>
      <c r="Y50" s="725">
        <v>6687717.0</v>
      </c>
      <c r="Z50" s="691">
        <v>45.0</v>
      </c>
      <c r="AA50" s="40" t="s">
        <v>844</v>
      </c>
      <c r="AB50" s="724">
        <v>17.41</v>
      </c>
      <c r="AC50" s="726">
        <f t="shared" si="1"/>
        <v>6359.0025</v>
      </c>
      <c r="AD50" s="724">
        <v>12173.0</v>
      </c>
      <c r="AE50" s="40">
        <v>0.82</v>
      </c>
      <c r="AF50" s="727">
        <v>3.0E-4</v>
      </c>
      <c r="AG50" s="40" t="s">
        <v>760</v>
      </c>
      <c r="AH50" s="728">
        <f>IFERROR(__xludf.DUMMYFUNCTION("$AH$4*(AVERAGE.WEIGHTED(IFERROR(INDEX(V:V,MATCH(AG50,U:U,0))/1,INDEX(AC:AC,MATCH(AG50,AA:AA,0))),$W$3,IFERROR(INDEX(AC:AC,MATCH(AG50,AA:AA,0))/1,INDEX(V:V,MATCH(AG50,U:U,0))),$AE$3))*INDEX(R:R,MATCH(AG50,Q:Q,0))"),2005.8052799999998)</f>
        <v>2005.80528</v>
      </c>
      <c r="AI50" s="41"/>
      <c r="AK50" s="40">
        <v>38.0</v>
      </c>
      <c r="AL50" s="729" t="s">
        <v>1789</v>
      </c>
      <c r="AM50" s="729" t="s">
        <v>1790</v>
      </c>
      <c r="AN50" s="729" t="s">
        <v>1744</v>
      </c>
      <c r="AO50" s="730">
        <v>0.547</v>
      </c>
      <c r="AP50" s="730" t="s">
        <v>1791</v>
      </c>
    </row>
    <row r="51">
      <c r="A51" s="157" t="s">
        <v>735</v>
      </c>
      <c r="B51" s="157" t="s">
        <v>1130</v>
      </c>
      <c r="C51" s="706">
        <v>2021.0</v>
      </c>
      <c r="D51" s="707">
        <v>1.425893504E9</v>
      </c>
      <c r="E51" s="668"/>
      <c r="F51" s="157" t="s">
        <v>736</v>
      </c>
      <c r="G51" s="157" t="s">
        <v>1143</v>
      </c>
      <c r="H51" s="706">
        <v>2021.0</v>
      </c>
      <c r="I51" s="707">
        <v>29.398</v>
      </c>
      <c r="J51" s="706"/>
      <c r="K51" s="708" t="s">
        <v>693</v>
      </c>
      <c r="L51" s="157" t="s">
        <v>931</v>
      </c>
      <c r="M51" s="706">
        <v>2068.0</v>
      </c>
      <c r="N51" s="157"/>
      <c r="O51" s="707">
        <v>0.97</v>
      </c>
      <c r="P51" s="709"/>
      <c r="Q51" s="742" t="s">
        <v>1198</v>
      </c>
      <c r="R51" s="711">
        <v>0.6</v>
      </c>
      <c r="S51" s="41"/>
      <c r="T51" s="691">
        <v>46.0</v>
      </c>
      <c r="U51" s="40" t="s">
        <v>844</v>
      </c>
      <c r="V51" s="724">
        <v>5504.0</v>
      </c>
      <c r="W51" s="724">
        <v>7275.0</v>
      </c>
      <c r="X51" s="724">
        <v>29181.0</v>
      </c>
      <c r="Y51" s="725">
        <v>1.44444359E8</v>
      </c>
      <c r="Z51" s="691">
        <v>46.0</v>
      </c>
      <c r="AA51" s="40" t="s">
        <v>715</v>
      </c>
      <c r="AB51" s="724">
        <v>17.24</v>
      </c>
      <c r="AC51" s="726">
        <f t="shared" si="1"/>
        <v>6296.91</v>
      </c>
      <c r="AD51" s="724">
        <v>7304.0</v>
      </c>
      <c r="AE51" s="40">
        <v>0.81</v>
      </c>
      <c r="AF51" s="61"/>
      <c r="AG51" s="40" t="s">
        <v>761</v>
      </c>
      <c r="AH51" s="728">
        <f>IFERROR(__xludf.DUMMYFUNCTION("$AH$4*(AVERAGE.WEIGHTED(IFERROR(INDEX(V:V,MATCH(AG51,U:U,0))/1,INDEX(AC:AC,MATCH(AG51,AA:AA,0))),$W$3,IFERROR(INDEX(AC:AC,MATCH(AG51,AA:AA,0))/1,INDEX(V:V,MATCH(AG51,U:U,0))),$AE$3))*INDEX(R:R,MATCH(AG51,Q:Q,0))"),33885.04056)</f>
        <v>33885.04056</v>
      </c>
      <c r="AI51" s="41"/>
      <c r="AK51" s="40">
        <v>170.0</v>
      </c>
      <c r="AL51" s="719" t="s">
        <v>1792</v>
      </c>
      <c r="AM51" s="720" t="s">
        <v>1793</v>
      </c>
      <c r="AN51" s="720" t="s">
        <v>1794</v>
      </c>
      <c r="AO51" s="722">
        <v>0.542</v>
      </c>
      <c r="AP51" s="722" t="s">
        <v>1795</v>
      </c>
    </row>
    <row r="52">
      <c r="A52" s="157" t="s">
        <v>454</v>
      </c>
      <c r="B52" s="157" t="s">
        <v>1136</v>
      </c>
      <c r="C52" s="706">
        <v>2021.0</v>
      </c>
      <c r="D52" s="707">
        <v>5.151656E7</v>
      </c>
      <c r="E52" s="668"/>
      <c r="F52" s="157" t="s">
        <v>737</v>
      </c>
      <c r="G52" s="157" t="s">
        <v>1149</v>
      </c>
      <c r="H52" s="706">
        <v>2021.0</v>
      </c>
      <c r="I52" s="707">
        <v>30.691</v>
      </c>
      <c r="J52" s="706"/>
      <c r="K52" s="708" t="s">
        <v>693</v>
      </c>
      <c r="L52" s="157" t="s">
        <v>931</v>
      </c>
      <c r="M52" s="706">
        <v>2069.0</v>
      </c>
      <c r="N52" s="157"/>
      <c r="O52" s="707">
        <v>0.93</v>
      </c>
      <c r="P52" s="709"/>
      <c r="Q52" s="742" t="s">
        <v>1227</v>
      </c>
      <c r="R52" s="711">
        <v>0.49</v>
      </c>
      <c r="S52" s="41"/>
      <c r="T52" s="691">
        <v>47.0</v>
      </c>
      <c r="U52" s="40" t="s">
        <v>739</v>
      </c>
      <c r="V52" s="724">
        <v>5457.0</v>
      </c>
      <c r="W52" s="724">
        <v>8440.0</v>
      </c>
      <c r="X52" s="724">
        <v>21737.0</v>
      </c>
      <c r="Y52" s="725">
        <v>5212173.0</v>
      </c>
      <c r="Z52" s="691">
        <v>47.0</v>
      </c>
      <c r="AA52" s="40" t="s">
        <v>840</v>
      </c>
      <c r="AB52" s="724">
        <v>17.24</v>
      </c>
      <c r="AC52" s="726">
        <f t="shared" si="1"/>
        <v>6296.91</v>
      </c>
      <c r="AD52" s="724">
        <v>17841.0</v>
      </c>
      <c r="AE52" s="40">
        <v>0.88</v>
      </c>
      <c r="AF52" s="61"/>
      <c r="AG52" s="40" t="s">
        <v>762</v>
      </c>
      <c r="AH52" s="728">
        <f>IFERROR(__xludf.DUMMYFUNCTION("$AH$4*(AVERAGE.WEIGHTED(IFERROR(INDEX(V:V,MATCH(AG52,U:U,0))/1,INDEX(AC:AC,MATCH(AG52,AA:AA,0))),$W$3,IFERROR(INDEX(AC:AC,MATCH(AG52,AA:AA,0))/1,INDEX(V:V,MATCH(AG52,U:U,0))),$AE$3))*INDEX(R:R,MATCH(AG52,Q:Q,0))"),29357.47428)</f>
        <v>29357.47428</v>
      </c>
      <c r="AI52" s="41"/>
      <c r="AK52" s="40">
        <v>171.0</v>
      </c>
      <c r="AL52" s="738" t="s">
        <v>1796</v>
      </c>
      <c r="AM52" s="738" t="s">
        <v>1793</v>
      </c>
      <c r="AN52" s="738" t="s">
        <v>1794</v>
      </c>
      <c r="AO52" s="739">
        <v>0.542</v>
      </c>
      <c r="AP52" s="739" t="s">
        <v>1795</v>
      </c>
    </row>
    <row r="53">
      <c r="A53" s="157" t="s">
        <v>736</v>
      </c>
      <c r="B53" s="157" t="s">
        <v>1143</v>
      </c>
      <c r="C53" s="706">
        <v>2021.0</v>
      </c>
      <c r="D53" s="707">
        <v>821632.0</v>
      </c>
      <c r="E53" s="668"/>
      <c r="F53" s="157" t="s">
        <v>738</v>
      </c>
      <c r="G53" s="157" t="s">
        <v>1158</v>
      </c>
      <c r="H53" s="706">
        <v>2021.0</v>
      </c>
      <c r="I53" s="707">
        <v>16.205</v>
      </c>
      <c r="J53" s="706"/>
      <c r="K53" s="708" t="s">
        <v>693</v>
      </c>
      <c r="L53" s="157" t="s">
        <v>931</v>
      </c>
      <c r="M53" s="706">
        <v>2070.0</v>
      </c>
      <c r="N53" s="157"/>
      <c r="O53" s="707">
        <v>0.9</v>
      </c>
      <c r="P53" s="709"/>
      <c r="Q53" s="710" t="s">
        <v>747</v>
      </c>
      <c r="R53" s="711">
        <v>1.05</v>
      </c>
      <c r="S53" s="41"/>
      <c r="T53" s="691">
        <v>48.0</v>
      </c>
      <c r="U53" s="40" t="s">
        <v>806</v>
      </c>
      <c r="V53" s="724">
        <v>5409.0</v>
      </c>
      <c r="W53" s="724">
        <v>6435.0</v>
      </c>
      <c r="X53" s="724">
        <v>20395.0</v>
      </c>
      <c r="Y53" s="725">
        <v>521021.0</v>
      </c>
      <c r="Z53" s="691">
        <v>48.0</v>
      </c>
      <c r="AA53" s="40" t="s">
        <v>401</v>
      </c>
      <c r="AB53" s="724">
        <v>17.23</v>
      </c>
      <c r="AC53" s="726">
        <f t="shared" si="1"/>
        <v>6293.2575</v>
      </c>
      <c r="AD53" s="724">
        <v>10729.0</v>
      </c>
      <c r="AE53" s="40">
        <v>0.84</v>
      </c>
      <c r="AF53" s="727">
        <v>0.0146</v>
      </c>
      <c r="AG53" s="40" t="s">
        <v>763</v>
      </c>
      <c r="AH53" s="728">
        <f>IFERROR(__xludf.DUMMYFUNCTION("$AH$4*(AVERAGE.WEIGHTED(IFERROR(INDEX(V:V,MATCH(AG53,U:U,0))/1,INDEX(AC:AC,MATCH(AG53,AA:AA,0))),$W$3,IFERROR(INDEX(AC:AC,MATCH(AG53,AA:AA,0))/1,INDEX(V:V,MATCH(AG53,U:U,0))),$AE$3))*INDEX(R:R,MATCH(AG53,Q:Q,0))"),3511.4131799999996)</f>
        <v>3511.41318</v>
      </c>
      <c r="AI53" s="41"/>
      <c r="AK53" s="40">
        <v>37.0</v>
      </c>
      <c r="AL53" s="732" t="s">
        <v>1797</v>
      </c>
      <c r="AM53" s="733" t="s">
        <v>1798</v>
      </c>
      <c r="AN53" s="733" t="s">
        <v>1744</v>
      </c>
      <c r="AO53" s="734">
        <v>0.523</v>
      </c>
      <c r="AP53" s="734" t="s">
        <v>1799</v>
      </c>
    </row>
    <row r="54">
      <c r="A54" s="157" t="s">
        <v>737</v>
      </c>
      <c r="B54" s="157" t="s">
        <v>1149</v>
      </c>
      <c r="C54" s="706">
        <v>2021.0</v>
      </c>
      <c r="D54" s="707">
        <v>5835814.0</v>
      </c>
      <c r="E54" s="668"/>
      <c r="F54" s="157" t="s">
        <v>739</v>
      </c>
      <c r="G54" s="157" t="s">
        <v>1163</v>
      </c>
      <c r="H54" s="706">
        <v>2021.0</v>
      </c>
      <c r="I54" s="707">
        <v>11.873</v>
      </c>
      <c r="J54" s="706"/>
      <c r="K54" s="708" t="s">
        <v>693</v>
      </c>
      <c r="L54" s="157" t="s">
        <v>931</v>
      </c>
      <c r="M54" s="706">
        <v>2071.0</v>
      </c>
      <c r="N54" s="157"/>
      <c r="O54" s="707">
        <v>0.87</v>
      </c>
      <c r="P54" s="709"/>
      <c r="Q54" s="710" t="s">
        <v>748</v>
      </c>
      <c r="R54" s="711">
        <v>0.58</v>
      </c>
      <c r="S54" s="41"/>
      <c r="T54" s="691">
        <v>49.0</v>
      </c>
      <c r="U54" s="40" t="s">
        <v>401</v>
      </c>
      <c r="V54" s="724">
        <v>5319.0</v>
      </c>
      <c r="W54" s="724">
        <v>6935.0</v>
      </c>
      <c r="X54" s="724"/>
      <c r="Y54" s="725">
        <v>4.5773884E7</v>
      </c>
      <c r="Z54" s="691">
        <v>49.0</v>
      </c>
      <c r="AA54" s="40" t="s">
        <v>734</v>
      </c>
      <c r="AB54" s="724">
        <v>17.01</v>
      </c>
      <c r="AC54" s="726">
        <f t="shared" si="1"/>
        <v>6212.9025</v>
      </c>
      <c r="AD54" s="724">
        <v>16503.0</v>
      </c>
      <c r="AE54" s="40">
        <v>0.86</v>
      </c>
      <c r="AF54" s="727">
        <v>0.0028</v>
      </c>
      <c r="AG54" s="40" t="s">
        <v>764</v>
      </c>
      <c r="AH54" s="728">
        <f>IFERROR(__xludf.DUMMYFUNCTION("$AH$4*(AVERAGE.WEIGHTED(IFERROR(INDEX(V:V,MATCH(AG54,U:U,0))/1,INDEX(AC:AC,MATCH(AG54,AA:AA,0))),$W$3,IFERROR(INDEX(AC:AC,MATCH(AG54,AA:AA,0))/1,INDEX(V:V,MATCH(AG54,U:U,0))),$AE$3))*INDEX(R:R,MATCH(AG54,Q:Q,0))"),956.6886000000001)</f>
        <v>956.6886</v>
      </c>
      <c r="AI54" s="41"/>
      <c r="AK54" s="40">
        <v>118.0</v>
      </c>
      <c r="AL54" s="729" t="s">
        <v>1800</v>
      </c>
      <c r="AM54" s="729" t="s">
        <v>1801</v>
      </c>
      <c r="AN54" s="729" t="s">
        <v>1744</v>
      </c>
      <c r="AO54" s="730">
        <v>0.512</v>
      </c>
      <c r="AP54" s="730" t="s">
        <v>1802</v>
      </c>
    </row>
    <row r="55">
      <c r="A55" s="157" t="s">
        <v>738</v>
      </c>
      <c r="B55" s="157" t="s">
        <v>1158</v>
      </c>
      <c r="C55" s="706">
        <v>2021.0</v>
      </c>
      <c r="D55" s="707">
        <v>17028.0</v>
      </c>
      <c r="E55" s="668"/>
      <c r="F55" s="157" t="s">
        <v>740</v>
      </c>
      <c r="G55" s="157" t="s">
        <v>1170</v>
      </c>
      <c r="H55" s="706">
        <v>2021.0</v>
      </c>
      <c r="I55" s="707">
        <v>33.934</v>
      </c>
      <c r="J55" s="706"/>
      <c r="K55" s="708" t="s">
        <v>693</v>
      </c>
      <c r="L55" s="157" t="s">
        <v>931</v>
      </c>
      <c r="M55" s="706">
        <v>2072.0</v>
      </c>
      <c r="N55" s="157"/>
      <c r="O55" s="707">
        <v>0.84</v>
      </c>
      <c r="P55" s="709"/>
      <c r="Q55" s="710" t="s">
        <v>749</v>
      </c>
      <c r="R55" s="711">
        <v>0.64</v>
      </c>
      <c r="S55" s="41"/>
      <c r="T55" s="691">
        <v>50.0</v>
      </c>
      <c r="U55" s="40" t="s">
        <v>852</v>
      </c>
      <c r="V55" s="724">
        <v>5314.0</v>
      </c>
      <c r="W55" s="724">
        <v>8044.0</v>
      </c>
      <c r="X55" s="724">
        <v>30516.0</v>
      </c>
      <c r="Y55" s="725">
        <v>107660.0</v>
      </c>
      <c r="Z55" s="691">
        <v>50.0</v>
      </c>
      <c r="AA55" s="40" t="s">
        <v>876</v>
      </c>
      <c r="AB55" s="724">
        <v>16.18</v>
      </c>
      <c r="AC55" s="726">
        <f t="shared" si="1"/>
        <v>5909.745</v>
      </c>
      <c r="AD55" s="724">
        <v>9587.0</v>
      </c>
      <c r="AE55" s="40">
        <v>0.84</v>
      </c>
      <c r="AF55" s="727">
        <v>0.0036</v>
      </c>
      <c r="AG55" s="40" t="s">
        <v>765</v>
      </c>
      <c r="AH55" s="728">
        <f>IFERROR(__xludf.DUMMYFUNCTION("$AH$4*(AVERAGE.WEIGHTED(IFERROR(INDEX(V:V,MATCH(AG55,U:U,0))/1,INDEX(AC:AC,MATCH(AG55,AA:AA,0))),$W$3,IFERROR(INDEX(AC:AC,MATCH(AG55,AA:AA,0))/1,INDEX(V:V,MATCH(AG55,U:U,0))),$AE$3))*INDEX(R:R,MATCH(AG55,Q:Q,0))"),1346.8698)</f>
        <v>1346.8698</v>
      </c>
      <c r="AI55" s="41"/>
      <c r="AK55" s="40">
        <v>4.0</v>
      </c>
      <c r="AL55" s="719" t="s">
        <v>1803</v>
      </c>
      <c r="AM55" s="720" t="s">
        <v>1804</v>
      </c>
      <c r="AN55" s="720" t="s">
        <v>1744</v>
      </c>
      <c r="AO55" s="722">
        <v>0.495</v>
      </c>
      <c r="AP55" s="722" t="s">
        <v>1805</v>
      </c>
    </row>
    <row r="56">
      <c r="A56" s="157" t="s">
        <v>739</v>
      </c>
      <c r="B56" s="157" t="s">
        <v>1163</v>
      </c>
      <c r="C56" s="706">
        <v>2021.0</v>
      </c>
      <c r="D56" s="707">
        <v>5153959.0</v>
      </c>
      <c r="E56" s="668"/>
      <c r="F56" s="157" t="s">
        <v>741</v>
      </c>
      <c r="G56" s="157" t="s">
        <v>1179</v>
      </c>
      <c r="H56" s="706">
        <v>2021.0</v>
      </c>
      <c r="I56" s="707">
        <v>8.544</v>
      </c>
      <c r="J56" s="706"/>
      <c r="K56" s="708" t="s">
        <v>693</v>
      </c>
      <c r="L56" s="157" t="s">
        <v>931</v>
      </c>
      <c r="M56" s="706">
        <v>2073.0</v>
      </c>
      <c r="N56" s="157"/>
      <c r="O56" s="707">
        <v>0.82</v>
      </c>
      <c r="P56" s="709"/>
      <c r="Q56" s="710" t="s">
        <v>750</v>
      </c>
      <c r="R56" s="711">
        <v>0.41</v>
      </c>
      <c r="S56" s="41"/>
      <c r="T56" s="691">
        <v>51.0</v>
      </c>
      <c r="U56" s="40" t="s">
        <v>876</v>
      </c>
      <c r="V56" s="724">
        <v>5251.0</v>
      </c>
      <c r="W56" s="724">
        <v>7267.0</v>
      </c>
      <c r="X56" s="724">
        <v>28133.0</v>
      </c>
      <c r="Y56" s="725">
        <v>8.5816199E7</v>
      </c>
      <c r="Z56" s="691">
        <v>51.0</v>
      </c>
      <c r="AA56" s="40" t="s">
        <v>806</v>
      </c>
      <c r="AB56" s="724">
        <v>15.83</v>
      </c>
      <c r="AC56" s="726">
        <f t="shared" si="1"/>
        <v>5781.9075</v>
      </c>
      <c r="AD56" s="724">
        <v>8995.0</v>
      </c>
      <c r="AE56" s="40">
        <v>0.75</v>
      </c>
      <c r="AF56" s="61"/>
      <c r="AG56" s="40" t="s">
        <v>766</v>
      </c>
      <c r="AH56" s="728">
        <f>IFERROR(__xludf.DUMMYFUNCTION("$AH$4*(AVERAGE.WEIGHTED(IFERROR(INDEX(V:V,MATCH(AG56,U:U,0))/1,INDEX(AC:AC,MATCH(AG56,AA:AA,0))),$W$3,IFERROR(INDEX(AC:AC,MATCH(AG56,AA:AA,0))/1,INDEX(V:V,MATCH(AG56,U:U,0))),$AE$3))*INDEX(R:R,MATCH(AG56,Q:Q,0))"),31884.51552)</f>
        <v>31884.51552</v>
      </c>
      <c r="AI56" s="41"/>
      <c r="AK56" s="40">
        <v>8.0</v>
      </c>
      <c r="AL56" s="729" t="s">
        <v>1806</v>
      </c>
      <c r="AM56" s="729" t="s">
        <v>1804</v>
      </c>
      <c r="AN56" s="729" t="s">
        <v>1744</v>
      </c>
      <c r="AO56" s="730">
        <v>0.495</v>
      </c>
      <c r="AP56" s="730" t="s">
        <v>1805</v>
      </c>
    </row>
    <row r="57">
      <c r="A57" s="157" t="s">
        <v>740</v>
      </c>
      <c r="B57" s="157" t="s">
        <v>1170</v>
      </c>
      <c r="C57" s="706">
        <v>2021.0</v>
      </c>
      <c r="D57" s="707">
        <v>2.747825E7</v>
      </c>
      <c r="E57" s="668"/>
      <c r="F57" s="157" t="s">
        <v>742</v>
      </c>
      <c r="G57" s="157" t="s">
        <v>1185</v>
      </c>
      <c r="H57" s="706">
        <v>2021.0</v>
      </c>
      <c r="I57" s="707">
        <v>8.922</v>
      </c>
      <c r="J57" s="706"/>
      <c r="K57" s="708" t="s">
        <v>693</v>
      </c>
      <c r="L57" s="157" t="s">
        <v>931</v>
      </c>
      <c r="M57" s="706">
        <v>2074.0</v>
      </c>
      <c r="N57" s="157"/>
      <c r="O57" s="707">
        <v>0.79</v>
      </c>
      <c r="P57" s="709"/>
      <c r="Q57" s="710" t="s">
        <v>751</v>
      </c>
      <c r="R57" s="711">
        <v>0.5</v>
      </c>
      <c r="S57" s="41"/>
      <c r="T57" s="691">
        <v>52.0</v>
      </c>
      <c r="U57" s="40" t="s">
        <v>843</v>
      </c>
      <c r="V57" s="724">
        <v>5206.0</v>
      </c>
      <c r="W57" s="724">
        <v>5949.0</v>
      </c>
      <c r="X57" s="724">
        <v>33339.0</v>
      </c>
      <c r="Y57" s="725">
        <v>1.9892812E7</v>
      </c>
      <c r="Z57" s="691">
        <v>52.0</v>
      </c>
      <c r="AA57" s="40" t="s">
        <v>817</v>
      </c>
      <c r="AB57" s="724">
        <v>14.62</v>
      </c>
      <c r="AC57" s="726">
        <f t="shared" si="1"/>
        <v>5339.955</v>
      </c>
      <c r="AD57" s="724">
        <v>9367.0</v>
      </c>
      <c r="AE57" s="40">
        <v>0.83</v>
      </c>
      <c r="AF57" s="727">
        <v>0.0219</v>
      </c>
      <c r="AG57" s="40" t="s">
        <v>767</v>
      </c>
      <c r="AH57" s="728">
        <f>IFERROR(__xludf.DUMMYFUNCTION("$AH$4*(AVERAGE.WEIGHTED(IFERROR(INDEX(V:V,MATCH(AG57,U:U,0))/1,INDEX(AC:AC,MATCH(AG57,AA:AA,0))),$W$3,IFERROR(INDEX(AC:AC,MATCH(AG57,AA:AA,0))/1,INDEX(V:V,MATCH(AG57,U:U,0))),$AE$3))*INDEX(R:R,MATCH(AG57,Q:Q,0))"),1289.8824000000002)</f>
        <v>1289.8824</v>
      </c>
      <c r="AI57" s="41"/>
      <c r="AK57" s="40">
        <v>12.0</v>
      </c>
      <c r="AL57" s="719" t="s">
        <v>1807</v>
      </c>
      <c r="AM57" s="720" t="s">
        <v>1804</v>
      </c>
      <c r="AN57" s="720" t="s">
        <v>1744</v>
      </c>
      <c r="AO57" s="722">
        <v>0.495</v>
      </c>
      <c r="AP57" s="722" t="s">
        <v>1805</v>
      </c>
    </row>
    <row r="58">
      <c r="A58" s="157" t="s">
        <v>741</v>
      </c>
      <c r="B58" s="157" t="s">
        <v>1179</v>
      </c>
      <c r="C58" s="706">
        <v>2021.0</v>
      </c>
      <c r="D58" s="707">
        <v>4060139.0</v>
      </c>
      <c r="E58" s="668"/>
      <c r="F58" s="157" t="s">
        <v>743</v>
      </c>
      <c r="G58" s="157" t="s">
        <v>1808</v>
      </c>
      <c r="H58" s="706">
        <v>2021.0</v>
      </c>
      <c r="I58" s="707">
        <v>11.401</v>
      </c>
      <c r="J58" s="706"/>
      <c r="K58" s="708" t="s">
        <v>693</v>
      </c>
      <c r="L58" s="157" t="s">
        <v>931</v>
      </c>
      <c r="M58" s="706">
        <v>2075.0</v>
      </c>
      <c r="N58" s="157"/>
      <c r="O58" s="707">
        <v>0.76</v>
      </c>
      <c r="P58" s="709"/>
      <c r="Q58" s="710" t="s">
        <v>752</v>
      </c>
      <c r="R58" s="711">
        <v>0.51</v>
      </c>
      <c r="S58" s="41"/>
      <c r="T58" s="691">
        <v>53.0</v>
      </c>
      <c r="U58" s="40" t="s">
        <v>455</v>
      </c>
      <c r="V58" s="724">
        <v>4559.0</v>
      </c>
      <c r="W58" s="724">
        <v>7654.0</v>
      </c>
      <c r="X58" s="724">
        <v>15299.0</v>
      </c>
      <c r="Y58" s="725">
        <v>2.16422446E8</v>
      </c>
      <c r="Z58" s="691">
        <v>53.0</v>
      </c>
      <c r="AA58" s="40" t="s">
        <v>721</v>
      </c>
      <c r="AB58" s="724">
        <v>14.02</v>
      </c>
      <c r="AC58" s="726">
        <f t="shared" si="1"/>
        <v>5120.805</v>
      </c>
      <c r="AD58" s="724">
        <v>3415.0</v>
      </c>
      <c r="AE58" s="40">
        <v>0.69</v>
      </c>
      <c r="AF58" s="727">
        <v>0.0324</v>
      </c>
      <c r="AG58" s="40" t="s">
        <v>768</v>
      </c>
      <c r="AH58" s="728">
        <f>IFERROR(__xludf.DUMMYFUNCTION("$AH$4*(AVERAGE.WEIGHTED(IFERROR(INDEX(V:V,MATCH(AG58,U:U,0))/1,INDEX(AC:AC,MATCH(AG58,AA:AA,0))),$W$3,IFERROR(INDEX(AC:AC,MATCH(AG58,AA:AA,0))/1,INDEX(V:V,MATCH(AG58,U:U,0))),$AE$3))*INDEX(R:R,MATCH(AG58,Q:Q,0))"),10084.257300000001)</f>
        <v>10084.2573</v>
      </c>
      <c r="AI58" s="41"/>
      <c r="AK58" s="40">
        <v>3.0</v>
      </c>
      <c r="AL58" s="738" t="s">
        <v>1809</v>
      </c>
      <c r="AM58" s="738" t="s">
        <v>1810</v>
      </c>
      <c r="AN58" s="738" t="s">
        <v>1744</v>
      </c>
      <c r="AO58" s="739">
        <v>0.439</v>
      </c>
      <c r="AP58" s="739" t="s">
        <v>1811</v>
      </c>
    </row>
    <row r="59">
      <c r="A59" s="157" t="s">
        <v>742</v>
      </c>
      <c r="B59" s="157" t="s">
        <v>1185</v>
      </c>
      <c r="C59" s="706">
        <v>2021.0</v>
      </c>
      <c r="D59" s="707">
        <v>1.1256373E7</v>
      </c>
      <c r="E59" s="668"/>
      <c r="F59" s="157" t="s">
        <v>744</v>
      </c>
      <c r="G59" s="157" t="s">
        <v>1191</v>
      </c>
      <c r="H59" s="706">
        <v>2021.0</v>
      </c>
      <c r="I59" s="707">
        <v>10.313</v>
      </c>
      <c r="J59" s="706"/>
      <c r="K59" s="708" t="s">
        <v>693</v>
      </c>
      <c r="L59" s="157" t="s">
        <v>931</v>
      </c>
      <c r="M59" s="706">
        <v>2076.0</v>
      </c>
      <c r="N59" s="157"/>
      <c r="O59" s="707">
        <v>0.74</v>
      </c>
      <c r="P59" s="709"/>
      <c r="Q59" s="710" t="s">
        <v>753</v>
      </c>
      <c r="R59" s="711">
        <v>0.29</v>
      </c>
      <c r="S59" s="41"/>
      <c r="T59" s="691">
        <v>54.0</v>
      </c>
      <c r="U59" s="40" t="s">
        <v>846</v>
      </c>
      <c r="V59" s="724">
        <v>4519.0</v>
      </c>
      <c r="W59" s="724">
        <v>6946.0</v>
      </c>
      <c r="X59" s="724">
        <v>16132.0</v>
      </c>
      <c r="Y59" s="725">
        <v>180251.0</v>
      </c>
      <c r="Z59" s="691">
        <v>54.0</v>
      </c>
      <c r="AA59" s="40" t="s">
        <v>739</v>
      </c>
      <c r="AB59" s="724">
        <v>13.92</v>
      </c>
      <c r="AC59" s="726">
        <f t="shared" si="1"/>
        <v>5084.28</v>
      </c>
      <c r="AD59" s="724">
        <v>12509.0</v>
      </c>
      <c r="AE59" s="40">
        <v>0.81</v>
      </c>
      <c r="AF59" s="727">
        <v>0.0101</v>
      </c>
      <c r="AG59" s="40" t="s">
        <v>770</v>
      </c>
      <c r="AH59" s="728">
        <f>IFERROR(__xludf.DUMMYFUNCTION("$AH$4*(AVERAGE.WEIGHTED(IFERROR(INDEX(V:V,MATCH(AG59,U:U,0))/1,INDEX(AC:AC,MATCH(AG59,AA:AA,0))),$W$3,IFERROR(INDEX(AC:AC,MATCH(AG59,AA:AA,0))/1,INDEX(V:V,MATCH(AG59,U:U,0))),$AE$3))*INDEX(R:R,MATCH(AG59,Q:Q,0))"),2165.4977400000002)</f>
        <v>2165.49774</v>
      </c>
      <c r="AI59" s="41"/>
      <c r="AK59" s="40">
        <v>7.0</v>
      </c>
      <c r="AL59" s="732" t="s">
        <v>1812</v>
      </c>
      <c r="AM59" s="733" t="s">
        <v>1810</v>
      </c>
      <c r="AN59" s="733" t="s">
        <v>1744</v>
      </c>
      <c r="AO59" s="734">
        <v>0.439</v>
      </c>
      <c r="AP59" s="734" t="s">
        <v>1811</v>
      </c>
    </row>
    <row r="60">
      <c r="A60" s="157" t="s">
        <v>743</v>
      </c>
      <c r="B60" s="157" t="s">
        <v>1808</v>
      </c>
      <c r="C60" s="706">
        <v>2021.0</v>
      </c>
      <c r="D60" s="707">
        <v>190348.0</v>
      </c>
      <c r="E60" s="668"/>
      <c r="F60" s="157" t="s">
        <v>745</v>
      </c>
      <c r="G60" s="157" t="s">
        <v>1197</v>
      </c>
      <c r="H60" s="706">
        <v>2021.0</v>
      </c>
      <c r="I60" s="707">
        <v>9.892</v>
      </c>
      <c r="J60" s="706"/>
      <c r="K60" s="708" t="s">
        <v>693</v>
      </c>
      <c r="L60" s="157" t="s">
        <v>931</v>
      </c>
      <c r="M60" s="706">
        <v>2077.0</v>
      </c>
      <c r="N60" s="157"/>
      <c r="O60" s="707">
        <v>0.71</v>
      </c>
      <c r="P60" s="709"/>
      <c r="Q60" s="710" t="s">
        <v>754</v>
      </c>
      <c r="R60" s="711">
        <v>0.46</v>
      </c>
      <c r="S60" s="41"/>
      <c r="T60" s="691">
        <v>55.0</v>
      </c>
      <c r="U60" s="40" t="s">
        <v>880</v>
      </c>
      <c r="V60" s="724">
        <v>4434.0</v>
      </c>
      <c r="W60" s="724">
        <v>5010.0</v>
      </c>
      <c r="X60" s="724">
        <v>13341.0</v>
      </c>
      <c r="Y60" s="725">
        <v>3.6744634E7</v>
      </c>
      <c r="Z60" s="691">
        <v>55.0</v>
      </c>
      <c r="AA60" s="40" t="s">
        <v>455</v>
      </c>
      <c r="AB60" s="724">
        <v>13.49</v>
      </c>
      <c r="AC60" s="726">
        <f t="shared" si="1"/>
        <v>4927.2225</v>
      </c>
      <c r="AD60" s="724">
        <v>7519.0</v>
      </c>
      <c r="AE60" s="40">
        <v>0.75</v>
      </c>
      <c r="AF60" s="727">
        <v>0.0461</v>
      </c>
      <c r="AG60" s="40" t="s">
        <v>771</v>
      </c>
      <c r="AH60" s="728">
        <f>IFERROR(__xludf.DUMMYFUNCTION("$AH$4*(AVERAGE.WEIGHTED(IFERROR(INDEX(V:V,MATCH(AG60,U:U,0))/1,INDEX(AC:AC,MATCH(AG60,AA:AA,0))),$W$3,IFERROR(INDEX(AC:AC,MATCH(AG60,AA:AA,0))/1,INDEX(V:V,MATCH(AG60,U:U,0))),$AE$3))*INDEX(R:R,MATCH(AG60,Q:Q,0))"),870.0036)</f>
        <v>870.0036</v>
      </c>
      <c r="AI60" s="41"/>
      <c r="AK60" s="40">
        <v>11.0</v>
      </c>
      <c r="AL60" s="738" t="s">
        <v>1813</v>
      </c>
      <c r="AM60" s="738" t="s">
        <v>1810</v>
      </c>
      <c r="AN60" s="738" t="s">
        <v>1744</v>
      </c>
      <c r="AO60" s="739">
        <v>0.439</v>
      </c>
      <c r="AP60" s="739" t="s">
        <v>1811</v>
      </c>
    </row>
    <row r="61">
      <c r="A61" s="157" t="s">
        <v>744</v>
      </c>
      <c r="B61" s="157" t="s">
        <v>1191</v>
      </c>
      <c r="C61" s="706">
        <v>2021.0</v>
      </c>
      <c r="D61" s="707">
        <v>1244193.0</v>
      </c>
      <c r="E61" s="668"/>
      <c r="F61" s="157" t="s">
        <v>746</v>
      </c>
      <c r="G61" s="157" t="s">
        <v>1226</v>
      </c>
      <c r="H61" s="706">
        <v>2021.0</v>
      </c>
      <c r="I61" s="707">
        <v>42.049</v>
      </c>
      <c r="J61" s="706"/>
      <c r="K61" s="708" t="s">
        <v>693</v>
      </c>
      <c r="L61" s="157" t="s">
        <v>931</v>
      </c>
      <c r="M61" s="706">
        <v>2078.0</v>
      </c>
      <c r="N61" s="157"/>
      <c r="O61" s="707">
        <v>0.68</v>
      </c>
      <c r="P61" s="709"/>
      <c r="Q61" s="710" t="s">
        <v>755</v>
      </c>
      <c r="R61" s="711">
        <v>0.47</v>
      </c>
      <c r="S61" s="41"/>
      <c r="T61" s="691">
        <v>56.0</v>
      </c>
      <c r="U61" s="40" t="s">
        <v>851</v>
      </c>
      <c r="V61" s="724">
        <v>4416.0</v>
      </c>
      <c r="W61" s="724">
        <v>5252.0</v>
      </c>
      <c r="X61" s="724">
        <v>19495.0</v>
      </c>
      <c r="Y61" s="725">
        <v>7149077.0</v>
      </c>
      <c r="Z61" s="691">
        <v>56.0</v>
      </c>
      <c r="AA61" s="40" t="s">
        <v>787</v>
      </c>
      <c r="AB61" s="724">
        <v>13.39</v>
      </c>
      <c r="AC61" s="726">
        <f t="shared" si="1"/>
        <v>4890.6975</v>
      </c>
      <c r="AD61" s="724">
        <v>4406.0</v>
      </c>
      <c r="AE61" s="40">
        <v>0.72</v>
      </c>
      <c r="AF61" s="727">
        <v>0.001</v>
      </c>
      <c r="AG61" s="40" t="s">
        <v>1360</v>
      </c>
      <c r="AH61" s="728">
        <f>IFERROR(__xludf.DUMMYFUNCTION("$AH$4*(AVERAGE.WEIGHTED(IFERROR(INDEX(V:V,MATCH(AG61,U:U,0))/1,INDEX(AC:AC,MATCH(AG61,AA:AA,0))),$W$3,IFERROR(INDEX(AC:AC,MATCH(AG61,AA:AA,0))/1,INDEX(V:V,MATCH(AG61,U:U,0))),$AE$3))*INDEX(R:R,MATCH(AG61,Q:Q,0))"),388.8)</f>
        <v>388.8</v>
      </c>
      <c r="AI61" s="41"/>
      <c r="AK61" s="40">
        <v>36.0</v>
      </c>
      <c r="AL61" s="719" t="s">
        <v>1814</v>
      </c>
      <c r="AM61" s="720" t="s">
        <v>1815</v>
      </c>
      <c r="AN61" s="720" t="s">
        <v>1744</v>
      </c>
      <c r="AO61" s="722">
        <v>0.435</v>
      </c>
      <c r="AP61" s="722" t="s">
        <v>1816</v>
      </c>
    </row>
    <row r="62">
      <c r="A62" s="157" t="s">
        <v>745</v>
      </c>
      <c r="B62" s="157" t="s">
        <v>1197</v>
      </c>
      <c r="C62" s="706">
        <v>2021.0</v>
      </c>
      <c r="D62" s="707">
        <v>1.0510748E7</v>
      </c>
      <c r="E62" s="668"/>
      <c r="F62" s="157" t="s">
        <v>747</v>
      </c>
      <c r="G62" s="157" t="s">
        <v>1203</v>
      </c>
      <c r="H62" s="706">
        <v>2021.0</v>
      </c>
      <c r="I62" s="707">
        <v>10.807</v>
      </c>
      <c r="J62" s="706"/>
      <c r="K62" s="708" t="s">
        <v>693</v>
      </c>
      <c r="L62" s="157" t="s">
        <v>931</v>
      </c>
      <c r="M62" s="706">
        <v>2079.0</v>
      </c>
      <c r="N62" s="157"/>
      <c r="O62" s="707">
        <v>0.66</v>
      </c>
      <c r="P62" s="709"/>
      <c r="Q62" s="710" t="s">
        <v>756</v>
      </c>
      <c r="R62" s="711" t="s">
        <v>1817</v>
      </c>
      <c r="S62" s="41"/>
      <c r="T62" s="691">
        <v>57.0</v>
      </c>
      <c r="U62" s="40" t="s">
        <v>780</v>
      </c>
      <c r="V62" s="724">
        <v>4360.0</v>
      </c>
      <c r="W62" s="724">
        <v>5924.0</v>
      </c>
      <c r="X62" s="724">
        <v>12937.0</v>
      </c>
      <c r="Y62" s="725">
        <v>8.9172767E7</v>
      </c>
      <c r="Z62" s="691">
        <v>57.0</v>
      </c>
      <c r="AA62" s="40" t="s">
        <v>851</v>
      </c>
      <c r="AB62" s="724">
        <v>13.2</v>
      </c>
      <c r="AC62" s="726">
        <f t="shared" si="1"/>
        <v>4821.3</v>
      </c>
      <c r="AD62" s="724">
        <v>9215.0</v>
      </c>
      <c r="AE62" s="40">
        <v>0.8</v>
      </c>
      <c r="AF62" s="727">
        <v>4.0E-4</v>
      </c>
      <c r="AG62" s="40" t="s">
        <v>773</v>
      </c>
      <c r="AH62" s="728">
        <f>IFERROR(__xludf.DUMMYFUNCTION("$AH$4*(AVERAGE.WEIGHTED(IFERROR(INDEX(V:V,MATCH(AG62,U:U,0))/1,INDEX(AC:AC,MATCH(AG62,AA:AA,0))),$W$3,IFERROR(INDEX(AC:AC,MATCH(AG62,AA:AA,0))/1,INDEX(V:V,MATCH(AG62,U:U,0))),$AE$3))*INDEX(R:R,MATCH(AG62,Q:Q,0))"),1750.76496)</f>
        <v>1750.76496</v>
      </c>
      <c r="AI62" s="41"/>
      <c r="AK62" s="40">
        <v>2.0</v>
      </c>
      <c r="AL62" s="729" t="s">
        <v>1818</v>
      </c>
      <c r="AM62" s="729" t="s">
        <v>1819</v>
      </c>
      <c r="AN62" s="729" t="s">
        <v>1744</v>
      </c>
      <c r="AO62" s="730">
        <v>0.411</v>
      </c>
      <c r="AP62" s="730" t="s">
        <v>1820</v>
      </c>
    </row>
    <row r="63">
      <c r="A63" s="157" t="s">
        <v>746</v>
      </c>
      <c r="B63" s="157" t="s">
        <v>1226</v>
      </c>
      <c r="C63" s="706">
        <v>2021.0</v>
      </c>
      <c r="D63" s="707">
        <v>9.589412E7</v>
      </c>
      <c r="E63" s="668"/>
      <c r="F63" s="157" t="s">
        <v>748</v>
      </c>
      <c r="G63" s="157" t="s">
        <v>1209</v>
      </c>
      <c r="H63" s="706">
        <v>2021.0</v>
      </c>
      <c r="I63" s="707">
        <v>22.205</v>
      </c>
      <c r="J63" s="706"/>
      <c r="K63" s="708" t="s">
        <v>693</v>
      </c>
      <c r="L63" s="157" t="s">
        <v>931</v>
      </c>
      <c r="M63" s="706">
        <v>2080.0</v>
      </c>
      <c r="N63" s="157"/>
      <c r="O63" s="707">
        <v>0.64</v>
      </c>
      <c r="P63" s="709"/>
      <c r="Q63" s="710" t="s">
        <v>757</v>
      </c>
      <c r="R63" s="711">
        <v>0.65</v>
      </c>
      <c r="S63" s="41"/>
      <c r="T63" s="691">
        <v>58.0</v>
      </c>
      <c r="U63" s="40" t="s">
        <v>79</v>
      </c>
      <c r="V63" s="724">
        <v>4356.0</v>
      </c>
      <c r="W63" s="724">
        <v>5670.0</v>
      </c>
      <c r="X63" s="724">
        <v>19276.0</v>
      </c>
      <c r="Y63" s="725">
        <v>7.1801279E7</v>
      </c>
      <c r="Z63" s="691">
        <v>58.0</v>
      </c>
      <c r="AA63" s="40" t="s">
        <v>696</v>
      </c>
      <c r="AB63" s="724">
        <v>13.08</v>
      </c>
      <c r="AC63" s="726">
        <f t="shared" si="1"/>
        <v>4777.47</v>
      </c>
      <c r="AD63" s="724">
        <v>6494.0</v>
      </c>
      <c r="AE63" s="40">
        <v>0.8</v>
      </c>
      <c r="AF63" s="727">
        <v>0.0087</v>
      </c>
      <c r="AG63" s="40" t="s">
        <v>774</v>
      </c>
      <c r="AH63" s="728">
        <f>IFERROR(__xludf.DUMMYFUNCTION("$AH$4*(AVERAGE.WEIGHTED(IFERROR(INDEX(V:V,MATCH(AG63,U:U,0))/1,INDEX(AC:AC,MATCH(AG63,AA:AA,0))),$W$3,IFERROR(INDEX(AC:AC,MATCH(AG63,AA:AA,0))/1,INDEX(V:V,MATCH(AG63,U:U,0))),$AE$3))*INDEX(R:R,MATCH(AG63,Q:Q,0))"),1351.0752)</f>
        <v>1351.0752</v>
      </c>
      <c r="AI63" s="41"/>
      <c r="AK63" s="40">
        <v>6.0</v>
      </c>
      <c r="AL63" s="719" t="s">
        <v>1821</v>
      </c>
      <c r="AM63" s="720" t="s">
        <v>1819</v>
      </c>
      <c r="AN63" s="720" t="s">
        <v>1744</v>
      </c>
      <c r="AO63" s="722">
        <v>0.411</v>
      </c>
      <c r="AP63" s="722" t="s">
        <v>1820</v>
      </c>
    </row>
    <row r="64">
      <c r="A64" s="157" t="s">
        <v>747</v>
      </c>
      <c r="B64" s="157" t="s">
        <v>1203</v>
      </c>
      <c r="C64" s="706">
        <v>2021.0</v>
      </c>
      <c r="D64" s="707">
        <v>5854246.0</v>
      </c>
      <c r="E64" s="668"/>
      <c r="F64" s="157" t="s">
        <v>749</v>
      </c>
      <c r="G64" s="157" t="s">
        <v>1216</v>
      </c>
      <c r="H64" s="706">
        <v>2021.0</v>
      </c>
      <c r="I64" s="707">
        <v>13.326</v>
      </c>
      <c r="J64" s="706"/>
      <c r="K64" s="708" t="s">
        <v>693</v>
      </c>
      <c r="L64" s="157" t="s">
        <v>931</v>
      </c>
      <c r="M64" s="706">
        <v>2081.0</v>
      </c>
      <c r="N64" s="157"/>
      <c r="O64" s="707">
        <v>0.61</v>
      </c>
      <c r="P64" s="709"/>
      <c r="Q64" s="710" t="s">
        <v>758</v>
      </c>
      <c r="R64" s="711">
        <v>0.41</v>
      </c>
      <c r="S64" s="41"/>
      <c r="T64" s="691">
        <v>59.0</v>
      </c>
      <c r="U64" s="40" t="s">
        <v>837</v>
      </c>
      <c r="V64" s="724">
        <v>4334.0</v>
      </c>
      <c r="W64" s="724">
        <v>6373.0</v>
      </c>
      <c r="X64" s="724">
        <v>13246.0</v>
      </c>
      <c r="Y64" s="725">
        <v>6861524.0</v>
      </c>
      <c r="Z64" s="691">
        <v>59.0</v>
      </c>
      <c r="AA64" s="40" t="s">
        <v>846</v>
      </c>
      <c r="AB64" s="724">
        <v>13.05</v>
      </c>
      <c r="AC64" s="726">
        <f t="shared" si="1"/>
        <v>4766.5125</v>
      </c>
      <c r="AD64" s="724">
        <v>9571.0</v>
      </c>
      <c r="AE64" s="40">
        <v>0.72</v>
      </c>
      <c r="AF64" s="727">
        <v>0.0437</v>
      </c>
      <c r="AG64" s="40" t="s">
        <v>775</v>
      </c>
      <c r="AH64" s="728">
        <f>IFERROR(__xludf.DUMMYFUNCTION("$AH$4*(AVERAGE.WEIGHTED(IFERROR(INDEX(V:V,MATCH(AG64,U:U,0))/1,INDEX(AC:AC,MATCH(AG64,AA:AA,0))),$W$3,IFERROR(INDEX(AC:AC,MATCH(AG64,AA:AA,0))/1,INDEX(V:V,MATCH(AG64,U:U,0))),$AE$3))*INDEX(R:R,MATCH(AG64,Q:Q,0))"),1969.0857)</f>
        <v>1969.0857</v>
      </c>
      <c r="AI64" s="41"/>
      <c r="AK64" s="40">
        <v>10.0</v>
      </c>
      <c r="AL64" s="729" t="s">
        <v>1822</v>
      </c>
      <c r="AM64" s="729" t="s">
        <v>1819</v>
      </c>
      <c r="AN64" s="729" t="s">
        <v>1744</v>
      </c>
      <c r="AO64" s="730">
        <v>0.411</v>
      </c>
      <c r="AP64" s="730" t="s">
        <v>1820</v>
      </c>
    </row>
    <row r="65">
      <c r="A65" s="157" t="s">
        <v>748</v>
      </c>
      <c r="B65" s="157" t="s">
        <v>1209</v>
      </c>
      <c r="C65" s="706">
        <v>2021.0</v>
      </c>
      <c r="D65" s="707">
        <v>1105562.0</v>
      </c>
      <c r="E65" s="668"/>
      <c r="F65" s="157" t="s">
        <v>750</v>
      </c>
      <c r="G65" s="157" t="s">
        <v>1222</v>
      </c>
      <c r="H65" s="706">
        <v>2021.0</v>
      </c>
      <c r="I65" s="707">
        <v>18.432</v>
      </c>
      <c r="J65" s="706"/>
      <c r="K65" s="708" t="s">
        <v>693</v>
      </c>
      <c r="L65" s="157" t="s">
        <v>931</v>
      </c>
      <c r="M65" s="706">
        <v>2082.0</v>
      </c>
      <c r="N65" s="157"/>
      <c r="O65" s="707">
        <v>0.59</v>
      </c>
      <c r="P65" s="709"/>
      <c r="Q65" s="710" t="s">
        <v>759</v>
      </c>
      <c r="R65" s="711">
        <v>0.36</v>
      </c>
      <c r="S65" s="41"/>
      <c r="T65" s="691">
        <v>60.0</v>
      </c>
      <c r="U65" s="40" t="s">
        <v>817</v>
      </c>
      <c r="V65" s="724">
        <v>4193.0</v>
      </c>
      <c r="W65" s="724">
        <v>5123.0</v>
      </c>
      <c r="X65" s="724">
        <v>24035.0</v>
      </c>
      <c r="Y65" s="725">
        <v>626485.0</v>
      </c>
      <c r="Z65" s="691">
        <v>60.0</v>
      </c>
      <c r="AA65" s="40" t="s">
        <v>79</v>
      </c>
      <c r="AB65" s="724">
        <v>12.89</v>
      </c>
      <c r="AC65" s="726">
        <f t="shared" si="1"/>
        <v>4708.0725</v>
      </c>
      <c r="AD65" s="724">
        <v>7233.0</v>
      </c>
      <c r="AE65" s="40">
        <v>0.8</v>
      </c>
      <c r="AF65" s="727">
        <v>8.0E-4</v>
      </c>
      <c r="AG65" s="40" t="s">
        <v>776</v>
      </c>
      <c r="AH65" s="728">
        <f>IFERROR(__xludf.DUMMYFUNCTION("$AH$4*(AVERAGE.WEIGHTED(IFERROR(INDEX(V:V,MATCH(AG65,U:U,0))/1,INDEX(AC:AC,MATCH(AG65,AA:AA,0))),$W$3,IFERROR(INDEX(AC:AC,MATCH(AG65,AA:AA,0))/1,INDEX(V:V,MATCH(AG65,U:U,0))),$AE$3))*INDEX(R:R,MATCH(AG65,Q:Q,0))"),8392.39272)</f>
        <v>8392.39272</v>
      </c>
      <c r="AI65" s="41"/>
      <c r="AK65" s="40">
        <v>1.0</v>
      </c>
      <c r="AL65" s="732" t="s">
        <v>1823</v>
      </c>
      <c r="AM65" s="733" t="s">
        <v>1824</v>
      </c>
      <c r="AN65" s="733" t="s">
        <v>1825</v>
      </c>
      <c r="AO65" s="734">
        <v>0.408</v>
      </c>
      <c r="AP65" s="734" t="s">
        <v>1826</v>
      </c>
    </row>
    <row r="66">
      <c r="A66" s="157" t="s">
        <v>749</v>
      </c>
      <c r="B66" s="157" t="s">
        <v>1216</v>
      </c>
      <c r="C66" s="706">
        <v>2021.0</v>
      </c>
      <c r="D66" s="707">
        <v>72435.0</v>
      </c>
      <c r="E66" s="668"/>
      <c r="F66" s="157" t="s">
        <v>751</v>
      </c>
      <c r="G66" s="157" t="s">
        <v>1644</v>
      </c>
      <c r="H66" s="706">
        <v>2021.0</v>
      </c>
      <c r="I66" s="707">
        <v>24.944</v>
      </c>
      <c r="J66" s="706"/>
      <c r="K66" s="708" t="s">
        <v>693</v>
      </c>
      <c r="L66" s="157" t="s">
        <v>931</v>
      </c>
      <c r="M66" s="706">
        <v>2083.0</v>
      </c>
      <c r="N66" s="157"/>
      <c r="O66" s="707">
        <v>0.56</v>
      </c>
      <c r="P66" s="709"/>
      <c r="Q66" s="710" t="s">
        <v>760</v>
      </c>
      <c r="R66" s="711">
        <v>0.41</v>
      </c>
      <c r="S66" s="41"/>
      <c r="T66" s="691">
        <v>61.0</v>
      </c>
      <c r="U66" s="40" t="s">
        <v>750</v>
      </c>
      <c r="V66" s="724">
        <v>4060.0</v>
      </c>
      <c r="W66" s="724">
        <v>5873.0</v>
      </c>
      <c r="X66" s="724">
        <v>19227.0</v>
      </c>
      <c r="Y66" s="725">
        <v>1.1332972E7</v>
      </c>
      <c r="Z66" s="691">
        <v>61.0</v>
      </c>
      <c r="AA66" s="40" t="s">
        <v>811</v>
      </c>
      <c r="AB66" s="724">
        <v>12.73</v>
      </c>
      <c r="AC66" s="726">
        <f t="shared" si="1"/>
        <v>4649.6325</v>
      </c>
      <c r="AD66" s="724">
        <v>8812.0</v>
      </c>
      <c r="AE66" s="40">
        <v>0.8</v>
      </c>
      <c r="AF66" s="727">
        <v>0.0013</v>
      </c>
      <c r="AG66" s="40" t="s">
        <v>777</v>
      </c>
      <c r="AH66" s="728">
        <f>IFERROR(__xludf.DUMMYFUNCTION("$AH$4*(AVERAGE.WEIGHTED(IFERROR(INDEX(V:V,MATCH(AG66,U:U,0))/1,INDEX(AC:AC,MATCH(AG66,AA:AA,0))),$W$3,IFERROR(INDEX(AC:AC,MATCH(AG66,AA:AA,0))/1,INDEX(V:V,MATCH(AG66,U:U,0))),$AE$3))*INDEX(R:R,MATCH(AG66,Q:Q,0))"),43953.29736)</f>
        <v>43953.29736</v>
      </c>
      <c r="AI66" s="41"/>
      <c r="AK66" s="40">
        <v>5.0</v>
      </c>
      <c r="AL66" s="738" t="s">
        <v>1827</v>
      </c>
      <c r="AM66" s="738" t="s">
        <v>1824</v>
      </c>
      <c r="AN66" s="738" t="s">
        <v>1825</v>
      </c>
      <c r="AO66" s="739">
        <v>0.408</v>
      </c>
      <c r="AP66" s="739" t="s">
        <v>1826</v>
      </c>
    </row>
    <row r="67">
      <c r="A67" s="157" t="s">
        <v>750</v>
      </c>
      <c r="B67" s="157" t="s">
        <v>1222</v>
      </c>
      <c r="C67" s="706">
        <v>2021.0</v>
      </c>
      <c r="D67" s="707">
        <v>1.1117873E7</v>
      </c>
      <c r="E67" s="668"/>
      <c r="F67" s="157" t="s">
        <v>752</v>
      </c>
      <c r="G67" s="157" t="s">
        <v>1235</v>
      </c>
      <c r="H67" s="706">
        <v>2021.0</v>
      </c>
      <c r="I67" s="707">
        <v>16.817</v>
      </c>
      <c r="J67" s="706"/>
      <c r="K67" s="708" t="s">
        <v>693</v>
      </c>
      <c r="L67" s="157" t="s">
        <v>931</v>
      </c>
      <c r="M67" s="706">
        <v>2084.0</v>
      </c>
      <c r="N67" s="157"/>
      <c r="O67" s="707">
        <v>0.54</v>
      </c>
      <c r="P67" s="709"/>
      <c r="Q67" s="710" t="s">
        <v>761</v>
      </c>
      <c r="R67" s="711">
        <v>0.98</v>
      </c>
      <c r="S67" s="41"/>
      <c r="T67" s="691">
        <v>62.0</v>
      </c>
      <c r="U67" s="40" t="s">
        <v>830</v>
      </c>
      <c r="V67" s="724">
        <v>3857.0</v>
      </c>
      <c r="W67" s="724">
        <v>4279.0</v>
      </c>
      <c r="X67" s="724">
        <v>18107.0</v>
      </c>
      <c r="Y67" s="725">
        <v>2085679.0</v>
      </c>
      <c r="Z67" s="691">
        <v>62.0</v>
      </c>
      <c r="AA67" s="40" t="s">
        <v>880</v>
      </c>
      <c r="AB67" s="724">
        <v>12.6</v>
      </c>
      <c r="AC67" s="726">
        <f t="shared" si="1"/>
        <v>4602.15</v>
      </c>
      <c r="AD67" s="724">
        <v>4836.0</v>
      </c>
      <c r="AE67" s="40">
        <v>0.77</v>
      </c>
      <c r="AF67" s="61"/>
      <c r="AG67" s="40" t="s">
        <v>778</v>
      </c>
      <c r="AH67" s="728">
        <f>IFERROR(__xludf.DUMMYFUNCTION("$AH$4*(AVERAGE.WEIGHTED(IFERROR(INDEX(V:V,MATCH(AG67,U:U,0))/1,INDEX(AC:AC,MATCH(AG67,AA:AA,0))),$W$3,IFERROR(INDEX(AC:AC,MATCH(AG67,AA:AA,0))/1,INDEX(V:V,MATCH(AG67,U:U,0))),$AE$3))*INDEX(R:R,MATCH(AG67,Q:Q,0))"),352.36397999999997)</f>
        <v>352.36398</v>
      </c>
      <c r="AI67" s="41"/>
      <c r="AK67" s="40">
        <v>9.0</v>
      </c>
      <c r="AL67" s="732" t="s">
        <v>1828</v>
      </c>
      <c r="AM67" s="733" t="s">
        <v>1824</v>
      </c>
      <c r="AN67" s="733" t="s">
        <v>1825</v>
      </c>
      <c r="AO67" s="734">
        <v>0.408</v>
      </c>
      <c r="AP67" s="734" t="s">
        <v>1826</v>
      </c>
    </row>
    <row r="68">
      <c r="A68" s="157" t="s">
        <v>751</v>
      </c>
      <c r="B68" s="157" t="s">
        <v>1644</v>
      </c>
      <c r="C68" s="706">
        <v>2021.0</v>
      </c>
      <c r="D68" s="707">
        <v>1320944.0</v>
      </c>
      <c r="E68" s="668"/>
      <c r="F68" s="157" t="s">
        <v>753</v>
      </c>
      <c r="G68" s="157" t="s">
        <v>1243</v>
      </c>
      <c r="H68" s="706">
        <v>2021.0</v>
      </c>
      <c r="I68" s="707">
        <v>22.558</v>
      </c>
      <c r="J68" s="706"/>
      <c r="K68" s="708" t="s">
        <v>693</v>
      </c>
      <c r="L68" s="157" t="s">
        <v>931</v>
      </c>
      <c r="M68" s="706">
        <v>2085.0</v>
      </c>
      <c r="N68" s="157"/>
      <c r="O68" s="707">
        <v>0.51</v>
      </c>
      <c r="P68" s="709"/>
      <c r="Q68" s="710" t="s">
        <v>762</v>
      </c>
      <c r="R68" s="711">
        <v>0.86</v>
      </c>
      <c r="S68" s="41"/>
      <c r="T68" s="691">
        <v>63.0</v>
      </c>
      <c r="U68" s="40" t="s">
        <v>811</v>
      </c>
      <c r="V68" s="724">
        <v>3832.0</v>
      </c>
      <c r="W68" s="724">
        <v>4969.0</v>
      </c>
      <c r="X68" s="724">
        <v>23882.0</v>
      </c>
      <c r="Y68" s="725">
        <v>1300557.0</v>
      </c>
      <c r="Z68" s="691">
        <v>63.0</v>
      </c>
      <c r="AA68" s="504" t="s">
        <v>830</v>
      </c>
      <c r="AB68" s="724">
        <v>12.4</v>
      </c>
      <c r="AC68" s="726">
        <f t="shared" si="1"/>
        <v>4529.1</v>
      </c>
      <c r="AD68" s="724">
        <v>6721.0</v>
      </c>
      <c r="AE68" s="40">
        <v>0.77</v>
      </c>
      <c r="AF68" s="727">
        <v>0.0332</v>
      </c>
      <c r="AG68" s="40" t="s">
        <v>780</v>
      </c>
      <c r="AH68" s="728">
        <f>IFERROR(__xludf.DUMMYFUNCTION("$AH$4*(AVERAGE.WEIGHTED(IFERROR(INDEX(V:V,MATCH(AG68,U:U,0))/1,INDEX(AC:AC,MATCH(AG68,AA:AA,0))),$W$3,IFERROR(INDEX(AC:AC,MATCH(AG68,AA:AA,0))/1,INDEX(V:V,MATCH(AG68,U:U,0))),$AE$3))*INDEX(R:R,MATCH(AG68,Q:Q,0))"),2061.1455)</f>
        <v>2061.1455</v>
      </c>
      <c r="AI68" s="41"/>
      <c r="AK68" s="40">
        <v>32.0</v>
      </c>
      <c r="AL68" s="729" t="s">
        <v>1829</v>
      </c>
      <c r="AM68" s="729" t="s">
        <v>1830</v>
      </c>
      <c r="AN68" s="729" t="s">
        <v>1831</v>
      </c>
      <c r="AO68" s="730">
        <v>0.405</v>
      </c>
      <c r="AP68" s="730" t="s">
        <v>1832</v>
      </c>
    </row>
    <row r="69">
      <c r="A69" s="157" t="s">
        <v>752</v>
      </c>
      <c r="B69" s="157" t="s">
        <v>1235</v>
      </c>
      <c r="C69" s="706">
        <v>2021.0</v>
      </c>
      <c r="D69" s="707">
        <v>1.7797736E7</v>
      </c>
      <c r="E69" s="668"/>
      <c r="F69" s="157" t="s">
        <v>754</v>
      </c>
      <c r="G69" s="157" t="s">
        <v>1250</v>
      </c>
      <c r="H69" s="706">
        <v>2021.0</v>
      </c>
      <c r="I69" s="707">
        <v>16.025</v>
      </c>
      <c r="J69" s="706"/>
      <c r="K69" s="708" t="s">
        <v>693</v>
      </c>
      <c r="L69" s="157" t="s">
        <v>931</v>
      </c>
      <c r="M69" s="706">
        <v>2086.0</v>
      </c>
      <c r="N69" s="157"/>
      <c r="O69" s="707">
        <v>0.48</v>
      </c>
      <c r="P69" s="709"/>
      <c r="Q69" s="710" t="s">
        <v>763</v>
      </c>
      <c r="R69" s="711">
        <v>0.57</v>
      </c>
      <c r="S69" s="41"/>
      <c r="T69" s="691">
        <v>64.0</v>
      </c>
      <c r="U69" s="40" t="s">
        <v>838</v>
      </c>
      <c r="V69" s="724">
        <v>3678.0</v>
      </c>
      <c r="W69" s="724">
        <v>4977.0</v>
      </c>
      <c r="X69" s="724">
        <v>13416.0</v>
      </c>
      <c r="Y69" s="725">
        <v>3.4352719E7</v>
      </c>
      <c r="Z69" s="691">
        <v>64.0</v>
      </c>
      <c r="AA69" s="40" t="s">
        <v>837</v>
      </c>
      <c r="AB69" s="724">
        <v>12.31</v>
      </c>
      <c r="AC69" s="726">
        <f t="shared" si="1"/>
        <v>4496.2275</v>
      </c>
      <c r="AD69" s="724">
        <v>5400.0</v>
      </c>
      <c r="AE69" s="40">
        <v>0.72</v>
      </c>
      <c r="AF69" s="727">
        <v>0.0095</v>
      </c>
      <c r="AG69" s="40" t="s">
        <v>781</v>
      </c>
      <c r="AH69" s="728">
        <f>IFERROR(__xludf.DUMMYFUNCTION("$AH$4*(AVERAGE.WEIGHTED(IFERROR(INDEX(V:V,MATCH(AG69,U:U,0))/1,INDEX(AC:AC,MATCH(AG69,AA:AA,0))),$W$3,IFERROR(INDEX(AC:AC,MATCH(AG69,AA:AA,0))/1,INDEX(V:V,MATCH(AG69,U:U,0))),$AE$3))*INDEX(R:R,MATCH(AG69,Q:Q,0))"),2523.12858)</f>
        <v>2523.12858</v>
      </c>
      <c r="AI69" s="41"/>
      <c r="AK69" s="40">
        <v>198.0</v>
      </c>
      <c r="AL69" s="719" t="s">
        <v>1833</v>
      </c>
      <c r="AM69" s="720" t="s">
        <v>1830</v>
      </c>
      <c r="AN69" s="720" t="s">
        <v>1831</v>
      </c>
      <c r="AO69" s="722">
        <v>0.405</v>
      </c>
      <c r="AP69" s="722" t="s">
        <v>1832</v>
      </c>
    </row>
    <row r="70">
      <c r="A70" s="157" t="s">
        <v>753</v>
      </c>
      <c r="B70" s="157" t="s">
        <v>1243</v>
      </c>
      <c r="C70" s="706">
        <v>2021.0</v>
      </c>
      <c r="D70" s="707">
        <v>1.09262184E8</v>
      </c>
      <c r="E70" s="668"/>
      <c r="F70" s="157" t="s">
        <v>755</v>
      </c>
      <c r="G70" s="157" t="s">
        <v>1257</v>
      </c>
      <c r="H70" s="706">
        <v>2021.0</v>
      </c>
      <c r="I70" s="707">
        <v>30.498</v>
      </c>
      <c r="J70" s="706"/>
      <c r="K70" s="708" t="s">
        <v>693</v>
      </c>
      <c r="L70" s="157" t="s">
        <v>931</v>
      </c>
      <c r="M70" s="706">
        <v>2087.0</v>
      </c>
      <c r="N70" s="157"/>
      <c r="O70" s="707">
        <v>0.46</v>
      </c>
      <c r="P70" s="709"/>
      <c r="Q70" s="710" t="s">
        <v>764</v>
      </c>
      <c r="R70" s="711">
        <v>0.34</v>
      </c>
      <c r="S70" s="41"/>
      <c r="T70" s="691">
        <v>65.0</v>
      </c>
      <c r="U70" s="40" t="s">
        <v>788</v>
      </c>
      <c r="V70" s="724">
        <v>3661.0</v>
      </c>
      <c r="W70" s="724">
        <v>4313.0</v>
      </c>
      <c r="X70" s="724">
        <v>27517.0</v>
      </c>
      <c r="Y70" s="725">
        <v>1.9606633E7</v>
      </c>
      <c r="Z70" s="691">
        <v>65.0</v>
      </c>
      <c r="AA70" s="40" t="s">
        <v>834</v>
      </c>
      <c r="AB70" s="724">
        <v>11.42</v>
      </c>
      <c r="AC70" s="726">
        <f t="shared" si="1"/>
        <v>4171.155</v>
      </c>
      <c r="AD70" s="724">
        <v>3664.0</v>
      </c>
      <c r="AE70" s="40">
        <v>0.72</v>
      </c>
      <c r="AF70" s="727">
        <v>0.0089</v>
      </c>
      <c r="AG70" s="40" t="s">
        <v>782</v>
      </c>
      <c r="AH70" s="728">
        <f>IFERROR(__xludf.DUMMYFUNCTION("$AH$4*(AVERAGE.WEIGHTED(IFERROR(INDEX(V:V,MATCH(AG70,U:U,0))/1,INDEX(AC:AC,MATCH(AG70,AA:AA,0))),$W$3,IFERROR(INDEX(AC:AC,MATCH(AG70,AA:AA,0))/1,INDEX(V:V,MATCH(AG70,U:U,0))),$AE$3))*INDEX(R:R,MATCH(AG70,Q:Q,0))"),28359.51858)</f>
        <v>28359.51858</v>
      </c>
      <c r="AI70" s="41"/>
      <c r="AK70" s="40">
        <v>98.0</v>
      </c>
      <c r="AL70" s="729" t="s">
        <v>1834</v>
      </c>
      <c r="AM70" s="729" t="s">
        <v>1835</v>
      </c>
      <c r="AN70" s="729" t="s">
        <v>1836</v>
      </c>
      <c r="AO70" s="730">
        <v>0.402</v>
      </c>
      <c r="AP70" s="730" t="s">
        <v>1837</v>
      </c>
    </row>
    <row r="71">
      <c r="A71" s="157" t="s">
        <v>754</v>
      </c>
      <c r="B71" s="157" t="s">
        <v>1250</v>
      </c>
      <c r="C71" s="706">
        <v>2021.0</v>
      </c>
      <c r="D71" s="707">
        <v>6314165.0</v>
      </c>
      <c r="E71" s="668"/>
      <c r="F71" s="157" t="s">
        <v>756</v>
      </c>
      <c r="G71" s="157" t="s">
        <v>1264</v>
      </c>
      <c r="H71" s="706">
        <v>2021.0</v>
      </c>
      <c r="I71" s="707">
        <v>28.624</v>
      </c>
      <c r="J71" s="706"/>
      <c r="K71" s="708" t="s">
        <v>693</v>
      </c>
      <c r="L71" s="157" t="s">
        <v>931</v>
      </c>
      <c r="M71" s="706">
        <v>2088.0</v>
      </c>
      <c r="N71" s="157"/>
      <c r="O71" s="707">
        <v>0.44</v>
      </c>
      <c r="P71" s="709"/>
      <c r="Q71" s="710" t="s">
        <v>765</v>
      </c>
      <c r="R71" s="711">
        <v>0.3</v>
      </c>
      <c r="S71" s="41"/>
      <c r="T71" s="691">
        <v>66.0</v>
      </c>
      <c r="U71" s="40" t="s">
        <v>721</v>
      </c>
      <c r="V71" s="724">
        <v>3631.0</v>
      </c>
      <c r="W71" s="724">
        <v>4787.0</v>
      </c>
      <c r="X71" s="724">
        <v>9110.0</v>
      </c>
      <c r="Y71" s="725">
        <v>1.2388571E7</v>
      </c>
      <c r="Z71" s="691">
        <v>66.0</v>
      </c>
      <c r="AA71" s="40" t="s">
        <v>875</v>
      </c>
      <c r="AB71" s="724">
        <v>11.38</v>
      </c>
      <c r="AC71" s="726">
        <f t="shared" si="1"/>
        <v>4156.545</v>
      </c>
      <c r="AD71" s="724">
        <v>3924.0</v>
      </c>
      <c r="AE71" s="40">
        <v>0.73</v>
      </c>
      <c r="AF71" s="727">
        <v>0.0022</v>
      </c>
      <c r="AG71" s="40" t="s">
        <v>783</v>
      </c>
      <c r="AH71" s="728">
        <f>IFERROR(__xludf.DUMMYFUNCTION("$AH$4*(AVERAGE.WEIGHTED(IFERROR(INDEX(V:V,MATCH(AG71,U:U,0))/1,INDEX(AC:AC,MATCH(AG71,AA:AA,0))),$W$3,IFERROR(INDEX(AC:AC,MATCH(AG71,AA:AA,0))/1,INDEX(V:V,MATCH(AG71,U:U,0))),$AE$3))*INDEX(R:R,MATCH(AG71,Q:Q,0))"),26988.641399999997)</f>
        <v>26988.6414</v>
      </c>
      <c r="AI71" s="41"/>
      <c r="AK71" s="40">
        <v>21.0</v>
      </c>
      <c r="AL71" s="732" t="s">
        <v>1838</v>
      </c>
      <c r="AM71" s="733" t="s">
        <v>1839</v>
      </c>
      <c r="AN71" s="733" t="s">
        <v>1744</v>
      </c>
      <c r="AO71" s="734">
        <v>0.381</v>
      </c>
      <c r="AP71" s="734" t="s">
        <v>1840</v>
      </c>
    </row>
    <row r="72">
      <c r="A72" s="157" t="s">
        <v>755</v>
      </c>
      <c r="B72" s="157" t="s">
        <v>1257</v>
      </c>
      <c r="C72" s="706">
        <v>2021.0</v>
      </c>
      <c r="D72" s="707">
        <v>1634473.0</v>
      </c>
      <c r="E72" s="668"/>
      <c r="F72" s="157" t="s">
        <v>757</v>
      </c>
      <c r="G72" s="157" t="s">
        <v>1269</v>
      </c>
      <c r="H72" s="706">
        <v>2021.0</v>
      </c>
      <c r="I72" s="707">
        <v>10.277</v>
      </c>
      <c r="J72" s="706"/>
      <c r="K72" s="708" t="s">
        <v>693</v>
      </c>
      <c r="L72" s="157" t="s">
        <v>931</v>
      </c>
      <c r="M72" s="706">
        <v>2089.0</v>
      </c>
      <c r="N72" s="157"/>
      <c r="O72" s="707">
        <v>0.42</v>
      </c>
      <c r="P72" s="709"/>
      <c r="Q72" s="710" t="s">
        <v>766</v>
      </c>
      <c r="R72" s="711">
        <v>0.88</v>
      </c>
      <c r="S72" s="41"/>
      <c r="T72" s="691">
        <v>67.0</v>
      </c>
      <c r="U72" s="40" t="s">
        <v>752</v>
      </c>
      <c r="V72" s="724">
        <v>3525.0</v>
      </c>
      <c r="W72" s="724">
        <v>5046.0</v>
      </c>
      <c r="X72" s="724">
        <v>11878.0</v>
      </c>
      <c r="Y72" s="725">
        <v>1.8190484E7</v>
      </c>
      <c r="Z72" s="691">
        <v>67.0</v>
      </c>
      <c r="AA72" s="40" t="s">
        <v>888</v>
      </c>
      <c r="AB72" s="724">
        <v>10.92</v>
      </c>
      <c r="AC72" s="726">
        <f t="shared" si="1"/>
        <v>3988.53</v>
      </c>
      <c r="AD72" s="724">
        <v>3694.0</v>
      </c>
      <c r="AE72" s="40">
        <v>0.7</v>
      </c>
      <c r="AF72" s="727">
        <v>0.0135</v>
      </c>
      <c r="AG72" s="40" t="s">
        <v>784</v>
      </c>
      <c r="AH72" s="728">
        <f>IFERROR(__xludf.DUMMYFUNCTION("$AH$4*(AVERAGE.WEIGHTED(IFERROR(INDEX(V:V,MATCH(AG72,U:U,0))/1,INDEX(AC:AC,MATCH(AG72,AA:AA,0))),$W$3,IFERROR(INDEX(AC:AC,MATCH(AG72,AA:AA,0))/1,INDEX(V:V,MATCH(AG72,U:U,0))),$AE$3))*INDEX(R:R,MATCH(AG72,Q:Q,0))"),21319.58598)</f>
        <v>21319.58598</v>
      </c>
      <c r="AI72" s="41"/>
      <c r="AK72" s="40">
        <v>107.0</v>
      </c>
      <c r="AL72" s="738" t="s">
        <v>1841</v>
      </c>
      <c r="AM72" s="738" t="s">
        <v>1842</v>
      </c>
      <c r="AN72" s="738" t="s">
        <v>1744</v>
      </c>
      <c r="AO72" s="739">
        <v>0.351</v>
      </c>
      <c r="AP72" s="739" t="s">
        <v>1843</v>
      </c>
    </row>
    <row r="73">
      <c r="A73" s="157" t="s">
        <v>756</v>
      </c>
      <c r="B73" s="157" t="s">
        <v>1264</v>
      </c>
      <c r="C73" s="706">
        <v>2021.0</v>
      </c>
      <c r="D73" s="707">
        <v>3620324.0</v>
      </c>
      <c r="E73" s="668"/>
      <c r="F73" s="157" t="s">
        <v>758</v>
      </c>
      <c r="G73" s="157" t="s">
        <v>1273</v>
      </c>
      <c r="H73" s="706">
        <v>2021.0</v>
      </c>
      <c r="I73" s="707">
        <v>24.134</v>
      </c>
      <c r="J73" s="706"/>
      <c r="K73" s="708" t="s">
        <v>693</v>
      </c>
      <c r="L73" s="157" t="s">
        <v>931</v>
      </c>
      <c r="M73" s="706">
        <v>2090.0</v>
      </c>
      <c r="N73" s="157"/>
      <c r="O73" s="707">
        <v>0.4</v>
      </c>
      <c r="P73" s="709"/>
      <c r="Q73" s="710" t="s">
        <v>767</v>
      </c>
      <c r="R73" s="711">
        <v>0.4</v>
      </c>
      <c r="S73" s="41"/>
      <c r="T73" s="691">
        <v>68.0</v>
      </c>
      <c r="U73" s="40" t="s">
        <v>875</v>
      </c>
      <c r="V73" s="724">
        <v>3366.0</v>
      </c>
      <c r="W73" s="724">
        <v>4076.0</v>
      </c>
      <c r="X73" s="724">
        <v>11231.0</v>
      </c>
      <c r="Y73" s="725">
        <v>1.2458223E7</v>
      </c>
      <c r="Z73" s="691">
        <v>68.0</v>
      </c>
      <c r="AA73" s="504" t="s">
        <v>735</v>
      </c>
      <c r="AB73" s="724">
        <v>10.72</v>
      </c>
      <c r="AC73" s="726">
        <f t="shared" si="1"/>
        <v>3915.48</v>
      </c>
      <c r="AD73" s="724">
        <v>12556.0</v>
      </c>
      <c r="AE73" s="40">
        <v>0.77</v>
      </c>
      <c r="AF73" s="727">
        <v>0.002</v>
      </c>
      <c r="AG73" s="94" t="s">
        <v>1169</v>
      </c>
      <c r="AH73" s="728">
        <f>IFERROR(__xludf.DUMMYFUNCTION("$AH$4*(AVERAGE.WEIGHTED(IFERROR(INDEX(V:V,MATCH(AG73,U:U,0))/1,INDEX(AC:AC,MATCH(AG73,AA:AA,0))),$W$3,IFERROR(INDEX(AC:AC,MATCH(AG73,AA:AA,0))/1,INDEX(V:V,MATCH(AG73,U:U,0))),$AE$3))*INDEX(R:R,MATCH(AG73,Q:Q,0))"),1080.4068)</f>
        <v>1080.4068</v>
      </c>
      <c r="AI73" s="41"/>
      <c r="AK73" s="40">
        <v>108.0</v>
      </c>
      <c r="AL73" s="719" t="s">
        <v>1841</v>
      </c>
      <c r="AM73" s="720" t="s">
        <v>1842</v>
      </c>
      <c r="AN73" s="720" t="s">
        <v>1744</v>
      </c>
      <c r="AO73" s="722">
        <v>0.351</v>
      </c>
      <c r="AP73" s="722" t="s">
        <v>1843</v>
      </c>
    </row>
    <row r="74">
      <c r="A74" s="157" t="s">
        <v>757</v>
      </c>
      <c r="B74" s="157" t="s">
        <v>1269</v>
      </c>
      <c r="C74" s="706">
        <v>2021.0</v>
      </c>
      <c r="D74" s="707">
        <v>1328704.0</v>
      </c>
      <c r="E74" s="668"/>
      <c r="F74" s="157" t="s">
        <v>759</v>
      </c>
      <c r="G74" s="157" t="s">
        <v>1280</v>
      </c>
      <c r="H74" s="706">
        <v>2021.0</v>
      </c>
      <c r="I74" s="707">
        <v>32.383</v>
      </c>
      <c r="J74" s="706"/>
      <c r="K74" s="708" t="s">
        <v>693</v>
      </c>
      <c r="L74" s="157" t="s">
        <v>931</v>
      </c>
      <c r="M74" s="706">
        <v>2091.0</v>
      </c>
      <c r="N74" s="157"/>
      <c r="O74" s="707">
        <v>0.37</v>
      </c>
      <c r="P74" s="709"/>
      <c r="Q74" s="710" t="s">
        <v>768</v>
      </c>
      <c r="R74" s="711">
        <v>0.65</v>
      </c>
      <c r="S74" s="41"/>
      <c r="T74" s="691">
        <v>69.0</v>
      </c>
      <c r="U74" s="40" t="s">
        <v>812</v>
      </c>
      <c r="V74" s="724">
        <v>3315.0</v>
      </c>
      <c r="W74" s="724">
        <v>4929.0</v>
      </c>
      <c r="X74" s="724">
        <v>20944.0</v>
      </c>
      <c r="Y74" s="725">
        <v>1.28455567E8</v>
      </c>
      <c r="Z74" s="691">
        <v>69.0</v>
      </c>
      <c r="AA74" s="40" t="s">
        <v>750</v>
      </c>
      <c r="AB74" s="724">
        <v>10.63</v>
      </c>
      <c r="AC74" s="726">
        <f t="shared" si="1"/>
        <v>3882.6075</v>
      </c>
      <c r="AD74" s="724">
        <v>8604.0</v>
      </c>
      <c r="AE74" s="40">
        <v>0.77</v>
      </c>
      <c r="AF74" s="727">
        <v>0.0057</v>
      </c>
      <c r="AG74" s="40" t="s">
        <v>785</v>
      </c>
      <c r="AH74" s="728">
        <f>IFERROR(__xludf.DUMMYFUNCTION("$AH$4*(AVERAGE.WEIGHTED(IFERROR(INDEX(V:V,MATCH(AG74,U:U,0))/1,INDEX(AC:AC,MATCH(AG74,AA:AA,0))),$W$3,IFERROR(INDEX(AC:AC,MATCH(AG74,AA:AA,0))/1,INDEX(V:V,MATCH(AG74,U:U,0))),$AE$3))*INDEX(R:R,MATCH(AG74,Q:Q,0))"),3129.2331)</f>
        <v>3129.2331</v>
      </c>
      <c r="AI74" s="41"/>
      <c r="AK74" s="40">
        <v>64.0</v>
      </c>
      <c r="AL74" s="729" t="s">
        <v>1844</v>
      </c>
      <c r="AM74" s="729" t="s">
        <v>1845</v>
      </c>
      <c r="AN74" s="729" t="s">
        <v>1846</v>
      </c>
      <c r="AO74" s="730">
        <v>0.333</v>
      </c>
      <c r="AP74" s="730" t="s">
        <v>1847</v>
      </c>
    </row>
    <row r="75">
      <c r="A75" s="157" t="s">
        <v>758</v>
      </c>
      <c r="B75" s="157" t="s">
        <v>1273</v>
      </c>
      <c r="C75" s="706">
        <v>2021.0</v>
      </c>
      <c r="D75" s="707">
        <v>1192273.0</v>
      </c>
      <c r="E75" s="668"/>
      <c r="F75" s="157" t="s">
        <v>1848</v>
      </c>
      <c r="G75" s="157"/>
      <c r="H75" s="706">
        <v>2021.0</v>
      </c>
      <c r="I75" s="707">
        <v>9.241</v>
      </c>
      <c r="J75" s="706"/>
      <c r="K75" s="708" t="s">
        <v>693</v>
      </c>
      <c r="L75" s="157" t="s">
        <v>931</v>
      </c>
      <c r="M75" s="706">
        <v>2092.0</v>
      </c>
      <c r="N75" s="157"/>
      <c r="O75" s="707">
        <v>0.35</v>
      </c>
      <c r="P75" s="709"/>
      <c r="Q75" s="710" t="s">
        <v>769</v>
      </c>
      <c r="R75" s="711">
        <v>0.6</v>
      </c>
      <c r="S75" s="41"/>
      <c r="T75" s="691">
        <v>70.0</v>
      </c>
      <c r="U75" s="40" t="s">
        <v>454</v>
      </c>
      <c r="V75" s="724">
        <v>3259.0</v>
      </c>
      <c r="W75" s="724">
        <v>5201.0</v>
      </c>
      <c r="X75" s="724">
        <v>16012.0</v>
      </c>
      <c r="Y75" s="725">
        <v>5.2085168E7</v>
      </c>
      <c r="Z75" s="691">
        <v>70.0</v>
      </c>
      <c r="AA75" s="40" t="s">
        <v>814</v>
      </c>
      <c r="AB75" s="724">
        <v>10.52</v>
      </c>
      <c r="AC75" s="726">
        <f t="shared" si="1"/>
        <v>3842.43</v>
      </c>
      <c r="AD75" s="724">
        <v>5315.0</v>
      </c>
      <c r="AE75" s="40">
        <v>0.77</v>
      </c>
      <c r="AF75" s="727">
        <v>2.0E-4</v>
      </c>
      <c r="AG75" s="40" t="s">
        <v>786</v>
      </c>
      <c r="AH75" s="728">
        <f>IFERROR(__xludf.DUMMYFUNCTION("$AH$4*(AVERAGE.WEIGHTED(IFERROR(INDEX(V:V,MATCH(AG75,U:U,0))/1,INDEX(AC:AC,MATCH(AG75,AA:AA,0))),$W$3,IFERROR(INDEX(AC:AC,MATCH(AG75,AA:AA,0))/1,INDEX(V:V,MATCH(AG75,U:U,0))),$AE$3))*INDEX(R:R,MATCH(AG75,Q:Q,0))"),26598.73398)</f>
        <v>26598.73398</v>
      </c>
      <c r="AI75" s="41"/>
      <c r="AK75" s="40">
        <v>65.0</v>
      </c>
      <c r="AL75" s="732" t="s">
        <v>1849</v>
      </c>
      <c r="AM75" s="733" t="s">
        <v>1845</v>
      </c>
      <c r="AN75" s="733" t="s">
        <v>1846</v>
      </c>
      <c r="AO75" s="734">
        <v>0.333</v>
      </c>
      <c r="AP75" s="734" t="s">
        <v>1847</v>
      </c>
    </row>
    <row r="76">
      <c r="A76" s="157" t="s">
        <v>759</v>
      </c>
      <c r="B76" s="157" t="s">
        <v>1280</v>
      </c>
      <c r="C76" s="706">
        <v>2021.0</v>
      </c>
      <c r="D76" s="707">
        <v>1.20283024E8</v>
      </c>
      <c r="E76" s="668"/>
      <c r="F76" s="157" t="s">
        <v>1154</v>
      </c>
      <c r="G76" s="157" t="s">
        <v>1850</v>
      </c>
      <c r="H76" s="706">
        <v>2021.0</v>
      </c>
      <c r="I76" s="707">
        <v>11.299</v>
      </c>
      <c r="J76" s="706"/>
      <c r="K76" s="708" t="s">
        <v>693</v>
      </c>
      <c r="L76" s="157" t="s">
        <v>931</v>
      </c>
      <c r="M76" s="706">
        <v>2093.0</v>
      </c>
      <c r="N76" s="157"/>
      <c r="O76" s="707">
        <v>0.33</v>
      </c>
      <c r="P76" s="709"/>
      <c r="Q76" s="710" t="s">
        <v>770</v>
      </c>
      <c r="R76" s="711">
        <v>0.51</v>
      </c>
      <c r="S76" s="41"/>
      <c r="T76" s="691">
        <v>71.0</v>
      </c>
      <c r="U76" s="40" t="s">
        <v>709</v>
      </c>
      <c r="V76" s="724">
        <v>3193.0</v>
      </c>
      <c r="W76" s="724">
        <v>3851.0</v>
      </c>
      <c r="X76" s="724">
        <v>15041.0</v>
      </c>
      <c r="Y76" s="725">
        <v>1.0412651E7</v>
      </c>
      <c r="Z76" s="691">
        <v>71.0</v>
      </c>
      <c r="AA76" s="40" t="s">
        <v>788</v>
      </c>
      <c r="AB76" s="724">
        <v>10.42</v>
      </c>
      <c r="AC76" s="726">
        <f t="shared" si="1"/>
        <v>3805.905</v>
      </c>
      <c r="AD76" s="724">
        <v>10041.0</v>
      </c>
      <c r="AE76" s="40">
        <v>0.81</v>
      </c>
      <c r="AF76" s="727">
        <v>1.0E-4</v>
      </c>
      <c r="AG76" s="40" t="s">
        <v>787</v>
      </c>
      <c r="AH76" s="728">
        <f>IFERROR(__xludf.DUMMYFUNCTION("$AH$4*(AVERAGE.WEIGHTED(IFERROR(INDEX(V:V,MATCH(AG76,U:U,0))/1,INDEX(AC:AC,MATCH(AG76,AA:AA,0))),$W$3,IFERROR(INDEX(AC:AC,MATCH(AG76,AA:AA,0))/1,INDEX(V:V,MATCH(AG76,U:U,0))),$AE$3))*INDEX(R:R,MATCH(AG76,Q:Q,0))"),3093.8232000000003)</f>
        <v>3093.8232</v>
      </c>
      <c r="AI76" s="41"/>
      <c r="AK76" s="40">
        <v>66.0</v>
      </c>
      <c r="AL76" s="729" t="s">
        <v>1851</v>
      </c>
      <c r="AM76" s="729" t="s">
        <v>1845</v>
      </c>
      <c r="AN76" s="729" t="s">
        <v>1846</v>
      </c>
      <c r="AO76" s="730">
        <v>0.333</v>
      </c>
      <c r="AP76" s="730" t="s">
        <v>1847</v>
      </c>
    </row>
    <row r="77">
      <c r="A77" s="157" t="s">
        <v>900</v>
      </c>
      <c r="B77" s="157"/>
      <c r="C77" s="706">
        <v>2021.0</v>
      </c>
      <c r="D77" s="707">
        <v>7.46417727E8</v>
      </c>
      <c r="E77" s="668"/>
      <c r="F77" s="157" t="s">
        <v>1160</v>
      </c>
      <c r="G77" s="157" t="s">
        <v>1852</v>
      </c>
      <c r="H77" s="706">
        <v>2021.0</v>
      </c>
      <c r="I77" s="707">
        <v>15.383</v>
      </c>
      <c r="J77" s="706"/>
      <c r="K77" s="708" t="s">
        <v>693</v>
      </c>
      <c r="L77" s="157" t="s">
        <v>931</v>
      </c>
      <c r="M77" s="706">
        <v>2094.0</v>
      </c>
      <c r="N77" s="157"/>
      <c r="O77" s="707">
        <v>0.32</v>
      </c>
      <c r="P77" s="709"/>
      <c r="Q77" s="710" t="s">
        <v>771</v>
      </c>
      <c r="R77" s="711">
        <v>0.41</v>
      </c>
      <c r="S77" s="41"/>
      <c r="T77" s="691">
        <v>72.0</v>
      </c>
      <c r="U77" s="40" t="s">
        <v>787</v>
      </c>
      <c r="V77" s="724">
        <v>3185.0</v>
      </c>
      <c r="W77" s="724">
        <v>4025.0</v>
      </c>
      <c r="X77" s="724">
        <v>10517.0</v>
      </c>
      <c r="Y77" s="725">
        <v>1.1337052E7</v>
      </c>
      <c r="Z77" s="691">
        <v>72.0</v>
      </c>
      <c r="AA77" s="40" t="s">
        <v>780</v>
      </c>
      <c r="AB77" s="724">
        <v>10.31</v>
      </c>
      <c r="AC77" s="726">
        <f t="shared" si="1"/>
        <v>3765.7275</v>
      </c>
      <c r="AD77" s="736"/>
      <c r="AE77" s="40">
        <v>0.77</v>
      </c>
      <c r="AF77" s="727">
        <v>0.0074</v>
      </c>
      <c r="AG77" s="40" t="s">
        <v>788</v>
      </c>
      <c r="AH77" s="728">
        <f>IFERROR(__xludf.DUMMYFUNCTION("$AH$4*(AVERAGE.WEIGHTED(IFERROR(INDEX(V:V,MATCH(AG77,U:U,0))/1,INDEX(AC:AC,MATCH(AG77,AA:AA,0))),$W$3,IFERROR(INDEX(AC:AC,MATCH(AG77,AA:AA,0))/1,INDEX(V:V,MATCH(AG77,U:U,0))),$AE$3))*INDEX(R:R,MATCH(AG77,Q:Q,0))"),2677.65264)</f>
        <v>2677.65264</v>
      </c>
      <c r="AI77" s="41"/>
      <c r="AK77" s="40">
        <v>87.0</v>
      </c>
      <c r="AL77" s="732" t="s">
        <v>1853</v>
      </c>
      <c r="AM77" s="733" t="s">
        <v>1854</v>
      </c>
      <c r="AN77" s="733" t="s">
        <v>1855</v>
      </c>
      <c r="AO77" s="734">
        <v>0.325</v>
      </c>
      <c r="AP77" s="734" t="s">
        <v>1856</v>
      </c>
    </row>
    <row r="78">
      <c r="A78" s="157" t="s">
        <v>1848</v>
      </c>
      <c r="B78" s="157"/>
      <c r="C78" s="706">
        <v>2021.0</v>
      </c>
      <c r="D78" s="707">
        <v>7.4517376E8</v>
      </c>
      <c r="E78" s="668"/>
      <c r="F78" s="157" t="s">
        <v>760</v>
      </c>
      <c r="G78" s="157" t="s">
        <v>1286</v>
      </c>
      <c r="H78" s="706">
        <v>2021.0</v>
      </c>
      <c r="I78" s="707">
        <v>19.345</v>
      </c>
      <c r="J78" s="706"/>
      <c r="K78" s="708" t="s">
        <v>693</v>
      </c>
      <c r="L78" s="157" t="s">
        <v>931</v>
      </c>
      <c r="M78" s="706">
        <v>2095.0</v>
      </c>
      <c r="N78" s="157"/>
      <c r="O78" s="707">
        <v>0.3</v>
      </c>
      <c r="P78" s="709"/>
      <c r="Q78" s="742" t="s">
        <v>1360</v>
      </c>
      <c r="R78" s="711">
        <v>0.4</v>
      </c>
      <c r="S78" s="41"/>
      <c r="T78" s="691">
        <v>73.0</v>
      </c>
      <c r="U78" s="40" t="s">
        <v>888</v>
      </c>
      <c r="V78" s="724">
        <v>3149.0</v>
      </c>
      <c r="W78" s="724">
        <v>3881.0</v>
      </c>
      <c r="X78" s="724">
        <v>8397.0</v>
      </c>
      <c r="Y78" s="725">
        <v>9.885895E7</v>
      </c>
      <c r="Z78" s="691">
        <v>73.0</v>
      </c>
      <c r="AA78" s="40" t="s">
        <v>874</v>
      </c>
      <c r="AB78" s="724">
        <v>10.17</v>
      </c>
      <c r="AC78" s="726">
        <f t="shared" si="1"/>
        <v>3714.5925</v>
      </c>
      <c r="AD78" s="724">
        <v>15243.0</v>
      </c>
      <c r="AE78" s="40">
        <v>0.81</v>
      </c>
      <c r="AF78" s="727">
        <v>0.0028</v>
      </c>
      <c r="AG78" s="40" t="s">
        <v>789</v>
      </c>
      <c r="AH78" s="728">
        <f>IFERROR(__xludf.DUMMYFUNCTION("$AH$4*(AVERAGE.WEIGHTED(IFERROR(INDEX(V:V,MATCH(AG78,U:U,0))/1,INDEX(AC:AC,MATCH(AG78,AA:AA,0))),$W$3,IFERROR(INDEX(AC:AC,MATCH(AG78,AA:AA,0))/1,INDEX(V:V,MATCH(AG78,U:U,0))),$AE$3))*INDEX(R:R,MATCH(AG78,Q:Q,0))"),781.8480000000001)</f>
        <v>781.848</v>
      </c>
      <c r="AI78" s="41"/>
      <c r="AK78" s="40">
        <v>178.0</v>
      </c>
      <c r="AL78" s="729" t="s">
        <v>1857</v>
      </c>
      <c r="AM78" s="729" t="s">
        <v>1854</v>
      </c>
      <c r="AN78" s="729" t="s">
        <v>1855</v>
      </c>
      <c r="AO78" s="730">
        <v>0.325</v>
      </c>
      <c r="AP78" s="730" t="s">
        <v>1856</v>
      </c>
    </row>
    <row r="79">
      <c r="A79" s="158" t="s">
        <v>1858</v>
      </c>
      <c r="B79" s="157"/>
      <c r="C79" s="706">
        <v>2021.0</v>
      </c>
      <c r="D79" s="707">
        <v>4.45051201E8</v>
      </c>
      <c r="E79" s="668"/>
      <c r="F79" s="157" t="s">
        <v>761</v>
      </c>
      <c r="G79" s="157" t="s">
        <v>1292</v>
      </c>
      <c r="H79" s="706">
        <v>2021.0</v>
      </c>
      <c r="I79" s="707">
        <v>8.481</v>
      </c>
      <c r="J79" s="706"/>
      <c r="K79" s="708" t="s">
        <v>693</v>
      </c>
      <c r="L79" s="157" t="s">
        <v>931</v>
      </c>
      <c r="M79" s="706">
        <v>2096.0</v>
      </c>
      <c r="N79" s="157"/>
      <c r="O79" s="707">
        <v>0.28</v>
      </c>
      <c r="P79" s="709"/>
      <c r="Q79" s="710" t="s">
        <v>773</v>
      </c>
      <c r="R79" s="711">
        <v>0.42</v>
      </c>
      <c r="S79" s="41"/>
      <c r="T79" s="691">
        <v>74.0</v>
      </c>
      <c r="U79" s="40" t="s">
        <v>814</v>
      </c>
      <c r="V79" s="724">
        <v>3133.0</v>
      </c>
      <c r="W79" s="724">
        <v>3590.0</v>
      </c>
      <c r="X79" s="724">
        <v>13626.0</v>
      </c>
      <c r="Y79" s="725">
        <v>3435931.0</v>
      </c>
      <c r="Z79" s="691">
        <v>74.0</v>
      </c>
      <c r="AA79" s="40" t="s">
        <v>785</v>
      </c>
      <c r="AB79" s="724">
        <v>9.95</v>
      </c>
      <c r="AC79" s="726">
        <f t="shared" si="1"/>
        <v>3634.2375</v>
      </c>
      <c r="AD79" s="724">
        <v>4587.0</v>
      </c>
      <c r="AE79" s="40">
        <v>0.71</v>
      </c>
      <c r="AF79" s="727">
        <v>0.018</v>
      </c>
      <c r="AG79" s="40" t="s">
        <v>790</v>
      </c>
      <c r="AH79" s="728">
        <f>IFERROR(__xludf.DUMMYFUNCTION("$AH$4*(AVERAGE.WEIGHTED(IFERROR(INDEX(V:V,MATCH(AG79,U:U,0))/1,INDEX(AC:AC,MATCH(AG79,AA:AA,0))),$W$3,IFERROR(INDEX(AC:AC,MATCH(AG79,AA:AA,0))/1,INDEX(V:V,MATCH(AG79,U:U,0))),$AE$3))*INDEX(R:R,MATCH(AG79,Q:Q,0))"),2233.5)</f>
        <v>2233.5</v>
      </c>
      <c r="AI79" s="41"/>
      <c r="AK79" s="40">
        <v>45.0</v>
      </c>
      <c r="AL79" s="732" t="s">
        <v>1859</v>
      </c>
      <c r="AM79" s="733" t="s">
        <v>1860</v>
      </c>
      <c r="AN79" s="733" t="s">
        <v>1861</v>
      </c>
      <c r="AO79" s="734">
        <v>0.324</v>
      </c>
      <c r="AP79" s="734" t="s">
        <v>1862</v>
      </c>
    </row>
    <row r="80">
      <c r="A80" s="157" t="s">
        <v>1154</v>
      </c>
      <c r="B80" s="157" t="s">
        <v>1850</v>
      </c>
      <c r="C80" s="706">
        <v>2021.0</v>
      </c>
      <c r="D80" s="707">
        <v>3786.0</v>
      </c>
      <c r="E80" s="668"/>
      <c r="F80" s="157" t="s">
        <v>762</v>
      </c>
      <c r="G80" s="157" t="s">
        <v>1298</v>
      </c>
      <c r="H80" s="706">
        <v>2021.0</v>
      </c>
      <c r="I80" s="707">
        <v>10.496</v>
      </c>
      <c r="J80" s="706"/>
      <c r="K80" s="708" t="s">
        <v>693</v>
      </c>
      <c r="L80" s="157" t="s">
        <v>931</v>
      </c>
      <c r="M80" s="706">
        <v>2097.0</v>
      </c>
      <c r="N80" s="157"/>
      <c r="O80" s="707">
        <v>0.25</v>
      </c>
      <c r="P80" s="709"/>
      <c r="Q80" s="710" t="s">
        <v>774</v>
      </c>
      <c r="R80" s="711">
        <v>0.58</v>
      </c>
      <c r="S80" s="41"/>
      <c r="T80" s="691">
        <v>75.0</v>
      </c>
      <c r="U80" s="40" t="s">
        <v>754</v>
      </c>
      <c r="V80" s="724">
        <v>3095.0</v>
      </c>
      <c r="W80" s="724">
        <v>3989.0</v>
      </c>
      <c r="X80" s="724">
        <v>9164.0</v>
      </c>
      <c r="Y80" s="725">
        <v>6364943.0</v>
      </c>
      <c r="Z80" s="691">
        <v>75.0</v>
      </c>
      <c r="AA80" s="40" t="s">
        <v>754</v>
      </c>
      <c r="AB80" s="724">
        <v>9.89</v>
      </c>
      <c r="AC80" s="726">
        <f t="shared" si="1"/>
        <v>3612.3225</v>
      </c>
      <c r="AD80" s="724">
        <v>4409.0</v>
      </c>
      <c r="AE80" s="40">
        <v>0.68</v>
      </c>
      <c r="AF80" s="727">
        <v>0.0125</v>
      </c>
      <c r="AG80" s="40" t="s">
        <v>793</v>
      </c>
      <c r="AH80" s="728">
        <f>IFERROR(__xludf.DUMMYFUNCTION("$AH$4*(AVERAGE.WEIGHTED(IFERROR(INDEX(V:V,MATCH(AG80,U:U,0))/1,INDEX(AC:AC,MATCH(AG80,AA:AA,0))),$W$3,IFERROR(INDEX(AC:AC,MATCH(AG80,AA:AA,0))/1,INDEX(V:V,MATCH(AG80,U:U,0))),$AE$3))*INDEX(R:R,MATCH(AG80,Q:Q,0))"),925.6910399999999)</f>
        <v>925.69104</v>
      </c>
      <c r="AI80" s="41"/>
      <c r="AK80" s="40">
        <v>50.0</v>
      </c>
      <c r="AL80" s="729" t="s">
        <v>1863</v>
      </c>
      <c r="AM80" s="729" t="s">
        <v>1860</v>
      </c>
      <c r="AN80" s="729" t="s">
        <v>1861</v>
      </c>
      <c r="AO80" s="730">
        <v>0.324</v>
      </c>
      <c r="AP80" s="730" t="s">
        <v>1862</v>
      </c>
    </row>
    <row r="81">
      <c r="A81" s="157" t="s">
        <v>1160</v>
      </c>
      <c r="B81" s="157" t="s">
        <v>1852</v>
      </c>
      <c r="C81" s="706">
        <v>2021.0</v>
      </c>
      <c r="D81" s="707">
        <v>52915.0</v>
      </c>
      <c r="E81" s="668"/>
      <c r="F81" s="157" t="s">
        <v>1176</v>
      </c>
      <c r="G81" s="157" t="s">
        <v>1864</v>
      </c>
      <c r="H81" s="706">
        <v>2021.0</v>
      </c>
      <c r="I81" s="707">
        <v>25.249</v>
      </c>
      <c r="J81" s="706"/>
      <c r="K81" s="708" t="s">
        <v>693</v>
      </c>
      <c r="L81" s="157" t="s">
        <v>931</v>
      </c>
      <c r="M81" s="706">
        <v>2098.0</v>
      </c>
      <c r="N81" s="157"/>
      <c r="O81" s="707">
        <v>0.24</v>
      </c>
      <c r="P81" s="709"/>
      <c r="Q81" s="710" t="s">
        <v>775</v>
      </c>
      <c r="R81" s="711">
        <v>0.45</v>
      </c>
      <c r="S81" s="41"/>
      <c r="T81" s="691">
        <v>76.0</v>
      </c>
      <c r="U81" s="40" t="s">
        <v>785</v>
      </c>
      <c r="V81" s="724">
        <v>2899.0</v>
      </c>
      <c r="W81" s="724">
        <v>4429.0</v>
      </c>
      <c r="X81" s="724">
        <v>10193.0</v>
      </c>
      <c r="Y81" s="725">
        <v>2825544.0</v>
      </c>
      <c r="Z81" s="691">
        <v>76.0</v>
      </c>
      <c r="AA81" s="40" t="s">
        <v>763</v>
      </c>
      <c r="AB81" s="724">
        <v>9.67</v>
      </c>
      <c r="AC81" s="726">
        <f t="shared" si="1"/>
        <v>3531.9675</v>
      </c>
      <c r="AD81" s="724">
        <v>8017.0</v>
      </c>
      <c r="AE81" s="40">
        <v>0.71</v>
      </c>
      <c r="AF81" s="727">
        <v>0.0342</v>
      </c>
      <c r="AG81" s="40" t="s">
        <v>794</v>
      </c>
      <c r="AH81" s="728">
        <f>IFERROR(__xludf.DUMMYFUNCTION("$AH$4*(AVERAGE.WEIGHTED(IFERROR(INDEX(V:V,MATCH(AG81,U:U,0))/1,INDEX(AC:AC,MATCH(AG81,AA:AA,0))),$W$3,IFERROR(INDEX(AC:AC,MATCH(AG81,AA:AA,0))/1,INDEX(V:V,MATCH(AG81,U:U,0))),$AE$3))*INDEX(R:R,MATCH(AG81,Q:Q,0))"),773.9728799999999)</f>
        <v>773.97288</v>
      </c>
      <c r="AI81" s="41"/>
      <c r="AK81" s="40">
        <v>61.0</v>
      </c>
      <c r="AL81" s="732" t="s">
        <v>1865</v>
      </c>
      <c r="AM81" s="733" t="s">
        <v>1860</v>
      </c>
      <c r="AN81" s="733" t="s">
        <v>1861</v>
      </c>
      <c r="AO81" s="734">
        <v>0.324</v>
      </c>
      <c r="AP81" s="734" t="s">
        <v>1862</v>
      </c>
    </row>
    <row r="82">
      <c r="A82" s="157" t="s">
        <v>760</v>
      </c>
      <c r="B82" s="157" t="s">
        <v>1286</v>
      </c>
      <c r="C82" s="706">
        <v>2021.0</v>
      </c>
      <c r="D82" s="707">
        <v>924615.0</v>
      </c>
      <c r="E82" s="668"/>
      <c r="F82" s="157" t="s">
        <v>1182</v>
      </c>
      <c r="G82" s="157" t="s">
        <v>1866</v>
      </c>
      <c r="H82" s="706">
        <v>2021.0</v>
      </c>
      <c r="I82" s="707">
        <v>12.759</v>
      </c>
      <c r="J82" s="706"/>
      <c r="K82" s="708" t="s">
        <v>693</v>
      </c>
      <c r="L82" s="157" t="s">
        <v>931</v>
      </c>
      <c r="M82" s="706">
        <v>2099.0</v>
      </c>
      <c r="N82" s="157"/>
      <c r="O82" s="707">
        <v>0.22</v>
      </c>
      <c r="P82" s="709"/>
      <c r="Q82" s="710" t="s">
        <v>1477</v>
      </c>
      <c r="R82" s="711">
        <v>0.76</v>
      </c>
      <c r="S82" s="41"/>
      <c r="T82" s="691">
        <v>77.0</v>
      </c>
      <c r="U82" s="40" t="s">
        <v>1867</v>
      </c>
      <c r="V82" s="724">
        <v>2868.0</v>
      </c>
      <c r="W82" s="724">
        <v>3711.0</v>
      </c>
      <c r="X82" s="724">
        <v>27334.0</v>
      </c>
      <c r="Y82" s="725">
        <v>1534937.0</v>
      </c>
      <c r="Z82" s="691">
        <v>77.0</v>
      </c>
      <c r="AA82" s="40" t="s">
        <v>781</v>
      </c>
      <c r="AB82" s="724">
        <v>9.61</v>
      </c>
      <c r="AC82" s="726">
        <f t="shared" si="1"/>
        <v>3510.0525</v>
      </c>
      <c r="AD82" s="724">
        <v>5048.0</v>
      </c>
      <c r="AE82" s="40">
        <v>0.69</v>
      </c>
      <c r="AF82" s="727">
        <v>0.0126</v>
      </c>
      <c r="AG82" s="40" t="s">
        <v>795</v>
      </c>
      <c r="AH82" s="728">
        <f>IFERROR(__xludf.DUMMYFUNCTION("$AH$4*(AVERAGE.WEIGHTED(IFERROR(INDEX(V:V,MATCH(AG82,U:U,0))/1,INDEX(AC:AC,MATCH(AG82,AA:AA,0))),$W$3,IFERROR(INDEX(AC:AC,MATCH(AG82,AA:AA,0))/1,INDEX(V:V,MATCH(AG82,U:U,0))),$AE$3))*INDEX(R:R,MATCH(AG82,Q:Q,0))"),10462.2408)</f>
        <v>10462.2408</v>
      </c>
      <c r="AI82" s="41"/>
      <c r="AK82" s="40">
        <v>88.0</v>
      </c>
      <c r="AL82" s="729" t="s">
        <v>1868</v>
      </c>
      <c r="AM82" s="729" t="s">
        <v>1860</v>
      </c>
      <c r="AN82" s="729" t="s">
        <v>1861</v>
      </c>
      <c r="AO82" s="730">
        <v>0.324</v>
      </c>
      <c r="AP82" s="730" t="s">
        <v>1862</v>
      </c>
    </row>
    <row r="83">
      <c r="A83" s="157" t="s">
        <v>761</v>
      </c>
      <c r="B83" s="157" t="s">
        <v>1292</v>
      </c>
      <c r="C83" s="706">
        <v>2021.0</v>
      </c>
      <c r="D83" s="707">
        <v>5535982.0</v>
      </c>
      <c r="E83" s="668"/>
      <c r="F83" s="157" t="s">
        <v>763</v>
      </c>
      <c r="G83" s="157" t="s">
        <v>1305</v>
      </c>
      <c r="H83" s="706">
        <v>2021.0</v>
      </c>
      <c r="I83" s="707">
        <v>27.142</v>
      </c>
      <c r="J83" s="706"/>
      <c r="K83" s="708" t="s">
        <v>693</v>
      </c>
      <c r="L83" s="157" t="s">
        <v>931</v>
      </c>
      <c r="M83" s="706">
        <v>2100.0</v>
      </c>
      <c r="N83" s="157"/>
      <c r="O83" s="707">
        <v>0.2</v>
      </c>
      <c r="P83" s="709"/>
      <c r="Q83" s="710" t="s">
        <v>776</v>
      </c>
      <c r="R83" s="711">
        <v>0.51</v>
      </c>
      <c r="S83" s="41"/>
      <c r="T83" s="691">
        <v>78.0</v>
      </c>
      <c r="U83" s="40" t="s">
        <v>816</v>
      </c>
      <c r="V83" s="724">
        <v>2800.0</v>
      </c>
      <c r="W83" s="724">
        <v>3409.0</v>
      </c>
      <c r="X83" s="724">
        <v>12861.0</v>
      </c>
      <c r="Y83" s="725">
        <v>3447157.0</v>
      </c>
      <c r="Z83" s="691">
        <v>78.0</v>
      </c>
      <c r="AA83" s="40" t="s">
        <v>812</v>
      </c>
      <c r="AB83" s="724">
        <v>9.55</v>
      </c>
      <c r="AC83" s="726">
        <f t="shared" si="1"/>
        <v>3488.1375</v>
      </c>
      <c r="AD83" s="724">
        <v>9926.0</v>
      </c>
      <c r="AE83" s="40">
        <v>0.76</v>
      </c>
      <c r="AF83" s="727">
        <v>0.0174</v>
      </c>
      <c r="AG83" s="40" t="s">
        <v>796</v>
      </c>
      <c r="AH83" s="728">
        <f>IFERROR(__xludf.DUMMYFUNCTION("$AH$4*(AVERAGE.WEIGHTED(IFERROR(INDEX(V:V,MATCH(AG83,U:U,0))/1,INDEX(AC:AC,MATCH(AG83,AA:AA,0))),$W$3,IFERROR(INDEX(AC:AC,MATCH(AG83,AA:AA,0))/1,INDEX(V:V,MATCH(AG83,U:U,0))),$AE$3))*INDEX(R:R,MATCH(AG83,Q:Q,0))"),4897.13256)</f>
        <v>4897.13256</v>
      </c>
      <c r="AI83" s="41"/>
      <c r="AK83" s="40">
        <v>20.0</v>
      </c>
      <c r="AL83" s="719" t="s">
        <v>1869</v>
      </c>
      <c r="AM83" s="720" t="s">
        <v>1870</v>
      </c>
      <c r="AN83" s="720" t="s">
        <v>1744</v>
      </c>
      <c r="AO83" s="722">
        <v>0.312</v>
      </c>
      <c r="AP83" s="722" t="s">
        <v>1871</v>
      </c>
    </row>
    <row r="84">
      <c r="A84" s="157" t="s">
        <v>762</v>
      </c>
      <c r="B84" s="157" t="s">
        <v>1298</v>
      </c>
      <c r="C84" s="706">
        <v>2021.0</v>
      </c>
      <c r="D84" s="707">
        <v>6.4531448E7</v>
      </c>
      <c r="E84" s="668"/>
      <c r="F84" s="157" t="s">
        <v>764</v>
      </c>
      <c r="G84" s="157" t="s">
        <v>1311</v>
      </c>
      <c r="H84" s="706">
        <v>2021.0</v>
      </c>
      <c r="I84" s="707">
        <v>33.257</v>
      </c>
      <c r="J84" s="706"/>
      <c r="K84" s="743"/>
      <c r="L84" s="706"/>
      <c r="M84" s="706"/>
      <c r="N84" s="706"/>
      <c r="O84" s="707"/>
      <c r="P84" s="709"/>
      <c r="Q84" s="710" t="s">
        <v>777</v>
      </c>
      <c r="R84" s="711">
        <v>1.19</v>
      </c>
      <c r="S84" s="41"/>
      <c r="T84" s="691">
        <v>79.0</v>
      </c>
      <c r="U84" s="40" t="s">
        <v>873</v>
      </c>
      <c r="V84" s="724">
        <v>2782.0</v>
      </c>
      <c r="W84" s="724">
        <v>3677.0</v>
      </c>
      <c r="X84" s="724">
        <v>6665.0</v>
      </c>
      <c r="Y84" s="725">
        <v>107773.0</v>
      </c>
      <c r="Z84" s="691">
        <v>79.0</v>
      </c>
      <c r="AA84" s="40" t="s">
        <v>809</v>
      </c>
      <c r="AB84" s="724">
        <v>9.21</v>
      </c>
      <c r="AC84" s="726">
        <f t="shared" si="1"/>
        <v>3363.9525</v>
      </c>
      <c r="AD84" s="724">
        <v>4171.0</v>
      </c>
      <c r="AE84" s="40">
        <v>0.64</v>
      </c>
      <c r="AF84" s="61"/>
      <c r="AG84" s="40" t="s">
        <v>797</v>
      </c>
      <c r="AH84" s="728">
        <f>IFERROR(__xludf.DUMMYFUNCTION("$AH$4*(AVERAGE.WEIGHTED(IFERROR(INDEX(V:V,MATCH(AG84,U:U,0))/1,INDEX(AC:AC,MATCH(AG84,AA:AA,0))),$W$3,IFERROR(INDEX(AC:AC,MATCH(AG84,AA:AA,0))/1,INDEX(V:V,MATCH(AG84,U:U,0))),$AE$3))*INDEX(R:R,MATCH(AG84,Q:Q,0))"),1004.10504)</f>
        <v>1004.10504</v>
      </c>
      <c r="AI84" s="41"/>
      <c r="AK84" s="40">
        <v>67.0</v>
      </c>
      <c r="AL84" s="738" t="s">
        <v>1872</v>
      </c>
      <c r="AM84" s="738" t="s">
        <v>1873</v>
      </c>
      <c r="AN84" s="738" t="s">
        <v>1874</v>
      </c>
      <c r="AO84" s="739">
        <v>0.296</v>
      </c>
      <c r="AP84" s="739" t="s">
        <v>1875</v>
      </c>
    </row>
    <row r="85">
      <c r="A85" s="157" t="s">
        <v>1176</v>
      </c>
      <c r="B85" s="157" t="s">
        <v>1864</v>
      </c>
      <c r="C85" s="706">
        <v>2021.0</v>
      </c>
      <c r="D85" s="707">
        <v>297462.0</v>
      </c>
      <c r="E85" s="668"/>
      <c r="F85" s="157" t="s">
        <v>765</v>
      </c>
      <c r="G85" s="157" t="s">
        <v>1318</v>
      </c>
      <c r="H85" s="706">
        <v>2021.0</v>
      </c>
      <c r="I85" s="707">
        <v>13.412</v>
      </c>
      <c r="J85" s="706"/>
      <c r="K85" s="743"/>
      <c r="L85" s="706"/>
      <c r="M85" s="706"/>
      <c r="N85" s="706"/>
      <c r="O85" s="707"/>
      <c r="P85" s="709"/>
      <c r="Q85" s="710" t="s">
        <v>778</v>
      </c>
      <c r="R85" s="711">
        <v>0.31</v>
      </c>
      <c r="S85" s="41"/>
      <c r="T85" s="691">
        <v>80.0</v>
      </c>
      <c r="U85" s="40" t="s">
        <v>763</v>
      </c>
      <c r="V85" s="724">
        <v>2779.0</v>
      </c>
      <c r="W85" s="724">
        <v>3544.0</v>
      </c>
      <c r="X85" s="724">
        <v>15611.0</v>
      </c>
      <c r="Y85" s="725">
        <v>2436566.0</v>
      </c>
      <c r="Z85" s="691">
        <v>80.0</v>
      </c>
      <c r="AA85" s="40" t="s">
        <v>752</v>
      </c>
      <c r="AB85" s="724">
        <v>9.16</v>
      </c>
      <c r="AC85" s="726">
        <f t="shared" si="1"/>
        <v>3345.69</v>
      </c>
      <c r="AD85" s="724">
        <v>5935.0</v>
      </c>
      <c r="AE85" s="40">
        <v>0.74</v>
      </c>
      <c r="AF85" s="727">
        <v>0.0358</v>
      </c>
      <c r="AG85" s="40" t="s">
        <v>798</v>
      </c>
      <c r="AH85" s="728">
        <f>IFERROR(__xludf.DUMMYFUNCTION("$AH$4*(AVERAGE.WEIGHTED(IFERROR(INDEX(V:V,MATCH(AG85,U:U,0))/1,INDEX(AC:AC,MATCH(AG85,AA:AA,0))),$W$3,IFERROR(INDEX(AC:AC,MATCH(AG85,AA:AA,0))/1,INDEX(V:V,MATCH(AG85,U:U,0))),$AE$3))*INDEX(R:R,MATCH(AG85,Q:Q,0))"),778.0506)</f>
        <v>778.0506</v>
      </c>
      <c r="AI85" s="41"/>
      <c r="AK85" s="40">
        <v>70.0</v>
      </c>
      <c r="AL85" s="719" t="s">
        <v>1876</v>
      </c>
      <c r="AM85" s="720" t="s">
        <v>1873</v>
      </c>
      <c r="AN85" s="720" t="s">
        <v>1874</v>
      </c>
      <c r="AO85" s="722">
        <v>0.296</v>
      </c>
      <c r="AP85" s="722" t="s">
        <v>1875</v>
      </c>
    </row>
    <row r="86">
      <c r="A86" s="157" t="s">
        <v>1182</v>
      </c>
      <c r="B86" s="157" t="s">
        <v>1866</v>
      </c>
      <c r="C86" s="706">
        <v>2021.0</v>
      </c>
      <c r="D86" s="707">
        <v>304038.0</v>
      </c>
      <c r="E86" s="668"/>
      <c r="F86" s="157" t="s">
        <v>766</v>
      </c>
      <c r="G86" s="157" t="s">
        <v>1323</v>
      </c>
      <c r="H86" s="706">
        <v>2021.0</v>
      </c>
      <c r="I86" s="707">
        <v>9.167</v>
      </c>
      <c r="J86" s="706"/>
      <c r="K86" s="743"/>
      <c r="L86" s="706"/>
      <c r="M86" s="706"/>
      <c r="N86" s="706"/>
      <c r="O86" s="707"/>
      <c r="P86" s="709"/>
      <c r="Q86" s="710" t="s">
        <v>779</v>
      </c>
      <c r="R86" s="711">
        <v>0.33</v>
      </c>
      <c r="S86" s="41"/>
      <c r="T86" s="691">
        <v>81.0</v>
      </c>
      <c r="U86" s="40" t="s">
        <v>819</v>
      </c>
      <c r="V86" s="724">
        <v>2716.0</v>
      </c>
      <c r="W86" s="724">
        <v>3721.0</v>
      </c>
      <c r="X86" s="724">
        <v>7826.0</v>
      </c>
      <c r="Y86" s="725">
        <v>3.7840044E7</v>
      </c>
      <c r="Z86" s="691">
        <v>81.0</v>
      </c>
      <c r="AA86" s="40" t="s">
        <v>887</v>
      </c>
      <c r="AB86" s="724">
        <v>8.49</v>
      </c>
      <c r="AC86" s="726">
        <f t="shared" si="1"/>
        <v>3100.9725</v>
      </c>
      <c r="AD86" s="736"/>
      <c r="AE86" s="40">
        <v>0.69</v>
      </c>
      <c r="AF86" s="61"/>
      <c r="AG86" s="40" t="s">
        <v>801</v>
      </c>
      <c r="AH86" s="728">
        <f>IFERROR(__xludf.DUMMYFUNCTION("$AH$4*(AVERAGE.WEIGHTED(IFERROR(INDEX(V:V,MATCH(AG86,U:U,0))/1,INDEX(AC:AC,MATCH(AG86,AA:AA,0))),$W$3,IFERROR(INDEX(AC:AC,MATCH(AG86,AA:AA,0))/1,INDEX(V:V,MATCH(AG86,U:U,0))),$AE$3))*INDEX(R:R,MATCH(AG86,Q:Q,0))"),10391.6241)</f>
        <v>10391.6241</v>
      </c>
      <c r="AI86" s="41"/>
      <c r="AK86" s="40">
        <v>83.0</v>
      </c>
      <c r="AL86" s="738" t="s">
        <v>1877</v>
      </c>
      <c r="AM86" s="738" t="s">
        <v>1873</v>
      </c>
      <c r="AN86" s="738" t="s">
        <v>1874</v>
      </c>
      <c r="AO86" s="739">
        <v>0.296</v>
      </c>
      <c r="AP86" s="739" t="s">
        <v>1875</v>
      </c>
    </row>
    <row r="87">
      <c r="A87" s="157" t="s">
        <v>763</v>
      </c>
      <c r="B87" s="157" t="s">
        <v>1305</v>
      </c>
      <c r="C87" s="706">
        <v>2021.0</v>
      </c>
      <c r="D87" s="707">
        <v>2341185.0</v>
      </c>
      <c r="E87" s="668"/>
      <c r="F87" s="157" t="s">
        <v>767</v>
      </c>
      <c r="G87" s="157" t="s">
        <v>1329</v>
      </c>
      <c r="H87" s="706">
        <v>2021.0</v>
      </c>
      <c r="I87" s="707">
        <v>27.548</v>
      </c>
      <c r="J87" s="706"/>
      <c r="K87" s="743"/>
      <c r="L87" s="706"/>
      <c r="M87" s="706"/>
      <c r="N87" s="706"/>
      <c r="O87" s="707"/>
      <c r="P87" s="709"/>
      <c r="Q87" s="710" t="s">
        <v>780</v>
      </c>
      <c r="R87" s="711">
        <v>0.25</v>
      </c>
      <c r="S87" s="41"/>
      <c r="T87" s="691">
        <v>82.0</v>
      </c>
      <c r="U87" s="40" t="s">
        <v>887</v>
      </c>
      <c r="V87" s="724">
        <v>2710.0</v>
      </c>
      <c r="W87" s="724">
        <v>3741.0</v>
      </c>
      <c r="X87" s="724">
        <v>17527.0</v>
      </c>
      <c r="Y87" s="725">
        <v>2.8838499E7</v>
      </c>
      <c r="Z87" s="691">
        <v>82.0</v>
      </c>
      <c r="AA87" s="40" t="s">
        <v>720</v>
      </c>
      <c r="AB87" s="724">
        <v>8.26</v>
      </c>
      <c r="AC87" s="726">
        <f t="shared" si="1"/>
        <v>3016.965</v>
      </c>
      <c r="AD87" s="736"/>
      <c r="AE87" s="40">
        <v>0.67</v>
      </c>
      <c r="AF87" s="727">
        <v>0.0066</v>
      </c>
      <c r="AG87" s="40" t="s">
        <v>802</v>
      </c>
      <c r="AH87" s="728">
        <f>IFERROR(__xludf.DUMMYFUNCTION("$AH$4*(AVERAGE.WEIGHTED(IFERROR(INDEX(V:V,MATCH(AG87,U:U,0))/1,INDEX(AC:AC,MATCH(AG87,AA:AA,0))),$W$3,IFERROR(INDEX(AC:AC,MATCH(AG87,AA:AA,0))/1,INDEX(V:V,MATCH(AG87,U:U,0))),$AE$3))*INDEX(R:R,MATCH(AG87,Q:Q,0))"),52406.128560000005)</f>
        <v>52406.12856</v>
      </c>
      <c r="AI87" s="41"/>
      <c r="AK87" s="40">
        <v>19.0</v>
      </c>
      <c r="AL87" s="732" t="s">
        <v>1878</v>
      </c>
      <c r="AM87" s="733" t="s">
        <v>1879</v>
      </c>
      <c r="AN87" s="733" t="s">
        <v>1744</v>
      </c>
      <c r="AO87" s="734">
        <v>0.277</v>
      </c>
      <c r="AP87" s="734" t="s">
        <v>1880</v>
      </c>
    </row>
    <row r="88">
      <c r="A88" s="157" t="s">
        <v>764</v>
      </c>
      <c r="B88" s="157" t="s">
        <v>1311</v>
      </c>
      <c r="C88" s="706">
        <v>2021.0</v>
      </c>
      <c r="D88" s="707">
        <v>2639922.0</v>
      </c>
      <c r="E88" s="668"/>
      <c r="F88" s="157" t="s">
        <v>1194</v>
      </c>
      <c r="G88" s="157" t="s">
        <v>1881</v>
      </c>
      <c r="H88" s="706">
        <v>2021.0</v>
      </c>
      <c r="I88" s="707">
        <v>10.714</v>
      </c>
      <c r="J88" s="706"/>
      <c r="K88" s="743"/>
      <c r="L88" s="706"/>
      <c r="M88" s="706"/>
      <c r="N88" s="706"/>
      <c r="O88" s="707"/>
      <c r="P88" s="709"/>
      <c r="Q88" s="710" t="s">
        <v>781</v>
      </c>
      <c r="R88" s="711">
        <v>0.49</v>
      </c>
      <c r="S88" s="41"/>
      <c r="T88" s="691">
        <v>83.0</v>
      </c>
      <c r="U88" s="40" t="s">
        <v>827</v>
      </c>
      <c r="V88" s="724">
        <v>2697.0</v>
      </c>
      <c r="W88" s="724">
        <v>3913.0</v>
      </c>
      <c r="X88" s="724">
        <v>5646.0</v>
      </c>
      <c r="Y88" s="725">
        <v>7046310.0</v>
      </c>
      <c r="Z88" s="691">
        <v>83.0</v>
      </c>
      <c r="AA88" s="40" t="s">
        <v>865</v>
      </c>
      <c r="AB88" s="724">
        <v>8.14</v>
      </c>
      <c r="AC88" s="726">
        <f t="shared" si="1"/>
        <v>2973.135</v>
      </c>
      <c r="AD88" s="724">
        <v>4836.0</v>
      </c>
      <c r="AE88" s="40">
        <v>0.73</v>
      </c>
      <c r="AF88" s="61"/>
      <c r="AG88" s="40" t="s">
        <v>803</v>
      </c>
      <c r="AH88" s="728">
        <f>IFERROR(__xludf.DUMMYFUNCTION("$AH$4*(AVERAGE.WEIGHTED(IFERROR(INDEX(V:V,MATCH(AG88,U:U,0))/1,INDEX(AC:AC,MATCH(AG88,AA:AA,0))),$W$3,IFERROR(INDEX(AC:AC,MATCH(AG88,AA:AA,0))/1,INDEX(V:V,MATCH(AG88,U:U,0))),$AE$3))*INDEX(R:R,MATCH(AG88,Q:Q,0))"),249.50784000000002)</f>
        <v>249.50784</v>
      </c>
      <c r="AI88" s="41"/>
      <c r="AK88" s="40">
        <v>13.0</v>
      </c>
      <c r="AL88" s="738" t="s">
        <v>1882</v>
      </c>
      <c r="AM88" s="738" t="s">
        <v>1883</v>
      </c>
      <c r="AN88" s="738" t="s">
        <v>1884</v>
      </c>
      <c r="AO88" s="739">
        <v>0.274</v>
      </c>
      <c r="AP88" s="739" t="s">
        <v>1885</v>
      </c>
    </row>
    <row r="89">
      <c r="A89" s="157" t="s">
        <v>765</v>
      </c>
      <c r="B89" s="157" t="s">
        <v>1318</v>
      </c>
      <c r="C89" s="706">
        <v>2021.0</v>
      </c>
      <c r="D89" s="707">
        <v>3757984.0</v>
      </c>
      <c r="E89" s="668"/>
      <c r="F89" s="157" t="s">
        <v>768</v>
      </c>
      <c r="G89" s="157" t="s">
        <v>1335</v>
      </c>
      <c r="H89" s="706">
        <v>2021.0</v>
      </c>
      <c r="I89" s="707">
        <v>7.565</v>
      </c>
      <c r="J89" s="706"/>
      <c r="K89" s="743"/>
      <c r="L89" s="706"/>
      <c r="M89" s="706"/>
      <c r="N89" s="706"/>
      <c r="O89" s="707"/>
      <c r="P89" s="709"/>
      <c r="Q89" s="710" t="s">
        <v>782</v>
      </c>
      <c r="R89" s="711">
        <v>0.93</v>
      </c>
      <c r="S89" s="41"/>
      <c r="T89" s="691">
        <v>84.0</v>
      </c>
      <c r="U89" s="40" t="s">
        <v>697</v>
      </c>
      <c r="V89" s="724">
        <v>2612.0</v>
      </c>
      <c r="W89" s="724">
        <v>2996.0</v>
      </c>
      <c r="X89" s="724">
        <v>12019.0</v>
      </c>
      <c r="Y89" s="725">
        <v>4.560648E7</v>
      </c>
      <c r="Z89" s="691">
        <v>84.0</v>
      </c>
      <c r="AA89" s="40" t="s">
        <v>791</v>
      </c>
      <c r="AB89" s="724">
        <v>8.11</v>
      </c>
      <c r="AC89" s="726">
        <f t="shared" si="1"/>
        <v>2962.1775</v>
      </c>
      <c r="AD89" s="736"/>
      <c r="AF89" s="61"/>
      <c r="AG89" s="40" t="s">
        <v>804</v>
      </c>
      <c r="AH89" s="728">
        <f>IFERROR(__xludf.DUMMYFUNCTION("$AH$4*(AVERAGE.WEIGHTED(IFERROR(INDEX(V:V,MATCH(AG89,U:U,0))/1,INDEX(AC:AC,MATCH(AG89,AA:AA,0))),$W$3,IFERROR(INDEX(AC:AC,MATCH(AG89,AA:AA,0))/1,INDEX(V:V,MATCH(AG89,U:U,0))),$AE$3))*INDEX(R:R,MATCH(AG89,Q:Q,0))"),400.86774)</f>
        <v>400.86774</v>
      </c>
      <c r="AI89" s="41"/>
      <c r="AK89" s="40">
        <v>142.0</v>
      </c>
      <c r="AL89" s="719" t="s">
        <v>1886</v>
      </c>
      <c r="AM89" s="720" t="s">
        <v>1887</v>
      </c>
      <c r="AN89" s="720" t="s">
        <v>1744</v>
      </c>
      <c r="AO89" s="722">
        <v>0.262</v>
      </c>
      <c r="AP89" s="722" t="s">
        <v>1888</v>
      </c>
    </row>
    <row r="90">
      <c r="A90" s="157" t="s">
        <v>766</v>
      </c>
      <c r="B90" s="157" t="s">
        <v>1323</v>
      </c>
      <c r="C90" s="706">
        <v>2021.0</v>
      </c>
      <c r="D90" s="707">
        <v>8.340856E7</v>
      </c>
      <c r="E90" s="668"/>
      <c r="F90" s="157" t="s">
        <v>1200</v>
      </c>
      <c r="G90" s="157" t="s">
        <v>1889</v>
      </c>
      <c r="H90" s="706">
        <v>2021.0</v>
      </c>
      <c r="I90" s="707">
        <v>14.388</v>
      </c>
      <c r="J90" s="706"/>
      <c r="K90" s="743"/>
      <c r="L90" s="706"/>
      <c r="M90" s="706"/>
      <c r="N90" s="706"/>
      <c r="O90" s="707"/>
      <c r="P90" s="709"/>
      <c r="Q90" s="710" t="s">
        <v>783</v>
      </c>
      <c r="R90" s="711">
        <v>1.18</v>
      </c>
      <c r="S90" s="41"/>
      <c r="T90" s="691">
        <v>85.0</v>
      </c>
      <c r="U90" s="40" t="s">
        <v>696</v>
      </c>
      <c r="V90" s="724">
        <v>2578.0</v>
      </c>
      <c r="W90" s="724">
        <v>3141.0</v>
      </c>
      <c r="X90" s="724">
        <v>14648.0</v>
      </c>
      <c r="Y90" s="725">
        <v>2832439.0</v>
      </c>
      <c r="Z90" s="691">
        <v>85.0</v>
      </c>
      <c r="AA90" s="40" t="s">
        <v>816</v>
      </c>
      <c r="AB90" s="724">
        <v>8.1</v>
      </c>
      <c r="AC90" s="726">
        <f t="shared" si="1"/>
        <v>2958.525</v>
      </c>
      <c r="AD90" s="724">
        <v>4535.0</v>
      </c>
      <c r="AE90" s="40">
        <v>0.74</v>
      </c>
      <c r="AF90" s="727">
        <v>0.0024</v>
      </c>
      <c r="AG90" s="40" t="s">
        <v>805</v>
      </c>
      <c r="AH90" s="728">
        <f>IFERROR(__xludf.DUMMYFUNCTION("$AH$4*(AVERAGE.WEIGHTED(IFERROR(INDEX(V:V,MATCH(AG90,U:U,0))/1,INDEX(AC:AC,MATCH(AG90,AA:AA,0))),$W$3,IFERROR(INDEX(AC:AC,MATCH(AG90,AA:AA,0))/1,INDEX(V:V,MATCH(AG90,U:U,0))),$AE$3))*INDEX(R:R,MATCH(AG90,Q:Q,0))"),5826.07032)</f>
        <v>5826.07032</v>
      </c>
      <c r="AI90" s="41"/>
      <c r="AK90" s="40">
        <v>86.0</v>
      </c>
      <c r="AL90" s="729" t="s">
        <v>1890</v>
      </c>
      <c r="AM90" s="729" t="s">
        <v>1891</v>
      </c>
      <c r="AN90" s="729" t="s">
        <v>1892</v>
      </c>
      <c r="AO90" s="730">
        <v>0.247</v>
      </c>
      <c r="AP90" s="730" t="s">
        <v>1893</v>
      </c>
    </row>
    <row r="91">
      <c r="A91" s="157" t="s">
        <v>767</v>
      </c>
      <c r="B91" s="157" t="s">
        <v>1329</v>
      </c>
      <c r="C91" s="706">
        <v>2021.0</v>
      </c>
      <c r="D91" s="707">
        <v>3.2833036E7</v>
      </c>
      <c r="E91" s="668"/>
      <c r="F91" s="157" t="s">
        <v>769</v>
      </c>
      <c r="G91" s="157" t="s">
        <v>1342</v>
      </c>
      <c r="H91" s="706">
        <v>2021.0</v>
      </c>
      <c r="I91" s="707">
        <v>15.961</v>
      </c>
      <c r="J91" s="706"/>
      <c r="K91" s="743"/>
      <c r="L91" s="706"/>
      <c r="M91" s="706"/>
      <c r="N91" s="706"/>
      <c r="O91" s="707"/>
      <c r="P91" s="709"/>
      <c r="Q91" s="710" t="s">
        <v>784</v>
      </c>
      <c r="R91" s="711">
        <v>0.77</v>
      </c>
      <c r="S91" s="41"/>
      <c r="T91" s="691">
        <v>86.0</v>
      </c>
      <c r="U91" s="40" t="s">
        <v>847</v>
      </c>
      <c r="V91" s="724">
        <v>2537.0</v>
      </c>
      <c r="W91" s="724">
        <v>3418.0</v>
      </c>
      <c r="X91" s="724">
        <v>6795.0</v>
      </c>
      <c r="Y91" s="725">
        <v>225681.0</v>
      </c>
      <c r="Z91" s="691">
        <v>86.0</v>
      </c>
      <c r="AA91" s="40" t="s">
        <v>827</v>
      </c>
      <c r="AB91" s="724">
        <v>8.07</v>
      </c>
      <c r="AC91" s="726">
        <f t="shared" si="1"/>
        <v>2947.5675</v>
      </c>
      <c r="AD91" s="724">
        <v>2091.0</v>
      </c>
      <c r="AE91" s="40">
        <v>0.67</v>
      </c>
      <c r="AF91" s="727">
        <v>0.0345</v>
      </c>
      <c r="AG91" s="40" t="s">
        <v>806</v>
      </c>
      <c r="AH91" s="728">
        <f>IFERROR(__xludf.DUMMYFUNCTION("$AH$4*(AVERAGE.WEIGHTED(IFERROR(INDEX(V:V,MATCH(AG91,U:U,0))/1,INDEX(AC:AC,MATCH(AG91,AA:AA,0))),$W$3,IFERROR(INDEX(AC:AC,MATCH(AG91,AA:AA,0))/1,INDEX(V:V,MATCH(AG91,U:U,0))),$AE$3))*INDEX(R:R,MATCH(AG91,Q:Q,0))"),5558.1630000000005)</f>
        <v>5558.163</v>
      </c>
      <c r="AI91" s="41"/>
      <c r="AK91" s="40">
        <v>35.0</v>
      </c>
      <c r="AL91" s="732" t="s">
        <v>1894</v>
      </c>
      <c r="AM91" s="733" t="s">
        <v>1895</v>
      </c>
      <c r="AN91" s="733" t="s">
        <v>1744</v>
      </c>
      <c r="AO91" s="734">
        <v>0.243</v>
      </c>
      <c r="AP91" s="734" t="s">
        <v>1896</v>
      </c>
    </row>
    <row r="92">
      <c r="A92" s="157" t="s">
        <v>1194</v>
      </c>
      <c r="B92" s="157" t="s">
        <v>1881</v>
      </c>
      <c r="C92" s="706">
        <v>2021.0</v>
      </c>
      <c r="D92" s="707">
        <v>32698.0</v>
      </c>
      <c r="E92" s="668"/>
      <c r="F92" s="157" t="s">
        <v>1206</v>
      </c>
      <c r="G92" s="157" t="s">
        <v>1897</v>
      </c>
      <c r="H92" s="706">
        <v>2021.0</v>
      </c>
      <c r="I92" s="707">
        <v>11.268</v>
      </c>
      <c r="J92" s="706"/>
      <c r="K92" s="743"/>
      <c r="L92" s="706"/>
      <c r="M92" s="706"/>
      <c r="N92" s="706"/>
      <c r="O92" s="707"/>
      <c r="P92" s="709"/>
      <c r="Q92" s="710" t="s">
        <v>785</v>
      </c>
      <c r="R92" s="711">
        <v>0.49</v>
      </c>
      <c r="S92" s="41"/>
      <c r="T92" s="691">
        <v>87.0</v>
      </c>
      <c r="U92" s="40" t="s">
        <v>760</v>
      </c>
      <c r="V92" s="724">
        <v>2460.0</v>
      </c>
      <c r="W92" s="724">
        <v>3261.0</v>
      </c>
      <c r="X92" s="724">
        <v>14289.0</v>
      </c>
      <c r="Y92" s="725">
        <v>936375.0</v>
      </c>
      <c r="Z92" s="691">
        <v>87.0</v>
      </c>
      <c r="AA92" s="40" t="s">
        <v>709</v>
      </c>
      <c r="AB92" s="724">
        <v>8.06</v>
      </c>
      <c r="AC92" s="726">
        <f t="shared" si="1"/>
        <v>2943.915</v>
      </c>
      <c r="AD92" s="724">
        <v>5384.0</v>
      </c>
      <c r="AE92" s="40">
        <v>0.75</v>
      </c>
      <c r="AF92" s="61"/>
      <c r="AG92" s="40" t="s">
        <v>807</v>
      </c>
      <c r="AH92" s="728">
        <f>IFERROR(__xludf.DUMMYFUNCTION("$AH$4*(AVERAGE.WEIGHTED(IFERROR(INDEX(V:V,MATCH(AG92,U:U,0))/1,INDEX(AC:AC,MATCH(AG92,AA:AA,0))),$W$3,IFERROR(INDEX(AC:AC,MATCH(AG92,AA:AA,0))/1,INDEX(V:V,MATCH(AG92,U:U,0))),$AE$3))*INDEX(R:R,MATCH(AG92,Q:Q,0))"),733.90008)</f>
        <v>733.90008</v>
      </c>
      <c r="AI92" s="41"/>
      <c r="AK92" s="40">
        <v>99.0</v>
      </c>
      <c r="AL92" s="738" t="s">
        <v>1898</v>
      </c>
      <c r="AM92" s="738" t="s">
        <v>1899</v>
      </c>
      <c r="AN92" s="738" t="s">
        <v>1744</v>
      </c>
      <c r="AO92" s="739">
        <v>0.236</v>
      </c>
      <c r="AP92" s="739" t="s">
        <v>1900</v>
      </c>
    </row>
    <row r="93">
      <c r="A93" s="157" t="s">
        <v>768</v>
      </c>
      <c r="B93" s="157" t="s">
        <v>1335</v>
      </c>
      <c r="C93" s="706">
        <v>2021.0</v>
      </c>
      <c r="D93" s="707">
        <v>1.0445368E7</v>
      </c>
      <c r="E93" s="668"/>
      <c r="F93" s="157" t="s">
        <v>1212</v>
      </c>
      <c r="G93" s="157" t="s">
        <v>1901</v>
      </c>
      <c r="H93" s="706">
        <v>2021.0</v>
      </c>
      <c r="I93" s="707">
        <v>16.376</v>
      </c>
      <c r="J93" s="706"/>
      <c r="K93" s="743"/>
      <c r="L93" s="706"/>
      <c r="M93" s="706"/>
      <c r="N93" s="706"/>
      <c r="O93" s="707"/>
      <c r="P93" s="709"/>
      <c r="Q93" s="710" t="s">
        <v>786</v>
      </c>
      <c r="R93" s="711">
        <v>0.91</v>
      </c>
      <c r="S93" s="41"/>
      <c r="T93" s="691">
        <v>88.0</v>
      </c>
      <c r="U93" s="40" t="s">
        <v>720</v>
      </c>
      <c r="V93" s="724">
        <v>2446.0</v>
      </c>
      <c r="W93" s="724">
        <v>3189.0</v>
      </c>
      <c r="X93" s="724">
        <v>12355.0</v>
      </c>
      <c r="Y93" s="725">
        <v>787424.0</v>
      </c>
      <c r="Z93" s="691">
        <v>88.0</v>
      </c>
      <c r="AA93" s="40" t="s">
        <v>697</v>
      </c>
      <c r="AB93" s="724">
        <v>8.04</v>
      </c>
      <c r="AC93" s="726">
        <f t="shared" si="1"/>
        <v>2936.61</v>
      </c>
      <c r="AD93" s="724">
        <v>3765.0</v>
      </c>
      <c r="AE93" s="40">
        <v>0.75</v>
      </c>
      <c r="AF93" s="727">
        <v>0.0032</v>
      </c>
      <c r="AG93" s="40" t="s">
        <v>808</v>
      </c>
      <c r="AH93" s="728">
        <f>IFERROR(__xludf.DUMMYFUNCTION("$AH$4*(AVERAGE.WEIGHTED(IFERROR(INDEX(V:V,MATCH(AG93,U:U,0))/1,INDEX(AC:AC,MATCH(AG93,AA:AA,0))),$W$3,IFERROR(INDEX(AC:AC,MATCH(AG93,AA:AA,0))/1,INDEX(V:V,MATCH(AG93,U:U,0))),$AE$3))*INDEX(R:R,MATCH(AG93,Q:Q,0))"),21257.562779999997)</f>
        <v>21257.56278</v>
      </c>
      <c r="AI93" s="41"/>
      <c r="AK93" s="40">
        <v>159.0</v>
      </c>
      <c r="AL93" s="732" t="s">
        <v>1902</v>
      </c>
      <c r="AM93" s="733" t="s">
        <v>1903</v>
      </c>
      <c r="AN93" s="733" t="s">
        <v>1904</v>
      </c>
      <c r="AO93" s="734">
        <v>0.224</v>
      </c>
      <c r="AP93" s="734" t="s">
        <v>1905</v>
      </c>
    </row>
    <row r="94">
      <c r="A94" s="157" t="s">
        <v>1200</v>
      </c>
      <c r="B94" s="157" t="s">
        <v>1889</v>
      </c>
      <c r="C94" s="706">
        <v>2021.0</v>
      </c>
      <c r="D94" s="707">
        <v>56266.0</v>
      </c>
      <c r="E94" s="668"/>
      <c r="F94" s="157" t="s">
        <v>770</v>
      </c>
      <c r="G94" s="157" t="s">
        <v>1348</v>
      </c>
      <c r="H94" s="706">
        <v>2021.0</v>
      </c>
      <c r="I94" s="707">
        <v>21.12</v>
      </c>
      <c r="J94" s="706"/>
      <c r="K94" s="743"/>
      <c r="L94" s="706"/>
      <c r="M94" s="706"/>
      <c r="N94" s="706"/>
      <c r="O94" s="707"/>
      <c r="P94" s="709"/>
      <c r="Q94" s="710" t="s">
        <v>787</v>
      </c>
      <c r="R94" s="711">
        <v>0.4</v>
      </c>
      <c r="S94" s="41"/>
      <c r="T94" s="691">
        <v>89.0</v>
      </c>
      <c r="U94" s="40" t="s">
        <v>863</v>
      </c>
      <c r="V94" s="724">
        <v>2277.0</v>
      </c>
      <c r="W94" s="724">
        <v>3162.0</v>
      </c>
      <c r="X94" s="724">
        <v>13656.0</v>
      </c>
      <c r="Y94" s="725">
        <v>2.1893579E7</v>
      </c>
      <c r="Z94" s="691">
        <v>89.0</v>
      </c>
      <c r="AA94" s="40" t="s">
        <v>838</v>
      </c>
      <c r="AB94" s="724">
        <v>7.93</v>
      </c>
      <c r="AC94" s="726">
        <f t="shared" si="1"/>
        <v>2896.4325</v>
      </c>
      <c r="AD94" s="724">
        <v>6692.0</v>
      </c>
      <c r="AE94" s="40">
        <v>0.76</v>
      </c>
      <c r="AF94" s="727">
        <v>0.0219</v>
      </c>
      <c r="AG94" s="40" t="s">
        <v>810</v>
      </c>
      <c r="AH94" s="728">
        <f>IFERROR(__xludf.DUMMYFUNCTION("$AH$4*(AVERAGE.WEIGHTED(IFERROR(INDEX(V:V,MATCH(AG94,U:U,0))/1,INDEX(AC:AC,MATCH(AG94,AA:AA,0))),$W$3,IFERROR(INDEX(AC:AC,MATCH(AG94,AA:AA,0))/1,INDEX(V:V,MATCH(AG94,U:U,0))),$AE$3))*INDEX(R:R,MATCH(AG94,Q:Q,0))"),1354.4442)</f>
        <v>1354.4442</v>
      </c>
      <c r="AI94" s="41"/>
      <c r="AK94" s="40">
        <v>28.0</v>
      </c>
      <c r="AL94" s="729" t="s">
        <v>1906</v>
      </c>
      <c r="AM94" s="729" t="s">
        <v>1907</v>
      </c>
      <c r="AN94" s="729" t="s">
        <v>1744</v>
      </c>
      <c r="AO94" s="730">
        <v>0.215</v>
      </c>
      <c r="AP94" s="730" t="s">
        <v>1908</v>
      </c>
    </row>
    <row r="95">
      <c r="A95" s="157" t="s">
        <v>769</v>
      </c>
      <c r="B95" s="157" t="s">
        <v>1342</v>
      </c>
      <c r="C95" s="706">
        <v>2021.0</v>
      </c>
      <c r="D95" s="707">
        <v>124624.0</v>
      </c>
      <c r="E95" s="668"/>
      <c r="F95" s="157" t="s">
        <v>1034</v>
      </c>
      <c r="G95" s="157" t="s">
        <v>1909</v>
      </c>
      <c r="H95" s="706">
        <v>2021.0</v>
      </c>
      <c r="I95" s="707">
        <v>9.734</v>
      </c>
      <c r="J95" s="706"/>
      <c r="K95" s="743"/>
      <c r="L95" s="706"/>
      <c r="M95" s="706"/>
      <c r="N95" s="706"/>
      <c r="O95" s="707"/>
      <c r="P95" s="709"/>
      <c r="Q95" s="710" t="s">
        <v>788</v>
      </c>
      <c r="R95" s="711">
        <v>0.36</v>
      </c>
      <c r="S95" s="41"/>
      <c r="T95" s="691">
        <v>90.0</v>
      </c>
      <c r="U95" s="40" t="s">
        <v>765</v>
      </c>
      <c r="V95" s="724">
        <v>2273.0</v>
      </c>
      <c r="W95" s="724">
        <v>2814.0</v>
      </c>
      <c r="X95" s="724">
        <v>15655.0</v>
      </c>
      <c r="Y95" s="725">
        <v>3728282.0</v>
      </c>
      <c r="Z95" s="691">
        <v>90.0</v>
      </c>
      <c r="AA95" s="40" t="s">
        <v>454</v>
      </c>
      <c r="AB95" s="724">
        <v>7.8</v>
      </c>
      <c r="AC95" s="726">
        <f t="shared" si="1"/>
        <v>2848.95</v>
      </c>
      <c r="AD95" s="724">
        <v>6131.0</v>
      </c>
      <c r="AE95" s="40">
        <v>0.75</v>
      </c>
      <c r="AF95" s="727">
        <v>0.0494</v>
      </c>
      <c r="AG95" s="40" t="s">
        <v>811</v>
      </c>
      <c r="AH95" s="728">
        <f>IFERROR(__xludf.DUMMYFUNCTION("$AH$4*(AVERAGE.WEIGHTED(IFERROR(INDEX(V:V,MATCH(AG95,U:U,0))/1,INDEX(AC:AC,MATCH(AG95,AA:AA,0))),$W$3,IFERROR(INDEX(AC:AC,MATCH(AG95,AA:AA,0))/1,INDEX(V:V,MATCH(AG95,U:U,0))),$AE$3))*INDEX(R:R,MATCH(AG95,Q:Q,0))"),3327.2424)</f>
        <v>3327.2424</v>
      </c>
      <c r="AI95" s="41"/>
      <c r="AK95" s="40">
        <v>33.0</v>
      </c>
      <c r="AL95" s="732" t="s">
        <v>1910</v>
      </c>
      <c r="AM95" s="733" t="s">
        <v>1911</v>
      </c>
      <c r="AN95" s="733" t="s">
        <v>1912</v>
      </c>
      <c r="AO95" s="734">
        <v>0.203</v>
      </c>
      <c r="AP95" s="734" t="s">
        <v>1913</v>
      </c>
    </row>
    <row r="96">
      <c r="A96" s="157" t="s">
        <v>1206</v>
      </c>
      <c r="B96" s="157" t="s">
        <v>1897</v>
      </c>
      <c r="C96" s="706">
        <v>2021.0</v>
      </c>
      <c r="D96" s="707">
        <v>396057.0</v>
      </c>
      <c r="E96" s="668"/>
      <c r="F96" s="157" t="s">
        <v>771</v>
      </c>
      <c r="G96" s="157" t="s">
        <v>1352</v>
      </c>
      <c r="H96" s="706">
        <v>2021.0</v>
      </c>
      <c r="I96" s="707">
        <v>34.425</v>
      </c>
      <c r="J96" s="706"/>
      <c r="K96" s="743"/>
      <c r="L96" s="706"/>
      <c r="M96" s="706"/>
      <c r="N96" s="706"/>
      <c r="O96" s="707"/>
      <c r="P96" s="709"/>
      <c r="Q96" s="710" t="s">
        <v>789</v>
      </c>
      <c r="R96" s="711">
        <v>0.4</v>
      </c>
      <c r="S96" s="41"/>
      <c r="T96" s="691">
        <v>91.0</v>
      </c>
      <c r="U96" s="40" t="s">
        <v>703</v>
      </c>
      <c r="V96" s="724">
        <v>2216.0</v>
      </c>
      <c r="W96" s="724">
        <v>2810.0</v>
      </c>
      <c r="X96" s="724">
        <v>14257.0</v>
      </c>
      <c r="Y96" s="725">
        <v>2777970.0</v>
      </c>
      <c r="Z96" s="691">
        <v>91.0</v>
      </c>
      <c r="AA96" s="40" t="s">
        <v>819</v>
      </c>
      <c r="AB96" s="724">
        <v>7.71</v>
      </c>
      <c r="AC96" s="726">
        <f t="shared" si="1"/>
        <v>2816.0775</v>
      </c>
      <c r="AD96" s="724">
        <v>3497.0</v>
      </c>
      <c r="AE96" s="40">
        <v>0.68</v>
      </c>
      <c r="AF96" s="727">
        <v>0.006</v>
      </c>
      <c r="AG96" s="40" t="s">
        <v>812</v>
      </c>
      <c r="AH96" s="728">
        <f>IFERROR(__xludf.DUMMYFUNCTION("$AH$4*(AVERAGE.WEIGHTED(IFERROR(INDEX(V:V,MATCH(AG96,U:U,0))/1,INDEX(AC:AC,MATCH(AG96,AA:AA,0))),$W$3,IFERROR(INDEX(AC:AC,MATCH(AG96,AA:AA,0))/1,INDEX(V:V,MATCH(AG96,U:U,0))),$AE$3))*INDEX(R:R,MATCH(AG96,Q:Q,0))"),3384.255)</f>
        <v>3384.255</v>
      </c>
      <c r="AI96" s="41"/>
      <c r="AK96" s="40">
        <v>148.0</v>
      </c>
      <c r="AL96" s="729" t="s">
        <v>1914</v>
      </c>
      <c r="AM96" s="729" t="s">
        <v>1915</v>
      </c>
      <c r="AN96" s="729" t="s">
        <v>1744</v>
      </c>
      <c r="AO96" s="730">
        <v>0.192</v>
      </c>
      <c r="AP96" s="730" t="s">
        <v>1916</v>
      </c>
    </row>
    <row r="97">
      <c r="A97" s="157" t="s">
        <v>1212</v>
      </c>
      <c r="B97" s="157" t="s">
        <v>1901</v>
      </c>
      <c r="C97" s="706">
        <v>2021.0</v>
      </c>
      <c r="D97" s="707">
        <v>170546.0</v>
      </c>
      <c r="E97" s="668"/>
      <c r="F97" s="157" t="s">
        <v>772</v>
      </c>
      <c r="G97" s="157" t="s">
        <v>1359</v>
      </c>
      <c r="H97" s="706">
        <v>2021.0</v>
      </c>
      <c r="I97" s="707">
        <v>31.087</v>
      </c>
      <c r="J97" s="706"/>
      <c r="K97" s="743"/>
      <c r="L97" s="706"/>
      <c r="M97" s="706"/>
      <c r="N97" s="706"/>
      <c r="O97" s="707"/>
      <c r="P97" s="709"/>
      <c r="Q97" s="710" t="s">
        <v>790</v>
      </c>
      <c r="R97" s="711">
        <v>0.75</v>
      </c>
      <c r="S97" s="41"/>
      <c r="T97" s="691">
        <v>92.0</v>
      </c>
      <c r="U97" s="40" t="s">
        <v>878</v>
      </c>
      <c r="V97" s="724">
        <v>2099.0</v>
      </c>
      <c r="W97" s="724">
        <v>2802.0</v>
      </c>
      <c r="X97" s="724">
        <v>4470.0</v>
      </c>
      <c r="Y97" s="725">
        <v>11396.0</v>
      </c>
      <c r="Z97" s="691">
        <v>92.0</v>
      </c>
      <c r="AA97" s="40" t="s">
        <v>868</v>
      </c>
      <c r="AB97" s="724">
        <v>6.95</v>
      </c>
      <c r="AC97" s="726">
        <f t="shared" si="1"/>
        <v>2538.4875</v>
      </c>
      <c r="AD97" s="736"/>
      <c r="AE97" s="40">
        <v>0.58</v>
      </c>
      <c r="AF97" s="727">
        <v>0.3457</v>
      </c>
      <c r="AG97" s="40" t="s">
        <v>1512</v>
      </c>
      <c r="AH97" s="728">
        <f>IFERROR(__xludf.DUMMYFUNCTION("$AH$4*(AVERAGE.WEIGHTED(IFERROR(INDEX(V:V,MATCH(AG97,U:U,0))/1,INDEX(AC:AC,MATCH(AG97,AA:AA,0))),$W$3,IFERROR(INDEX(AC:AC,MATCH(AG97,AA:AA,0))/1,INDEX(V:V,MATCH(AG97,U:U,0))),$AE$3))*INDEX(R:R,MATCH(AG97,Q:Q,0))"),2872.97388)</f>
        <v>2872.97388</v>
      </c>
      <c r="AI97" s="41"/>
      <c r="AK97" s="40">
        <v>85.0</v>
      </c>
      <c r="AL97" s="732" t="s">
        <v>1917</v>
      </c>
      <c r="AM97" s="733" t="s">
        <v>1918</v>
      </c>
      <c r="AN97" s="733" t="s">
        <v>1919</v>
      </c>
      <c r="AO97" s="734">
        <v>0.188</v>
      </c>
      <c r="AP97" s="734" t="s">
        <v>1920</v>
      </c>
    </row>
    <row r="98">
      <c r="A98" s="157" t="s">
        <v>770</v>
      </c>
      <c r="B98" s="157" t="s">
        <v>1348</v>
      </c>
      <c r="C98" s="706">
        <v>2021.0</v>
      </c>
      <c r="D98" s="707">
        <v>1.7608484E7</v>
      </c>
      <c r="E98" s="668"/>
      <c r="F98" s="157" t="s">
        <v>773</v>
      </c>
      <c r="G98" s="157" t="s">
        <v>1367</v>
      </c>
      <c r="H98" s="706">
        <v>2021.0</v>
      </c>
      <c r="I98" s="707">
        <v>20.298</v>
      </c>
      <c r="J98" s="706"/>
      <c r="K98" s="743"/>
      <c r="L98" s="706"/>
      <c r="M98" s="706"/>
      <c r="N98" s="706"/>
      <c r="O98" s="707"/>
      <c r="P98" s="709"/>
      <c r="Q98" s="710" t="s">
        <v>791</v>
      </c>
      <c r="R98" s="711">
        <v>0.4</v>
      </c>
      <c r="S98" s="41"/>
      <c r="T98" s="691">
        <v>93.0</v>
      </c>
      <c r="U98" s="40" t="s">
        <v>770</v>
      </c>
      <c r="V98" s="724">
        <v>2036.0</v>
      </c>
      <c r="W98" s="724">
        <v>3103.0</v>
      </c>
      <c r="X98" s="724">
        <v>9019.0</v>
      </c>
      <c r="Y98" s="725">
        <v>1.8092026E7</v>
      </c>
      <c r="Z98" s="691">
        <v>93.0</v>
      </c>
      <c r="AA98" s="40" t="s">
        <v>775</v>
      </c>
      <c r="AB98" s="724">
        <v>6.93</v>
      </c>
      <c r="AC98" s="726">
        <f t="shared" si="1"/>
        <v>2531.1825</v>
      </c>
      <c r="AD98" s="724">
        <v>2831.0</v>
      </c>
      <c r="AE98" s="40">
        <v>0.62</v>
      </c>
      <c r="AF98" s="727">
        <v>0.1478</v>
      </c>
      <c r="AG98" s="40" t="s">
        <v>814</v>
      </c>
      <c r="AH98" s="728">
        <f>IFERROR(__xludf.DUMMYFUNCTION("$AH$4*(AVERAGE.WEIGHTED(IFERROR(INDEX(V:V,MATCH(AG98,U:U,0))/1,INDEX(AC:AC,MATCH(AG98,AA:AA,0))),$W$3,IFERROR(INDEX(AC:AC,MATCH(AG98,AA:AA,0))/1,INDEX(V:V,MATCH(AG98,U:U,0))),$AE$3))*INDEX(R:R,MATCH(AG98,Q:Q,0))"),2323.4049600000003)</f>
        <v>2323.40496</v>
      </c>
      <c r="AI98" s="41"/>
      <c r="AK98" s="40">
        <v>82.0</v>
      </c>
      <c r="AL98" s="729" t="s">
        <v>1921</v>
      </c>
      <c r="AM98" s="729" t="s">
        <v>1922</v>
      </c>
      <c r="AN98" s="744"/>
      <c r="AO98" s="730">
        <v>0.179</v>
      </c>
      <c r="AP98" s="730" t="s">
        <v>1923</v>
      </c>
    </row>
    <row r="99">
      <c r="A99" s="157" t="s">
        <v>1034</v>
      </c>
      <c r="B99" s="157" t="s">
        <v>1909</v>
      </c>
      <c r="C99" s="706">
        <v>2021.0</v>
      </c>
      <c r="D99" s="707">
        <v>63092.0</v>
      </c>
      <c r="E99" s="668"/>
      <c r="F99" s="157" t="s">
        <v>774</v>
      </c>
      <c r="G99" s="157" t="s">
        <v>1373</v>
      </c>
      <c r="H99" s="706">
        <v>2021.0</v>
      </c>
      <c r="I99" s="707">
        <v>23.498</v>
      </c>
      <c r="J99" s="706"/>
      <c r="K99" s="743"/>
      <c r="L99" s="706"/>
      <c r="M99" s="706"/>
      <c r="N99" s="706"/>
      <c r="O99" s="707"/>
      <c r="P99" s="709"/>
      <c r="Q99" s="710" t="s">
        <v>792</v>
      </c>
      <c r="R99" s="711">
        <v>0.52</v>
      </c>
      <c r="S99" s="41"/>
      <c r="T99" s="691">
        <v>94.0</v>
      </c>
      <c r="U99" s="40" t="s">
        <v>773</v>
      </c>
      <c r="V99" s="724">
        <v>2003.0</v>
      </c>
      <c r="W99" s="724">
        <v>2729.0</v>
      </c>
      <c r="X99" s="724">
        <v>13661.0</v>
      </c>
      <c r="Y99" s="725">
        <v>813834.0</v>
      </c>
      <c r="Z99" s="691">
        <v>94.0</v>
      </c>
      <c r="AA99" s="40" t="s">
        <v>823</v>
      </c>
      <c r="AB99" s="724">
        <v>6.68</v>
      </c>
      <c r="AC99" s="726">
        <f t="shared" si="1"/>
        <v>2439.87</v>
      </c>
      <c r="AD99" s="724">
        <v>12252.0</v>
      </c>
      <c r="AF99" s="61"/>
      <c r="AG99" s="40" t="s">
        <v>816</v>
      </c>
      <c r="AH99" s="728">
        <f>IFERROR(__xludf.DUMMYFUNCTION("$AH$4*(AVERAGE.WEIGHTED(IFERROR(INDEX(V:V,MATCH(AG99,U:U,0))/1,INDEX(AC:AC,MATCH(AG99,AA:AA,0))),$W$3,IFERROR(INDEX(AC:AC,MATCH(AG99,AA:AA,0))/1,INDEX(V:V,MATCH(AG99,U:U,0))),$AE$3))*INDEX(R:R,MATCH(AG99,Q:Q,0))"),2061.6551999999997)</f>
        <v>2061.6552</v>
      </c>
      <c r="AI99" s="41"/>
      <c r="AK99" s="40">
        <v>162.0</v>
      </c>
      <c r="AL99" s="719" t="s">
        <v>1924</v>
      </c>
      <c r="AM99" s="720" t="s">
        <v>1925</v>
      </c>
      <c r="AN99" s="720" t="s">
        <v>1926</v>
      </c>
      <c r="AO99" s="722">
        <v>0.179</v>
      </c>
      <c r="AP99" s="722" t="s">
        <v>1927</v>
      </c>
    </row>
    <row r="100">
      <c r="A100" s="157" t="s">
        <v>771</v>
      </c>
      <c r="B100" s="157" t="s">
        <v>1352</v>
      </c>
      <c r="C100" s="706">
        <v>2021.0</v>
      </c>
      <c r="D100" s="707">
        <v>1.3531909E7</v>
      </c>
      <c r="E100" s="668"/>
      <c r="F100" s="158" t="s">
        <v>1928</v>
      </c>
      <c r="G100" s="157"/>
      <c r="H100" s="706">
        <v>2021.0</v>
      </c>
      <c r="I100" s="707">
        <v>9.79</v>
      </c>
      <c r="J100" s="706"/>
      <c r="K100" s="743"/>
      <c r="L100" s="706"/>
      <c r="M100" s="706"/>
      <c r="N100" s="706"/>
      <c r="O100" s="707"/>
      <c r="P100" s="709"/>
      <c r="Q100" s="710" t="s">
        <v>793</v>
      </c>
      <c r="R100" s="711">
        <v>0.24</v>
      </c>
      <c r="S100" s="41"/>
      <c r="T100" s="691">
        <v>95.0</v>
      </c>
      <c r="U100" s="40" t="s">
        <v>868</v>
      </c>
      <c r="V100" s="724">
        <v>1996.0</v>
      </c>
      <c r="W100" s="724">
        <v>2606.0</v>
      </c>
      <c r="X100" s="724"/>
      <c r="Y100" s="725">
        <v>2.3227014E7</v>
      </c>
      <c r="Z100" s="691">
        <v>95.0</v>
      </c>
      <c r="AA100" s="40" t="s">
        <v>760</v>
      </c>
      <c r="AB100" s="724">
        <v>6.64</v>
      </c>
      <c r="AC100" s="726">
        <f t="shared" si="1"/>
        <v>2425.26</v>
      </c>
      <c r="AD100" s="724">
        <v>5086.0</v>
      </c>
      <c r="AE100" s="40">
        <v>0.73</v>
      </c>
      <c r="AF100" s="727">
        <v>0.0021</v>
      </c>
      <c r="AG100" s="40" t="s">
        <v>817</v>
      </c>
      <c r="AH100" s="728">
        <f>IFERROR(__xludf.DUMMYFUNCTION("$AH$4*(AVERAGE.WEIGHTED(IFERROR(INDEX(V:V,MATCH(AG100,U:U,0))/1,INDEX(AC:AC,MATCH(AG100,AA:AA,0))),$W$3,IFERROR(INDEX(AC:AC,MATCH(AG100,AA:AA,0))/1,INDEX(V:V,MATCH(AG100,U:U,0))),$AE$3))*INDEX(R:R,MATCH(AG100,Q:Q,0))"),3814.46124)</f>
        <v>3814.46124</v>
      </c>
      <c r="AI100" s="41"/>
      <c r="AK100" s="40">
        <v>141.0</v>
      </c>
      <c r="AL100" s="738" t="s">
        <v>1929</v>
      </c>
      <c r="AM100" s="738" t="s">
        <v>1930</v>
      </c>
      <c r="AN100" s="738" t="s">
        <v>1744</v>
      </c>
      <c r="AO100" s="739">
        <v>0.178</v>
      </c>
      <c r="AP100" s="739" t="s">
        <v>1931</v>
      </c>
    </row>
    <row r="101">
      <c r="A101" s="157" t="s">
        <v>772</v>
      </c>
      <c r="B101" s="157" t="s">
        <v>1359</v>
      </c>
      <c r="C101" s="706">
        <v>2021.0</v>
      </c>
      <c r="D101" s="707">
        <v>2060730.0</v>
      </c>
      <c r="E101" s="668"/>
      <c r="F101" s="157" t="s">
        <v>775</v>
      </c>
      <c r="G101" s="157" t="s">
        <v>1378</v>
      </c>
      <c r="H101" s="706">
        <v>2021.0</v>
      </c>
      <c r="I101" s="707">
        <v>21.071</v>
      </c>
      <c r="J101" s="706"/>
      <c r="K101" s="743"/>
      <c r="L101" s="706"/>
      <c r="M101" s="706"/>
      <c r="N101" s="706"/>
      <c r="O101" s="707"/>
      <c r="P101" s="709"/>
      <c r="Q101" s="710" t="s">
        <v>794</v>
      </c>
      <c r="R101" s="711">
        <v>0.29</v>
      </c>
      <c r="S101" s="41"/>
      <c r="T101" s="691">
        <v>96.0</v>
      </c>
      <c r="U101" s="40" t="s">
        <v>870</v>
      </c>
      <c r="V101" s="724">
        <v>1994.0</v>
      </c>
      <c r="W101" s="724">
        <v>2437.0</v>
      </c>
      <c r="X101" s="724">
        <v>3529.0</v>
      </c>
      <c r="Y101" s="725">
        <v>1.0143543E7</v>
      </c>
      <c r="Z101" s="691">
        <v>96.0</v>
      </c>
      <c r="AA101" s="40" t="s">
        <v>703</v>
      </c>
      <c r="AB101" s="724">
        <v>6.62</v>
      </c>
      <c r="AC101" s="726">
        <f t="shared" si="1"/>
        <v>2417.955</v>
      </c>
      <c r="AD101" s="724">
        <v>4670.0</v>
      </c>
      <c r="AE101" s="40">
        <v>0.76</v>
      </c>
      <c r="AF101" s="727">
        <v>0.0108</v>
      </c>
      <c r="AG101" s="40" t="s">
        <v>819</v>
      </c>
      <c r="AH101" s="728">
        <f>IFERROR(__xludf.DUMMYFUNCTION("$AH$4*(AVERAGE.WEIGHTED(IFERROR(INDEX(V:V,MATCH(AG101,U:U,0))/1,INDEX(AC:AC,MATCH(AG101,AA:AA,0))),$W$3,IFERROR(INDEX(AC:AC,MATCH(AG101,AA:AA,0))/1,INDEX(V:V,MATCH(AG101,U:U,0))),$AE$3))*INDEX(R:R,MATCH(AG101,Q:Q,0))"),2370.18666)</f>
        <v>2370.18666</v>
      </c>
      <c r="AI101" s="41"/>
      <c r="AK101" s="40">
        <v>18.0</v>
      </c>
      <c r="AL101" s="719" t="s">
        <v>1932</v>
      </c>
      <c r="AM101" s="720" t="s">
        <v>1933</v>
      </c>
      <c r="AN101" s="721"/>
      <c r="AO101" s="722">
        <v>0.159</v>
      </c>
      <c r="AP101" s="722" t="s">
        <v>1934</v>
      </c>
    </row>
    <row r="102">
      <c r="A102" s="157" t="s">
        <v>773</v>
      </c>
      <c r="B102" s="157" t="s">
        <v>1367</v>
      </c>
      <c r="C102" s="706">
        <v>2021.0</v>
      </c>
      <c r="D102" s="707">
        <v>804571.0</v>
      </c>
      <c r="E102" s="668"/>
      <c r="F102" s="157" t="s">
        <v>1477</v>
      </c>
      <c r="G102" s="157" t="s">
        <v>1935</v>
      </c>
      <c r="H102" s="706">
        <v>2021.0</v>
      </c>
      <c r="I102" s="707">
        <v>5.727</v>
      </c>
      <c r="J102" s="706"/>
      <c r="K102" s="743"/>
      <c r="L102" s="706"/>
      <c r="M102" s="706"/>
      <c r="N102" s="706"/>
      <c r="O102" s="707"/>
      <c r="P102" s="709"/>
      <c r="Q102" s="710" t="s">
        <v>795</v>
      </c>
      <c r="R102" s="711">
        <v>0.6</v>
      </c>
      <c r="S102" s="41"/>
      <c r="T102" s="691">
        <v>97.0</v>
      </c>
      <c r="U102" s="40" t="s">
        <v>822</v>
      </c>
      <c r="V102" s="724">
        <v>1962.0</v>
      </c>
      <c r="W102" s="724">
        <v>4023.0</v>
      </c>
      <c r="X102" s="724">
        <v>10063.0</v>
      </c>
      <c r="Y102" s="725">
        <v>2604172.0</v>
      </c>
      <c r="Z102" s="691">
        <v>97.0</v>
      </c>
      <c r="AA102" s="40" t="s">
        <v>863</v>
      </c>
      <c r="AB102" s="724">
        <v>6.59</v>
      </c>
      <c r="AC102" s="726">
        <f t="shared" si="1"/>
        <v>2406.9975</v>
      </c>
      <c r="AD102" s="724">
        <v>3815.0</v>
      </c>
      <c r="AE102" s="40">
        <v>0.78</v>
      </c>
      <c r="AF102" s="727">
        <v>0.0057</v>
      </c>
      <c r="AG102" s="40" t="s">
        <v>820</v>
      </c>
      <c r="AH102" s="728">
        <f>IFERROR(__xludf.DUMMYFUNCTION("$AH$4*(AVERAGE.WEIGHTED(IFERROR(INDEX(V:V,MATCH(AG102,U:U,0))/1,INDEX(AC:AC,MATCH(AG102,AA:AA,0))),$W$3,IFERROR(INDEX(AC:AC,MATCH(AG102,AA:AA,0))/1,INDEX(V:V,MATCH(AG102,U:U,0))),$AE$3))*INDEX(R:R,MATCH(AG102,Q:Q,0))"),396.8352)</f>
        <v>396.8352</v>
      </c>
      <c r="AI102" s="41"/>
      <c r="AK102" s="40">
        <v>145.0</v>
      </c>
      <c r="AL102" s="738" t="s">
        <v>1936</v>
      </c>
      <c r="AM102" s="738" t="s">
        <v>1937</v>
      </c>
      <c r="AN102" s="738" t="s">
        <v>1744</v>
      </c>
      <c r="AO102" s="739">
        <v>0.154</v>
      </c>
      <c r="AP102" s="739" t="s">
        <v>1938</v>
      </c>
    </row>
    <row r="103">
      <c r="A103" s="157" t="s">
        <v>774</v>
      </c>
      <c r="B103" s="157" t="s">
        <v>1373</v>
      </c>
      <c r="C103" s="706">
        <v>2021.0</v>
      </c>
      <c r="D103" s="707">
        <v>1.1447575E7</v>
      </c>
      <c r="E103" s="668"/>
      <c r="F103" s="157" t="s">
        <v>776</v>
      </c>
      <c r="G103" s="157" t="s">
        <v>1382</v>
      </c>
      <c r="H103" s="706">
        <v>2021.0</v>
      </c>
      <c r="I103" s="707">
        <v>9.474</v>
      </c>
      <c r="J103" s="706"/>
      <c r="K103" s="743"/>
      <c r="L103" s="706"/>
      <c r="M103" s="706"/>
      <c r="N103" s="706"/>
      <c r="O103" s="707"/>
      <c r="P103" s="709"/>
      <c r="Q103" s="710" t="s">
        <v>796</v>
      </c>
      <c r="R103" s="711">
        <v>0.29</v>
      </c>
      <c r="S103" s="41"/>
      <c r="T103" s="691">
        <v>98.0</v>
      </c>
      <c r="U103" s="40" t="s">
        <v>775</v>
      </c>
      <c r="V103" s="724">
        <v>1959.0</v>
      </c>
      <c r="W103" s="724">
        <v>3109.0</v>
      </c>
      <c r="X103" s="724">
        <v>5981.0</v>
      </c>
      <c r="Y103" s="725">
        <v>1.0593798E7</v>
      </c>
      <c r="Z103" s="691">
        <v>98.0</v>
      </c>
      <c r="AA103" s="40" t="s">
        <v>770</v>
      </c>
      <c r="AB103" s="724">
        <v>6.17</v>
      </c>
      <c r="AC103" s="726">
        <f t="shared" si="1"/>
        <v>2253.5925</v>
      </c>
      <c r="AD103" s="724">
        <v>5026.0</v>
      </c>
      <c r="AE103" s="40">
        <v>0.63</v>
      </c>
      <c r="AF103" s="727">
        <v>0.0664</v>
      </c>
      <c r="AG103" s="40" t="s">
        <v>821</v>
      </c>
      <c r="AH103" s="728">
        <f>IFERROR(__xludf.DUMMYFUNCTION("$AH$4*(AVERAGE.WEIGHTED(IFERROR(INDEX(V:V,MATCH(AG103,U:U,0))/1,INDEX(AC:AC,MATCH(AG103,AA:AA,0))),$W$3,IFERROR(INDEX(AC:AC,MATCH(AG103,AA:AA,0))/1,INDEX(V:V,MATCH(AG103,U:U,0))),$AE$3))*INDEX(R:R,MATCH(AG103,Q:Q,0))"),1050.06618)</f>
        <v>1050.06618</v>
      </c>
      <c r="AI103" s="41"/>
      <c r="AK103" s="40">
        <v>153.0</v>
      </c>
      <c r="AL103" s="732" t="s">
        <v>1939</v>
      </c>
      <c r="AM103" s="733" t="s">
        <v>1940</v>
      </c>
      <c r="AN103" s="733" t="s">
        <v>1941</v>
      </c>
      <c r="AO103" s="734">
        <v>0.149</v>
      </c>
      <c r="AP103" s="734" t="s">
        <v>1942</v>
      </c>
    </row>
    <row r="104">
      <c r="A104" s="158" t="s">
        <v>1928</v>
      </c>
      <c r="B104" s="157"/>
      <c r="C104" s="706">
        <v>2021.0</v>
      </c>
      <c r="D104" s="707">
        <v>1.219584303E9</v>
      </c>
      <c r="E104" s="668"/>
      <c r="F104" s="157" t="s">
        <v>777</v>
      </c>
      <c r="G104" s="157" t="s">
        <v>1385</v>
      </c>
      <c r="H104" s="706">
        <v>2021.0</v>
      </c>
      <c r="I104" s="707">
        <v>12.356</v>
      </c>
      <c r="J104" s="706"/>
      <c r="K104" s="743"/>
      <c r="L104" s="706"/>
      <c r="M104" s="706"/>
      <c r="N104" s="706"/>
      <c r="O104" s="707"/>
      <c r="P104" s="709"/>
      <c r="Q104" s="710" t="s">
        <v>797</v>
      </c>
      <c r="R104" s="711">
        <v>0.43</v>
      </c>
      <c r="S104" s="41"/>
      <c r="T104" s="691">
        <v>99.0</v>
      </c>
      <c r="U104" s="40" t="s">
        <v>781</v>
      </c>
      <c r="V104" s="724">
        <v>1951.0</v>
      </c>
      <c r="W104" s="724">
        <v>2293.0</v>
      </c>
      <c r="X104" s="724">
        <v>11362.0</v>
      </c>
      <c r="Y104" s="725">
        <v>4.550456E7</v>
      </c>
      <c r="Z104" s="691">
        <v>99.0</v>
      </c>
      <c r="AA104" s="40" t="s">
        <v>773</v>
      </c>
      <c r="AB104" s="724">
        <v>6.04</v>
      </c>
      <c r="AC104" s="726">
        <f t="shared" si="1"/>
        <v>2206.11</v>
      </c>
      <c r="AD104" s="724">
        <v>9375.0</v>
      </c>
      <c r="AE104" s="40">
        <v>0.71</v>
      </c>
      <c r="AF104" s="727">
        <v>0.0601</v>
      </c>
      <c r="AG104" s="40" t="s">
        <v>822</v>
      </c>
      <c r="AH104" s="728">
        <f>IFERROR(__xludf.DUMMYFUNCTION("$AH$4*(AVERAGE.WEIGHTED(IFERROR(INDEX(V:V,MATCH(AG104,U:U,0))/1,INDEX(AC:AC,MATCH(AG104,AA:AA,0))),$W$3,IFERROR(INDEX(AC:AC,MATCH(AG104,AA:AA,0))/1,INDEX(V:V,MATCH(AG104,U:U,0))),$AE$3))*INDEX(R:R,MATCH(AG104,Q:Q,0))"),1926.7660799999999)</f>
        <v>1926.76608</v>
      </c>
      <c r="AI104" s="41"/>
      <c r="AK104" s="40">
        <v>154.0</v>
      </c>
      <c r="AL104" s="729" t="s">
        <v>1943</v>
      </c>
      <c r="AM104" s="729" t="s">
        <v>1940</v>
      </c>
      <c r="AN104" s="729" t="s">
        <v>1941</v>
      </c>
      <c r="AO104" s="730">
        <v>0.149</v>
      </c>
      <c r="AP104" s="730" t="s">
        <v>1942</v>
      </c>
    </row>
    <row r="105">
      <c r="A105" s="157" t="s">
        <v>775</v>
      </c>
      <c r="B105" s="157" t="s">
        <v>1378</v>
      </c>
      <c r="C105" s="706">
        <v>2021.0</v>
      </c>
      <c r="D105" s="707">
        <v>1.0278346E7</v>
      </c>
      <c r="E105" s="668"/>
      <c r="F105" s="157" t="s">
        <v>778</v>
      </c>
      <c r="G105" s="157" t="s">
        <v>1389</v>
      </c>
      <c r="H105" s="706">
        <v>2021.0</v>
      </c>
      <c r="I105" s="707">
        <v>16.419</v>
      </c>
      <c r="J105" s="706"/>
      <c r="K105" s="743"/>
      <c r="L105" s="706"/>
      <c r="M105" s="706"/>
      <c r="N105" s="706"/>
      <c r="O105" s="707"/>
      <c r="P105" s="709"/>
      <c r="Q105" s="710" t="s">
        <v>798</v>
      </c>
      <c r="R105" s="711">
        <v>0.43</v>
      </c>
      <c r="S105" s="41"/>
      <c r="T105" s="691">
        <v>100.0</v>
      </c>
      <c r="U105" s="40" t="s">
        <v>717</v>
      </c>
      <c r="V105" s="724">
        <v>1927.0</v>
      </c>
      <c r="W105" s="724">
        <v>3246.0</v>
      </c>
      <c r="X105" s="724">
        <v>7314.0</v>
      </c>
      <c r="Y105" s="725">
        <v>410825.0</v>
      </c>
      <c r="Z105" s="691">
        <v>100.0</v>
      </c>
      <c r="AA105" s="40" t="s">
        <v>765</v>
      </c>
      <c r="AB105" s="724">
        <v>6.03</v>
      </c>
      <c r="AC105" s="726">
        <f t="shared" si="1"/>
        <v>2202.4575</v>
      </c>
      <c r="AD105" s="724">
        <v>5042.0</v>
      </c>
      <c r="AE105" s="40">
        <v>0.8</v>
      </c>
      <c r="AF105" s="727">
        <v>0.0378</v>
      </c>
      <c r="AG105" s="40" t="s">
        <v>824</v>
      </c>
      <c r="AH105" s="728">
        <f>IFERROR(__xludf.DUMMYFUNCTION("$AH$4*(AVERAGE.WEIGHTED(IFERROR(INDEX(V:V,MATCH(AG105,U:U,0))/1,INDEX(AC:AC,MATCH(AG105,AA:AA,0))),$W$3,IFERROR(INDEX(AC:AC,MATCH(AG105,AA:AA,0))/1,INDEX(V:V,MATCH(AG105,U:U,0))),$AE$3))*INDEX(R:R,MATCH(AG105,Q:Q,0))"),757.8395999999999)</f>
        <v>757.8396</v>
      </c>
      <c r="AI105" s="41"/>
      <c r="AK105" s="40">
        <v>176.0</v>
      </c>
      <c r="AL105" s="719" t="s">
        <v>1944</v>
      </c>
      <c r="AM105" s="720" t="s">
        <v>1940</v>
      </c>
      <c r="AN105" s="720" t="s">
        <v>1941</v>
      </c>
      <c r="AO105" s="722">
        <v>0.149</v>
      </c>
      <c r="AP105" s="722" t="s">
        <v>1942</v>
      </c>
    </row>
    <row r="106">
      <c r="A106" s="157" t="s">
        <v>1477</v>
      </c>
      <c r="B106" s="157" t="s">
        <v>1935</v>
      </c>
      <c r="C106" s="706">
        <v>2021.0</v>
      </c>
      <c r="D106" s="707">
        <v>7494580.0</v>
      </c>
      <c r="E106" s="668"/>
      <c r="F106" s="157" t="s">
        <v>779</v>
      </c>
      <c r="G106" s="157" t="s">
        <v>1394</v>
      </c>
      <c r="H106" s="706">
        <v>2021.0</v>
      </c>
      <c r="I106" s="707">
        <v>16.425</v>
      </c>
      <c r="J106" s="706"/>
      <c r="K106" s="743"/>
      <c r="L106" s="706"/>
      <c r="M106" s="706"/>
      <c r="N106" s="706"/>
      <c r="O106" s="707"/>
      <c r="P106" s="709"/>
      <c r="Q106" s="710" t="s">
        <v>799</v>
      </c>
      <c r="R106" s="711">
        <v>0.26</v>
      </c>
      <c r="S106" s="41"/>
      <c r="T106" s="691">
        <v>101.0</v>
      </c>
      <c r="U106" s="40" t="s">
        <v>821</v>
      </c>
      <c r="V106" s="724">
        <v>1909.0</v>
      </c>
      <c r="W106" s="724">
        <v>2296.0</v>
      </c>
      <c r="X106" s="724">
        <v>5369.0</v>
      </c>
      <c r="Y106" s="725">
        <v>5.4577997E7</v>
      </c>
      <c r="Z106" s="691">
        <v>101.0</v>
      </c>
      <c r="AA106" s="40" t="s">
        <v>779</v>
      </c>
      <c r="AB106" s="724">
        <v>5.74</v>
      </c>
      <c r="AC106" s="726">
        <f t="shared" si="1"/>
        <v>2096.535</v>
      </c>
      <c r="AD106" s="724">
        <v>4292.0</v>
      </c>
      <c r="AE106" s="40">
        <v>0.71</v>
      </c>
      <c r="AF106" s="727">
        <v>0.0288</v>
      </c>
      <c r="AG106" s="40" t="s">
        <v>825</v>
      </c>
      <c r="AH106" s="728">
        <f>IFERROR(__xludf.DUMMYFUNCTION("$AH$4*(AVERAGE.WEIGHTED(IFERROR(INDEX(V:V,MATCH(AG106,U:U,0))/1,INDEX(AC:AC,MATCH(AG106,AA:AA,0))),$W$3,IFERROR(INDEX(AC:AC,MATCH(AG106,AA:AA,0))/1,INDEX(V:V,MATCH(AG106,U:U,0))),$AE$3))*INDEX(R:R,MATCH(AG106,Q:Q,0))"),33202.554840000004)</f>
        <v>33202.55484</v>
      </c>
      <c r="AI106" s="41"/>
      <c r="AK106" s="40">
        <v>81.0</v>
      </c>
      <c r="AL106" s="738" t="s">
        <v>1945</v>
      </c>
      <c r="AM106" s="738" t="s">
        <v>1946</v>
      </c>
      <c r="AN106" s="745"/>
      <c r="AO106" s="739">
        <v>0.137</v>
      </c>
      <c r="AP106" s="739" t="s">
        <v>1947</v>
      </c>
    </row>
    <row r="107">
      <c r="A107" s="157" t="s">
        <v>776</v>
      </c>
      <c r="B107" s="157" t="s">
        <v>1382</v>
      </c>
      <c r="C107" s="706">
        <v>2021.0</v>
      </c>
      <c r="D107" s="707">
        <v>9709784.0</v>
      </c>
      <c r="E107" s="668"/>
      <c r="F107" s="157" t="s">
        <v>780</v>
      </c>
      <c r="G107" s="157" t="s">
        <v>1399</v>
      </c>
      <c r="H107" s="706">
        <v>2021.0</v>
      </c>
      <c r="I107" s="707">
        <v>13.699</v>
      </c>
      <c r="J107" s="706"/>
      <c r="K107" s="743"/>
      <c r="L107" s="706"/>
      <c r="M107" s="706"/>
      <c r="N107" s="706"/>
      <c r="O107" s="707"/>
      <c r="P107" s="709"/>
      <c r="Q107" s="710" t="s">
        <v>801</v>
      </c>
      <c r="R107" s="711">
        <v>0.55</v>
      </c>
      <c r="S107" s="41"/>
      <c r="T107" s="691">
        <v>102.0</v>
      </c>
      <c r="U107" s="40" t="s">
        <v>793</v>
      </c>
      <c r="V107" s="724">
        <v>1892.0</v>
      </c>
      <c r="W107" s="724">
        <v>2235.0</v>
      </c>
      <c r="X107" s="724">
        <v>5485.0</v>
      </c>
      <c r="Y107" s="725">
        <v>6735347.0</v>
      </c>
      <c r="Z107" s="691">
        <v>102.0</v>
      </c>
      <c r="AA107" s="40" t="s">
        <v>822</v>
      </c>
      <c r="AB107" s="724">
        <v>5.68</v>
      </c>
      <c r="AC107" s="726">
        <f t="shared" si="1"/>
        <v>2074.62</v>
      </c>
      <c r="AD107" s="724">
        <v>4729.0</v>
      </c>
      <c r="AE107" s="40">
        <v>0.62</v>
      </c>
      <c r="AF107" s="727">
        <v>0.1595</v>
      </c>
      <c r="AG107" s="40" t="s">
        <v>827</v>
      </c>
      <c r="AH107" s="728">
        <f>IFERROR(__xludf.DUMMYFUNCTION("$AH$4*(AVERAGE.WEIGHTED(IFERROR(INDEX(V:V,MATCH(AG107,U:U,0))/1,INDEX(AC:AC,MATCH(AG107,AA:AA,0))),$W$3,IFERROR(INDEX(AC:AC,MATCH(AG107,AA:AA,0))/1,INDEX(V:V,MATCH(AG107,U:U,0))),$AE$3))*INDEX(R:R,MATCH(AG107,Q:Q,0))"),1846.16982)</f>
        <v>1846.16982</v>
      </c>
      <c r="AI107" s="41"/>
      <c r="AK107" s="40">
        <v>140.0</v>
      </c>
      <c r="AL107" s="719" t="s">
        <v>1948</v>
      </c>
      <c r="AM107" s="720" t="s">
        <v>1949</v>
      </c>
      <c r="AN107" s="720" t="s">
        <v>1744</v>
      </c>
      <c r="AO107" s="722">
        <v>0.137</v>
      </c>
      <c r="AP107" s="722" t="s">
        <v>1950</v>
      </c>
    </row>
    <row r="108">
      <c r="A108" s="157" t="s">
        <v>777</v>
      </c>
      <c r="B108" s="157" t="s">
        <v>1385</v>
      </c>
      <c r="C108" s="706">
        <v>2021.0</v>
      </c>
      <c r="D108" s="707">
        <v>370338.0</v>
      </c>
      <c r="E108" s="668"/>
      <c r="F108" s="157" t="s">
        <v>781</v>
      </c>
      <c r="G108" s="157" t="s">
        <v>1404</v>
      </c>
      <c r="H108" s="706">
        <v>2021.0</v>
      </c>
      <c r="I108" s="707">
        <v>27.367</v>
      </c>
      <c r="J108" s="706"/>
      <c r="K108" s="743"/>
      <c r="L108" s="706"/>
      <c r="M108" s="706"/>
      <c r="N108" s="706"/>
      <c r="O108" s="707"/>
      <c r="P108" s="709"/>
      <c r="Q108" s="710" t="s">
        <v>802</v>
      </c>
      <c r="R108" s="711">
        <v>1.01</v>
      </c>
      <c r="S108" s="41"/>
      <c r="T108" s="691">
        <v>103.0</v>
      </c>
      <c r="U108" s="40" t="s">
        <v>767</v>
      </c>
      <c r="V108" s="724">
        <v>1779.0</v>
      </c>
      <c r="W108" s="724">
        <v>2422.0</v>
      </c>
      <c r="X108" s="724">
        <v>5652.0</v>
      </c>
      <c r="Y108" s="725">
        <v>3.4121985E7</v>
      </c>
      <c r="Z108" s="691">
        <v>103.0</v>
      </c>
      <c r="AA108" s="40" t="s">
        <v>821</v>
      </c>
      <c r="AB108" s="724">
        <v>5.47</v>
      </c>
      <c r="AC108" s="726">
        <f t="shared" si="1"/>
        <v>1997.9175</v>
      </c>
      <c r="AD108" s="724">
        <v>1187.0</v>
      </c>
      <c r="AE108" s="40">
        <v>0.59</v>
      </c>
      <c r="AF108" s="727">
        <v>0.0087</v>
      </c>
      <c r="AG108" s="40" t="s">
        <v>828</v>
      </c>
      <c r="AH108" s="728">
        <f>IFERROR(__xludf.DUMMYFUNCTION("$AH$4*(AVERAGE.WEIGHTED(IFERROR(INDEX(V:V,MATCH(AG108,U:U,0))/1,INDEX(AC:AC,MATCH(AG108,AA:AA,0))),$W$3,IFERROR(INDEX(AC:AC,MATCH(AG108,AA:AA,0))/1,INDEX(V:V,MATCH(AG108,U:U,0))),$AE$3))*INDEX(R:R,MATCH(AG108,Q:Q,0))"),678.5937)</f>
        <v>678.5937</v>
      </c>
      <c r="AI108" s="41"/>
      <c r="AK108" s="40">
        <v>69.0</v>
      </c>
      <c r="AL108" s="738" t="s">
        <v>1951</v>
      </c>
      <c r="AM108" s="738" t="s">
        <v>1952</v>
      </c>
      <c r="AN108" s="738" t="s">
        <v>1953</v>
      </c>
      <c r="AO108" s="739">
        <v>0.133</v>
      </c>
      <c r="AP108" s="739" t="s">
        <v>1954</v>
      </c>
    </row>
    <row r="109">
      <c r="A109" s="157" t="s">
        <v>778</v>
      </c>
      <c r="B109" s="157" t="s">
        <v>1389</v>
      </c>
      <c r="C109" s="706">
        <v>2021.0</v>
      </c>
      <c r="D109" s="707">
        <v>1.407563904E9</v>
      </c>
      <c r="E109" s="668"/>
      <c r="F109" s="157" t="s">
        <v>782</v>
      </c>
      <c r="G109" s="157" t="s">
        <v>1408</v>
      </c>
      <c r="H109" s="706">
        <v>2021.0</v>
      </c>
      <c r="I109" s="707">
        <v>11.764</v>
      </c>
      <c r="J109" s="706"/>
      <c r="K109" s="743"/>
      <c r="L109" s="706"/>
      <c r="M109" s="706"/>
      <c r="N109" s="706"/>
      <c r="O109" s="707"/>
      <c r="P109" s="709"/>
      <c r="Q109" s="710" t="s">
        <v>1955</v>
      </c>
      <c r="R109" s="711">
        <v>0.62</v>
      </c>
      <c r="S109" s="41"/>
      <c r="T109" s="691">
        <v>104.0</v>
      </c>
      <c r="U109" s="40" t="s">
        <v>810</v>
      </c>
      <c r="V109" s="724">
        <v>1760.0</v>
      </c>
      <c r="W109" s="724">
        <v>2094.0</v>
      </c>
      <c r="X109" s="724">
        <v>5427.0</v>
      </c>
      <c r="Y109" s="725">
        <v>4862989.0</v>
      </c>
      <c r="Z109" s="691">
        <v>104.0</v>
      </c>
      <c r="AA109" s="40" t="s">
        <v>793</v>
      </c>
      <c r="AB109" s="724">
        <v>5.43</v>
      </c>
      <c r="AC109" s="726">
        <f t="shared" si="1"/>
        <v>1983.3075</v>
      </c>
      <c r="AD109" s="724">
        <v>1276.0</v>
      </c>
      <c r="AE109" s="40">
        <v>0.69</v>
      </c>
      <c r="AF109" s="727">
        <v>0.0056</v>
      </c>
      <c r="AG109" s="40" t="s">
        <v>829</v>
      </c>
      <c r="AH109" s="728">
        <f>IFERROR(__xludf.DUMMYFUNCTION("$AH$4*(AVERAGE.WEIGHTED(IFERROR(INDEX(V:V,MATCH(AG109,U:U,0))/1,INDEX(AC:AC,MATCH(AG109,AA:AA,0))),$W$3,IFERROR(INDEX(AC:AC,MATCH(AG109,AA:AA,0))/1,INDEX(V:V,MATCH(AG109,U:U,0))),$AE$3))*INDEX(R:R,MATCH(AG109,Q:Q,0))"),703.7562)</f>
        <v>703.7562</v>
      </c>
      <c r="AI109" s="41"/>
      <c r="AK109" s="40">
        <v>90.0</v>
      </c>
      <c r="AL109" s="719" t="s">
        <v>1956</v>
      </c>
      <c r="AM109" s="720" t="s">
        <v>1952</v>
      </c>
      <c r="AN109" s="720" t="s">
        <v>1953</v>
      </c>
      <c r="AO109" s="722">
        <v>0.133</v>
      </c>
      <c r="AP109" s="722" t="s">
        <v>1954</v>
      </c>
    </row>
    <row r="110">
      <c r="A110" s="157" t="s">
        <v>779</v>
      </c>
      <c r="B110" s="157" t="s">
        <v>1394</v>
      </c>
      <c r="C110" s="706">
        <v>2021.0</v>
      </c>
      <c r="D110" s="707">
        <v>2.73753184E8</v>
      </c>
      <c r="E110" s="668"/>
      <c r="F110" s="157" t="s">
        <v>1238</v>
      </c>
      <c r="G110" s="157" t="s">
        <v>1957</v>
      </c>
      <c r="H110" s="706">
        <v>2021.0</v>
      </c>
      <c r="I110" s="707">
        <v>8.529</v>
      </c>
      <c r="J110" s="706"/>
      <c r="K110" s="743"/>
      <c r="L110" s="706"/>
      <c r="M110" s="706"/>
      <c r="N110" s="706"/>
      <c r="O110" s="707"/>
      <c r="P110" s="709"/>
      <c r="Q110" s="710" t="s">
        <v>803</v>
      </c>
      <c r="R110" s="711">
        <v>0.31</v>
      </c>
      <c r="S110" s="41"/>
      <c r="T110" s="691">
        <v>105.0</v>
      </c>
      <c r="U110" s="40" t="s">
        <v>865</v>
      </c>
      <c r="V110" s="724">
        <v>1659.0</v>
      </c>
      <c r="W110" s="724">
        <v>2593.0</v>
      </c>
      <c r="X110" s="724">
        <v>17256.0</v>
      </c>
      <c r="Y110" s="725">
        <v>623236.0</v>
      </c>
      <c r="Z110" s="691">
        <v>105.0</v>
      </c>
      <c r="AA110" s="40" t="s">
        <v>870</v>
      </c>
      <c r="AB110" s="724">
        <v>5.33</v>
      </c>
      <c r="AC110" s="726">
        <f t="shared" si="1"/>
        <v>1946.7825</v>
      </c>
      <c r="AD110" s="724">
        <v>897.0</v>
      </c>
      <c r="AE110" s="40">
        <v>0.69</v>
      </c>
      <c r="AF110" s="727">
        <v>0.0221</v>
      </c>
      <c r="AG110" s="40" t="s">
        <v>830</v>
      </c>
      <c r="AH110" s="728">
        <f>IFERROR(__xludf.DUMMYFUNCTION("$AH$4*(AVERAGE.WEIGHTED(IFERROR(INDEX(V:V,MATCH(AG110,U:U,0))/1,INDEX(AC:AC,MATCH(AG110,AA:AA,0))),$W$3,IFERROR(INDEX(AC:AC,MATCH(AG110,AA:AA,0))/1,INDEX(V:V,MATCH(AG110,U:U,0))),$AE$3))*INDEX(R:R,MATCH(AG110,Q:Q,0))"),3053.1216)</f>
        <v>3053.1216</v>
      </c>
      <c r="AI110" s="41"/>
      <c r="AK110" s="40">
        <v>94.0</v>
      </c>
      <c r="AL110" s="729" t="s">
        <v>1958</v>
      </c>
      <c r="AM110" s="729" t="s">
        <v>1952</v>
      </c>
      <c r="AN110" s="729" t="s">
        <v>1953</v>
      </c>
      <c r="AO110" s="730">
        <v>0.133</v>
      </c>
      <c r="AP110" s="730" t="s">
        <v>1954</v>
      </c>
    </row>
    <row r="111">
      <c r="A111" s="157" t="s">
        <v>780</v>
      </c>
      <c r="B111" s="157" t="s">
        <v>1399</v>
      </c>
      <c r="C111" s="706">
        <v>2021.0</v>
      </c>
      <c r="D111" s="707">
        <v>8.7923432E7</v>
      </c>
      <c r="E111" s="668"/>
      <c r="F111" s="157" t="s">
        <v>783</v>
      </c>
      <c r="G111" s="157" t="s">
        <v>1412</v>
      </c>
      <c r="H111" s="706">
        <v>2021.0</v>
      </c>
      <c r="I111" s="707">
        <v>19.608</v>
      </c>
      <c r="J111" s="706"/>
      <c r="K111" s="743"/>
      <c r="L111" s="706"/>
      <c r="M111" s="706"/>
      <c r="N111" s="706"/>
      <c r="O111" s="707"/>
      <c r="P111" s="709"/>
      <c r="Q111" s="710" t="s">
        <v>804</v>
      </c>
      <c r="R111" s="711">
        <v>0.39</v>
      </c>
      <c r="S111" s="41"/>
      <c r="T111" s="691">
        <v>106.0</v>
      </c>
      <c r="U111" s="40" t="s">
        <v>859</v>
      </c>
      <c r="V111" s="724">
        <v>1624.0</v>
      </c>
      <c r="W111" s="724">
        <v>4081.0</v>
      </c>
      <c r="X111" s="724">
        <v>13034.0</v>
      </c>
      <c r="Y111" s="725">
        <v>6.0414495E7</v>
      </c>
      <c r="Z111" s="691">
        <v>106.0</v>
      </c>
      <c r="AA111" s="40" t="s">
        <v>810</v>
      </c>
      <c r="AB111" s="724">
        <v>5.3</v>
      </c>
      <c r="AC111" s="726">
        <f t="shared" si="1"/>
        <v>1935.825</v>
      </c>
      <c r="AD111" s="724">
        <v>1723.0</v>
      </c>
      <c r="AE111" s="40">
        <v>0.56</v>
      </c>
      <c r="AF111" s="727">
        <v>0.0535</v>
      </c>
      <c r="AG111" s="40" t="s">
        <v>831</v>
      </c>
      <c r="AH111" s="728">
        <f>IFERROR(__xludf.DUMMYFUNCTION("$AH$4*(AVERAGE.WEIGHTED(IFERROR(INDEX(V:V,MATCH(AG111,U:U,0))/1,INDEX(AC:AC,MATCH(AG111,AA:AA,0))),$W$3,IFERROR(INDEX(AC:AC,MATCH(AG111,AA:AA,0))/1,INDEX(V:V,MATCH(AG111,U:U,0))),$AE$3))*INDEX(R:R,MATCH(AG111,Q:Q,0))"),52320.64979999999)</f>
        <v>52320.6498</v>
      </c>
      <c r="AI111" s="41"/>
      <c r="AK111" s="40">
        <v>95.0</v>
      </c>
      <c r="AL111" s="732" t="s">
        <v>1959</v>
      </c>
      <c r="AM111" s="733" t="s">
        <v>1952</v>
      </c>
      <c r="AN111" s="733" t="s">
        <v>1953</v>
      </c>
      <c r="AO111" s="734">
        <v>0.133</v>
      </c>
      <c r="AP111" s="734" t="s">
        <v>1954</v>
      </c>
    </row>
    <row r="112">
      <c r="A112" s="157" t="s">
        <v>781</v>
      </c>
      <c r="B112" s="157" t="s">
        <v>1404</v>
      </c>
      <c r="C112" s="706">
        <v>2021.0</v>
      </c>
      <c r="D112" s="707">
        <v>4.3533592E7</v>
      </c>
      <c r="E112" s="668"/>
      <c r="F112" s="157" t="s">
        <v>784</v>
      </c>
      <c r="G112" s="157" t="s">
        <v>1416</v>
      </c>
      <c r="H112" s="706">
        <v>2021.0</v>
      </c>
      <c r="I112" s="707">
        <v>6.931</v>
      </c>
      <c r="J112" s="706"/>
      <c r="K112" s="743"/>
      <c r="L112" s="706"/>
      <c r="M112" s="706"/>
      <c r="N112" s="706"/>
      <c r="O112" s="707"/>
      <c r="P112" s="709"/>
      <c r="Q112" s="710" t="s">
        <v>805</v>
      </c>
      <c r="R112" s="711">
        <v>0.38</v>
      </c>
      <c r="S112" s="41"/>
      <c r="T112" s="691">
        <v>107.0</v>
      </c>
      <c r="U112" s="40" t="s">
        <v>723</v>
      </c>
      <c r="V112" s="724">
        <v>1596.0</v>
      </c>
      <c r="W112" s="724">
        <v>2907.0</v>
      </c>
      <c r="X112" s="724">
        <v>18552.0</v>
      </c>
      <c r="Y112" s="725">
        <v>2675352.0</v>
      </c>
      <c r="Z112" s="691">
        <v>107.0</v>
      </c>
      <c r="AA112" s="40" t="s">
        <v>839</v>
      </c>
      <c r="AB112" s="724">
        <v>5.3</v>
      </c>
      <c r="AC112" s="726">
        <f t="shared" si="1"/>
        <v>1935.825</v>
      </c>
      <c r="AD112" s="724">
        <v>3549.0</v>
      </c>
      <c r="AE112" s="40">
        <v>0.7</v>
      </c>
      <c r="AF112" s="727">
        <v>0.0381</v>
      </c>
      <c r="AG112" s="40" t="s">
        <v>833</v>
      </c>
      <c r="AH112" s="728">
        <f>IFERROR(__xludf.DUMMYFUNCTION("$AH$4*(AVERAGE.WEIGHTED(IFERROR(INDEX(V:V,MATCH(AG112,U:U,0))/1,INDEX(AC:AC,MATCH(AG112,AA:AA,0))),$W$3,IFERROR(INDEX(AC:AC,MATCH(AG112,AA:AA,0))/1,INDEX(V:V,MATCH(AG112,U:U,0))),$AE$3))*INDEX(R:R,MATCH(AG112,Q:Q,0))"),745.6940400000001)</f>
        <v>745.69404</v>
      </c>
      <c r="AI112" s="41"/>
      <c r="AK112" s="40">
        <v>139.0</v>
      </c>
      <c r="AL112" s="738" t="s">
        <v>1960</v>
      </c>
      <c r="AM112" s="738" t="s">
        <v>1952</v>
      </c>
      <c r="AN112" s="738" t="s">
        <v>1953</v>
      </c>
      <c r="AO112" s="739">
        <v>0.133</v>
      </c>
      <c r="AP112" s="739" t="s">
        <v>1954</v>
      </c>
    </row>
    <row r="113">
      <c r="A113" s="157" t="s">
        <v>782</v>
      </c>
      <c r="B113" s="157" t="s">
        <v>1408</v>
      </c>
      <c r="C113" s="706">
        <v>2021.0</v>
      </c>
      <c r="D113" s="707">
        <v>4986525.0</v>
      </c>
      <c r="E113" s="668"/>
      <c r="F113" s="157" t="s">
        <v>785</v>
      </c>
      <c r="G113" s="157" t="s">
        <v>1420</v>
      </c>
      <c r="H113" s="706">
        <v>2021.0</v>
      </c>
      <c r="I113" s="707">
        <v>11.712</v>
      </c>
      <c r="J113" s="706"/>
      <c r="K113" s="743"/>
      <c r="L113" s="706"/>
      <c r="M113" s="706"/>
      <c r="N113" s="706"/>
      <c r="O113" s="707"/>
      <c r="P113" s="709"/>
      <c r="Q113" s="710" t="s">
        <v>806</v>
      </c>
      <c r="R113" s="711">
        <v>0.5</v>
      </c>
      <c r="S113" s="41"/>
      <c r="T113" s="691">
        <v>108.0</v>
      </c>
      <c r="U113" s="40" t="s">
        <v>839</v>
      </c>
      <c r="V113" s="724">
        <v>1581.0</v>
      </c>
      <c r="W113" s="724">
        <v>2199.0</v>
      </c>
      <c r="X113" s="724">
        <v>9302.0</v>
      </c>
      <c r="Y113" s="725">
        <v>1.17337368E8</v>
      </c>
      <c r="Z113" s="691">
        <v>108.0</v>
      </c>
      <c r="AA113" s="40" t="s">
        <v>753</v>
      </c>
      <c r="AB113" s="724">
        <v>5.07</v>
      </c>
      <c r="AC113" s="726">
        <f t="shared" si="1"/>
        <v>1851.8175</v>
      </c>
      <c r="AD113" s="724">
        <v>3876.0</v>
      </c>
      <c r="AE113" s="40">
        <v>0.73</v>
      </c>
      <c r="AF113" s="727">
        <v>0.0407</v>
      </c>
      <c r="AG113" s="40" t="s">
        <v>835</v>
      </c>
      <c r="AH113" s="728">
        <f>IFERROR(__xludf.DUMMYFUNCTION("$AH$4*(AVERAGE.WEIGHTED(IFERROR(INDEX(V:V,MATCH(AG113,U:U,0))/1,INDEX(AC:AC,MATCH(AG113,AA:AA,0))),$W$3,IFERROR(INDEX(AC:AC,MATCH(AG113,AA:AA,0))/1,INDEX(V:V,MATCH(AG113,U:U,0))),$AE$3))*INDEX(R:R,MATCH(AG113,Q:Q,0))"),6389.110200000001)</f>
        <v>6389.1102</v>
      </c>
      <c r="AI113" s="41"/>
      <c r="AK113" s="40">
        <v>167.0</v>
      </c>
      <c r="AL113" s="732" t="s">
        <v>1961</v>
      </c>
      <c r="AM113" s="733" t="s">
        <v>1952</v>
      </c>
      <c r="AN113" s="733" t="s">
        <v>1953</v>
      </c>
      <c r="AO113" s="734">
        <v>0.133</v>
      </c>
      <c r="AP113" s="734" t="s">
        <v>1954</v>
      </c>
    </row>
    <row r="114">
      <c r="A114" s="157" t="s">
        <v>1238</v>
      </c>
      <c r="B114" s="157" t="s">
        <v>1957</v>
      </c>
      <c r="C114" s="706">
        <v>2021.0</v>
      </c>
      <c r="D114" s="707">
        <v>84286.0</v>
      </c>
      <c r="E114" s="668"/>
      <c r="F114" s="157" t="s">
        <v>786</v>
      </c>
      <c r="G114" s="157" t="s">
        <v>1424</v>
      </c>
      <c r="H114" s="706">
        <v>2021.0</v>
      </c>
      <c r="I114" s="707">
        <v>6.571</v>
      </c>
      <c r="J114" s="706"/>
      <c r="K114" s="743"/>
      <c r="L114" s="706"/>
      <c r="M114" s="706"/>
      <c r="N114" s="706"/>
      <c r="O114" s="707"/>
      <c r="P114" s="709"/>
      <c r="Q114" s="710" t="s">
        <v>807</v>
      </c>
      <c r="R114" s="711">
        <v>0.38</v>
      </c>
      <c r="S114" s="41"/>
      <c r="T114" s="691">
        <v>109.0</v>
      </c>
      <c r="U114" s="40" t="s">
        <v>790</v>
      </c>
      <c r="V114" s="724">
        <v>1489.0</v>
      </c>
      <c r="W114" s="724">
        <v>1858.0</v>
      </c>
      <c r="X114" s="724">
        <v>2372.0</v>
      </c>
      <c r="Y114" s="725">
        <v>133515.0</v>
      </c>
      <c r="Z114" s="691">
        <v>109.0</v>
      </c>
      <c r="AA114" s="40" t="s">
        <v>717</v>
      </c>
      <c r="AB114" s="724">
        <v>4.92</v>
      </c>
      <c r="AC114" s="726">
        <f t="shared" si="1"/>
        <v>1797.03</v>
      </c>
      <c r="AD114" s="724">
        <v>4420.0</v>
      </c>
      <c r="AE114" s="40">
        <v>0.68</v>
      </c>
      <c r="AF114" s="727">
        <v>0.1439</v>
      </c>
      <c r="AG114" s="40" t="s">
        <v>836</v>
      </c>
      <c r="AH114" s="728">
        <f>IFERROR(__xludf.DUMMYFUNCTION("$AH$4*(AVERAGE.WEIGHTED(IFERROR(INDEX(V:V,MATCH(AG114,U:U,0))/1,INDEX(AC:AC,MATCH(AG114,AA:AA,0))),$W$3,IFERROR(INDEX(AC:AC,MATCH(AG114,AA:AA,0))/1,INDEX(V:V,MATCH(AG114,U:U,0))),$AE$3))*INDEX(R:R,MATCH(AG114,Q:Q,0))"),1199.0642400000002)</f>
        <v>1199.06424</v>
      </c>
      <c r="AI114" s="41"/>
      <c r="AK114" s="40">
        <v>80.0</v>
      </c>
      <c r="AL114" s="729" t="s">
        <v>1962</v>
      </c>
      <c r="AM114" s="729" t="s">
        <v>1963</v>
      </c>
      <c r="AN114" s="744"/>
      <c r="AO114" s="730">
        <v>0.132</v>
      </c>
      <c r="AP114" s="730" t="s">
        <v>1964</v>
      </c>
    </row>
    <row r="115">
      <c r="A115" s="157" t="s">
        <v>783</v>
      </c>
      <c r="B115" s="157" t="s">
        <v>1412</v>
      </c>
      <c r="C115" s="706">
        <v>2021.0</v>
      </c>
      <c r="D115" s="707">
        <v>8900057.0</v>
      </c>
      <c r="E115" s="668"/>
      <c r="F115" s="157" t="s">
        <v>1044</v>
      </c>
      <c r="G115" s="157" t="s">
        <v>1965</v>
      </c>
      <c r="H115" s="706">
        <v>2021.0</v>
      </c>
      <c r="I115" s="707">
        <v>10.401</v>
      </c>
      <c r="J115" s="706"/>
      <c r="K115" s="743"/>
      <c r="L115" s="706"/>
      <c r="M115" s="706"/>
      <c r="N115" s="706"/>
      <c r="O115" s="707"/>
      <c r="P115" s="709"/>
      <c r="Q115" s="710" t="s">
        <v>808</v>
      </c>
      <c r="R115" s="711">
        <v>0.69</v>
      </c>
      <c r="S115" s="41"/>
      <c r="T115" s="691">
        <v>110.0</v>
      </c>
      <c r="U115" s="40" t="s">
        <v>753</v>
      </c>
      <c r="V115" s="724">
        <v>1485.0</v>
      </c>
      <c r="W115" s="724">
        <v>1847.0</v>
      </c>
      <c r="X115" s="724"/>
      <c r="Y115" s="725">
        <v>1.12716598E8</v>
      </c>
      <c r="Z115" s="691">
        <v>110.0</v>
      </c>
      <c r="AA115" s="40" t="s">
        <v>723</v>
      </c>
      <c r="AB115" s="724">
        <v>4.84</v>
      </c>
      <c r="AC115" s="726">
        <f t="shared" si="1"/>
        <v>1767.81</v>
      </c>
      <c r="AD115" s="724">
        <v>7348.0</v>
      </c>
      <c r="AE115" s="40">
        <v>0.69</v>
      </c>
      <c r="AF115" s="727">
        <v>0.1309</v>
      </c>
      <c r="AG115" s="40" t="s">
        <v>837</v>
      </c>
      <c r="AH115" s="728">
        <f>IFERROR(__xludf.DUMMYFUNCTION("$AH$4*(AVERAGE.WEIGHTED(IFERROR(INDEX(V:V,MATCH(AG115,U:U,0))/1,INDEX(AC:AC,MATCH(AG115,AA:AA,0))),$W$3,IFERROR(INDEX(AC:AC,MATCH(AG115,AA:AA,0))/1,INDEX(V:V,MATCH(AG115,U:U,0))),$AE$3))*INDEX(R:R,MATCH(AG115,Q:Q,0))"),3431.13498)</f>
        <v>3431.13498</v>
      </c>
      <c r="AI115" s="41"/>
      <c r="AK115" s="40">
        <v>41.0</v>
      </c>
      <c r="AL115" s="732" t="s">
        <v>1966</v>
      </c>
      <c r="AM115" s="733" t="s">
        <v>1967</v>
      </c>
      <c r="AN115" s="733" t="s">
        <v>1968</v>
      </c>
      <c r="AO115" s="734">
        <v>0.128</v>
      </c>
      <c r="AP115" s="734" t="s">
        <v>1969</v>
      </c>
    </row>
    <row r="116">
      <c r="A116" s="157" t="s">
        <v>784</v>
      </c>
      <c r="B116" s="157" t="s">
        <v>1416</v>
      </c>
      <c r="C116" s="706">
        <v>2021.0</v>
      </c>
      <c r="D116" s="707">
        <v>5.9240336E7</v>
      </c>
      <c r="E116" s="668"/>
      <c r="F116" s="157" t="s">
        <v>787</v>
      </c>
      <c r="G116" s="157" t="s">
        <v>1427</v>
      </c>
      <c r="H116" s="706">
        <v>2021.0</v>
      </c>
      <c r="I116" s="707">
        <v>21.95</v>
      </c>
      <c r="J116" s="706"/>
      <c r="K116" s="743"/>
      <c r="L116" s="706"/>
      <c r="M116" s="706"/>
      <c r="N116" s="706"/>
      <c r="O116" s="707"/>
      <c r="P116" s="709"/>
      <c r="Q116" s="710" t="s">
        <v>809</v>
      </c>
      <c r="R116" s="711">
        <v>0.94</v>
      </c>
      <c r="S116" s="41"/>
      <c r="T116" s="691">
        <v>111.0</v>
      </c>
      <c r="U116" s="40" t="s">
        <v>1512</v>
      </c>
      <c r="V116" s="724">
        <v>1413.0</v>
      </c>
      <c r="W116" s="724">
        <v>1858.0</v>
      </c>
      <c r="X116" s="724">
        <v>3547.0</v>
      </c>
      <c r="Y116" s="725">
        <v>115224.0</v>
      </c>
      <c r="Z116" s="691">
        <v>111.0</v>
      </c>
      <c r="AA116" s="40" t="s">
        <v>794</v>
      </c>
      <c r="AB116" s="724">
        <v>4.76</v>
      </c>
      <c r="AC116" s="726">
        <f t="shared" si="1"/>
        <v>1738.59</v>
      </c>
      <c r="AD116" s="724">
        <v>2551.0</v>
      </c>
      <c r="AE116" s="40">
        <v>0.61</v>
      </c>
      <c r="AF116" s="727">
        <v>0.0935</v>
      </c>
      <c r="AG116" s="40" t="s">
        <v>838</v>
      </c>
      <c r="AH116" s="728">
        <f>IFERROR(__xludf.DUMMYFUNCTION("$AH$4*(AVERAGE.WEIGHTED(IFERROR(INDEX(V:V,MATCH(AG116,U:U,0))/1,INDEX(AC:AC,MATCH(AG116,AA:AA,0))),$W$3,IFERROR(INDEX(AC:AC,MATCH(AG116,AA:AA,0))/1,INDEX(V:V,MATCH(AG116,U:U,0))),$AE$3))*INDEX(R:R,MATCH(AG116,Q:Q,0))"),3230.75808)</f>
        <v>3230.75808</v>
      </c>
      <c r="AI116" s="41"/>
      <c r="AK116" s="40">
        <v>46.0</v>
      </c>
      <c r="AL116" s="729" t="s">
        <v>1970</v>
      </c>
      <c r="AM116" s="729" t="s">
        <v>1967</v>
      </c>
      <c r="AN116" s="729" t="s">
        <v>1968</v>
      </c>
      <c r="AO116" s="730">
        <v>0.128</v>
      </c>
      <c r="AP116" s="730" t="s">
        <v>1969</v>
      </c>
    </row>
    <row r="117">
      <c r="A117" s="157" t="s">
        <v>785</v>
      </c>
      <c r="B117" s="157" t="s">
        <v>1420</v>
      </c>
      <c r="C117" s="706">
        <v>2021.0</v>
      </c>
      <c r="D117" s="707">
        <v>2827701.0</v>
      </c>
      <c r="E117" s="668"/>
      <c r="F117" s="157" t="s">
        <v>788</v>
      </c>
      <c r="G117" s="157" t="s">
        <v>1431</v>
      </c>
      <c r="H117" s="706">
        <v>2021.0</v>
      </c>
      <c r="I117" s="707">
        <v>21.535</v>
      </c>
      <c r="J117" s="706"/>
      <c r="K117" s="743"/>
      <c r="L117" s="706"/>
      <c r="M117" s="706"/>
      <c r="N117" s="706"/>
      <c r="O117" s="707"/>
      <c r="P117" s="709"/>
      <c r="Q117" s="710" t="s">
        <v>810</v>
      </c>
      <c r="R117" s="711">
        <v>0.37</v>
      </c>
      <c r="S117" s="41"/>
      <c r="T117" s="691">
        <v>112.0</v>
      </c>
      <c r="U117" s="40" t="s">
        <v>748</v>
      </c>
      <c r="V117" s="724">
        <v>1403.0</v>
      </c>
      <c r="W117" s="724">
        <v>1869.0</v>
      </c>
      <c r="X117" s="724">
        <v>5779.0</v>
      </c>
      <c r="Y117" s="725">
        <v>1136455.0</v>
      </c>
      <c r="Z117" s="691">
        <v>112.0</v>
      </c>
      <c r="AA117" s="40" t="s">
        <v>859</v>
      </c>
      <c r="AB117" s="724">
        <v>4.76</v>
      </c>
      <c r="AC117" s="726">
        <f t="shared" si="1"/>
        <v>1738.59</v>
      </c>
      <c r="AD117" s="724">
        <v>6994.0</v>
      </c>
      <c r="AE117" s="40">
        <v>0.71</v>
      </c>
      <c r="AF117" s="727">
        <v>0.1967</v>
      </c>
      <c r="AG117" s="40" t="s">
        <v>839</v>
      </c>
      <c r="AH117" s="728">
        <f>IFERROR(__xludf.DUMMYFUNCTION("$AH$4*(AVERAGE.WEIGHTED(IFERROR(INDEX(V:V,MATCH(AG117,U:U,0))/1,INDEX(AC:AC,MATCH(AG117,AA:AA,0))),$W$3,IFERROR(INDEX(AC:AC,MATCH(AG117,AA:AA,0))/1,INDEX(V:V,MATCH(AG117,U:U,0))),$AE$3))*INDEX(R:R,MATCH(AG117,Q:Q,0))"),1343.8854000000001)</f>
        <v>1343.8854</v>
      </c>
      <c r="AI117" s="41"/>
      <c r="AK117" s="40">
        <v>194.0</v>
      </c>
      <c r="AL117" s="719" t="s">
        <v>1971</v>
      </c>
      <c r="AM117" s="720" t="s">
        <v>1967</v>
      </c>
      <c r="AN117" s="720" t="s">
        <v>1968</v>
      </c>
      <c r="AO117" s="722">
        <v>0.128</v>
      </c>
      <c r="AP117" s="722" t="s">
        <v>1969</v>
      </c>
    </row>
    <row r="118">
      <c r="A118" s="157" t="s">
        <v>786</v>
      </c>
      <c r="B118" s="157" t="s">
        <v>1424</v>
      </c>
      <c r="C118" s="706">
        <v>2021.0</v>
      </c>
      <c r="D118" s="707">
        <v>1.24612528E8</v>
      </c>
      <c r="E118" s="668"/>
      <c r="F118" s="157" t="s">
        <v>789</v>
      </c>
      <c r="G118" s="157" t="s">
        <v>1433</v>
      </c>
      <c r="H118" s="706">
        <v>2021.0</v>
      </c>
      <c r="I118" s="707">
        <v>27.685</v>
      </c>
      <c r="J118" s="706"/>
      <c r="K118" s="743"/>
      <c r="L118" s="706"/>
      <c r="M118" s="706"/>
      <c r="N118" s="706"/>
      <c r="O118" s="707"/>
      <c r="P118" s="709"/>
      <c r="Q118" s="710" t="s">
        <v>811</v>
      </c>
      <c r="R118" s="711">
        <v>0.4</v>
      </c>
      <c r="S118" s="41"/>
      <c r="T118" s="691">
        <v>113.0</v>
      </c>
      <c r="U118" s="40" t="s">
        <v>736</v>
      </c>
      <c r="V118" s="724">
        <v>1401.0</v>
      </c>
      <c r="W118" s="724">
        <v>2050.0</v>
      </c>
      <c r="X118" s="724">
        <v>3194.0</v>
      </c>
      <c r="Y118" s="725">
        <v>852075.0</v>
      </c>
      <c r="Z118" s="691">
        <v>113.0</v>
      </c>
      <c r="AA118" s="40" t="s">
        <v>886</v>
      </c>
      <c r="AB118" s="724">
        <v>4.67</v>
      </c>
      <c r="AC118" s="726">
        <f t="shared" si="1"/>
        <v>1705.7175</v>
      </c>
      <c r="AD118" s="724">
        <v>3127.0</v>
      </c>
      <c r="AE118" s="40">
        <v>0.61</v>
      </c>
      <c r="AF118" s="727">
        <v>0.1416</v>
      </c>
      <c r="AG118" s="40" t="s">
        <v>840</v>
      </c>
      <c r="AH118" s="728">
        <f>IFERROR(__xludf.DUMMYFUNCTION("$AH$4*(AVERAGE.WEIGHTED(IFERROR(INDEX(V:V,MATCH(AG118,U:U,0))/1,INDEX(AC:AC,MATCH(AG118,AA:AA,0))),$W$3,IFERROR(INDEX(AC:AC,MATCH(AG118,AA:AA,0))/1,INDEX(V:V,MATCH(AG118,U:U,0))),$AE$3))*INDEX(R:R,MATCH(AG118,Q:Q,0))"),7535.77344)</f>
        <v>7535.77344</v>
      </c>
      <c r="AI118" s="41"/>
      <c r="AK118" s="40">
        <v>27.0</v>
      </c>
      <c r="AL118" s="738" t="s">
        <v>1972</v>
      </c>
      <c r="AM118" s="738" t="s">
        <v>1973</v>
      </c>
      <c r="AN118" s="738" t="s">
        <v>1744</v>
      </c>
      <c r="AO118" s="739">
        <v>0.125</v>
      </c>
      <c r="AP118" s="739" t="s">
        <v>1974</v>
      </c>
    </row>
    <row r="119">
      <c r="A119" s="157" t="s">
        <v>1044</v>
      </c>
      <c r="B119" s="157" t="s">
        <v>1965</v>
      </c>
      <c r="C119" s="706">
        <v>2021.0</v>
      </c>
      <c r="D119" s="707">
        <v>109634.0</v>
      </c>
      <c r="E119" s="668"/>
      <c r="F119" s="157" t="s">
        <v>790</v>
      </c>
      <c r="G119" s="157" t="s">
        <v>1437</v>
      </c>
      <c r="H119" s="706">
        <v>2021.0</v>
      </c>
      <c r="I119" s="707">
        <v>27.207</v>
      </c>
      <c r="J119" s="706"/>
      <c r="K119" s="743"/>
      <c r="L119" s="706"/>
      <c r="M119" s="706"/>
      <c r="N119" s="706"/>
      <c r="O119" s="707"/>
      <c r="P119" s="709"/>
      <c r="Q119" s="710" t="s">
        <v>812</v>
      </c>
      <c r="R119" s="711">
        <v>0.5</v>
      </c>
      <c r="S119" s="41"/>
      <c r="T119" s="691">
        <v>114.0</v>
      </c>
      <c r="U119" s="40" t="s">
        <v>833</v>
      </c>
      <c r="V119" s="724">
        <v>1399.0</v>
      </c>
      <c r="W119" s="724">
        <v>1797.0</v>
      </c>
      <c r="X119" s="724">
        <v>4898.0</v>
      </c>
      <c r="Y119" s="725">
        <v>2.40485658E8</v>
      </c>
      <c r="Z119" s="691">
        <v>114.0</v>
      </c>
      <c r="AA119" s="40" t="s">
        <v>850</v>
      </c>
      <c r="AB119" s="724">
        <v>4.44</v>
      </c>
      <c r="AC119" s="726">
        <f t="shared" si="1"/>
        <v>1621.71</v>
      </c>
      <c r="AD119" s="724">
        <v>1606.0</v>
      </c>
      <c r="AE119" s="40">
        <v>0.51</v>
      </c>
      <c r="AF119" s="727">
        <v>0.275</v>
      </c>
      <c r="AG119" s="40" t="s">
        <v>841</v>
      </c>
      <c r="AH119" s="728">
        <f>IFERROR(__xludf.DUMMYFUNCTION("$AH$4*(AVERAGE.WEIGHTED(IFERROR(INDEX(V:V,MATCH(AG119,U:U,0))/1,INDEX(AC:AC,MATCH(AG119,AA:AA,0))),$W$3,IFERROR(INDEX(AC:AC,MATCH(AG119,AA:AA,0))/1,INDEX(V:V,MATCH(AG119,U:U,0))),$AE$3))*INDEX(R:R,MATCH(AG119,Q:Q,0))"),12733.84728)</f>
        <v>12733.84728</v>
      </c>
      <c r="AI119" s="41"/>
      <c r="AK119" s="40">
        <v>79.0</v>
      </c>
      <c r="AL119" s="732" t="s">
        <v>1975</v>
      </c>
      <c r="AM119" s="733" t="s">
        <v>1976</v>
      </c>
      <c r="AN119" s="746"/>
      <c r="AO119" s="734">
        <v>0.122</v>
      </c>
      <c r="AP119" s="734" t="s">
        <v>1977</v>
      </c>
    </row>
    <row r="120">
      <c r="A120" s="157" t="s">
        <v>787</v>
      </c>
      <c r="B120" s="157" t="s">
        <v>1427</v>
      </c>
      <c r="C120" s="706">
        <v>2021.0</v>
      </c>
      <c r="D120" s="707">
        <v>1.1148288E7</v>
      </c>
      <c r="E120" s="668"/>
      <c r="F120" s="157" t="s">
        <v>791</v>
      </c>
      <c r="G120" s="157" t="s">
        <v>1978</v>
      </c>
      <c r="H120" s="706">
        <v>2021.0</v>
      </c>
      <c r="I120" s="707">
        <v>11.143</v>
      </c>
      <c r="J120" s="706"/>
      <c r="K120" s="743"/>
      <c r="L120" s="706"/>
      <c r="M120" s="706"/>
      <c r="N120" s="706"/>
      <c r="O120" s="707"/>
      <c r="P120" s="709"/>
      <c r="Q120" s="742" t="s">
        <v>1512</v>
      </c>
      <c r="R120" s="711">
        <v>0.98</v>
      </c>
      <c r="S120" s="41"/>
      <c r="T120" s="691">
        <v>115.0</v>
      </c>
      <c r="U120" s="40" t="s">
        <v>764</v>
      </c>
      <c r="V120" s="724">
        <v>1383.0</v>
      </c>
      <c r="W120" s="724">
        <v>1784.0</v>
      </c>
      <c r="X120" s="724">
        <v>2321.0</v>
      </c>
      <c r="Y120" s="725">
        <v>2773168.0</v>
      </c>
      <c r="Z120" s="691">
        <v>115.0</v>
      </c>
      <c r="AA120" s="40" t="s">
        <v>736</v>
      </c>
      <c r="AB120" s="724">
        <v>4.39</v>
      </c>
      <c r="AC120" s="726">
        <f t="shared" si="1"/>
        <v>1603.4475</v>
      </c>
      <c r="AD120" s="724">
        <v>1495.0</v>
      </c>
      <c r="AE120" s="40">
        <v>0.56</v>
      </c>
      <c r="AF120" s="727">
        <v>0.1832</v>
      </c>
      <c r="AG120" s="40" t="s">
        <v>843</v>
      </c>
      <c r="AH120" s="728">
        <f>IFERROR(__xludf.DUMMYFUNCTION("$AH$4*(AVERAGE.WEIGHTED(IFERROR(INDEX(V:V,MATCH(AG120,U:U,0))/1,INDEX(AC:AC,MATCH(AG120,AA:AA,0))),$W$3,IFERROR(INDEX(AC:AC,MATCH(AG120,AA:AA,0))/1,INDEX(V:V,MATCH(AG120,U:U,0))),$AE$3))*INDEX(R:R,MATCH(AG120,Q:Q,0))"),4841.18406)</f>
        <v>4841.18406</v>
      </c>
      <c r="AI120" s="41"/>
      <c r="AK120" s="40">
        <v>44.0</v>
      </c>
      <c r="AL120" s="729" t="s">
        <v>1979</v>
      </c>
      <c r="AM120" s="729" t="s">
        <v>1980</v>
      </c>
      <c r="AN120" s="729" t="s">
        <v>1981</v>
      </c>
      <c r="AO120" s="730">
        <v>0.114</v>
      </c>
      <c r="AP120" s="730" t="s">
        <v>1982</v>
      </c>
    </row>
    <row r="121">
      <c r="A121" s="157" t="s">
        <v>788</v>
      </c>
      <c r="B121" s="157" t="s">
        <v>1431</v>
      </c>
      <c r="C121" s="706">
        <v>2021.0</v>
      </c>
      <c r="D121" s="707">
        <v>1.9196468E7</v>
      </c>
      <c r="E121" s="668"/>
      <c r="F121" s="157" t="s">
        <v>792</v>
      </c>
      <c r="G121" s="157" t="s">
        <v>1441</v>
      </c>
      <c r="H121" s="706">
        <v>2021.0</v>
      </c>
      <c r="I121" s="707">
        <v>10.41</v>
      </c>
      <c r="J121" s="706"/>
      <c r="K121" s="743"/>
      <c r="L121" s="706"/>
      <c r="M121" s="706"/>
      <c r="N121" s="706"/>
      <c r="O121" s="707"/>
      <c r="P121" s="709"/>
      <c r="Q121" s="710" t="s">
        <v>814</v>
      </c>
      <c r="R121" s="711">
        <v>0.34</v>
      </c>
      <c r="S121" s="41"/>
      <c r="T121" s="691">
        <v>116.0</v>
      </c>
      <c r="U121" s="40" t="s">
        <v>886</v>
      </c>
      <c r="V121" s="724">
        <v>1379.0</v>
      </c>
      <c r="W121" s="724">
        <v>1781.0</v>
      </c>
      <c r="X121" s="724">
        <v>3292.0</v>
      </c>
      <c r="Y121" s="725">
        <v>334506.0</v>
      </c>
      <c r="Z121" s="691">
        <v>116.0</v>
      </c>
      <c r="AA121" s="94" t="s">
        <v>1169</v>
      </c>
      <c r="AB121" s="724">
        <v>4.35</v>
      </c>
      <c r="AC121" s="726">
        <f t="shared" si="1"/>
        <v>1588.8375</v>
      </c>
      <c r="AD121" s="724">
        <v>2579.0</v>
      </c>
      <c r="AE121" s="40">
        <v>0.55</v>
      </c>
      <c r="AF121" s="727">
        <v>0.2206</v>
      </c>
      <c r="AG121" s="40" t="s">
        <v>844</v>
      </c>
      <c r="AH121" s="728">
        <f>IFERROR(__xludf.DUMMYFUNCTION("$AH$4*(AVERAGE.WEIGHTED(IFERROR(INDEX(V:V,MATCH(AG121,U:U,0))/1,INDEX(AC:AC,MATCH(AG121,AA:AA,0))),$W$3,IFERROR(INDEX(AC:AC,MATCH(AG121,AA:AA,0))/1,INDEX(V:V,MATCH(AG121,U:U,0))),$AE$3))*INDEX(R:R,MATCH(AG121,Q:Q,0))"),4326.04074)</f>
        <v>4326.04074</v>
      </c>
      <c r="AI121" s="41"/>
      <c r="AK121" s="40">
        <v>49.0</v>
      </c>
      <c r="AL121" s="732" t="s">
        <v>1983</v>
      </c>
      <c r="AM121" s="733" t="s">
        <v>1980</v>
      </c>
      <c r="AN121" s="733" t="s">
        <v>1981</v>
      </c>
      <c r="AO121" s="734">
        <v>0.114</v>
      </c>
      <c r="AP121" s="734" t="s">
        <v>1982</v>
      </c>
    </row>
    <row r="122">
      <c r="A122" s="157" t="s">
        <v>789</v>
      </c>
      <c r="B122" s="157" t="s">
        <v>1433</v>
      </c>
      <c r="C122" s="706">
        <v>2021.0</v>
      </c>
      <c r="D122" s="707">
        <v>5.3005616E7</v>
      </c>
      <c r="E122" s="668"/>
      <c r="F122" s="157" t="s">
        <v>793</v>
      </c>
      <c r="G122" s="157" t="s">
        <v>1447</v>
      </c>
      <c r="H122" s="706">
        <v>2021.0</v>
      </c>
      <c r="I122" s="707">
        <v>24.126</v>
      </c>
      <c r="J122" s="706"/>
      <c r="K122" s="743"/>
      <c r="L122" s="706"/>
      <c r="M122" s="706"/>
      <c r="N122" s="706"/>
      <c r="O122" s="707"/>
      <c r="P122" s="709"/>
      <c r="Q122" s="710" t="s">
        <v>816</v>
      </c>
      <c r="R122" s="711">
        <v>0.36</v>
      </c>
      <c r="S122" s="41"/>
      <c r="T122" s="691">
        <v>117.0</v>
      </c>
      <c r="U122" s="40" t="s">
        <v>864</v>
      </c>
      <c r="V122" s="724">
        <v>1277.0</v>
      </c>
      <c r="W122" s="724">
        <v>1592.0</v>
      </c>
      <c r="X122" s="724">
        <v>4122.0</v>
      </c>
      <c r="Y122" s="725">
        <v>4.8109006E7</v>
      </c>
      <c r="Z122" s="691">
        <v>117.0</v>
      </c>
      <c r="AA122" s="504" t="s">
        <v>1512</v>
      </c>
      <c r="AB122" s="724">
        <v>4.23</v>
      </c>
      <c r="AC122" s="726">
        <f t="shared" si="1"/>
        <v>1545.0075</v>
      </c>
      <c r="AD122" s="724">
        <v>3477.0</v>
      </c>
      <c r="AE122" s="40">
        <v>0.63</v>
      </c>
      <c r="AF122" s="727">
        <v>0.1539</v>
      </c>
      <c r="AG122" s="40" t="s">
        <v>845</v>
      </c>
      <c r="AH122" s="728">
        <f>IFERROR(__xludf.DUMMYFUNCTION("$AH$4*(AVERAGE.WEIGHTED(IFERROR(INDEX(V:V,MATCH(AG122,U:U,0))/1,INDEX(AC:AC,MATCH(AG122,AA:AA,0))),$W$3,IFERROR(INDEX(AC:AC,MATCH(AG122,AA:AA,0))/1,INDEX(V:V,MATCH(AG122,U:U,0))),$AE$3))*INDEX(R:R,MATCH(AG122,Q:Q,0))"),445.51782000000003)</f>
        <v>445.51782</v>
      </c>
      <c r="AI122" s="41"/>
      <c r="AK122" s="40">
        <v>60.0</v>
      </c>
      <c r="AL122" s="729" t="s">
        <v>1984</v>
      </c>
      <c r="AM122" s="729" t="s">
        <v>1980</v>
      </c>
      <c r="AN122" s="729" t="s">
        <v>1981</v>
      </c>
      <c r="AO122" s="730">
        <v>0.114</v>
      </c>
      <c r="AP122" s="730" t="s">
        <v>1982</v>
      </c>
    </row>
    <row r="123">
      <c r="A123" s="157" t="s">
        <v>790</v>
      </c>
      <c r="B123" s="157" t="s">
        <v>1437</v>
      </c>
      <c r="C123" s="706">
        <v>2021.0</v>
      </c>
      <c r="D123" s="707">
        <v>128883.0</v>
      </c>
      <c r="E123" s="668"/>
      <c r="F123" s="158" t="s">
        <v>1985</v>
      </c>
      <c r="G123" s="157"/>
      <c r="H123" s="706">
        <v>2021.0</v>
      </c>
      <c r="I123" s="707">
        <v>31.239</v>
      </c>
      <c r="J123" s="706"/>
      <c r="K123" s="743"/>
      <c r="L123" s="706"/>
      <c r="M123" s="706"/>
      <c r="N123" s="706"/>
      <c r="O123" s="707"/>
      <c r="P123" s="709"/>
      <c r="Q123" s="710" t="s">
        <v>817</v>
      </c>
      <c r="R123" s="711">
        <v>0.41</v>
      </c>
      <c r="S123" s="41"/>
      <c r="T123" s="691">
        <v>118.0</v>
      </c>
      <c r="U123" s="40" t="s">
        <v>729</v>
      </c>
      <c r="V123" s="724">
        <v>1245.0</v>
      </c>
      <c r="W123" s="724">
        <v>1841.0</v>
      </c>
      <c r="X123" s="724">
        <v>3803.0</v>
      </c>
      <c r="Y123" s="725">
        <v>2.8647293E7</v>
      </c>
      <c r="Z123" s="691">
        <v>118.0</v>
      </c>
      <c r="AA123" s="40" t="s">
        <v>824</v>
      </c>
      <c r="AB123" s="724">
        <v>4.2</v>
      </c>
      <c r="AC123" s="726">
        <f t="shared" si="1"/>
        <v>1534.05</v>
      </c>
      <c r="AD123" s="724">
        <v>1223.0</v>
      </c>
      <c r="AE123" s="40">
        <v>0.6</v>
      </c>
      <c r="AF123" s="727">
        <v>0.0478</v>
      </c>
      <c r="AG123" s="40" t="s">
        <v>846</v>
      </c>
      <c r="AH123" s="728">
        <f>IFERROR(__xludf.DUMMYFUNCTION("$AH$4*(AVERAGE.WEIGHTED(IFERROR(INDEX(V:V,MATCH(AG123,U:U,0))/1,INDEX(AC:AC,MATCH(AG123,AA:AA,0))),$W$3,IFERROR(INDEX(AC:AC,MATCH(AG123,AA:AA,0))/1,INDEX(V:V,MATCH(AG123,U:U,0))),$AE$3))*INDEX(R:R,MATCH(AG123,Q:Q,0))"),6095.766600000001)</f>
        <v>6095.7666</v>
      </c>
      <c r="AI123" s="41"/>
      <c r="AK123" s="40">
        <v>91.0</v>
      </c>
      <c r="AL123" s="732" t="s">
        <v>1986</v>
      </c>
      <c r="AM123" s="733" t="s">
        <v>1980</v>
      </c>
      <c r="AN123" s="733" t="s">
        <v>1981</v>
      </c>
      <c r="AO123" s="734">
        <v>0.114</v>
      </c>
      <c r="AP123" s="734" t="s">
        <v>1982</v>
      </c>
    </row>
    <row r="124">
      <c r="A124" s="157" t="s">
        <v>791</v>
      </c>
      <c r="B124" s="157" t="s">
        <v>1978</v>
      </c>
      <c r="C124" s="706">
        <v>2021.0</v>
      </c>
      <c r="D124" s="707">
        <v>1662022.0</v>
      </c>
      <c r="E124" s="668"/>
      <c r="F124" s="157" t="s">
        <v>794</v>
      </c>
      <c r="G124" s="157" t="s">
        <v>1453</v>
      </c>
      <c r="H124" s="706">
        <v>2021.0</v>
      </c>
      <c r="I124" s="707">
        <v>21.973</v>
      </c>
      <c r="J124" s="706"/>
      <c r="K124" s="743"/>
      <c r="L124" s="706"/>
      <c r="M124" s="706"/>
      <c r="N124" s="706"/>
      <c r="O124" s="707"/>
      <c r="P124" s="709"/>
      <c r="Q124" s="710" t="s">
        <v>819</v>
      </c>
      <c r="R124" s="711">
        <v>0.43</v>
      </c>
      <c r="S124" s="41"/>
      <c r="T124" s="691">
        <v>119.0</v>
      </c>
      <c r="U124" s="40" t="s">
        <v>774</v>
      </c>
      <c r="V124" s="724">
        <v>1162.0</v>
      </c>
      <c r="W124" s="724">
        <v>1540.0</v>
      </c>
      <c r="X124" s="724">
        <v>3034.0</v>
      </c>
      <c r="Y124" s="725">
        <v>1.1724763E7</v>
      </c>
      <c r="Z124" s="691">
        <v>119.0</v>
      </c>
      <c r="AA124" s="40" t="s">
        <v>748</v>
      </c>
      <c r="AB124" s="724">
        <v>4.09</v>
      </c>
      <c r="AC124" s="726">
        <f t="shared" si="1"/>
        <v>1493.8725</v>
      </c>
      <c r="AD124" s="724">
        <v>3364.0</v>
      </c>
      <c r="AE124" s="40">
        <v>0.51</v>
      </c>
      <c r="AF124" s="727">
        <v>0.1427</v>
      </c>
      <c r="AG124" s="40" t="s">
        <v>847</v>
      </c>
      <c r="AH124" s="728">
        <f>IFERROR(__xludf.DUMMYFUNCTION("$AH$4*(AVERAGE.WEIGHTED(IFERROR(INDEX(V:V,MATCH(AG124,U:U,0))/1,INDEX(AC:AC,MATCH(AG124,AA:AA,0))),$W$3,IFERROR(INDEX(AC:AC,MATCH(AG124,AA:AA,0))/1,INDEX(V:V,MATCH(AG124,U:U,0))),$AE$3))*INDEX(R:R,MATCH(AG124,Q:Q,0))"),3196.62)</f>
        <v>3196.62</v>
      </c>
      <c r="AI124" s="41"/>
      <c r="AK124" s="40">
        <v>164.0</v>
      </c>
      <c r="AL124" s="729" t="s">
        <v>1987</v>
      </c>
      <c r="AM124" s="729" t="s">
        <v>1980</v>
      </c>
      <c r="AN124" s="729" t="s">
        <v>1981</v>
      </c>
      <c r="AO124" s="730">
        <v>0.114</v>
      </c>
      <c r="AP124" s="730" t="s">
        <v>1982</v>
      </c>
    </row>
    <row r="125">
      <c r="A125" s="157" t="s">
        <v>792</v>
      </c>
      <c r="B125" s="157" t="s">
        <v>1441</v>
      </c>
      <c r="C125" s="706">
        <v>2021.0</v>
      </c>
      <c r="D125" s="707">
        <v>4250111.0</v>
      </c>
      <c r="E125" s="668"/>
      <c r="F125" s="158" t="s">
        <v>1988</v>
      </c>
      <c r="G125" s="157"/>
      <c r="H125" s="706">
        <v>2021.0</v>
      </c>
      <c r="I125" s="707">
        <v>14.796</v>
      </c>
      <c r="J125" s="706"/>
      <c r="K125" s="743"/>
      <c r="L125" s="706"/>
      <c r="M125" s="706"/>
      <c r="N125" s="706"/>
      <c r="O125" s="707"/>
      <c r="P125" s="709"/>
      <c r="Q125" s="710" t="s">
        <v>820</v>
      </c>
      <c r="R125" s="711">
        <v>0.36</v>
      </c>
      <c r="S125" s="41"/>
      <c r="T125" s="691">
        <v>120.0</v>
      </c>
      <c r="U125" s="40" t="s">
        <v>797</v>
      </c>
      <c r="V125" s="724">
        <v>1157.0</v>
      </c>
      <c r="W125" s="724">
        <v>1659.0</v>
      </c>
      <c r="X125" s="724">
        <v>2824.0</v>
      </c>
      <c r="Y125" s="725">
        <v>2330318.0</v>
      </c>
      <c r="Z125" s="691">
        <v>120.0</v>
      </c>
      <c r="AA125" s="40" t="s">
        <v>833</v>
      </c>
      <c r="AB125" s="724">
        <v>4.07</v>
      </c>
      <c r="AC125" s="726">
        <f t="shared" si="1"/>
        <v>1486.5675</v>
      </c>
      <c r="AD125" s="724">
        <v>1538.0</v>
      </c>
      <c r="AE125" s="40">
        <v>0.54</v>
      </c>
      <c r="AF125" s="727">
        <v>0.0429</v>
      </c>
      <c r="AG125" s="40" t="s">
        <v>1989</v>
      </c>
      <c r="AH125" s="728">
        <f>IFERROR(__xludf.DUMMYFUNCTION("$AH$4*(AVERAGE.WEIGHTED(IFERROR(INDEX(V:V,MATCH(AG125,U:U,0))/1,INDEX(AC:AC,MATCH(AG125,AA:AA,0))),$W$3,IFERROR(INDEX(AC:AC,MATCH(AG125,AA:AA,0))/1,INDEX(V:V,MATCH(AG125,U:U,0))),$AE$3))*INDEX(R:R,MATCH(AG125,Q:Q,0))"),1192.5)</f>
        <v>1192.5</v>
      </c>
      <c r="AI125" s="41"/>
      <c r="AK125" s="40">
        <v>183.0</v>
      </c>
      <c r="AL125" s="732" t="s">
        <v>1990</v>
      </c>
      <c r="AM125" s="733" t="s">
        <v>1980</v>
      </c>
      <c r="AN125" s="733" t="s">
        <v>1981</v>
      </c>
      <c r="AO125" s="734">
        <v>0.114</v>
      </c>
      <c r="AP125" s="734" t="s">
        <v>1982</v>
      </c>
    </row>
    <row r="126">
      <c r="A126" s="157" t="s">
        <v>793</v>
      </c>
      <c r="B126" s="157" t="s">
        <v>1447</v>
      </c>
      <c r="C126" s="706">
        <v>2021.0</v>
      </c>
      <c r="D126" s="707">
        <v>6527742.0</v>
      </c>
      <c r="E126" s="668"/>
      <c r="F126" s="157" t="s">
        <v>795</v>
      </c>
      <c r="G126" s="157" t="s">
        <v>1457</v>
      </c>
      <c r="H126" s="706">
        <v>2021.0</v>
      </c>
      <c r="I126" s="707">
        <v>9.068</v>
      </c>
      <c r="J126" s="706"/>
      <c r="K126" s="743"/>
      <c r="L126" s="706"/>
      <c r="M126" s="706"/>
      <c r="N126" s="706"/>
      <c r="O126" s="707"/>
      <c r="P126" s="709"/>
      <c r="Q126" s="710" t="s">
        <v>821</v>
      </c>
      <c r="R126" s="711">
        <v>0.27</v>
      </c>
      <c r="S126" s="41"/>
      <c r="T126" s="691">
        <v>121.0</v>
      </c>
      <c r="U126" s="40" t="s">
        <v>824</v>
      </c>
      <c r="V126" s="724">
        <v>1155.0</v>
      </c>
      <c r="W126" s="724">
        <v>1428.0</v>
      </c>
      <c r="X126" s="724">
        <v>3567.0</v>
      </c>
      <c r="Y126" s="725">
        <v>3.089659E7</v>
      </c>
      <c r="Z126" s="691">
        <v>121.0</v>
      </c>
      <c r="AA126" s="504" t="s">
        <v>1989</v>
      </c>
      <c r="AB126" s="724">
        <v>4.0</v>
      </c>
      <c r="AC126" s="726">
        <f t="shared" si="1"/>
        <v>1461</v>
      </c>
      <c r="AD126" s="724">
        <v>2449.0</v>
      </c>
      <c r="AE126" s="40">
        <v>0.62</v>
      </c>
      <c r="AF126" s="727">
        <v>0.3545</v>
      </c>
      <c r="AG126" s="40" t="s">
        <v>850</v>
      </c>
      <c r="AH126" s="728">
        <f>IFERROR(__xludf.DUMMYFUNCTION("$AH$4*(AVERAGE.WEIGHTED(IFERROR(INDEX(V:V,MATCH(AG126,U:U,0))/1,INDEX(AC:AC,MATCH(AG126,AA:AA,0))),$W$3,IFERROR(INDEX(AC:AC,MATCH(AG126,AA:AA,0))/1,INDEX(V:V,MATCH(AG126,U:U,0))),$AE$3))*INDEX(R:R,MATCH(AG126,Q:Q,0))"),993.37224)</f>
        <v>993.37224</v>
      </c>
      <c r="AI126" s="41"/>
      <c r="AK126" s="40">
        <v>188.0</v>
      </c>
      <c r="AL126" s="729" t="s">
        <v>1991</v>
      </c>
      <c r="AM126" s="729" t="s">
        <v>1980</v>
      </c>
      <c r="AN126" s="729" t="s">
        <v>1981</v>
      </c>
      <c r="AO126" s="730">
        <v>0.114</v>
      </c>
      <c r="AP126" s="730" t="s">
        <v>1982</v>
      </c>
    </row>
    <row r="127">
      <c r="A127" s="157" t="s">
        <v>794</v>
      </c>
      <c r="B127" s="157" t="s">
        <v>1453</v>
      </c>
      <c r="C127" s="706">
        <v>2021.0</v>
      </c>
      <c r="D127" s="707">
        <v>7425055.0</v>
      </c>
      <c r="E127" s="668"/>
      <c r="F127" s="158" t="s">
        <v>1992</v>
      </c>
      <c r="G127" s="157"/>
      <c r="H127" s="706">
        <v>2021.0</v>
      </c>
      <c r="I127" s="707">
        <v>31.317</v>
      </c>
      <c r="J127" s="706"/>
      <c r="K127" s="743"/>
      <c r="L127" s="706"/>
      <c r="M127" s="706"/>
      <c r="N127" s="706"/>
      <c r="O127" s="707"/>
      <c r="P127" s="709"/>
      <c r="Q127" s="710" t="s">
        <v>822</v>
      </c>
      <c r="R127" s="711">
        <v>0.48</v>
      </c>
      <c r="S127" s="41"/>
      <c r="T127" s="691">
        <v>122.0</v>
      </c>
      <c r="U127" s="40" t="s">
        <v>890</v>
      </c>
      <c r="V127" s="724">
        <v>1150.0</v>
      </c>
      <c r="W127" s="724">
        <v>1503.0</v>
      </c>
      <c r="X127" s="724">
        <v>3688.0</v>
      </c>
      <c r="Y127" s="725">
        <v>3.4449825E7</v>
      </c>
      <c r="Z127" s="691">
        <v>122.0</v>
      </c>
      <c r="AA127" s="504" t="s">
        <v>764</v>
      </c>
      <c r="AB127" s="724">
        <v>3.95</v>
      </c>
      <c r="AC127" s="726">
        <f t="shared" si="1"/>
        <v>1442.7375</v>
      </c>
      <c r="AD127" s="724">
        <v>836.0</v>
      </c>
      <c r="AE127" s="40">
        <v>0.5</v>
      </c>
      <c r="AF127" s="727">
        <v>0.0798</v>
      </c>
      <c r="AG127" s="40" t="s">
        <v>851</v>
      </c>
      <c r="AH127" s="728">
        <f>IFERROR(__xludf.DUMMYFUNCTION("$AH$4*(AVERAGE.WEIGHTED(IFERROR(INDEX(V:V,MATCH(AG127,U:U,0))/1,INDEX(AC:AC,MATCH(AG127,AA:AA,0))),$W$3,IFERROR(INDEX(AC:AC,MATCH(AG127,AA:AA,0))/1,INDEX(V:V,MATCH(AG127,U:U,0))),$AE$3))*INDEX(R:R,MATCH(AG127,Q:Q,0))"),3937.1832)</f>
        <v>3937.1832</v>
      </c>
      <c r="AI127" s="41"/>
      <c r="AK127" s="40">
        <v>195.0</v>
      </c>
      <c r="AL127" s="732" t="s">
        <v>1993</v>
      </c>
      <c r="AM127" s="733" t="s">
        <v>1994</v>
      </c>
      <c r="AN127" s="733" t="s">
        <v>1995</v>
      </c>
      <c r="AO127" s="734">
        <v>0.109</v>
      </c>
      <c r="AP127" s="734" t="s">
        <v>1996</v>
      </c>
    </row>
    <row r="128">
      <c r="A128" s="158" t="s">
        <v>1988</v>
      </c>
      <c r="B128" s="157"/>
      <c r="C128" s="706">
        <v>2021.0</v>
      </c>
      <c r="D128" s="707">
        <v>6.56098112E8</v>
      </c>
      <c r="E128" s="668"/>
      <c r="F128" s="157" t="s">
        <v>796</v>
      </c>
      <c r="G128" s="157" t="s">
        <v>1462</v>
      </c>
      <c r="H128" s="706">
        <v>2021.0</v>
      </c>
      <c r="I128" s="707">
        <v>14.948</v>
      </c>
      <c r="J128" s="706"/>
      <c r="K128" s="743"/>
      <c r="L128" s="706"/>
      <c r="M128" s="706"/>
      <c r="N128" s="706"/>
      <c r="O128" s="707"/>
      <c r="P128" s="709"/>
      <c r="Q128" s="710" t="s">
        <v>823</v>
      </c>
      <c r="R128" s="711">
        <v>0.81</v>
      </c>
      <c r="S128" s="41"/>
      <c r="T128" s="691">
        <v>123.0</v>
      </c>
      <c r="U128" s="40" t="s">
        <v>400</v>
      </c>
      <c r="V128" s="724">
        <v>1131.0</v>
      </c>
      <c r="W128" s="724">
        <v>1414.0</v>
      </c>
      <c r="X128" s="724">
        <v>4964.0</v>
      </c>
      <c r="Y128" s="725">
        <v>1.72954319E8</v>
      </c>
      <c r="Z128" s="691">
        <v>123.0</v>
      </c>
      <c r="AA128" s="40" t="s">
        <v>729</v>
      </c>
      <c r="AB128" s="724">
        <v>3.89</v>
      </c>
      <c r="AC128" s="726">
        <f t="shared" si="1"/>
        <v>1420.8225</v>
      </c>
      <c r="AD128" s="724">
        <v>1662.0</v>
      </c>
      <c r="AE128" s="40">
        <v>0.58</v>
      </c>
      <c r="AF128" s="727">
        <v>0.2277</v>
      </c>
      <c r="AG128" s="40" t="s">
        <v>852</v>
      </c>
      <c r="AH128" s="728">
        <f>IFERROR(__xludf.DUMMYFUNCTION("$AH$4*(AVERAGE.WEIGHTED(IFERROR(INDEX(V:V,MATCH(AG128,U:U,0))/1,INDEX(AC:AC,MATCH(AG128,AA:AA,0))),$W$3,IFERROR(INDEX(AC:AC,MATCH(AG128,AA:AA,0))/1,INDEX(V:V,MATCH(AG128,U:U,0))),$AE$3))*INDEX(R:R,MATCH(AG128,Q:Q,0))"),5554.362000000001)</f>
        <v>5554.362</v>
      </c>
      <c r="AI128" s="41"/>
      <c r="AK128" s="40">
        <v>147.0</v>
      </c>
      <c r="AL128" s="738" t="s">
        <v>1997</v>
      </c>
      <c r="AM128" s="738" t="s">
        <v>1998</v>
      </c>
      <c r="AN128" s="738" t="s">
        <v>1744</v>
      </c>
      <c r="AO128" s="739">
        <v>0.099</v>
      </c>
      <c r="AP128" s="739" t="s">
        <v>1999</v>
      </c>
    </row>
    <row r="129">
      <c r="A129" s="157" t="s">
        <v>795</v>
      </c>
      <c r="B129" s="157" t="s">
        <v>1457</v>
      </c>
      <c r="C129" s="706">
        <v>2021.0</v>
      </c>
      <c r="D129" s="707">
        <v>1873926.0</v>
      </c>
      <c r="E129" s="668"/>
      <c r="F129" s="157" t="s">
        <v>797</v>
      </c>
      <c r="G129" s="157" t="s">
        <v>1466</v>
      </c>
      <c r="H129" s="706">
        <v>2021.0</v>
      </c>
      <c r="I129" s="707">
        <v>26.107</v>
      </c>
      <c r="J129" s="706"/>
      <c r="K129" s="743"/>
      <c r="L129" s="706"/>
      <c r="M129" s="706"/>
      <c r="N129" s="706"/>
      <c r="O129" s="707"/>
      <c r="P129" s="709"/>
      <c r="Q129" s="710" t="s">
        <v>824</v>
      </c>
      <c r="R129" s="711">
        <v>0.29</v>
      </c>
      <c r="S129" s="41"/>
      <c r="T129" s="691">
        <v>124.0</v>
      </c>
      <c r="U129" s="40" t="s">
        <v>758</v>
      </c>
      <c r="V129" s="724">
        <v>1097.0</v>
      </c>
      <c r="W129" s="724">
        <v>2091.0</v>
      </c>
      <c r="X129" s="724">
        <v>9003.0</v>
      </c>
      <c r="Y129" s="725">
        <v>1210822.0</v>
      </c>
      <c r="Z129" s="691">
        <v>124.0</v>
      </c>
      <c r="AA129" s="40" t="s">
        <v>778</v>
      </c>
      <c r="AB129" s="724">
        <v>3.89</v>
      </c>
      <c r="AC129" s="726">
        <f t="shared" si="1"/>
        <v>1420.8225</v>
      </c>
      <c r="AD129" s="724">
        <v>2277.0</v>
      </c>
      <c r="AE129" s="40">
        <v>0.63</v>
      </c>
      <c r="AF129" s="61"/>
      <c r="AG129" s="40" t="s">
        <v>853</v>
      </c>
      <c r="AH129" s="728">
        <f>IFERROR(__xludf.DUMMYFUNCTION("$AH$4*(AVERAGE.WEIGHTED(IFERROR(INDEX(V:V,MATCH(AG129,U:U,0))/1,INDEX(AC:AC,MATCH(AG129,AA:AA,0))),$W$3,IFERROR(INDEX(AC:AC,MATCH(AG129,AA:AA,0))/1,INDEX(V:V,MATCH(AG129,U:U,0))),$AE$3))*INDEX(R:R,MATCH(AG129,Q:Q,0))"),481.38624000000004)</f>
        <v>481.38624</v>
      </c>
      <c r="AI129" s="41"/>
      <c r="AK129" s="40">
        <v>26.0</v>
      </c>
      <c r="AL129" s="719" t="s">
        <v>2000</v>
      </c>
      <c r="AM129" s="720" t="s">
        <v>2001</v>
      </c>
      <c r="AN129" s="720" t="s">
        <v>1744</v>
      </c>
      <c r="AO129" s="722">
        <v>0.081</v>
      </c>
      <c r="AP129" s="722" t="s">
        <v>2002</v>
      </c>
    </row>
    <row r="130">
      <c r="A130" s="157" t="s">
        <v>796</v>
      </c>
      <c r="B130" s="157" t="s">
        <v>1462</v>
      </c>
      <c r="C130" s="706">
        <v>2021.0</v>
      </c>
      <c r="D130" s="707">
        <v>5592626.0</v>
      </c>
      <c r="E130" s="668"/>
      <c r="F130" s="158" t="s">
        <v>2003</v>
      </c>
      <c r="G130" s="157"/>
      <c r="H130" s="706">
        <v>2021.0</v>
      </c>
      <c r="I130" s="707">
        <v>18.363</v>
      </c>
      <c r="J130" s="706"/>
      <c r="K130" s="743"/>
      <c r="L130" s="706"/>
      <c r="M130" s="706"/>
      <c r="N130" s="706"/>
      <c r="O130" s="707"/>
      <c r="P130" s="709"/>
      <c r="Q130" s="710" t="s">
        <v>825</v>
      </c>
      <c r="R130" s="711">
        <v>0.91</v>
      </c>
      <c r="S130" s="41"/>
      <c r="T130" s="691">
        <v>125.0</v>
      </c>
      <c r="U130" s="40" t="s">
        <v>794</v>
      </c>
      <c r="V130" s="724">
        <v>1065.0</v>
      </c>
      <c r="W130" s="724">
        <v>1389.0</v>
      </c>
      <c r="X130" s="724">
        <v>8172.0</v>
      </c>
      <c r="Y130" s="725">
        <v>7633779.0</v>
      </c>
      <c r="Z130" s="691">
        <v>125.0</v>
      </c>
      <c r="AA130" s="40" t="s">
        <v>771</v>
      </c>
      <c r="AB130" s="724">
        <v>3.8</v>
      </c>
      <c r="AC130" s="726">
        <f t="shared" si="1"/>
        <v>1387.95</v>
      </c>
      <c r="AD130" s="724">
        <v>1174.0</v>
      </c>
      <c r="AE130" s="40">
        <v>0.47</v>
      </c>
      <c r="AF130" s="727">
        <v>0.2126</v>
      </c>
      <c r="AG130" s="40" t="s">
        <v>855</v>
      </c>
      <c r="AH130" s="728">
        <f>IFERROR(__xludf.DUMMYFUNCTION("$AH$4*(AVERAGE.WEIGHTED(IFERROR(INDEX(V:V,MATCH(AG130,U:U,0))/1,INDEX(AC:AC,MATCH(AG130,AA:AA,0))),$W$3,IFERROR(INDEX(AC:AC,MATCH(AG130,AA:AA,0))/1,INDEX(V:V,MATCH(AG130,U:U,0))),$AE$3))*INDEX(R:R,MATCH(AG130,Q:Q,0))"),10767.40608)</f>
        <v>10767.40608</v>
      </c>
      <c r="AI130" s="41"/>
      <c r="AK130" s="40">
        <v>25.0</v>
      </c>
      <c r="AL130" s="738" t="s">
        <v>2004</v>
      </c>
      <c r="AM130" s="738" t="s">
        <v>2005</v>
      </c>
      <c r="AN130" s="738" t="s">
        <v>2006</v>
      </c>
      <c r="AO130" s="739">
        <v>0.078</v>
      </c>
      <c r="AP130" s="739" t="s">
        <v>2007</v>
      </c>
    </row>
    <row r="131">
      <c r="A131" s="157" t="s">
        <v>797</v>
      </c>
      <c r="B131" s="157" t="s">
        <v>1466</v>
      </c>
      <c r="C131" s="706">
        <v>2021.0</v>
      </c>
      <c r="D131" s="707">
        <v>2281464.0</v>
      </c>
      <c r="E131" s="668"/>
      <c r="F131" s="158" t="s">
        <v>2008</v>
      </c>
      <c r="G131" s="157"/>
      <c r="H131" s="706">
        <v>2021.0</v>
      </c>
      <c r="I131" s="707">
        <v>21.385</v>
      </c>
      <c r="J131" s="706"/>
      <c r="K131" s="743"/>
      <c r="L131" s="706"/>
      <c r="M131" s="706"/>
      <c r="N131" s="706"/>
      <c r="O131" s="707"/>
      <c r="P131" s="709"/>
      <c r="Q131" s="710" t="s">
        <v>826</v>
      </c>
      <c r="R131" s="711">
        <v>1.05</v>
      </c>
      <c r="S131" s="41"/>
      <c r="T131" s="691">
        <v>126.0</v>
      </c>
      <c r="U131" s="40" t="s">
        <v>857</v>
      </c>
      <c r="V131" s="724">
        <v>1028.0</v>
      </c>
      <c r="W131" s="724">
        <v>1333.0</v>
      </c>
      <c r="X131" s="724">
        <v>2780.0</v>
      </c>
      <c r="Y131" s="725">
        <v>740424.0</v>
      </c>
      <c r="Z131" s="691">
        <v>126.0</v>
      </c>
      <c r="AA131" s="40" t="s">
        <v>807</v>
      </c>
      <c r="AB131" s="724">
        <v>3.78</v>
      </c>
      <c r="AC131" s="726">
        <f t="shared" si="1"/>
        <v>1380.645</v>
      </c>
      <c r="AD131" s="724">
        <v>918.0</v>
      </c>
      <c r="AE131" s="40">
        <v>0.43</v>
      </c>
      <c r="AF131" s="727">
        <v>0.4226</v>
      </c>
      <c r="AG131" s="40" t="s">
        <v>856</v>
      </c>
      <c r="AH131" s="728">
        <f>IFERROR(__xludf.DUMMYFUNCTION("$AH$4*(AVERAGE.WEIGHTED(IFERROR(INDEX(V:V,MATCH(AG131,U:U,0))/1,INDEX(AC:AC,MATCH(AG131,AA:AA,0))),$W$3,IFERROR(INDEX(AC:AC,MATCH(AG131,AA:AA,0))/1,INDEX(V:V,MATCH(AG131,U:U,0))),$AE$3))*INDEX(R:R,MATCH(AG131,Q:Q,0))"),17282.985)</f>
        <v>17282.985</v>
      </c>
      <c r="AI131" s="41"/>
      <c r="AK131" s="40">
        <v>78.0</v>
      </c>
      <c r="AL131" s="719" t="s">
        <v>2009</v>
      </c>
      <c r="AM131" s="720" t="s">
        <v>2010</v>
      </c>
      <c r="AN131" s="720" t="s">
        <v>2011</v>
      </c>
      <c r="AO131" s="722">
        <v>0.074</v>
      </c>
      <c r="AP131" s="722" t="s">
        <v>2012</v>
      </c>
    </row>
    <row r="132">
      <c r="A132" s="157" t="s">
        <v>798</v>
      </c>
      <c r="B132" s="157" t="s">
        <v>1470</v>
      </c>
      <c r="C132" s="706">
        <v>2021.0</v>
      </c>
      <c r="D132" s="707">
        <v>5193422.0</v>
      </c>
      <c r="E132" s="668"/>
      <c r="F132" s="158" t="s">
        <v>2013</v>
      </c>
      <c r="G132" s="157"/>
      <c r="H132" s="706">
        <v>2021.0</v>
      </c>
      <c r="I132" s="707">
        <v>15.788</v>
      </c>
      <c r="J132" s="706"/>
      <c r="K132" s="743"/>
      <c r="L132" s="706"/>
      <c r="M132" s="706"/>
      <c r="N132" s="706"/>
      <c r="O132" s="707"/>
      <c r="P132" s="709"/>
      <c r="Q132" s="710" t="s">
        <v>827</v>
      </c>
      <c r="R132" s="711">
        <v>0.33</v>
      </c>
      <c r="S132" s="41"/>
      <c r="T132" s="691">
        <v>127.0</v>
      </c>
      <c r="U132" s="94" t="s">
        <v>1169</v>
      </c>
      <c r="V132" s="724">
        <v>987.0</v>
      </c>
      <c r="W132" s="724">
        <v>1358.0</v>
      </c>
      <c r="X132" s="724">
        <v>5443.0</v>
      </c>
      <c r="Y132" s="725">
        <v>2.8873034E7</v>
      </c>
      <c r="Z132" s="691">
        <v>127.0</v>
      </c>
      <c r="AA132" s="40" t="s">
        <v>767</v>
      </c>
      <c r="AB132" s="724">
        <v>3.73</v>
      </c>
      <c r="AC132" s="726">
        <f t="shared" si="1"/>
        <v>1362.3825</v>
      </c>
      <c r="AD132" s="724">
        <v>2445.0</v>
      </c>
      <c r="AE132" s="40">
        <v>0.63</v>
      </c>
      <c r="AF132" s="727">
        <v>0.107</v>
      </c>
      <c r="AG132" s="40" t="s">
        <v>857</v>
      </c>
      <c r="AH132" s="728">
        <f>IFERROR(__xludf.DUMMYFUNCTION("$AH$4*(AVERAGE.WEIGHTED(IFERROR(INDEX(V:V,MATCH(AG132,U:U,0))/1,INDEX(AC:AC,MATCH(AG132,AA:AA,0))),$W$3,IFERROR(INDEX(AC:AC,MATCH(AG132,AA:AA,0))/1,INDEX(V:V,MATCH(AG132,U:U,0))),$AE$3))*INDEX(R:R,MATCH(AG132,Q:Q,0))"),1861.2954)</f>
        <v>1861.2954</v>
      </c>
      <c r="AI132" s="41"/>
      <c r="AK132" s="40">
        <v>84.0</v>
      </c>
      <c r="AL132" s="729" t="s">
        <v>2014</v>
      </c>
      <c r="AM132" s="729" t="s">
        <v>2015</v>
      </c>
      <c r="AN132" s="729" t="s">
        <v>2016</v>
      </c>
      <c r="AO132" s="730">
        <v>0.074</v>
      </c>
      <c r="AP132" s="730" t="s">
        <v>2017</v>
      </c>
    </row>
    <row r="133">
      <c r="A133" s="157" t="s">
        <v>799</v>
      </c>
      <c r="B133" s="157" t="s">
        <v>1474</v>
      </c>
      <c r="C133" s="706">
        <v>2021.0</v>
      </c>
      <c r="D133" s="707">
        <v>6735280.0</v>
      </c>
      <c r="E133" s="668"/>
      <c r="F133" s="157" t="s">
        <v>798</v>
      </c>
      <c r="G133" s="157" t="s">
        <v>1470</v>
      </c>
      <c r="H133" s="706">
        <v>2021.0</v>
      </c>
      <c r="I133" s="707">
        <v>31.287</v>
      </c>
      <c r="J133" s="706"/>
      <c r="K133" s="743"/>
      <c r="L133" s="706"/>
      <c r="M133" s="706"/>
      <c r="N133" s="706"/>
      <c r="O133" s="707"/>
      <c r="P133" s="709"/>
      <c r="Q133" s="710" t="s">
        <v>828</v>
      </c>
      <c r="R133" s="711">
        <v>0.45</v>
      </c>
      <c r="S133" s="41"/>
      <c r="T133" s="691">
        <v>128.0</v>
      </c>
      <c r="U133" s="40" t="s">
        <v>1645</v>
      </c>
      <c r="V133" s="724">
        <v>970.0</v>
      </c>
      <c r="W133" s="724">
        <v>1147.0</v>
      </c>
      <c r="X133" s="724">
        <v>3709.0</v>
      </c>
      <c r="Y133" s="725">
        <v>1360596.0</v>
      </c>
      <c r="Z133" s="691">
        <v>128.0</v>
      </c>
      <c r="AA133" s="40" t="s">
        <v>864</v>
      </c>
      <c r="AB133" s="724">
        <v>3.66</v>
      </c>
      <c r="AC133" s="726">
        <f t="shared" si="1"/>
        <v>1336.815</v>
      </c>
      <c r="AD133" s="724">
        <v>764.0</v>
      </c>
      <c r="AE133" s="40">
        <v>0.51</v>
      </c>
      <c r="AF133" s="727">
        <v>0.1362</v>
      </c>
      <c r="AG133" s="40" t="s">
        <v>859</v>
      </c>
      <c r="AH133" s="728">
        <f>IFERROR(__xludf.DUMMYFUNCTION("$AH$4*(AVERAGE.WEIGHTED(IFERROR(INDEX(V:V,MATCH(AG133,U:U,0))/1,INDEX(AC:AC,MATCH(AG133,AA:AA,0))),$W$3,IFERROR(INDEX(AC:AC,MATCH(AG133,AA:AA,0))/1,INDEX(V:V,MATCH(AG133,U:U,0))),$AE$3))*INDEX(R:R,MATCH(AG133,Q:Q,0))"),1603.0425599999999)</f>
        <v>1603.04256</v>
      </c>
      <c r="AI133" s="41"/>
      <c r="AK133" s="40">
        <v>177.0</v>
      </c>
      <c r="AL133" s="732" t="s">
        <v>2018</v>
      </c>
      <c r="AM133" s="733" t="s">
        <v>2015</v>
      </c>
      <c r="AN133" s="733" t="s">
        <v>2016</v>
      </c>
      <c r="AO133" s="734">
        <v>0.074</v>
      </c>
      <c r="AP133" s="734" t="s">
        <v>2017</v>
      </c>
    </row>
    <row r="134">
      <c r="A134" s="157" t="s">
        <v>800</v>
      </c>
      <c r="B134" s="157" t="s">
        <v>1479</v>
      </c>
      <c r="C134" s="706">
        <v>2021.0</v>
      </c>
      <c r="D134" s="707">
        <v>39058.0</v>
      </c>
      <c r="E134" s="668"/>
      <c r="F134" s="157" t="s">
        <v>799</v>
      </c>
      <c r="G134" s="157" t="s">
        <v>1474</v>
      </c>
      <c r="H134" s="706">
        <v>2021.0</v>
      </c>
      <c r="I134" s="707">
        <v>17.828</v>
      </c>
      <c r="J134" s="706"/>
      <c r="K134" s="743"/>
      <c r="L134" s="706"/>
      <c r="M134" s="706"/>
      <c r="N134" s="706"/>
      <c r="O134" s="707"/>
      <c r="P134" s="709"/>
      <c r="Q134" s="710" t="s">
        <v>829</v>
      </c>
      <c r="R134" s="711">
        <v>0.38</v>
      </c>
      <c r="S134" s="41"/>
      <c r="T134" s="691">
        <v>129.0</v>
      </c>
      <c r="U134" s="40" t="s">
        <v>892</v>
      </c>
      <c r="V134" s="724">
        <v>932.0</v>
      </c>
      <c r="W134" s="724">
        <v>1429.0</v>
      </c>
      <c r="X134" s="724">
        <v>2961.0</v>
      </c>
      <c r="Y134" s="725">
        <v>1.6665409E7</v>
      </c>
      <c r="Z134" s="691">
        <v>129.0</v>
      </c>
      <c r="AA134" s="40" t="s">
        <v>400</v>
      </c>
      <c r="AB134" s="724">
        <v>3.58</v>
      </c>
      <c r="AC134" s="726">
        <f t="shared" si="1"/>
        <v>1307.595</v>
      </c>
      <c r="AD134" s="724">
        <v>2503.0</v>
      </c>
      <c r="AE134" s="40">
        <v>0.66</v>
      </c>
      <c r="AF134" s="727">
        <v>0.0662</v>
      </c>
      <c r="AG134" s="40" t="s">
        <v>860</v>
      </c>
      <c r="AH134" s="728">
        <f>IFERROR(__xludf.DUMMYFUNCTION("$AH$4*(AVERAGE.WEIGHTED(IFERROR(INDEX(V:V,MATCH(AG134,U:U,0))/1,INDEX(AC:AC,MATCH(AG134,AA:AA,0))),$W$3,IFERROR(INDEX(AC:AC,MATCH(AG134,AA:AA,0))/1,INDEX(V:V,MATCH(AG134,U:U,0))),$AE$3))*INDEX(R:R,MATCH(AG134,Q:Q,0))"),19240.713359999998)</f>
        <v>19240.71336</v>
      </c>
      <c r="AI134" s="41"/>
      <c r="AK134" s="40">
        <v>161.0</v>
      </c>
      <c r="AL134" s="738" t="s">
        <v>2019</v>
      </c>
      <c r="AM134" s="738" t="s">
        <v>2020</v>
      </c>
      <c r="AN134" s="738" t="s">
        <v>2021</v>
      </c>
      <c r="AO134" s="739">
        <v>0.072</v>
      </c>
      <c r="AP134" s="739" t="s">
        <v>2022</v>
      </c>
    </row>
    <row r="135">
      <c r="A135" s="157" t="s">
        <v>801</v>
      </c>
      <c r="B135" s="157" t="s">
        <v>1484</v>
      </c>
      <c r="C135" s="706">
        <v>2021.0</v>
      </c>
      <c r="D135" s="707">
        <v>2786652.0</v>
      </c>
      <c r="E135" s="668"/>
      <c r="F135" s="157" t="s">
        <v>800</v>
      </c>
      <c r="G135" s="157" t="s">
        <v>1479</v>
      </c>
      <c r="H135" s="706">
        <v>2021.0</v>
      </c>
      <c r="I135" s="707">
        <v>9.188</v>
      </c>
      <c r="J135" s="706"/>
      <c r="K135" s="743"/>
      <c r="L135" s="706"/>
      <c r="M135" s="706"/>
      <c r="N135" s="706"/>
      <c r="O135" s="707"/>
      <c r="P135" s="709"/>
      <c r="Q135" s="710" t="s">
        <v>830</v>
      </c>
      <c r="R135" s="711">
        <v>0.37</v>
      </c>
      <c r="S135" s="41"/>
      <c r="T135" s="691">
        <v>130.0</v>
      </c>
      <c r="U135" s="40" t="s">
        <v>759</v>
      </c>
      <c r="V135" s="724">
        <v>907.0</v>
      </c>
      <c r="W135" s="724">
        <v>1107.0</v>
      </c>
      <c r="X135" s="724">
        <v>2319.0</v>
      </c>
      <c r="Y135" s="725">
        <v>1.2652706E8</v>
      </c>
      <c r="Z135" s="691">
        <v>130.0</v>
      </c>
      <c r="AA135" s="40" t="s">
        <v>718</v>
      </c>
      <c r="AB135" s="724">
        <v>3.48</v>
      </c>
      <c r="AC135" s="726">
        <f t="shared" si="1"/>
        <v>1271.07</v>
      </c>
      <c r="AD135" s="724">
        <v>1428.0</v>
      </c>
      <c r="AE135" s="40">
        <v>0.53</v>
      </c>
      <c r="AF135" s="727">
        <v>0.4338</v>
      </c>
      <c r="AG135" s="40" t="s">
        <v>861</v>
      </c>
      <c r="AH135" s="728">
        <f>IFERROR(__xludf.DUMMYFUNCTION("$AH$4*(AVERAGE.WEIGHTED(IFERROR(INDEX(V:V,MATCH(AG135,U:U,0))/1,INDEX(AC:AC,MATCH(AG135,AA:AA,0))),$W$3,IFERROR(INDEX(AC:AC,MATCH(AG135,AA:AA,0))/1,INDEX(V:V,MATCH(AG135,U:U,0))),$AE$3))*INDEX(R:R,MATCH(AG135,Q:Q,0))"),0.0)</f>
        <v>0</v>
      </c>
      <c r="AI135" s="41"/>
      <c r="AK135" s="40">
        <v>168.0</v>
      </c>
      <c r="AL135" s="719" t="s">
        <v>2023</v>
      </c>
      <c r="AM135" s="720" t="s">
        <v>2024</v>
      </c>
      <c r="AN135" s="720" t="s">
        <v>2025</v>
      </c>
      <c r="AO135" s="722">
        <v>0.067</v>
      </c>
      <c r="AP135" s="722" t="s">
        <v>2026</v>
      </c>
    </row>
    <row r="136">
      <c r="A136" s="158" t="s">
        <v>2027</v>
      </c>
      <c r="B136" s="157"/>
      <c r="C136" s="706">
        <v>2021.0</v>
      </c>
      <c r="D136" s="707">
        <v>6.98782037E8</v>
      </c>
      <c r="E136" s="668"/>
      <c r="F136" s="157" t="s">
        <v>801</v>
      </c>
      <c r="G136" s="157" t="s">
        <v>1484</v>
      </c>
      <c r="H136" s="706">
        <v>2021.0</v>
      </c>
      <c r="I136" s="707">
        <v>9.619</v>
      </c>
      <c r="J136" s="706"/>
      <c r="K136" s="743"/>
      <c r="L136" s="706"/>
      <c r="M136" s="706"/>
      <c r="N136" s="706"/>
      <c r="O136" s="707"/>
      <c r="P136" s="709"/>
      <c r="Q136" s="710" t="s">
        <v>831</v>
      </c>
      <c r="R136" s="711">
        <v>1.13</v>
      </c>
      <c r="S136" s="41"/>
      <c r="T136" s="691">
        <v>131.0</v>
      </c>
      <c r="U136" s="40" t="s">
        <v>1989</v>
      </c>
      <c r="V136" s="724">
        <v>901.0</v>
      </c>
      <c r="W136" s="724">
        <v>1620.0</v>
      </c>
      <c r="X136" s="724">
        <v>4145.0</v>
      </c>
      <c r="Y136" s="725">
        <v>231856.0</v>
      </c>
      <c r="Z136" s="691">
        <v>131.0</v>
      </c>
      <c r="AA136" s="40" t="s">
        <v>890</v>
      </c>
      <c r="AB136" s="724">
        <v>3.44</v>
      </c>
      <c r="AC136" s="726">
        <f t="shared" si="1"/>
        <v>1256.46</v>
      </c>
      <c r="AD136" s="724">
        <v>691.0</v>
      </c>
      <c r="AE136" s="40">
        <v>0.46</v>
      </c>
      <c r="AF136" s="727">
        <v>0.5469</v>
      </c>
      <c r="AG136" s="40" t="s">
        <v>862</v>
      </c>
      <c r="AH136" s="728">
        <f>IFERROR(__xludf.DUMMYFUNCTION("$AH$4*(AVERAGE.WEIGHTED(IFERROR(INDEX(V:V,MATCH(AG136,U:U,0))/1,INDEX(AC:AC,MATCH(AG136,AA:AA,0))),$W$3,IFERROR(INDEX(AC:AC,MATCH(AG136,AA:AA,0))/1,INDEX(V:V,MATCH(AG136,U:U,0))),$AE$3))*INDEX(R:R,MATCH(AG136,Q:Q,0))"),19177.794120000002)</f>
        <v>19177.79412</v>
      </c>
      <c r="AI136" s="41"/>
      <c r="AK136" s="40">
        <v>17.0</v>
      </c>
      <c r="AL136" s="738" t="s">
        <v>2028</v>
      </c>
      <c r="AM136" s="738" t="s">
        <v>2029</v>
      </c>
      <c r="AN136" s="745"/>
      <c r="AO136" s="739">
        <v>0.063</v>
      </c>
      <c r="AP136" s="739" t="s">
        <v>2030</v>
      </c>
    </row>
    <row r="137">
      <c r="A137" s="158" t="s">
        <v>2031</v>
      </c>
      <c r="B137" s="157"/>
      <c r="C137" s="706">
        <v>2021.0</v>
      </c>
      <c r="D137" s="707">
        <v>3.411037255E9</v>
      </c>
      <c r="E137" s="668"/>
      <c r="F137" s="158" t="s">
        <v>2027</v>
      </c>
      <c r="G137" s="157"/>
      <c r="H137" s="706">
        <v>2021.0</v>
      </c>
      <c r="I137" s="707">
        <v>34.67</v>
      </c>
      <c r="J137" s="706"/>
      <c r="K137" s="743"/>
      <c r="L137" s="706"/>
      <c r="M137" s="706"/>
      <c r="N137" s="706"/>
      <c r="O137" s="707"/>
      <c r="P137" s="709"/>
      <c r="Q137" s="710" t="s">
        <v>832</v>
      </c>
      <c r="R137" s="711">
        <v>0.52</v>
      </c>
      <c r="S137" s="41"/>
      <c r="T137" s="691">
        <v>132.0</v>
      </c>
      <c r="U137" s="504" t="s">
        <v>737</v>
      </c>
      <c r="V137" s="724">
        <v>892.0</v>
      </c>
      <c r="W137" s="724">
        <v>1375.0</v>
      </c>
      <c r="X137" s="724">
        <v>3835.0</v>
      </c>
      <c r="Y137" s="725">
        <v>6106869.0</v>
      </c>
      <c r="Z137" s="691">
        <v>132.0</v>
      </c>
      <c r="AA137" s="40" t="s">
        <v>700</v>
      </c>
      <c r="AB137" s="724">
        <v>3.42</v>
      </c>
      <c r="AC137" s="726">
        <f t="shared" si="1"/>
        <v>1249.155</v>
      </c>
      <c r="AD137" s="724">
        <v>2138.0</v>
      </c>
      <c r="AE137" s="40">
        <v>0.59</v>
      </c>
      <c r="AF137" s="727">
        <v>0.514</v>
      </c>
      <c r="AG137" s="40" t="s">
        <v>863</v>
      </c>
      <c r="AH137" s="728">
        <f>IFERROR(__xludf.DUMMYFUNCTION("$AH$4*(AVERAGE.WEIGHTED(IFERROR(INDEX(V:V,MATCH(AG137,U:U,0))/1,INDEX(AC:AC,MATCH(AG137,AA:AA,0))),$W$3,IFERROR(INDEX(AC:AC,MATCH(AG137,AA:AA,0))/1,INDEX(V:V,MATCH(AG137,U:U,0))),$AE$3))*INDEX(R:R,MATCH(AG137,Q:Q,0))"),1257.65946)</f>
        <v>1257.65946</v>
      </c>
      <c r="AI137" s="41"/>
      <c r="AK137" s="40">
        <v>97.0</v>
      </c>
      <c r="AL137" s="732" t="s">
        <v>2032</v>
      </c>
      <c r="AM137" s="733" t="s">
        <v>2033</v>
      </c>
      <c r="AN137" s="733" t="s">
        <v>2034</v>
      </c>
      <c r="AO137" s="734">
        <v>0.061</v>
      </c>
      <c r="AP137" s="734" t="s">
        <v>2035</v>
      </c>
    </row>
    <row r="138">
      <c r="A138" s="157" t="s">
        <v>802</v>
      </c>
      <c r="B138" s="157" t="s">
        <v>1488</v>
      </c>
      <c r="C138" s="706">
        <v>2021.0</v>
      </c>
      <c r="D138" s="707">
        <v>639330.0</v>
      </c>
      <c r="E138" s="668"/>
      <c r="F138" s="158" t="s">
        <v>2031</v>
      </c>
      <c r="G138" s="157"/>
      <c r="H138" s="706">
        <v>2021.0</v>
      </c>
      <c r="I138" s="707">
        <v>20.53</v>
      </c>
      <c r="J138" s="706"/>
      <c r="K138" s="743"/>
      <c r="L138" s="706"/>
      <c r="M138" s="706"/>
      <c r="N138" s="706"/>
      <c r="O138" s="707"/>
      <c r="P138" s="709"/>
      <c r="Q138" s="710" t="s">
        <v>833</v>
      </c>
      <c r="R138" s="711">
        <v>0.26</v>
      </c>
      <c r="S138" s="41"/>
      <c r="T138" s="691">
        <v>133.0</v>
      </c>
      <c r="U138" s="40" t="s">
        <v>733</v>
      </c>
      <c r="V138" s="724">
        <v>880.0</v>
      </c>
      <c r="W138" s="724">
        <v>1182.0</v>
      </c>
      <c r="X138" s="724">
        <v>1649.0</v>
      </c>
      <c r="Y138" s="725">
        <v>1.8278568E7</v>
      </c>
      <c r="Z138" s="691">
        <v>133.0</v>
      </c>
      <c r="AA138" s="40" t="s">
        <v>772</v>
      </c>
      <c r="AB138" s="724">
        <v>3.31</v>
      </c>
      <c r="AC138" s="726">
        <f t="shared" si="1"/>
        <v>1208.9775</v>
      </c>
      <c r="AD138" s="724">
        <v>813.0</v>
      </c>
      <c r="AE138" s="40">
        <v>0.48</v>
      </c>
      <c r="AF138" s="727">
        <v>0.6265</v>
      </c>
      <c r="AG138" s="40" t="s">
        <v>864</v>
      </c>
      <c r="AH138" s="728">
        <f>IFERROR(__xludf.DUMMYFUNCTION("$AH$4*(AVERAGE.WEIGHTED(IFERROR(INDEX(V:V,MATCH(AG138,U:U,0))/1,INDEX(AC:AC,MATCH(AG138,AA:AA,0))),$W$3,IFERROR(INDEX(AC:AC,MATCH(AG138,AA:AA,0))/1,INDEX(V:V,MATCH(AG138,U:U,0))),$AE$3))*INDEX(R:R,MATCH(AG138,Q:Q,0))"),468.33335999999997)</f>
        <v>468.33336</v>
      </c>
      <c r="AI138" s="41"/>
      <c r="AK138" s="40">
        <v>144.0</v>
      </c>
      <c r="AL138" s="729" t="s">
        <v>2036</v>
      </c>
      <c r="AM138" s="729" t="s">
        <v>2037</v>
      </c>
      <c r="AN138" s="729" t="s">
        <v>1744</v>
      </c>
      <c r="AO138" s="730">
        <v>0.057</v>
      </c>
      <c r="AP138" s="730" t="s">
        <v>2038</v>
      </c>
    </row>
    <row r="139">
      <c r="A139" s="157" t="s">
        <v>1955</v>
      </c>
      <c r="B139" s="157" t="s">
        <v>2039</v>
      </c>
      <c r="C139" s="706">
        <v>2021.0</v>
      </c>
      <c r="D139" s="707">
        <v>686616.0</v>
      </c>
      <c r="E139" s="668"/>
      <c r="F139" s="157" t="s">
        <v>802</v>
      </c>
      <c r="G139" s="157" t="s">
        <v>1488</v>
      </c>
      <c r="H139" s="706">
        <v>2021.0</v>
      </c>
      <c r="I139" s="707">
        <v>10.361</v>
      </c>
      <c r="J139" s="706"/>
      <c r="K139" s="743"/>
      <c r="L139" s="706"/>
      <c r="M139" s="706"/>
      <c r="N139" s="706"/>
      <c r="O139" s="707"/>
      <c r="P139" s="709"/>
      <c r="Q139" s="710" t="s">
        <v>1555</v>
      </c>
      <c r="R139" s="711">
        <v>0.8</v>
      </c>
      <c r="S139" s="41"/>
      <c r="T139" s="691">
        <v>134.0</v>
      </c>
      <c r="U139" s="40" t="s">
        <v>836</v>
      </c>
      <c r="V139" s="724">
        <v>876.0</v>
      </c>
      <c r="W139" s="724">
        <v>1162.0</v>
      </c>
      <c r="X139" s="724">
        <v>4547.0</v>
      </c>
      <c r="Y139" s="725">
        <v>1.0329931E7</v>
      </c>
      <c r="Z139" s="691">
        <v>134.0</v>
      </c>
      <c r="AA139" s="40" t="s">
        <v>797</v>
      </c>
      <c r="AB139" s="724">
        <v>3.24</v>
      </c>
      <c r="AC139" s="726">
        <f t="shared" si="1"/>
        <v>1183.41</v>
      </c>
      <c r="AD139" s="724">
        <v>1166.0</v>
      </c>
      <c r="AE139" s="40">
        <v>0.51</v>
      </c>
      <c r="AF139" s="727">
        <v>0.285</v>
      </c>
      <c r="AG139" s="40" t="s">
        <v>865</v>
      </c>
      <c r="AH139" s="728">
        <f>IFERROR(__xludf.DUMMYFUNCTION("$AH$4*(AVERAGE.WEIGHTED(IFERROR(INDEX(V:V,MATCH(AG139,U:U,0))/1,INDEX(AC:AC,MATCH(AG139,AA:AA,0))),$W$3,IFERROR(INDEX(AC:AC,MATCH(AG139,AA:AA,0))/1,INDEX(V:V,MATCH(AG139,U:U,0))),$AE$3))*INDEX(R:R,MATCH(AG139,Q:Q,0))"),1310.7924)</f>
        <v>1310.7924</v>
      </c>
      <c r="AI139" s="41"/>
      <c r="AK139" s="40">
        <v>146.0</v>
      </c>
      <c r="AL139" s="719" t="s">
        <v>2040</v>
      </c>
      <c r="AM139" s="720" t="s">
        <v>2041</v>
      </c>
      <c r="AN139" s="720" t="s">
        <v>1744</v>
      </c>
      <c r="AO139" s="722">
        <v>0.054</v>
      </c>
      <c r="AP139" s="722" t="s">
        <v>2042</v>
      </c>
    </row>
    <row r="140">
      <c r="A140" s="157" t="s">
        <v>803</v>
      </c>
      <c r="B140" s="157" t="s">
        <v>1491</v>
      </c>
      <c r="C140" s="706">
        <v>2021.0</v>
      </c>
      <c r="D140" s="707">
        <v>2.8915652E7</v>
      </c>
      <c r="E140" s="668"/>
      <c r="F140" s="157" t="s">
        <v>1955</v>
      </c>
      <c r="G140" s="157" t="s">
        <v>2039</v>
      </c>
      <c r="H140" s="706">
        <v>2021.0</v>
      </c>
      <c r="I140" s="707">
        <v>10.114</v>
      </c>
      <c r="J140" s="706"/>
      <c r="K140" s="743"/>
      <c r="L140" s="706"/>
      <c r="M140" s="706"/>
      <c r="N140" s="706"/>
      <c r="O140" s="707"/>
      <c r="P140" s="709"/>
      <c r="Q140" s="710" t="s">
        <v>835</v>
      </c>
      <c r="R140" s="711">
        <v>0.46</v>
      </c>
      <c r="S140" s="41"/>
      <c r="T140" s="691">
        <v>135.0</v>
      </c>
      <c r="U140" s="40" t="s">
        <v>789</v>
      </c>
      <c r="V140" s="724">
        <v>874.0</v>
      </c>
      <c r="W140" s="724">
        <v>1197.0</v>
      </c>
      <c r="X140" s="724">
        <v>4521.0</v>
      </c>
      <c r="Y140" s="725">
        <v>5.5100586E7</v>
      </c>
      <c r="Z140" s="691">
        <v>135.0</v>
      </c>
      <c r="AA140" s="40" t="s">
        <v>872</v>
      </c>
      <c r="AB140" s="724">
        <v>3.21</v>
      </c>
      <c r="AC140" s="726">
        <f t="shared" si="1"/>
        <v>1172.4525</v>
      </c>
      <c r="AD140" s="724">
        <v>992.0</v>
      </c>
      <c r="AE140" s="40">
        <v>0.54</v>
      </c>
      <c r="AF140" s="727">
        <v>0.4529</v>
      </c>
      <c r="AG140" s="40" t="s">
        <v>866</v>
      </c>
      <c r="AH140" s="728">
        <f>IFERROR(__xludf.DUMMYFUNCTION("$AH$4*(AVERAGE.WEIGHTED(IFERROR(INDEX(V:V,MATCH(AG140,U:U,0))/1,INDEX(AC:AC,MATCH(AG140,AA:AA,0))),$W$3,IFERROR(INDEX(AC:AC,MATCH(AG140,AA:AA,0))/1,INDEX(V:V,MATCH(AG140,U:U,0))),$AE$3))*INDEX(R:R,MATCH(AG140,Q:Q,0))"),36645.085080000004)</f>
        <v>36645.08508</v>
      </c>
      <c r="AI140" s="41"/>
      <c r="AK140" s="40">
        <v>151.0</v>
      </c>
      <c r="AL140" s="738" t="s">
        <v>2043</v>
      </c>
      <c r="AM140" s="738" t="s">
        <v>2044</v>
      </c>
      <c r="AN140" s="738" t="s">
        <v>2045</v>
      </c>
      <c r="AO140" s="739">
        <v>0.052</v>
      </c>
      <c r="AP140" s="739" t="s">
        <v>2046</v>
      </c>
    </row>
    <row r="141">
      <c r="A141" s="157" t="s">
        <v>804</v>
      </c>
      <c r="B141" s="157" t="s">
        <v>1493</v>
      </c>
      <c r="C141" s="706">
        <v>2021.0</v>
      </c>
      <c r="D141" s="707">
        <v>1.9889742E7</v>
      </c>
      <c r="E141" s="668"/>
      <c r="F141" s="157" t="s">
        <v>803</v>
      </c>
      <c r="G141" s="157" t="s">
        <v>1491</v>
      </c>
      <c r="H141" s="706">
        <v>2021.0</v>
      </c>
      <c r="I141" s="707">
        <v>30.949</v>
      </c>
      <c r="J141" s="706"/>
      <c r="K141" s="743"/>
      <c r="L141" s="706"/>
      <c r="M141" s="706"/>
      <c r="N141" s="706"/>
      <c r="O141" s="707"/>
      <c r="P141" s="709"/>
      <c r="Q141" s="710" t="s">
        <v>836</v>
      </c>
      <c r="R141" s="711">
        <v>0.66</v>
      </c>
      <c r="S141" s="41"/>
      <c r="T141" s="691">
        <v>136.0</v>
      </c>
      <c r="U141" s="40" t="s">
        <v>850</v>
      </c>
      <c r="V141" s="724">
        <v>844.0</v>
      </c>
      <c r="W141" s="724">
        <v>1137.0</v>
      </c>
      <c r="X141" s="724">
        <v>3545.0</v>
      </c>
      <c r="Y141" s="725">
        <v>1.7763163E7</v>
      </c>
      <c r="Z141" s="691">
        <v>136.0</v>
      </c>
      <c r="AA141" s="40" t="s">
        <v>774</v>
      </c>
      <c r="AB141" s="724">
        <v>3.2</v>
      </c>
      <c r="AC141" s="726">
        <f t="shared" si="1"/>
        <v>1168.8</v>
      </c>
      <c r="AD141" s="724">
        <v>1815.0</v>
      </c>
      <c r="AE141" s="40">
        <v>0.54</v>
      </c>
      <c r="AF141" s="727">
        <v>0.2033</v>
      </c>
      <c r="AG141" s="40" t="s">
        <v>867</v>
      </c>
      <c r="AH141" s="728">
        <f>IFERROR(__xludf.DUMMYFUNCTION("$AH$4*(AVERAGE.WEIGHTED(IFERROR(INDEX(V:V,MATCH(AG141,U:U,0))/1,INDEX(AC:AC,MATCH(AG141,AA:AA,0))),$W$3,IFERROR(INDEX(AC:AC,MATCH(AG141,AA:AA,0))/1,INDEX(V:V,MATCH(AG141,U:U,0))),$AE$3))*INDEX(R:R,MATCH(AG141,Q:Q,0))"),53955.1947)</f>
        <v>53955.1947</v>
      </c>
      <c r="AI141" s="41"/>
      <c r="AK141" s="40">
        <v>152.0</v>
      </c>
      <c r="AL141" s="719" t="s">
        <v>2047</v>
      </c>
      <c r="AM141" s="720" t="s">
        <v>2044</v>
      </c>
      <c r="AN141" s="720" t="s">
        <v>2045</v>
      </c>
      <c r="AO141" s="722">
        <v>0.052</v>
      </c>
      <c r="AP141" s="722" t="s">
        <v>2046</v>
      </c>
    </row>
    <row r="142">
      <c r="A142" s="157" t="s">
        <v>805</v>
      </c>
      <c r="B142" s="157" t="s">
        <v>1495</v>
      </c>
      <c r="C142" s="706">
        <v>2021.0</v>
      </c>
      <c r="D142" s="707">
        <v>3.3573872E7</v>
      </c>
      <c r="E142" s="668"/>
      <c r="F142" s="157" t="s">
        <v>804</v>
      </c>
      <c r="G142" s="157" t="s">
        <v>1493</v>
      </c>
      <c r="H142" s="706">
        <v>2021.0</v>
      </c>
      <c r="I142" s="707">
        <v>32.859</v>
      </c>
      <c r="J142" s="706"/>
      <c r="K142" s="743"/>
      <c r="L142" s="706"/>
      <c r="M142" s="706"/>
      <c r="N142" s="706"/>
      <c r="O142" s="707"/>
      <c r="P142" s="709"/>
      <c r="Q142" s="710" t="s">
        <v>837</v>
      </c>
      <c r="R142" s="711">
        <v>0.39</v>
      </c>
      <c r="S142" s="41"/>
      <c r="T142" s="691">
        <v>137.0</v>
      </c>
      <c r="U142" s="40" t="s">
        <v>771</v>
      </c>
      <c r="V142" s="724">
        <v>843.0</v>
      </c>
      <c r="W142" s="724">
        <v>1036.0</v>
      </c>
      <c r="X142" s="724">
        <v>2675.0</v>
      </c>
      <c r="Y142" s="725">
        <v>1.4190612E7</v>
      </c>
      <c r="Z142" s="691">
        <v>137.0</v>
      </c>
      <c r="AA142" s="40" t="s">
        <v>789</v>
      </c>
      <c r="AB142" s="724">
        <v>3.1</v>
      </c>
      <c r="AC142" s="726">
        <f t="shared" si="1"/>
        <v>1132.275</v>
      </c>
      <c r="AD142" s="724">
        <v>2007.0</v>
      </c>
      <c r="AE142" s="40">
        <v>0.58</v>
      </c>
      <c r="AF142" s="727">
        <v>0.3125</v>
      </c>
      <c r="AG142" s="40" t="s">
        <v>868</v>
      </c>
      <c r="AH142" s="728" t="str">
        <f>IFERROR(__xludf.DUMMYFUNCTION("$AH$4*(AVERAGE.WEIGHTED(IFERROR(INDEX(V:V,MATCH(AG142,U:U,0))/1,INDEX(AC:AC,MATCH(AG142,AA:AA,0))),$W$3,IFERROR(INDEX(AC:AC,MATCH(AG142,AA:AA,0))/1,INDEX(V:V,MATCH(AG142,U:U,0))),$AE$3))*INDEX(R:R,MATCH(AG142,Q:Q,0))"),"#N/A")</f>
        <v>#N/A</v>
      </c>
      <c r="AI142" s="41"/>
      <c r="AK142" s="40">
        <v>175.0</v>
      </c>
      <c r="AL142" s="738" t="s">
        <v>2048</v>
      </c>
      <c r="AM142" s="738" t="s">
        <v>2044</v>
      </c>
      <c r="AN142" s="738" t="s">
        <v>2045</v>
      </c>
      <c r="AO142" s="739">
        <v>0.052</v>
      </c>
      <c r="AP142" s="739" t="s">
        <v>2046</v>
      </c>
    </row>
    <row r="143">
      <c r="A143" s="157" t="s">
        <v>806</v>
      </c>
      <c r="B143" s="157" t="s">
        <v>1496</v>
      </c>
      <c r="C143" s="706">
        <v>2021.0</v>
      </c>
      <c r="D143" s="707">
        <v>521469.0</v>
      </c>
      <c r="E143" s="668"/>
      <c r="F143" s="157" t="s">
        <v>805</v>
      </c>
      <c r="G143" s="157" t="s">
        <v>1495</v>
      </c>
      <c r="H143" s="706">
        <v>2021.0</v>
      </c>
      <c r="I143" s="707">
        <v>15.24</v>
      </c>
      <c r="J143" s="706"/>
      <c r="K143" s="743"/>
      <c r="L143" s="706"/>
      <c r="M143" s="706"/>
      <c r="N143" s="706"/>
      <c r="O143" s="707"/>
      <c r="P143" s="709"/>
      <c r="Q143" s="710" t="s">
        <v>838</v>
      </c>
      <c r="R143" s="711">
        <v>0.48</v>
      </c>
      <c r="S143" s="41"/>
      <c r="T143" s="691">
        <v>138.0</v>
      </c>
      <c r="U143" s="40" t="s">
        <v>829</v>
      </c>
      <c r="V143" s="724">
        <v>825.0</v>
      </c>
      <c r="W143" s="724">
        <v>1021.0</v>
      </c>
      <c r="X143" s="724">
        <v>5362.0</v>
      </c>
      <c r="Y143" s="725">
        <v>2.23804632E8</v>
      </c>
      <c r="Z143" s="691">
        <v>138.0</v>
      </c>
      <c r="AA143" s="40" t="s">
        <v>798</v>
      </c>
      <c r="AB143" s="724">
        <v>3.1</v>
      </c>
      <c r="AC143" s="726">
        <f t="shared" si="1"/>
        <v>1132.275</v>
      </c>
      <c r="AD143" s="724">
        <v>673.0</v>
      </c>
      <c r="AE143" s="40">
        <v>0.48</v>
      </c>
      <c r="AF143" s="727">
        <v>0.4817</v>
      </c>
      <c r="AG143" s="40" t="s">
        <v>869</v>
      </c>
      <c r="AH143" s="728" t="str">
        <f>IFERROR(__xludf.DUMMYFUNCTION("$AH$4*(AVERAGE.WEIGHTED(IFERROR(INDEX(V:V,MATCH(AG143,U:U,0))/1,INDEX(AC:AC,MATCH(AG143,AA:AA,0))),$W$3,IFERROR(INDEX(AC:AC,MATCH(AG143,AA:AA,0))/1,INDEX(V:V,MATCH(AG143,U:U,0))),$AE$3))*INDEX(R:R,MATCH(AG143,Q:Q,0))"),"#N/A")</f>
        <v>#N/A</v>
      </c>
      <c r="AI143" s="41"/>
      <c r="AK143" s="40">
        <v>31.0</v>
      </c>
      <c r="AL143" s="732" t="s">
        <v>2049</v>
      </c>
      <c r="AM143" s="733" t="s">
        <v>2050</v>
      </c>
      <c r="AN143" s="733" t="s">
        <v>2051</v>
      </c>
      <c r="AO143" s="734">
        <v>0.051</v>
      </c>
      <c r="AP143" s="734" t="s">
        <v>2052</v>
      </c>
    </row>
    <row r="144">
      <c r="A144" s="157" t="s">
        <v>807</v>
      </c>
      <c r="B144" s="157" t="s">
        <v>1498</v>
      </c>
      <c r="C144" s="706">
        <v>2021.0</v>
      </c>
      <c r="D144" s="707">
        <v>2.190499E7</v>
      </c>
      <c r="E144" s="668"/>
      <c r="F144" s="157" t="s">
        <v>806</v>
      </c>
      <c r="G144" s="157" t="s">
        <v>1496</v>
      </c>
      <c r="H144" s="706">
        <v>2021.0</v>
      </c>
      <c r="I144" s="707">
        <v>14.088</v>
      </c>
      <c r="J144" s="706"/>
      <c r="K144" s="743"/>
      <c r="L144" s="706"/>
      <c r="M144" s="706"/>
      <c r="N144" s="706"/>
      <c r="O144" s="707"/>
      <c r="P144" s="709"/>
      <c r="Q144" s="710" t="s">
        <v>839</v>
      </c>
      <c r="R144" s="711">
        <v>0.39</v>
      </c>
      <c r="S144" s="41"/>
      <c r="T144" s="691">
        <v>139.0</v>
      </c>
      <c r="U144" s="40" t="s">
        <v>879</v>
      </c>
      <c r="V144" s="724">
        <v>804.0</v>
      </c>
      <c r="W144" s="724">
        <v>1166.0</v>
      </c>
      <c r="X144" s="724">
        <v>2284.0</v>
      </c>
      <c r="Y144" s="725">
        <v>4.8582334E7</v>
      </c>
      <c r="Z144" s="691">
        <v>139.0</v>
      </c>
      <c r="AA144" s="40" t="s">
        <v>857</v>
      </c>
      <c r="AB144" s="724">
        <v>3.1</v>
      </c>
      <c r="AC144" s="726">
        <f t="shared" si="1"/>
        <v>1132.275</v>
      </c>
      <c r="AD144" s="724">
        <v>2337.0</v>
      </c>
      <c r="AE144" s="40">
        <v>0.56</v>
      </c>
      <c r="AF144" s="727">
        <v>0.2294</v>
      </c>
      <c r="AG144" s="40" t="s">
        <v>870</v>
      </c>
      <c r="AH144" s="728">
        <f>IFERROR(__xludf.DUMMYFUNCTION("$AH$4*(AVERAGE.WEIGHTED(IFERROR(INDEX(V:V,MATCH(AG144,U:U,0))/1,INDEX(AC:AC,MATCH(AG144,AA:AA,0))),$W$3,IFERROR(INDEX(AC:AC,MATCH(AG144,AA:AA,0))/1,INDEX(V:V,MATCH(AG144,U:U,0))),$AE$3))*INDEX(R:R,MATCH(AG144,Q:Q,0))"),829.54746)</f>
        <v>829.54746</v>
      </c>
      <c r="AI144" s="41"/>
      <c r="AK144" s="40">
        <v>56.0</v>
      </c>
      <c r="AL144" s="729" t="s">
        <v>2053</v>
      </c>
      <c r="AM144" s="729" t="s">
        <v>2050</v>
      </c>
      <c r="AN144" s="729" t="s">
        <v>2051</v>
      </c>
      <c r="AO144" s="730">
        <v>0.051</v>
      </c>
      <c r="AP144" s="730" t="s">
        <v>2052</v>
      </c>
    </row>
    <row r="145">
      <c r="A145" s="157" t="s">
        <v>808</v>
      </c>
      <c r="B145" s="157" t="s">
        <v>1500</v>
      </c>
      <c r="C145" s="706">
        <v>2021.0</v>
      </c>
      <c r="D145" s="707">
        <v>526751.0</v>
      </c>
      <c r="E145" s="668"/>
      <c r="F145" s="157" t="s">
        <v>807</v>
      </c>
      <c r="G145" s="157" t="s">
        <v>1498</v>
      </c>
      <c r="H145" s="706">
        <v>2021.0</v>
      </c>
      <c r="I145" s="707">
        <v>41.643</v>
      </c>
      <c r="J145" s="706"/>
      <c r="K145" s="743"/>
      <c r="L145" s="706"/>
      <c r="M145" s="706"/>
      <c r="N145" s="706"/>
      <c r="O145" s="707"/>
      <c r="P145" s="709"/>
      <c r="Q145" s="710" t="s">
        <v>840</v>
      </c>
      <c r="R145" s="711">
        <v>0.48</v>
      </c>
      <c r="S145" s="41"/>
      <c r="T145" s="691">
        <v>140.0</v>
      </c>
      <c r="U145" s="40" t="s">
        <v>861</v>
      </c>
      <c r="V145" s="724">
        <v>793.0</v>
      </c>
      <c r="W145" s="724">
        <v>1121.0</v>
      </c>
      <c r="X145" s="724">
        <v>1234.0</v>
      </c>
      <c r="Y145" s="725">
        <v>1.1088796E7</v>
      </c>
      <c r="Z145" s="691">
        <v>140.0</v>
      </c>
      <c r="AA145" s="40" t="s">
        <v>759</v>
      </c>
      <c r="AB145" s="724">
        <v>3.06</v>
      </c>
      <c r="AC145" s="726">
        <f t="shared" si="1"/>
        <v>1117.665</v>
      </c>
      <c r="AD145" s="724">
        <v>944.0</v>
      </c>
      <c r="AE145" s="40">
        <v>0.5</v>
      </c>
      <c r="AF145" s="727">
        <v>0.1954</v>
      </c>
      <c r="AG145" s="40" t="s">
        <v>871</v>
      </c>
      <c r="AH145" s="728">
        <f>IFERROR(__xludf.DUMMYFUNCTION("$AH$4*(AVERAGE.WEIGHTED(IFERROR(INDEX(V:V,MATCH(AG145,U:U,0))/1,INDEX(AC:AC,MATCH(AG145,AA:AA,0))),$W$3,IFERROR(INDEX(AC:AC,MATCH(AG145,AA:AA,0))/1,INDEX(V:V,MATCH(AG145,U:U,0))),$AE$3))*INDEX(R:R,MATCH(AG145,Q:Q,0))"),594.0581400000001)</f>
        <v>594.05814</v>
      </c>
      <c r="AI145" s="41"/>
      <c r="AK145" s="40">
        <v>68.0</v>
      </c>
      <c r="AL145" s="719" t="s">
        <v>2054</v>
      </c>
      <c r="AM145" s="720" t="s">
        <v>2050</v>
      </c>
      <c r="AN145" s="720" t="s">
        <v>2051</v>
      </c>
      <c r="AO145" s="722">
        <v>0.051</v>
      </c>
      <c r="AP145" s="722" t="s">
        <v>2052</v>
      </c>
    </row>
    <row r="146">
      <c r="A146" s="157" t="s">
        <v>809</v>
      </c>
      <c r="B146" s="157" t="s">
        <v>1502</v>
      </c>
      <c r="C146" s="706">
        <v>2021.0</v>
      </c>
      <c r="D146" s="707">
        <v>42074.0</v>
      </c>
      <c r="E146" s="668"/>
      <c r="F146" s="157" t="s">
        <v>808</v>
      </c>
      <c r="G146" s="157" t="s">
        <v>1500</v>
      </c>
      <c r="H146" s="706">
        <v>2021.0</v>
      </c>
      <c r="I146" s="707">
        <v>8.942</v>
      </c>
      <c r="J146" s="706"/>
      <c r="K146" s="743"/>
      <c r="L146" s="706"/>
      <c r="M146" s="706"/>
      <c r="N146" s="706"/>
      <c r="O146" s="707"/>
      <c r="P146" s="709"/>
      <c r="Q146" s="710" t="s">
        <v>841</v>
      </c>
      <c r="R146" s="711">
        <v>0.68</v>
      </c>
      <c r="S146" s="41"/>
      <c r="T146" s="691">
        <v>141.0</v>
      </c>
      <c r="U146" s="40" t="s">
        <v>853</v>
      </c>
      <c r="V146" s="724">
        <v>765.0</v>
      </c>
      <c r="W146" s="724">
        <v>1004.0</v>
      </c>
      <c r="X146" s="724">
        <v>1794.0</v>
      </c>
      <c r="Y146" s="725">
        <v>8791092.0</v>
      </c>
      <c r="Z146" s="691">
        <v>141.0</v>
      </c>
      <c r="AA146" s="40" t="s">
        <v>726</v>
      </c>
      <c r="AB146" s="724">
        <v>3.0</v>
      </c>
      <c r="AC146" s="726">
        <f t="shared" si="1"/>
        <v>1095.75</v>
      </c>
      <c r="AD146" s="724">
        <v>918.0</v>
      </c>
      <c r="AE146" s="40">
        <v>0.45</v>
      </c>
      <c r="AF146" s="727">
        <v>0.3282</v>
      </c>
      <c r="AG146" s="40" t="s">
        <v>79</v>
      </c>
      <c r="AH146" s="728">
        <f>IFERROR(__xludf.DUMMYFUNCTION("$AH$4*(AVERAGE.WEIGHTED(IFERROR(INDEX(V:V,MATCH(AG146,U:U,0))/1,INDEX(AC:AC,MATCH(AG146,AA:AA,0))),$W$3,IFERROR(INDEX(AC:AC,MATCH(AG146,AA:AA,0))/1,INDEX(V:V,MATCH(AG146,U:U,0))),$AE$3))*INDEX(R:R,MATCH(AG146,Q:Q,0))"),3417.59004)</f>
        <v>3417.59004</v>
      </c>
      <c r="AI146" s="41"/>
      <c r="AK146" s="40">
        <v>72.0</v>
      </c>
      <c r="AL146" s="729" t="s">
        <v>2055</v>
      </c>
      <c r="AM146" s="729" t="s">
        <v>2050</v>
      </c>
      <c r="AN146" s="729" t="s">
        <v>2051</v>
      </c>
      <c r="AO146" s="730">
        <v>0.051</v>
      </c>
      <c r="AP146" s="730" t="s">
        <v>2052</v>
      </c>
    </row>
    <row r="147">
      <c r="A147" s="157" t="s">
        <v>1283</v>
      </c>
      <c r="B147" s="157" t="s">
        <v>2056</v>
      </c>
      <c r="C147" s="706">
        <v>2021.0</v>
      </c>
      <c r="D147" s="707">
        <v>368799.0</v>
      </c>
      <c r="E147" s="668"/>
      <c r="F147" s="157" t="s">
        <v>809</v>
      </c>
      <c r="G147" s="157" t="s">
        <v>1502</v>
      </c>
      <c r="H147" s="706">
        <v>2021.0</v>
      </c>
      <c r="I147" s="707">
        <v>19.28</v>
      </c>
      <c r="J147" s="706"/>
      <c r="K147" s="743"/>
      <c r="L147" s="706"/>
      <c r="M147" s="706"/>
      <c r="N147" s="706"/>
      <c r="O147" s="707"/>
      <c r="P147" s="709"/>
      <c r="Q147" s="710" t="s">
        <v>1376</v>
      </c>
      <c r="R147" s="711">
        <v>0.91</v>
      </c>
      <c r="S147" s="41"/>
      <c r="T147" s="691">
        <v>142.0</v>
      </c>
      <c r="U147" s="40" t="s">
        <v>798</v>
      </c>
      <c r="V147" s="724">
        <v>753.0</v>
      </c>
      <c r="W147" s="724">
        <v>945.0</v>
      </c>
      <c r="X147" s="724">
        <v>1491.0</v>
      </c>
      <c r="Y147" s="725">
        <v>5418377.0</v>
      </c>
      <c r="Z147" s="691">
        <v>142.0</v>
      </c>
      <c r="AA147" s="40" t="s">
        <v>853</v>
      </c>
      <c r="AB147" s="724">
        <v>2.96</v>
      </c>
      <c r="AC147" s="726">
        <f t="shared" si="1"/>
        <v>1081.14</v>
      </c>
      <c r="AD147" s="724">
        <v>516.0</v>
      </c>
      <c r="AE147" s="40">
        <v>0.48</v>
      </c>
      <c r="AF147" s="727">
        <v>0.4006</v>
      </c>
      <c r="AG147" s="40" t="s">
        <v>1645</v>
      </c>
      <c r="AH147" s="728" t="str">
        <f>IFERROR(__xludf.DUMMYFUNCTION("$AH$4*(AVERAGE.WEIGHTED(IFERROR(INDEX(V:V,MATCH(AG147,U:U,0))/1,INDEX(AC:AC,MATCH(AG147,AA:AA,0))),$W$3,IFERROR(INDEX(AC:AC,MATCH(AG147,AA:AA,0))/1,INDEX(V:V,MATCH(AG147,U:U,0))),$AE$3))*INDEX(R:R,MATCH(AG147,Q:Q,0))"),"#N/A")</f>
        <v>#N/A</v>
      </c>
      <c r="AI147" s="41"/>
      <c r="AK147" s="40">
        <v>89.0</v>
      </c>
      <c r="AL147" s="732" t="s">
        <v>2057</v>
      </c>
      <c r="AM147" s="733" t="s">
        <v>2050</v>
      </c>
      <c r="AN147" s="733" t="s">
        <v>2051</v>
      </c>
      <c r="AO147" s="734">
        <v>0.051</v>
      </c>
      <c r="AP147" s="734" t="s">
        <v>2052</v>
      </c>
    </row>
    <row r="148">
      <c r="A148" s="157" t="s">
        <v>810</v>
      </c>
      <c r="B148" s="157" t="s">
        <v>1504</v>
      </c>
      <c r="C148" s="706">
        <v>2021.0</v>
      </c>
      <c r="D148" s="707">
        <v>4614981.0</v>
      </c>
      <c r="E148" s="668"/>
      <c r="F148" s="157" t="s">
        <v>1283</v>
      </c>
      <c r="G148" s="157" t="s">
        <v>2056</v>
      </c>
      <c r="H148" s="706">
        <v>2021.0</v>
      </c>
      <c r="I148" s="707">
        <v>9.535</v>
      </c>
      <c r="J148" s="706"/>
      <c r="K148" s="743"/>
      <c r="L148" s="706"/>
      <c r="M148" s="706"/>
      <c r="N148" s="706"/>
      <c r="O148" s="707"/>
      <c r="P148" s="709"/>
      <c r="Q148" s="710" t="s">
        <v>842</v>
      </c>
      <c r="R148" s="711">
        <v>0.66</v>
      </c>
      <c r="S148" s="41"/>
      <c r="T148" s="691">
        <v>143.0</v>
      </c>
      <c r="U148" s="40" t="s">
        <v>726</v>
      </c>
      <c r="V148" s="724">
        <v>748.0</v>
      </c>
      <c r="W148" s="724">
        <v>1002.0</v>
      </c>
      <c r="X148" s="724">
        <v>2274.0</v>
      </c>
      <c r="Y148" s="725">
        <v>2.3251485E7</v>
      </c>
      <c r="Z148" s="691">
        <v>143.0</v>
      </c>
      <c r="AA148" s="40" t="s">
        <v>829</v>
      </c>
      <c r="AB148" s="724">
        <v>2.95</v>
      </c>
      <c r="AC148" s="726">
        <f t="shared" si="1"/>
        <v>1077.4875</v>
      </c>
      <c r="AD148" s="724">
        <v>2085.0</v>
      </c>
      <c r="AE148" s="40">
        <v>0.54</v>
      </c>
      <c r="AF148" s="727">
        <v>0.392</v>
      </c>
      <c r="AG148" s="40" t="s">
        <v>872</v>
      </c>
      <c r="AH148" s="728">
        <f>IFERROR(__xludf.DUMMYFUNCTION("$AH$4*(AVERAGE.WEIGHTED(IFERROR(INDEX(V:V,MATCH(AG148,U:U,0))/1,INDEX(AC:AC,MATCH(AG148,AA:AA,0))),$W$3,IFERROR(INDEX(AC:AC,MATCH(AG148,AA:AA,0))/1,INDEX(V:V,MATCH(AG148,U:U,0))),$AE$3))*INDEX(R:R,MATCH(AG148,Q:Q,0))"),738.1760400000001)</f>
        <v>738.17604</v>
      </c>
      <c r="AI148" s="41"/>
      <c r="AK148" s="40">
        <v>93.0</v>
      </c>
      <c r="AL148" s="738" t="s">
        <v>2058</v>
      </c>
      <c r="AM148" s="738" t="s">
        <v>2050</v>
      </c>
      <c r="AN148" s="738" t="s">
        <v>2051</v>
      </c>
      <c r="AO148" s="739">
        <v>0.051</v>
      </c>
      <c r="AP148" s="739" t="s">
        <v>2052</v>
      </c>
    </row>
    <row r="149">
      <c r="A149" s="157" t="s">
        <v>811</v>
      </c>
      <c r="B149" s="157" t="s">
        <v>1506</v>
      </c>
      <c r="C149" s="706">
        <v>2021.0</v>
      </c>
      <c r="D149" s="707">
        <v>1298922.0</v>
      </c>
      <c r="E149" s="668"/>
      <c r="F149" s="157" t="s">
        <v>810</v>
      </c>
      <c r="G149" s="157" t="s">
        <v>1504</v>
      </c>
      <c r="H149" s="706">
        <v>2021.0</v>
      </c>
      <c r="I149" s="707">
        <v>33.194</v>
      </c>
      <c r="J149" s="706"/>
      <c r="K149" s="743"/>
      <c r="L149" s="706"/>
      <c r="M149" s="706"/>
      <c r="N149" s="706"/>
      <c r="O149" s="707"/>
      <c r="P149" s="709"/>
      <c r="Q149" s="710" t="s">
        <v>843</v>
      </c>
      <c r="R149" s="711">
        <v>0.41</v>
      </c>
      <c r="S149" s="41"/>
      <c r="T149" s="691">
        <v>144.0</v>
      </c>
      <c r="U149" s="40" t="s">
        <v>828</v>
      </c>
      <c r="V149" s="724">
        <v>738.0</v>
      </c>
      <c r="W149" s="724">
        <v>937.0</v>
      </c>
      <c r="X149" s="724">
        <v>1278.0</v>
      </c>
      <c r="Y149" s="725">
        <v>2.7202843E7</v>
      </c>
      <c r="Z149" s="691">
        <v>144.0</v>
      </c>
      <c r="AA149" s="40" t="s">
        <v>758</v>
      </c>
      <c r="AB149" s="724">
        <v>2.95</v>
      </c>
      <c r="AC149" s="726">
        <f t="shared" si="1"/>
        <v>1077.4875</v>
      </c>
      <c r="AD149" s="724">
        <v>4215.0</v>
      </c>
      <c r="AE149" s="40">
        <v>0.6</v>
      </c>
      <c r="AF149" s="727">
        <v>0.2753</v>
      </c>
      <c r="AG149" s="40" t="s">
        <v>873</v>
      </c>
      <c r="AH149" s="728">
        <f>IFERROR(__xludf.DUMMYFUNCTION("$AH$4*(AVERAGE.WEIGHTED(IFERROR(INDEX(V:V,MATCH(AG149,U:U,0))/1,INDEX(AC:AC,MATCH(AG149,AA:AA,0))),$W$3,IFERROR(INDEX(AC:AC,MATCH(AG149,AA:AA,0))/1,INDEX(V:V,MATCH(AG149,U:U,0))),$AE$3))*INDEX(R:R,MATCH(AG149,Q:Q,0))"),3672.2400000000002)</f>
        <v>3672.24</v>
      </c>
      <c r="AI149" s="41"/>
      <c r="AK149" s="40">
        <v>138.0</v>
      </c>
      <c r="AL149" s="719" t="s">
        <v>2059</v>
      </c>
      <c r="AM149" s="720" t="s">
        <v>2050</v>
      </c>
      <c r="AN149" s="720" t="s">
        <v>2051</v>
      </c>
      <c r="AO149" s="722">
        <v>0.051</v>
      </c>
      <c r="AP149" s="722" t="s">
        <v>2052</v>
      </c>
    </row>
    <row r="150">
      <c r="A150" s="157" t="s">
        <v>1289</v>
      </c>
      <c r="B150" s="157" t="s">
        <v>2060</v>
      </c>
      <c r="C150" s="706">
        <v>2021.0</v>
      </c>
      <c r="D150" s="707">
        <v>316022.0</v>
      </c>
      <c r="E150" s="668"/>
      <c r="F150" s="157" t="s">
        <v>811</v>
      </c>
      <c r="G150" s="157" t="s">
        <v>1506</v>
      </c>
      <c r="H150" s="706">
        <v>2021.0</v>
      </c>
      <c r="I150" s="707">
        <v>10.343</v>
      </c>
      <c r="J150" s="706"/>
      <c r="K150" s="743"/>
      <c r="L150" s="706"/>
      <c r="M150" s="706"/>
      <c r="N150" s="706"/>
      <c r="O150" s="707"/>
      <c r="P150" s="709"/>
      <c r="Q150" s="710" t="s">
        <v>844</v>
      </c>
      <c r="R150" s="711">
        <v>0.37</v>
      </c>
      <c r="S150" s="41"/>
      <c r="T150" s="691">
        <v>145.0</v>
      </c>
      <c r="U150" s="40" t="s">
        <v>877</v>
      </c>
      <c r="V150" s="724">
        <v>706.0</v>
      </c>
      <c r="W150" s="724">
        <v>963.0</v>
      </c>
      <c r="X150" s="724">
        <v>15206.0</v>
      </c>
      <c r="Y150" s="725">
        <v>6516100.0</v>
      </c>
      <c r="Z150" s="691">
        <v>145.0</v>
      </c>
      <c r="AA150" s="40" t="s">
        <v>733</v>
      </c>
      <c r="AB150" s="724">
        <v>2.88</v>
      </c>
      <c r="AC150" s="726">
        <f t="shared" si="1"/>
        <v>1051.92</v>
      </c>
      <c r="AD150" s="724">
        <v>696.0</v>
      </c>
      <c r="AE150" s="40">
        <v>0.39</v>
      </c>
      <c r="AF150" s="727">
        <v>0.4104</v>
      </c>
      <c r="AG150" s="40" t="s">
        <v>1867</v>
      </c>
      <c r="AH150" s="728">
        <f>IFERROR(__xludf.DUMMYFUNCTION("$AH$4*(AVERAGE.WEIGHTED(IFERROR(INDEX(V:V,MATCH(AG150,U:U,0))/1,INDEX(AC:AC,MATCH(AG150,AA:AA,0))),$W$3,IFERROR(INDEX(AC:AC,MATCH(AG150,AA:AA,0))/1,INDEX(V:V,MATCH(AG150,U:U,0))),$AE$3))*INDEX(R:R,MATCH(AG150,Q:Q,0))"),4040.3626200000003)</f>
        <v>4040.36262</v>
      </c>
      <c r="AI150" s="41"/>
      <c r="AK150" s="40">
        <v>157.0</v>
      </c>
      <c r="AL150" s="738" t="s">
        <v>2061</v>
      </c>
      <c r="AM150" s="738" t="s">
        <v>2050</v>
      </c>
      <c r="AN150" s="738" t="s">
        <v>2051</v>
      </c>
      <c r="AO150" s="739">
        <v>0.051</v>
      </c>
      <c r="AP150" s="739" t="s">
        <v>2052</v>
      </c>
    </row>
    <row r="151">
      <c r="A151" s="157" t="s">
        <v>812</v>
      </c>
      <c r="B151" s="157" t="s">
        <v>1508</v>
      </c>
      <c r="C151" s="706">
        <v>2021.0</v>
      </c>
      <c r="D151" s="707">
        <v>1.26705136E8</v>
      </c>
      <c r="E151" s="668"/>
      <c r="F151" s="157" t="s">
        <v>1289</v>
      </c>
      <c r="G151" s="157" t="s">
        <v>2060</v>
      </c>
      <c r="H151" s="706">
        <v>2021.0</v>
      </c>
      <c r="I151" s="707">
        <v>33.71</v>
      </c>
      <c r="J151" s="706"/>
      <c r="K151" s="743"/>
      <c r="L151" s="706"/>
      <c r="M151" s="706"/>
      <c r="N151" s="706"/>
      <c r="O151" s="707"/>
      <c r="P151" s="709"/>
      <c r="Q151" s="710" t="s">
        <v>845</v>
      </c>
      <c r="R151" s="711">
        <v>0.33</v>
      </c>
      <c r="S151" s="41"/>
      <c r="T151" s="691">
        <v>146.0</v>
      </c>
      <c r="U151" s="40" t="s">
        <v>871</v>
      </c>
      <c r="V151" s="724">
        <v>702.0</v>
      </c>
      <c r="W151" s="724">
        <v>992.0</v>
      </c>
      <c r="X151" s="724">
        <v>2770.0</v>
      </c>
      <c r="Y151" s="725">
        <v>6.7438106E7</v>
      </c>
      <c r="Z151" s="691">
        <v>146.0</v>
      </c>
      <c r="AA151" s="40" t="s">
        <v>892</v>
      </c>
      <c r="AB151" s="724">
        <v>2.65</v>
      </c>
      <c r="AC151" s="726">
        <f t="shared" si="1"/>
        <v>967.9125</v>
      </c>
      <c r="AD151" s="724">
        <v>1737.0</v>
      </c>
      <c r="AE151" s="40">
        <v>0.59</v>
      </c>
      <c r="AF151" s="727">
        <v>0.3953</v>
      </c>
      <c r="AG151" s="40" t="s">
        <v>875</v>
      </c>
      <c r="AH151" s="728">
        <f>IFERROR(__xludf.DUMMYFUNCTION("$AH$4*(AVERAGE.WEIGHTED(IFERROR(INDEX(V:V,MATCH(AG151,U:U,0))/1,INDEX(AC:AC,MATCH(AG151,AA:AA,0))),$W$3,IFERROR(INDEX(AC:AC,MATCH(AG151,AA:AA,0))/1,INDEX(V:V,MATCH(AG151,U:U,0))),$AE$3))*INDEX(R:R,MATCH(AG151,Q:Q,0))"),2503.90824)</f>
        <v>2503.90824</v>
      </c>
      <c r="AI151" s="41"/>
      <c r="AK151" s="40">
        <v>166.0</v>
      </c>
      <c r="AL151" s="719" t="s">
        <v>2062</v>
      </c>
      <c r="AM151" s="720" t="s">
        <v>2050</v>
      </c>
      <c r="AN151" s="720" t="s">
        <v>2051</v>
      </c>
      <c r="AO151" s="722">
        <v>0.051</v>
      </c>
      <c r="AP151" s="722" t="s">
        <v>2052</v>
      </c>
    </row>
    <row r="152">
      <c r="A152" s="157" t="s">
        <v>813</v>
      </c>
      <c r="B152" s="157" t="s">
        <v>1511</v>
      </c>
      <c r="C152" s="706">
        <v>2021.0</v>
      </c>
      <c r="D152" s="707">
        <v>113143.0</v>
      </c>
      <c r="E152" s="668"/>
      <c r="F152" s="157" t="s">
        <v>812</v>
      </c>
      <c r="G152" s="157" t="s">
        <v>1508</v>
      </c>
      <c r="H152" s="706">
        <v>2021.0</v>
      </c>
      <c r="I152" s="707">
        <v>14.857</v>
      </c>
      <c r="J152" s="706"/>
      <c r="K152" s="743"/>
      <c r="L152" s="706"/>
      <c r="M152" s="706"/>
      <c r="N152" s="706"/>
      <c r="O152" s="707"/>
      <c r="P152" s="709"/>
      <c r="Q152" s="710" t="s">
        <v>1582</v>
      </c>
      <c r="R152" s="711">
        <v>0.62</v>
      </c>
      <c r="S152" s="41"/>
      <c r="T152" s="691">
        <v>147.0</v>
      </c>
      <c r="U152" s="40" t="s">
        <v>718</v>
      </c>
      <c r="V152" s="724">
        <v>699.0</v>
      </c>
      <c r="W152" s="724">
        <v>989.0</v>
      </c>
      <c r="X152" s="724">
        <v>3432.0</v>
      </c>
      <c r="Y152" s="725">
        <v>1.3712828E7</v>
      </c>
      <c r="Z152" s="691">
        <v>147.0</v>
      </c>
      <c r="AA152" s="40" t="s">
        <v>836</v>
      </c>
      <c r="AB152" s="724">
        <v>2.62</v>
      </c>
      <c r="AC152" s="726">
        <f t="shared" si="1"/>
        <v>956.955</v>
      </c>
      <c r="AD152" s="724">
        <v>2916.0</v>
      </c>
      <c r="AE152" s="40">
        <v>0.56</v>
      </c>
      <c r="AF152" s="727">
        <v>0.2618</v>
      </c>
      <c r="AG152" s="40" t="s">
        <v>876</v>
      </c>
      <c r="AH152" s="728">
        <f>IFERROR(__xludf.DUMMYFUNCTION("$AH$4*(AVERAGE.WEIGHTED(IFERROR(INDEX(V:V,MATCH(AG152,U:U,0))/1,INDEX(AC:AC,MATCH(AG152,AA:AA,0))),$W$3,IFERROR(INDEX(AC:AC,MATCH(AG152,AA:AA,0))/1,INDEX(V:V,MATCH(AG152,U:U,0))),$AE$3))*INDEX(R:R,MATCH(AG152,Q:Q,0))"),3418.9887599999997)</f>
        <v>3418.98876</v>
      </c>
      <c r="AI152" s="41"/>
      <c r="AK152" s="40">
        <v>193.0</v>
      </c>
      <c r="AL152" s="738" t="s">
        <v>2063</v>
      </c>
      <c r="AM152" s="738" t="s">
        <v>2050</v>
      </c>
      <c r="AN152" s="738" t="s">
        <v>2051</v>
      </c>
      <c r="AO152" s="739">
        <v>0.051</v>
      </c>
      <c r="AP152" s="739" t="s">
        <v>2052</v>
      </c>
    </row>
    <row r="153">
      <c r="A153" s="157" t="s">
        <v>814</v>
      </c>
      <c r="B153" s="157" t="s">
        <v>1514</v>
      </c>
      <c r="C153" s="706">
        <v>2021.0</v>
      </c>
      <c r="D153" s="707">
        <v>3061509.0</v>
      </c>
      <c r="E153" s="668"/>
      <c r="F153" s="157" t="s">
        <v>813</v>
      </c>
      <c r="G153" s="157" t="s">
        <v>1511</v>
      </c>
      <c r="H153" s="706">
        <v>2021.0</v>
      </c>
      <c r="I153" s="707">
        <v>20.777</v>
      </c>
      <c r="J153" s="706"/>
      <c r="K153" s="743"/>
      <c r="L153" s="706"/>
      <c r="M153" s="706"/>
      <c r="N153" s="706"/>
      <c r="O153" s="707"/>
      <c r="P153" s="709"/>
      <c r="Q153" s="710" t="s">
        <v>846</v>
      </c>
      <c r="R153" s="711">
        <v>0.66</v>
      </c>
      <c r="S153" s="41"/>
      <c r="T153" s="691">
        <v>148.0</v>
      </c>
      <c r="U153" s="40" t="s">
        <v>807</v>
      </c>
      <c r="V153" s="724">
        <v>689.0</v>
      </c>
      <c r="W153" s="724">
        <v>861.0</v>
      </c>
      <c r="X153" s="724">
        <v>2424.0</v>
      </c>
      <c r="Y153" s="725">
        <v>2.3293698E7</v>
      </c>
      <c r="Z153" s="691">
        <v>148.0</v>
      </c>
      <c r="AA153" s="40" t="s">
        <v>879</v>
      </c>
      <c r="AB153" s="724">
        <v>2.47</v>
      </c>
      <c r="AC153" s="726">
        <f t="shared" si="1"/>
        <v>902.1675</v>
      </c>
      <c r="AD153" s="724">
        <v>858.0</v>
      </c>
      <c r="AE153" s="40">
        <v>0.53</v>
      </c>
      <c r="AF153" s="727">
        <v>0.3802</v>
      </c>
      <c r="AG153" s="40" t="s">
        <v>877</v>
      </c>
      <c r="AH153" s="728">
        <f>IFERROR(__xludf.DUMMYFUNCTION("$AH$4*(AVERAGE.WEIGHTED(IFERROR(INDEX(V:V,MATCH(AG153,U:U,0))/1,INDEX(AC:AC,MATCH(AG153,AA:AA,0))),$W$3,IFERROR(INDEX(AC:AC,MATCH(AG153,AA:AA,0))/1,INDEX(V:V,MATCH(AG153,U:U,0))),$AE$3))*INDEX(R:R,MATCH(AG153,Q:Q,0))"),727.7855999999999)</f>
        <v>727.7856</v>
      </c>
      <c r="AI153" s="41"/>
      <c r="AK153" s="40">
        <v>165.0</v>
      </c>
      <c r="AL153" s="732" t="s">
        <v>2064</v>
      </c>
      <c r="AM153" s="733" t="s">
        <v>2065</v>
      </c>
      <c r="AN153" s="733" t="s">
        <v>2066</v>
      </c>
      <c r="AO153" s="734">
        <v>0.049</v>
      </c>
      <c r="AP153" s="734" t="s">
        <v>2067</v>
      </c>
    </row>
    <row r="154">
      <c r="A154" s="157" t="s">
        <v>815</v>
      </c>
      <c r="B154" s="157" t="s">
        <v>1516</v>
      </c>
      <c r="C154" s="706">
        <v>2021.0</v>
      </c>
      <c r="D154" s="707">
        <v>36713.0</v>
      </c>
      <c r="E154" s="668"/>
      <c r="F154" s="157" t="s">
        <v>814</v>
      </c>
      <c r="G154" s="157" t="s">
        <v>1514</v>
      </c>
      <c r="H154" s="706">
        <v>2021.0</v>
      </c>
      <c r="I154" s="707">
        <v>12.432</v>
      </c>
      <c r="J154" s="706"/>
      <c r="K154" s="743"/>
      <c r="L154" s="706"/>
      <c r="M154" s="706"/>
      <c r="N154" s="706"/>
      <c r="O154" s="707"/>
      <c r="P154" s="709"/>
      <c r="Q154" s="710" t="s">
        <v>1585</v>
      </c>
      <c r="R154" s="711">
        <v>0.58</v>
      </c>
      <c r="S154" s="41"/>
      <c r="T154" s="691">
        <v>149.0</v>
      </c>
      <c r="U154" s="40" t="s">
        <v>872</v>
      </c>
      <c r="V154" s="724">
        <v>683.0</v>
      </c>
      <c r="W154" s="724">
        <v>964.0</v>
      </c>
      <c r="X154" s="724">
        <v>1667.0</v>
      </c>
      <c r="Y154" s="725">
        <v>9053799.0</v>
      </c>
      <c r="Z154" s="691">
        <v>149.0</v>
      </c>
      <c r="AA154" s="40" t="s">
        <v>877</v>
      </c>
      <c r="AB154" s="724">
        <v>2.4</v>
      </c>
      <c r="AC154" s="726">
        <f t="shared" si="1"/>
        <v>876.6</v>
      </c>
      <c r="AD154" s="736"/>
      <c r="AE154" s="40">
        <v>0.75</v>
      </c>
      <c r="AF154" s="727">
        <v>0.0175</v>
      </c>
      <c r="AG154" s="40" t="s">
        <v>878</v>
      </c>
      <c r="AH154" s="728">
        <f>IFERROR(__xludf.DUMMYFUNCTION("$AH$4*(AVERAGE.WEIGHTED(IFERROR(INDEX(V:V,MATCH(AG154,U:U,0))/1,INDEX(AC:AC,MATCH(AG154,AA:AA,0))),$W$3,IFERROR(INDEX(AC:AC,MATCH(AG154,AA:AA,0))/1,INDEX(V:V,MATCH(AG154,U:U,0))),$AE$3))*INDEX(R:R,MATCH(AG154,Q:Q,0))"),4365.92)</f>
        <v>4365.92</v>
      </c>
      <c r="AI154" s="41"/>
      <c r="AK154" s="40">
        <v>160.0</v>
      </c>
      <c r="AL154" s="729" t="s">
        <v>2068</v>
      </c>
      <c r="AM154" s="729" t="s">
        <v>2069</v>
      </c>
      <c r="AN154" s="729" t="s">
        <v>2070</v>
      </c>
      <c r="AO154" s="730">
        <v>0.041</v>
      </c>
      <c r="AP154" s="730" t="s">
        <v>2071</v>
      </c>
    </row>
    <row r="155">
      <c r="A155" s="157" t="s">
        <v>816</v>
      </c>
      <c r="B155" s="157" t="s">
        <v>1518</v>
      </c>
      <c r="C155" s="706">
        <v>2021.0</v>
      </c>
      <c r="D155" s="707">
        <v>3347782.0</v>
      </c>
      <c r="E155" s="668"/>
      <c r="F155" s="157" t="s">
        <v>815</v>
      </c>
      <c r="G155" s="157" t="s">
        <v>1516</v>
      </c>
      <c r="H155" s="706">
        <v>2021.0</v>
      </c>
      <c r="I155" s="707">
        <v>8.805</v>
      </c>
      <c r="J155" s="706"/>
      <c r="K155" s="743"/>
      <c r="L155" s="706"/>
      <c r="M155" s="706"/>
      <c r="N155" s="706"/>
      <c r="O155" s="707"/>
      <c r="P155" s="709"/>
      <c r="Q155" s="710" t="s">
        <v>847</v>
      </c>
      <c r="R155" s="711">
        <v>0.63</v>
      </c>
      <c r="S155" s="41"/>
      <c r="T155" s="691">
        <v>150.0</v>
      </c>
      <c r="U155" s="40" t="s">
        <v>700</v>
      </c>
      <c r="V155" s="724">
        <v>665.0</v>
      </c>
      <c r="W155" s="724">
        <v>1066.0</v>
      </c>
      <c r="X155" s="724">
        <v>6965.0</v>
      </c>
      <c r="Y155" s="725">
        <v>3.6684202E7</v>
      </c>
      <c r="Z155" s="691">
        <v>150.0</v>
      </c>
      <c r="AA155" s="40" t="s">
        <v>871</v>
      </c>
      <c r="AB155" s="724">
        <v>2.33</v>
      </c>
      <c r="AC155" s="726">
        <f t="shared" si="1"/>
        <v>851.0325</v>
      </c>
      <c r="AD155" s="724">
        <v>1136.0</v>
      </c>
      <c r="AE155" s="40">
        <v>0.55</v>
      </c>
      <c r="AF155" s="727">
        <v>0.4772</v>
      </c>
      <c r="AG155" s="40" t="s">
        <v>879</v>
      </c>
      <c r="AH155" s="728">
        <f>IFERROR(__xludf.DUMMYFUNCTION("$AH$4*(AVERAGE.WEIGHTED(IFERROR(INDEX(V:V,MATCH(AG155,U:U,0))/1,INDEX(AC:AC,MATCH(AG155,AA:AA,0))),$W$3,IFERROR(INDEX(AC:AC,MATCH(AG155,AA:AA,0))/1,INDEX(V:V,MATCH(AG155,U:U,0))),$AE$3))*INDEX(R:R,MATCH(AG155,Q:Q,0))"),607.15224)</f>
        <v>607.15224</v>
      </c>
      <c r="AI155" s="41"/>
      <c r="AK155" s="40">
        <v>76.0</v>
      </c>
      <c r="AL155" s="719" t="s">
        <v>2072</v>
      </c>
      <c r="AM155" s="720" t="s">
        <v>2073</v>
      </c>
      <c r="AN155" s="720" t="s">
        <v>2074</v>
      </c>
      <c r="AO155" s="722">
        <v>0.027</v>
      </c>
      <c r="AP155" s="722" t="s">
        <v>2075</v>
      </c>
    </row>
    <row r="156">
      <c r="A156" s="157" t="s">
        <v>817</v>
      </c>
      <c r="B156" s="157" t="s">
        <v>1519</v>
      </c>
      <c r="C156" s="706">
        <v>2021.0</v>
      </c>
      <c r="D156" s="707">
        <v>627856.0</v>
      </c>
      <c r="E156" s="668"/>
      <c r="F156" s="157" t="s">
        <v>816</v>
      </c>
      <c r="G156" s="157" t="s">
        <v>1518</v>
      </c>
      <c r="H156" s="706">
        <v>2021.0</v>
      </c>
      <c r="I156" s="707">
        <v>21.413</v>
      </c>
      <c r="J156" s="706"/>
      <c r="K156" s="743"/>
      <c r="L156" s="706"/>
      <c r="M156" s="706"/>
      <c r="N156" s="706"/>
      <c r="O156" s="707"/>
      <c r="P156" s="709"/>
      <c r="Q156" s="710" t="s">
        <v>1589</v>
      </c>
      <c r="R156" s="711">
        <v>0.76</v>
      </c>
      <c r="S156" s="41"/>
      <c r="T156" s="691">
        <v>151.0</v>
      </c>
      <c r="U156" s="40" t="s">
        <v>845</v>
      </c>
      <c r="V156" s="724">
        <v>621.0</v>
      </c>
      <c r="W156" s="724">
        <v>925.0</v>
      </c>
      <c r="X156" s="724">
        <v>2325.0</v>
      </c>
      <c r="Y156" s="725">
        <v>1.4094683E7</v>
      </c>
      <c r="Z156" s="691">
        <v>151.0</v>
      </c>
      <c r="AA156" s="40" t="s">
        <v>828</v>
      </c>
      <c r="AB156" s="724">
        <v>2.13</v>
      </c>
      <c r="AC156" s="726">
        <f t="shared" si="1"/>
        <v>777.9825</v>
      </c>
      <c r="AD156" s="724">
        <v>595.0</v>
      </c>
      <c r="AE156" s="40">
        <v>0.4</v>
      </c>
      <c r="AF156" s="727">
        <v>0.3929</v>
      </c>
      <c r="AG156" s="40" t="s">
        <v>880</v>
      </c>
      <c r="AH156" s="728">
        <f>IFERROR(__xludf.DUMMYFUNCTION("$AH$4*(AVERAGE.WEIGHTED(IFERROR(INDEX(V:V,MATCH(AG156,U:U,0))/1,INDEX(AC:AC,MATCH(AG156,AA:AA,0))),$W$3,IFERROR(INDEX(AC:AC,MATCH(AG156,AA:AA,0))/1,INDEX(V:V,MATCH(AG156,U:U,0))),$AE$3))*INDEX(R:R,MATCH(AG156,Q:Q,0))"),3060.8568000000005)</f>
        <v>3060.8568</v>
      </c>
      <c r="AI156" s="41"/>
      <c r="AK156" s="40">
        <v>169.0</v>
      </c>
      <c r="AL156" s="738" t="s">
        <v>2076</v>
      </c>
      <c r="AM156" s="738" t="s">
        <v>2077</v>
      </c>
      <c r="AN156" s="738" t="s">
        <v>2078</v>
      </c>
      <c r="AO156" s="739">
        <v>0.027</v>
      </c>
      <c r="AP156" s="739" t="s">
        <v>2075</v>
      </c>
    </row>
    <row r="157">
      <c r="A157" s="157" t="s">
        <v>818</v>
      </c>
      <c r="B157" s="157" t="s">
        <v>2079</v>
      </c>
      <c r="C157" s="706">
        <v>2021.0</v>
      </c>
      <c r="D157" s="707">
        <v>4438.0</v>
      </c>
      <c r="E157" s="668"/>
      <c r="F157" s="157" t="s">
        <v>817</v>
      </c>
      <c r="G157" s="157" t="s">
        <v>1519</v>
      </c>
      <c r="H157" s="706">
        <v>2021.0</v>
      </c>
      <c r="I157" s="707">
        <v>11.093</v>
      </c>
      <c r="J157" s="706"/>
      <c r="K157" s="743"/>
      <c r="L157" s="706"/>
      <c r="M157" s="706"/>
      <c r="N157" s="706"/>
      <c r="O157" s="707"/>
      <c r="P157" s="709"/>
      <c r="Q157" s="710" t="s">
        <v>848</v>
      </c>
      <c r="R157" s="711">
        <v>0.53</v>
      </c>
      <c r="S157" s="41"/>
      <c r="T157" s="691">
        <v>152.0</v>
      </c>
      <c r="U157" s="40" t="s">
        <v>885</v>
      </c>
      <c r="V157" s="724">
        <v>591.0</v>
      </c>
      <c r="W157" s="724">
        <v>752.0</v>
      </c>
      <c r="X157" s="724">
        <v>7308.0</v>
      </c>
      <c r="Y157" s="725">
        <v>3.5163944E7</v>
      </c>
      <c r="Z157" s="691">
        <v>152.0</v>
      </c>
      <c r="AA157" s="40" t="s">
        <v>845</v>
      </c>
      <c r="AB157" s="724">
        <v>2.07</v>
      </c>
      <c r="AC157" s="726">
        <f t="shared" si="1"/>
        <v>756.0675</v>
      </c>
      <c r="AD157" s="724">
        <v>834.0</v>
      </c>
      <c r="AE157" s="40">
        <v>0.53</v>
      </c>
      <c r="AF157" s="727">
        <v>0.4897</v>
      </c>
      <c r="AG157" s="40" t="s">
        <v>881</v>
      </c>
      <c r="AH157" s="728">
        <f>IFERROR(__xludf.DUMMYFUNCTION("$AH$4*(AVERAGE.WEIGHTED(IFERROR(INDEX(V:V,MATCH(AG157,U:U,0))/1,INDEX(AC:AC,MATCH(AG157,AA:AA,0))),$W$3,IFERROR(INDEX(AC:AC,MATCH(AG157,AA:AA,0))/1,INDEX(V:V,MATCH(AG157,U:U,0))),$AE$3))*INDEX(R:R,MATCH(AG157,Q:Q,0))"),27946.898639999996)</f>
        <v>27946.89864</v>
      </c>
      <c r="AI157" s="41"/>
      <c r="AK157" s="40">
        <v>172.0</v>
      </c>
      <c r="AL157" s="719" t="s">
        <v>2080</v>
      </c>
      <c r="AM157" s="720" t="s">
        <v>2077</v>
      </c>
      <c r="AN157" s="720" t="s">
        <v>2078</v>
      </c>
      <c r="AO157" s="722">
        <v>0.027</v>
      </c>
      <c r="AP157" s="722" t="s">
        <v>2075</v>
      </c>
    </row>
    <row r="158">
      <c r="A158" s="157" t="s">
        <v>819</v>
      </c>
      <c r="B158" s="157" t="s">
        <v>1521</v>
      </c>
      <c r="C158" s="706">
        <v>2021.0</v>
      </c>
      <c r="D158" s="707">
        <v>3.7076588E7</v>
      </c>
      <c r="E158" s="668"/>
      <c r="F158" s="157" t="s">
        <v>818</v>
      </c>
      <c r="G158" s="157" t="s">
        <v>2079</v>
      </c>
      <c r="H158" s="706">
        <v>2021.0</v>
      </c>
      <c r="I158" s="707">
        <v>9.079</v>
      </c>
      <c r="J158" s="706"/>
      <c r="K158" s="743"/>
      <c r="L158" s="706"/>
      <c r="M158" s="706"/>
      <c r="N158" s="706"/>
      <c r="O158" s="707"/>
      <c r="P158" s="709"/>
      <c r="Q158" s="710" t="s">
        <v>849</v>
      </c>
      <c r="R158" s="711">
        <v>0.48</v>
      </c>
      <c r="S158" s="41"/>
      <c r="T158" s="691">
        <v>153.0</v>
      </c>
      <c r="U158" s="40" t="s">
        <v>891</v>
      </c>
      <c r="V158" s="724">
        <v>545.0</v>
      </c>
      <c r="W158" s="724">
        <v>1045.0</v>
      </c>
      <c r="X158" s="724">
        <v>3624.0</v>
      </c>
      <c r="Y158" s="725">
        <v>2.0569737E7</v>
      </c>
      <c r="Z158" s="691">
        <v>153.0</v>
      </c>
      <c r="AA158" s="40" t="s">
        <v>727</v>
      </c>
      <c r="AB158" s="724">
        <v>1.7</v>
      </c>
      <c r="AC158" s="726">
        <f t="shared" si="1"/>
        <v>620.925</v>
      </c>
      <c r="AD158" s="724">
        <v>237.0</v>
      </c>
      <c r="AE158" s="40">
        <v>0.43</v>
      </c>
      <c r="AF158" s="727">
        <v>0.7953</v>
      </c>
      <c r="AG158" s="40" t="s">
        <v>882</v>
      </c>
      <c r="AH158" s="728">
        <f>IFERROR(__xludf.DUMMYFUNCTION("$AH$4*(AVERAGE.WEIGHTED(IFERROR(INDEX(V:V,MATCH(AG158,U:U,0))/1,INDEX(AC:AC,MATCH(AG158,AA:AA,0))),$W$3,IFERROR(INDEX(AC:AC,MATCH(AG158,AA:AA,0))/1,INDEX(V:V,MATCH(AG158,U:U,0))),$AE$3))*INDEX(R:R,MATCH(AG158,Q:Q,0))"),29355.569999999996)</f>
        <v>29355.57</v>
      </c>
      <c r="AI158" s="41"/>
      <c r="AK158" s="40">
        <v>199.0</v>
      </c>
      <c r="AL158" s="738" t="s">
        <v>2081</v>
      </c>
      <c r="AM158" s="738" t="s">
        <v>2077</v>
      </c>
      <c r="AN158" s="738" t="s">
        <v>2078</v>
      </c>
      <c r="AO158" s="739">
        <v>0.027</v>
      </c>
      <c r="AP158" s="739" t="s">
        <v>2075</v>
      </c>
    </row>
    <row r="159">
      <c r="A159" s="157" t="s">
        <v>820</v>
      </c>
      <c r="B159" s="157" t="s">
        <v>1523</v>
      </c>
      <c r="C159" s="706">
        <v>2021.0</v>
      </c>
      <c r="D159" s="707">
        <v>3.2077074E7</v>
      </c>
      <c r="E159" s="668"/>
      <c r="F159" s="158" t="s">
        <v>2082</v>
      </c>
      <c r="G159" s="157"/>
      <c r="H159" s="706">
        <v>2021.0</v>
      </c>
      <c r="I159" s="707">
        <v>9.537</v>
      </c>
      <c r="J159" s="706"/>
      <c r="K159" s="743"/>
      <c r="L159" s="706"/>
      <c r="M159" s="706"/>
      <c r="N159" s="706"/>
      <c r="O159" s="707"/>
      <c r="P159" s="709"/>
      <c r="Q159" s="710" t="s">
        <v>850</v>
      </c>
      <c r="R159" s="711">
        <v>0.43</v>
      </c>
      <c r="S159" s="41"/>
      <c r="T159" s="691">
        <v>154.0</v>
      </c>
      <c r="U159" s="40" t="s">
        <v>820</v>
      </c>
      <c r="V159" s="724">
        <v>529.0</v>
      </c>
      <c r="W159" s="724">
        <v>947.0</v>
      </c>
      <c r="X159" s="724">
        <v>1338.0</v>
      </c>
      <c r="Y159" s="725">
        <v>3.3897354E7</v>
      </c>
      <c r="Z159" s="691">
        <v>154.0</v>
      </c>
      <c r="AA159" s="40" t="s">
        <v>732</v>
      </c>
      <c r="AB159" s="724">
        <v>1.68</v>
      </c>
      <c r="AC159" s="726">
        <f t="shared" si="1"/>
        <v>613.62</v>
      </c>
      <c r="AD159" s="724">
        <v>511.0</v>
      </c>
      <c r="AE159" s="40">
        <v>0.4</v>
      </c>
      <c r="AF159" s="727">
        <v>0.7076</v>
      </c>
      <c r="AG159" s="40" t="s">
        <v>1668</v>
      </c>
      <c r="AH159" s="728">
        <f>IFERROR(__xludf.DUMMYFUNCTION("$AH$4*(AVERAGE.WEIGHTED(IFERROR(INDEX(V:V,MATCH(AG159,U:U,0))/1,INDEX(AC:AC,MATCH(AG159,AA:AA,0))),$W$3,IFERROR(INDEX(AC:AC,MATCH(AG159,AA:AA,0))/1,INDEX(V:V,MATCH(AG159,U:U,0))),$AE$3))*INDEX(R:R,MATCH(AG159,Q:Q,0))"),42171.888)</f>
        <v>42171.888</v>
      </c>
      <c r="AI159" s="41"/>
      <c r="AK159" s="40">
        <v>77.0</v>
      </c>
      <c r="AL159" s="732" t="s">
        <v>2083</v>
      </c>
      <c r="AM159" s="733" t="s">
        <v>2084</v>
      </c>
      <c r="AN159" s="733" t="s">
        <v>2085</v>
      </c>
      <c r="AO159" s="734">
        <v>0.021</v>
      </c>
      <c r="AP159" s="734" t="s">
        <v>2086</v>
      </c>
    </row>
    <row r="160">
      <c r="A160" s="157" t="s">
        <v>821</v>
      </c>
      <c r="B160" s="157" t="s">
        <v>1525</v>
      </c>
      <c r="C160" s="706">
        <v>2021.0</v>
      </c>
      <c r="D160" s="707">
        <v>5.3798088E7</v>
      </c>
      <c r="E160" s="668"/>
      <c r="F160" s="157" t="s">
        <v>819</v>
      </c>
      <c r="G160" s="157" t="s">
        <v>1521</v>
      </c>
      <c r="H160" s="706">
        <v>2021.0</v>
      </c>
      <c r="I160" s="707">
        <v>17.545</v>
      </c>
      <c r="J160" s="706"/>
      <c r="K160" s="743"/>
      <c r="L160" s="706"/>
      <c r="M160" s="706"/>
      <c r="N160" s="706"/>
      <c r="O160" s="707"/>
      <c r="P160" s="709"/>
      <c r="Q160" s="710" t="s">
        <v>851</v>
      </c>
      <c r="R160" s="711">
        <v>0.43</v>
      </c>
      <c r="S160" s="41"/>
      <c r="T160" s="691">
        <v>155.0</v>
      </c>
      <c r="U160" s="40" t="s">
        <v>732</v>
      </c>
      <c r="V160" s="724">
        <v>491.0</v>
      </c>
      <c r="W160" s="724">
        <v>891.0</v>
      </c>
      <c r="X160" s="724">
        <v>986.0</v>
      </c>
      <c r="Y160" s="725">
        <v>5742315.0</v>
      </c>
      <c r="Z160" s="691">
        <v>155.0</v>
      </c>
      <c r="AA160" s="40" t="s">
        <v>820</v>
      </c>
      <c r="AB160" s="724">
        <v>1.6</v>
      </c>
      <c r="AC160" s="726">
        <f t="shared" si="1"/>
        <v>584.4</v>
      </c>
      <c r="AD160" s="724">
        <v>500.0</v>
      </c>
      <c r="AE160" s="40">
        <v>0.45</v>
      </c>
      <c r="AF160" s="727">
        <v>0.6229</v>
      </c>
      <c r="AG160" s="40" t="s">
        <v>884</v>
      </c>
      <c r="AH160" s="728">
        <f>IFERROR(__xludf.DUMMYFUNCTION("$AH$4*(AVERAGE.WEIGHTED(IFERROR(INDEX(V:V,MATCH(AG160,U:U,0))/1,INDEX(AC:AC,MATCH(AG160,AA:AA,0))),$W$3,IFERROR(INDEX(AC:AC,MATCH(AG160,AA:AA,0))/1,INDEX(V:V,MATCH(AG160,U:U,0))),$AE$3))*INDEX(R:R,MATCH(AG160,Q:Q,0))"),10346.29884)</f>
        <v>10346.29884</v>
      </c>
      <c r="AI160" s="41"/>
      <c r="AK160" s="40">
        <v>187.0</v>
      </c>
      <c r="AL160" s="738" t="s">
        <v>2087</v>
      </c>
      <c r="AM160" s="738" t="s">
        <v>2088</v>
      </c>
      <c r="AN160" s="738" t="s">
        <v>2089</v>
      </c>
      <c r="AO160" s="739">
        <v>0.019</v>
      </c>
      <c r="AP160" s="739" t="s">
        <v>2090</v>
      </c>
    </row>
    <row r="161">
      <c r="A161" s="157" t="s">
        <v>822</v>
      </c>
      <c r="B161" s="157" t="s">
        <v>1527</v>
      </c>
      <c r="C161" s="706">
        <v>2021.0</v>
      </c>
      <c r="D161" s="707">
        <v>2530150.0</v>
      </c>
      <c r="E161" s="668"/>
      <c r="F161" s="157" t="s">
        <v>820</v>
      </c>
      <c r="G161" s="157" t="s">
        <v>1523</v>
      </c>
      <c r="H161" s="706">
        <v>2021.0</v>
      </c>
      <c r="I161" s="707">
        <v>36.598</v>
      </c>
      <c r="J161" s="706"/>
      <c r="K161" s="743"/>
      <c r="L161" s="706"/>
      <c r="M161" s="706"/>
      <c r="N161" s="706"/>
      <c r="O161" s="707"/>
      <c r="P161" s="709"/>
      <c r="Q161" s="710" t="s">
        <v>852</v>
      </c>
      <c r="R161" s="711">
        <v>0.46</v>
      </c>
      <c r="S161" s="41"/>
      <c r="T161" s="691">
        <v>156.0</v>
      </c>
      <c r="U161" s="40" t="s">
        <v>1360</v>
      </c>
      <c r="V161" s="724">
        <v>486.0</v>
      </c>
      <c r="W161" s="724">
        <v>797.0</v>
      </c>
      <c r="X161" s="724">
        <v>2077.0</v>
      </c>
      <c r="Y161" s="725">
        <v>2150842.0</v>
      </c>
      <c r="Z161" s="691">
        <v>156.0</v>
      </c>
      <c r="AA161" s="40" t="s">
        <v>891</v>
      </c>
      <c r="AB161" s="724">
        <v>1.57</v>
      </c>
      <c r="AC161" s="726">
        <f t="shared" si="1"/>
        <v>573.4425</v>
      </c>
      <c r="AD161" s="724">
        <v>1121.0</v>
      </c>
      <c r="AE161" s="40">
        <v>0.57</v>
      </c>
      <c r="AF161" s="727">
        <v>0.5852</v>
      </c>
      <c r="AG161" s="40" t="s">
        <v>885</v>
      </c>
      <c r="AH161" s="728">
        <f>IFERROR(__xludf.DUMMYFUNCTION("$AH$4*(AVERAGE.WEIGHTED(IFERROR(INDEX(V:V,MATCH(AG161,U:U,0))/1,INDEX(AC:AC,MATCH(AG161,AA:AA,0))),$W$3,IFERROR(INDEX(AC:AC,MATCH(AG161,AA:AA,0))/1,INDEX(V:V,MATCH(AG161,U:U,0))),$AE$3))*INDEX(R:R,MATCH(AG161,Q:Q,0))"),245.77938)</f>
        <v>245.77938</v>
      </c>
      <c r="AI161" s="41"/>
      <c r="AK161" s="40">
        <v>16.0</v>
      </c>
      <c r="AL161" s="719" t="s">
        <v>2091</v>
      </c>
      <c r="AM161" s="720" t="s">
        <v>2092</v>
      </c>
      <c r="AN161" s="721"/>
      <c r="AO161" s="722">
        <v>0.016</v>
      </c>
      <c r="AP161" s="722" t="s">
        <v>2093</v>
      </c>
    </row>
    <row r="162">
      <c r="A162" s="157" t="s">
        <v>823</v>
      </c>
      <c r="B162" s="157" t="s">
        <v>1529</v>
      </c>
      <c r="C162" s="706">
        <v>2021.0</v>
      </c>
      <c r="D162" s="707">
        <v>12533.0</v>
      </c>
      <c r="E162" s="668"/>
      <c r="F162" s="157" t="s">
        <v>821</v>
      </c>
      <c r="G162" s="157" t="s">
        <v>1525</v>
      </c>
      <c r="H162" s="706">
        <v>2021.0</v>
      </c>
      <c r="I162" s="707">
        <v>17.103</v>
      </c>
      <c r="J162" s="706"/>
      <c r="K162" s="743"/>
      <c r="L162" s="706"/>
      <c r="M162" s="706"/>
      <c r="N162" s="706"/>
      <c r="O162" s="707"/>
      <c r="P162" s="709"/>
      <c r="Q162" s="710" t="s">
        <v>853</v>
      </c>
      <c r="R162" s="711">
        <v>0.27</v>
      </c>
      <c r="S162" s="41"/>
      <c r="T162" s="691">
        <v>157.0</v>
      </c>
      <c r="U162" s="40" t="s">
        <v>804</v>
      </c>
      <c r="V162" s="724">
        <v>484.0</v>
      </c>
      <c r="W162" s="724">
        <v>733.0</v>
      </c>
      <c r="X162" s="724">
        <v>1106.0</v>
      </c>
      <c r="Y162" s="725">
        <v>2.0931751E7</v>
      </c>
      <c r="Z162" s="691">
        <v>157.0</v>
      </c>
      <c r="AA162" s="40" t="s">
        <v>804</v>
      </c>
      <c r="AB162" s="724">
        <v>1.53</v>
      </c>
      <c r="AC162" s="726">
        <f t="shared" si="1"/>
        <v>558.8325</v>
      </c>
      <c r="AD162" s="724">
        <v>643.0</v>
      </c>
      <c r="AE162" s="40">
        <v>0.51</v>
      </c>
      <c r="AF162" s="727">
        <v>0.6755</v>
      </c>
      <c r="AG162" s="40" t="s">
        <v>886</v>
      </c>
      <c r="AH162" s="728">
        <f>IFERROR(__xludf.DUMMYFUNCTION("$AH$4*(AVERAGE.WEIGHTED(IFERROR(INDEX(V:V,MATCH(AG162,U:U,0))/1,INDEX(AC:AC,MATCH(AG162,AA:AA,0))),$W$3,IFERROR(INDEX(AC:AC,MATCH(AG162,AA:AA,0))/1,INDEX(V:V,MATCH(AG162,U:U,0))),$AE$3))*INDEX(R:R,MATCH(AG162,Q:Q,0))"),2958.98652)</f>
        <v>2958.98652</v>
      </c>
      <c r="AI162" s="41"/>
      <c r="AK162" s="40">
        <v>73.0</v>
      </c>
      <c r="AL162" s="738" t="s">
        <v>2094</v>
      </c>
      <c r="AM162" s="738" t="s">
        <v>2095</v>
      </c>
      <c r="AN162" s="738" t="s">
        <v>2096</v>
      </c>
      <c r="AO162" s="739">
        <v>0.013</v>
      </c>
      <c r="AP162" s="739" t="s">
        <v>2097</v>
      </c>
    </row>
    <row r="163">
      <c r="A163" s="157" t="s">
        <v>824</v>
      </c>
      <c r="B163" s="157" t="s">
        <v>1531</v>
      </c>
      <c r="C163" s="706">
        <v>2021.0</v>
      </c>
      <c r="D163" s="707">
        <v>3.0034988E7</v>
      </c>
      <c r="E163" s="668"/>
      <c r="F163" s="157" t="s">
        <v>822</v>
      </c>
      <c r="G163" s="157" t="s">
        <v>1527</v>
      </c>
      <c r="H163" s="706">
        <v>2021.0</v>
      </c>
      <c r="I163" s="707">
        <v>27.439</v>
      </c>
      <c r="J163" s="706"/>
      <c r="K163" s="743"/>
      <c r="L163" s="706"/>
      <c r="M163" s="706"/>
      <c r="N163" s="706"/>
      <c r="O163" s="707"/>
      <c r="P163" s="709"/>
      <c r="Q163" s="710" t="s">
        <v>854</v>
      </c>
      <c r="R163" s="711">
        <v>0.62</v>
      </c>
      <c r="S163" s="41"/>
      <c r="T163" s="691">
        <v>158.0</v>
      </c>
      <c r="U163" s="40" t="s">
        <v>727</v>
      </c>
      <c r="V163" s="724">
        <v>475.0</v>
      </c>
      <c r="W163" s="724">
        <v>640.0</v>
      </c>
      <c r="X163" s="724">
        <v>784.0</v>
      </c>
      <c r="Y163" s="725">
        <v>1.3238559E7</v>
      </c>
      <c r="Z163" s="691">
        <v>158.0</v>
      </c>
      <c r="AA163" s="40" t="s">
        <v>858</v>
      </c>
      <c r="AB163" s="724">
        <v>1.52</v>
      </c>
      <c r="AC163" s="726">
        <f t="shared" si="1"/>
        <v>555.18</v>
      </c>
      <c r="AD163" s="724">
        <v>446.0</v>
      </c>
      <c r="AF163" s="727">
        <v>0.6866</v>
      </c>
      <c r="AG163" s="40" t="s">
        <v>887</v>
      </c>
      <c r="AH163" s="728" t="str">
        <f>IFERROR(__xludf.DUMMYFUNCTION("$AH$4*(AVERAGE.WEIGHTED(IFERROR(INDEX(V:V,MATCH(AG163,U:U,0))/1,INDEX(AC:AC,MATCH(AG163,AA:AA,0))),$W$3,IFERROR(INDEX(AC:AC,MATCH(AG163,AA:AA,0))/1,INDEX(V:V,MATCH(AG163,U:U,0))),$AE$3))*INDEX(R:R,MATCH(AG163,Q:Q,0))"),"#N/A")</f>
        <v>#N/A</v>
      </c>
      <c r="AI163" s="41"/>
      <c r="AK163" s="40">
        <v>74.0</v>
      </c>
      <c r="AL163" s="719" t="s">
        <v>2098</v>
      </c>
      <c r="AM163" s="720" t="s">
        <v>2095</v>
      </c>
      <c r="AN163" s="720" t="s">
        <v>2096</v>
      </c>
      <c r="AO163" s="722">
        <v>0.013</v>
      </c>
      <c r="AP163" s="722" t="s">
        <v>2097</v>
      </c>
    </row>
    <row r="164">
      <c r="A164" s="157" t="s">
        <v>825</v>
      </c>
      <c r="B164" s="157" t="s">
        <v>1533</v>
      </c>
      <c r="C164" s="706">
        <v>2021.0</v>
      </c>
      <c r="D164" s="707">
        <v>1.7501696E7</v>
      </c>
      <c r="E164" s="668"/>
      <c r="F164" s="157" t="s">
        <v>823</v>
      </c>
      <c r="G164" s="157" t="s">
        <v>1529</v>
      </c>
      <c r="H164" s="706">
        <v>2021.0</v>
      </c>
      <c r="I164" s="707">
        <v>27.56</v>
      </c>
      <c r="J164" s="706"/>
      <c r="K164" s="743"/>
      <c r="L164" s="706"/>
      <c r="M164" s="706"/>
      <c r="N164" s="706"/>
      <c r="O164" s="707"/>
      <c r="P164" s="709"/>
      <c r="Q164" s="710" t="s">
        <v>1411</v>
      </c>
      <c r="R164" s="711">
        <v>0.81</v>
      </c>
      <c r="S164" s="41"/>
      <c r="T164" s="691">
        <v>159.0</v>
      </c>
      <c r="U164" s="40" t="s">
        <v>803</v>
      </c>
      <c r="V164" s="724">
        <v>398.0</v>
      </c>
      <c r="W164" s="724">
        <v>567.0</v>
      </c>
      <c r="X164" s="724">
        <v>1719.0</v>
      </c>
      <c r="Y164" s="725">
        <v>3.0325732E7</v>
      </c>
      <c r="Z164" s="691">
        <v>159.0</v>
      </c>
      <c r="AA164" s="40" t="s">
        <v>861</v>
      </c>
      <c r="AB164" s="724">
        <v>1.52</v>
      </c>
      <c r="AC164" s="726">
        <f t="shared" si="1"/>
        <v>555.18</v>
      </c>
      <c r="AD164" s="736"/>
      <c r="AE164" s="40">
        <v>0.39</v>
      </c>
      <c r="AF164" s="727">
        <v>0.8071</v>
      </c>
      <c r="AG164" s="40" t="s">
        <v>888</v>
      </c>
      <c r="AH164" s="728">
        <f>IFERROR(__xludf.DUMMYFUNCTION("$AH$4*(AVERAGE.WEIGHTED(IFERROR(INDEX(V:V,MATCH(AG164,U:U,0))/1,INDEX(AC:AC,MATCH(AG164,AA:AA,0))),$W$3,IFERROR(INDEX(AC:AC,MATCH(AG164,AA:AA,0))/1,INDEX(V:V,MATCH(AG164,U:U,0))),$AE$3))*INDEX(R:R,MATCH(AG164,Q:Q,0))"),2230.27968)</f>
        <v>2230.27968</v>
      </c>
      <c r="AI164" s="41"/>
      <c r="AK164" s="40">
        <v>15.0</v>
      </c>
      <c r="AL164" s="738" t="s">
        <v>2099</v>
      </c>
      <c r="AM164" s="738" t="s">
        <v>2100</v>
      </c>
      <c r="AN164" s="738" t="s">
        <v>2101</v>
      </c>
      <c r="AO164" s="739">
        <v>0.012</v>
      </c>
      <c r="AP164" s="739" t="s">
        <v>2102</v>
      </c>
    </row>
    <row r="165">
      <c r="A165" s="157" t="s">
        <v>1320</v>
      </c>
      <c r="B165" s="157" t="s">
        <v>2103</v>
      </c>
      <c r="C165" s="706">
        <v>2021.0</v>
      </c>
      <c r="D165" s="707">
        <v>287809.0</v>
      </c>
      <c r="E165" s="668"/>
      <c r="F165" s="157" t="s">
        <v>824</v>
      </c>
      <c r="G165" s="157" t="s">
        <v>1531</v>
      </c>
      <c r="H165" s="706">
        <v>2021.0</v>
      </c>
      <c r="I165" s="707">
        <v>20.402</v>
      </c>
      <c r="J165" s="706"/>
      <c r="K165" s="743"/>
      <c r="L165" s="706"/>
      <c r="M165" s="706"/>
      <c r="N165" s="706"/>
      <c r="O165" s="707"/>
      <c r="P165" s="709"/>
      <c r="Q165" s="710" t="s">
        <v>855</v>
      </c>
      <c r="R165" s="711">
        <v>0.64</v>
      </c>
      <c r="S165" s="41"/>
      <c r="T165" s="691">
        <v>160.0</v>
      </c>
      <c r="U165" s="504" t="s">
        <v>1227</v>
      </c>
      <c r="V165" s="724">
        <v>395.0</v>
      </c>
      <c r="W165" s="724">
        <v>548.0</v>
      </c>
      <c r="X165" s="724">
        <v>1146.0</v>
      </c>
      <c r="Y165" s="725">
        <v>1.02262808E8</v>
      </c>
      <c r="Z165" s="691">
        <v>160.0</v>
      </c>
      <c r="AA165" s="40" t="s">
        <v>1227</v>
      </c>
      <c r="AB165" s="724">
        <v>1.46</v>
      </c>
      <c r="AC165" s="726">
        <f t="shared" si="1"/>
        <v>533.265</v>
      </c>
      <c r="AD165" s="724">
        <v>584.0</v>
      </c>
      <c r="AE165" s="40">
        <v>0.48</v>
      </c>
      <c r="AF165" s="727">
        <v>0.7099</v>
      </c>
      <c r="AG165" s="40" t="s">
        <v>890</v>
      </c>
      <c r="AH165" s="728" t="str">
        <f>IFERROR(__xludf.DUMMYFUNCTION("$AH$4*(AVERAGE.WEIGHTED(IFERROR(INDEX(V:V,MATCH(AG165,U:U,0))/1,INDEX(AC:AC,MATCH(AG165,AA:AA,0))),$W$3,IFERROR(INDEX(AC:AC,MATCH(AG165,AA:AA,0))/1,INDEX(V:V,MATCH(AG165,U:U,0))),$AE$3))*INDEX(R:R,MATCH(AG165,Q:Q,0))"),"#N/A")</f>
        <v>#N/A</v>
      </c>
      <c r="AI165" s="41"/>
      <c r="AK165" s="40">
        <v>163.0</v>
      </c>
      <c r="AL165" s="732" t="s">
        <v>2104</v>
      </c>
      <c r="AM165" s="733" t="s">
        <v>2105</v>
      </c>
      <c r="AN165" s="733" t="s">
        <v>2106</v>
      </c>
      <c r="AO165" s="734">
        <v>0.011</v>
      </c>
      <c r="AP165" s="734" t="s">
        <v>2107</v>
      </c>
    </row>
    <row r="166">
      <c r="A166" s="157" t="s">
        <v>826</v>
      </c>
      <c r="B166" s="157" t="s">
        <v>1536</v>
      </c>
      <c r="C166" s="706">
        <v>2021.0</v>
      </c>
      <c r="D166" s="707">
        <v>5129730.0</v>
      </c>
      <c r="E166" s="668"/>
      <c r="F166" s="157" t="s">
        <v>825</v>
      </c>
      <c r="G166" s="157" t="s">
        <v>1533</v>
      </c>
      <c r="H166" s="706">
        <v>2021.0</v>
      </c>
      <c r="I166" s="707">
        <v>10.316</v>
      </c>
      <c r="J166" s="706"/>
      <c r="K166" s="743"/>
      <c r="L166" s="706"/>
      <c r="M166" s="706"/>
      <c r="N166" s="706"/>
      <c r="O166" s="707"/>
      <c r="P166" s="709"/>
      <c r="Q166" s="710" t="s">
        <v>856</v>
      </c>
      <c r="R166" s="711">
        <v>0.67</v>
      </c>
      <c r="S166" s="41"/>
      <c r="T166" s="691">
        <v>161.0</v>
      </c>
      <c r="U166" s="40" t="s">
        <v>778</v>
      </c>
      <c r="V166" s="724"/>
      <c r="W166" s="724">
        <v>1314.0</v>
      </c>
      <c r="X166" s="724">
        <v>6996.0</v>
      </c>
      <c r="Y166" s="725">
        <v>1.428627663E9</v>
      </c>
      <c r="Z166" s="691">
        <v>161.0</v>
      </c>
      <c r="AA166" s="40" t="s">
        <v>885</v>
      </c>
      <c r="AB166" s="724">
        <v>1.23</v>
      </c>
      <c r="AC166" s="726">
        <f t="shared" si="1"/>
        <v>449.2575</v>
      </c>
      <c r="AD166" s="724">
        <v>1983.0</v>
      </c>
      <c r="AE166" s="40">
        <v>0.73</v>
      </c>
      <c r="AF166" s="727">
        <v>0.1068</v>
      </c>
      <c r="AG166" s="40" t="s">
        <v>891</v>
      </c>
      <c r="AH166" s="728">
        <f>IFERROR(__xludf.DUMMYFUNCTION("$AH$4*(AVERAGE.WEIGHTED(IFERROR(INDEX(V:V,MATCH(AG166,U:U,0))/1,INDEX(AC:AC,MATCH(AG166,AA:AA,0))),$W$3,IFERROR(INDEX(AC:AC,MATCH(AG166,AA:AA,0))/1,INDEX(V:V,MATCH(AG166,U:U,0))),$AE$3))*INDEX(R:R,MATCH(AG166,Q:Q,0))"),356.08128)</f>
        <v>356.08128</v>
      </c>
      <c r="AI166" s="41"/>
      <c r="AK166" s="40">
        <v>179.0</v>
      </c>
      <c r="AL166" s="738" t="s">
        <v>2108</v>
      </c>
      <c r="AM166" s="738" t="s">
        <v>2105</v>
      </c>
      <c r="AN166" s="738" t="s">
        <v>2106</v>
      </c>
      <c r="AO166" s="739">
        <v>0.011</v>
      </c>
      <c r="AP166" s="739" t="s">
        <v>2107</v>
      </c>
    </row>
    <row r="167">
      <c r="A167" s="157" t="s">
        <v>827</v>
      </c>
      <c r="B167" s="157" t="s">
        <v>1537</v>
      </c>
      <c r="C167" s="706">
        <v>2021.0</v>
      </c>
      <c r="D167" s="707">
        <v>6850546.0</v>
      </c>
      <c r="E167" s="668"/>
      <c r="F167" s="157" t="s">
        <v>1320</v>
      </c>
      <c r="G167" s="157" t="s">
        <v>2103</v>
      </c>
      <c r="H167" s="706">
        <v>2021.0</v>
      </c>
      <c r="I167" s="707">
        <v>14.417</v>
      </c>
      <c r="J167" s="706"/>
      <c r="K167" s="743"/>
      <c r="L167" s="706"/>
      <c r="M167" s="706"/>
      <c r="N167" s="706"/>
      <c r="O167" s="707"/>
      <c r="P167" s="709"/>
      <c r="Q167" s="710" t="s">
        <v>857</v>
      </c>
      <c r="R167" s="711">
        <v>0.87</v>
      </c>
      <c r="S167" s="41"/>
      <c r="T167" s="691">
        <v>162.0</v>
      </c>
      <c r="U167" s="40" t="s">
        <v>735</v>
      </c>
      <c r="V167" s="724"/>
      <c r="W167" s="724">
        <v>4246.0</v>
      </c>
      <c r="X167" s="724">
        <v>16829.0</v>
      </c>
      <c r="Y167" s="725">
        <v>1.425671352E9</v>
      </c>
      <c r="Z167" s="691">
        <v>162.0</v>
      </c>
      <c r="AA167" s="40" t="s">
        <v>803</v>
      </c>
      <c r="AB167" s="724">
        <v>1.12</v>
      </c>
      <c r="AC167" s="726">
        <f t="shared" si="1"/>
        <v>409.08</v>
      </c>
      <c r="AD167" s="724">
        <v>515.0</v>
      </c>
      <c r="AE167" s="40">
        <v>0.5</v>
      </c>
      <c r="AF167" s="727">
        <v>0.7655</v>
      </c>
      <c r="AG167" s="40" t="s">
        <v>892</v>
      </c>
      <c r="AH167" s="728">
        <f>IFERROR(__xludf.DUMMYFUNCTION("$AH$4*(AVERAGE.WEIGHTED(IFERROR(INDEX(V:V,MATCH(AG167,U:U,0))/1,INDEX(AC:AC,MATCH(AG167,AA:AA,0))),$W$3,IFERROR(INDEX(AC:AC,MATCH(AG167,AA:AA,0))/1,INDEX(V:V,MATCH(AG167,U:U,0))),$AE$3))*INDEX(R:R,MATCH(AG167,Q:Q,0))"),1438.4748)</f>
        <v>1438.4748</v>
      </c>
      <c r="AI167" s="41"/>
      <c r="AK167" s="40">
        <v>180.0</v>
      </c>
      <c r="AL167" s="719" t="s">
        <v>2109</v>
      </c>
      <c r="AM167" s="720" t="s">
        <v>2105</v>
      </c>
      <c r="AN167" s="720" t="s">
        <v>2106</v>
      </c>
      <c r="AO167" s="722">
        <v>0.011</v>
      </c>
      <c r="AP167" s="722" t="s">
        <v>2107</v>
      </c>
    </row>
    <row r="168">
      <c r="A168" s="157" t="s">
        <v>828</v>
      </c>
      <c r="B168" s="157" t="s">
        <v>1539</v>
      </c>
      <c r="C168" s="706">
        <v>2021.0</v>
      </c>
      <c r="D168" s="707">
        <v>2.5252722E7</v>
      </c>
      <c r="E168" s="668"/>
      <c r="F168" s="157" t="s">
        <v>826</v>
      </c>
      <c r="G168" s="157" t="s">
        <v>1536</v>
      </c>
      <c r="H168" s="706">
        <v>2021.0</v>
      </c>
      <c r="I168" s="707">
        <v>12.436</v>
      </c>
      <c r="J168" s="706"/>
      <c r="K168" s="743"/>
      <c r="L168" s="706"/>
      <c r="M168" s="706"/>
      <c r="N168" s="706"/>
      <c r="O168" s="707"/>
      <c r="P168" s="709"/>
      <c r="Q168" s="710" t="s">
        <v>858</v>
      </c>
      <c r="R168" s="711">
        <v>0.36</v>
      </c>
      <c r="S168" s="41"/>
      <c r="T168" s="59"/>
      <c r="Y168" s="61"/>
      <c r="Z168" s="59"/>
      <c r="AF168" s="61"/>
      <c r="AH168" s="61"/>
      <c r="AI168" s="41"/>
      <c r="AK168" s="40">
        <v>181.0</v>
      </c>
      <c r="AL168" s="738" t="s">
        <v>2110</v>
      </c>
      <c r="AM168" s="738" t="s">
        <v>2105</v>
      </c>
      <c r="AN168" s="738" t="s">
        <v>2106</v>
      </c>
      <c r="AO168" s="739">
        <v>0.011</v>
      </c>
      <c r="AP168" s="739" t="s">
        <v>2107</v>
      </c>
    </row>
    <row r="169">
      <c r="A169" s="157" t="s">
        <v>829</v>
      </c>
      <c r="B169" s="157" t="s">
        <v>1541</v>
      </c>
      <c r="C169" s="706">
        <v>2021.0</v>
      </c>
      <c r="D169" s="707">
        <v>2.13401328E8</v>
      </c>
      <c r="E169" s="668"/>
      <c r="F169" s="157" t="s">
        <v>827</v>
      </c>
      <c r="G169" s="157" t="s">
        <v>1537</v>
      </c>
      <c r="H169" s="706">
        <v>2021.0</v>
      </c>
      <c r="I169" s="707">
        <v>20.507</v>
      </c>
      <c r="J169" s="706"/>
      <c r="K169" s="743"/>
      <c r="L169" s="706"/>
      <c r="M169" s="706"/>
      <c r="N169" s="706"/>
      <c r="O169" s="707"/>
      <c r="P169" s="709"/>
      <c r="Q169" s="710" t="s">
        <v>859</v>
      </c>
      <c r="R169" s="711">
        <v>0.48</v>
      </c>
      <c r="S169" s="41"/>
      <c r="T169" s="59"/>
      <c r="Y169" s="61"/>
      <c r="Z169" s="59"/>
      <c r="AF169" s="61"/>
      <c r="AH169" s="61"/>
      <c r="AI169" s="41"/>
      <c r="AK169" s="40">
        <v>182.0</v>
      </c>
      <c r="AL169" s="719" t="s">
        <v>2111</v>
      </c>
      <c r="AM169" s="720" t="s">
        <v>2105</v>
      </c>
      <c r="AN169" s="720" t="s">
        <v>2106</v>
      </c>
      <c r="AO169" s="722">
        <v>0.011</v>
      </c>
      <c r="AP169" s="722" t="s">
        <v>2107</v>
      </c>
    </row>
    <row r="170">
      <c r="A170" s="157" t="s">
        <v>1326</v>
      </c>
      <c r="B170" s="157" t="s">
        <v>1543</v>
      </c>
      <c r="C170" s="706">
        <v>2021.0</v>
      </c>
      <c r="D170" s="707">
        <v>1957.0</v>
      </c>
      <c r="E170" s="668"/>
      <c r="F170" s="157" t="s">
        <v>828</v>
      </c>
      <c r="G170" s="157" t="s">
        <v>1539</v>
      </c>
      <c r="H170" s="706">
        <v>2021.0</v>
      </c>
      <c r="I170" s="707">
        <v>45.293</v>
      </c>
      <c r="J170" s="706"/>
      <c r="K170" s="743"/>
      <c r="L170" s="706"/>
      <c r="M170" s="706"/>
      <c r="N170" s="706"/>
      <c r="O170" s="707"/>
      <c r="P170" s="709"/>
      <c r="Q170" s="710" t="s">
        <v>860</v>
      </c>
      <c r="R170" s="711">
        <v>0.74</v>
      </c>
      <c r="S170" s="41"/>
      <c r="T170" s="59"/>
      <c r="Y170" s="61"/>
      <c r="Z170" s="59"/>
      <c r="AF170" s="61"/>
      <c r="AH170" s="61"/>
      <c r="AI170" s="41"/>
      <c r="AK170" s="40">
        <v>197.0</v>
      </c>
      <c r="AL170" s="738" t="s">
        <v>2112</v>
      </c>
      <c r="AM170" s="738" t="s">
        <v>2113</v>
      </c>
      <c r="AN170" s="738" t="s">
        <v>2114</v>
      </c>
      <c r="AO170" s="739">
        <v>0.011</v>
      </c>
      <c r="AP170" s="739" t="s">
        <v>2107</v>
      </c>
    </row>
    <row r="171">
      <c r="A171" s="157" t="s">
        <v>903</v>
      </c>
      <c r="B171" s="157"/>
      <c r="C171" s="706">
        <v>2021.0</v>
      </c>
      <c r="D171" s="707">
        <v>5.97123384E8</v>
      </c>
      <c r="E171" s="668"/>
      <c r="F171" s="157" t="s">
        <v>829</v>
      </c>
      <c r="G171" s="157" t="s">
        <v>1541</v>
      </c>
      <c r="H171" s="706">
        <v>2021.0</v>
      </c>
      <c r="I171" s="707">
        <v>37.117</v>
      </c>
      <c r="J171" s="706"/>
      <c r="K171" s="743"/>
      <c r="L171" s="706"/>
      <c r="M171" s="706"/>
      <c r="N171" s="706"/>
      <c r="O171" s="707"/>
      <c r="P171" s="709"/>
      <c r="Q171" s="710" t="s">
        <v>861</v>
      </c>
      <c r="R171" s="747"/>
      <c r="S171" s="41"/>
      <c r="T171" s="59"/>
      <c r="Y171" s="61"/>
      <c r="Z171" s="59"/>
      <c r="AF171" s="61"/>
      <c r="AH171" s="61"/>
      <c r="AI171" s="41"/>
      <c r="AK171" s="40">
        <v>75.0</v>
      </c>
      <c r="AL171" s="732" t="s">
        <v>2115</v>
      </c>
      <c r="AM171" s="733" t="s">
        <v>2116</v>
      </c>
      <c r="AN171" s="733" t="s">
        <v>2117</v>
      </c>
      <c r="AO171" s="734">
        <v>0.01</v>
      </c>
      <c r="AP171" s="734" t="s">
        <v>2118</v>
      </c>
    </row>
    <row r="172">
      <c r="A172" s="157" t="s">
        <v>1545</v>
      </c>
      <c r="B172" s="157" t="s">
        <v>1546</v>
      </c>
      <c r="C172" s="706">
        <v>2021.0</v>
      </c>
      <c r="D172" s="707">
        <v>2.597191E7</v>
      </c>
      <c r="E172" s="668"/>
      <c r="F172" s="157" t="s">
        <v>1326</v>
      </c>
      <c r="G172" s="157" t="s">
        <v>1543</v>
      </c>
      <c r="H172" s="706">
        <v>2021.0</v>
      </c>
      <c r="I172" s="707">
        <v>13.96</v>
      </c>
      <c r="J172" s="706"/>
      <c r="K172" s="743"/>
      <c r="L172" s="706"/>
      <c r="M172" s="706"/>
      <c r="N172" s="706"/>
      <c r="O172" s="707"/>
      <c r="P172" s="709"/>
      <c r="Q172" s="710" t="s">
        <v>862</v>
      </c>
      <c r="R172" s="711">
        <v>0.74</v>
      </c>
      <c r="S172" s="41"/>
      <c r="T172" s="59"/>
      <c r="Y172" s="61"/>
      <c r="Z172" s="59"/>
      <c r="AF172" s="61"/>
      <c r="AH172" s="61"/>
      <c r="AI172" s="41"/>
      <c r="AK172" s="40">
        <v>143.0</v>
      </c>
      <c r="AL172" s="738" t="s">
        <v>2119</v>
      </c>
      <c r="AM172" s="738" t="s">
        <v>2120</v>
      </c>
      <c r="AN172" s="738" t="s">
        <v>1744</v>
      </c>
      <c r="AO172" s="739">
        <v>0.009</v>
      </c>
      <c r="AP172" s="739" t="s">
        <v>2121</v>
      </c>
    </row>
    <row r="173">
      <c r="A173" s="157" t="s">
        <v>830</v>
      </c>
      <c r="B173" s="157" t="s">
        <v>1548</v>
      </c>
      <c r="C173" s="706">
        <v>2021.0</v>
      </c>
      <c r="D173" s="707">
        <v>2103329.0</v>
      </c>
      <c r="E173" s="668"/>
      <c r="F173" s="157" t="s">
        <v>1545</v>
      </c>
      <c r="G173" s="157" t="s">
        <v>1546</v>
      </c>
      <c r="H173" s="706">
        <v>2021.0</v>
      </c>
      <c r="I173" s="707">
        <v>13.24</v>
      </c>
      <c r="J173" s="706"/>
      <c r="K173" s="743"/>
      <c r="L173" s="706"/>
      <c r="M173" s="706"/>
      <c r="N173" s="706"/>
      <c r="O173" s="707"/>
      <c r="P173" s="709"/>
      <c r="Q173" s="710" t="s">
        <v>863</v>
      </c>
      <c r="R173" s="711">
        <v>0.27</v>
      </c>
      <c r="S173" s="41"/>
      <c r="T173" s="59"/>
      <c r="Y173" s="61"/>
      <c r="Z173" s="59"/>
      <c r="AF173" s="61"/>
      <c r="AH173" s="61"/>
      <c r="AI173" s="41"/>
      <c r="AK173" s="40">
        <v>42.0</v>
      </c>
      <c r="AL173" s="719" t="s">
        <v>2122</v>
      </c>
      <c r="AM173" s="720" t="s">
        <v>2123</v>
      </c>
      <c r="AN173" s="720" t="s">
        <v>2124</v>
      </c>
      <c r="AO173" s="722">
        <v>0.008</v>
      </c>
      <c r="AP173" s="722" t="s">
        <v>2125</v>
      </c>
    </row>
    <row r="174">
      <c r="A174" s="158" t="s">
        <v>2126</v>
      </c>
      <c r="B174" s="157"/>
      <c r="C174" s="706">
        <v>2021.0</v>
      </c>
      <c r="D174" s="707">
        <v>3.75278944E8</v>
      </c>
      <c r="E174" s="668"/>
      <c r="F174" s="157" t="s">
        <v>830</v>
      </c>
      <c r="G174" s="157" t="s">
        <v>1548</v>
      </c>
      <c r="H174" s="706">
        <v>2021.0</v>
      </c>
      <c r="I174" s="707">
        <v>9.562</v>
      </c>
      <c r="J174" s="706"/>
      <c r="K174" s="743"/>
      <c r="L174" s="706"/>
      <c r="M174" s="706"/>
      <c r="N174" s="706"/>
      <c r="O174" s="707"/>
      <c r="P174" s="709"/>
      <c r="Q174" s="710" t="s">
        <v>864</v>
      </c>
      <c r="R174" s="711">
        <v>0.18</v>
      </c>
      <c r="S174" s="41"/>
      <c r="T174" s="59"/>
      <c r="Y174" s="61"/>
      <c r="Z174" s="59"/>
      <c r="AF174" s="61"/>
      <c r="AH174" s="61"/>
      <c r="AI174" s="41"/>
      <c r="AK174" s="40">
        <v>47.0</v>
      </c>
      <c r="AL174" s="738" t="s">
        <v>2127</v>
      </c>
      <c r="AM174" s="738" t="s">
        <v>2123</v>
      </c>
      <c r="AN174" s="738" t="s">
        <v>2124</v>
      </c>
      <c r="AO174" s="739">
        <v>0.008</v>
      </c>
      <c r="AP174" s="739" t="s">
        <v>2125</v>
      </c>
    </row>
    <row r="175">
      <c r="A175" s="157" t="s">
        <v>1344</v>
      </c>
      <c r="B175" s="157" t="s">
        <v>2128</v>
      </c>
      <c r="C175" s="706">
        <v>2021.0</v>
      </c>
      <c r="D175" s="707">
        <v>49503.0</v>
      </c>
      <c r="E175" s="668"/>
      <c r="F175" s="158" t="s">
        <v>2126</v>
      </c>
      <c r="G175" s="157"/>
      <c r="H175" s="706">
        <v>2021.0</v>
      </c>
      <c r="I175" s="707">
        <v>10.93</v>
      </c>
      <c r="J175" s="706"/>
      <c r="K175" s="743"/>
      <c r="L175" s="706"/>
      <c r="M175" s="706"/>
      <c r="N175" s="706"/>
      <c r="O175" s="707"/>
      <c r="P175" s="709"/>
      <c r="Q175" s="710" t="s">
        <v>865</v>
      </c>
      <c r="R175" s="711">
        <v>0.3</v>
      </c>
      <c r="S175" s="41"/>
      <c r="T175" s="59"/>
      <c r="Y175" s="61"/>
      <c r="Z175" s="59"/>
      <c r="AF175" s="61"/>
      <c r="AH175" s="61"/>
      <c r="AI175" s="41"/>
      <c r="AK175" s="40">
        <v>58.0</v>
      </c>
      <c r="AL175" s="719" t="s">
        <v>2129</v>
      </c>
      <c r="AM175" s="720" t="s">
        <v>2123</v>
      </c>
      <c r="AN175" s="720" t="s">
        <v>2124</v>
      </c>
      <c r="AO175" s="722">
        <v>0.008</v>
      </c>
      <c r="AP175" s="722" t="s">
        <v>2125</v>
      </c>
    </row>
    <row r="176">
      <c r="A176" s="157" t="s">
        <v>831</v>
      </c>
      <c r="B176" s="157" t="s">
        <v>1549</v>
      </c>
      <c r="C176" s="706">
        <v>2021.0</v>
      </c>
      <c r="D176" s="707">
        <v>5403021.0</v>
      </c>
      <c r="E176" s="668"/>
      <c r="F176" s="157" t="s">
        <v>1344</v>
      </c>
      <c r="G176" s="157" t="s">
        <v>2128</v>
      </c>
      <c r="H176" s="706">
        <v>2021.0</v>
      </c>
      <c r="I176" s="707">
        <v>12.236</v>
      </c>
      <c r="J176" s="706"/>
      <c r="K176" s="743"/>
      <c r="L176" s="706"/>
      <c r="M176" s="706"/>
      <c r="N176" s="706"/>
      <c r="O176" s="707"/>
      <c r="P176" s="709"/>
      <c r="Q176" s="710" t="s">
        <v>866</v>
      </c>
      <c r="R176" s="711">
        <v>1.02</v>
      </c>
      <c r="S176" s="41"/>
      <c r="T176" s="59"/>
      <c r="Y176" s="61"/>
      <c r="Z176" s="59"/>
      <c r="AF176" s="61"/>
      <c r="AH176" s="61"/>
      <c r="AI176" s="41"/>
      <c r="AK176" s="40">
        <v>29.0</v>
      </c>
      <c r="AL176" s="738" t="s">
        <v>2130</v>
      </c>
      <c r="AM176" s="738" t="s">
        <v>2131</v>
      </c>
      <c r="AN176" s="738" t="s">
        <v>2132</v>
      </c>
      <c r="AO176" s="739">
        <v>0.006</v>
      </c>
      <c r="AP176" s="739" t="s">
        <v>2133</v>
      </c>
    </row>
    <row r="177">
      <c r="A177" s="157" t="s">
        <v>904</v>
      </c>
      <c r="B177" s="157"/>
      <c r="C177" s="706">
        <v>2021.0</v>
      </c>
      <c r="D177" s="707">
        <v>4.4492065E7</v>
      </c>
      <c r="E177" s="668"/>
      <c r="F177" s="157" t="s">
        <v>831</v>
      </c>
      <c r="G177" s="157" t="s">
        <v>1549</v>
      </c>
      <c r="H177" s="706">
        <v>2021.0</v>
      </c>
      <c r="I177" s="707">
        <v>9.979</v>
      </c>
      <c r="J177" s="706"/>
      <c r="K177" s="743"/>
      <c r="L177" s="706"/>
      <c r="M177" s="706"/>
      <c r="N177" s="706"/>
      <c r="O177" s="707"/>
      <c r="P177" s="709"/>
      <c r="Q177" s="710" t="s">
        <v>867</v>
      </c>
      <c r="R177" s="711">
        <v>1.21</v>
      </c>
      <c r="S177" s="41"/>
      <c r="T177" s="59"/>
      <c r="Y177" s="61"/>
      <c r="Z177" s="59"/>
      <c r="AF177" s="61"/>
      <c r="AH177" s="61"/>
      <c r="AI177" s="41"/>
      <c r="AK177" s="40">
        <v>39.0</v>
      </c>
      <c r="AL177" s="732" t="s">
        <v>2134</v>
      </c>
      <c r="AM177" s="733" t="s">
        <v>2131</v>
      </c>
      <c r="AN177" s="733" t="s">
        <v>2132</v>
      </c>
      <c r="AO177" s="734">
        <v>0.006</v>
      </c>
      <c r="AP177" s="734" t="s">
        <v>2133</v>
      </c>
    </row>
    <row r="178">
      <c r="A178" s="157" t="s">
        <v>2135</v>
      </c>
      <c r="B178" s="157"/>
      <c r="C178" s="706">
        <v>2021.0</v>
      </c>
      <c r="D178" s="707">
        <v>4.4491724E7</v>
      </c>
      <c r="E178" s="668"/>
      <c r="F178" s="157" t="s">
        <v>2135</v>
      </c>
      <c r="G178" s="157"/>
      <c r="H178" s="706">
        <v>2021.0</v>
      </c>
      <c r="I178" s="707">
        <v>15.601</v>
      </c>
      <c r="J178" s="706"/>
      <c r="K178" s="743"/>
      <c r="L178" s="706"/>
      <c r="M178" s="706"/>
      <c r="N178" s="706"/>
      <c r="O178" s="707"/>
      <c r="P178" s="709"/>
      <c r="Q178" s="710" t="s">
        <v>870</v>
      </c>
      <c r="R178" s="711">
        <v>0.21</v>
      </c>
      <c r="S178" s="41"/>
      <c r="T178" s="59"/>
      <c r="Y178" s="61"/>
      <c r="Z178" s="59"/>
      <c r="AF178" s="61"/>
      <c r="AH178" s="61"/>
      <c r="AI178" s="41"/>
      <c r="AK178" s="40">
        <v>51.0</v>
      </c>
      <c r="AL178" s="738" t="s">
        <v>2136</v>
      </c>
      <c r="AM178" s="738" t="s">
        <v>2131</v>
      </c>
      <c r="AN178" s="738" t="s">
        <v>2132</v>
      </c>
      <c r="AO178" s="739">
        <v>0.006</v>
      </c>
      <c r="AP178" s="739" t="s">
        <v>2133</v>
      </c>
    </row>
    <row r="179">
      <c r="A179" s="157" t="s">
        <v>832</v>
      </c>
      <c r="B179" s="157" t="s">
        <v>1551</v>
      </c>
      <c r="C179" s="706">
        <v>2021.0</v>
      </c>
      <c r="D179" s="707">
        <v>4520474.0</v>
      </c>
      <c r="E179" s="668"/>
      <c r="F179" s="157" t="s">
        <v>832</v>
      </c>
      <c r="G179" s="157" t="s">
        <v>1551</v>
      </c>
      <c r="H179" s="706">
        <v>2021.0</v>
      </c>
      <c r="I179" s="707">
        <v>18.419</v>
      </c>
      <c r="J179" s="706"/>
      <c r="K179" s="743"/>
      <c r="L179" s="706"/>
      <c r="M179" s="706"/>
      <c r="N179" s="706"/>
      <c r="O179" s="707"/>
      <c r="P179" s="709"/>
      <c r="Q179" s="710" t="s">
        <v>871</v>
      </c>
      <c r="R179" s="711">
        <v>0.39</v>
      </c>
      <c r="S179" s="41"/>
      <c r="T179" s="59"/>
      <c r="Y179" s="61"/>
      <c r="Z179" s="59"/>
      <c r="AF179" s="61"/>
      <c r="AH179" s="61"/>
      <c r="AI179" s="41"/>
      <c r="AK179" s="40">
        <v>53.0</v>
      </c>
      <c r="AL179" s="732" t="s">
        <v>2137</v>
      </c>
      <c r="AM179" s="733" t="s">
        <v>2131</v>
      </c>
      <c r="AN179" s="733" t="s">
        <v>2132</v>
      </c>
      <c r="AO179" s="734">
        <v>0.006</v>
      </c>
      <c r="AP179" s="734" t="s">
        <v>2133</v>
      </c>
    </row>
    <row r="180">
      <c r="A180" s="157" t="s">
        <v>833</v>
      </c>
      <c r="B180" s="157" t="s">
        <v>1553</v>
      </c>
      <c r="C180" s="706">
        <v>2021.0</v>
      </c>
      <c r="D180" s="707">
        <v>2.31402112E8</v>
      </c>
      <c r="E180" s="668"/>
      <c r="F180" s="157" t="s">
        <v>833</v>
      </c>
      <c r="G180" s="157" t="s">
        <v>1553</v>
      </c>
      <c r="H180" s="706">
        <v>2021.0</v>
      </c>
      <c r="I180" s="707">
        <v>27.519</v>
      </c>
      <c r="J180" s="706"/>
      <c r="K180" s="743"/>
      <c r="L180" s="706"/>
      <c r="M180" s="706"/>
      <c r="N180" s="706"/>
      <c r="O180" s="707"/>
      <c r="P180" s="709"/>
      <c r="Q180" s="710" t="s">
        <v>79</v>
      </c>
      <c r="R180" s="711">
        <v>0.38</v>
      </c>
      <c r="S180" s="41"/>
      <c r="T180" s="59"/>
      <c r="Y180" s="61"/>
      <c r="Z180" s="59"/>
      <c r="AF180" s="61"/>
      <c r="AH180" s="61"/>
      <c r="AI180" s="41"/>
      <c r="AK180" s="40">
        <v>55.0</v>
      </c>
      <c r="AL180" s="738" t="s">
        <v>2138</v>
      </c>
      <c r="AM180" s="738" t="s">
        <v>2131</v>
      </c>
      <c r="AN180" s="738" t="s">
        <v>2132</v>
      </c>
      <c r="AO180" s="739">
        <v>0.006</v>
      </c>
      <c r="AP180" s="739" t="s">
        <v>2133</v>
      </c>
    </row>
    <row r="181">
      <c r="A181" s="157" t="s">
        <v>1555</v>
      </c>
      <c r="B181" s="157" t="s">
        <v>1556</v>
      </c>
      <c r="C181" s="706">
        <v>2021.0</v>
      </c>
      <c r="D181" s="707">
        <v>18050.0</v>
      </c>
      <c r="E181" s="668"/>
      <c r="F181" s="157" t="s">
        <v>1555</v>
      </c>
      <c r="G181" s="157" t="s">
        <v>1556</v>
      </c>
      <c r="H181" s="706">
        <v>2021.0</v>
      </c>
      <c r="I181" s="707">
        <v>15.158</v>
      </c>
      <c r="J181" s="706"/>
      <c r="K181" s="743"/>
      <c r="L181" s="706"/>
      <c r="M181" s="706"/>
      <c r="N181" s="706"/>
      <c r="O181" s="707"/>
      <c r="P181" s="709"/>
      <c r="Q181" s="710" t="s">
        <v>872</v>
      </c>
      <c r="R181" s="711">
        <v>0.42</v>
      </c>
      <c r="S181" s="41"/>
      <c r="T181" s="59"/>
      <c r="Y181" s="61"/>
      <c r="Z181" s="59"/>
      <c r="AF181" s="61"/>
      <c r="AH181" s="61"/>
      <c r="AI181" s="41"/>
      <c r="AK181" s="40">
        <v>71.0</v>
      </c>
      <c r="AL181" s="732" t="s">
        <v>2139</v>
      </c>
      <c r="AM181" s="733" t="s">
        <v>2131</v>
      </c>
      <c r="AN181" s="733" t="s">
        <v>2132</v>
      </c>
      <c r="AO181" s="734">
        <v>0.006</v>
      </c>
      <c r="AP181" s="734" t="s">
        <v>2133</v>
      </c>
    </row>
    <row r="182">
      <c r="A182" s="157" t="s">
        <v>834</v>
      </c>
      <c r="B182" s="157" t="s">
        <v>1558</v>
      </c>
      <c r="C182" s="706">
        <v>2021.0</v>
      </c>
      <c r="D182" s="707">
        <v>5133393.0</v>
      </c>
      <c r="E182" s="668"/>
      <c r="F182" s="157" t="s">
        <v>834</v>
      </c>
      <c r="G182" s="157" t="s">
        <v>1558</v>
      </c>
      <c r="H182" s="706">
        <v>2021.0</v>
      </c>
      <c r="I182" s="707">
        <v>28.236</v>
      </c>
      <c r="J182" s="706"/>
      <c r="K182" s="743"/>
      <c r="L182" s="706"/>
      <c r="M182" s="706"/>
      <c r="N182" s="706"/>
      <c r="O182" s="707"/>
      <c r="P182" s="709"/>
      <c r="Q182" s="710" t="s">
        <v>873</v>
      </c>
      <c r="R182" s="711">
        <v>0.66</v>
      </c>
      <c r="S182" s="41"/>
      <c r="T182" s="59"/>
      <c r="Y182" s="61"/>
      <c r="Z182" s="59"/>
      <c r="AF182" s="61"/>
      <c r="AH182" s="61"/>
      <c r="AI182" s="41"/>
      <c r="AK182" s="40">
        <v>92.0</v>
      </c>
      <c r="AL182" s="729" t="s">
        <v>2140</v>
      </c>
      <c r="AM182" s="729" t="s">
        <v>2131</v>
      </c>
      <c r="AN182" s="729" t="s">
        <v>2132</v>
      </c>
      <c r="AO182" s="730">
        <v>0.006</v>
      </c>
      <c r="AP182" s="730" t="s">
        <v>2133</v>
      </c>
    </row>
    <row r="183">
      <c r="A183" s="157" t="s">
        <v>835</v>
      </c>
      <c r="B183" s="157" t="s">
        <v>1559</v>
      </c>
      <c r="C183" s="706">
        <v>2021.0</v>
      </c>
      <c r="D183" s="707">
        <v>4351264.0</v>
      </c>
      <c r="E183" s="668"/>
      <c r="F183" s="157" t="s">
        <v>835</v>
      </c>
      <c r="G183" s="157" t="s">
        <v>1559</v>
      </c>
      <c r="H183" s="706">
        <v>2021.0</v>
      </c>
      <c r="I183" s="707">
        <v>17.692</v>
      </c>
      <c r="J183" s="706"/>
      <c r="K183" s="743"/>
      <c r="L183" s="706"/>
      <c r="M183" s="706"/>
      <c r="N183" s="706"/>
      <c r="O183" s="707"/>
      <c r="P183" s="709"/>
      <c r="Q183" s="710" t="s">
        <v>874</v>
      </c>
      <c r="R183" s="711">
        <v>0.63</v>
      </c>
      <c r="S183" s="41"/>
      <c r="T183" s="59"/>
      <c r="Y183" s="61"/>
      <c r="Z183" s="59"/>
      <c r="AF183" s="61"/>
      <c r="AH183" s="61"/>
      <c r="AI183" s="41"/>
      <c r="AK183" s="40">
        <v>137.0</v>
      </c>
      <c r="AL183" s="732" t="s">
        <v>2141</v>
      </c>
      <c r="AM183" s="733" t="s">
        <v>2131</v>
      </c>
      <c r="AN183" s="733" t="s">
        <v>2132</v>
      </c>
      <c r="AO183" s="734">
        <v>0.006</v>
      </c>
      <c r="AP183" s="734" t="s">
        <v>2133</v>
      </c>
    </row>
    <row r="184">
      <c r="A184" s="157" t="s">
        <v>836</v>
      </c>
      <c r="B184" s="157" t="s">
        <v>1561</v>
      </c>
      <c r="C184" s="706">
        <v>2021.0</v>
      </c>
      <c r="D184" s="707">
        <v>9949438.0</v>
      </c>
      <c r="E184" s="668"/>
      <c r="F184" s="157" t="s">
        <v>836</v>
      </c>
      <c r="G184" s="157" t="s">
        <v>1561</v>
      </c>
      <c r="H184" s="706">
        <v>2021.0</v>
      </c>
      <c r="I184" s="707">
        <v>25.514</v>
      </c>
      <c r="J184" s="706"/>
      <c r="K184" s="743"/>
      <c r="L184" s="706"/>
      <c r="M184" s="706"/>
      <c r="N184" s="706"/>
      <c r="O184" s="707"/>
      <c r="P184" s="709"/>
      <c r="Q184" s="710" t="s">
        <v>875</v>
      </c>
      <c r="R184" s="711">
        <v>0.34</v>
      </c>
      <c r="S184" s="41"/>
      <c r="T184" s="59"/>
      <c r="Y184" s="61"/>
      <c r="Z184" s="59"/>
      <c r="AF184" s="61"/>
      <c r="AH184" s="61"/>
      <c r="AI184" s="41"/>
      <c r="AK184" s="40">
        <v>173.0</v>
      </c>
      <c r="AL184" s="738" t="s">
        <v>2142</v>
      </c>
      <c r="AM184" s="738" t="s">
        <v>2131</v>
      </c>
      <c r="AN184" s="738" t="s">
        <v>2132</v>
      </c>
      <c r="AO184" s="739">
        <v>0.006</v>
      </c>
      <c r="AP184" s="739" t="s">
        <v>2133</v>
      </c>
    </row>
    <row r="185">
      <c r="A185" s="157" t="s">
        <v>837</v>
      </c>
      <c r="B185" s="157" t="s">
        <v>1563</v>
      </c>
      <c r="C185" s="706">
        <v>2021.0</v>
      </c>
      <c r="D185" s="707">
        <v>6703802.0</v>
      </c>
      <c r="E185" s="668"/>
      <c r="F185" s="157" t="s">
        <v>837</v>
      </c>
      <c r="G185" s="157" t="s">
        <v>1563</v>
      </c>
      <c r="H185" s="706">
        <v>2021.0</v>
      </c>
      <c r="I185" s="707">
        <v>20.627</v>
      </c>
      <c r="J185" s="706"/>
      <c r="K185" s="743"/>
      <c r="L185" s="706"/>
      <c r="M185" s="706"/>
      <c r="N185" s="706"/>
      <c r="O185" s="707"/>
      <c r="P185" s="709"/>
      <c r="Q185" s="710" t="s">
        <v>876</v>
      </c>
      <c r="R185" s="711">
        <v>0.31</v>
      </c>
      <c r="S185" s="41"/>
      <c r="T185" s="59"/>
      <c r="Y185" s="61"/>
      <c r="Z185" s="59"/>
      <c r="AF185" s="61"/>
      <c r="AH185" s="61"/>
      <c r="AI185" s="41"/>
      <c r="AK185" s="40">
        <v>43.0</v>
      </c>
      <c r="AL185" s="732" t="s">
        <v>2143</v>
      </c>
      <c r="AM185" s="733" t="s">
        <v>2144</v>
      </c>
      <c r="AN185" s="733" t="s">
        <v>2145</v>
      </c>
      <c r="AO185" s="734">
        <v>0.005</v>
      </c>
      <c r="AP185" s="734" t="s">
        <v>2146</v>
      </c>
    </row>
    <row r="186">
      <c r="A186" s="157" t="s">
        <v>838</v>
      </c>
      <c r="B186" s="157" t="s">
        <v>1565</v>
      </c>
      <c r="C186" s="706">
        <v>2021.0</v>
      </c>
      <c r="D186" s="707">
        <v>3.3715464E7</v>
      </c>
      <c r="E186" s="668"/>
      <c r="F186" s="157" t="s">
        <v>838</v>
      </c>
      <c r="G186" s="157" t="s">
        <v>1565</v>
      </c>
      <c r="H186" s="706">
        <v>2021.0</v>
      </c>
      <c r="I186" s="707">
        <v>17.622</v>
      </c>
      <c r="J186" s="706"/>
      <c r="K186" s="743"/>
      <c r="L186" s="706"/>
      <c r="M186" s="706"/>
      <c r="N186" s="706"/>
      <c r="O186" s="707"/>
      <c r="P186" s="709"/>
      <c r="Q186" s="710" t="s">
        <v>877</v>
      </c>
      <c r="R186" s="711">
        <v>0.47</v>
      </c>
      <c r="S186" s="41"/>
      <c r="T186" s="59"/>
      <c r="Y186" s="61"/>
      <c r="Z186" s="59"/>
      <c r="AF186" s="61"/>
      <c r="AH186" s="61"/>
      <c r="AI186" s="41"/>
      <c r="AK186" s="40">
        <v>48.0</v>
      </c>
      <c r="AL186" s="729" t="s">
        <v>2147</v>
      </c>
      <c r="AM186" s="729" t="s">
        <v>2144</v>
      </c>
      <c r="AN186" s="729" t="s">
        <v>2145</v>
      </c>
      <c r="AO186" s="730">
        <v>0.005</v>
      </c>
      <c r="AP186" s="730" t="s">
        <v>2146</v>
      </c>
    </row>
    <row r="187">
      <c r="A187" s="157" t="s">
        <v>839</v>
      </c>
      <c r="B187" s="157" t="s">
        <v>1567</v>
      </c>
      <c r="C187" s="706">
        <v>2021.0</v>
      </c>
      <c r="D187" s="707">
        <v>1.13880336E8</v>
      </c>
      <c r="E187" s="668"/>
      <c r="F187" s="157" t="s">
        <v>839</v>
      </c>
      <c r="G187" s="157" t="s">
        <v>1567</v>
      </c>
      <c r="H187" s="706">
        <v>2021.0</v>
      </c>
      <c r="I187" s="707">
        <v>21.813</v>
      </c>
      <c r="J187" s="706"/>
      <c r="K187" s="743"/>
      <c r="L187" s="706"/>
      <c r="M187" s="706"/>
      <c r="N187" s="706"/>
      <c r="O187" s="707"/>
      <c r="P187" s="709"/>
      <c r="Q187" s="710" t="s">
        <v>1444</v>
      </c>
      <c r="R187" s="711">
        <v>1.03</v>
      </c>
      <c r="S187" s="41"/>
      <c r="T187" s="59"/>
      <c r="Y187" s="61"/>
      <c r="Z187" s="59"/>
      <c r="AF187" s="61"/>
      <c r="AH187" s="61"/>
      <c r="AI187" s="41"/>
      <c r="AK187" s="40">
        <v>59.0</v>
      </c>
      <c r="AL187" s="732" t="s">
        <v>2148</v>
      </c>
      <c r="AM187" s="733" t="s">
        <v>2144</v>
      </c>
      <c r="AN187" s="733" t="s">
        <v>2145</v>
      </c>
      <c r="AO187" s="734">
        <v>0.005</v>
      </c>
      <c r="AP187" s="734" t="s">
        <v>2146</v>
      </c>
    </row>
    <row r="188">
      <c r="A188" s="157" t="s">
        <v>840</v>
      </c>
      <c r="B188" s="157" t="s">
        <v>1570</v>
      </c>
      <c r="C188" s="706">
        <v>2021.0</v>
      </c>
      <c r="D188" s="707">
        <v>3.8307724E7</v>
      </c>
      <c r="E188" s="668"/>
      <c r="F188" s="157" t="s">
        <v>840</v>
      </c>
      <c r="G188" s="157" t="s">
        <v>1570</v>
      </c>
      <c r="H188" s="706">
        <v>2021.0</v>
      </c>
      <c r="I188" s="707">
        <v>9.488</v>
      </c>
      <c r="J188" s="706"/>
      <c r="K188" s="743"/>
      <c r="L188" s="706"/>
      <c r="M188" s="706"/>
      <c r="N188" s="706"/>
      <c r="O188" s="707"/>
      <c r="P188" s="709"/>
      <c r="Q188" s="710" t="s">
        <v>878</v>
      </c>
      <c r="R188" s="711">
        <v>1.04</v>
      </c>
      <c r="S188" s="41"/>
      <c r="T188" s="59"/>
      <c r="Y188" s="61"/>
      <c r="Z188" s="59"/>
      <c r="AF188" s="61"/>
      <c r="AH188" s="61"/>
      <c r="AI188" s="41"/>
      <c r="AK188" s="40">
        <v>149.0</v>
      </c>
      <c r="AL188" s="738" t="s">
        <v>2149</v>
      </c>
      <c r="AM188" s="738" t="s">
        <v>2150</v>
      </c>
      <c r="AN188" s="738" t="s">
        <v>2151</v>
      </c>
      <c r="AO188" s="739">
        <v>0.004</v>
      </c>
      <c r="AP188" s="739" t="s">
        <v>2152</v>
      </c>
    </row>
    <row r="189">
      <c r="A189" s="157" t="s">
        <v>841</v>
      </c>
      <c r="B189" s="157" t="s">
        <v>1572</v>
      </c>
      <c r="C189" s="706">
        <v>2021.0</v>
      </c>
      <c r="D189" s="707">
        <v>1.0290109E7</v>
      </c>
      <c r="E189" s="668"/>
      <c r="F189" s="157" t="s">
        <v>841</v>
      </c>
      <c r="G189" s="157" t="s">
        <v>1572</v>
      </c>
      <c r="H189" s="706">
        <v>2021.0</v>
      </c>
      <c r="I189" s="707">
        <v>7.833</v>
      </c>
      <c r="J189" s="706"/>
      <c r="K189" s="743"/>
      <c r="L189" s="706"/>
      <c r="M189" s="706"/>
      <c r="N189" s="706"/>
      <c r="O189" s="707"/>
      <c r="P189" s="709"/>
      <c r="Q189" s="710" t="s">
        <v>879</v>
      </c>
      <c r="R189" s="711">
        <v>0.36</v>
      </c>
      <c r="S189" s="41"/>
      <c r="T189" s="59"/>
      <c r="Y189" s="61"/>
      <c r="Z189" s="59"/>
      <c r="AF189" s="61"/>
      <c r="AH189" s="61"/>
      <c r="AI189" s="41"/>
      <c r="AK189" s="40">
        <v>150.0</v>
      </c>
      <c r="AL189" s="719" t="s">
        <v>2153</v>
      </c>
      <c r="AM189" s="720" t="s">
        <v>2150</v>
      </c>
      <c r="AN189" s="720" t="s">
        <v>2151</v>
      </c>
      <c r="AO189" s="722">
        <v>0.004</v>
      </c>
      <c r="AP189" s="722" t="s">
        <v>2152</v>
      </c>
    </row>
    <row r="190">
      <c r="A190" s="157" t="s">
        <v>1376</v>
      </c>
      <c r="B190" s="157" t="s">
        <v>1574</v>
      </c>
      <c r="C190" s="706">
        <v>2021.0</v>
      </c>
      <c r="D190" s="707">
        <v>3256030.0</v>
      </c>
      <c r="E190" s="668"/>
      <c r="F190" s="157" t="s">
        <v>1376</v>
      </c>
      <c r="G190" s="157" t="s">
        <v>1574</v>
      </c>
      <c r="H190" s="706">
        <v>2021.0</v>
      </c>
      <c r="I190" s="707">
        <v>8.144</v>
      </c>
      <c r="J190" s="706"/>
      <c r="K190" s="743"/>
      <c r="L190" s="706"/>
      <c r="M190" s="706"/>
      <c r="N190" s="706"/>
      <c r="O190" s="707"/>
      <c r="P190" s="709"/>
      <c r="Q190" s="710" t="s">
        <v>880</v>
      </c>
      <c r="R190" s="711">
        <v>0.34</v>
      </c>
      <c r="S190" s="41"/>
      <c r="T190" s="59"/>
      <c r="Y190" s="61"/>
      <c r="Z190" s="59"/>
      <c r="AF190" s="61"/>
      <c r="AH190" s="61"/>
      <c r="AI190" s="41"/>
      <c r="AK190" s="40">
        <v>174.0</v>
      </c>
      <c r="AL190" s="729" t="s">
        <v>2154</v>
      </c>
      <c r="AM190" s="729" t="s">
        <v>2150</v>
      </c>
      <c r="AN190" s="729" t="s">
        <v>2151</v>
      </c>
      <c r="AO190" s="730">
        <v>0.004</v>
      </c>
      <c r="AP190" s="730" t="s">
        <v>2152</v>
      </c>
    </row>
    <row r="191">
      <c r="A191" s="157" t="s">
        <v>842</v>
      </c>
      <c r="B191" s="157" t="s">
        <v>1575</v>
      </c>
      <c r="C191" s="706">
        <v>2021.0</v>
      </c>
      <c r="D191" s="707">
        <v>2688239.0</v>
      </c>
      <c r="E191" s="668"/>
      <c r="F191" s="157" t="s">
        <v>842</v>
      </c>
      <c r="G191" s="157" t="s">
        <v>1575</v>
      </c>
      <c r="H191" s="706">
        <v>2021.0</v>
      </c>
      <c r="I191" s="707">
        <v>9.816</v>
      </c>
      <c r="J191" s="706"/>
      <c r="K191" s="743"/>
      <c r="L191" s="706"/>
      <c r="M191" s="706"/>
      <c r="N191" s="706"/>
      <c r="O191" s="707"/>
      <c r="P191" s="709"/>
      <c r="Q191" s="710" t="s">
        <v>881</v>
      </c>
      <c r="R191" s="711">
        <v>0.58</v>
      </c>
      <c r="S191" s="41"/>
      <c r="T191" s="59"/>
      <c r="Y191" s="61"/>
      <c r="Z191" s="59"/>
      <c r="AF191" s="61"/>
      <c r="AH191" s="61"/>
      <c r="AI191" s="41"/>
      <c r="AK191" s="40">
        <v>30.0</v>
      </c>
      <c r="AL191" s="719" t="s">
        <v>2155</v>
      </c>
      <c r="AM191" s="720" t="s">
        <v>2156</v>
      </c>
      <c r="AN191" s="721"/>
      <c r="AO191" s="722">
        <v>0.0</v>
      </c>
      <c r="AP191" s="722" t="s">
        <v>2157</v>
      </c>
    </row>
    <row r="192">
      <c r="A192" s="157" t="s">
        <v>1381</v>
      </c>
      <c r="B192" s="157" t="s">
        <v>2158</v>
      </c>
      <c r="C192" s="706">
        <v>2021.0</v>
      </c>
      <c r="D192" s="707">
        <v>966132.0</v>
      </c>
      <c r="E192" s="668"/>
      <c r="F192" s="157" t="s">
        <v>1381</v>
      </c>
      <c r="G192" s="157" t="s">
        <v>2158</v>
      </c>
      <c r="H192" s="706">
        <v>2021.0</v>
      </c>
      <c r="I192" s="707">
        <v>14.562</v>
      </c>
      <c r="J192" s="706"/>
      <c r="K192" s="743"/>
      <c r="L192" s="706"/>
      <c r="M192" s="706"/>
      <c r="N192" s="706"/>
      <c r="O192" s="707"/>
      <c r="P192" s="709"/>
      <c r="Q192" s="710" t="s">
        <v>882</v>
      </c>
      <c r="R192" s="711">
        <v>0.95</v>
      </c>
      <c r="S192" s="41"/>
      <c r="T192" s="59"/>
      <c r="Y192" s="61"/>
      <c r="Z192" s="59"/>
      <c r="AF192" s="61"/>
      <c r="AH192" s="61"/>
      <c r="AI192" s="41"/>
      <c r="AK192" s="40">
        <v>34.0</v>
      </c>
      <c r="AL192" s="729" t="s">
        <v>2159</v>
      </c>
      <c r="AM192" s="729" t="s">
        <v>2156</v>
      </c>
      <c r="AN192" s="744"/>
      <c r="AO192" s="730">
        <v>0.0</v>
      </c>
      <c r="AP192" s="730" t="s">
        <v>2157</v>
      </c>
    </row>
    <row r="193">
      <c r="A193" s="157" t="s">
        <v>843</v>
      </c>
      <c r="B193" s="157" t="s">
        <v>1577</v>
      </c>
      <c r="C193" s="706">
        <v>2021.0</v>
      </c>
      <c r="D193" s="707">
        <v>1.9328558E7</v>
      </c>
      <c r="E193" s="668"/>
      <c r="F193" s="157" t="s">
        <v>843</v>
      </c>
      <c r="G193" s="157" t="s">
        <v>1577</v>
      </c>
      <c r="H193" s="706">
        <v>2021.0</v>
      </c>
      <c r="I193" s="707">
        <v>10.105</v>
      </c>
      <c r="J193" s="706"/>
      <c r="K193" s="743"/>
      <c r="L193" s="706"/>
      <c r="M193" s="706"/>
      <c r="N193" s="706"/>
      <c r="O193" s="707"/>
      <c r="P193" s="709"/>
      <c r="Q193" s="742" t="s">
        <v>1668</v>
      </c>
      <c r="R193" s="711">
        <v>1.0</v>
      </c>
      <c r="S193" s="41"/>
      <c r="T193" s="59"/>
      <c r="Y193" s="61"/>
      <c r="Z193" s="59"/>
      <c r="AF193" s="61"/>
      <c r="AH193" s="61"/>
      <c r="AI193" s="41"/>
      <c r="AK193" s="40">
        <v>40.0</v>
      </c>
      <c r="AL193" s="719" t="s">
        <v>2160</v>
      </c>
      <c r="AM193" s="720" t="s">
        <v>2156</v>
      </c>
      <c r="AN193" s="721"/>
      <c r="AO193" s="722">
        <v>0.0</v>
      </c>
      <c r="AP193" s="722" t="s">
        <v>2157</v>
      </c>
    </row>
    <row r="194">
      <c r="A194" s="157" t="s">
        <v>844</v>
      </c>
      <c r="B194" s="157" t="s">
        <v>1578</v>
      </c>
      <c r="C194" s="706">
        <v>2021.0</v>
      </c>
      <c r="D194" s="707">
        <v>1.45102752E8</v>
      </c>
      <c r="E194" s="668"/>
      <c r="F194" s="157" t="s">
        <v>844</v>
      </c>
      <c r="G194" s="157" t="s">
        <v>1578</v>
      </c>
      <c r="H194" s="706">
        <v>2021.0</v>
      </c>
      <c r="I194" s="707">
        <v>9.643</v>
      </c>
      <c r="J194" s="706"/>
      <c r="K194" s="743"/>
      <c r="L194" s="706"/>
      <c r="M194" s="706"/>
      <c r="N194" s="706"/>
      <c r="O194" s="707"/>
      <c r="P194" s="709"/>
      <c r="Q194" s="710" t="s">
        <v>884</v>
      </c>
      <c r="R194" s="711">
        <v>0.69</v>
      </c>
      <c r="S194" s="41"/>
      <c r="T194" s="59"/>
      <c r="Y194" s="61"/>
      <c r="Z194" s="59"/>
      <c r="AF194" s="61"/>
      <c r="AH194" s="61"/>
      <c r="AI194" s="41"/>
      <c r="AK194" s="40">
        <v>52.0</v>
      </c>
      <c r="AL194" s="729" t="s">
        <v>2161</v>
      </c>
      <c r="AM194" s="729" t="s">
        <v>2156</v>
      </c>
      <c r="AN194" s="744"/>
      <c r="AO194" s="730">
        <v>0.0</v>
      </c>
      <c r="AP194" s="730" t="s">
        <v>2157</v>
      </c>
    </row>
    <row r="195">
      <c r="A195" s="157" t="s">
        <v>845</v>
      </c>
      <c r="B195" s="157" t="s">
        <v>1580</v>
      </c>
      <c r="C195" s="706">
        <v>2021.0</v>
      </c>
      <c r="D195" s="707">
        <v>1.3461891E7</v>
      </c>
      <c r="E195" s="668"/>
      <c r="F195" s="157" t="s">
        <v>845</v>
      </c>
      <c r="G195" s="157" t="s">
        <v>1580</v>
      </c>
      <c r="H195" s="706">
        <v>2021.0</v>
      </c>
      <c r="I195" s="707">
        <v>29.976</v>
      </c>
      <c r="J195" s="706"/>
      <c r="K195" s="743"/>
      <c r="L195" s="706"/>
      <c r="M195" s="706"/>
      <c r="N195" s="706"/>
      <c r="O195" s="707"/>
      <c r="P195" s="709"/>
      <c r="Q195" s="710" t="s">
        <v>885</v>
      </c>
      <c r="R195" s="711">
        <v>0.23</v>
      </c>
      <c r="S195" s="41"/>
      <c r="T195" s="59"/>
      <c r="Y195" s="61"/>
      <c r="Z195" s="59"/>
      <c r="AF195" s="61"/>
      <c r="AH195" s="61"/>
      <c r="AI195" s="41"/>
      <c r="AK195" s="40">
        <v>54.0</v>
      </c>
      <c r="AL195" s="719" t="s">
        <v>2162</v>
      </c>
      <c r="AM195" s="720" t="s">
        <v>2156</v>
      </c>
      <c r="AN195" s="721"/>
      <c r="AO195" s="722">
        <v>0.0</v>
      </c>
      <c r="AP195" s="722" t="s">
        <v>2157</v>
      </c>
    </row>
    <row r="196">
      <c r="A196" s="157" t="s">
        <v>2163</v>
      </c>
      <c r="B196" s="157" t="s">
        <v>2164</v>
      </c>
      <c r="C196" s="706">
        <v>2021.0</v>
      </c>
      <c r="D196" s="707">
        <v>10888.0</v>
      </c>
      <c r="E196" s="668"/>
      <c r="F196" s="157" t="s">
        <v>2163</v>
      </c>
      <c r="G196" s="157" t="s">
        <v>2164</v>
      </c>
      <c r="H196" s="706">
        <v>2021.0</v>
      </c>
      <c r="I196" s="707">
        <v>8.161</v>
      </c>
      <c r="J196" s="706"/>
      <c r="K196" s="743"/>
      <c r="L196" s="706"/>
      <c r="M196" s="706"/>
      <c r="N196" s="706"/>
      <c r="O196" s="707"/>
      <c r="P196" s="709"/>
      <c r="Q196" s="710" t="s">
        <v>886</v>
      </c>
      <c r="R196" s="711">
        <v>0.98</v>
      </c>
      <c r="S196" s="41"/>
      <c r="T196" s="59"/>
      <c r="Y196" s="61"/>
      <c r="Z196" s="59"/>
      <c r="AF196" s="61"/>
      <c r="AH196" s="61"/>
      <c r="AI196" s="41"/>
      <c r="AK196" s="40">
        <v>57.0</v>
      </c>
      <c r="AL196" s="738" t="s">
        <v>2165</v>
      </c>
      <c r="AM196" s="738" t="s">
        <v>2156</v>
      </c>
      <c r="AN196" s="745"/>
      <c r="AO196" s="739">
        <v>0.0</v>
      </c>
      <c r="AP196" s="739" t="s">
        <v>2157</v>
      </c>
    </row>
    <row r="197">
      <c r="A197" s="157" t="s">
        <v>2166</v>
      </c>
      <c r="B197" s="157" t="s">
        <v>2167</v>
      </c>
      <c r="C197" s="706">
        <v>2021.0</v>
      </c>
      <c r="D197" s="707">
        <v>5428.0</v>
      </c>
      <c r="E197" s="668"/>
      <c r="F197" s="157" t="s">
        <v>2166</v>
      </c>
      <c r="G197" s="157" t="s">
        <v>2167</v>
      </c>
      <c r="H197" s="706">
        <v>2021.0</v>
      </c>
      <c r="I197" s="707">
        <v>7.659</v>
      </c>
      <c r="J197" s="706"/>
      <c r="K197" s="743"/>
      <c r="L197" s="706"/>
      <c r="M197" s="706"/>
      <c r="N197" s="706"/>
      <c r="O197" s="707"/>
      <c r="P197" s="709"/>
      <c r="Q197" s="742"/>
      <c r="R197" s="747"/>
      <c r="S197" s="41"/>
      <c r="T197" s="59"/>
      <c r="Y197" s="61"/>
      <c r="Z197" s="59"/>
      <c r="AF197" s="61"/>
      <c r="AH197" s="61"/>
      <c r="AI197" s="41"/>
      <c r="AK197" s="40">
        <v>63.0</v>
      </c>
      <c r="AL197" s="732" t="s">
        <v>2168</v>
      </c>
      <c r="AM197" s="733" t="s">
        <v>2156</v>
      </c>
      <c r="AN197" s="746"/>
      <c r="AO197" s="734">
        <v>0.0</v>
      </c>
      <c r="AP197" s="734" t="s">
        <v>2157</v>
      </c>
    </row>
    <row r="198">
      <c r="A198" s="157" t="s">
        <v>1582</v>
      </c>
      <c r="B198" s="157" t="s">
        <v>1583</v>
      </c>
      <c r="C198" s="706">
        <v>2021.0</v>
      </c>
      <c r="D198" s="707">
        <v>47631.0</v>
      </c>
      <c r="E198" s="668"/>
      <c r="F198" s="157" t="s">
        <v>1582</v>
      </c>
      <c r="G198" s="157" t="s">
        <v>1583</v>
      </c>
      <c r="H198" s="706">
        <v>2021.0</v>
      </c>
      <c r="I198" s="707">
        <v>12.125</v>
      </c>
      <c r="J198" s="706"/>
      <c r="K198" s="743"/>
      <c r="L198" s="706"/>
      <c r="M198" s="706"/>
      <c r="N198" s="706"/>
      <c r="O198" s="707"/>
      <c r="P198" s="709"/>
      <c r="Q198" s="710" t="s">
        <v>888</v>
      </c>
      <c r="R198" s="711">
        <v>0.32</v>
      </c>
      <c r="S198" s="41"/>
      <c r="T198" s="59"/>
      <c r="Y198" s="61"/>
      <c r="Z198" s="59"/>
      <c r="AF198" s="61"/>
      <c r="AH198" s="61"/>
      <c r="AI198" s="41"/>
      <c r="AK198" s="40">
        <v>155.0</v>
      </c>
      <c r="AL198" s="738" t="s">
        <v>2169</v>
      </c>
      <c r="AM198" s="738" t="s">
        <v>2156</v>
      </c>
      <c r="AN198" s="745"/>
      <c r="AO198" s="739">
        <v>0.0</v>
      </c>
      <c r="AP198" s="739" t="s">
        <v>2157</v>
      </c>
    </row>
    <row r="199">
      <c r="A199" s="157" t="s">
        <v>846</v>
      </c>
      <c r="B199" s="157" t="s">
        <v>1584</v>
      </c>
      <c r="C199" s="706">
        <v>2021.0</v>
      </c>
      <c r="D199" s="707">
        <v>179663.0</v>
      </c>
      <c r="E199" s="668"/>
      <c r="F199" s="157" t="s">
        <v>846</v>
      </c>
      <c r="G199" s="157" t="s">
        <v>1584</v>
      </c>
      <c r="H199" s="706">
        <v>2021.0</v>
      </c>
      <c r="I199" s="707">
        <v>11.49</v>
      </c>
      <c r="J199" s="706"/>
      <c r="K199" s="743"/>
      <c r="L199" s="706"/>
      <c r="M199" s="706"/>
      <c r="N199" s="706"/>
      <c r="O199" s="707"/>
      <c r="P199" s="709"/>
      <c r="Q199" s="742"/>
      <c r="R199" s="747"/>
      <c r="S199" s="41"/>
      <c r="T199" s="59"/>
      <c r="Y199" s="61"/>
      <c r="Z199" s="59"/>
      <c r="AF199" s="61"/>
      <c r="AH199" s="61"/>
      <c r="AI199" s="41"/>
      <c r="AK199" s="40">
        <v>156.0</v>
      </c>
      <c r="AL199" s="719" t="s">
        <v>2170</v>
      </c>
      <c r="AM199" s="720" t="s">
        <v>2156</v>
      </c>
      <c r="AN199" s="721"/>
      <c r="AO199" s="722">
        <v>0.0</v>
      </c>
      <c r="AP199" s="722" t="s">
        <v>2157</v>
      </c>
    </row>
    <row r="200">
      <c r="A200" s="157" t="s">
        <v>2171</v>
      </c>
      <c r="B200" s="157" t="s">
        <v>2172</v>
      </c>
      <c r="C200" s="706">
        <v>2021.0</v>
      </c>
      <c r="D200" s="707">
        <v>31964.0</v>
      </c>
      <c r="E200" s="668"/>
      <c r="F200" s="157" t="s">
        <v>2171</v>
      </c>
      <c r="G200" s="157" t="s">
        <v>2172</v>
      </c>
      <c r="H200" s="706">
        <v>2021.0</v>
      </c>
      <c r="I200" s="707">
        <v>15.053</v>
      </c>
      <c r="J200" s="706"/>
      <c r="K200" s="743"/>
      <c r="L200" s="706"/>
      <c r="M200" s="706"/>
      <c r="N200" s="706"/>
      <c r="O200" s="707"/>
      <c r="P200" s="709"/>
      <c r="Q200" s="710" t="s">
        <v>891</v>
      </c>
      <c r="R200" s="711">
        <v>0.32</v>
      </c>
      <c r="S200" s="41"/>
      <c r="T200" s="59"/>
      <c r="Y200" s="61"/>
      <c r="Z200" s="59"/>
      <c r="AF200" s="61"/>
      <c r="AH200" s="61"/>
      <c r="AI200" s="41"/>
      <c r="AK200" s="40">
        <v>158.0</v>
      </c>
      <c r="AL200" s="729" t="s">
        <v>2173</v>
      </c>
      <c r="AM200" s="729" t="s">
        <v>2156</v>
      </c>
      <c r="AN200" s="744"/>
      <c r="AO200" s="730">
        <v>0.0</v>
      </c>
      <c r="AP200" s="730" t="s">
        <v>2157</v>
      </c>
    </row>
    <row r="201">
      <c r="A201" s="157" t="s">
        <v>1403</v>
      </c>
      <c r="B201" s="157" t="s">
        <v>2174</v>
      </c>
      <c r="C201" s="706">
        <v>2021.0</v>
      </c>
      <c r="D201" s="707">
        <v>5905.0</v>
      </c>
      <c r="E201" s="668"/>
      <c r="F201" s="157" t="s">
        <v>1403</v>
      </c>
      <c r="G201" s="157" t="s">
        <v>2174</v>
      </c>
      <c r="H201" s="706">
        <v>2021.0</v>
      </c>
      <c r="I201" s="707">
        <v>7.577</v>
      </c>
      <c r="J201" s="706"/>
      <c r="K201" s="743"/>
      <c r="L201" s="706"/>
      <c r="M201" s="706"/>
      <c r="N201" s="706"/>
      <c r="O201" s="707"/>
      <c r="P201" s="709"/>
      <c r="Q201" s="710" t="s">
        <v>892</v>
      </c>
      <c r="R201" s="711">
        <v>0.76</v>
      </c>
      <c r="S201" s="41"/>
      <c r="T201" s="59"/>
      <c r="Y201" s="61"/>
      <c r="Z201" s="59"/>
      <c r="AF201" s="61"/>
      <c r="AH201" s="61"/>
      <c r="AI201" s="41"/>
      <c r="AK201" s="40">
        <v>192.0</v>
      </c>
      <c r="AL201" s="719" t="s">
        <v>2175</v>
      </c>
      <c r="AM201" s="720" t="s">
        <v>2156</v>
      </c>
      <c r="AN201" s="721"/>
      <c r="AO201" s="722">
        <v>0.0</v>
      </c>
      <c r="AP201" s="722" t="s">
        <v>2157</v>
      </c>
    </row>
    <row r="202">
      <c r="A202" s="157" t="s">
        <v>1585</v>
      </c>
      <c r="B202" s="157" t="s">
        <v>1586</v>
      </c>
      <c r="C202" s="706">
        <v>2021.0</v>
      </c>
      <c r="D202" s="707">
        <v>104340.0</v>
      </c>
      <c r="E202" s="668"/>
      <c r="F202" s="157" t="s">
        <v>1585</v>
      </c>
      <c r="G202" s="157" t="s">
        <v>1586</v>
      </c>
      <c r="H202" s="706">
        <v>2021.0</v>
      </c>
      <c r="I202" s="707">
        <v>12.901</v>
      </c>
      <c r="J202" s="706"/>
      <c r="K202" s="743"/>
      <c r="L202" s="706"/>
      <c r="M202" s="706"/>
      <c r="N202" s="706"/>
      <c r="O202" s="707"/>
      <c r="P202" s="709"/>
      <c r="Q202" s="748" t="s">
        <v>2176</v>
      </c>
      <c r="R202" s="711">
        <v>0.59</v>
      </c>
      <c r="S202" s="41"/>
      <c r="T202" s="59"/>
      <c r="Y202" s="61"/>
      <c r="Z202" s="59"/>
      <c r="AF202" s="61"/>
      <c r="AH202" s="61"/>
      <c r="AI202" s="41"/>
      <c r="AK202" s="40">
        <v>196.0</v>
      </c>
      <c r="AL202" s="729" t="s">
        <v>2177</v>
      </c>
      <c r="AM202" s="729" t="s">
        <v>2156</v>
      </c>
      <c r="AN202" s="744"/>
      <c r="AO202" s="730">
        <v>0.0</v>
      </c>
      <c r="AP202" s="730" t="s">
        <v>2157</v>
      </c>
    </row>
    <row r="203">
      <c r="A203" s="159" t="s">
        <v>847</v>
      </c>
      <c r="B203" s="159" t="s">
        <v>1587</v>
      </c>
      <c r="C203" s="749">
        <v>2021.0</v>
      </c>
      <c r="D203" s="750">
        <v>218781.0</v>
      </c>
      <c r="E203" s="636"/>
      <c r="F203" s="159" t="s">
        <v>847</v>
      </c>
      <c r="G203" s="159" t="s">
        <v>1587</v>
      </c>
      <c r="H203" s="749">
        <v>2021.0</v>
      </c>
      <c r="I203" s="707">
        <v>27.254</v>
      </c>
      <c r="J203" s="706"/>
      <c r="K203" s="743"/>
      <c r="L203" s="706"/>
      <c r="M203" s="706"/>
      <c r="N203" s="706"/>
      <c r="O203" s="707"/>
      <c r="P203" s="709"/>
      <c r="S203" s="41"/>
      <c r="T203" s="59"/>
      <c r="Y203" s="61"/>
      <c r="Z203" s="59"/>
      <c r="AF203" s="61"/>
      <c r="AH203" s="61"/>
      <c r="AI203" s="41"/>
      <c r="AK203" s="40">
        <v>200.0</v>
      </c>
      <c r="AL203" s="719" t="s">
        <v>2178</v>
      </c>
      <c r="AM203" s="720" t="s">
        <v>2179</v>
      </c>
      <c r="AN203" s="720" t="s">
        <v>2180</v>
      </c>
      <c r="AO203" s="722">
        <v>0.188</v>
      </c>
      <c r="AP203" s="722" t="s">
        <v>2181</v>
      </c>
    </row>
    <row r="204">
      <c r="A204" s="159" t="s">
        <v>1589</v>
      </c>
      <c r="B204" s="159" t="s">
        <v>1590</v>
      </c>
      <c r="C204" s="749">
        <v>2021.0</v>
      </c>
      <c r="D204" s="750">
        <v>33772.0</v>
      </c>
      <c r="E204" s="636"/>
      <c r="F204" s="159" t="s">
        <v>1589</v>
      </c>
      <c r="G204" s="159" t="s">
        <v>1590</v>
      </c>
      <c r="H204" s="749">
        <v>2021.0</v>
      </c>
      <c r="I204" s="707">
        <v>5.987</v>
      </c>
      <c r="J204" s="706"/>
      <c r="K204" s="743"/>
      <c r="L204" s="706"/>
      <c r="M204" s="706"/>
      <c r="N204" s="706"/>
      <c r="O204" s="707"/>
      <c r="P204" s="709"/>
      <c r="Q204" s="59"/>
      <c r="R204" s="61"/>
      <c r="S204" s="41"/>
      <c r="T204" s="59"/>
      <c r="Y204" s="61"/>
      <c r="Z204" s="59"/>
      <c r="AF204" s="61"/>
      <c r="AH204" s="61"/>
      <c r="AI204" s="41"/>
      <c r="AK204" s="40">
        <v>201.0</v>
      </c>
      <c r="AL204" s="738" t="s">
        <v>2182</v>
      </c>
      <c r="AM204" s="738" t="s">
        <v>2179</v>
      </c>
      <c r="AN204" s="738" t="s">
        <v>2180</v>
      </c>
      <c r="AO204" s="739">
        <v>0.188</v>
      </c>
      <c r="AP204" s="739" t="s">
        <v>2181</v>
      </c>
    </row>
    <row r="205">
      <c r="A205" s="159" t="s">
        <v>848</v>
      </c>
      <c r="B205" s="159" t="s">
        <v>1592</v>
      </c>
      <c r="C205" s="749">
        <v>2021.0</v>
      </c>
      <c r="D205" s="750">
        <v>223118.0</v>
      </c>
      <c r="E205" s="636"/>
      <c r="F205" s="159" t="s">
        <v>848</v>
      </c>
      <c r="G205" s="159" t="s">
        <v>1592</v>
      </c>
      <c r="H205" s="749">
        <v>2021.0</v>
      </c>
      <c r="I205" s="707">
        <v>28.263</v>
      </c>
      <c r="J205" s="706"/>
      <c r="K205" s="743"/>
      <c r="L205" s="706"/>
      <c r="M205" s="706"/>
      <c r="N205" s="706"/>
      <c r="O205" s="707"/>
      <c r="P205" s="709"/>
      <c r="Q205" s="59"/>
      <c r="R205" s="61"/>
      <c r="S205" s="41"/>
      <c r="T205" s="59"/>
      <c r="Y205" s="61"/>
      <c r="Z205" s="59"/>
      <c r="AF205" s="61"/>
      <c r="AH205" s="61"/>
      <c r="AI205" s="41"/>
      <c r="AK205" s="40">
        <v>202.0</v>
      </c>
      <c r="AL205" s="719" t="s">
        <v>2183</v>
      </c>
      <c r="AM205" s="720" t="s">
        <v>2184</v>
      </c>
      <c r="AN205" s="720" t="s">
        <v>2185</v>
      </c>
      <c r="AO205" s="722">
        <v>0.031</v>
      </c>
      <c r="AP205" s="722" t="s">
        <v>2186</v>
      </c>
    </row>
    <row r="206">
      <c r="A206" s="159" t="s">
        <v>849</v>
      </c>
      <c r="B206" s="159" t="s">
        <v>1596</v>
      </c>
      <c r="C206" s="749">
        <v>2021.0</v>
      </c>
      <c r="D206" s="750">
        <v>3.5950396E7</v>
      </c>
      <c r="E206" s="636"/>
      <c r="F206" s="159" t="s">
        <v>849</v>
      </c>
      <c r="G206" s="159" t="s">
        <v>1596</v>
      </c>
      <c r="H206" s="749">
        <v>2021.0</v>
      </c>
      <c r="I206" s="707">
        <v>17.473</v>
      </c>
      <c r="J206" s="706"/>
      <c r="K206" s="743"/>
      <c r="L206" s="706"/>
      <c r="M206" s="706"/>
      <c r="N206" s="706"/>
      <c r="O206" s="707"/>
      <c r="P206" s="709"/>
      <c r="Q206" s="59"/>
      <c r="R206" s="61"/>
      <c r="S206" s="41"/>
      <c r="T206" s="59"/>
      <c r="Y206" s="61"/>
      <c r="Z206" s="59"/>
      <c r="AF206" s="61"/>
      <c r="AH206" s="61"/>
      <c r="AI206" s="41"/>
      <c r="AK206" s="40">
        <v>203.0</v>
      </c>
      <c r="AL206" s="738" t="s">
        <v>2187</v>
      </c>
      <c r="AM206" s="738" t="s">
        <v>2188</v>
      </c>
      <c r="AN206" s="738" t="s">
        <v>2189</v>
      </c>
      <c r="AO206" s="739">
        <v>0.184</v>
      </c>
      <c r="AP206" s="739" t="s">
        <v>2190</v>
      </c>
    </row>
    <row r="207">
      <c r="A207" s="159" t="s">
        <v>850</v>
      </c>
      <c r="B207" s="159" t="s">
        <v>1598</v>
      </c>
      <c r="C207" s="749">
        <v>2021.0</v>
      </c>
      <c r="D207" s="750">
        <v>1.6876726E7</v>
      </c>
      <c r="E207" s="636"/>
      <c r="F207" s="159" t="s">
        <v>850</v>
      </c>
      <c r="G207" s="159" t="s">
        <v>1598</v>
      </c>
      <c r="H207" s="749">
        <v>2021.0</v>
      </c>
      <c r="I207" s="707">
        <v>32.573</v>
      </c>
      <c r="J207" s="706"/>
      <c r="K207" s="743"/>
      <c r="L207" s="706"/>
      <c r="M207" s="706"/>
      <c r="N207" s="706"/>
      <c r="O207" s="707"/>
      <c r="P207" s="709"/>
      <c r="Q207" s="59"/>
      <c r="R207" s="61"/>
      <c r="S207" s="41"/>
      <c r="T207" s="59"/>
      <c r="Y207" s="61"/>
      <c r="Z207" s="59"/>
      <c r="AF207" s="61"/>
      <c r="AH207" s="61"/>
      <c r="AI207" s="41"/>
      <c r="AK207" s="40">
        <v>204.0</v>
      </c>
      <c r="AL207" s="719" t="s">
        <v>2191</v>
      </c>
      <c r="AM207" s="720" t="s">
        <v>2192</v>
      </c>
      <c r="AN207" s="720" t="s">
        <v>2193</v>
      </c>
      <c r="AO207" s="722">
        <v>0.187</v>
      </c>
      <c r="AP207" s="722" t="s">
        <v>2194</v>
      </c>
    </row>
    <row r="208">
      <c r="A208" s="159" t="s">
        <v>851</v>
      </c>
      <c r="B208" s="159" t="s">
        <v>1600</v>
      </c>
      <c r="C208" s="749">
        <v>2021.0</v>
      </c>
      <c r="D208" s="750">
        <v>7296771.0</v>
      </c>
      <c r="E208" s="636"/>
      <c r="F208" s="159" t="s">
        <v>851</v>
      </c>
      <c r="G208" s="159" t="s">
        <v>1600</v>
      </c>
      <c r="H208" s="749">
        <v>2021.0</v>
      </c>
      <c r="I208" s="707">
        <v>9.266</v>
      </c>
      <c r="J208" s="706"/>
      <c r="K208" s="743"/>
      <c r="L208" s="706"/>
      <c r="M208" s="706"/>
      <c r="N208" s="706"/>
      <c r="O208" s="707"/>
      <c r="P208" s="709"/>
      <c r="Q208" s="59"/>
      <c r="R208" s="61"/>
      <c r="S208" s="41"/>
      <c r="T208" s="59"/>
      <c r="Y208" s="61"/>
      <c r="Z208" s="59"/>
      <c r="AF208" s="61"/>
      <c r="AH208" s="61"/>
      <c r="AI208" s="41"/>
      <c r="AK208" s="40">
        <v>205.0</v>
      </c>
      <c r="AL208" s="738" t="s">
        <v>2195</v>
      </c>
      <c r="AM208" s="738" t="s">
        <v>2184</v>
      </c>
      <c r="AN208" s="738" t="s">
        <v>2185</v>
      </c>
      <c r="AO208" s="739">
        <v>0.031</v>
      </c>
      <c r="AP208" s="739" t="s">
        <v>2186</v>
      </c>
    </row>
    <row r="209">
      <c r="A209" s="159" t="s">
        <v>852</v>
      </c>
      <c r="B209" s="159" t="s">
        <v>1602</v>
      </c>
      <c r="C209" s="749">
        <v>2021.0</v>
      </c>
      <c r="D209" s="750">
        <v>106486.0</v>
      </c>
      <c r="E209" s="636"/>
      <c r="F209" s="159" t="s">
        <v>852</v>
      </c>
      <c r="G209" s="159" t="s">
        <v>1602</v>
      </c>
      <c r="H209" s="749">
        <v>2021.0</v>
      </c>
      <c r="I209" s="707">
        <v>15.433</v>
      </c>
      <c r="J209" s="706"/>
      <c r="K209" s="743"/>
      <c r="L209" s="706"/>
      <c r="M209" s="706"/>
      <c r="N209" s="706"/>
      <c r="O209" s="707"/>
      <c r="P209" s="709"/>
      <c r="Q209" s="59"/>
      <c r="R209" s="61"/>
      <c r="S209" s="41"/>
      <c r="T209" s="59"/>
      <c r="Y209" s="61"/>
      <c r="Z209" s="59"/>
      <c r="AF209" s="61"/>
      <c r="AH209" s="61"/>
      <c r="AI209" s="41"/>
      <c r="AK209" s="40">
        <v>206.0</v>
      </c>
      <c r="AL209" s="719" t="s">
        <v>2196</v>
      </c>
      <c r="AM209" s="720" t="s">
        <v>2188</v>
      </c>
      <c r="AN209" s="720" t="s">
        <v>2189</v>
      </c>
      <c r="AO209" s="722">
        <v>0.184</v>
      </c>
      <c r="AP209" s="722" t="s">
        <v>2190</v>
      </c>
    </row>
    <row r="210">
      <c r="A210" s="159" t="s">
        <v>853</v>
      </c>
      <c r="B210" s="159" t="s">
        <v>1604</v>
      </c>
      <c r="C210" s="749">
        <v>2021.0</v>
      </c>
      <c r="D210" s="750">
        <v>8420642.0</v>
      </c>
      <c r="E210" s="636"/>
      <c r="F210" s="159" t="s">
        <v>853</v>
      </c>
      <c r="G210" s="159" t="s">
        <v>1604</v>
      </c>
      <c r="H210" s="749">
        <v>2021.0</v>
      </c>
      <c r="I210" s="707">
        <v>31.36</v>
      </c>
      <c r="J210" s="706"/>
      <c r="K210" s="743"/>
      <c r="L210" s="706"/>
      <c r="M210" s="706"/>
      <c r="N210" s="706"/>
      <c r="O210" s="707"/>
      <c r="P210" s="709"/>
      <c r="Q210" s="59"/>
      <c r="R210" s="61"/>
      <c r="S210" s="41"/>
      <c r="T210" s="59"/>
      <c r="Y210" s="61"/>
      <c r="Z210" s="59"/>
      <c r="AF210" s="61"/>
      <c r="AH210" s="61"/>
      <c r="AI210" s="41"/>
      <c r="AK210" s="40">
        <v>207.0</v>
      </c>
      <c r="AL210" s="738" t="s">
        <v>2197</v>
      </c>
      <c r="AM210" s="738" t="s">
        <v>2192</v>
      </c>
      <c r="AN210" s="738" t="s">
        <v>2193</v>
      </c>
      <c r="AO210" s="739">
        <v>0.187</v>
      </c>
      <c r="AP210" s="739" t="s">
        <v>2194</v>
      </c>
    </row>
    <row r="211">
      <c r="A211" s="159" t="s">
        <v>854</v>
      </c>
      <c r="B211" s="159" t="s">
        <v>1606</v>
      </c>
      <c r="C211" s="749">
        <v>2021.0</v>
      </c>
      <c r="D211" s="750">
        <v>5941063.0</v>
      </c>
      <c r="E211" s="636"/>
      <c r="F211" s="159" t="s">
        <v>854</v>
      </c>
      <c r="G211" s="159" t="s">
        <v>1606</v>
      </c>
      <c r="H211" s="749">
        <v>2021.0</v>
      </c>
      <c r="I211" s="707">
        <v>7.117</v>
      </c>
      <c r="J211" s="706"/>
      <c r="K211" s="743"/>
      <c r="L211" s="706"/>
      <c r="M211" s="706"/>
      <c r="N211" s="706"/>
      <c r="O211" s="707"/>
      <c r="P211" s="709"/>
      <c r="Q211" s="59"/>
      <c r="R211" s="61"/>
      <c r="S211" s="41"/>
      <c r="T211" s="59"/>
      <c r="Y211" s="61"/>
      <c r="Z211" s="59"/>
      <c r="AF211" s="61"/>
      <c r="AH211" s="61"/>
      <c r="AI211" s="41"/>
      <c r="AK211" s="40">
        <v>208.0</v>
      </c>
      <c r="AL211" s="719" t="s">
        <v>2198</v>
      </c>
      <c r="AM211" s="720" t="s">
        <v>2199</v>
      </c>
      <c r="AN211" s="720" t="s">
        <v>2200</v>
      </c>
      <c r="AO211" s="722">
        <v>0.219</v>
      </c>
      <c r="AP211" s="722" t="s">
        <v>2201</v>
      </c>
    </row>
    <row r="212">
      <c r="A212" s="159" t="s">
        <v>1411</v>
      </c>
      <c r="B212" s="159" t="s">
        <v>2202</v>
      </c>
      <c r="C212" s="749">
        <v>2021.0</v>
      </c>
      <c r="D212" s="750">
        <v>44061.0</v>
      </c>
      <c r="E212" s="636"/>
      <c r="F212" s="159" t="s">
        <v>1411</v>
      </c>
      <c r="G212" s="159" t="s">
        <v>2202</v>
      </c>
      <c r="H212" s="749">
        <v>2021.0</v>
      </c>
      <c r="I212" s="707">
        <v>7.655</v>
      </c>
      <c r="J212" s="706"/>
      <c r="K212" s="743"/>
      <c r="L212" s="706"/>
      <c r="M212" s="706"/>
      <c r="N212" s="706"/>
      <c r="O212" s="707"/>
      <c r="P212" s="709"/>
      <c r="Q212" s="59"/>
      <c r="R212" s="61"/>
      <c r="S212" s="41"/>
      <c r="T212" s="59"/>
      <c r="Y212" s="61"/>
      <c r="Z212" s="59"/>
      <c r="AF212" s="61"/>
      <c r="AH212" s="61"/>
      <c r="AI212" s="41"/>
      <c r="AK212" s="40">
        <v>209.0</v>
      </c>
      <c r="AL212" s="738" t="s">
        <v>2203</v>
      </c>
      <c r="AM212" s="738" t="s">
        <v>2050</v>
      </c>
      <c r="AN212" s="738" t="s">
        <v>2051</v>
      </c>
      <c r="AO212" s="739">
        <v>0.051</v>
      </c>
      <c r="AP212" s="739" t="s">
        <v>2052</v>
      </c>
    </row>
    <row r="213">
      <c r="A213" s="159" t="s">
        <v>855</v>
      </c>
      <c r="B213" s="159" t="s">
        <v>1608</v>
      </c>
      <c r="C213" s="749">
        <v>2021.0</v>
      </c>
      <c r="D213" s="750">
        <v>5447621.0</v>
      </c>
      <c r="E213" s="636"/>
      <c r="F213" s="159" t="s">
        <v>855</v>
      </c>
      <c r="G213" s="159" t="s">
        <v>1608</v>
      </c>
      <c r="H213" s="749">
        <v>2021.0</v>
      </c>
      <c r="I213" s="707">
        <v>9.979</v>
      </c>
      <c r="J213" s="706"/>
      <c r="K213" s="743"/>
      <c r="L213" s="706"/>
      <c r="M213" s="706"/>
      <c r="N213" s="706"/>
      <c r="O213" s="707"/>
      <c r="P213" s="709"/>
      <c r="Q213" s="59"/>
      <c r="R213" s="61"/>
      <c r="S213" s="41"/>
      <c r="T213" s="59"/>
      <c r="Y213" s="61"/>
      <c r="Z213" s="59"/>
      <c r="AF213" s="61"/>
      <c r="AH213" s="61"/>
      <c r="AI213" s="41"/>
      <c r="AK213" s="40">
        <v>210.0</v>
      </c>
      <c r="AL213" s="719" t="s">
        <v>2204</v>
      </c>
      <c r="AM213" s="720" t="s">
        <v>1952</v>
      </c>
      <c r="AN213" s="720" t="s">
        <v>1953</v>
      </c>
      <c r="AO213" s="722">
        <v>0.133</v>
      </c>
      <c r="AP213" s="722" t="s">
        <v>1954</v>
      </c>
    </row>
    <row r="214">
      <c r="A214" s="159" t="s">
        <v>856</v>
      </c>
      <c r="B214" s="159" t="s">
        <v>1610</v>
      </c>
      <c r="C214" s="749">
        <v>2021.0</v>
      </c>
      <c r="D214" s="750">
        <v>2119408.0</v>
      </c>
      <c r="E214" s="636"/>
      <c r="F214" s="159" t="s">
        <v>856</v>
      </c>
      <c r="G214" s="159" t="s">
        <v>1610</v>
      </c>
      <c r="H214" s="749">
        <v>2021.0</v>
      </c>
      <c r="I214" s="707">
        <v>9.044</v>
      </c>
      <c r="J214" s="706"/>
      <c r="K214" s="743"/>
      <c r="L214" s="706"/>
      <c r="M214" s="706"/>
      <c r="N214" s="706"/>
      <c r="O214" s="707"/>
      <c r="P214" s="709"/>
      <c r="Q214" s="59"/>
      <c r="R214" s="61"/>
      <c r="S214" s="41"/>
      <c r="T214" s="59"/>
      <c r="Y214" s="61"/>
      <c r="Z214" s="59"/>
      <c r="AF214" s="61"/>
      <c r="AH214" s="61"/>
      <c r="AI214" s="41"/>
      <c r="AK214" s="40">
        <v>211.0</v>
      </c>
      <c r="AL214" s="738" t="s">
        <v>2205</v>
      </c>
      <c r="AM214" s="738" t="s">
        <v>2156</v>
      </c>
      <c r="AN214" s="745"/>
      <c r="AO214" s="739">
        <v>0.0</v>
      </c>
      <c r="AP214" s="739" t="s">
        <v>2157</v>
      </c>
    </row>
    <row r="215">
      <c r="A215" s="159" t="s">
        <v>857</v>
      </c>
      <c r="B215" s="159" t="s">
        <v>1612</v>
      </c>
      <c r="C215" s="749">
        <v>2021.0</v>
      </c>
      <c r="D215" s="750">
        <v>707855.0</v>
      </c>
      <c r="E215" s="636"/>
      <c r="F215" s="438" t="s">
        <v>2206</v>
      </c>
      <c r="G215" s="159"/>
      <c r="H215" s="749">
        <v>2021.0</v>
      </c>
      <c r="I215" s="707">
        <v>17.179</v>
      </c>
      <c r="J215" s="706"/>
      <c r="K215" s="743"/>
      <c r="L215" s="706"/>
      <c r="M215" s="706"/>
      <c r="N215" s="706"/>
      <c r="O215" s="707"/>
      <c r="P215" s="709"/>
      <c r="Q215" s="59"/>
      <c r="R215" s="61"/>
      <c r="S215" s="41"/>
      <c r="T215" s="59"/>
      <c r="Y215" s="61"/>
      <c r="Z215" s="59"/>
      <c r="AF215" s="61"/>
      <c r="AH215" s="61"/>
      <c r="AI215" s="41"/>
      <c r="AK215" s="40">
        <v>212.0</v>
      </c>
      <c r="AL215" s="719" t="s">
        <v>2207</v>
      </c>
      <c r="AM215" s="720" t="s">
        <v>2050</v>
      </c>
      <c r="AN215" s="720" t="s">
        <v>2051</v>
      </c>
      <c r="AO215" s="722">
        <v>0.051</v>
      </c>
      <c r="AP215" s="722" t="s">
        <v>2052</v>
      </c>
    </row>
    <row r="216">
      <c r="A216" s="159" t="s">
        <v>858</v>
      </c>
      <c r="B216" s="159" t="s">
        <v>1613</v>
      </c>
      <c r="C216" s="749">
        <v>2021.0</v>
      </c>
      <c r="D216" s="750">
        <v>1.7065588E7</v>
      </c>
      <c r="E216" s="636"/>
      <c r="F216" s="159" t="s">
        <v>857</v>
      </c>
      <c r="G216" s="159" t="s">
        <v>1612</v>
      </c>
      <c r="H216" s="749">
        <v>2021.0</v>
      </c>
      <c r="I216" s="707">
        <v>29.785</v>
      </c>
      <c r="J216" s="706"/>
      <c r="K216" s="743"/>
      <c r="L216" s="706"/>
      <c r="M216" s="706"/>
      <c r="N216" s="706"/>
      <c r="O216" s="707"/>
      <c r="P216" s="709"/>
      <c r="Q216" s="59"/>
      <c r="R216" s="61"/>
      <c r="S216" s="41"/>
      <c r="T216" s="59"/>
      <c r="Y216" s="61"/>
      <c r="Z216" s="59"/>
      <c r="AF216" s="61"/>
      <c r="AH216" s="61"/>
      <c r="AI216" s="41"/>
      <c r="AK216" s="40">
        <v>213.0</v>
      </c>
      <c r="AL216" s="738" t="s">
        <v>2208</v>
      </c>
      <c r="AM216" s="738" t="s">
        <v>1952</v>
      </c>
      <c r="AN216" s="738" t="s">
        <v>1953</v>
      </c>
      <c r="AO216" s="739">
        <v>0.133</v>
      </c>
      <c r="AP216" s="739" t="s">
        <v>1954</v>
      </c>
    </row>
    <row r="217">
      <c r="A217" s="159" t="s">
        <v>859</v>
      </c>
      <c r="B217" s="159" t="s">
        <v>1615</v>
      </c>
      <c r="C217" s="749">
        <v>2021.0</v>
      </c>
      <c r="D217" s="750">
        <v>5.9392256E7</v>
      </c>
      <c r="E217" s="636"/>
      <c r="F217" s="159" t="s">
        <v>858</v>
      </c>
      <c r="G217" s="159" t="s">
        <v>1613</v>
      </c>
      <c r="H217" s="749">
        <v>2021.0</v>
      </c>
      <c r="I217" s="707">
        <v>43.561</v>
      </c>
      <c r="J217" s="706"/>
      <c r="K217" s="743"/>
      <c r="L217" s="706"/>
      <c r="M217" s="706"/>
      <c r="N217" s="706"/>
      <c r="O217" s="707"/>
      <c r="P217" s="709"/>
      <c r="Q217" s="59"/>
      <c r="R217" s="61"/>
      <c r="S217" s="41"/>
      <c r="T217" s="59"/>
      <c r="Y217" s="61"/>
      <c r="Z217" s="59"/>
      <c r="AF217" s="61"/>
      <c r="AH217" s="61"/>
      <c r="AI217" s="41"/>
      <c r="AK217" s="40">
        <v>214.0</v>
      </c>
      <c r="AL217" s="719" t="s">
        <v>2209</v>
      </c>
      <c r="AM217" s="720" t="s">
        <v>1952</v>
      </c>
      <c r="AN217" s="720" t="s">
        <v>1953</v>
      </c>
      <c r="AO217" s="722">
        <v>0.133</v>
      </c>
      <c r="AP217" s="722" t="s">
        <v>1954</v>
      </c>
    </row>
    <row r="218">
      <c r="A218" s="159" t="s">
        <v>2210</v>
      </c>
      <c r="B218" s="159"/>
      <c r="C218" s="749">
        <v>2021.0</v>
      </c>
      <c r="D218" s="750">
        <v>4.34254167E8</v>
      </c>
      <c r="E218" s="636"/>
      <c r="F218" s="159" t="s">
        <v>859</v>
      </c>
      <c r="G218" s="159" t="s">
        <v>1615</v>
      </c>
      <c r="H218" s="749">
        <v>2021.0</v>
      </c>
      <c r="I218" s="707">
        <v>19.821</v>
      </c>
      <c r="J218" s="706"/>
      <c r="K218" s="743"/>
      <c r="L218" s="706"/>
      <c r="M218" s="706"/>
      <c r="N218" s="706"/>
      <c r="O218" s="707"/>
      <c r="P218" s="709"/>
      <c r="Q218" s="59"/>
      <c r="R218" s="61"/>
      <c r="S218" s="41"/>
      <c r="T218" s="59"/>
      <c r="Y218" s="61"/>
      <c r="Z218" s="59"/>
      <c r="AF218" s="61"/>
      <c r="AH218" s="61"/>
      <c r="AI218" s="41"/>
      <c r="AK218" s="40">
        <v>215.0</v>
      </c>
      <c r="AL218" s="738" t="s">
        <v>2211</v>
      </c>
      <c r="AM218" s="738" t="s">
        <v>2156</v>
      </c>
      <c r="AN218" s="745"/>
      <c r="AO218" s="739">
        <v>0.0</v>
      </c>
      <c r="AP218" s="739" t="s">
        <v>2157</v>
      </c>
    </row>
    <row r="219">
      <c r="A219" s="159" t="s">
        <v>860</v>
      </c>
      <c r="B219" s="159" t="s">
        <v>1617</v>
      </c>
      <c r="C219" s="749">
        <v>2021.0</v>
      </c>
      <c r="D219" s="750">
        <v>5.1830136E7</v>
      </c>
      <c r="E219" s="636"/>
      <c r="F219" s="159" t="s">
        <v>860</v>
      </c>
      <c r="G219" s="159" t="s">
        <v>1617</v>
      </c>
      <c r="H219" s="749">
        <v>2021.0</v>
      </c>
      <c r="I219" s="707">
        <v>5.579</v>
      </c>
      <c r="J219" s="706"/>
      <c r="K219" s="743"/>
      <c r="L219" s="706"/>
      <c r="M219" s="706"/>
      <c r="N219" s="706"/>
      <c r="O219" s="707"/>
      <c r="P219" s="709"/>
      <c r="Q219" s="59"/>
      <c r="R219" s="61"/>
      <c r="S219" s="41"/>
      <c r="T219" s="59"/>
      <c r="Y219" s="61"/>
      <c r="Z219" s="59"/>
      <c r="AF219" s="61"/>
      <c r="AH219" s="61"/>
      <c r="AI219" s="41"/>
      <c r="AK219" s="40">
        <v>216.0</v>
      </c>
      <c r="AL219" s="719" t="s">
        <v>2212</v>
      </c>
      <c r="AM219" s="720" t="s">
        <v>2213</v>
      </c>
      <c r="AN219" s="720" t="s">
        <v>2214</v>
      </c>
      <c r="AO219" s="722">
        <v>0.027</v>
      </c>
      <c r="AP219" s="722" t="s">
        <v>2215</v>
      </c>
    </row>
    <row r="220">
      <c r="A220" s="159" t="s">
        <v>861</v>
      </c>
      <c r="B220" s="159" t="s">
        <v>1619</v>
      </c>
      <c r="C220" s="749">
        <v>2021.0</v>
      </c>
      <c r="D220" s="750">
        <v>1.0748278E7</v>
      </c>
      <c r="E220" s="636"/>
      <c r="F220" s="159" t="s">
        <v>861</v>
      </c>
      <c r="G220" s="159" t="s">
        <v>1619</v>
      </c>
      <c r="H220" s="749">
        <v>2021.0</v>
      </c>
      <c r="I220" s="707">
        <v>29.107</v>
      </c>
      <c r="J220" s="706"/>
      <c r="K220" s="743"/>
      <c r="L220" s="706"/>
      <c r="M220" s="706"/>
      <c r="N220" s="706"/>
      <c r="O220" s="707"/>
      <c r="P220" s="709"/>
      <c r="Q220" s="59"/>
      <c r="R220" s="61"/>
      <c r="S220" s="41"/>
      <c r="T220" s="59"/>
      <c r="Y220" s="61"/>
      <c r="Z220" s="59"/>
      <c r="AF220" s="61"/>
      <c r="AH220" s="61"/>
      <c r="AI220" s="41"/>
      <c r="AK220" s="40">
        <v>217.0</v>
      </c>
      <c r="AL220" s="738" t="s">
        <v>2216</v>
      </c>
      <c r="AM220" s="738" t="s">
        <v>2105</v>
      </c>
      <c r="AN220" s="738" t="s">
        <v>2106</v>
      </c>
      <c r="AO220" s="739">
        <v>0.011</v>
      </c>
      <c r="AP220" s="739" t="s">
        <v>2107</v>
      </c>
    </row>
    <row r="221">
      <c r="A221" s="159" t="s">
        <v>862</v>
      </c>
      <c r="B221" s="159" t="s">
        <v>1621</v>
      </c>
      <c r="C221" s="749">
        <v>2021.0</v>
      </c>
      <c r="D221" s="750">
        <v>4.7486932E7</v>
      </c>
      <c r="E221" s="636"/>
      <c r="F221" s="159" t="s">
        <v>862</v>
      </c>
      <c r="G221" s="159" t="s">
        <v>1621</v>
      </c>
      <c r="H221" s="749">
        <v>2021.0</v>
      </c>
      <c r="I221" s="707">
        <v>7.553</v>
      </c>
      <c r="J221" s="706"/>
      <c r="K221" s="743"/>
      <c r="L221" s="706"/>
      <c r="M221" s="706"/>
      <c r="N221" s="706"/>
      <c r="O221" s="707"/>
      <c r="P221" s="709"/>
      <c r="Q221" s="59"/>
      <c r="R221" s="61"/>
      <c r="S221" s="41"/>
      <c r="T221" s="59"/>
      <c r="Y221" s="61"/>
      <c r="Z221" s="59"/>
      <c r="AF221" s="61"/>
      <c r="AH221" s="61"/>
      <c r="AI221" s="41"/>
      <c r="AK221" s="40">
        <v>218.0</v>
      </c>
      <c r="AL221" s="719" t="s">
        <v>2217</v>
      </c>
      <c r="AM221" s="720" t="s">
        <v>2218</v>
      </c>
      <c r="AN221" s="720" t="s">
        <v>2219</v>
      </c>
      <c r="AO221" s="722">
        <v>0.128</v>
      </c>
      <c r="AP221" s="722" t="s">
        <v>2220</v>
      </c>
    </row>
    <row r="222">
      <c r="A222" s="159" t="s">
        <v>863</v>
      </c>
      <c r="B222" s="159" t="s">
        <v>1623</v>
      </c>
      <c r="C222" s="749">
        <v>2021.0</v>
      </c>
      <c r="D222" s="750">
        <v>2.1773438E7</v>
      </c>
      <c r="E222" s="636"/>
      <c r="F222" s="159" t="s">
        <v>863</v>
      </c>
      <c r="G222" s="159" t="s">
        <v>1623</v>
      </c>
      <c r="H222" s="749">
        <v>2021.0</v>
      </c>
      <c r="I222" s="707">
        <v>14.019</v>
      </c>
      <c r="J222" s="706"/>
      <c r="K222" s="743"/>
      <c r="L222" s="706"/>
      <c r="M222" s="706"/>
      <c r="N222" s="706"/>
      <c r="O222" s="707"/>
      <c r="P222" s="709"/>
      <c r="Q222" s="59"/>
      <c r="R222" s="61"/>
      <c r="S222" s="41"/>
      <c r="T222" s="59"/>
      <c r="Y222" s="61"/>
      <c r="Z222" s="59"/>
      <c r="AF222" s="61"/>
      <c r="AH222" s="61"/>
      <c r="AI222" s="41"/>
      <c r="AK222" s="40">
        <v>219.0</v>
      </c>
      <c r="AL222" s="738" t="s">
        <v>2221</v>
      </c>
      <c r="AM222" s="738" t="s">
        <v>2156</v>
      </c>
      <c r="AN222" s="745"/>
      <c r="AO222" s="739">
        <v>0.0</v>
      </c>
      <c r="AP222" s="739" t="s">
        <v>2157</v>
      </c>
    </row>
    <row r="223">
      <c r="A223" s="159" t="s">
        <v>864</v>
      </c>
      <c r="B223" s="159" t="s">
        <v>1625</v>
      </c>
      <c r="C223" s="749">
        <v>2021.0</v>
      </c>
      <c r="D223" s="750">
        <v>4.5657204E7</v>
      </c>
      <c r="E223" s="636"/>
      <c r="F223" s="159" t="s">
        <v>864</v>
      </c>
      <c r="G223" s="159" t="s">
        <v>1625</v>
      </c>
      <c r="H223" s="749">
        <v>2021.0</v>
      </c>
      <c r="I223" s="707">
        <v>33.596</v>
      </c>
      <c r="J223" s="706"/>
      <c r="K223" s="743"/>
      <c r="L223" s="706"/>
      <c r="M223" s="706"/>
      <c r="N223" s="706"/>
      <c r="O223" s="707"/>
      <c r="P223" s="709"/>
      <c r="Q223" s="59"/>
      <c r="R223" s="61"/>
      <c r="S223" s="41"/>
      <c r="T223" s="59"/>
      <c r="Y223" s="61"/>
      <c r="Z223" s="59"/>
      <c r="AF223" s="61"/>
      <c r="AH223" s="61"/>
      <c r="AI223" s="41"/>
      <c r="AK223" s="40">
        <v>220.0</v>
      </c>
      <c r="AL223" s="719" t="s">
        <v>2222</v>
      </c>
      <c r="AM223" s="720" t="s">
        <v>2213</v>
      </c>
      <c r="AN223" s="720" t="s">
        <v>2214</v>
      </c>
      <c r="AO223" s="722">
        <v>0.027</v>
      </c>
      <c r="AP223" s="722" t="s">
        <v>2215</v>
      </c>
    </row>
    <row r="224">
      <c r="A224" s="159" t="s">
        <v>865</v>
      </c>
      <c r="B224" s="159" t="s">
        <v>1627</v>
      </c>
      <c r="C224" s="749">
        <v>2021.0</v>
      </c>
      <c r="D224" s="750">
        <v>612989.0</v>
      </c>
      <c r="E224" s="636"/>
      <c r="F224" s="159" t="s">
        <v>865</v>
      </c>
      <c r="G224" s="159" t="s">
        <v>1627</v>
      </c>
      <c r="H224" s="749">
        <v>2021.0</v>
      </c>
      <c r="I224" s="707">
        <v>18.154</v>
      </c>
      <c r="J224" s="706"/>
      <c r="K224" s="743"/>
      <c r="L224" s="706"/>
      <c r="M224" s="706"/>
      <c r="N224" s="706"/>
      <c r="O224" s="707"/>
      <c r="P224" s="709"/>
      <c r="Q224" s="59"/>
      <c r="R224" s="61"/>
      <c r="S224" s="41"/>
      <c r="T224" s="59"/>
      <c r="Y224" s="61"/>
      <c r="Z224" s="59"/>
      <c r="AF224" s="61"/>
      <c r="AH224" s="61"/>
      <c r="AI224" s="41"/>
      <c r="AK224" s="40">
        <v>221.0</v>
      </c>
      <c r="AL224" s="738" t="s">
        <v>2223</v>
      </c>
      <c r="AM224" s="738" t="s">
        <v>2105</v>
      </c>
      <c r="AN224" s="738" t="s">
        <v>2106</v>
      </c>
      <c r="AO224" s="739">
        <v>0.011</v>
      </c>
      <c r="AP224" s="739" t="s">
        <v>2107</v>
      </c>
    </row>
    <row r="225">
      <c r="A225" s="159" t="s">
        <v>866</v>
      </c>
      <c r="B225" s="159" t="s">
        <v>1629</v>
      </c>
      <c r="C225" s="749">
        <v>2021.0</v>
      </c>
      <c r="D225" s="750">
        <v>1.0467095E7</v>
      </c>
      <c r="E225" s="636"/>
      <c r="F225" s="159" t="s">
        <v>866</v>
      </c>
      <c r="G225" s="159" t="s">
        <v>1629</v>
      </c>
      <c r="H225" s="749">
        <v>2021.0</v>
      </c>
      <c r="I225" s="707">
        <v>10.868</v>
      </c>
      <c r="J225" s="706"/>
      <c r="K225" s="743"/>
      <c r="L225" s="706"/>
      <c r="M225" s="706"/>
      <c r="N225" s="706"/>
      <c r="O225" s="707"/>
      <c r="P225" s="709"/>
      <c r="Q225" s="59"/>
      <c r="R225" s="61"/>
      <c r="S225" s="41"/>
      <c r="T225" s="59"/>
      <c r="Y225" s="61"/>
      <c r="Z225" s="59"/>
      <c r="AF225" s="61"/>
      <c r="AH225" s="61"/>
      <c r="AI225" s="41"/>
      <c r="AK225" s="40">
        <v>222.0</v>
      </c>
      <c r="AL225" s="719" t="s">
        <v>2224</v>
      </c>
      <c r="AM225" s="720" t="s">
        <v>2218</v>
      </c>
      <c r="AN225" s="720" t="s">
        <v>2219</v>
      </c>
      <c r="AO225" s="722">
        <v>0.128</v>
      </c>
      <c r="AP225" s="722" t="s">
        <v>2220</v>
      </c>
    </row>
    <row r="226">
      <c r="A226" s="159" t="s">
        <v>867</v>
      </c>
      <c r="B226" s="159" t="s">
        <v>1631</v>
      </c>
      <c r="C226" s="749">
        <v>2021.0</v>
      </c>
      <c r="D226" s="750">
        <v>8691409.0</v>
      </c>
      <c r="E226" s="636"/>
      <c r="F226" s="159" t="s">
        <v>867</v>
      </c>
      <c r="G226" s="159" t="s">
        <v>1631</v>
      </c>
      <c r="H226" s="749">
        <v>2021.0</v>
      </c>
      <c r="I226" s="707">
        <v>10.033</v>
      </c>
      <c r="J226" s="706"/>
      <c r="K226" s="743"/>
      <c r="L226" s="706"/>
      <c r="M226" s="706"/>
      <c r="N226" s="706"/>
      <c r="O226" s="707"/>
      <c r="P226" s="709"/>
      <c r="Q226" s="59"/>
      <c r="R226" s="61"/>
      <c r="S226" s="41"/>
      <c r="T226" s="59"/>
      <c r="Y226" s="61"/>
      <c r="Z226" s="59"/>
      <c r="AF226" s="61"/>
      <c r="AH226" s="61"/>
      <c r="AI226" s="41"/>
      <c r="AK226" s="40">
        <v>223.0</v>
      </c>
      <c r="AL226" s="738" t="s">
        <v>2225</v>
      </c>
      <c r="AM226" s="738" t="s">
        <v>2156</v>
      </c>
      <c r="AN226" s="745"/>
      <c r="AO226" s="739">
        <v>0.0</v>
      </c>
      <c r="AP226" s="739" t="s">
        <v>2157</v>
      </c>
    </row>
    <row r="227">
      <c r="A227" s="159" t="s">
        <v>868</v>
      </c>
      <c r="B227" s="159" t="s">
        <v>1633</v>
      </c>
      <c r="C227" s="749">
        <v>2021.0</v>
      </c>
      <c r="D227" s="750">
        <v>2.1324366E7</v>
      </c>
      <c r="E227" s="636"/>
      <c r="F227" s="159" t="s">
        <v>868</v>
      </c>
      <c r="G227" s="159" t="s">
        <v>1633</v>
      </c>
      <c r="H227" s="749">
        <v>2021.0</v>
      </c>
      <c r="I227" s="707">
        <v>20.111</v>
      </c>
      <c r="J227" s="706"/>
      <c r="K227" s="743"/>
      <c r="L227" s="706"/>
      <c r="M227" s="706"/>
      <c r="N227" s="706"/>
      <c r="O227" s="707"/>
      <c r="P227" s="709"/>
      <c r="Q227" s="59"/>
      <c r="R227" s="61"/>
      <c r="S227" s="41"/>
      <c r="T227" s="59"/>
      <c r="Y227" s="61"/>
      <c r="Z227" s="59"/>
      <c r="AF227" s="61"/>
      <c r="AH227" s="61"/>
      <c r="AI227" s="41"/>
      <c r="AK227" s="40">
        <v>224.0</v>
      </c>
      <c r="AL227" s="719" t="s">
        <v>2226</v>
      </c>
      <c r="AM227" s="720" t="s">
        <v>2150</v>
      </c>
      <c r="AN227" s="720" t="s">
        <v>2151</v>
      </c>
      <c r="AO227" s="722">
        <v>0.004</v>
      </c>
      <c r="AP227" s="722" t="s">
        <v>2152</v>
      </c>
    </row>
    <row r="228">
      <c r="A228" s="159" t="s">
        <v>869</v>
      </c>
      <c r="B228" s="159" t="s">
        <v>1635</v>
      </c>
      <c r="C228" s="749">
        <v>2021.0</v>
      </c>
      <c r="D228" s="750">
        <v>2.3859904E7</v>
      </c>
      <c r="E228" s="636"/>
      <c r="F228" s="159" t="s">
        <v>869</v>
      </c>
      <c r="G228" s="159" t="s">
        <v>1635</v>
      </c>
      <c r="H228" s="749">
        <v>2021.0</v>
      </c>
      <c r="I228" s="707">
        <v>7.795</v>
      </c>
      <c r="J228" s="706"/>
      <c r="K228" s="743"/>
      <c r="L228" s="706"/>
      <c r="M228" s="706"/>
      <c r="N228" s="706"/>
      <c r="O228" s="707"/>
      <c r="P228" s="709"/>
      <c r="Q228" s="59"/>
      <c r="R228" s="61"/>
      <c r="S228" s="41"/>
      <c r="T228" s="59"/>
      <c r="Y228" s="61"/>
      <c r="Z228" s="59"/>
      <c r="AF228" s="61"/>
      <c r="AH228" s="61"/>
      <c r="AI228" s="41"/>
      <c r="AK228" s="40">
        <v>225.0</v>
      </c>
      <c r="AL228" s="738" t="s">
        <v>2227</v>
      </c>
      <c r="AM228" s="738" t="s">
        <v>2044</v>
      </c>
      <c r="AN228" s="738" t="s">
        <v>2045</v>
      </c>
      <c r="AO228" s="739">
        <v>0.052</v>
      </c>
      <c r="AP228" s="739" t="s">
        <v>2046</v>
      </c>
    </row>
    <row r="229">
      <c r="A229" s="159" t="s">
        <v>870</v>
      </c>
      <c r="B229" s="159" t="s">
        <v>1637</v>
      </c>
      <c r="C229" s="749">
        <v>2021.0</v>
      </c>
      <c r="D229" s="750">
        <v>9750078.0</v>
      </c>
      <c r="E229" s="636"/>
      <c r="F229" s="159" t="s">
        <v>870</v>
      </c>
      <c r="G229" s="159" t="s">
        <v>1637</v>
      </c>
      <c r="H229" s="749">
        <v>2021.0</v>
      </c>
      <c r="I229" s="707">
        <v>26.749</v>
      </c>
      <c r="J229" s="706"/>
      <c r="K229" s="743"/>
      <c r="L229" s="706"/>
      <c r="M229" s="706"/>
      <c r="N229" s="706"/>
      <c r="O229" s="707"/>
      <c r="P229" s="709"/>
      <c r="Q229" s="59"/>
      <c r="R229" s="61"/>
      <c r="S229" s="41"/>
      <c r="T229" s="59"/>
      <c r="Y229" s="61"/>
      <c r="Z229" s="59"/>
      <c r="AF229" s="61"/>
      <c r="AH229" s="61"/>
      <c r="AI229" s="41"/>
      <c r="AK229" s="40">
        <v>226.0</v>
      </c>
      <c r="AL229" s="719" t="s">
        <v>2228</v>
      </c>
      <c r="AM229" s="720" t="s">
        <v>1940</v>
      </c>
      <c r="AN229" s="720" t="s">
        <v>1941</v>
      </c>
      <c r="AO229" s="722">
        <v>0.149</v>
      </c>
      <c r="AP229" s="722" t="s">
        <v>1942</v>
      </c>
    </row>
    <row r="230">
      <c r="A230" s="159" t="s">
        <v>871</v>
      </c>
      <c r="B230" s="159" t="s">
        <v>1639</v>
      </c>
      <c r="C230" s="749">
        <v>2021.0</v>
      </c>
      <c r="D230" s="750">
        <v>6.3588332E7</v>
      </c>
      <c r="E230" s="636"/>
      <c r="F230" s="159" t="s">
        <v>871</v>
      </c>
      <c r="G230" s="159" t="s">
        <v>1639</v>
      </c>
      <c r="H230" s="749">
        <v>2021.0</v>
      </c>
      <c r="I230" s="707">
        <v>36.21</v>
      </c>
      <c r="J230" s="706"/>
      <c r="K230" s="743"/>
      <c r="L230" s="706"/>
      <c r="M230" s="706"/>
      <c r="N230" s="706"/>
      <c r="O230" s="707"/>
      <c r="P230" s="709"/>
      <c r="Q230" s="59"/>
      <c r="R230" s="61"/>
      <c r="S230" s="41"/>
      <c r="T230" s="59"/>
      <c r="Y230" s="61"/>
      <c r="Z230" s="59"/>
      <c r="AF230" s="61"/>
      <c r="AH230" s="61"/>
      <c r="AI230" s="41"/>
      <c r="AK230" s="40">
        <v>227.0</v>
      </c>
      <c r="AL230" s="738" t="s">
        <v>2229</v>
      </c>
      <c r="AM230" s="738" t="s">
        <v>2213</v>
      </c>
      <c r="AN230" s="738" t="s">
        <v>2214</v>
      </c>
      <c r="AO230" s="739">
        <v>0.027</v>
      </c>
      <c r="AP230" s="739" t="s">
        <v>2215</v>
      </c>
    </row>
    <row r="231">
      <c r="A231" s="159" t="s">
        <v>79</v>
      </c>
      <c r="B231" s="159" t="s">
        <v>1641</v>
      </c>
      <c r="C231" s="749">
        <v>2021.0</v>
      </c>
      <c r="D231" s="750">
        <v>7.1601104E7</v>
      </c>
      <c r="E231" s="636"/>
      <c r="F231" s="159" t="s">
        <v>79</v>
      </c>
      <c r="G231" s="159" t="s">
        <v>1641</v>
      </c>
      <c r="H231" s="749">
        <v>2021.0</v>
      </c>
      <c r="I231" s="707">
        <v>8.999</v>
      </c>
      <c r="J231" s="706"/>
      <c r="K231" s="743"/>
      <c r="L231" s="706"/>
      <c r="M231" s="706"/>
      <c r="N231" s="706"/>
      <c r="O231" s="707"/>
      <c r="P231" s="709"/>
      <c r="Q231" s="59"/>
      <c r="R231" s="61"/>
      <c r="S231" s="41"/>
      <c r="T231" s="59"/>
      <c r="Y231" s="61"/>
      <c r="Z231" s="59"/>
      <c r="AF231" s="61"/>
      <c r="AH231" s="61"/>
      <c r="AI231" s="41"/>
      <c r="AK231" s="40">
        <v>228.0</v>
      </c>
      <c r="AL231" s="719" t="s">
        <v>2230</v>
      </c>
      <c r="AM231" s="720" t="s">
        <v>2105</v>
      </c>
      <c r="AN231" s="720" t="s">
        <v>2106</v>
      </c>
      <c r="AO231" s="722">
        <v>0.011</v>
      </c>
      <c r="AP231" s="722" t="s">
        <v>2107</v>
      </c>
    </row>
    <row r="232">
      <c r="A232" s="159" t="s">
        <v>872</v>
      </c>
      <c r="B232" s="159" t="s">
        <v>1647</v>
      </c>
      <c r="C232" s="749">
        <v>2021.0</v>
      </c>
      <c r="D232" s="750">
        <v>8644829.0</v>
      </c>
      <c r="E232" s="636"/>
      <c r="F232" s="159" t="s">
        <v>872</v>
      </c>
      <c r="G232" s="159" t="s">
        <v>1647</v>
      </c>
      <c r="H232" s="749">
        <v>2021.0</v>
      </c>
      <c r="I232" s="707">
        <v>31.856</v>
      </c>
      <c r="J232" s="706"/>
      <c r="K232" s="743"/>
      <c r="L232" s="706"/>
      <c r="M232" s="706"/>
      <c r="N232" s="706"/>
      <c r="O232" s="707"/>
      <c r="P232" s="709"/>
      <c r="Q232" s="59"/>
      <c r="R232" s="61"/>
      <c r="S232" s="41"/>
      <c r="T232" s="59"/>
      <c r="Y232" s="61"/>
      <c r="Z232" s="59"/>
      <c r="AF232" s="61"/>
      <c r="AH232" s="61"/>
      <c r="AI232" s="41"/>
      <c r="AK232" s="40">
        <v>229.0</v>
      </c>
      <c r="AL232" s="738" t="s">
        <v>2231</v>
      </c>
      <c r="AM232" s="738" t="s">
        <v>2218</v>
      </c>
      <c r="AN232" s="738" t="s">
        <v>2219</v>
      </c>
      <c r="AO232" s="739">
        <v>0.128</v>
      </c>
      <c r="AP232" s="739" t="s">
        <v>2220</v>
      </c>
    </row>
    <row r="233">
      <c r="A233" s="159" t="s">
        <v>1436</v>
      </c>
      <c r="B233" s="159" t="s">
        <v>2232</v>
      </c>
      <c r="C233" s="749">
        <v>2021.0</v>
      </c>
      <c r="D233" s="750">
        <v>1869.0</v>
      </c>
      <c r="E233" s="636"/>
      <c r="F233" s="159" t="s">
        <v>1436</v>
      </c>
      <c r="G233" s="159" t="s">
        <v>2232</v>
      </c>
      <c r="H233" s="749">
        <v>2021.0</v>
      </c>
      <c r="I233" s="707">
        <v>18.707</v>
      </c>
      <c r="J233" s="706"/>
      <c r="K233" s="743"/>
      <c r="L233" s="706"/>
      <c r="M233" s="706"/>
      <c r="N233" s="706"/>
      <c r="O233" s="707"/>
      <c r="P233" s="709"/>
      <c r="Q233" s="59"/>
      <c r="R233" s="61"/>
      <c r="S233" s="41"/>
      <c r="T233" s="59"/>
      <c r="Y233" s="61"/>
      <c r="Z233" s="59"/>
      <c r="AF233" s="61"/>
      <c r="AH233" s="61"/>
      <c r="AI233" s="41"/>
      <c r="AK233" s="40">
        <v>230.0</v>
      </c>
      <c r="AL233" s="719" t="s">
        <v>2233</v>
      </c>
      <c r="AM233" s="720" t="s">
        <v>2156</v>
      </c>
      <c r="AN233" s="721"/>
      <c r="AO233" s="722">
        <v>0.0</v>
      </c>
      <c r="AP233" s="722" t="s">
        <v>2157</v>
      </c>
    </row>
    <row r="234">
      <c r="A234" s="159" t="s">
        <v>873</v>
      </c>
      <c r="B234" s="159" t="s">
        <v>1649</v>
      </c>
      <c r="C234" s="749">
        <v>2021.0</v>
      </c>
      <c r="D234" s="750">
        <v>106034.0</v>
      </c>
      <c r="E234" s="636"/>
      <c r="F234" s="159" t="s">
        <v>873</v>
      </c>
      <c r="G234" s="159" t="s">
        <v>1649</v>
      </c>
      <c r="H234" s="749">
        <v>2021.0</v>
      </c>
      <c r="I234" s="707">
        <v>23.045</v>
      </c>
      <c r="J234" s="706"/>
      <c r="K234" s="743"/>
      <c r="L234" s="706"/>
      <c r="M234" s="706"/>
      <c r="N234" s="706"/>
      <c r="O234" s="707"/>
      <c r="P234" s="709"/>
      <c r="Q234" s="59"/>
      <c r="R234" s="61"/>
      <c r="S234" s="41"/>
      <c r="T234" s="59"/>
      <c r="Y234" s="61"/>
      <c r="Z234" s="59"/>
      <c r="AF234" s="61"/>
      <c r="AH234" s="61"/>
      <c r="AI234" s="41"/>
      <c r="AK234" s="40">
        <v>231.0</v>
      </c>
      <c r="AL234" s="738" t="s">
        <v>2234</v>
      </c>
      <c r="AM234" s="738" t="s">
        <v>2156</v>
      </c>
      <c r="AN234" s="745"/>
      <c r="AO234" s="739">
        <v>0.0</v>
      </c>
      <c r="AP234" s="739" t="s">
        <v>2157</v>
      </c>
    </row>
    <row r="235">
      <c r="A235" s="159" t="s">
        <v>874</v>
      </c>
      <c r="B235" s="159" t="s">
        <v>1651</v>
      </c>
      <c r="C235" s="749">
        <v>2021.0</v>
      </c>
      <c r="D235" s="750">
        <v>1525671.0</v>
      </c>
      <c r="E235" s="636"/>
      <c r="F235" s="159" t="s">
        <v>874</v>
      </c>
      <c r="G235" s="159" t="s">
        <v>1651</v>
      </c>
      <c r="H235" s="749">
        <v>2021.0</v>
      </c>
      <c r="I235" s="707">
        <v>11.687</v>
      </c>
      <c r="J235" s="706"/>
      <c r="K235" s="743"/>
      <c r="L235" s="706"/>
      <c r="M235" s="706"/>
      <c r="N235" s="706"/>
      <c r="O235" s="707"/>
      <c r="P235" s="709"/>
      <c r="Q235" s="59"/>
      <c r="R235" s="61"/>
      <c r="S235" s="41"/>
      <c r="T235" s="59"/>
      <c r="Y235" s="61"/>
      <c r="Z235" s="59"/>
      <c r="AF235" s="61"/>
      <c r="AH235" s="61"/>
      <c r="AI235" s="41"/>
      <c r="AK235" s="40">
        <v>232.0</v>
      </c>
      <c r="AL235" s="719" t="s">
        <v>2235</v>
      </c>
      <c r="AM235" s="720" t="s">
        <v>2156</v>
      </c>
      <c r="AN235" s="721"/>
      <c r="AO235" s="722">
        <v>0.0</v>
      </c>
      <c r="AP235" s="722" t="s">
        <v>2157</v>
      </c>
    </row>
    <row r="236">
      <c r="A236" s="159" t="s">
        <v>875</v>
      </c>
      <c r="B236" s="159" t="s">
        <v>1654</v>
      </c>
      <c r="C236" s="749">
        <v>2021.0</v>
      </c>
      <c r="D236" s="750">
        <v>1.2262949E7</v>
      </c>
      <c r="E236" s="636"/>
      <c r="F236" s="159" t="s">
        <v>875</v>
      </c>
      <c r="G236" s="159" t="s">
        <v>1654</v>
      </c>
      <c r="H236" s="749">
        <v>2021.0</v>
      </c>
      <c r="I236" s="707">
        <v>16.093</v>
      </c>
      <c r="J236" s="706"/>
      <c r="K236" s="743"/>
      <c r="L236" s="706"/>
      <c r="M236" s="706"/>
      <c r="N236" s="706"/>
      <c r="O236" s="707"/>
      <c r="P236" s="709"/>
      <c r="Q236" s="59"/>
      <c r="R236" s="61"/>
      <c r="S236" s="41"/>
      <c r="T236" s="59"/>
      <c r="Y236" s="61"/>
      <c r="Z236" s="59"/>
      <c r="AF236" s="61"/>
      <c r="AH236" s="61"/>
      <c r="AI236" s="41"/>
      <c r="AK236" s="40">
        <v>233.0</v>
      </c>
      <c r="AL236" s="738" t="s">
        <v>2236</v>
      </c>
      <c r="AM236" s="738" t="s">
        <v>2156</v>
      </c>
      <c r="AN236" s="745"/>
      <c r="AO236" s="739">
        <v>0.0</v>
      </c>
      <c r="AP236" s="739" t="s">
        <v>2157</v>
      </c>
    </row>
    <row r="237">
      <c r="A237" s="159" t="s">
        <v>876</v>
      </c>
      <c r="B237" s="159" t="s">
        <v>1656</v>
      </c>
      <c r="C237" s="749">
        <v>2021.0</v>
      </c>
      <c r="D237" s="750">
        <v>8.4775408E7</v>
      </c>
      <c r="E237" s="636"/>
      <c r="F237" s="159" t="s">
        <v>876</v>
      </c>
      <c r="G237" s="159" t="s">
        <v>1656</v>
      </c>
      <c r="H237" s="749">
        <v>2021.0</v>
      </c>
      <c r="I237" s="707">
        <v>14.678</v>
      </c>
      <c r="J237" s="706"/>
      <c r="K237" s="743"/>
      <c r="L237" s="706"/>
      <c r="M237" s="706"/>
      <c r="N237" s="706"/>
      <c r="O237" s="707"/>
      <c r="P237" s="709"/>
      <c r="Q237" s="59"/>
      <c r="R237" s="61"/>
      <c r="S237" s="41"/>
      <c r="T237" s="59"/>
      <c r="Y237" s="61"/>
      <c r="Z237" s="59"/>
      <c r="AF237" s="61"/>
      <c r="AH237" s="61"/>
      <c r="AI237" s="41"/>
      <c r="AK237" s="40">
        <v>234.0</v>
      </c>
      <c r="AL237" s="719" t="s">
        <v>2237</v>
      </c>
      <c r="AM237" s="720" t="s">
        <v>2156</v>
      </c>
      <c r="AN237" s="721"/>
      <c r="AO237" s="722">
        <v>0.0</v>
      </c>
      <c r="AP237" s="722" t="s">
        <v>2157</v>
      </c>
    </row>
    <row r="238">
      <c r="A238" s="159" t="s">
        <v>877</v>
      </c>
      <c r="B238" s="159" t="s">
        <v>1658</v>
      </c>
      <c r="C238" s="749">
        <v>2021.0</v>
      </c>
      <c r="D238" s="750">
        <v>6341850.0</v>
      </c>
      <c r="E238" s="636"/>
      <c r="F238" s="159" t="s">
        <v>877</v>
      </c>
      <c r="G238" s="159" t="s">
        <v>1658</v>
      </c>
      <c r="H238" s="749">
        <v>2021.0</v>
      </c>
      <c r="I238" s="707">
        <v>21.592</v>
      </c>
      <c r="J238" s="706"/>
      <c r="K238" s="743"/>
      <c r="L238" s="706"/>
      <c r="M238" s="706"/>
      <c r="N238" s="706"/>
      <c r="O238" s="707"/>
      <c r="P238" s="709"/>
      <c r="Q238" s="59"/>
      <c r="R238" s="61"/>
      <c r="S238" s="41"/>
      <c r="T238" s="59"/>
      <c r="Y238" s="61"/>
      <c r="Z238" s="59"/>
      <c r="AF238" s="61"/>
      <c r="AH238" s="61"/>
      <c r="AI238" s="41"/>
      <c r="AK238" s="40">
        <v>235.0</v>
      </c>
      <c r="AL238" s="738" t="s">
        <v>2238</v>
      </c>
      <c r="AM238" s="738" t="s">
        <v>2088</v>
      </c>
      <c r="AN238" s="738" t="s">
        <v>2089</v>
      </c>
      <c r="AO238" s="739">
        <v>0.019</v>
      </c>
      <c r="AP238" s="739" t="s">
        <v>2090</v>
      </c>
    </row>
    <row r="239">
      <c r="A239" s="159" t="s">
        <v>1444</v>
      </c>
      <c r="B239" s="159" t="s">
        <v>2239</v>
      </c>
      <c r="C239" s="749">
        <v>2021.0</v>
      </c>
      <c r="D239" s="750">
        <v>45141.0</v>
      </c>
      <c r="E239" s="636"/>
      <c r="F239" s="159" t="s">
        <v>1444</v>
      </c>
      <c r="G239" s="159" t="s">
        <v>2239</v>
      </c>
      <c r="H239" s="749">
        <v>2021.0</v>
      </c>
      <c r="I239" s="707">
        <v>12.476</v>
      </c>
      <c r="J239" s="706"/>
      <c r="K239" s="743"/>
      <c r="L239" s="706"/>
      <c r="M239" s="706"/>
      <c r="N239" s="706"/>
      <c r="O239" s="707"/>
      <c r="P239" s="709"/>
      <c r="Q239" s="59"/>
      <c r="R239" s="61"/>
      <c r="S239" s="41"/>
      <c r="T239" s="59"/>
      <c r="Y239" s="61"/>
      <c r="Z239" s="59"/>
      <c r="AF239" s="61"/>
      <c r="AH239" s="61"/>
      <c r="AI239" s="41"/>
      <c r="AK239" s="40">
        <v>236.0</v>
      </c>
      <c r="AL239" s="719" t="s">
        <v>2240</v>
      </c>
      <c r="AM239" s="720" t="s">
        <v>2241</v>
      </c>
      <c r="AN239" s="720" t="s">
        <v>2242</v>
      </c>
      <c r="AO239" s="722">
        <v>0.225</v>
      </c>
      <c r="AP239" s="722" t="s">
        <v>2243</v>
      </c>
    </row>
    <row r="240">
      <c r="A240" s="159" t="s">
        <v>878</v>
      </c>
      <c r="B240" s="159" t="s">
        <v>1659</v>
      </c>
      <c r="C240" s="749">
        <v>2021.0</v>
      </c>
      <c r="D240" s="750">
        <v>11229.0</v>
      </c>
      <c r="E240" s="636"/>
      <c r="F240" s="159" t="s">
        <v>878</v>
      </c>
      <c r="G240" s="159" t="s">
        <v>1659</v>
      </c>
      <c r="H240" s="749">
        <v>2021.0</v>
      </c>
      <c r="I240" s="707">
        <v>23.484</v>
      </c>
      <c r="J240" s="706"/>
      <c r="K240" s="743"/>
      <c r="L240" s="706"/>
      <c r="M240" s="706"/>
      <c r="N240" s="706"/>
      <c r="O240" s="707"/>
      <c r="P240" s="709"/>
      <c r="Q240" s="59"/>
      <c r="R240" s="61"/>
      <c r="S240" s="41"/>
      <c r="T240" s="59"/>
      <c r="Y240" s="61"/>
      <c r="Z240" s="59"/>
      <c r="AF240" s="61"/>
      <c r="AH240" s="61"/>
      <c r="AI240" s="41"/>
      <c r="AK240" s="40">
        <v>237.0</v>
      </c>
      <c r="AL240" s="738" t="s">
        <v>2244</v>
      </c>
      <c r="AM240" s="738" t="s">
        <v>2245</v>
      </c>
      <c r="AN240" s="738" t="s">
        <v>2246</v>
      </c>
      <c r="AO240" s="739">
        <v>0.408</v>
      </c>
      <c r="AP240" s="739" t="s">
        <v>2247</v>
      </c>
    </row>
    <row r="241">
      <c r="A241" s="159" t="s">
        <v>879</v>
      </c>
      <c r="B241" s="159" t="s">
        <v>1660</v>
      </c>
      <c r="C241" s="749">
        <v>2021.0</v>
      </c>
      <c r="D241" s="750">
        <v>4.585378E7</v>
      </c>
      <c r="E241" s="636"/>
      <c r="F241" s="159" t="s">
        <v>879</v>
      </c>
      <c r="G241" s="159" t="s">
        <v>1660</v>
      </c>
      <c r="H241" s="749">
        <v>2021.0</v>
      </c>
      <c r="I241" s="707">
        <v>36.795</v>
      </c>
      <c r="J241" s="706"/>
      <c r="K241" s="743"/>
      <c r="L241" s="706"/>
      <c r="M241" s="706"/>
      <c r="N241" s="706"/>
      <c r="O241" s="707"/>
      <c r="P241" s="709"/>
      <c r="Q241" s="59"/>
      <c r="R241" s="61"/>
      <c r="S241" s="41"/>
      <c r="T241" s="59"/>
      <c r="Y241" s="61"/>
      <c r="Z241" s="59"/>
      <c r="AF241" s="61"/>
      <c r="AH241" s="61"/>
      <c r="AI241" s="41"/>
      <c r="AK241" s="40">
        <v>238.0</v>
      </c>
      <c r="AL241" s="719" t="s">
        <v>2248</v>
      </c>
      <c r="AM241" s="720" t="s">
        <v>1980</v>
      </c>
      <c r="AN241" s="720" t="s">
        <v>1981</v>
      </c>
      <c r="AO241" s="722">
        <v>0.114</v>
      </c>
      <c r="AP241" s="722" t="s">
        <v>1982</v>
      </c>
    </row>
    <row r="242">
      <c r="A242" s="159" t="s">
        <v>880</v>
      </c>
      <c r="B242" s="159" t="s">
        <v>1662</v>
      </c>
      <c r="C242" s="749">
        <v>2021.0</v>
      </c>
      <c r="D242" s="750">
        <v>4.3531424E7</v>
      </c>
      <c r="E242" s="636"/>
      <c r="F242" s="159" t="s">
        <v>880</v>
      </c>
      <c r="G242" s="159" t="s">
        <v>1662</v>
      </c>
      <c r="H242" s="749">
        <v>2021.0</v>
      </c>
      <c r="I242" s="707">
        <v>7.721</v>
      </c>
      <c r="J242" s="706"/>
      <c r="K242" s="743"/>
      <c r="L242" s="706"/>
      <c r="M242" s="706"/>
      <c r="N242" s="706"/>
      <c r="O242" s="707"/>
      <c r="P242" s="709"/>
      <c r="Q242" s="59"/>
      <c r="R242" s="61"/>
      <c r="S242" s="41"/>
      <c r="T242" s="59"/>
      <c r="Y242" s="61"/>
      <c r="Z242" s="59"/>
      <c r="AF242" s="61"/>
      <c r="AH242" s="61"/>
      <c r="AI242" s="41"/>
      <c r="AK242" s="40">
        <v>239.0</v>
      </c>
      <c r="AL242" s="738" t="s">
        <v>2249</v>
      </c>
      <c r="AM242" s="738" t="s">
        <v>1980</v>
      </c>
      <c r="AN242" s="738" t="s">
        <v>1981</v>
      </c>
      <c r="AO242" s="739">
        <v>0.114</v>
      </c>
      <c r="AP242" s="739" t="s">
        <v>1982</v>
      </c>
    </row>
    <row r="243">
      <c r="A243" s="159" t="s">
        <v>881</v>
      </c>
      <c r="B243" s="159" t="s">
        <v>1663</v>
      </c>
      <c r="C243" s="749">
        <v>2021.0</v>
      </c>
      <c r="D243" s="750">
        <v>9365149.0</v>
      </c>
      <c r="E243" s="636"/>
      <c r="F243" s="159" t="s">
        <v>881</v>
      </c>
      <c r="G243" s="159" t="s">
        <v>1663</v>
      </c>
      <c r="H243" s="749">
        <v>2021.0</v>
      </c>
      <c r="I243" s="707">
        <v>10.307</v>
      </c>
      <c r="J243" s="706"/>
      <c r="K243" s="743"/>
      <c r="L243" s="706"/>
      <c r="M243" s="706"/>
      <c r="N243" s="706"/>
      <c r="O243" s="707"/>
      <c r="P243" s="709"/>
      <c r="Q243" s="59"/>
      <c r="R243" s="61"/>
      <c r="S243" s="41"/>
      <c r="T243" s="59"/>
      <c r="Y243" s="61"/>
      <c r="Z243" s="59"/>
      <c r="AF243" s="61"/>
      <c r="AH243" s="61"/>
      <c r="AI243" s="41"/>
      <c r="AK243" s="40">
        <v>240.0</v>
      </c>
      <c r="AL243" s="719" t="s">
        <v>2250</v>
      </c>
      <c r="AM243" s="720" t="s">
        <v>1980</v>
      </c>
      <c r="AN243" s="720" t="s">
        <v>1981</v>
      </c>
      <c r="AO243" s="722">
        <v>0.114</v>
      </c>
      <c r="AP243" s="722" t="s">
        <v>1982</v>
      </c>
    </row>
    <row r="244">
      <c r="A244" s="159" t="s">
        <v>882</v>
      </c>
      <c r="B244" s="159" t="s">
        <v>1665</v>
      </c>
      <c r="C244" s="749">
        <v>2021.0</v>
      </c>
      <c r="D244" s="750">
        <v>6.728104E7</v>
      </c>
      <c r="E244" s="636"/>
      <c r="F244" s="159" t="s">
        <v>882</v>
      </c>
      <c r="G244" s="159" t="s">
        <v>1665</v>
      </c>
      <c r="H244" s="749">
        <v>2021.0</v>
      </c>
      <c r="I244" s="707">
        <v>10.081</v>
      </c>
      <c r="J244" s="706"/>
      <c r="K244" s="743"/>
      <c r="L244" s="706"/>
      <c r="M244" s="706"/>
      <c r="N244" s="706"/>
      <c r="O244" s="707"/>
      <c r="P244" s="709"/>
      <c r="Q244" s="59"/>
      <c r="R244" s="61"/>
      <c r="S244" s="41"/>
      <c r="T244" s="59"/>
      <c r="Y244" s="61"/>
      <c r="Z244" s="59"/>
      <c r="AF244" s="61"/>
      <c r="AH244" s="61"/>
      <c r="AI244" s="41"/>
      <c r="AK244" s="40">
        <v>241.0</v>
      </c>
      <c r="AL244" s="738" t="s">
        <v>2251</v>
      </c>
      <c r="AM244" s="738" t="s">
        <v>1980</v>
      </c>
      <c r="AN244" s="738" t="s">
        <v>1981</v>
      </c>
      <c r="AO244" s="739">
        <v>0.114</v>
      </c>
      <c r="AP244" s="739" t="s">
        <v>1982</v>
      </c>
    </row>
    <row r="245">
      <c r="A245" s="159" t="s">
        <v>883</v>
      </c>
      <c r="B245" s="159" t="s">
        <v>1669</v>
      </c>
      <c r="C245" s="749">
        <v>2021.0</v>
      </c>
      <c r="D245" s="750">
        <v>3.36997632E8</v>
      </c>
      <c r="E245" s="636"/>
      <c r="F245" s="159" t="s">
        <v>883</v>
      </c>
      <c r="G245" s="159" t="s">
        <v>1669</v>
      </c>
      <c r="H245" s="749">
        <v>2021.0</v>
      </c>
      <c r="I245" s="707">
        <v>11.056</v>
      </c>
      <c r="J245" s="706"/>
      <c r="K245" s="743"/>
      <c r="L245" s="706"/>
      <c r="M245" s="706"/>
      <c r="N245" s="706"/>
      <c r="O245" s="707"/>
      <c r="P245" s="709"/>
      <c r="Q245" s="59"/>
      <c r="R245" s="61"/>
      <c r="S245" s="41"/>
      <c r="T245" s="59"/>
      <c r="Y245" s="61"/>
      <c r="Z245" s="59"/>
      <c r="AF245" s="61"/>
      <c r="AH245" s="61"/>
      <c r="AI245" s="41"/>
      <c r="AK245" s="40">
        <v>242.0</v>
      </c>
      <c r="AL245" s="719" t="s">
        <v>2252</v>
      </c>
      <c r="AM245" s="720" t="s">
        <v>1770</v>
      </c>
      <c r="AN245" s="720" t="s">
        <v>1744</v>
      </c>
      <c r="AO245" s="722" t="s">
        <v>1728</v>
      </c>
      <c r="AP245" s="723"/>
    </row>
    <row r="246">
      <c r="A246" s="159" t="s">
        <v>1450</v>
      </c>
      <c r="B246" s="159" t="s">
        <v>2253</v>
      </c>
      <c r="C246" s="749">
        <v>2021.0</v>
      </c>
      <c r="D246" s="750">
        <v>100100.0</v>
      </c>
      <c r="E246" s="636"/>
      <c r="F246" s="159" t="s">
        <v>1450</v>
      </c>
      <c r="G246" s="159" t="s">
        <v>2253</v>
      </c>
      <c r="H246" s="749">
        <v>2021.0</v>
      </c>
      <c r="I246" s="707">
        <v>11.444</v>
      </c>
      <c r="J246" s="706"/>
      <c r="K246" s="743"/>
      <c r="L246" s="706"/>
      <c r="M246" s="706"/>
      <c r="N246" s="706"/>
      <c r="O246" s="707"/>
      <c r="P246" s="709"/>
      <c r="Q246" s="59"/>
      <c r="R246" s="61"/>
      <c r="S246" s="41"/>
      <c r="T246" s="59"/>
      <c r="Y246" s="61"/>
      <c r="Z246" s="59"/>
      <c r="AF246" s="61"/>
      <c r="AH246" s="61"/>
      <c r="AI246" s="41"/>
      <c r="AK246" s="40">
        <v>243.0</v>
      </c>
      <c r="AL246" s="738" t="s">
        <v>2252</v>
      </c>
      <c r="AM246" s="738" t="s">
        <v>1770</v>
      </c>
      <c r="AN246" s="738" t="s">
        <v>1744</v>
      </c>
      <c r="AO246" s="739" t="s">
        <v>1728</v>
      </c>
      <c r="AP246" s="740"/>
    </row>
    <row r="247">
      <c r="A247" s="438" t="s">
        <v>2254</v>
      </c>
      <c r="B247" s="159"/>
      <c r="C247" s="749">
        <v>2021.0</v>
      </c>
      <c r="D247" s="750">
        <v>2.548718303E9</v>
      </c>
      <c r="E247" s="636"/>
      <c r="F247" s="438" t="s">
        <v>2254</v>
      </c>
      <c r="G247" s="159"/>
      <c r="H247" s="749">
        <v>2021.0</v>
      </c>
      <c r="I247" s="707">
        <v>10.584</v>
      </c>
      <c r="J247" s="706"/>
      <c r="K247" s="743"/>
      <c r="L247" s="706"/>
      <c r="M247" s="706"/>
      <c r="N247" s="706"/>
      <c r="O247" s="707"/>
      <c r="P247" s="709"/>
      <c r="Q247" s="59"/>
      <c r="R247" s="61"/>
      <c r="S247" s="41"/>
      <c r="T247" s="59"/>
      <c r="Y247" s="61"/>
      <c r="Z247" s="59"/>
      <c r="AF247" s="61"/>
      <c r="AH247" s="61"/>
      <c r="AI247" s="41"/>
      <c r="AK247" s="40">
        <v>244.0</v>
      </c>
      <c r="AL247" s="719" t="s">
        <v>2252</v>
      </c>
      <c r="AM247" s="720" t="s">
        <v>1770</v>
      </c>
      <c r="AN247" s="720" t="s">
        <v>1744</v>
      </c>
      <c r="AO247" s="722" t="s">
        <v>1728</v>
      </c>
      <c r="AP247" s="723"/>
    </row>
    <row r="248">
      <c r="A248" s="159" t="s">
        <v>884</v>
      </c>
      <c r="B248" s="159" t="s">
        <v>1670</v>
      </c>
      <c r="C248" s="749">
        <v>2021.0</v>
      </c>
      <c r="D248" s="750">
        <v>3426265.0</v>
      </c>
      <c r="E248" s="636"/>
      <c r="F248" s="159" t="s">
        <v>884</v>
      </c>
      <c r="G248" s="159" t="s">
        <v>1670</v>
      </c>
      <c r="H248" s="749">
        <v>2021.0</v>
      </c>
      <c r="I248" s="707">
        <v>10.473</v>
      </c>
      <c r="J248" s="706"/>
      <c r="K248" s="743"/>
      <c r="L248" s="706"/>
      <c r="M248" s="706"/>
      <c r="N248" s="706"/>
      <c r="O248" s="707"/>
      <c r="P248" s="709"/>
      <c r="Q248" s="59"/>
      <c r="R248" s="61"/>
      <c r="S248" s="41"/>
      <c r="T248" s="59"/>
      <c r="Y248" s="61"/>
      <c r="Z248" s="59"/>
      <c r="AF248" s="61"/>
      <c r="AH248" s="61"/>
      <c r="AI248" s="41"/>
      <c r="AK248" s="40">
        <v>245.0</v>
      </c>
      <c r="AL248" s="738" t="s">
        <v>2255</v>
      </c>
      <c r="AM248" s="738" t="s">
        <v>2113</v>
      </c>
      <c r="AN248" s="738" t="s">
        <v>2114</v>
      </c>
      <c r="AO248" s="739">
        <v>0.011</v>
      </c>
      <c r="AP248" s="739" t="s">
        <v>2107</v>
      </c>
    </row>
    <row r="249">
      <c r="A249" s="159" t="s">
        <v>885</v>
      </c>
      <c r="B249" s="159" t="s">
        <v>1672</v>
      </c>
      <c r="C249" s="749">
        <v>2021.0</v>
      </c>
      <c r="D249" s="750">
        <v>3.4081452E7</v>
      </c>
      <c r="E249" s="636"/>
      <c r="F249" s="159" t="s">
        <v>885</v>
      </c>
      <c r="G249" s="159" t="s">
        <v>1672</v>
      </c>
      <c r="H249" s="749">
        <v>2021.0</v>
      </c>
      <c r="I249" s="707">
        <v>23.551</v>
      </c>
      <c r="J249" s="706"/>
      <c r="K249" s="743"/>
      <c r="L249" s="706"/>
      <c r="M249" s="706"/>
      <c r="N249" s="706"/>
      <c r="O249" s="707"/>
      <c r="P249" s="709"/>
      <c r="Q249" s="59"/>
      <c r="R249" s="61"/>
      <c r="S249" s="41"/>
      <c r="T249" s="59"/>
      <c r="Y249" s="61"/>
      <c r="Z249" s="59"/>
      <c r="AF249" s="61"/>
      <c r="AH249" s="61"/>
      <c r="AI249" s="41"/>
      <c r="AK249" s="40">
        <v>246.0</v>
      </c>
      <c r="AL249" s="719" t="s">
        <v>2256</v>
      </c>
      <c r="AM249" s="720" t="s">
        <v>2024</v>
      </c>
      <c r="AN249" s="720" t="s">
        <v>2025</v>
      </c>
      <c r="AO249" s="722">
        <v>0.067</v>
      </c>
      <c r="AP249" s="722" t="s">
        <v>2026</v>
      </c>
    </row>
    <row r="250">
      <c r="A250" s="159" t="s">
        <v>886</v>
      </c>
      <c r="B250" s="159" t="s">
        <v>1674</v>
      </c>
      <c r="C250" s="749">
        <v>2021.0</v>
      </c>
      <c r="D250" s="750">
        <v>319146.0</v>
      </c>
      <c r="E250" s="636"/>
      <c r="F250" s="159" t="s">
        <v>886</v>
      </c>
      <c r="G250" s="159" t="s">
        <v>1674</v>
      </c>
      <c r="H250" s="749">
        <v>2021.0</v>
      </c>
      <c r="I250" s="707">
        <v>29.438</v>
      </c>
      <c r="J250" s="706"/>
      <c r="K250" s="743"/>
      <c r="L250" s="706"/>
      <c r="M250" s="706"/>
      <c r="N250" s="706"/>
      <c r="O250" s="707"/>
      <c r="P250" s="709"/>
      <c r="Q250" s="59"/>
      <c r="R250" s="61"/>
      <c r="S250" s="41"/>
      <c r="T250" s="59"/>
      <c r="Y250" s="61"/>
      <c r="Z250" s="59"/>
      <c r="AF250" s="61"/>
      <c r="AH250" s="61"/>
      <c r="AI250" s="41"/>
      <c r="AK250" s="40">
        <v>247.0</v>
      </c>
      <c r="AL250" s="738" t="s">
        <v>2257</v>
      </c>
      <c r="AM250" s="738" t="s">
        <v>1952</v>
      </c>
      <c r="AN250" s="738" t="s">
        <v>1953</v>
      </c>
      <c r="AO250" s="739">
        <v>0.133</v>
      </c>
      <c r="AP250" s="739" t="s">
        <v>1954</v>
      </c>
    </row>
    <row r="251">
      <c r="A251" s="159" t="s">
        <v>887</v>
      </c>
      <c r="B251" s="159" t="s">
        <v>1676</v>
      </c>
      <c r="C251" s="749">
        <v>2021.0</v>
      </c>
      <c r="D251" s="750">
        <v>2.8199862E7</v>
      </c>
      <c r="E251" s="636"/>
      <c r="F251" s="159" t="s">
        <v>2258</v>
      </c>
      <c r="G251" s="159" t="s">
        <v>2259</v>
      </c>
      <c r="H251" s="749">
        <v>2021.0</v>
      </c>
      <c r="I251" s="707">
        <v>4.142</v>
      </c>
      <c r="J251" s="706"/>
      <c r="K251" s="743"/>
      <c r="L251" s="706"/>
      <c r="M251" s="706"/>
      <c r="N251" s="706"/>
      <c r="O251" s="707"/>
      <c r="P251" s="709"/>
      <c r="Q251" s="59"/>
      <c r="R251" s="61"/>
      <c r="S251" s="41"/>
      <c r="T251" s="59"/>
      <c r="Y251" s="61"/>
      <c r="Z251" s="59"/>
      <c r="AF251" s="61"/>
      <c r="AH251" s="61"/>
      <c r="AI251" s="41"/>
      <c r="AK251" s="40">
        <v>248.0</v>
      </c>
      <c r="AL251" s="719" t="s">
        <v>2260</v>
      </c>
      <c r="AM251" s="720" t="s">
        <v>2199</v>
      </c>
      <c r="AN251" s="720" t="s">
        <v>2200</v>
      </c>
      <c r="AO251" s="722">
        <v>0.219</v>
      </c>
      <c r="AP251" s="722" t="s">
        <v>2201</v>
      </c>
    </row>
    <row r="252">
      <c r="A252" s="159" t="s">
        <v>888</v>
      </c>
      <c r="B252" s="159" t="s">
        <v>1679</v>
      </c>
      <c r="C252" s="749">
        <v>2021.0</v>
      </c>
      <c r="D252" s="750">
        <v>9.7468024E7</v>
      </c>
      <c r="E252" s="636"/>
      <c r="F252" s="159" t="s">
        <v>887</v>
      </c>
      <c r="G252" s="159" t="s">
        <v>1676</v>
      </c>
      <c r="H252" s="749">
        <v>2021.0</v>
      </c>
      <c r="I252" s="707">
        <v>15.877</v>
      </c>
      <c r="J252" s="706"/>
      <c r="K252" s="743"/>
      <c r="L252" s="706"/>
      <c r="M252" s="706"/>
      <c r="N252" s="706"/>
      <c r="O252" s="707"/>
      <c r="P252" s="709"/>
      <c r="Q252" s="59"/>
      <c r="R252" s="61"/>
      <c r="S252" s="41"/>
      <c r="T252" s="59"/>
      <c r="Y252" s="61"/>
      <c r="Z252" s="59"/>
      <c r="AF252" s="61"/>
      <c r="AH252" s="61"/>
      <c r="AI252" s="41"/>
      <c r="AK252" s="40">
        <v>249.0</v>
      </c>
      <c r="AL252" s="738" t="s">
        <v>2261</v>
      </c>
      <c r="AM252" s="738" t="s">
        <v>1873</v>
      </c>
      <c r="AN252" s="738" t="s">
        <v>1874</v>
      </c>
      <c r="AO252" s="739">
        <v>0.296</v>
      </c>
      <c r="AP252" s="739" t="s">
        <v>1875</v>
      </c>
    </row>
    <row r="253">
      <c r="A253" s="159" t="s">
        <v>1465</v>
      </c>
      <c r="B253" s="159" t="s">
        <v>2262</v>
      </c>
      <c r="C253" s="749">
        <v>2021.0</v>
      </c>
      <c r="D253" s="750">
        <v>11654.0</v>
      </c>
      <c r="E253" s="636"/>
      <c r="F253" s="159" t="s">
        <v>888</v>
      </c>
      <c r="G253" s="159" t="s">
        <v>1679</v>
      </c>
      <c r="H253" s="749">
        <v>2021.0</v>
      </c>
      <c r="I253" s="707">
        <v>15.008</v>
      </c>
      <c r="J253" s="706"/>
      <c r="K253" s="743"/>
      <c r="L253" s="706"/>
      <c r="M253" s="706"/>
      <c r="N253" s="706"/>
      <c r="O253" s="707"/>
      <c r="P253" s="709"/>
      <c r="Q253" s="59"/>
      <c r="R253" s="61"/>
      <c r="S253" s="41"/>
      <c r="T253" s="59"/>
      <c r="Y253" s="61"/>
      <c r="Z253" s="59"/>
      <c r="AF253" s="61"/>
      <c r="AH253" s="61"/>
      <c r="AI253" s="41"/>
      <c r="AK253" s="40">
        <v>250.0</v>
      </c>
      <c r="AL253" s="719" t="s">
        <v>2263</v>
      </c>
      <c r="AM253" s="720" t="s">
        <v>1763</v>
      </c>
      <c r="AN253" s="720" t="s">
        <v>1744</v>
      </c>
      <c r="AO253" s="722" t="s">
        <v>1728</v>
      </c>
      <c r="AP253" s="723"/>
    </row>
    <row r="254">
      <c r="A254" s="159" t="s">
        <v>1473</v>
      </c>
      <c r="B254" s="159" t="s">
        <v>2264</v>
      </c>
      <c r="C254" s="749">
        <v>2021.0</v>
      </c>
      <c r="D254" s="750">
        <v>565590.0</v>
      </c>
      <c r="E254" s="636"/>
      <c r="F254" s="159" t="s">
        <v>1465</v>
      </c>
      <c r="G254" s="159" t="s">
        <v>2262</v>
      </c>
      <c r="H254" s="749">
        <v>2021.0</v>
      </c>
      <c r="I254" s="707">
        <v>11.816</v>
      </c>
      <c r="J254" s="706"/>
      <c r="K254" s="743"/>
      <c r="L254" s="706"/>
      <c r="M254" s="706"/>
      <c r="N254" s="706"/>
      <c r="O254" s="707"/>
      <c r="P254" s="709"/>
      <c r="Q254" s="59"/>
      <c r="R254" s="61"/>
      <c r="S254" s="41"/>
      <c r="T254" s="59"/>
      <c r="Y254" s="61"/>
      <c r="Z254" s="59"/>
      <c r="AF254" s="61"/>
      <c r="AH254" s="61"/>
      <c r="AI254" s="41"/>
      <c r="AK254" s="40">
        <v>251.0</v>
      </c>
      <c r="AL254" s="738" t="s">
        <v>2263</v>
      </c>
      <c r="AM254" s="738" t="s">
        <v>1763</v>
      </c>
      <c r="AN254" s="738" t="s">
        <v>1744</v>
      </c>
      <c r="AO254" s="739" t="s">
        <v>1728</v>
      </c>
      <c r="AP254" s="740"/>
    </row>
    <row r="255">
      <c r="A255" s="159" t="s">
        <v>889</v>
      </c>
      <c r="B255" s="159" t="s">
        <v>2265</v>
      </c>
      <c r="C255" s="749">
        <v>2021.0</v>
      </c>
      <c r="D255" s="750">
        <v>7.909295104E9</v>
      </c>
      <c r="E255" s="636"/>
      <c r="F255" s="159" t="s">
        <v>1473</v>
      </c>
      <c r="G255" s="159" t="s">
        <v>2264</v>
      </c>
      <c r="H255" s="749">
        <v>2021.0</v>
      </c>
      <c r="I255" s="707">
        <v>16.781</v>
      </c>
      <c r="J255" s="706"/>
      <c r="K255" s="743"/>
      <c r="L255" s="706"/>
      <c r="M255" s="706"/>
      <c r="N255" s="706"/>
      <c r="O255" s="707"/>
      <c r="P255" s="709"/>
      <c r="Q255" s="59"/>
      <c r="R255" s="61"/>
      <c r="S255" s="41"/>
      <c r="T255" s="59"/>
      <c r="Y255" s="61"/>
      <c r="Z255" s="59"/>
      <c r="AF255" s="61"/>
      <c r="AH255" s="61"/>
      <c r="AI255" s="41"/>
      <c r="AK255" s="40">
        <v>252.0</v>
      </c>
      <c r="AL255" s="719" t="s">
        <v>2266</v>
      </c>
      <c r="AM255" s="720" t="s">
        <v>2050</v>
      </c>
      <c r="AN255" s="720" t="s">
        <v>2051</v>
      </c>
      <c r="AO255" s="722">
        <v>0.051</v>
      </c>
      <c r="AP255" s="722" t="s">
        <v>2052</v>
      </c>
    </row>
    <row r="256">
      <c r="A256" s="159" t="s">
        <v>890</v>
      </c>
      <c r="B256" s="159" t="s">
        <v>1682</v>
      </c>
      <c r="C256" s="749">
        <v>2021.0</v>
      </c>
      <c r="D256" s="750">
        <v>3.2981644E7</v>
      </c>
      <c r="E256" s="636"/>
      <c r="F256" s="159" t="s">
        <v>889</v>
      </c>
      <c r="G256" s="159" t="s">
        <v>2265</v>
      </c>
      <c r="H256" s="749">
        <v>2021.0</v>
      </c>
      <c r="I256" s="707">
        <v>16.94</v>
      </c>
      <c r="J256" s="706"/>
      <c r="K256" s="743"/>
      <c r="L256" s="706"/>
      <c r="M256" s="706"/>
      <c r="N256" s="706"/>
      <c r="O256" s="707"/>
      <c r="P256" s="709"/>
      <c r="Q256" s="59"/>
      <c r="R256" s="61"/>
      <c r="S256" s="41"/>
      <c r="T256" s="59"/>
      <c r="Y256" s="61"/>
      <c r="Z256" s="59"/>
      <c r="AF256" s="61"/>
      <c r="AH256" s="61"/>
      <c r="AI256" s="41"/>
      <c r="AK256" s="40">
        <v>253.0</v>
      </c>
      <c r="AL256" s="738" t="s">
        <v>2267</v>
      </c>
      <c r="AM256" s="738" t="s">
        <v>2156</v>
      </c>
      <c r="AN256" s="745"/>
      <c r="AO256" s="739">
        <v>0.0</v>
      </c>
      <c r="AP256" s="739" t="s">
        <v>2157</v>
      </c>
    </row>
    <row r="257">
      <c r="A257" s="159" t="s">
        <v>891</v>
      </c>
      <c r="B257" s="159" t="s">
        <v>1684</v>
      </c>
      <c r="C257" s="749">
        <v>2021.0</v>
      </c>
      <c r="D257" s="750">
        <v>1.9473132E7</v>
      </c>
      <c r="E257" s="636"/>
      <c r="F257" s="159" t="s">
        <v>890</v>
      </c>
      <c r="G257" s="159" t="s">
        <v>1682</v>
      </c>
      <c r="H257" s="749">
        <v>2021.0</v>
      </c>
      <c r="I257" s="707">
        <v>30.544</v>
      </c>
      <c r="J257" s="706"/>
      <c r="K257" s="743"/>
      <c r="L257" s="706"/>
      <c r="M257" s="706"/>
      <c r="N257" s="706"/>
      <c r="O257" s="707"/>
      <c r="P257" s="709"/>
      <c r="Q257" s="59"/>
      <c r="R257" s="61"/>
      <c r="S257" s="41"/>
      <c r="T257" s="59"/>
      <c r="Y257" s="61"/>
      <c r="Z257" s="59"/>
      <c r="AF257" s="61"/>
      <c r="AH257" s="61"/>
      <c r="AI257" s="41"/>
      <c r="AK257" s="40">
        <v>254.0</v>
      </c>
      <c r="AL257" s="719" t="s">
        <v>2268</v>
      </c>
      <c r="AM257" s="720" t="s">
        <v>2269</v>
      </c>
      <c r="AN257" s="720" t="s">
        <v>2270</v>
      </c>
      <c r="AO257" s="722">
        <v>0.079</v>
      </c>
      <c r="AP257" s="722" t="s">
        <v>2271</v>
      </c>
    </row>
    <row r="258">
      <c r="A258" s="159" t="s">
        <v>892</v>
      </c>
      <c r="B258" s="159" t="s">
        <v>1686</v>
      </c>
      <c r="C258" s="749">
        <v>2021.0</v>
      </c>
      <c r="D258" s="750">
        <v>1.5993525E7</v>
      </c>
      <c r="E258" s="636"/>
      <c r="F258" s="159" t="s">
        <v>891</v>
      </c>
      <c r="G258" s="159" t="s">
        <v>1684</v>
      </c>
      <c r="H258" s="749">
        <v>2021.0</v>
      </c>
      <c r="I258" s="707">
        <v>34.511</v>
      </c>
      <c r="J258" s="706"/>
      <c r="K258" s="743"/>
      <c r="L258" s="706"/>
      <c r="M258" s="706"/>
      <c r="N258" s="706"/>
      <c r="O258" s="707"/>
      <c r="P258" s="709"/>
      <c r="Q258" s="59"/>
      <c r="R258" s="61"/>
      <c r="S258" s="41"/>
      <c r="T258" s="59"/>
      <c r="Y258" s="61"/>
      <c r="Z258" s="59"/>
      <c r="AF258" s="61"/>
      <c r="AH258" s="61"/>
      <c r="AI258" s="41"/>
      <c r="AK258" s="40">
        <v>255.0</v>
      </c>
      <c r="AL258" s="738" t="s">
        <v>2272</v>
      </c>
      <c r="AM258" s="738" t="s">
        <v>2077</v>
      </c>
      <c r="AN258" s="738" t="s">
        <v>2078</v>
      </c>
      <c r="AO258" s="739">
        <v>0.027</v>
      </c>
      <c r="AP258" s="739" t="s">
        <v>2075</v>
      </c>
    </row>
    <row r="259">
      <c r="A259" s="159"/>
      <c r="B259" s="636"/>
      <c r="C259" s="159"/>
      <c r="D259" s="636"/>
      <c r="E259" s="636"/>
      <c r="F259" s="159" t="s">
        <v>892</v>
      </c>
      <c r="G259" s="159" t="s">
        <v>1686</v>
      </c>
      <c r="H259" s="749">
        <v>2021.0</v>
      </c>
      <c r="I259" s="707">
        <v>30.537</v>
      </c>
      <c r="J259" s="706"/>
      <c r="K259" s="743"/>
      <c r="L259" s="706"/>
      <c r="M259" s="706"/>
      <c r="N259" s="706"/>
      <c r="O259" s="707"/>
      <c r="P259" s="709"/>
      <c r="Q259" s="59"/>
      <c r="R259" s="61"/>
      <c r="S259" s="41"/>
      <c r="T259" s="59"/>
      <c r="Y259" s="61"/>
      <c r="Z259" s="59"/>
      <c r="AF259" s="61"/>
      <c r="AH259" s="61"/>
      <c r="AI259" s="41"/>
      <c r="AK259" s="40">
        <v>256.0</v>
      </c>
      <c r="AL259" s="719" t="s">
        <v>2273</v>
      </c>
      <c r="AM259" s="720" t="s">
        <v>1727</v>
      </c>
      <c r="AN259" s="721"/>
      <c r="AO259" s="722" t="s">
        <v>1728</v>
      </c>
      <c r="AP259" s="723"/>
    </row>
    <row r="260">
      <c r="A260" s="159"/>
      <c r="B260" s="636"/>
      <c r="C260" s="159"/>
      <c r="D260" s="636"/>
      <c r="E260" s="636"/>
      <c r="F260" s="159"/>
      <c r="G260" s="159"/>
      <c r="H260" s="159"/>
      <c r="I260" s="668"/>
      <c r="J260" s="157"/>
      <c r="K260" s="708"/>
      <c r="L260" s="157"/>
      <c r="M260" s="157"/>
      <c r="N260" s="157"/>
      <c r="O260" s="668"/>
      <c r="P260" s="709"/>
      <c r="Q260" s="59"/>
      <c r="R260" s="61"/>
      <c r="S260" s="41"/>
      <c r="T260" s="59"/>
      <c r="Y260" s="61"/>
      <c r="Z260" s="59"/>
      <c r="AF260" s="61"/>
      <c r="AH260" s="61"/>
      <c r="AI260" s="41"/>
      <c r="AK260" s="40">
        <v>257.0</v>
      </c>
      <c r="AL260" s="738" t="s">
        <v>2274</v>
      </c>
      <c r="AM260" s="738" t="s">
        <v>2150</v>
      </c>
      <c r="AN260" s="738" t="s">
        <v>2151</v>
      </c>
      <c r="AO260" s="739">
        <v>0.004</v>
      </c>
      <c r="AP260" s="739" t="s">
        <v>2152</v>
      </c>
    </row>
    <row r="261">
      <c r="A261" s="159"/>
      <c r="B261" s="636"/>
      <c r="C261" s="159"/>
      <c r="D261" s="636"/>
      <c r="E261" s="636"/>
      <c r="F261" s="159"/>
      <c r="G261" s="159"/>
      <c r="H261" s="159"/>
      <c r="I261" s="668"/>
      <c r="J261" s="157"/>
      <c r="K261" s="708"/>
      <c r="L261" s="157"/>
      <c r="M261" s="157"/>
      <c r="N261" s="157"/>
      <c r="O261" s="668"/>
      <c r="P261" s="709"/>
      <c r="Q261" s="59"/>
      <c r="R261" s="61"/>
      <c r="S261" s="41"/>
      <c r="T261" s="59"/>
      <c r="Y261" s="61"/>
      <c r="Z261" s="59"/>
      <c r="AF261" s="61"/>
      <c r="AH261" s="61"/>
      <c r="AI261" s="41"/>
      <c r="AK261" s="40">
        <v>258.0</v>
      </c>
      <c r="AL261" s="719" t="s">
        <v>2275</v>
      </c>
      <c r="AM261" s="720" t="s">
        <v>2044</v>
      </c>
      <c r="AN261" s="720" t="s">
        <v>2045</v>
      </c>
      <c r="AO261" s="722">
        <v>0.052</v>
      </c>
      <c r="AP261" s="722" t="s">
        <v>2046</v>
      </c>
    </row>
    <row r="262">
      <c r="A262" s="159"/>
      <c r="B262" s="636"/>
      <c r="C262" s="159"/>
      <c r="D262" s="636"/>
      <c r="E262" s="636"/>
      <c r="F262" s="159"/>
      <c r="G262" s="159"/>
      <c r="H262" s="159"/>
      <c r="I262" s="668"/>
      <c r="J262" s="157"/>
      <c r="K262" s="708"/>
      <c r="L262" s="157"/>
      <c r="M262" s="157"/>
      <c r="N262" s="157"/>
      <c r="O262" s="668"/>
      <c r="P262" s="709"/>
      <c r="Q262" s="59"/>
      <c r="R262" s="61"/>
      <c r="S262" s="41"/>
      <c r="T262" s="59"/>
      <c r="Y262" s="61"/>
      <c r="Z262" s="59"/>
      <c r="AF262" s="61"/>
      <c r="AH262" s="61"/>
      <c r="AI262" s="41"/>
      <c r="AK262" s="40">
        <v>259.0</v>
      </c>
      <c r="AL262" s="738" t="s">
        <v>2276</v>
      </c>
      <c r="AM262" s="738" t="s">
        <v>1940</v>
      </c>
      <c r="AN262" s="738" t="s">
        <v>1941</v>
      </c>
      <c r="AO262" s="739">
        <v>0.149</v>
      </c>
      <c r="AP262" s="739" t="s">
        <v>1942</v>
      </c>
    </row>
    <row r="263">
      <c r="A263" s="159"/>
      <c r="B263" s="636"/>
      <c r="C263" s="159"/>
      <c r="D263" s="636"/>
      <c r="E263" s="636"/>
      <c r="F263" s="159"/>
      <c r="G263" s="159"/>
      <c r="H263" s="159"/>
      <c r="I263" s="668"/>
      <c r="J263" s="157"/>
      <c r="K263" s="708"/>
      <c r="L263" s="157"/>
      <c r="M263" s="157"/>
      <c r="N263" s="157"/>
      <c r="O263" s="668"/>
      <c r="P263" s="709"/>
      <c r="Q263" s="59"/>
      <c r="R263" s="61"/>
      <c r="S263" s="41"/>
      <c r="T263" s="59"/>
      <c r="Y263" s="61"/>
      <c r="Z263" s="59"/>
      <c r="AF263" s="61"/>
      <c r="AH263" s="61"/>
      <c r="AI263" s="41"/>
      <c r="AK263" s="40">
        <v>260.0</v>
      </c>
      <c r="AL263" s="719" t="s">
        <v>2277</v>
      </c>
      <c r="AM263" s="720" t="s">
        <v>1952</v>
      </c>
      <c r="AN263" s="720" t="s">
        <v>1953</v>
      </c>
      <c r="AO263" s="722">
        <v>0.133</v>
      </c>
      <c r="AP263" s="722" t="s">
        <v>1954</v>
      </c>
    </row>
    <row r="264">
      <c r="A264" s="159"/>
      <c r="B264" s="636"/>
      <c r="C264" s="159"/>
      <c r="D264" s="636"/>
      <c r="E264" s="636"/>
      <c r="F264" s="159"/>
      <c r="G264" s="159"/>
      <c r="H264" s="159"/>
      <c r="I264" s="668"/>
      <c r="J264" s="157"/>
      <c r="K264" s="708"/>
      <c r="L264" s="157"/>
      <c r="M264" s="157"/>
      <c r="N264" s="157"/>
      <c r="O264" s="668"/>
      <c r="P264" s="709"/>
      <c r="Q264" s="59"/>
      <c r="R264" s="61"/>
      <c r="S264" s="41"/>
      <c r="T264" s="59"/>
      <c r="Y264" s="61"/>
      <c r="Z264" s="59"/>
      <c r="AF264" s="61"/>
      <c r="AH264" s="61"/>
      <c r="AI264" s="41"/>
      <c r="AK264" s="40">
        <v>261.0</v>
      </c>
      <c r="AL264" s="738" t="s">
        <v>2278</v>
      </c>
      <c r="AM264" s="738" t="s">
        <v>1952</v>
      </c>
      <c r="AN264" s="738" t="s">
        <v>1953</v>
      </c>
      <c r="AO264" s="739">
        <v>0.133</v>
      </c>
      <c r="AP264" s="739" t="s">
        <v>1954</v>
      </c>
    </row>
    <row r="265">
      <c r="A265" s="159"/>
      <c r="B265" s="636"/>
      <c r="C265" s="159"/>
      <c r="D265" s="636"/>
      <c r="E265" s="636"/>
      <c r="F265" s="159"/>
      <c r="G265" s="159"/>
      <c r="H265" s="159"/>
      <c r="I265" s="668"/>
      <c r="J265" s="157"/>
      <c r="K265" s="708"/>
      <c r="L265" s="157"/>
      <c r="M265" s="157"/>
      <c r="N265" s="157"/>
      <c r="O265" s="668"/>
      <c r="P265" s="709"/>
      <c r="Q265" s="59"/>
      <c r="R265" s="61"/>
      <c r="S265" s="41"/>
      <c r="T265" s="59"/>
      <c r="Y265" s="61"/>
      <c r="Z265" s="59"/>
      <c r="AF265" s="61"/>
      <c r="AH265" s="61"/>
      <c r="AI265" s="41"/>
      <c r="AK265" s="40">
        <v>262.0</v>
      </c>
      <c r="AL265" s="719" t="s">
        <v>2279</v>
      </c>
      <c r="AM265" s="720" t="s">
        <v>2280</v>
      </c>
      <c r="AN265" s="720" t="s">
        <v>2281</v>
      </c>
      <c r="AO265" s="722">
        <v>0.045</v>
      </c>
      <c r="AP265" s="722" t="s">
        <v>2282</v>
      </c>
    </row>
    <row r="266">
      <c r="A266" s="159"/>
      <c r="B266" s="636"/>
      <c r="C266" s="159"/>
      <c r="D266" s="636"/>
      <c r="E266" s="636"/>
      <c r="F266" s="159"/>
      <c r="G266" s="159"/>
      <c r="H266" s="159"/>
      <c r="I266" s="668"/>
      <c r="J266" s="157"/>
      <c r="K266" s="708"/>
      <c r="L266" s="157"/>
      <c r="M266" s="157"/>
      <c r="N266" s="157"/>
      <c r="O266" s="668"/>
      <c r="P266" s="709"/>
      <c r="Q266" s="59"/>
      <c r="R266" s="61"/>
      <c r="S266" s="41"/>
      <c r="T266" s="59"/>
      <c r="Y266" s="61"/>
      <c r="Z266" s="59"/>
      <c r="AF266" s="61"/>
      <c r="AH266" s="61"/>
      <c r="AI266" s="41"/>
      <c r="AK266" s="40">
        <v>263.0</v>
      </c>
      <c r="AL266" s="738" t="s">
        <v>2283</v>
      </c>
      <c r="AM266" s="738" t="s">
        <v>2284</v>
      </c>
      <c r="AN266" s="738" t="s">
        <v>2285</v>
      </c>
      <c r="AO266" s="739">
        <v>0.011</v>
      </c>
      <c r="AP266" s="739" t="s">
        <v>2286</v>
      </c>
    </row>
    <row r="267">
      <c r="A267" s="159"/>
      <c r="B267" s="636"/>
      <c r="C267" s="159"/>
      <c r="D267" s="636"/>
      <c r="E267" s="636"/>
      <c r="F267" s="159"/>
      <c r="G267" s="159"/>
      <c r="H267" s="159"/>
      <c r="I267" s="668"/>
      <c r="J267" s="157"/>
      <c r="K267" s="708"/>
      <c r="L267" s="157"/>
      <c r="M267" s="157"/>
      <c r="N267" s="157"/>
      <c r="O267" s="668"/>
      <c r="P267" s="709"/>
      <c r="Q267" s="59"/>
      <c r="R267" s="61"/>
      <c r="S267" s="41"/>
      <c r="T267" s="59"/>
      <c r="Y267" s="61"/>
      <c r="Z267" s="59"/>
      <c r="AF267" s="61"/>
      <c r="AH267" s="61"/>
      <c r="AI267" s="41"/>
      <c r="AK267" s="40">
        <v>264.0</v>
      </c>
      <c r="AL267" s="719" t="s">
        <v>2287</v>
      </c>
      <c r="AM267" s="720" t="s">
        <v>2288</v>
      </c>
      <c r="AN267" s="720" t="s">
        <v>2289</v>
      </c>
      <c r="AO267" s="722">
        <v>0.043</v>
      </c>
      <c r="AP267" s="722" t="s">
        <v>2290</v>
      </c>
    </row>
    <row r="268">
      <c r="A268" s="159"/>
      <c r="B268" s="636"/>
      <c r="C268" s="159"/>
      <c r="D268" s="636"/>
      <c r="E268" s="636"/>
      <c r="F268" s="159"/>
      <c r="G268" s="159"/>
      <c r="H268" s="159"/>
      <c r="I268" s="668"/>
      <c r="J268" s="157"/>
      <c r="K268" s="708"/>
      <c r="L268" s="157"/>
      <c r="M268" s="157"/>
      <c r="N268" s="157"/>
      <c r="O268" s="668"/>
      <c r="P268" s="709"/>
      <c r="Q268" s="59"/>
      <c r="R268" s="61"/>
      <c r="S268" s="41"/>
      <c r="T268" s="59"/>
      <c r="Y268" s="61"/>
      <c r="Z268" s="59"/>
      <c r="AF268" s="61"/>
      <c r="AH268" s="61"/>
      <c r="AI268" s="41"/>
      <c r="AK268" s="40">
        <v>265.0</v>
      </c>
      <c r="AL268" s="738" t="s">
        <v>2291</v>
      </c>
      <c r="AM268" s="738" t="s">
        <v>2116</v>
      </c>
      <c r="AN268" s="738" t="s">
        <v>2117</v>
      </c>
      <c r="AO268" s="739">
        <v>0.01</v>
      </c>
      <c r="AP268" s="739" t="s">
        <v>2118</v>
      </c>
    </row>
    <row r="269">
      <c r="A269" s="159"/>
      <c r="B269" s="636"/>
      <c r="C269" s="159"/>
      <c r="D269" s="636"/>
      <c r="E269" s="636"/>
      <c r="F269" s="159"/>
      <c r="G269" s="159"/>
      <c r="H269" s="159"/>
      <c r="I269" s="668"/>
      <c r="J269" s="157"/>
      <c r="K269" s="708"/>
      <c r="L269" s="157"/>
      <c r="M269" s="157"/>
      <c r="N269" s="157"/>
      <c r="O269" s="668"/>
      <c r="P269" s="709"/>
      <c r="Q269" s="59"/>
      <c r="R269" s="61"/>
      <c r="S269" s="41"/>
      <c r="T269" s="59"/>
      <c r="Y269" s="61"/>
      <c r="Z269" s="59"/>
      <c r="AF269" s="61"/>
      <c r="AH269" s="61"/>
      <c r="AI269" s="41"/>
      <c r="AK269" s="40">
        <v>266.0</v>
      </c>
      <c r="AL269" s="719" t="s">
        <v>2292</v>
      </c>
      <c r="AM269" s="720" t="s">
        <v>2073</v>
      </c>
      <c r="AN269" s="720" t="s">
        <v>2074</v>
      </c>
      <c r="AO269" s="722">
        <v>0.027</v>
      </c>
      <c r="AP269" s="722" t="s">
        <v>2075</v>
      </c>
    </row>
    <row r="270">
      <c r="A270" s="159"/>
      <c r="B270" s="636"/>
      <c r="C270" s="159"/>
      <c r="D270" s="636"/>
      <c r="E270" s="636"/>
      <c r="F270" s="159"/>
      <c r="G270" s="159"/>
      <c r="H270" s="159"/>
      <c r="I270" s="668"/>
      <c r="J270" s="157"/>
      <c r="K270" s="708"/>
      <c r="L270" s="157"/>
      <c r="M270" s="157"/>
      <c r="N270" s="157"/>
      <c r="O270" s="668"/>
      <c r="P270" s="709"/>
      <c r="Q270" s="59"/>
      <c r="R270" s="61"/>
      <c r="S270" s="41"/>
      <c r="T270" s="59"/>
      <c r="Y270" s="61"/>
      <c r="Z270" s="59"/>
      <c r="AF270" s="61"/>
      <c r="AH270" s="61"/>
      <c r="AI270" s="41"/>
      <c r="AK270" s="40">
        <v>267.0</v>
      </c>
      <c r="AL270" s="738" t="s">
        <v>2293</v>
      </c>
      <c r="AM270" s="738" t="s">
        <v>2294</v>
      </c>
      <c r="AN270" s="738" t="s">
        <v>2295</v>
      </c>
      <c r="AO270" s="739">
        <v>0.158</v>
      </c>
      <c r="AP270" s="739" t="s">
        <v>2296</v>
      </c>
    </row>
    <row r="271">
      <c r="A271" s="159"/>
      <c r="B271" s="636"/>
      <c r="C271" s="159"/>
      <c r="D271" s="636"/>
      <c r="E271" s="636"/>
      <c r="F271" s="159"/>
      <c r="G271" s="159"/>
      <c r="H271" s="159"/>
      <c r="I271" s="668"/>
      <c r="J271" s="157"/>
      <c r="K271" s="708"/>
      <c r="L271" s="157"/>
      <c r="M271" s="157"/>
      <c r="N271" s="157"/>
      <c r="O271" s="668"/>
      <c r="P271" s="709"/>
      <c r="Q271" s="59"/>
      <c r="R271" s="61"/>
      <c r="S271" s="41"/>
      <c r="T271" s="59"/>
      <c r="Y271" s="61"/>
      <c r="Z271" s="59"/>
      <c r="AF271" s="61"/>
      <c r="AH271" s="61"/>
      <c r="AI271" s="41"/>
      <c r="AK271" s="40">
        <v>268.0</v>
      </c>
      <c r="AL271" s="719" t="s">
        <v>2297</v>
      </c>
      <c r="AM271" s="720" t="s">
        <v>2298</v>
      </c>
      <c r="AN271" s="720" t="s">
        <v>2299</v>
      </c>
      <c r="AO271" s="722">
        <v>0.204</v>
      </c>
      <c r="AP271" s="722" t="s">
        <v>2300</v>
      </c>
    </row>
    <row r="272">
      <c r="A272" s="159"/>
      <c r="B272" s="636"/>
      <c r="C272" s="159"/>
      <c r="D272" s="636"/>
      <c r="E272" s="636"/>
      <c r="F272" s="159"/>
      <c r="G272" s="159"/>
      <c r="H272" s="159"/>
      <c r="I272" s="668"/>
      <c r="J272" s="157"/>
      <c r="K272" s="708"/>
      <c r="L272" s="157"/>
      <c r="M272" s="157"/>
      <c r="N272" s="157"/>
      <c r="O272" s="668"/>
      <c r="P272" s="709"/>
      <c r="Q272" s="59"/>
      <c r="R272" s="61"/>
      <c r="S272" s="41"/>
      <c r="T272" s="59"/>
      <c r="Y272" s="61"/>
      <c r="Z272" s="59"/>
      <c r="AF272" s="61"/>
      <c r="AH272" s="61"/>
      <c r="AI272" s="41"/>
      <c r="AK272" s="40">
        <v>269.0</v>
      </c>
      <c r="AL272" s="738" t="s">
        <v>2301</v>
      </c>
      <c r="AM272" s="738" t="s">
        <v>2302</v>
      </c>
      <c r="AN272" s="738" t="s">
        <v>2303</v>
      </c>
      <c r="AO272" s="739">
        <v>0.215</v>
      </c>
      <c r="AP272" s="739" t="s">
        <v>2304</v>
      </c>
    </row>
    <row r="273">
      <c r="A273" s="159"/>
      <c r="B273" s="636"/>
      <c r="C273" s="159"/>
      <c r="D273" s="636"/>
      <c r="E273" s="636"/>
      <c r="F273" s="159"/>
      <c r="G273" s="159"/>
      <c r="H273" s="159"/>
      <c r="I273" s="668"/>
      <c r="J273" s="157"/>
      <c r="K273" s="708"/>
      <c r="L273" s="157"/>
      <c r="M273" s="157"/>
      <c r="N273" s="157"/>
      <c r="O273" s="668"/>
      <c r="P273" s="709"/>
      <c r="Q273" s="59"/>
      <c r="R273" s="61"/>
      <c r="S273" s="41"/>
      <c r="T273" s="59"/>
      <c r="Y273" s="61"/>
      <c r="Z273" s="59"/>
      <c r="AF273" s="61"/>
      <c r="AH273" s="61"/>
      <c r="AI273" s="41"/>
      <c r="AK273" s="40">
        <v>270.0</v>
      </c>
      <c r="AL273" s="719" t="s">
        <v>2305</v>
      </c>
      <c r="AM273" s="720" t="s">
        <v>2084</v>
      </c>
      <c r="AN273" s="720" t="s">
        <v>2085</v>
      </c>
      <c r="AO273" s="722">
        <v>0.021</v>
      </c>
      <c r="AP273" s="722" t="s">
        <v>2086</v>
      </c>
    </row>
    <row r="274">
      <c r="A274" s="159"/>
      <c r="B274" s="636"/>
      <c r="C274" s="159"/>
      <c r="D274" s="636"/>
      <c r="E274" s="636"/>
      <c r="F274" s="159"/>
      <c r="G274" s="159"/>
      <c r="H274" s="159"/>
      <c r="I274" s="668"/>
      <c r="J274" s="157"/>
      <c r="K274" s="708"/>
      <c r="L274" s="157"/>
      <c r="M274" s="157"/>
      <c r="N274" s="157"/>
      <c r="O274" s="668"/>
      <c r="P274" s="709"/>
      <c r="Q274" s="59"/>
      <c r="R274" s="61"/>
      <c r="S274" s="41"/>
      <c r="T274" s="59"/>
      <c r="Y274" s="61"/>
      <c r="Z274" s="59"/>
      <c r="AF274" s="61"/>
      <c r="AH274" s="61"/>
      <c r="AI274" s="41"/>
      <c r="AK274" s="40">
        <v>271.0</v>
      </c>
      <c r="AL274" s="738" t="s">
        <v>2306</v>
      </c>
      <c r="AM274" s="738" t="s">
        <v>2010</v>
      </c>
      <c r="AN274" s="738" t="s">
        <v>2011</v>
      </c>
      <c r="AO274" s="739">
        <v>0.074</v>
      </c>
      <c r="AP274" s="739" t="s">
        <v>2012</v>
      </c>
    </row>
    <row r="275">
      <c r="A275" s="159"/>
      <c r="B275" s="636"/>
      <c r="C275" s="159"/>
      <c r="D275" s="636"/>
      <c r="E275" s="636"/>
      <c r="F275" s="159"/>
      <c r="G275" s="159"/>
      <c r="H275" s="159"/>
      <c r="I275" s="668"/>
      <c r="J275" s="157"/>
      <c r="K275" s="708"/>
      <c r="L275" s="157"/>
      <c r="M275" s="157"/>
      <c r="N275" s="157"/>
      <c r="O275" s="668"/>
      <c r="P275" s="709"/>
      <c r="Q275" s="59"/>
      <c r="R275" s="61"/>
      <c r="S275" s="41"/>
      <c r="T275" s="59"/>
      <c r="Y275" s="61"/>
      <c r="Z275" s="59"/>
      <c r="AF275" s="61"/>
      <c r="AH275" s="61"/>
      <c r="AI275" s="41"/>
      <c r="AK275" s="40">
        <v>272.0</v>
      </c>
      <c r="AL275" s="719" t="s">
        <v>2307</v>
      </c>
      <c r="AM275" s="720" t="s">
        <v>2308</v>
      </c>
      <c r="AN275" s="720" t="s">
        <v>2309</v>
      </c>
      <c r="AO275" s="722">
        <v>0.261</v>
      </c>
      <c r="AP275" s="722" t="s">
        <v>2310</v>
      </c>
    </row>
    <row r="276">
      <c r="A276" s="159"/>
      <c r="B276" s="636"/>
      <c r="C276" s="159"/>
      <c r="D276" s="636"/>
      <c r="E276" s="636"/>
      <c r="F276" s="159"/>
      <c r="G276" s="159"/>
      <c r="H276" s="159"/>
      <c r="I276" s="668"/>
      <c r="J276" s="157"/>
      <c r="K276" s="708"/>
      <c r="L276" s="157"/>
      <c r="M276" s="157"/>
      <c r="N276" s="157"/>
      <c r="O276" s="668"/>
      <c r="P276" s="709"/>
      <c r="Q276" s="59"/>
      <c r="R276" s="61"/>
      <c r="S276" s="41"/>
      <c r="T276" s="59"/>
      <c r="Y276" s="61"/>
      <c r="Z276" s="59"/>
      <c r="AF276" s="61"/>
      <c r="AH276" s="61"/>
      <c r="AI276" s="41"/>
      <c r="AK276" s="40">
        <v>273.0</v>
      </c>
      <c r="AL276" s="738" t="s">
        <v>2311</v>
      </c>
      <c r="AM276" s="738" t="s">
        <v>2312</v>
      </c>
      <c r="AN276" s="738" t="s">
        <v>2313</v>
      </c>
      <c r="AO276" s="739">
        <v>0.277</v>
      </c>
      <c r="AP276" s="739" t="s">
        <v>2314</v>
      </c>
    </row>
    <row r="277">
      <c r="A277" s="159"/>
      <c r="B277" s="636"/>
      <c r="C277" s="159"/>
      <c r="D277" s="636"/>
      <c r="E277" s="636"/>
      <c r="F277" s="159"/>
      <c r="G277" s="159"/>
      <c r="H277" s="159"/>
      <c r="I277" s="668"/>
      <c r="J277" s="157"/>
      <c r="K277" s="708"/>
      <c r="L277" s="157"/>
      <c r="M277" s="157"/>
      <c r="N277" s="157"/>
      <c r="O277" s="668"/>
      <c r="P277" s="709"/>
      <c r="Q277" s="59"/>
      <c r="R277" s="61"/>
      <c r="S277" s="41"/>
      <c r="T277" s="59"/>
      <c r="Y277" s="61"/>
      <c r="Z277" s="59"/>
      <c r="AF277" s="61"/>
      <c r="AH277" s="61"/>
      <c r="AI277" s="41"/>
      <c r="AK277" s="40">
        <v>274.0</v>
      </c>
      <c r="AL277" s="719" t="s">
        <v>2315</v>
      </c>
      <c r="AM277" s="720" t="s">
        <v>2316</v>
      </c>
      <c r="AN277" s="720" t="s">
        <v>2317</v>
      </c>
      <c r="AO277" s="722">
        <v>0.316</v>
      </c>
      <c r="AP277" s="722" t="s">
        <v>2318</v>
      </c>
    </row>
    <row r="278">
      <c r="A278" s="159"/>
      <c r="B278" s="636"/>
      <c r="C278" s="159"/>
      <c r="D278" s="636"/>
      <c r="E278" s="636"/>
      <c r="F278" s="159"/>
      <c r="G278" s="159"/>
      <c r="H278" s="159"/>
      <c r="I278" s="668"/>
      <c r="J278" s="157"/>
      <c r="K278" s="708"/>
      <c r="L278" s="157"/>
      <c r="M278" s="157"/>
      <c r="N278" s="157"/>
      <c r="O278" s="668"/>
      <c r="P278" s="709"/>
      <c r="Q278" s="59"/>
      <c r="R278" s="61"/>
      <c r="S278" s="41"/>
      <c r="T278" s="59"/>
      <c r="Y278" s="61"/>
      <c r="Z278" s="59"/>
      <c r="AF278" s="61"/>
      <c r="AH278" s="61"/>
      <c r="AI278" s="41"/>
      <c r="AK278" s="40">
        <v>275.0</v>
      </c>
      <c r="AL278" s="738" t="s">
        <v>2319</v>
      </c>
      <c r="AM278" s="738" t="s">
        <v>2184</v>
      </c>
      <c r="AN278" s="738" t="s">
        <v>2185</v>
      </c>
      <c r="AO278" s="739">
        <v>0.031</v>
      </c>
      <c r="AP278" s="739" t="s">
        <v>2186</v>
      </c>
    </row>
    <row r="279">
      <c r="A279" s="159"/>
      <c r="B279" s="636"/>
      <c r="C279" s="159"/>
      <c r="D279" s="636"/>
      <c r="E279" s="636"/>
      <c r="F279" s="159"/>
      <c r="G279" s="159"/>
      <c r="H279" s="159"/>
      <c r="I279" s="668"/>
      <c r="J279" s="157"/>
      <c r="K279" s="708"/>
      <c r="L279" s="157"/>
      <c r="M279" s="157"/>
      <c r="N279" s="157"/>
      <c r="O279" s="668"/>
      <c r="P279" s="709"/>
      <c r="Q279" s="59"/>
      <c r="R279" s="61"/>
      <c r="S279" s="41"/>
      <c r="T279" s="59"/>
      <c r="Y279" s="61"/>
      <c r="Z279" s="59"/>
      <c r="AF279" s="61"/>
      <c r="AH279" s="61"/>
      <c r="AI279" s="41"/>
      <c r="AK279" s="40">
        <v>276.0</v>
      </c>
      <c r="AL279" s="719" t="s">
        <v>2320</v>
      </c>
      <c r="AM279" s="720" t="s">
        <v>2188</v>
      </c>
      <c r="AN279" s="720" t="s">
        <v>2189</v>
      </c>
      <c r="AO279" s="722">
        <v>0.184</v>
      </c>
      <c r="AP279" s="722" t="s">
        <v>2190</v>
      </c>
    </row>
    <row r="280">
      <c r="A280" s="159"/>
      <c r="B280" s="636"/>
      <c r="C280" s="159"/>
      <c r="D280" s="636"/>
      <c r="E280" s="636"/>
      <c r="F280" s="159"/>
      <c r="G280" s="159"/>
      <c r="H280" s="159"/>
      <c r="I280" s="668"/>
      <c r="J280" s="157"/>
      <c r="K280" s="708"/>
      <c r="L280" s="157"/>
      <c r="M280" s="157"/>
      <c r="N280" s="157"/>
      <c r="O280" s="668"/>
      <c r="P280" s="709"/>
      <c r="Q280" s="59"/>
      <c r="R280" s="61"/>
      <c r="S280" s="41"/>
      <c r="T280" s="59"/>
      <c r="Y280" s="61"/>
      <c r="Z280" s="59"/>
      <c r="AF280" s="61"/>
      <c r="AH280" s="61"/>
      <c r="AI280" s="41"/>
      <c r="AK280" s="40">
        <v>277.0</v>
      </c>
      <c r="AL280" s="738" t="s">
        <v>2321</v>
      </c>
      <c r="AM280" s="738" t="s">
        <v>2192</v>
      </c>
      <c r="AN280" s="738" t="s">
        <v>2193</v>
      </c>
      <c r="AO280" s="739">
        <v>0.187</v>
      </c>
      <c r="AP280" s="739" t="s">
        <v>2194</v>
      </c>
    </row>
    <row r="281">
      <c r="A281" s="159"/>
      <c r="B281" s="636"/>
      <c r="C281" s="159"/>
      <c r="D281" s="636"/>
      <c r="E281" s="636"/>
      <c r="F281" s="159"/>
      <c r="G281" s="159"/>
      <c r="H281" s="159"/>
      <c r="I281" s="668"/>
      <c r="J281" s="157"/>
      <c r="K281" s="708"/>
      <c r="L281" s="157"/>
      <c r="M281" s="157"/>
      <c r="N281" s="157"/>
      <c r="O281" s="668"/>
      <c r="P281" s="709"/>
      <c r="Q281" s="59"/>
      <c r="R281" s="61"/>
      <c r="S281" s="41"/>
      <c r="T281" s="59"/>
      <c r="Y281" s="61"/>
      <c r="Z281" s="59"/>
      <c r="AF281" s="61"/>
      <c r="AH281" s="61"/>
      <c r="AI281" s="41"/>
      <c r="AK281" s="40">
        <v>278.0</v>
      </c>
      <c r="AL281" s="719" t="s">
        <v>2322</v>
      </c>
      <c r="AM281" s="720" t="s">
        <v>2323</v>
      </c>
      <c r="AN281" s="720" t="s">
        <v>2324</v>
      </c>
      <c r="AO281" s="722">
        <v>0.01</v>
      </c>
      <c r="AP281" s="722" t="s">
        <v>2325</v>
      </c>
    </row>
    <row r="282">
      <c r="A282" s="159"/>
      <c r="B282" s="636"/>
      <c r="C282" s="159"/>
      <c r="D282" s="636"/>
      <c r="E282" s="636"/>
      <c r="F282" s="159"/>
      <c r="G282" s="159"/>
      <c r="H282" s="159"/>
      <c r="I282" s="668"/>
      <c r="J282" s="157"/>
      <c r="K282" s="708"/>
      <c r="L282" s="157"/>
      <c r="M282" s="157"/>
      <c r="N282" s="157"/>
      <c r="O282" s="668"/>
      <c r="P282" s="709"/>
      <c r="Q282" s="59"/>
      <c r="R282" s="61"/>
      <c r="S282" s="41"/>
      <c r="T282" s="59"/>
      <c r="Y282" s="61"/>
      <c r="Z282" s="59"/>
      <c r="AF282" s="61"/>
      <c r="AH282" s="61"/>
      <c r="AI282" s="41"/>
      <c r="AK282" s="40">
        <v>279.0</v>
      </c>
      <c r="AL282" s="738" t="s">
        <v>2326</v>
      </c>
      <c r="AM282" s="738" t="s">
        <v>2033</v>
      </c>
      <c r="AN282" s="738" t="s">
        <v>2034</v>
      </c>
      <c r="AO282" s="739">
        <v>0.061</v>
      </c>
      <c r="AP282" s="739" t="s">
        <v>2035</v>
      </c>
    </row>
    <row r="283">
      <c r="A283" s="159"/>
      <c r="B283" s="636"/>
      <c r="C283" s="159"/>
      <c r="D283" s="636"/>
      <c r="E283" s="636"/>
      <c r="F283" s="159"/>
      <c r="G283" s="159"/>
      <c r="H283" s="159"/>
      <c r="I283" s="668"/>
      <c r="J283" s="157"/>
      <c r="K283" s="708"/>
      <c r="L283" s="157"/>
      <c r="M283" s="157"/>
      <c r="N283" s="157"/>
      <c r="O283" s="668"/>
      <c r="P283" s="709"/>
      <c r="Q283" s="59"/>
      <c r="R283" s="61"/>
      <c r="S283" s="41"/>
      <c r="T283" s="59"/>
      <c r="Y283" s="61"/>
      <c r="Z283" s="59"/>
      <c r="AF283" s="61"/>
      <c r="AH283" s="61"/>
      <c r="AI283" s="41"/>
      <c r="AK283" s="40">
        <v>280.0</v>
      </c>
      <c r="AL283" s="719" t="s">
        <v>2327</v>
      </c>
      <c r="AM283" s="720" t="s">
        <v>1835</v>
      </c>
      <c r="AN283" s="720" t="s">
        <v>1836</v>
      </c>
      <c r="AO283" s="722">
        <v>0.402</v>
      </c>
      <c r="AP283" s="722" t="s">
        <v>1837</v>
      </c>
    </row>
    <row r="284">
      <c r="A284" s="159"/>
      <c r="B284" s="636"/>
      <c r="C284" s="159"/>
      <c r="D284" s="636"/>
      <c r="E284" s="636"/>
      <c r="F284" s="159"/>
      <c r="G284" s="159"/>
      <c r="H284" s="159"/>
      <c r="I284" s="668"/>
      <c r="J284" s="157"/>
      <c r="K284" s="708"/>
      <c r="L284" s="157"/>
      <c r="M284" s="157"/>
      <c r="N284" s="157"/>
      <c r="O284" s="668"/>
      <c r="P284" s="709"/>
      <c r="Q284" s="59"/>
      <c r="R284" s="61"/>
      <c r="S284" s="41"/>
      <c r="T284" s="59"/>
      <c r="Y284" s="61"/>
      <c r="Z284" s="59"/>
      <c r="AF284" s="61"/>
      <c r="AH284" s="61"/>
      <c r="AI284" s="41"/>
      <c r="AK284" s="40">
        <v>281.0</v>
      </c>
      <c r="AL284" s="738" t="s">
        <v>2328</v>
      </c>
      <c r="AM284" s="738" t="s">
        <v>2329</v>
      </c>
      <c r="AN284" s="738" t="s">
        <v>2330</v>
      </c>
      <c r="AO284" s="739">
        <v>0.031</v>
      </c>
      <c r="AP284" s="739" t="s">
        <v>2331</v>
      </c>
    </row>
    <row r="285">
      <c r="A285" s="159"/>
      <c r="B285" s="636"/>
      <c r="C285" s="159"/>
      <c r="D285" s="636"/>
      <c r="E285" s="636"/>
      <c r="F285" s="159"/>
      <c r="G285" s="159"/>
      <c r="H285" s="159"/>
      <c r="I285" s="668"/>
      <c r="J285" s="157"/>
      <c r="K285" s="708"/>
      <c r="L285" s="157"/>
      <c r="M285" s="157"/>
      <c r="N285" s="157"/>
      <c r="O285" s="668"/>
      <c r="P285" s="709"/>
      <c r="Q285" s="59"/>
      <c r="R285" s="61"/>
      <c r="S285" s="41"/>
      <c r="T285" s="59"/>
      <c r="Y285" s="61"/>
      <c r="Z285" s="59"/>
      <c r="AF285" s="61"/>
      <c r="AH285" s="61"/>
      <c r="AI285" s="41"/>
      <c r="AK285" s="40">
        <v>282.0</v>
      </c>
      <c r="AL285" s="719" t="s">
        <v>2332</v>
      </c>
      <c r="AM285" s="720" t="s">
        <v>1911</v>
      </c>
      <c r="AN285" s="720" t="s">
        <v>1912</v>
      </c>
      <c r="AO285" s="722">
        <v>0.203</v>
      </c>
      <c r="AP285" s="722" t="s">
        <v>1913</v>
      </c>
    </row>
    <row r="286">
      <c r="A286" s="159"/>
      <c r="B286" s="636"/>
      <c r="C286" s="159"/>
      <c r="D286" s="636"/>
      <c r="E286" s="636"/>
      <c r="F286" s="159"/>
      <c r="G286" s="159"/>
      <c r="H286" s="159"/>
      <c r="I286" s="668"/>
      <c r="J286" s="157"/>
      <c r="K286" s="708"/>
      <c r="L286" s="157"/>
      <c r="M286" s="157"/>
      <c r="N286" s="157"/>
      <c r="O286" s="668"/>
      <c r="P286" s="709"/>
      <c r="Q286" s="59"/>
      <c r="R286" s="61"/>
      <c r="S286" s="41"/>
      <c r="T286" s="59"/>
      <c r="Y286" s="61"/>
      <c r="Z286" s="59"/>
      <c r="AF286" s="61"/>
      <c r="AH286" s="61"/>
      <c r="AI286" s="41"/>
      <c r="AK286" s="40">
        <v>283.0</v>
      </c>
      <c r="AL286" s="738" t="s">
        <v>2333</v>
      </c>
      <c r="AM286" s="738" t="s">
        <v>1793</v>
      </c>
      <c r="AN286" s="738" t="s">
        <v>1794</v>
      </c>
      <c r="AO286" s="739">
        <v>0.542</v>
      </c>
      <c r="AP286" s="739" t="s">
        <v>1795</v>
      </c>
    </row>
    <row r="287">
      <c r="A287" s="159"/>
      <c r="B287" s="636"/>
      <c r="C287" s="159"/>
      <c r="D287" s="636"/>
      <c r="E287" s="636"/>
      <c r="F287" s="159"/>
      <c r="G287" s="159"/>
      <c r="H287" s="159"/>
      <c r="I287" s="668"/>
      <c r="J287" s="157"/>
      <c r="K287" s="708"/>
      <c r="L287" s="157"/>
      <c r="M287" s="157"/>
      <c r="N287" s="157"/>
      <c r="O287" s="668"/>
      <c r="P287" s="709"/>
      <c r="Q287" s="59"/>
      <c r="R287" s="61"/>
      <c r="S287" s="41"/>
      <c r="T287" s="59"/>
      <c r="Y287" s="61"/>
      <c r="Z287" s="59"/>
      <c r="AF287" s="61"/>
      <c r="AH287" s="61"/>
      <c r="AI287" s="41"/>
      <c r="AK287" s="40">
        <v>284.0</v>
      </c>
      <c r="AL287" s="719" t="s">
        <v>2334</v>
      </c>
      <c r="AM287" s="720" t="s">
        <v>2335</v>
      </c>
      <c r="AN287" s="720" t="s">
        <v>2336</v>
      </c>
      <c r="AO287" s="722">
        <v>0.092</v>
      </c>
      <c r="AP287" s="722" t="s">
        <v>2337</v>
      </c>
    </row>
    <row r="288">
      <c r="A288" s="159"/>
      <c r="B288" s="636"/>
      <c r="C288" s="159"/>
      <c r="D288" s="636"/>
      <c r="E288" s="636"/>
      <c r="F288" s="159"/>
      <c r="G288" s="159"/>
      <c r="H288" s="159"/>
      <c r="I288" s="668"/>
      <c r="J288" s="157"/>
      <c r="K288" s="708"/>
      <c r="L288" s="157"/>
      <c r="M288" s="157"/>
      <c r="N288" s="157"/>
      <c r="O288" s="668"/>
      <c r="P288" s="709"/>
      <c r="Q288" s="59"/>
      <c r="R288" s="61"/>
      <c r="S288" s="41"/>
      <c r="T288" s="59"/>
      <c r="Y288" s="61"/>
      <c r="Z288" s="59"/>
      <c r="AF288" s="61"/>
      <c r="AH288" s="61"/>
      <c r="AI288" s="41"/>
      <c r="AK288" s="40">
        <v>285.0</v>
      </c>
      <c r="AL288" s="738" t="s">
        <v>2338</v>
      </c>
      <c r="AM288" s="738" t="s">
        <v>2339</v>
      </c>
      <c r="AN288" s="738" t="s">
        <v>2336</v>
      </c>
      <c r="AO288" s="739">
        <v>0.167</v>
      </c>
      <c r="AP288" s="739" t="s">
        <v>2340</v>
      </c>
    </row>
    <row r="289">
      <c r="A289" s="159"/>
      <c r="B289" s="636"/>
      <c r="C289" s="159"/>
      <c r="D289" s="636"/>
      <c r="E289" s="636"/>
      <c r="F289" s="159"/>
      <c r="G289" s="159"/>
      <c r="H289" s="159"/>
      <c r="I289" s="668"/>
      <c r="J289" s="157"/>
      <c r="K289" s="708"/>
      <c r="L289" s="157"/>
      <c r="M289" s="157"/>
      <c r="N289" s="157"/>
      <c r="O289" s="668"/>
      <c r="P289" s="709"/>
      <c r="Q289" s="59"/>
      <c r="R289" s="61"/>
      <c r="S289" s="41"/>
      <c r="T289" s="59"/>
      <c r="Y289" s="61"/>
      <c r="Z289" s="59"/>
      <c r="AF289" s="61"/>
      <c r="AH289" s="61"/>
      <c r="AI289" s="41"/>
      <c r="AK289" s="40">
        <v>286.0</v>
      </c>
      <c r="AL289" s="719" t="s">
        <v>2341</v>
      </c>
      <c r="AM289" s="720" t="s">
        <v>2342</v>
      </c>
      <c r="AN289" s="720" t="s">
        <v>2343</v>
      </c>
      <c r="AO289" s="722">
        <v>0.017</v>
      </c>
      <c r="AP289" s="722" t="s">
        <v>2344</v>
      </c>
    </row>
    <row r="290">
      <c r="A290" s="159"/>
      <c r="B290" s="636"/>
      <c r="C290" s="159"/>
      <c r="D290" s="636"/>
      <c r="E290" s="636"/>
      <c r="F290" s="159"/>
      <c r="G290" s="159"/>
      <c r="H290" s="159"/>
      <c r="I290" s="668"/>
      <c r="J290" s="157"/>
      <c r="K290" s="708"/>
      <c r="L290" s="157"/>
      <c r="M290" s="157"/>
      <c r="N290" s="157"/>
      <c r="O290" s="668"/>
      <c r="P290" s="709"/>
      <c r="Q290" s="59"/>
      <c r="R290" s="61"/>
      <c r="S290" s="41"/>
      <c r="T290" s="59"/>
      <c r="Y290" s="61"/>
      <c r="Z290" s="59"/>
      <c r="AF290" s="61"/>
      <c r="AH290" s="61"/>
      <c r="AI290" s="41"/>
      <c r="AK290" s="40">
        <v>287.0</v>
      </c>
      <c r="AL290" s="738" t="s">
        <v>2345</v>
      </c>
      <c r="AM290" s="738" t="s">
        <v>1770</v>
      </c>
      <c r="AN290" s="738" t="s">
        <v>1744</v>
      </c>
      <c r="AO290" s="739" t="s">
        <v>1728</v>
      </c>
      <c r="AP290" s="740"/>
    </row>
    <row r="291">
      <c r="A291" s="159"/>
      <c r="B291" s="636"/>
      <c r="C291" s="159"/>
      <c r="D291" s="636"/>
      <c r="E291" s="636"/>
      <c r="F291" s="159"/>
      <c r="G291" s="159"/>
      <c r="H291" s="159"/>
      <c r="I291" s="668"/>
      <c r="J291" s="157"/>
      <c r="K291" s="708"/>
      <c r="L291" s="157"/>
      <c r="M291" s="157"/>
      <c r="N291" s="157"/>
      <c r="O291" s="668"/>
      <c r="P291" s="709"/>
      <c r="Q291" s="59"/>
      <c r="R291" s="61"/>
      <c r="S291" s="41"/>
      <c r="T291" s="59"/>
      <c r="Y291" s="61"/>
      <c r="Z291" s="59"/>
      <c r="AF291" s="61"/>
      <c r="AH291" s="61"/>
      <c r="AI291" s="41"/>
      <c r="AK291" s="40">
        <v>288.0</v>
      </c>
      <c r="AL291" s="719" t="s">
        <v>2345</v>
      </c>
      <c r="AM291" s="720" t="s">
        <v>1770</v>
      </c>
      <c r="AN291" s="720" t="s">
        <v>1744</v>
      </c>
      <c r="AO291" s="722" t="s">
        <v>1728</v>
      </c>
      <c r="AP291" s="723"/>
    </row>
    <row r="292">
      <c r="A292" s="159"/>
      <c r="B292" s="636"/>
      <c r="C292" s="159"/>
      <c r="D292" s="636"/>
      <c r="E292" s="636"/>
      <c r="F292" s="159"/>
      <c r="G292" s="159"/>
      <c r="H292" s="159"/>
      <c r="I292" s="668"/>
      <c r="J292" s="157"/>
      <c r="K292" s="708"/>
      <c r="L292" s="157"/>
      <c r="M292" s="157"/>
      <c r="N292" s="157"/>
      <c r="O292" s="668"/>
      <c r="P292" s="709"/>
      <c r="Q292" s="59"/>
      <c r="R292" s="61"/>
      <c r="S292" s="41"/>
      <c r="T292" s="59"/>
      <c r="Y292" s="61"/>
      <c r="Z292" s="59"/>
      <c r="AF292" s="61"/>
      <c r="AH292" s="61"/>
      <c r="AI292" s="41"/>
      <c r="AK292" s="40">
        <v>289.0</v>
      </c>
      <c r="AL292" s="738" t="s">
        <v>2345</v>
      </c>
      <c r="AM292" s="738" t="s">
        <v>1770</v>
      </c>
      <c r="AN292" s="738" t="s">
        <v>1744</v>
      </c>
      <c r="AO292" s="739" t="s">
        <v>1728</v>
      </c>
      <c r="AP292" s="740"/>
    </row>
    <row r="293">
      <c r="A293" s="159"/>
      <c r="B293" s="636"/>
      <c r="C293" s="159"/>
      <c r="D293" s="636"/>
      <c r="E293" s="636"/>
      <c r="F293" s="159"/>
      <c r="G293" s="159"/>
      <c r="H293" s="159"/>
      <c r="I293" s="668"/>
      <c r="J293" s="157"/>
      <c r="K293" s="708"/>
      <c r="L293" s="157"/>
      <c r="M293" s="157"/>
      <c r="N293" s="157"/>
      <c r="O293" s="668"/>
      <c r="P293" s="709"/>
      <c r="Q293" s="59"/>
      <c r="R293" s="61"/>
      <c r="S293" s="41"/>
      <c r="T293" s="59"/>
      <c r="Y293" s="61"/>
      <c r="Z293" s="59"/>
      <c r="AF293" s="61"/>
      <c r="AH293" s="61"/>
      <c r="AI293" s="41"/>
      <c r="AK293" s="40">
        <v>290.0</v>
      </c>
      <c r="AL293" s="719" t="s">
        <v>2346</v>
      </c>
      <c r="AM293" s="720" t="s">
        <v>1952</v>
      </c>
      <c r="AN293" s="720" t="s">
        <v>1953</v>
      </c>
      <c r="AO293" s="722">
        <v>0.133</v>
      </c>
      <c r="AP293" s="722" t="s">
        <v>1954</v>
      </c>
    </row>
    <row r="294">
      <c r="A294" s="159"/>
      <c r="B294" s="636"/>
      <c r="C294" s="159"/>
      <c r="D294" s="636"/>
      <c r="E294" s="636"/>
      <c r="F294" s="159"/>
      <c r="G294" s="159"/>
      <c r="H294" s="159"/>
      <c r="I294" s="668"/>
      <c r="J294" s="157"/>
      <c r="K294" s="708"/>
      <c r="L294" s="157"/>
      <c r="M294" s="157"/>
      <c r="N294" s="157"/>
      <c r="O294" s="668"/>
      <c r="P294" s="709"/>
      <c r="Q294" s="59"/>
      <c r="R294" s="61"/>
      <c r="S294" s="41"/>
      <c r="T294" s="59"/>
      <c r="Y294" s="61"/>
      <c r="Z294" s="59"/>
      <c r="AF294" s="61"/>
      <c r="AH294" s="61"/>
      <c r="AI294" s="41"/>
      <c r="AK294" s="40">
        <v>291.0</v>
      </c>
      <c r="AL294" s="738" t="s">
        <v>2347</v>
      </c>
      <c r="AM294" s="738" t="s">
        <v>2280</v>
      </c>
      <c r="AN294" s="738" t="s">
        <v>2281</v>
      </c>
      <c r="AO294" s="739">
        <v>0.045</v>
      </c>
      <c r="AP294" s="739" t="s">
        <v>2282</v>
      </c>
    </row>
    <row r="295">
      <c r="A295" s="159"/>
      <c r="B295" s="636"/>
      <c r="C295" s="159"/>
      <c r="D295" s="636"/>
      <c r="E295" s="636"/>
      <c r="F295" s="159"/>
      <c r="G295" s="159"/>
      <c r="H295" s="159"/>
      <c r="I295" s="668"/>
      <c r="J295" s="157"/>
      <c r="K295" s="708"/>
      <c r="L295" s="157"/>
      <c r="M295" s="157"/>
      <c r="N295" s="157"/>
      <c r="O295" s="668"/>
      <c r="P295" s="709"/>
      <c r="Q295" s="59"/>
      <c r="R295" s="61"/>
      <c r="S295" s="41"/>
      <c r="T295" s="59"/>
      <c r="Y295" s="61"/>
      <c r="Z295" s="59"/>
      <c r="AF295" s="61"/>
      <c r="AH295" s="61"/>
      <c r="AI295" s="41"/>
      <c r="AK295" s="40">
        <v>292.0</v>
      </c>
      <c r="AL295" s="719" t="s">
        <v>2348</v>
      </c>
      <c r="AM295" s="720" t="s">
        <v>2284</v>
      </c>
      <c r="AN295" s="720" t="s">
        <v>2285</v>
      </c>
      <c r="AO295" s="722">
        <v>0.011</v>
      </c>
      <c r="AP295" s="722" t="s">
        <v>2286</v>
      </c>
    </row>
    <row r="296">
      <c r="A296" s="159"/>
      <c r="B296" s="636"/>
      <c r="C296" s="159"/>
      <c r="D296" s="636"/>
      <c r="E296" s="636"/>
      <c r="F296" s="159"/>
      <c r="G296" s="159"/>
      <c r="H296" s="159"/>
      <c r="I296" s="668"/>
      <c r="J296" s="157"/>
      <c r="K296" s="708"/>
      <c r="L296" s="157"/>
      <c r="M296" s="157"/>
      <c r="N296" s="157"/>
      <c r="O296" s="668"/>
      <c r="P296" s="709"/>
      <c r="Q296" s="59"/>
      <c r="R296" s="61"/>
      <c r="S296" s="41"/>
      <c r="T296" s="59"/>
      <c r="Y296" s="61"/>
      <c r="Z296" s="59"/>
      <c r="AF296" s="61"/>
      <c r="AH296" s="61"/>
      <c r="AI296" s="41"/>
      <c r="AK296" s="40">
        <v>293.0</v>
      </c>
      <c r="AL296" s="738" t="s">
        <v>2349</v>
      </c>
      <c r="AM296" s="738" t="s">
        <v>2288</v>
      </c>
      <c r="AN296" s="738" t="s">
        <v>2289</v>
      </c>
      <c r="AO296" s="739">
        <v>0.043</v>
      </c>
      <c r="AP296" s="739" t="s">
        <v>2290</v>
      </c>
    </row>
    <row r="297">
      <c r="A297" s="159"/>
      <c r="B297" s="636"/>
      <c r="C297" s="159"/>
      <c r="D297" s="636"/>
      <c r="E297" s="636"/>
      <c r="F297" s="159"/>
      <c r="G297" s="159"/>
      <c r="H297" s="159"/>
      <c r="I297" s="668"/>
      <c r="J297" s="157"/>
      <c r="K297" s="708"/>
      <c r="L297" s="157"/>
      <c r="M297" s="157"/>
      <c r="N297" s="157"/>
      <c r="O297" s="668"/>
      <c r="P297" s="709"/>
      <c r="Q297" s="59"/>
      <c r="R297" s="61"/>
      <c r="S297" s="41"/>
      <c r="T297" s="59"/>
      <c r="Y297" s="61"/>
      <c r="Z297" s="59"/>
      <c r="AF297" s="61"/>
      <c r="AH297" s="61"/>
      <c r="AI297" s="41"/>
      <c r="AK297" s="40">
        <v>294.0</v>
      </c>
      <c r="AL297" s="719" t="s">
        <v>2350</v>
      </c>
      <c r="AM297" s="720" t="s">
        <v>2184</v>
      </c>
      <c r="AN297" s="720" t="s">
        <v>2185</v>
      </c>
      <c r="AO297" s="722">
        <v>0.031</v>
      </c>
      <c r="AP297" s="722" t="s">
        <v>2186</v>
      </c>
    </row>
    <row r="298">
      <c r="A298" s="159"/>
      <c r="B298" s="636"/>
      <c r="C298" s="159"/>
      <c r="D298" s="636"/>
      <c r="E298" s="636"/>
      <c r="F298" s="159"/>
      <c r="G298" s="159"/>
      <c r="H298" s="159"/>
      <c r="I298" s="668"/>
      <c r="J298" s="157"/>
      <c r="K298" s="708"/>
      <c r="L298" s="157"/>
      <c r="M298" s="157"/>
      <c r="N298" s="157"/>
      <c r="O298" s="668"/>
      <c r="P298" s="709"/>
      <c r="Q298" s="59"/>
      <c r="R298" s="61"/>
      <c r="S298" s="41"/>
      <c r="T298" s="59"/>
      <c r="Y298" s="61"/>
      <c r="Z298" s="59"/>
      <c r="AF298" s="61"/>
      <c r="AH298" s="61"/>
      <c r="AI298" s="41"/>
      <c r="AK298" s="40">
        <v>295.0</v>
      </c>
      <c r="AL298" s="738" t="s">
        <v>2351</v>
      </c>
      <c r="AM298" s="738" t="s">
        <v>2188</v>
      </c>
      <c r="AN298" s="738" t="s">
        <v>2189</v>
      </c>
      <c r="AO298" s="739">
        <v>0.184</v>
      </c>
      <c r="AP298" s="739" t="s">
        <v>2190</v>
      </c>
    </row>
    <row r="299">
      <c r="A299" s="159"/>
      <c r="B299" s="636"/>
      <c r="C299" s="159"/>
      <c r="D299" s="636"/>
      <c r="E299" s="636"/>
      <c r="F299" s="159"/>
      <c r="G299" s="159"/>
      <c r="H299" s="159"/>
      <c r="I299" s="668"/>
      <c r="J299" s="157"/>
      <c r="K299" s="708"/>
      <c r="L299" s="157"/>
      <c r="M299" s="157"/>
      <c r="N299" s="157"/>
      <c r="O299" s="668"/>
      <c r="P299" s="709"/>
      <c r="Q299" s="59"/>
      <c r="R299" s="61"/>
      <c r="S299" s="41"/>
      <c r="T299" s="59"/>
      <c r="Y299" s="61"/>
      <c r="Z299" s="59"/>
      <c r="AF299" s="61"/>
      <c r="AH299" s="61"/>
      <c r="AI299" s="41"/>
      <c r="AK299" s="40">
        <v>296.0</v>
      </c>
      <c r="AL299" s="719" t="s">
        <v>2352</v>
      </c>
      <c r="AM299" s="720" t="s">
        <v>2192</v>
      </c>
      <c r="AN299" s="720" t="s">
        <v>2193</v>
      </c>
      <c r="AO299" s="722">
        <v>0.187</v>
      </c>
      <c r="AP299" s="722" t="s">
        <v>2194</v>
      </c>
    </row>
    <row r="300">
      <c r="A300" s="159"/>
      <c r="B300" s="636"/>
      <c r="C300" s="159"/>
      <c r="D300" s="636"/>
      <c r="E300" s="636"/>
      <c r="F300" s="159"/>
      <c r="G300" s="159"/>
      <c r="H300" s="159"/>
      <c r="I300" s="668"/>
      <c r="J300" s="157"/>
      <c r="K300" s="708"/>
      <c r="L300" s="157"/>
      <c r="M300" s="157"/>
      <c r="N300" s="157"/>
      <c r="O300" s="668"/>
      <c r="P300" s="709"/>
      <c r="Q300" s="59"/>
      <c r="R300" s="61"/>
      <c r="S300" s="41"/>
      <c r="T300" s="59"/>
      <c r="Y300" s="61"/>
      <c r="Z300" s="59"/>
      <c r="AF300" s="61"/>
      <c r="AH300" s="61"/>
      <c r="AI300" s="41"/>
      <c r="AK300" s="40">
        <v>297.0</v>
      </c>
      <c r="AL300" s="738" t="s">
        <v>2353</v>
      </c>
      <c r="AM300" s="738" t="s">
        <v>2323</v>
      </c>
      <c r="AN300" s="738" t="s">
        <v>2324</v>
      </c>
      <c r="AO300" s="739">
        <v>0.01</v>
      </c>
      <c r="AP300" s="739" t="s">
        <v>2325</v>
      </c>
    </row>
    <row r="301">
      <c r="A301" s="159"/>
      <c r="B301" s="636"/>
      <c r="C301" s="159"/>
      <c r="D301" s="636"/>
      <c r="E301" s="636"/>
      <c r="F301" s="159"/>
      <c r="G301" s="159"/>
      <c r="H301" s="159"/>
      <c r="I301" s="668"/>
      <c r="J301" s="157"/>
      <c r="K301" s="708"/>
      <c r="L301" s="157"/>
      <c r="M301" s="157"/>
      <c r="N301" s="157"/>
      <c r="O301" s="668"/>
      <c r="P301" s="709"/>
      <c r="Q301" s="59"/>
      <c r="R301" s="61"/>
      <c r="S301" s="41"/>
      <c r="T301" s="59"/>
      <c r="Y301" s="61"/>
      <c r="Z301" s="59"/>
      <c r="AF301" s="61"/>
      <c r="AH301" s="61"/>
      <c r="AI301" s="41"/>
      <c r="AK301" s="40">
        <v>298.0</v>
      </c>
      <c r="AL301" s="719" t="s">
        <v>2354</v>
      </c>
      <c r="AM301" s="720" t="s">
        <v>2033</v>
      </c>
      <c r="AN301" s="720" t="s">
        <v>2034</v>
      </c>
      <c r="AO301" s="722">
        <v>0.061</v>
      </c>
      <c r="AP301" s="722" t="s">
        <v>2035</v>
      </c>
    </row>
    <row r="302">
      <c r="A302" s="159"/>
      <c r="B302" s="636"/>
      <c r="C302" s="159"/>
      <c r="D302" s="636"/>
      <c r="E302" s="636"/>
      <c r="F302" s="159"/>
      <c r="G302" s="159"/>
      <c r="H302" s="159"/>
      <c r="I302" s="668"/>
      <c r="J302" s="157"/>
      <c r="K302" s="708"/>
      <c r="L302" s="157"/>
      <c r="M302" s="157"/>
      <c r="N302" s="157"/>
      <c r="O302" s="668"/>
      <c r="P302" s="709"/>
      <c r="Q302" s="59"/>
      <c r="R302" s="61"/>
      <c r="S302" s="41"/>
      <c r="T302" s="59"/>
      <c r="Y302" s="61"/>
      <c r="Z302" s="59"/>
      <c r="AF302" s="61"/>
      <c r="AH302" s="61"/>
      <c r="AI302" s="41"/>
      <c r="AK302" s="40">
        <v>299.0</v>
      </c>
      <c r="AL302" s="738" t="s">
        <v>2355</v>
      </c>
      <c r="AM302" s="738" t="s">
        <v>1835</v>
      </c>
      <c r="AN302" s="738" t="s">
        <v>1836</v>
      </c>
      <c r="AO302" s="739">
        <v>0.402</v>
      </c>
      <c r="AP302" s="739" t="s">
        <v>1837</v>
      </c>
    </row>
    <row r="303">
      <c r="A303" s="159"/>
      <c r="B303" s="636"/>
      <c r="C303" s="159"/>
      <c r="D303" s="636"/>
      <c r="E303" s="636"/>
      <c r="F303" s="159"/>
      <c r="G303" s="159"/>
      <c r="H303" s="159"/>
      <c r="I303" s="668"/>
      <c r="J303" s="157"/>
      <c r="K303" s="708"/>
      <c r="L303" s="157"/>
      <c r="M303" s="157"/>
      <c r="N303" s="157"/>
      <c r="O303" s="668"/>
      <c r="P303" s="709"/>
      <c r="Q303" s="59"/>
      <c r="R303" s="61"/>
      <c r="S303" s="41"/>
      <c r="T303" s="59"/>
      <c r="Y303" s="61"/>
      <c r="Z303" s="59"/>
      <c r="AF303" s="61"/>
      <c r="AH303" s="61"/>
      <c r="AI303" s="41"/>
      <c r="AK303" s="40">
        <v>300.0</v>
      </c>
      <c r="AL303" s="719" t="s">
        <v>2356</v>
      </c>
      <c r="AM303" s="720" t="s">
        <v>2329</v>
      </c>
      <c r="AN303" s="720" t="s">
        <v>2330</v>
      </c>
      <c r="AO303" s="722">
        <v>0.031</v>
      </c>
      <c r="AP303" s="722" t="s">
        <v>2331</v>
      </c>
    </row>
    <row r="304">
      <c r="A304" s="159"/>
      <c r="B304" s="636"/>
      <c r="C304" s="159"/>
      <c r="D304" s="636"/>
      <c r="E304" s="636"/>
      <c r="F304" s="159"/>
      <c r="G304" s="159"/>
      <c r="H304" s="159"/>
      <c r="I304" s="668"/>
      <c r="J304" s="157"/>
      <c r="K304" s="708"/>
      <c r="L304" s="157"/>
      <c r="M304" s="157"/>
      <c r="N304" s="157"/>
      <c r="O304" s="668"/>
      <c r="P304" s="709"/>
      <c r="Q304" s="59"/>
      <c r="R304" s="61"/>
      <c r="S304" s="41"/>
      <c r="T304" s="59"/>
      <c r="Y304" s="61"/>
      <c r="Z304" s="59"/>
      <c r="AF304" s="61"/>
      <c r="AH304" s="61"/>
      <c r="AI304" s="41"/>
      <c r="AK304" s="40">
        <v>301.0</v>
      </c>
      <c r="AL304" s="738" t="s">
        <v>2357</v>
      </c>
      <c r="AM304" s="738" t="s">
        <v>1911</v>
      </c>
      <c r="AN304" s="738" t="s">
        <v>1912</v>
      </c>
      <c r="AO304" s="739">
        <v>0.203</v>
      </c>
      <c r="AP304" s="739" t="s">
        <v>1913</v>
      </c>
    </row>
    <row r="305">
      <c r="A305" s="159"/>
      <c r="B305" s="636"/>
      <c r="C305" s="159"/>
      <c r="D305" s="636"/>
      <c r="E305" s="636"/>
      <c r="F305" s="159"/>
      <c r="G305" s="159"/>
      <c r="H305" s="159"/>
      <c r="I305" s="668"/>
      <c r="J305" s="157"/>
      <c r="K305" s="708"/>
      <c r="L305" s="157"/>
      <c r="M305" s="157"/>
      <c r="N305" s="157"/>
      <c r="O305" s="668"/>
      <c r="P305" s="709"/>
      <c r="Q305" s="59"/>
      <c r="R305" s="61"/>
      <c r="S305" s="41"/>
      <c r="T305" s="59"/>
      <c r="Y305" s="61"/>
      <c r="Z305" s="59"/>
      <c r="AF305" s="61"/>
      <c r="AH305" s="61"/>
      <c r="AI305" s="41"/>
      <c r="AK305" s="40">
        <v>302.0</v>
      </c>
      <c r="AL305" s="719" t="s">
        <v>2358</v>
      </c>
      <c r="AM305" s="720" t="s">
        <v>1793</v>
      </c>
      <c r="AN305" s="720" t="s">
        <v>1794</v>
      </c>
      <c r="AO305" s="722">
        <v>0.542</v>
      </c>
      <c r="AP305" s="722" t="s">
        <v>1795</v>
      </c>
    </row>
    <row r="306">
      <c r="A306" s="159"/>
      <c r="B306" s="636"/>
      <c r="C306" s="159"/>
      <c r="D306" s="636"/>
      <c r="E306" s="636"/>
      <c r="F306" s="159"/>
      <c r="G306" s="159"/>
      <c r="H306" s="159"/>
      <c r="I306" s="668"/>
      <c r="J306" s="157"/>
      <c r="K306" s="708"/>
      <c r="L306" s="157"/>
      <c r="M306" s="157"/>
      <c r="N306" s="157"/>
      <c r="O306" s="668"/>
      <c r="P306" s="709"/>
      <c r="Q306" s="59"/>
      <c r="R306" s="61"/>
      <c r="S306" s="41"/>
      <c r="T306" s="59"/>
      <c r="Y306" s="61"/>
      <c r="Z306" s="59"/>
      <c r="AF306" s="61"/>
      <c r="AH306" s="61"/>
      <c r="AI306" s="41"/>
      <c r="AK306" s="40">
        <v>303.0</v>
      </c>
      <c r="AL306" s="738" t="s">
        <v>2359</v>
      </c>
      <c r="AM306" s="738" t="s">
        <v>2342</v>
      </c>
      <c r="AN306" s="738" t="s">
        <v>2343</v>
      </c>
      <c r="AO306" s="739">
        <v>0.017</v>
      </c>
      <c r="AP306" s="739" t="s">
        <v>2344</v>
      </c>
    </row>
    <row r="307">
      <c r="A307" s="159"/>
      <c r="B307" s="636"/>
      <c r="C307" s="159"/>
      <c r="D307" s="636"/>
      <c r="E307" s="636"/>
      <c r="F307" s="159"/>
      <c r="G307" s="159"/>
      <c r="H307" s="159"/>
      <c r="I307" s="668"/>
      <c r="J307" s="157"/>
      <c r="K307" s="708"/>
      <c r="L307" s="157"/>
      <c r="M307" s="157"/>
      <c r="N307" s="157"/>
      <c r="O307" s="668"/>
      <c r="P307" s="709"/>
      <c r="Q307" s="59"/>
      <c r="R307" s="61"/>
      <c r="S307" s="41"/>
      <c r="T307" s="59"/>
      <c r="Y307" s="61"/>
      <c r="Z307" s="59"/>
      <c r="AF307" s="61"/>
      <c r="AH307" s="61"/>
      <c r="AI307" s="41"/>
      <c r="AK307" s="40">
        <v>304.0</v>
      </c>
      <c r="AL307" s="719" t="s">
        <v>2360</v>
      </c>
      <c r="AM307" s="720" t="s">
        <v>1770</v>
      </c>
      <c r="AN307" s="720" t="s">
        <v>1744</v>
      </c>
      <c r="AO307" s="722" t="s">
        <v>1728</v>
      </c>
      <c r="AP307" s="723"/>
    </row>
    <row r="308">
      <c r="A308" s="159"/>
      <c r="B308" s="636"/>
      <c r="C308" s="159"/>
      <c r="D308" s="636"/>
      <c r="E308" s="636"/>
      <c r="F308" s="159"/>
      <c r="G308" s="159"/>
      <c r="H308" s="159"/>
      <c r="I308" s="668"/>
      <c r="J308" s="157"/>
      <c r="K308" s="708"/>
      <c r="L308" s="157"/>
      <c r="M308" s="157"/>
      <c r="N308" s="157"/>
      <c r="O308" s="668"/>
      <c r="P308" s="709"/>
      <c r="Q308" s="59"/>
      <c r="R308" s="61"/>
      <c r="S308" s="41"/>
      <c r="T308" s="59"/>
      <c r="Y308" s="61"/>
      <c r="Z308" s="59"/>
      <c r="AF308" s="61"/>
      <c r="AH308" s="61"/>
      <c r="AI308" s="41"/>
      <c r="AK308" s="40">
        <v>305.0</v>
      </c>
      <c r="AL308" s="738" t="s">
        <v>2360</v>
      </c>
      <c r="AM308" s="738" t="s">
        <v>1770</v>
      </c>
      <c r="AN308" s="738" t="s">
        <v>1744</v>
      </c>
      <c r="AO308" s="739" t="s">
        <v>1728</v>
      </c>
      <c r="AP308" s="740"/>
    </row>
    <row r="309">
      <c r="A309" s="159"/>
      <c r="B309" s="636"/>
      <c r="C309" s="159"/>
      <c r="D309" s="636"/>
      <c r="E309" s="636"/>
      <c r="F309" s="159"/>
      <c r="G309" s="159"/>
      <c r="H309" s="159"/>
      <c r="I309" s="668"/>
      <c r="J309" s="157"/>
      <c r="K309" s="708"/>
      <c r="L309" s="157"/>
      <c r="M309" s="157"/>
      <c r="N309" s="157"/>
      <c r="O309" s="668"/>
      <c r="P309" s="709"/>
      <c r="Q309" s="59"/>
      <c r="R309" s="61"/>
      <c r="S309" s="41"/>
      <c r="T309" s="59"/>
      <c r="Y309" s="61"/>
      <c r="Z309" s="59"/>
      <c r="AF309" s="61"/>
      <c r="AH309" s="61"/>
      <c r="AI309" s="41"/>
      <c r="AK309" s="40">
        <v>306.0</v>
      </c>
      <c r="AL309" s="719" t="s">
        <v>2360</v>
      </c>
      <c r="AM309" s="720" t="s">
        <v>1770</v>
      </c>
      <c r="AN309" s="720" t="s">
        <v>1744</v>
      </c>
      <c r="AO309" s="722" t="s">
        <v>1728</v>
      </c>
      <c r="AP309" s="723"/>
    </row>
    <row r="310">
      <c r="A310" s="159"/>
      <c r="B310" s="636"/>
      <c r="C310" s="159"/>
      <c r="D310" s="636"/>
      <c r="E310" s="636"/>
      <c r="F310" s="159"/>
      <c r="G310" s="159"/>
      <c r="H310" s="159"/>
      <c r="I310" s="668"/>
      <c r="J310" s="157"/>
      <c r="K310" s="708"/>
      <c r="L310" s="157"/>
      <c r="M310" s="157"/>
      <c r="N310" s="157"/>
      <c r="O310" s="668"/>
      <c r="P310" s="709"/>
      <c r="Q310" s="59"/>
      <c r="R310" s="61"/>
      <c r="S310" s="41"/>
      <c r="T310" s="59"/>
      <c r="Y310" s="61"/>
      <c r="Z310" s="59"/>
      <c r="AF310" s="61"/>
      <c r="AH310" s="61"/>
      <c r="AI310" s="41"/>
      <c r="AK310" s="40">
        <v>307.0</v>
      </c>
      <c r="AL310" s="738" t="s">
        <v>2361</v>
      </c>
      <c r="AM310" s="738" t="s">
        <v>2050</v>
      </c>
      <c r="AN310" s="738" t="s">
        <v>2051</v>
      </c>
      <c r="AO310" s="739">
        <v>0.051</v>
      </c>
      <c r="AP310" s="739" t="s">
        <v>2052</v>
      </c>
    </row>
    <row r="311">
      <c r="A311" s="159"/>
      <c r="B311" s="636"/>
      <c r="C311" s="159"/>
      <c r="D311" s="636"/>
      <c r="E311" s="636"/>
      <c r="F311" s="159"/>
      <c r="G311" s="159"/>
      <c r="H311" s="159"/>
      <c r="I311" s="668"/>
      <c r="J311" s="157"/>
      <c r="K311" s="708"/>
      <c r="L311" s="157"/>
      <c r="M311" s="157"/>
      <c r="N311" s="157"/>
      <c r="O311" s="668"/>
      <c r="P311" s="709"/>
      <c r="Q311" s="59"/>
      <c r="R311" s="61"/>
      <c r="S311" s="41"/>
      <c r="T311" s="59"/>
      <c r="Y311" s="61"/>
      <c r="Z311" s="59"/>
      <c r="AF311" s="61"/>
      <c r="AH311" s="61"/>
      <c r="AI311" s="41"/>
      <c r="AK311" s="40">
        <v>308.0</v>
      </c>
      <c r="AL311" s="719" t="s">
        <v>2362</v>
      </c>
      <c r="AM311" s="720" t="s">
        <v>1952</v>
      </c>
      <c r="AN311" s="720" t="s">
        <v>1953</v>
      </c>
      <c r="AO311" s="722">
        <v>0.133</v>
      </c>
      <c r="AP311" s="722" t="s">
        <v>1954</v>
      </c>
    </row>
    <row r="312">
      <c r="A312" s="159"/>
      <c r="B312" s="636"/>
      <c r="C312" s="159"/>
      <c r="D312" s="636"/>
      <c r="E312" s="636"/>
      <c r="F312" s="159"/>
      <c r="G312" s="159"/>
      <c r="H312" s="159"/>
      <c r="I312" s="668"/>
      <c r="J312" s="157"/>
      <c r="K312" s="708"/>
      <c r="L312" s="157"/>
      <c r="M312" s="157"/>
      <c r="N312" s="157"/>
      <c r="O312" s="668"/>
      <c r="P312" s="709"/>
      <c r="Q312" s="59"/>
      <c r="R312" s="61"/>
      <c r="S312" s="41"/>
      <c r="T312" s="59"/>
      <c r="Y312" s="61"/>
      <c r="Z312" s="59"/>
      <c r="AF312" s="61"/>
      <c r="AH312" s="61"/>
      <c r="AI312" s="41"/>
      <c r="AK312" s="40">
        <v>309.0</v>
      </c>
      <c r="AL312" s="738" t="s">
        <v>2363</v>
      </c>
      <c r="AM312" s="738" t="s">
        <v>2050</v>
      </c>
      <c r="AN312" s="738" t="s">
        <v>2051</v>
      </c>
      <c r="AO312" s="739">
        <v>0.051</v>
      </c>
      <c r="AP312" s="739" t="s">
        <v>2052</v>
      </c>
    </row>
    <row r="313">
      <c r="A313" s="159"/>
      <c r="B313" s="636"/>
      <c r="C313" s="159"/>
      <c r="D313" s="636"/>
      <c r="E313" s="636"/>
      <c r="F313" s="159"/>
      <c r="G313" s="159"/>
      <c r="H313" s="159"/>
      <c r="I313" s="668"/>
      <c r="J313" s="157"/>
      <c r="K313" s="708"/>
      <c r="L313" s="157"/>
      <c r="M313" s="157"/>
      <c r="N313" s="157"/>
      <c r="O313" s="668"/>
      <c r="P313" s="709"/>
      <c r="Q313" s="59"/>
      <c r="R313" s="61"/>
      <c r="S313" s="41"/>
      <c r="T313" s="59"/>
      <c r="Y313" s="61"/>
      <c r="Z313" s="59"/>
      <c r="AF313" s="61"/>
      <c r="AH313" s="61"/>
      <c r="AI313" s="41"/>
      <c r="AK313" s="40">
        <v>310.0</v>
      </c>
      <c r="AL313" s="719" t="s">
        <v>2364</v>
      </c>
      <c r="AM313" s="720" t="s">
        <v>1952</v>
      </c>
      <c r="AN313" s="720" t="s">
        <v>1953</v>
      </c>
      <c r="AO313" s="722">
        <v>0.133</v>
      </c>
      <c r="AP313" s="722" t="s">
        <v>1954</v>
      </c>
    </row>
    <row r="314">
      <c r="A314" s="159"/>
      <c r="B314" s="636"/>
      <c r="C314" s="159"/>
      <c r="D314" s="636"/>
      <c r="E314" s="636"/>
      <c r="F314" s="159"/>
      <c r="G314" s="159"/>
      <c r="H314" s="159"/>
      <c r="I314" s="668"/>
      <c r="J314" s="157"/>
      <c r="K314" s="708"/>
      <c r="L314" s="157"/>
      <c r="M314" s="157"/>
      <c r="N314" s="157"/>
      <c r="O314" s="668"/>
      <c r="P314" s="709"/>
      <c r="Q314" s="59"/>
      <c r="R314" s="61"/>
      <c r="S314" s="41"/>
      <c r="T314" s="59"/>
      <c r="Y314" s="61"/>
      <c r="Z314" s="59"/>
      <c r="AF314" s="61"/>
      <c r="AH314" s="61"/>
      <c r="AI314" s="41"/>
      <c r="AK314" s="40">
        <v>311.0</v>
      </c>
      <c r="AL314" s="738" t="s">
        <v>2365</v>
      </c>
      <c r="AM314" s="738" t="s">
        <v>2323</v>
      </c>
      <c r="AN314" s="738" t="s">
        <v>2324</v>
      </c>
      <c r="AO314" s="739">
        <v>0.01</v>
      </c>
      <c r="AP314" s="739" t="s">
        <v>2325</v>
      </c>
    </row>
    <row r="315">
      <c r="A315" s="159"/>
      <c r="B315" s="636"/>
      <c r="C315" s="159"/>
      <c r="D315" s="636"/>
      <c r="E315" s="636"/>
      <c r="F315" s="159"/>
      <c r="G315" s="159"/>
      <c r="H315" s="159"/>
      <c r="I315" s="668"/>
      <c r="J315" s="157"/>
      <c r="K315" s="708"/>
      <c r="L315" s="157"/>
      <c r="M315" s="157"/>
      <c r="N315" s="157"/>
      <c r="O315" s="668"/>
      <c r="P315" s="709"/>
      <c r="Q315" s="59"/>
      <c r="R315" s="61"/>
      <c r="S315" s="41"/>
      <c r="T315" s="59"/>
      <c r="Y315" s="61"/>
      <c r="Z315" s="59"/>
      <c r="AF315" s="61"/>
      <c r="AH315" s="61"/>
      <c r="AI315" s="41"/>
      <c r="AK315" s="40">
        <v>312.0</v>
      </c>
      <c r="AL315" s="719" t="s">
        <v>2366</v>
      </c>
      <c r="AM315" s="720" t="s">
        <v>2033</v>
      </c>
      <c r="AN315" s="720" t="s">
        <v>2034</v>
      </c>
      <c r="AO315" s="722">
        <v>0.061</v>
      </c>
      <c r="AP315" s="722" t="s">
        <v>2035</v>
      </c>
    </row>
    <row r="316">
      <c r="A316" s="159"/>
      <c r="B316" s="636"/>
      <c r="C316" s="159"/>
      <c r="D316" s="636"/>
      <c r="E316" s="636"/>
      <c r="F316" s="159"/>
      <c r="G316" s="159"/>
      <c r="H316" s="159"/>
      <c r="I316" s="668"/>
      <c r="J316" s="157"/>
      <c r="K316" s="708"/>
      <c r="L316" s="157"/>
      <c r="M316" s="157"/>
      <c r="N316" s="157"/>
      <c r="O316" s="668"/>
      <c r="P316" s="709"/>
      <c r="Q316" s="59"/>
      <c r="R316" s="61"/>
      <c r="S316" s="41"/>
      <c r="T316" s="59"/>
      <c r="Y316" s="61"/>
      <c r="Z316" s="59"/>
      <c r="AF316" s="61"/>
      <c r="AH316" s="61"/>
      <c r="AI316" s="41"/>
      <c r="AK316" s="40">
        <v>313.0</v>
      </c>
      <c r="AL316" s="738" t="s">
        <v>2367</v>
      </c>
      <c r="AM316" s="738" t="s">
        <v>1835</v>
      </c>
      <c r="AN316" s="738" t="s">
        <v>1836</v>
      </c>
      <c r="AO316" s="739">
        <v>0.402</v>
      </c>
      <c r="AP316" s="739" t="s">
        <v>1837</v>
      </c>
    </row>
    <row r="317">
      <c r="A317" s="159"/>
      <c r="B317" s="636"/>
      <c r="C317" s="159"/>
      <c r="D317" s="636"/>
      <c r="E317" s="636"/>
      <c r="F317" s="159"/>
      <c r="G317" s="159"/>
      <c r="H317" s="159"/>
      <c r="I317" s="668"/>
      <c r="J317" s="157"/>
      <c r="K317" s="708"/>
      <c r="L317" s="157"/>
      <c r="M317" s="157"/>
      <c r="N317" s="157"/>
      <c r="O317" s="668"/>
      <c r="P317" s="709"/>
      <c r="Q317" s="59"/>
      <c r="R317" s="61"/>
      <c r="S317" s="41"/>
      <c r="T317" s="59"/>
      <c r="Y317" s="61"/>
      <c r="Z317" s="59"/>
      <c r="AF317" s="61"/>
      <c r="AH317" s="61"/>
      <c r="AI317" s="41"/>
      <c r="AK317" s="40">
        <v>314.0</v>
      </c>
      <c r="AL317" s="719" t="s">
        <v>2368</v>
      </c>
      <c r="AM317" s="720" t="s">
        <v>2329</v>
      </c>
      <c r="AN317" s="720" t="s">
        <v>2330</v>
      </c>
      <c r="AO317" s="722">
        <v>0.031</v>
      </c>
      <c r="AP317" s="722" t="s">
        <v>2331</v>
      </c>
    </row>
    <row r="318">
      <c r="A318" s="159"/>
      <c r="B318" s="636"/>
      <c r="C318" s="159"/>
      <c r="D318" s="636"/>
      <c r="E318" s="636"/>
      <c r="F318" s="159"/>
      <c r="G318" s="159"/>
      <c r="H318" s="159"/>
      <c r="I318" s="668"/>
      <c r="J318" s="157"/>
      <c r="K318" s="708"/>
      <c r="L318" s="157"/>
      <c r="M318" s="157"/>
      <c r="N318" s="157"/>
      <c r="O318" s="668"/>
      <c r="P318" s="709"/>
      <c r="Q318" s="59"/>
      <c r="R318" s="61"/>
      <c r="S318" s="41"/>
      <c r="T318" s="59"/>
      <c r="Y318" s="61"/>
      <c r="Z318" s="59"/>
      <c r="AF318" s="61"/>
      <c r="AH318" s="61"/>
      <c r="AI318" s="41"/>
      <c r="AK318" s="40">
        <v>315.0</v>
      </c>
      <c r="AL318" s="738" t="s">
        <v>2369</v>
      </c>
      <c r="AM318" s="738" t="s">
        <v>1899</v>
      </c>
      <c r="AN318" s="738" t="s">
        <v>1744</v>
      </c>
      <c r="AO318" s="739">
        <v>0.236</v>
      </c>
      <c r="AP318" s="739" t="s">
        <v>1900</v>
      </c>
    </row>
    <row r="319">
      <c r="A319" s="159"/>
      <c r="B319" s="636"/>
      <c r="C319" s="159"/>
      <c r="D319" s="636"/>
      <c r="E319" s="636"/>
      <c r="F319" s="159"/>
      <c r="G319" s="159"/>
      <c r="H319" s="159"/>
      <c r="I319" s="668"/>
      <c r="J319" s="157"/>
      <c r="K319" s="708"/>
      <c r="L319" s="157"/>
      <c r="M319" s="157"/>
      <c r="N319" s="157"/>
      <c r="O319" s="668"/>
      <c r="P319" s="709"/>
      <c r="Q319" s="59"/>
      <c r="R319" s="61"/>
      <c r="S319" s="41"/>
      <c r="T319" s="59"/>
      <c r="Y319" s="61"/>
      <c r="Z319" s="59"/>
      <c r="AF319" s="61"/>
      <c r="AH319" s="61"/>
      <c r="AI319" s="41"/>
      <c r="AK319" s="40">
        <v>316.0</v>
      </c>
      <c r="AL319" s="719" t="s">
        <v>2370</v>
      </c>
      <c r="AM319" s="720" t="s">
        <v>1743</v>
      </c>
      <c r="AN319" s="720" t="s">
        <v>1744</v>
      </c>
      <c r="AO319" s="722" t="s">
        <v>1728</v>
      </c>
      <c r="AP319" s="723"/>
    </row>
    <row r="320">
      <c r="A320" s="159"/>
      <c r="B320" s="636"/>
      <c r="C320" s="159"/>
      <c r="D320" s="636"/>
      <c r="E320" s="636"/>
      <c r="F320" s="159"/>
      <c r="G320" s="159"/>
      <c r="H320" s="159"/>
      <c r="I320" s="668"/>
      <c r="J320" s="157"/>
      <c r="K320" s="708"/>
      <c r="L320" s="157"/>
      <c r="M320" s="157"/>
      <c r="N320" s="157"/>
      <c r="O320" s="668"/>
      <c r="P320" s="709"/>
      <c r="Q320" s="59"/>
      <c r="R320" s="61"/>
      <c r="S320" s="41"/>
      <c r="T320" s="59"/>
      <c r="Y320" s="61"/>
      <c r="Z320" s="59"/>
      <c r="AF320" s="61"/>
      <c r="AH320" s="61"/>
      <c r="AI320" s="41"/>
      <c r="AK320" s="40">
        <v>317.0</v>
      </c>
      <c r="AL320" s="738" t="s">
        <v>2370</v>
      </c>
      <c r="AM320" s="738" t="s">
        <v>1743</v>
      </c>
      <c r="AN320" s="738" t="s">
        <v>1744</v>
      </c>
      <c r="AO320" s="739" t="s">
        <v>1728</v>
      </c>
      <c r="AP320" s="740"/>
    </row>
    <row r="321">
      <c r="A321" s="159"/>
      <c r="B321" s="636"/>
      <c r="C321" s="159"/>
      <c r="D321" s="636"/>
      <c r="E321" s="636"/>
      <c r="F321" s="159"/>
      <c r="G321" s="159"/>
      <c r="H321" s="159"/>
      <c r="I321" s="668"/>
      <c r="J321" s="157"/>
      <c r="K321" s="708"/>
      <c r="L321" s="157"/>
      <c r="M321" s="157"/>
      <c r="N321" s="157"/>
      <c r="O321" s="668"/>
      <c r="P321" s="709"/>
      <c r="Q321" s="59"/>
      <c r="R321" s="61"/>
      <c r="S321" s="41"/>
      <c r="T321" s="59"/>
      <c r="Y321" s="61"/>
      <c r="Z321" s="59"/>
      <c r="AF321" s="61"/>
      <c r="AH321" s="61"/>
      <c r="AI321" s="41"/>
      <c r="AK321" s="40">
        <v>318.0</v>
      </c>
      <c r="AL321" s="719" t="s">
        <v>2370</v>
      </c>
      <c r="AM321" s="720" t="s">
        <v>1743</v>
      </c>
      <c r="AN321" s="720" t="s">
        <v>1744</v>
      </c>
      <c r="AO321" s="722" t="s">
        <v>1728</v>
      </c>
      <c r="AP321" s="723"/>
    </row>
    <row r="322">
      <c r="A322" s="159"/>
      <c r="B322" s="636"/>
      <c r="C322" s="159"/>
      <c r="D322" s="636"/>
      <c r="E322" s="636"/>
      <c r="F322" s="159"/>
      <c r="G322" s="159"/>
      <c r="H322" s="159"/>
      <c r="I322" s="668"/>
      <c r="J322" s="157"/>
      <c r="K322" s="708"/>
      <c r="L322" s="157"/>
      <c r="M322" s="157"/>
      <c r="N322" s="157"/>
      <c r="O322" s="668"/>
      <c r="P322" s="709"/>
      <c r="Q322" s="59"/>
      <c r="R322" s="61"/>
      <c r="S322" s="41"/>
      <c r="T322" s="59"/>
      <c r="Y322" s="61"/>
      <c r="Z322" s="59"/>
      <c r="AF322" s="61"/>
      <c r="AH322" s="61"/>
      <c r="AI322" s="41"/>
      <c r="AK322" s="40">
        <v>319.0</v>
      </c>
      <c r="AL322" s="738" t="s">
        <v>2371</v>
      </c>
      <c r="AM322" s="738" t="s">
        <v>1747</v>
      </c>
      <c r="AN322" s="738" t="s">
        <v>1744</v>
      </c>
      <c r="AO322" s="739" t="s">
        <v>1728</v>
      </c>
      <c r="AP322" s="740"/>
    </row>
    <row r="323">
      <c r="A323" s="159"/>
      <c r="B323" s="636"/>
      <c r="C323" s="159"/>
      <c r="D323" s="636"/>
      <c r="E323" s="636"/>
      <c r="F323" s="159"/>
      <c r="G323" s="159"/>
      <c r="H323" s="159"/>
      <c r="I323" s="668"/>
      <c r="J323" s="157"/>
      <c r="K323" s="708"/>
      <c r="L323" s="157"/>
      <c r="M323" s="157"/>
      <c r="N323" s="157"/>
      <c r="O323" s="668"/>
      <c r="P323" s="709"/>
      <c r="Q323" s="59"/>
      <c r="R323" s="61"/>
      <c r="S323" s="41"/>
      <c r="T323" s="59"/>
      <c r="Y323" s="61"/>
      <c r="Z323" s="59"/>
      <c r="AF323" s="61"/>
      <c r="AH323" s="61"/>
      <c r="AI323" s="41"/>
      <c r="AK323" s="40">
        <v>320.0</v>
      </c>
      <c r="AL323" s="719" t="s">
        <v>2371</v>
      </c>
      <c r="AM323" s="720" t="s">
        <v>1747</v>
      </c>
      <c r="AN323" s="720" t="s">
        <v>1744</v>
      </c>
      <c r="AO323" s="722" t="s">
        <v>1728</v>
      </c>
      <c r="AP323" s="723"/>
    </row>
    <row r="324">
      <c r="A324" s="159"/>
      <c r="B324" s="636"/>
      <c r="C324" s="159"/>
      <c r="D324" s="636"/>
      <c r="E324" s="636"/>
      <c r="F324" s="159"/>
      <c r="G324" s="159"/>
      <c r="H324" s="159"/>
      <c r="I324" s="668"/>
      <c r="J324" s="157"/>
      <c r="K324" s="708"/>
      <c r="L324" s="157"/>
      <c r="M324" s="157"/>
      <c r="N324" s="157"/>
      <c r="O324" s="668"/>
      <c r="P324" s="709"/>
      <c r="Q324" s="59"/>
      <c r="R324" s="61"/>
      <c r="S324" s="41"/>
      <c r="T324" s="59"/>
      <c r="Y324" s="61"/>
      <c r="Z324" s="59"/>
      <c r="AF324" s="61"/>
      <c r="AH324" s="61"/>
      <c r="AI324" s="41"/>
      <c r="AK324" s="40">
        <v>321.0</v>
      </c>
      <c r="AL324" s="738" t="s">
        <v>2371</v>
      </c>
      <c r="AM324" s="738" t="s">
        <v>1747</v>
      </c>
      <c r="AN324" s="738" t="s">
        <v>1744</v>
      </c>
      <c r="AO324" s="739" t="s">
        <v>1728</v>
      </c>
      <c r="AP324" s="740"/>
    </row>
    <row r="325">
      <c r="A325" s="159"/>
      <c r="B325" s="636"/>
      <c r="C325" s="159"/>
      <c r="D325" s="636"/>
      <c r="E325" s="636"/>
      <c r="F325" s="159"/>
      <c r="G325" s="159"/>
      <c r="H325" s="159"/>
      <c r="I325" s="668"/>
      <c r="J325" s="157"/>
      <c r="K325" s="708"/>
      <c r="L325" s="157"/>
      <c r="M325" s="157"/>
      <c r="N325" s="157"/>
      <c r="O325" s="668"/>
      <c r="P325" s="709"/>
      <c r="Q325" s="59"/>
      <c r="R325" s="61"/>
      <c r="S325" s="41"/>
      <c r="T325" s="59"/>
      <c r="Y325" s="61"/>
      <c r="Z325" s="59"/>
      <c r="AF325" s="61"/>
      <c r="AH325" s="61"/>
      <c r="AI325" s="41"/>
      <c r="AK325" s="40">
        <v>322.0</v>
      </c>
      <c r="AL325" s="719" t="s">
        <v>2371</v>
      </c>
      <c r="AM325" s="720" t="s">
        <v>1747</v>
      </c>
      <c r="AN325" s="720" t="s">
        <v>1744</v>
      </c>
      <c r="AO325" s="722" t="s">
        <v>1728</v>
      </c>
      <c r="AP325" s="723"/>
    </row>
    <row r="326">
      <c r="A326" s="159"/>
      <c r="B326" s="636"/>
      <c r="C326" s="159"/>
      <c r="D326" s="636"/>
      <c r="E326" s="636"/>
      <c r="F326" s="159"/>
      <c r="G326" s="159"/>
      <c r="H326" s="159"/>
      <c r="I326" s="668"/>
      <c r="J326" s="157"/>
      <c r="K326" s="708"/>
      <c r="L326" s="157"/>
      <c r="M326" s="157"/>
      <c r="N326" s="157"/>
      <c r="O326" s="668"/>
      <c r="P326" s="709"/>
      <c r="Q326" s="59"/>
      <c r="R326" s="61"/>
      <c r="S326" s="41"/>
      <c r="T326" s="59"/>
      <c r="Y326" s="61"/>
      <c r="Z326" s="59"/>
      <c r="AF326" s="61"/>
      <c r="AH326" s="61"/>
      <c r="AI326" s="41"/>
      <c r="AK326" s="40">
        <v>323.0</v>
      </c>
      <c r="AL326" s="738" t="s">
        <v>2372</v>
      </c>
      <c r="AM326" s="738" t="s">
        <v>1842</v>
      </c>
      <c r="AN326" s="738" t="s">
        <v>1744</v>
      </c>
      <c r="AO326" s="739">
        <v>0.351</v>
      </c>
      <c r="AP326" s="739" t="s">
        <v>1843</v>
      </c>
    </row>
    <row r="327">
      <c r="A327" s="159"/>
      <c r="B327" s="636"/>
      <c r="C327" s="159"/>
      <c r="D327" s="636"/>
      <c r="E327" s="636"/>
      <c r="F327" s="159"/>
      <c r="G327" s="159"/>
      <c r="H327" s="159"/>
      <c r="I327" s="668"/>
      <c r="J327" s="157"/>
      <c r="K327" s="708"/>
      <c r="L327" s="157"/>
      <c r="M327" s="157"/>
      <c r="N327" s="157"/>
      <c r="O327" s="668"/>
      <c r="P327" s="709"/>
      <c r="Q327" s="59"/>
      <c r="R327" s="61"/>
      <c r="S327" s="41"/>
      <c r="T327" s="59"/>
      <c r="Y327" s="61"/>
      <c r="Z327" s="59"/>
      <c r="AF327" s="61"/>
      <c r="AH327" s="61"/>
      <c r="AI327" s="41"/>
      <c r="AK327" s="40">
        <v>324.0</v>
      </c>
      <c r="AL327" s="719" t="s">
        <v>2372</v>
      </c>
      <c r="AM327" s="720" t="s">
        <v>1842</v>
      </c>
      <c r="AN327" s="720" t="s">
        <v>1744</v>
      </c>
      <c r="AO327" s="722">
        <v>0.351</v>
      </c>
      <c r="AP327" s="722" t="s">
        <v>1843</v>
      </c>
    </row>
    <row r="328">
      <c r="A328" s="159"/>
      <c r="B328" s="636"/>
      <c r="C328" s="159"/>
      <c r="D328" s="636"/>
      <c r="E328" s="636"/>
      <c r="F328" s="159"/>
      <c r="G328" s="159"/>
      <c r="H328" s="159"/>
      <c r="I328" s="668"/>
      <c r="J328" s="157"/>
      <c r="K328" s="708"/>
      <c r="L328" s="157"/>
      <c r="M328" s="157"/>
      <c r="N328" s="157"/>
      <c r="O328" s="668"/>
      <c r="P328" s="709"/>
      <c r="Q328" s="59"/>
      <c r="R328" s="61"/>
      <c r="S328" s="41"/>
      <c r="T328" s="59"/>
      <c r="Y328" s="61"/>
      <c r="Z328" s="59"/>
      <c r="AF328" s="61"/>
      <c r="AH328" s="61"/>
      <c r="AI328" s="41"/>
      <c r="AK328" s="40">
        <v>325.0</v>
      </c>
      <c r="AL328" s="738" t="s">
        <v>2373</v>
      </c>
      <c r="AM328" s="738" t="s">
        <v>1750</v>
      </c>
      <c r="AN328" s="738" t="s">
        <v>1744</v>
      </c>
      <c r="AO328" s="739" t="s">
        <v>1728</v>
      </c>
      <c r="AP328" s="740"/>
    </row>
    <row r="329">
      <c r="A329" s="159"/>
      <c r="B329" s="636"/>
      <c r="C329" s="159"/>
      <c r="D329" s="636"/>
      <c r="E329" s="636"/>
      <c r="F329" s="159"/>
      <c r="G329" s="159"/>
      <c r="H329" s="159"/>
      <c r="I329" s="668"/>
      <c r="J329" s="157"/>
      <c r="K329" s="708"/>
      <c r="L329" s="157"/>
      <c r="M329" s="157"/>
      <c r="N329" s="157"/>
      <c r="O329" s="668"/>
      <c r="P329" s="709"/>
      <c r="Q329" s="59"/>
      <c r="R329" s="61"/>
      <c r="S329" s="41"/>
      <c r="T329" s="59"/>
      <c r="Y329" s="61"/>
      <c r="Z329" s="59"/>
      <c r="AF329" s="61"/>
      <c r="AH329" s="61"/>
      <c r="AI329" s="41"/>
      <c r="AK329" s="40">
        <v>326.0</v>
      </c>
      <c r="AL329" s="719" t="s">
        <v>2373</v>
      </c>
      <c r="AM329" s="720" t="s">
        <v>1750</v>
      </c>
      <c r="AN329" s="720" t="s">
        <v>1744</v>
      </c>
      <c r="AO329" s="722" t="s">
        <v>1728</v>
      </c>
      <c r="AP329" s="723"/>
    </row>
    <row r="330">
      <c r="A330" s="159"/>
      <c r="B330" s="636"/>
      <c r="C330" s="159"/>
      <c r="D330" s="636"/>
      <c r="E330" s="636"/>
      <c r="F330" s="159"/>
      <c r="G330" s="159"/>
      <c r="H330" s="159"/>
      <c r="I330" s="668"/>
      <c r="J330" s="157"/>
      <c r="K330" s="708"/>
      <c r="L330" s="157"/>
      <c r="M330" s="157"/>
      <c r="N330" s="157"/>
      <c r="O330" s="668"/>
      <c r="P330" s="709"/>
      <c r="Q330" s="59"/>
      <c r="R330" s="61"/>
      <c r="S330" s="41"/>
      <c r="T330" s="59"/>
      <c r="Y330" s="61"/>
      <c r="Z330" s="59"/>
      <c r="AF330" s="61"/>
      <c r="AH330" s="61"/>
      <c r="AI330" s="41"/>
      <c r="AK330" s="40">
        <v>327.0</v>
      </c>
      <c r="AL330" s="738" t="s">
        <v>2373</v>
      </c>
      <c r="AM330" s="738" t="s">
        <v>1750</v>
      </c>
      <c r="AN330" s="738" t="s">
        <v>1744</v>
      </c>
      <c r="AO330" s="739" t="s">
        <v>1728</v>
      </c>
      <c r="AP330" s="740"/>
    </row>
    <row r="331">
      <c r="A331" s="159"/>
      <c r="B331" s="636"/>
      <c r="C331" s="159"/>
      <c r="D331" s="636"/>
      <c r="E331" s="636"/>
      <c r="F331" s="159"/>
      <c r="G331" s="159"/>
      <c r="H331" s="159"/>
      <c r="I331" s="668"/>
      <c r="J331" s="157"/>
      <c r="K331" s="708"/>
      <c r="L331" s="157"/>
      <c r="M331" s="157"/>
      <c r="N331" s="157"/>
      <c r="O331" s="668"/>
      <c r="P331" s="709"/>
      <c r="Q331" s="59"/>
      <c r="R331" s="61"/>
      <c r="S331" s="41"/>
      <c r="T331" s="59"/>
      <c r="Y331" s="61"/>
      <c r="Z331" s="59"/>
      <c r="AF331" s="61"/>
      <c r="AH331" s="61"/>
      <c r="AI331" s="41"/>
      <c r="AK331" s="40">
        <v>328.0</v>
      </c>
      <c r="AL331" s="719" t="s">
        <v>2373</v>
      </c>
      <c r="AM331" s="720" t="s">
        <v>1750</v>
      </c>
      <c r="AN331" s="720" t="s">
        <v>1744</v>
      </c>
      <c r="AO331" s="722" t="s">
        <v>1728</v>
      </c>
      <c r="AP331" s="723"/>
    </row>
    <row r="332">
      <c r="A332" s="159"/>
      <c r="B332" s="636"/>
      <c r="C332" s="159"/>
      <c r="D332" s="636"/>
      <c r="E332" s="636"/>
      <c r="F332" s="159"/>
      <c r="G332" s="159"/>
      <c r="H332" s="159"/>
      <c r="I332" s="668"/>
      <c r="J332" s="157"/>
      <c r="K332" s="708"/>
      <c r="L332" s="157"/>
      <c r="M332" s="157"/>
      <c r="N332" s="157"/>
      <c r="O332" s="668"/>
      <c r="P332" s="709"/>
      <c r="Q332" s="59"/>
      <c r="R332" s="61"/>
      <c r="S332" s="41"/>
      <c r="T332" s="59"/>
      <c r="Y332" s="61"/>
      <c r="Z332" s="59"/>
      <c r="AF332" s="61"/>
      <c r="AH332" s="61"/>
      <c r="AI332" s="41"/>
      <c r="AK332" s="40">
        <v>329.0</v>
      </c>
      <c r="AL332" s="738" t="s">
        <v>2374</v>
      </c>
      <c r="AM332" s="738" t="s">
        <v>1754</v>
      </c>
      <c r="AN332" s="738" t="s">
        <v>1744</v>
      </c>
      <c r="AO332" s="739" t="s">
        <v>1728</v>
      </c>
      <c r="AP332" s="740"/>
    </row>
    <row r="333">
      <c r="A333" s="159"/>
      <c r="B333" s="636"/>
      <c r="C333" s="159"/>
      <c r="D333" s="636"/>
      <c r="E333" s="636"/>
      <c r="F333" s="159"/>
      <c r="G333" s="159"/>
      <c r="H333" s="159"/>
      <c r="I333" s="668"/>
      <c r="J333" s="157"/>
      <c r="K333" s="708"/>
      <c r="L333" s="157"/>
      <c r="M333" s="157"/>
      <c r="N333" s="157"/>
      <c r="O333" s="668"/>
      <c r="P333" s="709"/>
      <c r="Q333" s="59"/>
      <c r="R333" s="61"/>
      <c r="S333" s="41"/>
      <c r="T333" s="59"/>
      <c r="Y333" s="61"/>
      <c r="Z333" s="59"/>
      <c r="AF333" s="61"/>
      <c r="AH333" s="61"/>
      <c r="AI333" s="41"/>
      <c r="AK333" s="40">
        <v>330.0</v>
      </c>
      <c r="AL333" s="719" t="s">
        <v>2374</v>
      </c>
      <c r="AM333" s="720" t="s">
        <v>1754</v>
      </c>
      <c r="AN333" s="720" t="s">
        <v>1744</v>
      </c>
      <c r="AO333" s="722" t="s">
        <v>1728</v>
      </c>
      <c r="AP333" s="723"/>
    </row>
    <row r="334">
      <c r="A334" s="159"/>
      <c r="B334" s="636"/>
      <c r="C334" s="159"/>
      <c r="D334" s="636"/>
      <c r="E334" s="636"/>
      <c r="F334" s="159"/>
      <c r="G334" s="159"/>
      <c r="H334" s="159"/>
      <c r="I334" s="668"/>
      <c r="J334" s="157"/>
      <c r="K334" s="708"/>
      <c r="L334" s="157"/>
      <c r="M334" s="157"/>
      <c r="N334" s="157"/>
      <c r="O334" s="668"/>
      <c r="P334" s="709"/>
      <c r="Q334" s="59"/>
      <c r="R334" s="61"/>
      <c r="S334" s="41"/>
      <c r="T334" s="59"/>
      <c r="Y334" s="61"/>
      <c r="Z334" s="59"/>
      <c r="AF334" s="61"/>
      <c r="AH334" s="61"/>
      <c r="AI334" s="41"/>
      <c r="AK334" s="40">
        <v>331.0</v>
      </c>
      <c r="AL334" s="738" t="s">
        <v>2374</v>
      </c>
      <c r="AM334" s="738" t="s">
        <v>1754</v>
      </c>
      <c r="AN334" s="738" t="s">
        <v>1744</v>
      </c>
      <c r="AO334" s="739" t="s">
        <v>1728</v>
      </c>
      <c r="AP334" s="740"/>
    </row>
    <row r="335">
      <c r="A335" s="159"/>
      <c r="B335" s="636"/>
      <c r="C335" s="159"/>
      <c r="D335" s="636"/>
      <c r="E335" s="636"/>
      <c r="F335" s="159"/>
      <c r="G335" s="159"/>
      <c r="H335" s="159"/>
      <c r="I335" s="668"/>
      <c r="J335" s="157"/>
      <c r="K335" s="708"/>
      <c r="L335" s="157"/>
      <c r="M335" s="157"/>
      <c r="N335" s="157"/>
      <c r="O335" s="668"/>
      <c r="P335" s="709"/>
      <c r="Q335" s="59"/>
      <c r="R335" s="61"/>
      <c r="S335" s="41"/>
      <c r="T335" s="59"/>
      <c r="Y335" s="61"/>
      <c r="Z335" s="59"/>
      <c r="AF335" s="61"/>
      <c r="AH335" s="61"/>
      <c r="AI335" s="41"/>
      <c r="AK335" s="40">
        <v>332.0</v>
      </c>
      <c r="AL335" s="719" t="s">
        <v>2374</v>
      </c>
      <c r="AM335" s="720" t="s">
        <v>1754</v>
      </c>
      <c r="AN335" s="720" t="s">
        <v>1744</v>
      </c>
      <c r="AO335" s="722" t="s">
        <v>1728</v>
      </c>
      <c r="AP335" s="723"/>
    </row>
    <row r="336">
      <c r="A336" s="159"/>
      <c r="B336" s="636"/>
      <c r="C336" s="159"/>
      <c r="D336" s="636"/>
      <c r="E336" s="636"/>
      <c r="F336" s="159"/>
      <c r="G336" s="159"/>
      <c r="H336" s="159"/>
      <c r="I336" s="668"/>
      <c r="J336" s="157"/>
      <c r="K336" s="708"/>
      <c r="L336" s="157"/>
      <c r="M336" s="157"/>
      <c r="N336" s="157"/>
      <c r="O336" s="668"/>
      <c r="P336" s="709"/>
      <c r="Q336" s="59"/>
      <c r="R336" s="61"/>
      <c r="S336" s="41"/>
      <c r="T336" s="59"/>
      <c r="Y336" s="61"/>
      <c r="Z336" s="59"/>
      <c r="AF336" s="61"/>
      <c r="AH336" s="61"/>
      <c r="AI336" s="41"/>
      <c r="AK336" s="40">
        <v>333.0</v>
      </c>
      <c r="AL336" s="738" t="s">
        <v>2374</v>
      </c>
      <c r="AM336" s="738" t="s">
        <v>1754</v>
      </c>
      <c r="AN336" s="738" t="s">
        <v>1744</v>
      </c>
      <c r="AO336" s="739" t="s">
        <v>1728</v>
      </c>
      <c r="AP336" s="740"/>
    </row>
    <row r="337">
      <c r="A337" s="159"/>
      <c r="B337" s="636"/>
      <c r="C337" s="159"/>
      <c r="D337" s="636"/>
      <c r="E337" s="636"/>
      <c r="F337" s="159"/>
      <c r="G337" s="159"/>
      <c r="H337" s="159"/>
      <c r="I337" s="668"/>
      <c r="J337" s="157"/>
      <c r="K337" s="708"/>
      <c r="L337" s="157"/>
      <c r="M337" s="157"/>
      <c r="N337" s="157"/>
      <c r="O337" s="668"/>
      <c r="P337" s="709"/>
      <c r="Q337" s="59"/>
      <c r="R337" s="61"/>
      <c r="S337" s="41"/>
      <c r="T337" s="59"/>
      <c r="Y337" s="61"/>
      <c r="Z337" s="59"/>
      <c r="AF337" s="61"/>
      <c r="AH337" s="61"/>
      <c r="AI337" s="41"/>
      <c r="AK337" s="40">
        <v>334.0</v>
      </c>
      <c r="AL337" s="719" t="s">
        <v>2375</v>
      </c>
      <c r="AM337" s="720" t="s">
        <v>1801</v>
      </c>
      <c r="AN337" s="720" t="s">
        <v>1744</v>
      </c>
      <c r="AO337" s="722">
        <v>0.512</v>
      </c>
      <c r="AP337" s="722" t="s">
        <v>1802</v>
      </c>
    </row>
    <row r="338">
      <c r="A338" s="159"/>
      <c r="B338" s="636"/>
      <c r="C338" s="159"/>
      <c r="D338" s="636"/>
      <c r="E338" s="636"/>
      <c r="F338" s="159"/>
      <c r="G338" s="159"/>
      <c r="H338" s="159"/>
      <c r="I338" s="668"/>
      <c r="J338" s="157"/>
      <c r="K338" s="708"/>
      <c r="L338" s="157"/>
      <c r="M338" s="157"/>
      <c r="N338" s="157"/>
      <c r="O338" s="668"/>
      <c r="P338" s="709"/>
      <c r="Q338" s="59"/>
      <c r="R338" s="61"/>
      <c r="S338" s="41"/>
      <c r="T338" s="59"/>
      <c r="Y338" s="61"/>
      <c r="Z338" s="59"/>
      <c r="AF338" s="61"/>
      <c r="AH338" s="61"/>
      <c r="AI338" s="41"/>
      <c r="AK338" s="40">
        <v>335.0</v>
      </c>
      <c r="AL338" s="738" t="s">
        <v>2376</v>
      </c>
      <c r="AM338" s="738" t="s">
        <v>1758</v>
      </c>
      <c r="AN338" s="738" t="s">
        <v>1744</v>
      </c>
      <c r="AO338" s="739" t="s">
        <v>1728</v>
      </c>
      <c r="AP338" s="740"/>
    </row>
    <row r="339">
      <c r="A339" s="159"/>
      <c r="B339" s="636"/>
      <c r="C339" s="159"/>
      <c r="D339" s="636"/>
      <c r="E339" s="636"/>
      <c r="F339" s="159"/>
      <c r="G339" s="159"/>
      <c r="H339" s="159"/>
      <c r="I339" s="668"/>
      <c r="J339" s="157"/>
      <c r="K339" s="708"/>
      <c r="L339" s="157"/>
      <c r="M339" s="157"/>
      <c r="N339" s="157"/>
      <c r="O339" s="668"/>
      <c r="P339" s="709"/>
      <c r="Q339" s="59"/>
      <c r="R339" s="61"/>
      <c r="S339" s="41"/>
      <c r="T339" s="59"/>
      <c r="Y339" s="61"/>
      <c r="Z339" s="59"/>
      <c r="AF339" s="61"/>
      <c r="AH339" s="61"/>
      <c r="AI339" s="41"/>
      <c r="AK339" s="40">
        <v>336.0</v>
      </c>
      <c r="AL339" s="719" t="s">
        <v>2376</v>
      </c>
      <c r="AM339" s="720" t="s">
        <v>1758</v>
      </c>
      <c r="AN339" s="720" t="s">
        <v>1744</v>
      </c>
      <c r="AO339" s="722" t="s">
        <v>1728</v>
      </c>
      <c r="AP339" s="723"/>
    </row>
    <row r="340">
      <c r="A340" s="159"/>
      <c r="B340" s="636"/>
      <c r="C340" s="159"/>
      <c r="D340" s="636"/>
      <c r="E340" s="636"/>
      <c r="F340" s="159"/>
      <c r="G340" s="159"/>
      <c r="H340" s="159"/>
      <c r="I340" s="668"/>
      <c r="J340" s="157"/>
      <c r="K340" s="708"/>
      <c r="L340" s="157"/>
      <c r="M340" s="157"/>
      <c r="N340" s="157"/>
      <c r="O340" s="668"/>
      <c r="P340" s="709"/>
      <c r="Q340" s="59"/>
      <c r="R340" s="61"/>
      <c r="S340" s="41"/>
      <c r="T340" s="59"/>
      <c r="Y340" s="61"/>
      <c r="Z340" s="59"/>
      <c r="AF340" s="61"/>
      <c r="AH340" s="61"/>
      <c r="AI340" s="41"/>
      <c r="AK340" s="40">
        <v>337.0</v>
      </c>
      <c r="AL340" s="738" t="s">
        <v>2376</v>
      </c>
      <c r="AM340" s="738" t="s">
        <v>1758</v>
      </c>
      <c r="AN340" s="738" t="s">
        <v>1744</v>
      </c>
      <c r="AO340" s="739" t="s">
        <v>1728</v>
      </c>
      <c r="AP340" s="740"/>
    </row>
    <row r="341">
      <c r="A341" s="159"/>
      <c r="B341" s="636"/>
      <c r="C341" s="159"/>
      <c r="D341" s="636"/>
      <c r="E341" s="636"/>
      <c r="F341" s="159"/>
      <c r="G341" s="159"/>
      <c r="H341" s="159"/>
      <c r="I341" s="668"/>
      <c r="J341" s="157"/>
      <c r="K341" s="708"/>
      <c r="L341" s="157"/>
      <c r="M341" s="157"/>
      <c r="N341" s="157"/>
      <c r="O341" s="668"/>
      <c r="P341" s="709"/>
      <c r="Q341" s="59"/>
      <c r="R341" s="61"/>
      <c r="S341" s="41"/>
      <c r="T341" s="59"/>
      <c r="Y341" s="61"/>
      <c r="Z341" s="59"/>
      <c r="AF341" s="61"/>
      <c r="AH341" s="61"/>
      <c r="AI341" s="41"/>
      <c r="AK341" s="40">
        <v>338.0</v>
      </c>
      <c r="AL341" s="719" t="s">
        <v>2377</v>
      </c>
      <c r="AM341" s="720" t="s">
        <v>1760</v>
      </c>
      <c r="AN341" s="720" t="s">
        <v>1744</v>
      </c>
      <c r="AO341" s="722" t="s">
        <v>1728</v>
      </c>
      <c r="AP341" s="723"/>
    </row>
    <row r="342">
      <c r="A342" s="159"/>
      <c r="B342" s="636"/>
      <c r="C342" s="159"/>
      <c r="D342" s="636"/>
      <c r="E342" s="636"/>
      <c r="F342" s="159"/>
      <c r="G342" s="159"/>
      <c r="H342" s="159"/>
      <c r="I342" s="668"/>
      <c r="J342" s="157"/>
      <c r="K342" s="708"/>
      <c r="L342" s="157"/>
      <c r="M342" s="157"/>
      <c r="N342" s="157"/>
      <c r="O342" s="668"/>
      <c r="P342" s="709"/>
      <c r="Q342" s="59"/>
      <c r="R342" s="61"/>
      <c r="S342" s="41"/>
      <c r="T342" s="59"/>
      <c r="Y342" s="61"/>
      <c r="Z342" s="59"/>
      <c r="AF342" s="61"/>
      <c r="AH342" s="61"/>
      <c r="AI342" s="41"/>
      <c r="AK342" s="40">
        <v>339.0</v>
      </c>
      <c r="AL342" s="738" t="s">
        <v>2377</v>
      </c>
      <c r="AM342" s="738" t="s">
        <v>1760</v>
      </c>
      <c r="AN342" s="738" t="s">
        <v>1744</v>
      </c>
      <c r="AO342" s="739" t="s">
        <v>1728</v>
      </c>
      <c r="AP342" s="740"/>
    </row>
    <row r="343">
      <c r="A343" s="159"/>
      <c r="B343" s="636"/>
      <c r="C343" s="159"/>
      <c r="D343" s="636"/>
      <c r="E343" s="636"/>
      <c r="F343" s="159"/>
      <c r="G343" s="159"/>
      <c r="H343" s="159"/>
      <c r="I343" s="668"/>
      <c r="J343" s="157"/>
      <c r="K343" s="708"/>
      <c r="L343" s="157"/>
      <c r="M343" s="157"/>
      <c r="N343" s="157"/>
      <c r="O343" s="668"/>
      <c r="P343" s="709"/>
      <c r="Q343" s="59"/>
      <c r="R343" s="61"/>
      <c r="S343" s="41"/>
      <c r="T343" s="59"/>
      <c r="Y343" s="61"/>
      <c r="Z343" s="59"/>
      <c r="AF343" s="61"/>
      <c r="AH343" s="61"/>
      <c r="AI343" s="41"/>
      <c r="AK343" s="40">
        <v>340.0</v>
      </c>
      <c r="AL343" s="719" t="s">
        <v>2377</v>
      </c>
      <c r="AM343" s="720" t="s">
        <v>1760</v>
      </c>
      <c r="AN343" s="720" t="s">
        <v>1744</v>
      </c>
      <c r="AO343" s="722" t="s">
        <v>1728</v>
      </c>
      <c r="AP343" s="723"/>
    </row>
    <row r="344">
      <c r="A344" s="159"/>
      <c r="B344" s="636"/>
      <c r="C344" s="159"/>
      <c r="D344" s="636"/>
      <c r="E344" s="636"/>
      <c r="F344" s="159"/>
      <c r="G344" s="159"/>
      <c r="H344" s="159"/>
      <c r="I344" s="668"/>
      <c r="J344" s="157"/>
      <c r="K344" s="708"/>
      <c r="L344" s="157"/>
      <c r="M344" s="157"/>
      <c r="N344" s="157"/>
      <c r="O344" s="668"/>
      <c r="P344" s="709"/>
      <c r="Q344" s="59"/>
      <c r="R344" s="61"/>
      <c r="S344" s="41"/>
      <c r="T344" s="59"/>
      <c r="Y344" s="61"/>
      <c r="Z344" s="59"/>
      <c r="AF344" s="61"/>
      <c r="AH344" s="61"/>
      <c r="AI344" s="41"/>
      <c r="AK344" s="40">
        <v>341.0</v>
      </c>
      <c r="AL344" s="738" t="s">
        <v>2377</v>
      </c>
      <c r="AM344" s="738" t="s">
        <v>1760</v>
      </c>
      <c r="AN344" s="738" t="s">
        <v>1744</v>
      </c>
      <c r="AO344" s="739" t="s">
        <v>1728</v>
      </c>
      <c r="AP344" s="740"/>
    </row>
    <row r="345">
      <c r="A345" s="159"/>
      <c r="B345" s="636"/>
      <c r="C345" s="159"/>
      <c r="D345" s="636"/>
      <c r="E345" s="636"/>
      <c r="F345" s="159"/>
      <c r="G345" s="159"/>
      <c r="H345" s="159"/>
      <c r="I345" s="668"/>
      <c r="J345" s="157"/>
      <c r="K345" s="708"/>
      <c r="L345" s="157"/>
      <c r="M345" s="157"/>
      <c r="N345" s="157"/>
      <c r="O345" s="668"/>
      <c r="P345" s="709"/>
      <c r="Q345" s="59"/>
      <c r="R345" s="61"/>
      <c r="S345" s="41"/>
      <c r="T345" s="59"/>
      <c r="Y345" s="61"/>
      <c r="Z345" s="59"/>
      <c r="AF345" s="61"/>
      <c r="AH345" s="61"/>
      <c r="AI345" s="41"/>
      <c r="AK345" s="40">
        <v>342.0</v>
      </c>
      <c r="AL345" s="719" t="s">
        <v>2378</v>
      </c>
      <c r="AM345" s="720" t="s">
        <v>1777</v>
      </c>
      <c r="AN345" s="720" t="s">
        <v>1744</v>
      </c>
      <c r="AO345" s="722">
        <v>0.625</v>
      </c>
      <c r="AP345" s="722" t="s">
        <v>1778</v>
      </c>
    </row>
    <row r="346">
      <c r="A346" s="159"/>
      <c r="B346" s="636"/>
      <c r="C346" s="159"/>
      <c r="D346" s="636"/>
      <c r="E346" s="636"/>
      <c r="F346" s="159"/>
      <c r="G346" s="159"/>
      <c r="H346" s="159"/>
      <c r="I346" s="668"/>
      <c r="J346" s="157"/>
      <c r="K346" s="708"/>
      <c r="L346" s="157"/>
      <c r="M346" s="157"/>
      <c r="N346" s="157"/>
      <c r="O346" s="668"/>
      <c r="P346" s="709"/>
      <c r="Q346" s="59"/>
      <c r="R346" s="61"/>
      <c r="S346" s="41"/>
      <c r="T346" s="59"/>
      <c r="Y346" s="61"/>
      <c r="Z346" s="59"/>
      <c r="AF346" s="61"/>
      <c r="AH346" s="61"/>
      <c r="AI346" s="41"/>
      <c r="AK346" s="40">
        <v>343.0</v>
      </c>
      <c r="AL346" s="738" t="s">
        <v>2378</v>
      </c>
      <c r="AM346" s="738" t="s">
        <v>1777</v>
      </c>
      <c r="AN346" s="738" t="s">
        <v>1744</v>
      </c>
      <c r="AO346" s="739">
        <v>0.625</v>
      </c>
      <c r="AP346" s="739" t="s">
        <v>1778</v>
      </c>
    </row>
    <row r="347">
      <c r="A347" s="159"/>
      <c r="B347" s="636"/>
      <c r="C347" s="159"/>
      <c r="D347" s="636"/>
      <c r="E347" s="636"/>
      <c r="F347" s="159"/>
      <c r="G347" s="159"/>
      <c r="H347" s="159"/>
      <c r="I347" s="668"/>
      <c r="J347" s="157"/>
      <c r="K347" s="708"/>
      <c r="L347" s="157"/>
      <c r="M347" s="157"/>
      <c r="N347" s="157"/>
      <c r="O347" s="668"/>
      <c r="P347" s="709"/>
      <c r="Q347" s="59"/>
      <c r="R347" s="61"/>
      <c r="S347" s="41"/>
      <c r="T347" s="59"/>
      <c r="Y347" s="61"/>
      <c r="Z347" s="59"/>
      <c r="AF347" s="61"/>
      <c r="AH347" s="61"/>
      <c r="AI347" s="41"/>
      <c r="AK347" s="40">
        <v>344.0</v>
      </c>
      <c r="AL347" s="719" t="s">
        <v>2379</v>
      </c>
      <c r="AM347" s="720" t="s">
        <v>1763</v>
      </c>
      <c r="AN347" s="720" t="s">
        <v>1744</v>
      </c>
      <c r="AO347" s="722" t="s">
        <v>1728</v>
      </c>
      <c r="AP347" s="723"/>
    </row>
    <row r="348">
      <c r="A348" s="159"/>
      <c r="B348" s="636"/>
      <c r="C348" s="159"/>
      <c r="D348" s="636"/>
      <c r="E348" s="636"/>
      <c r="F348" s="159"/>
      <c r="G348" s="159"/>
      <c r="H348" s="159"/>
      <c r="I348" s="668"/>
      <c r="J348" s="157"/>
      <c r="K348" s="708"/>
      <c r="L348" s="157"/>
      <c r="M348" s="157"/>
      <c r="N348" s="157"/>
      <c r="O348" s="668"/>
      <c r="P348" s="709"/>
      <c r="Q348" s="59"/>
      <c r="R348" s="61"/>
      <c r="S348" s="41"/>
      <c r="T348" s="59"/>
      <c r="Y348" s="61"/>
      <c r="Z348" s="59"/>
      <c r="AF348" s="61"/>
      <c r="AH348" s="61"/>
      <c r="AI348" s="41"/>
      <c r="AK348" s="40">
        <v>345.0</v>
      </c>
      <c r="AL348" s="738" t="s">
        <v>2379</v>
      </c>
      <c r="AM348" s="738" t="s">
        <v>1763</v>
      </c>
      <c r="AN348" s="738" t="s">
        <v>1744</v>
      </c>
      <c r="AO348" s="739" t="s">
        <v>1728</v>
      </c>
      <c r="AP348" s="740"/>
    </row>
    <row r="349">
      <c r="A349" s="159"/>
      <c r="B349" s="636"/>
      <c r="C349" s="159"/>
      <c r="D349" s="636"/>
      <c r="E349" s="636"/>
      <c r="F349" s="159"/>
      <c r="G349" s="159"/>
      <c r="H349" s="159"/>
      <c r="I349" s="668"/>
      <c r="J349" s="157"/>
      <c r="K349" s="708"/>
      <c r="L349" s="157"/>
      <c r="M349" s="157"/>
      <c r="N349" s="157"/>
      <c r="O349" s="668"/>
      <c r="P349" s="709"/>
      <c r="Q349" s="59"/>
      <c r="R349" s="61"/>
      <c r="S349" s="41"/>
      <c r="T349" s="59"/>
      <c r="Y349" s="61"/>
      <c r="Z349" s="59"/>
      <c r="AF349" s="61"/>
      <c r="AH349" s="61"/>
      <c r="AI349" s="41"/>
      <c r="AK349" s="40">
        <v>346.0</v>
      </c>
      <c r="AL349" s="719" t="s">
        <v>2379</v>
      </c>
      <c r="AM349" s="720" t="s">
        <v>1763</v>
      </c>
      <c r="AN349" s="720" t="s">
        <v>1744</v>
      </c>
      <c r="AO349" s="722" t="s">
        <v>1728</v>
      </c>
      <c r="AP349" s="723"/>
    </row>
    <row r="350">
      <c r="A350" s="159"/>
      <c r="B350" s="636"/>
      <c r="C350" s="159"/>
      <c r="D350" s="636"/>
      <c r="E350" s="636"/>
      <c r="F350" s="159"/>
      <c r="G350" s="159"/>
      <c r="H350" s="159"/>
      <c r="I350" s="668"/>
      <c r="J350" s="157"/>
      <c r="K350" s="708"/>
      <c r="L350" s="157"/>
      <c r="M350" s="157"/>
      <c r="N350" s="157"/>
      <c r="O350" s="668"/>
      <c r="P350" s="709"/>
      <c r="Q350" s="59"/>
      <c r="R350" s="61"/>
      <c r="S350" s="41"/>
      <c r="T350" s="59"/>
      <c r="Y350" s="61"/>
      <c r="Z350" s="59"/>
      <c r="AF350" s="61"/>
      <c r="AH350" s="61"/>
      <c r="AI350" s="41"/>
      <c r="AK350" s="40">
        <v>347.0</v>
      </c>
      <c r="AL350" s="738" t="s">
        <v>2379</v>
      </c>
      <c r="AM350" s="738" t="s">
        <v>1763</v>
      </c>
      <c r="AN350" s="738" t="s">
        <v>1744</v>
      </c>
      <c r="AO350" s="739" t="s">
        <v>1728</v>
      </c>
      <c r="AP350" s="740"/>
    </row>
    <row r="351">
      <c r="A351" s="159"/>
      <c r="B351" s="636"/>
      <c r="C351" s="159"/>
      <c r="D351" s="636"/>
      <c r="E351" s="636"/>
      <c r="F351" s="159"/>
      <c r="G351" s="159"/>
      <c r="H351" s="159"/>
      <c r="I351" s="668"/>
      <c r="J351" s="157"/>
      <c r="K351" s="708"/>
      <c r="L351" s="157"/>
      <c r="M351" s="157"/>
      <c r="N351" s="157"/>
      <c r="O351" s="668"/>
      <c r="P351" s="709"/>
      <c r="Q351" s="59"/>
      <c r="R351" s="61"/>
      <c r="S351" s="41"/>
      <c r="T351" s="59"/>
      <c r="Y351" s="61"/>
      <c r="Z351" s="59"/>
      <c r="AF351" s="61"/>
      <c r="AH351" s="61"/>
      <c r="AI351" s="41"/>
      <c r="AK351" s="40">
        <v>348.0</v>
      </c>
      <c r="AL351" s="719" t="s">
        <v>2380</v>
      </c>
      <c r="AM351" s="720" t="s">
        <v>1767</v>
      </c>
      <c r="AN351" s="720" t="s">
        <v>1744</v>
      </c>
      <c r="AO351" s="722" t="s">
        <v>1728</v>
      </c>
      <c r="AP351" s="723"/>
    </row>
    <row r="352">
      <c r="A352" s="159"/>
      <c r="B352" s="636"/>
      <c r="C352" s="159"/>
      <c r="D352" s="636"/>
      <c r="E352" s="636"/>
      <c r="F352" s="159"/>
      <c r="G352" s="159"/>
      <c r="H352" s="159"/>
      <c r="I352" s="668"/>
      <c r="J352" s="157"/>
      <c r="K352" s="708"/>
      <c r="L352" s="157"/>
      <c r="M352" s="157"/>
      <c r="N352" s="157"/>
      <c r="O352" s="668"/>
      <c r="P352" s="709"/>
      <c r="Q352" s="59"/>
      <c r="R352" s="61"/>
      <c r="S352" s="41"/>
      <c r="T352" s="59"/>
      <c r="Y352" s="61"/>
      <c r="Z352" s="59"/>
      <c r="AF352" s="61"/>
      <c r="AH352" s="61"/>
      <c r="AI352" s="41"/>
      <c r="AK352" s="40">
        <v>349.0</v>
      </c>
      <c r="AL352" s="738" t="s">
        <v>2380</v>
      </c>
      <c r="AM352" s="738" t="s">
        <v>1767</v>
      </c>
      <c r="AN352" s="738" t="s">
        <v>1744</v>
      </c>
      <c r="AO352" s="739" t="s">
        <v>1728</v>
      </c>
      <c r="AP352" s="740"/>
    </row>
    <row r="353">
      <c r="A353" s="159"/>
      <c r="B353" s="636"/>
      <c r="C353" s="159"/>
      <c r="D353" s="636"/>
      <c r="E353" s="636"/>
      <c r="F353" s="159"/>
      <c r="G353" s="159"/>
      <c r="H353" s="159"/>
      <c r="I353" s="668"/>
      <c r="J353" s="157"/>
      <c r="K353" s="708"/>
      <c r="L353" s="157"/>
      <c r="M353" s="157"/>
      <c r="N353" s="157"/>
      <c r="O353" s="668"/>
      <c r="P353" s="709"/>
      <c r="Q353" s="59"/>
      <c r="R353" s="61"/>
      <c r="S353" s="41"/>
      <c r="T353" s="59"/>
      <c r="Y353" s="61"/>
      <c r="Z353" s="59"/>
      <c r="AF353" s="61"/>
      <c r="AH353" s="61"/>
      <c r="AI353" s="41"/>
      <c r="AK353" s="40">
        <v>350.0</v>
      </c>
      <c r="AL353" s="719" t="s">
        <v>2380</v>
      </c>
      <c r="AM353" s="720" t="s">
        <v>1767</v>
      </c>
      <c r="AN353" s="720" t="s">
        <v>1744</v>
      </c>
      <c r="AO353" s="722" t="s">
        <v>1728</v>
      </c>
      <c r="AP353" s="723"/>
    </row>
    <row r="354">
      <c r="A354" s="159"/>
      <c r="B354" s="636"/>
      <c r="C354" s="159"/>
      <c r="D354" s="636"/>
      <c r="E354" s="636"/>
      <c r="F354" s="159"/>
      <c r="G354" s="159"/>
      <c r="H354" s="159"/>
      <c r="I354" s="668"/>
      <c r="J354" s="157"/>
      <c r="K354" s="708"/>
      <c r="L354" s="157"/>
      <c r="M354" s="157"/>
      <c r="N354" s="157"/>
      <c r="O354" s="668"/>
      <c r="P354" s="709"/>
      <c r="Q354" s="59"/>
      <c r="R354" s="61"/>
      <c r="S354" s="41"/>
      <c r="T354" s="59"/>
      <c r="Y354" s="61"/>
      <c r="Z354" s="59"/>
      <c r="AF354" s="61"/>
      <c r="AH354" s="61"/>
      <c r="AI354" s="41"/>
      <c r="AK354" s="40">
        <v>351.0</v>
      </c>
      <c r="AL354" s="738" t="s">
        <v>2380</v>
      </c>
      <c r="AM354" s="738" t="s">
        <v>1767</v>
      </c>
      <c r="AN354" s="738" t="s">
        <v>1744</v>
      </c>
      <c r="AO354" s="739" t="s">
        <v>1728</v>
      </c>
      <c r="AP354" s="740"/>
    </row>
    <row r="355">
      <c r="A355" s="159"/>
      <c r="B355" s="636"/>
      <c r="C355" s="159"/>
      <c r="D355" s="636"/>
      <c r="E355" s="636"/>
      <c r="F355" s="159"/>
      <c r="G355" s="159"/>
      <c r="H355" s="159"/>
      <c r="I355" s="668"/>
      <c r="J355" s="157"/>
      <c r="K355" s="708"/>
      <c r="L355" s="157"/>
      <c r="M355" s="157"/>
      <c r="N355" s="157"/>
      <c r="O355" s="668"/>
      <c r="P355" s="709"/>
      <c r="Q355" s="59"/>
      <c r="R355" s="61"/>
      <c r="S355" s="41"/>
      <c r="T355" s="59"/>
      <c r="Y355" s="61"/>
      <c r="Z355" s="59"/>
      <c r="AF355" s="61"/>
      <c r="AH355" s="61"/>
      <c r="AI355" s="41"/>
      <c r="AK355" s="40">
        <v>352.0</v>
      </c>
      <c r="AL355" s="719" t="s">
        <v>2380</v>
      </c>
      <c r="AM355" s="720" t="s">
        <v>1767</v>
      </c>
      <c r="AN355" s="720" t="s">
        <v>1744</v>
      </c>
      <c r="AO355" s="722" t="s">
        <v>1728</v>
      </c>
      <c r="AP355" s="723"/>
    </row>
    <row r="356">
      <c r="A356" s="159"/>
      <c r="B356" s="636"/>
      <c r="C356" s="159"/>
      <c r="D356" s="636"/>
      <c r="E356" s="636"/>
      <c r="F356" s="159"/>
      <c r="G356" s="159"/>
      <c r="H356" s="159"/>
      <c r="I356" s="668"/>
      <c r="J356" s="157"/>
      <c r="K356" s="708"/>
      <c r="L356" s="157"/>
      <c r="M356" s="157"/>
      <c r="N356" s="157"/>
      <c r="O356" s="668"/>
      <c r="P356" s="709"/>
      <c r="Q356" s="59"/>
      <c r="R356" s="61"/>
      <c r="S356" s="41"/>
      <c r="T356" s="59"/>
      <c r="Y356" s="61"/>
      <c r="Z356" s="59"/>
      <c r="AF356" s="61"/>
      <c r="AH356" s="61"/>
      <c r="AI356" s="41"/>
      <c r="AK356" s="40">
        <v>353.0</v>
      </c>
      <c r="AL356" s="738" t="s">
        <v>2381</v>
      </c>
      <c r="AM356" s="738" t="s">
        <v>2050</v>
      </c>
      <c r="AN356" s="738" t="s">
        <v>2051</v>
      </c>
      <c r="AO356" s="739">
        <v>0.051</v>
      </c>
      <c r="AP356" s="739" t="s">
        <v>2052</v>
      </c>
    </row>
    <row r="357">
      <c r="A357" s="159"/>
      <c r="B357" s="636"/>
      <c r="C357" s="159"/>
      <c r="D357" s="636"/>
      <c r="E357" s="636"/>
      <c r="F357" s="159"/>
      <c r="G357" s="159"/>
      <c r="H357" s="159"/>
      <c r="I357" s="668"/>
      <c r="J357" s="157"/>
      <c r="K357" s="708"/>
      <c r="L357" s="157"/>
      <c r="M357" s="157"/>
      <c r="N357" s="157"/>
      <c r="O357" s="668"/>
      <c r="P357" s="709"/>
      <c r="Q357" s="59"/>
      <c r="R357" s="61"/>
      <c r="S357" s="41"/>
      <c r="T357" s="59"/>
      <c r="Y357" s="61"/>
      <c r="Z357" s="59"/>
      <c r="AF357" s="61"/>
      <c r="AH357" s="61"/>
      <c r="AI357" s="41"/>
      <c r="AK357" s="40">
        <v>354.0</v>
      </c>
      <c r="AL357" s="719" t="s">
        <v>2382</v>
      </c>
      <c r="AM357" s="720" t="s">
        <v>1952</v>
      </c>
      <c r="AN357" s="720" t="s">
        <v>1953</v>
      </c>
      <c r="AO357" s="722">
        <v>0.133</v>
      </c>
      <c r="AP357" s="722" t="s">
        <v>1954</v>
      </c>
    </row>
    <row r="358">
      <c r="A358" s="159"/>
      <c r="B358" s="636"/>
      <c r="C358" s="159"/>
      <c r="D358" s="636"/>
      <c r="E358" s="636"/>
      <c r="F358" s="159"/>
      <c r="G358" s="159"/>
      <c r="H358" s="159"/>
      <c r="I358" s="668"/>
      <c r="J358" s="157"/>
      <c r="K358" s="708"/>
      <c r="L358" s="157"/>
      <c r="M358" s="157"/>
      <c r="N358" s="157"/>
      <c r="O358" s="668"/>
      <c r="P358" s="709"/>
      <c r="Q358" s="59"/>
      <c r="R358" s="61"/>
      <c r="S358" s="41"/>
      <c r="T358" s="59"/>
      <c r="Y358" s="61"/>
      <c r="Z358" s="59"/>
      <c r="AF358" s="61"/>
      <c r="AH358" s="61"/>
      <c r="AI358" s="41"/>
      <c r="AK358" s="40">
        <v>355.0</v>
      </c>
      <c r="AL358" s="738" t="s">
        <v>2383</v>
      </c>
      <c r="AM358" s="738" t="s">
        <v>2131</v>
      </c>
      <c r="AN358" s="738" t="s">
        <v>2132</v>
      </c>
      <c r="AO358" s="739">
        <v>0.006</v>
      </c>
      <c r="AP358" s="739" t="s">
        <v>2133</v>
      </c>
    </row>
    <row r="359">
      <c r="A359" s="159"/>
      <c r="B359" s="636"/>
      <c r="C359" s="159"/>
      <c r="D359" s="636"/>
      <c r="E359" s="636"/>
      <c r="F359" s="159"/>
      <c r="G359" s="159"/>
      <c r="H359" s="159"/>
      <c r="I359" s="668"/>
      <c r="J359" s="157"/>
      <c r="K359" s="708"/>
      <c r="L359" s="157"/>
      <c r="M359" s="157"/>
      <c r="N359" s="157"/>
      <c r="O359" s="668"/>
      <c r="P359" s="709"/>
      <c r="Q359" s="59"/>
      <c r="R359" s="61"/>
      <c r="S359" s="41"/>
      <c r="T359" s="59"/>
      <c r="Y359" s="61"/>
      <c r="Z359" s="59"/>
      <c r="AF359" s="61"/>
      <c r="AH359" s="61"/>
      <c r="AI359" s="41"/>
      <c r="AK359" s="40">
        <v>356.0</v>
      </c>
      <c r="AL359" s="719" t="s">
        <v>2384</v>
      </c>
      <c r="AM359" s="720" t="s">
        <v>2384</v>
      </c>
      <c r="AN359" s="720" t="s">
        <v>2385</v>
      </c>
      <c r="AO359" s="722">
        <v>0.058</v>
      </c>
      <c r="AP359" s="722" t="s">
        <v>2386</v>
      </c>
    </row>
    <row r="360">
      <c r="A360" s="159"/>
      <c r="B360" s="636"/>
      <c r="C360" s="159"/>
      <c r="D360" s="636"/>
      <c r="E360" s="636"/>
      <c r="F360" s="159"/>
      <c r="G360" s="159"/>
      <c r="H360" s="159"/>
      <c r="I360" s="668"/>
      <c r="J360" s="157"/>
      <c r="K360" s="708"/>
      <c r="L360" s="157"/>
      <c r="M360" s="157"/>
      <c r="N360" s="157"/>
      <c r="O360" s="668"/>
      <c r="P360" s="709"/>
      <c r="Q360" s="59"/>
      <c r="R360" s="61"/>
      <c r="S360" s="41"/>
      <c r="T360" s="59"/>
      <c r="Y360" s="61"/>
      <c r="Z360" s="59"/>
      <c r="AF360" s="61"/>
      <c r="AH360" s="61"/>
      <c r="AI360" s="41"/>
      <c r="AK360" s="40">
        <v>357.0</v>
      </c>
      <c r="AL360" s="738" t="s">
        <v>2387</v>
      </c>
      <c r="AM360" s="738" t="s">
        <v>2050</v>
      </c>
      <c r="AN360" s="738" t="s">
        <v>2051</v>
      </c>
      <c r="AO360" s="739">
        <v>0.051</v>
      </c>
      <c r="AP360" s="739" t="s">
        <v>2052</v>
      </c>
    </row>
    <row r="361">
      <c r="A361" s="159"/>
      <c r="B361" s="636"/>
      <c r="C361" s="159"/>
      <c r="D361" s="636"/>
      <c r="E361" s="636"/>
      <c r="F361" s="159"/>
      <c r="G361" s="159"/>
      <c r="H361" s="159"/>
      <c r="I361" s="668"/>
      <c r="J361" s="157"/>
      <c r="K361" s="708"/>
      <c r="L361" s="157"/>
      <c r="M361" s="157"/>
      <c r="N361" s="157"/>
      <c r="O361" s="668"/>
      <c r="P361" s="709"/>
      <c r="Q361" s="59"/>
      <c r="R361" s="61"/>
      <c r="S361" s="41"/>
      <c r="T361" s="59"/>
      <c r="Y361" s="61"/>
      <c r="Z361" s="59"/>
      <c r="AF361" s="61"/>
      <c r="AH361" s="61"/>
      <c r="AI361" s="41"/>
      <c r="AK361" s="40">
        <v>358.0</v>
      </c>
      <c r="AL361" s="719" t="s">
        <v>2388</v>
      </c>
      <c r="AM361" s="720" t="s">
        <v>1952</v>
      </c>
      <c r="AN361" s="720" t="s">
        <v>1953</v>
      </c>
      <c r="AO361" s="722">
        <v>0.133</v>
      </c>
      <c r="AP361" s="722" t="s">
        <v>1954</v>
      </c>
    </row>
    <row r="362">
      <c r="A362" s="159"/>
      <c r="B362" s="636"/>
      <c r="C362" s="159"/>
      <c r="D362" s="636"/>
      <c r="E362" s="636"/>
      <c r="F362" s="159"/>
      <c r="G362" s="159"/>
      <c r="H362" s="159"/>
      <c r="I362" s="668"/>
      <c r="J362" s="157"/>
      <c r="K362" s="708"/>
      <c r="L362" s="157"/>
      <c r="M362" s="157"/>
      <c r="N362" s="157"/>
      <c r="O362" s="668"/>
      <c r="P362" s="709"/>
      <c r="Q362" s="59"/>
      <c r="R362" s="61"/>
      <c r="S362" s="41"/>
      <c r="T362" s="59"/>
      <c r="Y362" s="61"/>
      <c r="Z362" s="59"/>
      <c r="AF362" s="61"/>
      <c r="AH362" s="61"/>
      <c r="AI362" s="41"/>
      <c r="AK362" s="40">
        <v>359.0</v>
      </c>
      <c r="AL362" s="738" t="s">
        <v>2389</v>
      </c>
      <c r="AM362" s="738" t="s">
        <v>2156</v>
      </c>
      <c r="AN362" s="745"/>
      <c r="AO362" s="739">
        <v>0.0</v>
      </c>
      <c r="AP362" s="739" t="s">
        <v>2157</v>
      </c>
    </row>
    <row r="363">
      <c r="A363" s="159"/>
      <c r="B363" s="636"/>
      <c r="C363" s="159"/>
      <c r="D363" s="636"/>
      <c r="E363" s="636"/>
      <c r="F363" s="159"/>
      <c r="G363" s="159"/>
      <c r="H363" s="159"/>
      <c r="I363" s="668"/>
      <c r="J363" s="157"/>
      <c r="K363" s="708"/>
      <c r="L363" s="157"/>
      <c r="M363" s="157"/>
      <c r="N363" s="157"/>
      <c r="O363" s="668"/>
      <c r="P363" s="709"/>
      <c r="Q363" s="59"/>
      <c r="R363" s="61"/>
      <c r="S363" s="41"/>
      <c r="T363" s="59"/>
      <c r="Y363" s="61"/>
      <c r="Z363" s="59"/>
      <c r="AF363" s="61"/>
      <c r="AH363" s="61"/>
      <c r="AI363" s="41"/>
      <c r="AK363" s="40">
        <v>360.0</v>
      </c>
      <c r="AL363" s="719" t="s">
        <v>2390</v>
      </c>
      <c r="AM363" s="720" t="s">
        <v>2050</v>
      </c>
      <c r="AN363" s="720" t="s">
        <v>2051</v>
      </c>
      <c r="AO363" s="722">
        <v>0.051</v>
      </c>
      <c r="AP363" s="722" t="s">
        <v>2052</v>
      </c>
    </row>
    <row r="364">
      <c r="A364" s="159"/>
      <c r="B364" s="636"/>
      <c r="C364" s="159"/>
      <c r="D364" s="636"/>
      <c r="E364" s="636"/>
      <c r="F364" s="159"/>
      <c r="G364" s="159"/>
      <c r="H364" s="159"/>
      <c r="I364" s="668"/>
      <c r="J364" s="157"/>
      <c r="K364" s="708"/>
      <c r="L364" s="157"/>
      <c r="M364" s="157"/>
      <c r="N364" s="157"/>
      <c r="O364" s="668"/>
      <c r="P364" s="709"/>
      <c r="Q364" s="59"/>
      <c r="R364" s="61"/>
      <c r="S364" s="41"/>
      <c r="T364" s="59"/>
      <c r="Y364" s="61"/>
      <c r="Z364" s="59"/>
      <c r="AF364" s="61"/>
      <c r="AH364" s="61"/>
      <c r="AI364" s="41"/>
      <c r="AK364" s="40">
        <v>361.0</v>
      </c>
      <c r="AL364" s="738" t="s">
        <v>2391</v>
      </c>
      <c r="AM364" s="738" t="s">
        <v>1952</v>
      </c>
      <c r="AN364" s="738" t="s">
        <v>1953</v>
      </c>
      <c r="AO364" s="739">
        <v>0.133</v>
      </c>
      <c r="AP364" s="739" t="s">
        <v>1954</v>
      </c>
    </row>
    <row r="365">
      <c r="A365" s="159"/>
      <c r="B365" s="636"/>
      <c r="C365" s="159"/>
      <c r="D365" s="636"/>
      <c r="E365" s="636"/>
      <c r="F365" s="159"/>
      <c r="G365" s="159"/>
      <c r="H365" s="159"/>
      <c r="I365" s="668"/>
      <c r="J365" s="157"/>
      <c r="K365" s="708"/>
      <c r="L365" s="157"/>
      <c r="M365" s="157"/>
      <c r="N365" s="157"/>
      <c r="O365" s="668"/>
      <c r="P365" s="709"/>
      <c r="Q365" s="59"/>
      <c r="R365" s="61"/>
      <c r="S365" s="41"/>
      <c r="T365" s="59"/>
      <c r="Y365" s="61"/>
      <c r="Z365" s="59"/>
      <c r="AF365" s="61"/>
      <c r="AH365" s="61"/>
      <c r="AI365" s="41"/>
      <c r="AK365" s="40">
        <v>362.0</v>
      </c>
      <c r="AL365" s="719" t="s">
        <v>2392</v>
      </c>
      <c r="AM365" s="720" t="s">
        <v>2156</v>
      </c>
      <c r="AN365" s="721"/>
      <c r="AO365" s="722">
        <v>0.0</v>
      </c>
      <c r="AP365" s="722" t="s">
        <v>2157</v>
      </c>
    </row>
    <row r="366">
      <c r="A366" s="159"/>
      <c r="B366" s="636"/>
      <c r="C366" s="159"/>
      <c r="D366" s="636"/>
      <c r="E366" s="636"/>
      <c r="F366" s="159"/>
      <c r="G366" s="159"/>
      <c r="H366" s="159"/>
      <c r="I366" s="668"/>
      <c r="J366" s="157"/>
      <c r="K366" s="708"/>
      <c r="L366" s="157"/>
      <c r="M366" s="157"/>
      <c r="N366" s="157"/>
      <c r="O366" s="668"/>
      <c r="P366" s="709"/>
      <c r="Q366" s="59"/>
      <c r="R366" s="61"/>
      <c r="S366" s="41"/>
      <c r="T366" s="59"/>
      <c r="Y366" s="61"/>
      <c r="Z366" s="59"/>
      <c r="AF366" s="61"/>
      <c r="AH366" s="61"/>
      <c r="AI366" s="41"/>
      <c r="AK366" s="40">
        <v>363.0</v>
      </c>
      <c r="AL366" s="738" t="s">
        <v>2393</v>
      </c>
      <c r="AM366" s="738" t="s">
        <v>2050</v>
      </c>
      <c r="AN366" s="738" t="s">
        <v>2051</v>
      </c>
      <c r="AO366" s="739">
        <v>0.051</v>
      </c>
      <c r="AP366" s="739" t="s">
        <v>2052</v>
      </c>
    </row>
    <row r="367">
      <c r="A367" s="159"/>
      <c r="B367" s="636"/>
      <c r="C367" s="159"/>
      <c r="D367" s="636"/>
      <c r="E367" s="636"/>
      <c r="F367" s="159"/>
      <c r="G367" s="159"/>
      <c r="H367" s="159"/>
      <c r="I367" s="668"/>
      <c r="J367" s="157"/>
      <c r="K367" s="708"/>
      <c r="L367" s="157"/>
      <c r="M367" s="157"/>
      <c r="N367" s="157"/>
      <c r="O367" s="668"/>
      <c r="P367" s="709"/>
      <c r="Q367" s="59"/>
      <c r="R367" s="61"/>
      <c r="S367" s="41"/>
      <c r="T367" s="59"/>
      <c r="Y367" s="61"/>
      <c r="Z367" s="59"/>
      <c r="AF367" s="61"/>
      <c r="AH367" s="61"/>
      <c r="AI367" s="41"/>
      <c r="AK367" s="40">
        <v>364.0</v>
      </c>
      <c r="AL367" s="719" t="s">
        <v>2394</v>
      </c>
      <c r="AM367" s="720" t="s">
        <v>1952</v>
      </c>
      <c r="AN367" s="720" t="s">
        <v>1953</v>
      </c>
      <c r="AO367" s="722">
        <v>0.133</v>
      </c>
      <c r="AP367" s="722" t="s">
        <v>1954</v>
      </c>
    </row>
    <row r="368">
      <c r="A368" s="159"/>
      <c r="B368" s="636"/>
      <c r="C368" s="159"/>
      <c r="D368" s="636"/>
      <c r="E368" s="636"/>
      <c r="F368" s="159"/>
      <c r="G368" s="159"/>
      <c r="H368" s="159"/>
      <c r="I368" s="668"/>
      <c r="J368" s="157"/>
      <c r="K368" s="708"/>
      <c r="L368" s="157"/>
      <c r="M368" s="157"/>
      <c r="N368" s="157"/>
      <c r="O368" s="668"/>
      <c r="P368" s="709"/>
      <c r="Q368" s="59"/>
      <c r="R368" s="61"/>
      <c r="S368" s="41"/>
      <c r="T368" s="59"/>
      <c r="Y368" s="61"/>
      <c r="Z368" s="59"/>
      <c r="AF368" s="61"/>
      <c r="AH368" s="61"/>
      <c r="AI368" s="41"/>
      <c r="AK368" s="40">
        <v>365.0</v>
      </c>
      <c r="AL368" s="738" t="s">
        <v>2395</v>
      </c>
      <c r="AM368" s="738" t="s">
        <v>2156</v>
      </c>
      <c r="AN368" s="745"/>
      <c r="AO368" s="739">
        <v>0.0</v>
      </c>
      <c r="AP368" s="739" t="s">
        <v>2157</v>
      </c>
    </row>
    <row r="369">
      <c r="A369" s="159"/>
      <c r="B369" s="636"/>
      <c r="C369" s="159"/>
      <c r="D369" s="636"/>
      <c r="E369" s="636"/>
      <c r="F369" s="159"/>
      <c r="G369" s="159"/>
      <c r="H369" s="159"/>
      <c r="I369" s="668"/>
      <c r="J369" s="157"/>
      <c r="K369" s="708"/>
      <c r="L369" s="157"/>
      <c r="M369" s="157"/>
      <c r="N369" s="157"/>
      <c r="O369" s="668"/>
      <c r="P369" s="709"/>
      <c r="Q369" s="59"/>
      <c r="R369" s="61"/>
      <c r="S369" s="41"/>
      <c r="T369" s="59"/>
      <c r="Y369" s="61"/>
      <c r="Z369" s="59"/>
      <c r="AF369" s="61"/>
      <c r="AH369" s="61"/>
      <c r="AI369" s="41"/>
      <c r="AK369" s="40">
        <v>366.0</v>
      </c>
      <c r="AL369" s="719" t="s">
        <v>2396</v>
      </c>
      <c r="AM369" s="720" t="s">
        <v>2050</v>
      </c>
      <c r="AN369" s="720" t="s">
        <v>2051</v>
      </c>
      <c r="AO369" s="722">
        <v>0.051</v>
      </c>
      <c r="AP369" s="722" t="s">
        <v>2052</v>
      </c>
    </row>
    <row r="370">
      <c r="A370" s="159"/>
      <c r="B370" s="636"/>
      <c r="C370" s="159"/>
      <c r="D370" s="636"/>
      <c r="E370" s="636"/>
      <c r="F370" s="159"/>
      <c r="G370" s="159"/>
      <c r="H370" s="159"/>
      <c r="I370" s="668"/>
      <c r="J370" s="157"/>
      <c r="K370" s="708"/>
      <c r="L370" s="157"/>
      <c r="M370" s="157"/>
      <c r="N370" s="157"/>
      <c r="O370" s="668"/>
      <c r="P370" s="709"/>
      <c r="Q370" s="59"/>
      <c r="R370" s="61"/>
      <c r="S370" s="41"/>
      <c r="T370" s="59"/>
      <c r="Y370" s="61"/>
      <c r="Z370" s="59"/>
      <c r="AF370" s="61"/>
      <c r="AH370" s="61"/>
      <c r="AI370" s="41"/>
      <c r="AK370" s="40">
        <v>367.0</v>
      </c>
      <c r="AL370" s="738" t="s">
        <v>2397</v>
      </c>
      <c r="AM370" s="738" t="s">
        <v>1952</v>
      </c>
      <c r="AN370" s="738" t="s">
        <v>1953</v>
      </c>
      <c r="AO370" s="739">
        <v>0.133</v>
      </c>
      <c r="AP370" s="739" t="s">
        <v>1954</v>
      </c>
    </row>
    <row r="371">
      <c r="A371" s="159"/>
      <c r="B371" s="636"/>
      <c r="C371" s="159"/>
      <c r="D371" s="636"/>
      <c r="E371" s="636"/>
      <c r="F371" s="159"/>
      <c r="G371" s="159"/>
      <c r="H371" s="159"/>
      <c r="I371" s="668"/>
      <c r="J371" s="157"/>
      <c r="K371" s="708"/>
      <c r="L371" s="157"/>
      <c r="M371" s="157"/>
      <c r="N371" s="157"/>
      <c r="O371" s="668"/>
      <c r="P371" s="709"/>
      <c r="Q371" s="59"/>
      <c r="R371" s="61"/>
      <c r="S371" s="41"/>
      <c r="T371" s="59"/>
      <c r="Y371" s="61"/>
      <c r="Z371" s="59"/>
      <c r="AF371" s="61"/>
      <c r="AH371" s="61"/>
      <c r="AI371" s="41"/>
      <c r="AK371" s="40">
        <v>368.0</v>
      </c>
      <c r="AL371" s="719" t="s">
        <v>2398</v>
      </c>
      <c r="AM371" s="720" t="s">
        <v>2156</v>
      </c>
      <c r="AN371" s="721"/>
      <c r="AO371" s="722">
        <v>0.0</v>
      </c>
      <c r="AP371" s="722" t="s">
        <v>2157</v>
      </c>
    </row>
    <row r="372">
      <c r="A372" s="159"/>
      <c r="B372" s="636"/>
      <c r="C372" s="159"/>
      <c r="D372" s="636"/>
      <c r="E372" s="636"/>
      <c r="F372" s="159"/>
      <c r="G372" s="159"/>
      <c r="H372" s="159"/>
      <c r="I372" s="668"/>
      <c r="J372" s="157"/>
      <c r="K372" s="708"/>
      <c r="L372" s="157"/>
      <c r="M372" s="157"/>
      <c r="N372" s="157"/>
      <c r="O372" s="668"/>
      <c r="P372" s="709"/>
      <c r="Q372" s="59"/>
      <c r="R372" s="61"/>
      <c r="S372" s="41"/>
      <c r="T372" s="59"/>
      <c r="Y372" s="61"/>
      <c r="Z372" s="59"/>
      <c r="AF372" s="61"/>
      <c r="AH372" s="61"/>
      <c r="AI372" s="41"/>
      <c r="AK372" s="40">
        <v>369.0</v>
      </c>
      <c r="AL372" s="738" t="s">
        <v>2399</v>
      </c>
      <c r="AM372" s="738" t="s">
        <v>1873</v>
      </c>
      <c r="AN372" s="738" t="s">
        <v>1874</v>
      </c>
      <c r="AO372" s="739">
        <v>0.296</v>
      </c>
      <c r="AP372" s="739" t="s">
        <v>1875</v>
      </c>
    </row>
    <row r="373">
      <c r="A373" s="159"/>
      <c r="B373" s="636"/>
      <c r="C373" s="159"/>
      <c r="D373" s="636"/>
      <c r="E373" s="636"/>
      <c r="F373" s="159"/>
      <c r="G373" s="159"/>
      <c r="H373" s="159"/>
      <c r="I373" s="668"/>
      <c r="J373" s="157"/>
      <c r="K373" s="708"/>
      <c r="L373" s="157"/>
      <c r="M373" s="157"/>
      <c r="N373" s="157"/>
      <c r="O373" s="668"/>
      <c r="P373" s="709"/>
      <c r="Q373" s="59"/>
      <c r="R373" s="61"/>
      <c r="S373" s="41"/>
      <c r="T373" s="59"/>
      <c r="Y373" s="61"/>
      <c r="Z373" s="59"/>
      <c r="AF373" s="61"/>
      <c r="AH373" s="61"/>
      <c r="AI373" s="41"/>
      <c r="AK373" s="40">
        <v>370.0</v>
      </c>
      <c r="AL373" s="719" t="s">
        <v>2400</v>
      </c>
      <c r="AM373" s="720" t="s">
        <v>1727</v>
      </c>
      <c r="AN373" s="721"/>
      <c r="AO373" s="722" t="s">
        <v>1728</v>
      </c>
      <c r="AP373" s="723"/>
    </row>
    <row r="374">
      <c r="A374" s="159"/>
      <c r="B374" s="636"/>
      <c r="C374" s="159"/>
      <c r="D374" s="636"/>
      <c r="E374" s="636"/>
      <c r="F374" s="159"/>
      <c r="G374" s="159"/>
      <c r="H374" s="159"/>
      <c r="I374" s="668"/>
      <c r="J374" s="157"/>
      <c r="K374" s="708"/>
      <c r="L374" s="157"/>
      <c r="M374" s="157"/>
      <c r="N374" s="157"/>
      <c r="O374" s="668"/>
      <c r="P374" s="709"/>
      <c r="Q374" s="59"/>
      <c r="R374" s="61"/>
      <c r="S374" s="41"/>
      <c r="T374" s="59"/>
      <c r="Y374" s="61"/>
      <c r="Z374" s="59"/>
      <c r="AF374" s="61"/>
      <c r="AH374" s="61"/>
      <c r="AI374" s="41"/>
      <c r="AK374" s="40">
        <v>371.0</v>
      </c>
      <c r="AL374" s="738" t="s">
        <v>2401</v>
      </c>
      <c r="AM374" s="738" t="s">
        <v>2150</v>
      </c>
      <c r="AN374" s="738" t="s">
        <v>2151</v>
      </c>
      <c r="AO374" s="739">
        <v>0.004</v>
      </c>
      <c r="AP374" s="739" t="s">
        <v>2152</v>
      </c>
    </row>
    <row r="375">
      <c r="A375" s="159"/>
      <c r="B375" s="636"/>
      <c r="C375" s="159"/>
      <c r="D375" s="636"/>
      <c r="E375" s="636"/>
      <c r="F375" s="159"/>
      <c r="G375" s="159"/>
      <c r="H375" s="159"/>
      <c r="I375" s="668"/>
      <c r="J375" s="157"/>
      <c r="K375" s="708"/>
      <c r="L375" s="157"/>
      <c r="M375" s="157"/>
      <c r="N375" s="157"/>
      <c r="O375" s="668"/>
      <c r="P375" s="709"/>
      <c r="Q375" s="59"/>
      <c r="R375" s="61"/>
      <c r="S375" s="41"/>
      <c r="T375" s="59"/>
      <c r="Y375" s="61"/>
      <c r="Z375" s="59"/>
      <c r="AF375" s="61"/>
      <c r="AH375" s="61"/>
      <c r="AI375" s="41"/>
      <c r="AK375" s="40">
        <v>372.0</v>
      </c>
      <c r="AL375" s="719" t="s">
        <v>2402</v>
      </c>
      <c r="AM375" s="720" t="s">
        <v>2044</v>
      </c>
      <c r="AN375" s="720" t="s">
        <v>2045</v>
      </c>
      <c r="AO375" s="722">
        <v>0.052</v>
      </c>
      <c r="AP375" s="722" t="s">
        <v>2046</v>
      </c>
    </row>
    <row r="376">
      <c r="A376" s="159"/>
      <c r="B376" s="636"/>
      <c r="C376" s="159"/>
      <c r="D376" s="636"/>
      <c r="E376" s="636"/>
      <c r="F376" s="159"/>
      <c r="G376" s="159"/>
      <c r="H376" s="159"/>
      <c r="I376" s="668"/>
      <c r="J376" s="157"/>
      <c r="K376" s="708"/>
      <c r="L376" s="157"/>
      <c r="M376" s="157"/>
      <c r="N376" s="157"/>
      <c r="O376" s="668"/>
      <c r="P376" s="709"/>
      <c r="Q376" s="59"/>
      <c r="R376" s="61"/>
      <c r="S376" s="41"/>
      <c r="T376" s="59"/>
      <c r="Y376" s="61"/>
      <c r="Z376" s="59"/>
      <c r="AF376" s="61"/>
      <c r="AH376" s="61"/>
      <c r="AI376" s="41"/>
      <c r="AK376" s="40">
        <v>373.0</v>
      </c>
      <c r="AL376" s="738" t="s">
        <v>2403</v>
      </c>
      <c r="AM376" s="738" t="s">
        <v>1940</v>
      </c>
      <c r="AN376" s="738" t="s">
        <v>1941</v>
      </c>
      <c r="AO376" s="739">
        <v>0.149</v>
      </c>
      <c r="AP376" s="739" t="s">
        <v>1942</v>
      </c>
    </row>
    <row r="377">
      <c r="A377" s="159"/>
      <c r="B377" s="636"/>
      <c r="C377" s="159"/>
      <c r="D377" s="636"/>
      <c r="E377" s="636"/>
      <c r="F377" s="159"/>
      <c r="G377" s="159"/>
      <c r="H377" s="159"/>
      <c r="I377" s="668"/>
      <c r="J377" s="157"/>
      <c r="K377" s="708"/>
      <c r="L377" s="157"/>
      <c r="M377" s="157"/>
      <c r="N377" s="157"/>
      <c r="O377" s="668"/>
      <c r="P377" s="709"/>
      <c r="Q377" s="59"/>
      <c r="R377" s="61"/>
      <c r="S377" s="41"/>
      <c r="T377" s="59"/>
      <c r="Y377" s="61"/>
      <c r="Z377" s="59"/>
      <c r="AF377" s="61"/>
      <c r="AH377" s="61"/>
      <c r="AI377" s="41"/>
      <c r="AK377" s="40">
        <v>374.0</v>
      </c>
      <c r="AL377" s="719" t="s">
        <v>2404</v>
      </c>
      <c r="AM377" s="720" t="s">
        <v>2150</v>
      </c>
      <c r="AN377" s="720" t="s">
        <v>2151</v>
      </c>
      <c r="AO377" s="722">
        <v>0.004</v>
      </c>
      <c r="AP377" s="722" t="s">
        <v>2152</v>
      </c>
    </row>
    <row r="378">
      <c r="A378" s="159"/>
      <c r="B378" s="636"/>
      <c r="C378" s="159"/>
      <c r="D378" s="636"/>
      <c r="E378" s="636"/>
      <c r="F378" s="159"/>
      <c r="G378" s="159"/>
      <c r="H378" s="159"/>
      <c r="I378" s="668"/>
      <c r="J378" s="157"/>
      <c r="K378" s="708"/>
      <c r="L378" s="157"/>
      <c r="M378" s="157"/>
      <c r="N378" s="157"/>
      <c r="O378" s="668"/>
      <c r="P378" s="709"/>
      <c r="Q378" s="59"/>
      <c r="R378" s="61"/>
      <c r="S378" s="41"/>
      <c r="T378" s="59"/>
      <c r="Y378" s="61"/>
      <c r="Z378" s="59"/>
      <c r="AF378" s="61"/>
      <c r="AH378" s="61"/>
      <c r="AI378" s="41"/>
      <c r="AK378" s="40">
        <v>375.0</v>
      </c>
      <c r="AL378" s="738" t="s">
        <v>2405</v>
      </c>
      <c r="AM378" s="738" t="s">
        <v>2044</v>
      </c>
      <c r="AN378" s="738" t="s">
        <v>2045</v>
      </c>
      <c r="AO378" s="739">
        <v>0.052</v>
      </c>
      <c r="AP378" s="739" t="s">
        <v>2046</v>
      </c>
    </row>
    <row r="379">
      <c r="A379" s="159"/>
      <c r="B379" s="636"/>
      <c r="C379" s="159"/>
      <c r="D379" s="636"/>
      <c r="E379" s="636"/>
      <c r="F379" s="159"/>
      <c r="G379" s="159"/>
      <c r="H379" s="159"/>
      <c r="I379" s="668"/>
      <c r="J379" s="157"/>
      <c r="K379" s="708"/>
      <c r="L379" s="157"/>
      <c r="M379" s="157"/>
      <c r="N379" s="157"/>
      <c r="O379" s="668"/>
      <c r="P379" s="709"/>
      <c r="Q379" s="59"/>
      <c r="R379" s="61"/>
      <c r="S379" s="41"/>
      <c r="T379" s="59"/>
      <c r="Y379" s="61"/>
      <c r="Z379" s="59"/>
      <c r="AF379" s="61"/>
      <c r="AH379" s="61"/>
      <c r="AI379" s="41"/>
      <c r="AK379" s="40">
        <v>376.0</v>
      </c>
      <c r="AL379" s="719" t="s">
        <v>2406</v>
      </c>
      <c r="AM379" s="720" t="s">
        <v>1940</v>
      </c>
      <c r="AN379" s="720" t="s">
        <v>1941</v>
      </c>
      <c r="AO379" s="722">
        <v>0.149</v>
      </c>
      <c r="AP379" s="722" t="s">
        <v>1942</v>
      </c>
    </row>
    <row r="380">
      <c r="A380" s="159"/>
      <c r="B380" s="636"/>
      <c r="C380" s="159"/>
      <c r="D380" s="636"/>
      <c r="E380" s="636"/>
      <c r="F380" s="159"/>
      <c r="G380" s="159"/>
      <c r="H380" s="159"/>
      <c r="I380" s="668"/>
      <c r="J380" s="157"/>
      <c r="K380" s="708"/>
      <c r="L380" s="157"/>
      <c r="M380" s="157"/>
      <c r="N380" s="157"/>
      <c r="O380" s="668"/>
      <c r="P380" s="709"/>
      <c r="Q380" s="59"/>
      <c r="R380" s="61"/>
      <c r="S380" s="41"/>
      <c r="T380" s="59"/>
      <c r="Y380" s="61"/>
      <c r="Z380" s="59"/>
      <c r="AF380" s="61"/>
      <c r="AH380" s="61"/>
      <c r="AI380" s="41"/>
      <c r="AK380" s="40">
        <v>377.0</v>
      </c>
      <c r="AL380" s="738" t="s">
        <v>2407</v>
      </c>
      <c r="AM380" s="738" t="s">
        <v>1980</v>
      </c>
      <c r="AN380" s="738" t="s">
        <v>1981</v>
      </c>
      <c r="AO380" s="739">
        <v>0.114</v>
      </c>
      <c r="AP380" s="739" t="s">
        <v>1982</v>
      </c>
    </row>
    <row r="381">
      <c r="A381" s="159"/>
      <c r="B381" s="636"/>
      <c r="C381" s="159"/>
      <c r="D381" s="636"/>
      <c r="E381" s="636"/>
      <c r="F381" s="159"/>
      <c r="G381" s="159"/>
      <c r="H381" s="159"/>
      <c r="I381" s="668"/>
      <c r="J381" s="157"/>
      <c r="K381" s="708"/>
      <c r="L381" s="157"/>
      <c r="M381" s="157"/>
      <c r="N381" s="157"/>
      <c r="O381" s="668"/>
      <c r="P381" s="709"/>
      <c r="Q381" s="59"/>
      <c r="R381" s="61"/>
      <c r="S381" s="41"/>
      <c r="T381" s="59"/>
      <c r="Y381" s="61"/>
      <c r="Z381" s="59"/>
      <c r="AF381" s="61"/>
      <c r="AH381" s="61"/>
      <c r="AI381" s="41"/>
      <c r="AK381" s="40">
        <v>378.0</v>
      </c>
      <c r="AL381" s="719" t="s">
        <v>2408</v>
      </c>
      <c r="AM381" s="720" t="s">
        <v>1860</v>
      </c>
      <c r="AN381" s="720" t="s">
        <v>1861</v>
      </c>
      <c r="AO381" s="722">
        <v>0.324</v>
      </c>
      <c r="AP381" s="722" t="s">
        <v>1862</v>
      </c>
    </row>
    <row r="382">
      <c r="A382" s="159"/>
      <c r="B382" s="636"/>
      <c r="C382" s="159"/>
      <c r="D382" s="636"/>
      <c r="E382" s="636"/>
      <c r="F382" s="159"/>
      <c r="G382" s="159"/>
      <c r="H382" s="159"/>
      <c r="I382" s="668"/>
      <c r="J382" s="157"/>
      <c r="K382" s="708"/>
      <c r="L382" s="157"/>
      <c r="M382" s="157"/>
      <c r="N382" s="157"/>
      <c r="O382" s="668"/>
      <c r="P382" s="709"/>
      <c r="Q382" s="59"/>
      <c r="R382" s="61"/>
      <c r="S382" s="41"/>
      <c r="T382" s="59"/>
      <c r="Y382" s="61"/>
      <c r="Z382" s="59"/>
      <c r="AF382" s="61"/>
      <c r="AH382" s="61"/>
      <c r="AI382" s="41"/>
      <c r="AK382" s="40">
        <v>379.0</v>
      </c>
      <c r="AL382" s="738" t="s">
        <v>2409</v>
      </c>
      <c r="AM382" s="738" t="s">
        <v>2144</v>
      </c>
      <c r="AN382" s="738" t="s">
        <v>2145</v>
      </c>
      <c r="AO382" s="739">
        <v>0.005</v>
      </c>
      <c r="AP382" s="739" t="s">
        <v>2146</v>
      </c>
    </row>
    <row r="383">
      <c r="A383" s="159"/>
      <c r="B383" s="636"/>
      <c r="C383" s="159"/>
      <c r="D383" s="636"/>
      <c r="E383" s="636"/>
      <c r="F383" s="159"/>
      <c r="G383" s="159"/>
      <c r="H383" s="159"/>
      <c r="I383" s="668"/>
      <c r="J383" s="157"/>
      <c r="K383" s="708"/>
      <c r="L383" s="157"/>
      <c r="M383" s="157"/>
      <c r="N383" s="157"/>
      <c r="O383" s="668"/>
      <c r="P383" s="709"/>
      <c r="Q383" s="59"/>
      <c r="R383" s="61"/>
      <c r="S383" s="41"/>
      <c r="T383" s="59"/>
      <c r="Y383" s="61"/>
      <c r="Z383" s="59"/>
      <c r="AF383" s="61"/>
      <c r="AH383" s="61"/>
      <c r="AI383" s="41"/>
      <c r="AK383" s="40">
        <v>380.0</v>
      </c>
      <c r="AL383" s="719" t="s">
        <v>2410</v>
      </c>
      <c r="AM383" s="720" t="s">
        <v>2050</v>
      </c>
      <c r="AN383" s="720" t="s">
        <v>2051</v>
      </c>
      <c r="AO383" s="722">
        <v>0.051</v>
      </c>
      <c r="AP383" s="722" t="s">
        <v>2052</v>
      </c>
    </row>
    <row r="384">
      <c r="A384" s="159"/>
      <c r="B384" s="636"/>
      <c r="C384" s="159"/>
      <c r="D384" s="636"/>
      <c r="E384" s="636"/>
      <c r="F384" s="159"/>
      <c r="G384" s="159"/>
      <c r="H384" s="159"/>
      <c r="I384" s="668"/>
      <c r="J384" s="157"/>
      <c r="K384" s="708"/>
      <c r="L384" s="157"/>
      <c r="M384" s="157"/>
      <c r="N384" s="157"/>
      <c r="O384" s="668"/>
      <c r="P384" s="709"/>
      <c r="Q384" s="59"/>
      <c r="R384" s="61"/>
      <c r="S384" s="41"/>
      <c r="T384" s="59"/>
      <c r="Y384" s="61"/>
      <c r="Z384" s="59"/>
      <c r="AF384" s="61"/>
      <c r="AH384" s="61"/>
      <c r="AI384" s="41"/>
      <c r="AK384" s="40">
        <v>381.0</v>
      </c>
      <c r="AL384" s="738" t="s">
        <v>2411</v>
      </c>
      <c r="AM384" s="738" t="s">
        <v>1952</v>
      </c>
      <c r="AN384" s="738" t="s">
        <v>1953</v>
      </c>
      <c r="AO384" s="739">
        <v>0.133</v>
      </c>
      <c r="AP384" s="739" t="s">
        <v>1954</v>
      </c>
    </row>
    <row r="385">
      <c r="A385" s="159"/>
      <c r="B385" s="636"/>
      <c r="C385" s="159"/>
      <c r="D385" s="636"/>
      <c r="E385" s="636"/>
      <c r="F385" s="159"/>
      <c r="G385" s="159"/>
      <c r="H385" s="159"/>
      <c r="I385" s="668"/>
      <c r="J385" s="157"/>
      <c r="K385" s="708"/>
      <c r="L385" s="157"/>
      <c r="M385" s="157"/>
      <c r="N385" s="157"/>
      <c r="O385" s="668"/>
      <c r="P385" s="709"/>
      <c r="Q385" s="59"/>
      <c r="R385" s="61"/>
      <c r="S385" s="41"/>
      <c r="T385" s="59"/>
      <c r="Y385" s="61"/>
      <c r="Z385" s="59"/>
      <c r="AF385" s="61"/>
      <c r="AH385" s="61"/>
      <c r="AI385" s="41"/>
      <c r="AK385" s="40">
        <v>382.0</v>
      </c>
      <c r="AL385" s="719" t="s">
        <v>2412</v>
      </c>
      <c r="AM385" s="720" t="s">
        <v>2413</v>
      </c>
      <c r="AN385" s="720" t="s">
        <v>1744</v>
      </c>
      <c r="AO385" s="722">
        <v>0.067</v>
      </c>
      <c r="AP385" s="722" t="s">
        <v>2414</v>
      </c>
    </row>
    <row r="386">
      <c r="A386" s="159"/>
      <c r="B386" s="636"/>
      <c r="C386" s="159"/>
      <c r="D386" s="636"/>
      <c r="E386" s="636"/>
      <c r="F386" s="159"/>
      <c r="G386" s="159"/>
      <c r="H386" s="159"/>
      <c r="I386" s="668"/>
      <c r="J386" s="157"/>
      <c r="K386" s="708"/>
      <c r="L386" s="157"/>
      <c r="M386" s="157"/>
      <c r="N386" s="157"/>
      <c r="O386" s="668"/>
      <c r="P386" s="709"/>
      <c r="Q386" s="59"/>
      <c r="R386" s="61"/>
      <c r="S386" s="41"/>
      <c r="T386" s="59"/>
      <c r="Y386" s="61"/>
      <c r="Z386" s="59"/>
      <c r="AF386" s="61"/>
      <c r="AH386" s="61"/>
      <c r="AI386" s="41"/>
      <c r="AK386" s="40">
        <v>383.0</v>
      </c>
      <c r="AL386" s="738" t="s">
        <v>2415</v>
      </c>
      <c r="AM386" s="738" t="s">
        <v>2413</v>
      </c>
      <c r="AN386" s="738" t="s">
        <v>1744</v>
      </c>
      <c r="AO386" s="739">
        <v>0.067</v>
      </c>
      <c r="AP386" s="739" t="s">
        <v>2414</v>
      </c>
    </row>
    <row r="387">
      <c r="A387" s="159"/>
      <c r="B387" s="636"/>
      <c r="C387" s="159"/>
      <c r="D387" s="636"/>
      <c r="E387" s="636"/>
      <c r="F387" s="159"/>
      <c r="G387" s="159"/>
      <c r="H387" s="159"/>
      <c r="I387" s="668"/>
      <c r="J387" s="157"/>
      <c r="K387" s="708"/>
      <c r="L387" s="157"/>
      <c r="M387" s="157"/>
      <c r="N387" s="157"/>
      <c r="O387" s="668"/>
      <c r="P387" s="709"/>
      <c r="Q387" s="59"/>
      <c r="R387" s="61"/>
      <c r="S387" s="41"/>
      <c r="T387" s="59"/>
      <c r="Y387" s="61"/>
      <c r="Z387" s="59"/>
      <c r="AF387" s="61"/>
      <c r="AH387" s="61"/>
      <c r="AI387" s="41"/>
      <c r="AK387" s="40">
        <v>384.0</v>
      </c>
      <c r="AL387" s="719" t="s">
        <v>2416</v>
      </c>
      <c r="AM387" s="720" t="s">
        <v>2065</v>
      </c>
      <c r="AN387" s="720" t="s">
        <v>2066</v>
      </c>
      <c r="AO387" s="722">
        <v>0.049</v>
      </c>
      <c r="AP387" s="722" t="s">
        <v>2067</v>
      </c>
    </row>
    <row r="388">
      <c r="A388" s="159"/>
      <c r="B388" s="636"/>
      <c r="C388" s="159"/>
      <c r="D388" s="636"/>
      <c r="E388" s="636"/>
      <c r="F388" s="159"/>
      <c r="G388" s="159"/>
      <c r="H388" s="159"/>
      <c r="I388" s="668"/>
      <c r="J388" s="157"/>
      <c r="K388" s="708"/>
      <c r="L388" s="157"/>
      <c r="M388" s="157"/>
      <c r="N388" s="157"/>
      <c r="O388" s="668"/>
      <c r="P388" s="709"/>
      <c r="Q388" s="59"/>
      <c r="R388" s="61"/>
      <c r="S388" s="41"/>
      <c r="T388" s="59"/>
      <c r="Y388" s="61"/>
      <c r="Z388" s="59"/>
      <c r="AF388" s="61"/>
      <c r="AH388" s="61"/>
      <c r="AI388" s="41"/>
      <c r="AK388" s="40">
        <v>385.0</v>
      </c>
      <c r="AL388" s="738" t="s">
        <v>2417</v>
      </c>
      <c r="AM388" s="738" t="s">
        <v>2418</v>
      </c>
      <c r="AN388" s="738" t="s">
        <v>1744</v>
      </c>
      <c r="AO388" s="739">
        <v>0.174</v>
      </c>
      <c r="AP388" s="739" t="s">
        <v>2419</v>
      </c>
    </row>
    <row r="389">
      <c r="A389" s="159"/>
      <c r="B389" s="636"/>
      <c r="C389" s="159"/>
      <c r="D389" s="636"/>
      <c r="E389" s="636"/>
      <c r="F389" s="159"/>
      <c r="G389" s="159"/>
      <c r="H389" s="159"/>
      <c r="I389" s="668"/>
      <c r="J389" s="157"/>
      <c r="K389" s="708"/>
      <c r="L389" s="157"/>
      <c r="M389" s="157"/>
      <c r="N389" s="157"/>
      <c r="O389" s="668"/>
      <c r="P389" s="709"/>
      <c r="Q389" s="59"/>
      <c r="R389" s="61"/>
      <c r="S389" s="41"/>
      <c r="T389" s="59"/>
      <c r="Y389" s="61"/>
      <c r="Z389" s="59"/>
      <c r="AF389" s="61"/>
      <c r="AH389" s="61"/>
      <c r="AI389" s="41"/>
      <c r="AK389" s="40">
        <v>386.0</v>
      </c>
      <c r="AL389" s="719" t="s">
        <v>2420</v>
      </c>
      <c r="AM389" s="720" t="s">
        <v>2421</v>
      </c>
      <c r="AN389" s="720" t="s">
        <v>1744</v>
      </c>
      <c r="AO389" s="722">
        <v>0.602</v>
      </c>
      <c r="AP389" s="722" t="s">
        <v>2422</v>
      </c>
    </row>
    <row r="390">
      <c r="A390" s="159"/>
      <c r="B390" s="636"/>
      <c r="C390" s="159"/>
      <c r="D390" s="636"/>
      <c r="E390" s="636"/>
      <c r="F390" s="159"/>
      <c r="G390" s="159"/>
      <c r="H390" s="159"/>
      <c r="I390" s="668"/>
      <c r="J390" s="157"/>
      <c r="K390" s="708"/>
      <c r="L390" s="157"/>
      <c r="M390" s="157"/>
      <c r="N390" s="157"/>
      <c r="O390" s="668"/>
      <c r="P390" s="709"/>
      <c r="Q390" s="59"/>
      <c r="R390" s="61"/>
      <c r="S390" s="41"/>
      <c r="T390" s="59"/>
      <c r="Y390" s="61"/>
      <c r="Z390" s="59"/>
      <c r="AF390" s="61"/>
      <c r="AH390" s="61"/>
      <c r="AI390" s="41"/>
      <c r="AK390" s="40">
        <v>387.0</v>
      </c>
      <c r="AL390" s="738" t="s">
        <v>2423</v>
      </c>
      <c r="AM390" s="738" t="s">
        <v>1860</v>
      </c>
      <c r="AN390" s="738" t="s">
        <v>1861</v>
      </c>
      <c r="AO390" s="739">
        <v>0.324</v>
      </c>
      <c r="AP390" s="739" t="s">
        <v>1862</v>
      </c>
    </row>
    <row r="391">
      <c r="A391" s="159"/>
      <c r="B391" s="636"/>
      <c r="C391" s="159"/>
      <c r="D391" s="636"/>
      <c r="E391" s="636"/>
      <c r="F391" s="159"/>
      <c r="G391" s="159"/>
      <c r="H391" s="159"/>
      <c r="I391" s="668"/>
      <c r="J391" s="157"/>
      <c r="K391" s="708"/>
      <c r="L391" s="157"/>
      <c r="M391" s="157"/>
      <c r="N391" s="157"/>
      <c r="O391" s="668"/>
      <c r="P391" s="709"/>
      <c r="Q391" s="59"/>
      <c r="R391" s="61"/>
      <c r="S391" s="41"/>
      <c r="T391" s="59"/>
      <c r="Y391" s="61"/>
      <c r="Z391" s="59"/>
      <c r="AF391" s="61"/>
      <c r="AH391" s="61"/>
      <c r="AI391" s="41"/>
      <c r="AK391" s="40">
        <v>388.0</v>
      </c>
      <c r="AL391" s="719" t="s">
        <v>2424</v>
      </c>
      <c r="AM391" s="720" t="s">
        <v>2424</v>
      </c>
      <c r="AN391" s="720" t="s">
        <v>2425</v>
      </c>
      <c r="AO391" s="722">
        <v>0.501</v>
      </c>
      <c r="AP391" s="722" t="s">
        <v>2426</v>
      </c>
    </row>
    <row r="392">
      <c r="A392" s="159"/>
      <c r="B392" s="636"/>
      <c r="C392" s="159"/>
      <c r="D392" s="636"/>
      <c r="E392" s="636"/>
      <c r="F392" s="159"/>
      <c r="G392" s="159"/>
      <c r="H392" s="159"/>
      <c r="I392" s="668"/>
      <c r="J392" s="157"/>
      <c r="K392" s="708"/>
      <c r="L392" s="157"/>
      <c r="M392" s="157"/>
      <c r="N392" s="157"/>
      <c r="O392" s="668"/>
      <c r="P392" s="709"/>
      <c r="Q392" s="59"/>
      <c r="R392" s="61"/>
      <c r="S392" s="41"/>
      <c r="T392" s="59"/>
      <c r="Y392" s="61"/>
      <c r="Z392" s="59"/>
      <c r="AF392" s="61"/>
      <c r="AH392" s="61"/>
      <c r="AI392" s="41"/>
      <c r="AK392" s="40">
        <v>389.0</v>
      </c>
      <c r="AL392" s="738" t="s">
        <v>2427</v>
      </c>
      <c r="AM392" s="738" t="s">
        <v>2427</v>
      </c>
      <c r="AN392" s="738" t="s">
        <v>2428</v>
      </c>
      <c r="AO392" s="739">
        <v>0.342</v>
      </c>
      <c r="AP392" s="739" t="s">
        <v>2429</v>
      </c>
    </row>
    <row r="393">
      <c r="A393" s="159"/>
      <c r="B393" s="636"/>
      <c r="C393" s="159"/>
      <c r="D393" s="636"/>
      <c r="E393" s="636"/>
      <c r="F393" s="159"/>
      <c r="G393" s="159"/>
      <c r="H393" s="159"/>
      <c r="I393" s="668"/>
      <c r="J393" s="157"/>
      <c r="K393" s="708"/>
      <c r="L393" s="157"/>
      <c r="M393" s="157"/>
      <c r="N393" s="157"/>
      <c r="O393" s="668"/>
      <c r="P393" s="709"/>
      <c r="Q393" s="59"/>
      <c r="R393" s="61"/>
      <c r="S393" s="41"/>
      <c r="T393" s="59"/>
      <c r="Y393" s="61"/>
      <c r="Z393" s="59"/>
      <c r="AF393" s="61"/>
      <c r="AH393" s="61"/>
      <c r="AI393" s="41"/>
      <c r="AK393" s="40">
        <v>390.0</v>
      </c>
      <c r="AL393" s="719" t="s">
        <v>2430</v>
      </c>
      <c r="AM393" s="720" t="s">
        <v>1980</v>
      </c>
      <c r="AN393" s="720" t="s">
        <v>1981</v>
      </c>
      <c r="AO393" s="722">
        <v>0.114</v>
      </c>
      <c r="AP393" s="722" t="s">
        <v>1982</v>
      </c>
    </row>
    <row r="394">
      <c r="A394" s="159"/>
      <c r="B394" s="636"/>
      <c r="C394" s="159"/>
      <c r="D394" s="636"/>
      <c r="E394" s="636"/>
      <c r="F394" s="159"/>
      <c r="G394" s="159"/>
      <c r="H394" s="159"/>
      <c r="I394" s="668"/>
      <c r="J394" s="157"/>
      <c r="K394" s="708"/>
      <c r="L394" s="157"/>
      <c r="M394" s="157"/>
      <c r="N394" s="157"/>
      <c r="O394" s="668"/>
      <c r="P394" s="709"/>
      <c r="Q394" s="59"/>
      <c r="R394" s="61"/>
      <c r="S394" s="41"/>
      <c r="T394" s="59"/>
      <c r="Y394" s="61"/>
      <c r="Z394" s="59"/>
      <c r="AF394" s="61"/>
      <c r="AH394" s="61"/>
      <c r="AI394" s="41"/>
      <c r="AK394" s="40">
        <v>391.0</v>
      </c>
      <c r="AL394" s="738" t="s">
        <v>2431</v>
      </c>
      <c r="AM394" s="738" t="s">
        <v>1980</v>
      </c>
      <c r="AN394" s="738" t="s">
        <v>1981</v>
      </c>
      <c r="AO394" s="739">
        <v>0.114</v>
      </c>
      <c r="AP394" s="739" t="s">
        <v>1982</v>
      </c>
    </row>
    <row r="395">
      <c r="A395" s="159"/>
      <c r="B395" s="636"/>
      <c r="C395" s="159"/>
      <c r="D395" s="636"/>
      <c r="E395" s="636"/>
      <c r="F395" s="159"/>
      <c r="G395" s="159"/>
      <c r="H395" s="159"/>
      <c r="I395" s="668"/>
      <c r="J395" s="157"/>
      <c r="K395" s="708"/>
      <c r="L395" s="157"/>
      <c r="M395" s="157"/>
      <c r="N395" s="157"/>
      <c r="O395" s="668"/>
      <c r="P395" s="709"/>
      <c r="Q395" s="59"/>
      <c r="R395" s="61"/>
      <c r="S395" s="41"/>
      <c r="T395" s="59"/>
      <c r="Y395" s="61"/>
      <c r="Z395" s="59"/>
      <c r="AF395" s="61"/>
      <c r="AH395" s="61"/>
      <c r="AI395" s="41"/>
      <c r="AK395" s="40">
        <v>392.0</v>
      </c>
      <c r="AL395" s="719" t="s">
        <v>2432</v>
      </c>
      <c r="AM395" s="720" t="s">
        <v>1727</v>
      </c>
      <c r="AN395" s="721"/>
      <c r="AO395" s="722" t="s">
        <v>1728</v>
      </c>
      <c r="AP395" s="723"/>
    </row>
    <row r="396">
      <c r="A396" s="159"/>
      <c r="B396" s="636"/>
      <c r="C396" s="159"/>
      <c r="D396" s="636"/>
      <c r="E396" s="636"/>
      <c r="F396" s="159"/>
      <c r="G396" s="159"/>
      <c r="H396" s="159"/>
      <c r="I396" s="668"/>
      <c r="J396" s="157"/>
      <c r="K396" s="708"/>
      <c r="L396" s="157"/>
      <c r="M396" s="157"/>
      <c r="N396" s="157"/>
      <c r="O396" s="668"/>
      <c r="P396" s="709"/>
      <c r="Q396" s="59"/>
      <c r="R396" s="61"/>
      <c r="S396" s="41"/>
      <c r="T396" s="59"/>
      <c r="Y396" s="61"/>
      <c r="Z396" s="59"/>
      <c r="AF396" s="61"/>
      <c r="AH396" s="61"/>
      <c r="AI396" s="41"/>
      <c r="AK396" s="40">
        <v>393.0</v>
      </c>
      <c r="AL396" s="738" t="s">
        <v>2433</v>
      </c>
      <c r="AM396" s="738" t="s">
        <v>2323</v>
      </c>
      <c r="AN396" s="738" t="s">
        <v>2324</v>
      </c>
      <c r="AO396" s="739">
        <v>0.01</v>
      </c>
      <c r="AP396" s="739" t="s">
        <v>2325</v>
      </c>
    </row>
    <row r="397">
      <c r="A397" s="159"/>
      <c r="B397" s="636"/>
      <c r="C397" s="159"/>
      <c r="D397" s="636"/>
      <c r="E397" s="636"/>
      <c r="F397" s="159"/>
      <c r="G397" s="159"/>
      <c r="H397" s="159"/>
      <c r="I397" s="668"/>
      <c r="J397" s="157"/>
      <c r="K397" s="708"/>
      <c r="L397" s="157"/>
      <c r="M397" s="157"/>
      <c r="N397" s="157"/>
      <c r="O397" s="668"/>
      <c r="P397" s="709"/>
      <c r="Q397" s="59"/>
      <c r="R397" s="61"/>
      <c r="S397" s="41"/>
      <c r="T397" s="59"/>
      <c r="Y397" s="61"/>
      <c r="Z397" s="59"/>
      <c r="AF397" s="61"/>
      <c r="AH397" s="61"/>
      <c r="AI397" s="41"/>
      <c r="AK397" s="40">
        <v>394.0</v>
      </c>
      <c r="AL397" s="719" t="s">
        <v>2434</v>
      </c>
      <c r="AM397" s="720" t="s">
        <v>2323</v>
      </c>
      <c r="AN397" s="720" t="s">
        <v>2324</v>
      </c>
      <c r="AO397" s="722">
        <v>0.01</v>
      </c>
      <c r="AP397" s="722" t="s">
        <v>2325</v>
      </c>
    </row>
    <row r="398">
      <c r="A398" s="159"/>
      <c r="B398" s="636"/>
      <c r="C398" s="159"/>
      <c r="D398" s="636"/>
      <c r="E398" s="636"/>
      <c r="F398" s="159"/>
      <c r="G398" s="159"/>
      <c r="H398" s="159"/>
      <c r="I398" s="668"/>
      <c r="J398" s="157"/>
      <c r="K398" s="708"/>
      <c r="L398" s="157"/>
      <c r="M398" s="157"/>
      <c r="N398" s="157"/>
      <c r="O398" s="668"/>
      <c r="P398" s="709"/>
      <c r="Q398" s="59"/>
      <c r="R398" s="61"/>
      <c r="S398" s="41"/>
      <c r="T398" s="59"/>
      <c r="Y398" s="61"/>
      <c r="Z398" s="59"/>
      <c r="AF398" s="61"/>
      <c r="AH398" s="61"/>
      <c r="AI398" s="41"/>
      <c r="AK398" s="40">
        <v>395.0</v>
      </c>
      <c r="AL398" s="738" t="s">
        <v>2435</v>
      </c>
      <c r="AM398" s="738" t="s">
        <v>2323</v>
      </c>
      <c r="AN398" s="738" t="s">
        <v>2324</v>
      </c>
      <c r="AO398" s="739">
        <v>0.01</v>
      </c>
      <c r="AP398" s="739" t="s">
        <v>2325</v>
      </c>
    </row>
    <row r="399">
      <c r="A399" s="159"/>
      <c r="B399" s="636"/>
      <c r="C399" s="159"/>
      <c r="D399" s="636"/>
      <c r="E399" s="636"/>
      <c r="F399" s="159"/>
      <c r="G399" s="159"/>
      <c r="H399" s="159"/>
      <c r="I399" s="668"/>
      <c r="J399" s="157"/>
      <c r="K399" s="708"/>
      <c r="L399" s="157"/>
      <c r="M399" s="157"/>
      <c r="N399" s="157"/>
      <c r="O399" s="668"/>
      <c r="P399" s="709"/>
      <c r="Q399" s="59"/>
      <c r="R399" s="61"/>
      <c r="S399" s="41"/>
      <c r="T399" s="59"/>
      <c r="Y399" s="61"/>
      <c r="Z399" s="59"/>
      <c r="AF399" s="61"/>
      <c r="AH399" s="61"/>
      <c r="AI399" s="41"/>
      <c r="AK399" s="40">
        <v>396.0</v>
      </c>
      <c r="AL399" s="719" t="s">
        <v>2436</v>
      </c>
      <c r="AM399" s="720" t="s">
        <v>2033</v>
      </c>
      <c r="AN399" s="720" t="s">
        <v>2034</v>
      </c>
      <c r="AO399" s="722">
        <v>0.061</v>
      </c>
      <c r="AP399" s="722" t="s">
        <v>2035</v>
      </c>
    </row>
    <row r="400">
      <c r="A400" s="159"/>
      <c r="B400" s="636"/>
      <c r="C400" s="159"/>
      <c r="D400" s="636"/>
      <c r="E400" s="636"/>
      <c r="F400" s="159"/>
      <c r="G400" s="159"/>
      <c r="H400" s="159"/>
      <c r="I400" s="668"/>
      <c r="J400" s="157"/>
      <c r="K400" s="708"/>
      <c r="L400" s="157"/>
      <c r="M400" s="157"/>
      <c r="N400" s="157"/>
      <c r="O400" s="668"/>
      <c r="P400" s="709"/>
      <c r="Q400" s="59"/>
      <c r="R400" s="61"/>
      <c r="S400" s="41"/>
      <c r="T400" s="59"/>
      <c r="Y400" s="61"/>
      <c r="Z400" s="59"/>
      <c r="AF400" s="61"/>
      <c r="AH400" s="61"/>
      <c r="AI400" s="41"/>
      <c r="AK400" s="40">
        <v>397.0</v>
      </c>
      <c r="AL400" s="738" t="s">
        <v>2437</v>
      </c>
      <c r="AM400" s="738" t="s">
        <v>2033</v>
      </c>
      <c r="AN400" s="738" t="s">
        <v>2034</v>
      </c>
      <c r="AO400" s="739">
        <v>0.061</v>
      </c>
      <c r="AP400" s="739" t="s">
        <v>2035</v>
      </c>
    </row>
    <row r="401">
      <c r="A401" s="159"/>
      <c r="B401" s="636"/>
      <c r="C401" s="159"/>
      <c r="D401" s="636"/>
      <c r="E401" s="636"/>
      <c r="F401" s="159"/>
      <c r="G401" s="159"/>
      <c r="H401" s="159"/>
      <c r="I401" s="668"/>
      <c r="J401" s="157"/>
      <c r="K401" s="708"/>
      <c r="L401" s="157"/>
      <c r="M401" s="157"/>
      <c r="N401" s="157"/>
      <c r="O401" s="668"/>
      <c r="P401" s="709"/>
      <c r="Q401" s="59"/>
      <c r="R401" s="61"/>
      <c r="S401" s="41"/>
      <c r="T401" s="59"/>
      <c r="Y401" s="61"/>
      <c r="Z401" s="59"/>
      <c r="AF401" s="61"/>
      <c r="AH401" s="61"/>
      <c r="AI401" s="41"/>
      <c r="AK401" s="40">
        <v>398.0</v>
      </c>
      <c r="AL401" s="719" t="s">
        <v>2438</v>
      </c>
      <c r="AM401" s="720" t="s">
        <v>2033</v>
      </c>
      <c r="AN401" s="720" t="s">
        <v>2034</v>
      </c>
      <c r="AO401" s="722">
        <v>0.061</v>
      </c>
      <c r="AP401" s="722" t="s">
        <v>2035</v>
      </c>
    </row>
    <row r="402">
      <c r="A402" s="159"/>
      <c r="B402" s="636"/>
      <c r="C402" s="159"/>
      <c r="D402" s="636"/>
      <c r="E402" s="636"/>
      <c r="F402" s="159"/>
      <c r="G402" s="159"/>
      <c r="H402" s="159"/>
      <c r="I402" s="668"/>
      <c r="J402" s="157"/>
      <c r="K402" s="708"/>
      <c r="L402" s="157"/>
      <c r="M402" s="157"/>
      <c r="N402" s="157"/>
      <c r="O402" s="668"/>
      <c r="P402" s="709"/>
      <c r="Q402" s="59"/>
      <c r="R402" s="61"/>
      <c r="S402" s="41"/>
      <c r="T402" s="59"/>
      <c r="Y402" s="61"/>
      <c r="Z402" s="59"/>
      <c r="AF402" s="61"/>
      <c r="AH402" s="61"/>
      <c r="AI402" s="41"/>
      <c r="AK402" s="40">
        <v>399.0</v>
      </c>
      <c r="AL402" s="738" t="s">
        <v>2439</v>
      </c>
      <c r="AM402" s="738" t="s">
        <v>1835</v>
      </c>
      <c r="AN402" s="738" t="s">
        <v>1836</v>
      </c>
      <c r="AO402" s="739">
        <v>0.402</v>
      </c>
      <c r="AP402" s="739" t="s">
        <v>1837</v>
      </c>
    </row>
    <row r="403">
      <c r="A403" s="159"/>
      <c r="B403" s="636"/>
      <c r="C403" s="159"/>
      <c r="D403" s="636"/>
      <c r="E403" s="636"/>
      <c r="F403" s="159"/>
      <c r="G403" s="159"/>
      <c r="H403" s="159"/>
      <c r="I403" s="668"/>
      <c r="J403" s="157"/>
      <c r="K403" s="708"/>
      <c r="L403" s="157"/>
      <c r="M403" s="157"/>
      <c r="N403" s="157"/>
      <c r="O403" s="668"/>
      <c r="P403" s="709"/>
      <c r="Q403" s="59"/>
      <c r="R403" s="61"/>
      <c r="S403" s="41"/>
      <c r="T403" s="59"/>
      <c r="Y403" s="61"/>
      <c r="Z403" s="59"/>
      <c r="AF403" s="61"/>
      <c r="AH403" s="61"/>
      <c r="AI403" s="41"/>
      <c r="AK403" s="40">
        <v>400.0</v>
      </c>
      <c r="AL403" s="719" t="s">
        <v>2440</v>
      </c>
      <c r="AM403" s="720" t="s">
        <v>1835</v>
      </c>
      <c r="AN403" s="720" t="s">
        <v>1836</v>
      </c>
      <c r="AO403" s="722">
        <v>0.402</v>
      </c>
      <c r="AP403" s="722" t="s">
        <v>1837</v>
      </c>
    </row>
    <row r="404">
      <c r="A404" s="159"/>
      <c r="B404" s="636"/>
      <c r="C404" s="159"/>
      <c r="D404" s="636"/>
      <c r="E404" s="636"/>
      <c r="F404" s="159"/>
      <c r="G404" s="159"/>
      <c r="H404" s="159"/>
      <c r="I404" s="668"/>
      <c r="J404" s="157"/>
      <c r="K404" s="708"/>
      <c r="L404" s="157"/>
      <c r="M404" s="157"/>
      <c r="N404" s="157"/>
      <c r="O404" s="668"/>
      <c r="P404" s="709"/>
      <c r="Q404" s="59"/>
      <c r="R404" s="61"/>
      <c r="S404" s="41"/>
      <c r="T404" s="59"/>
      <c r="Y404" s="61"/>
      <c r="Z404" s="59"/>
      <c r="AF404" s="61"/>
      <c r="AH404" s="61"/>
      <c r="AI404" s="41"/>
      <c r="AK404" s="40">
        <v>401.0</v>
      </c>
      <c r="AL404" s="738" t="s">
        <v>2441</v>
      </c>
      <c r="AM404" s="738" t="s">
        <v>1835</v>
      </c>
      <c r="AN404" s="738" t="s">
        <v>1836</v>
      </c>
      <c r="AO404" s="739">
        <v>0.402</v>
      </c>
      <c r="AP404" s="739" t="s">
        <v>1837</v>
      </c>
    </row>
    <row r="405">
      <c r="A405" s="159"/>
      <c r="B405" s="636"/>
      <c r="C405" s="159"/>
      <c r="D405" s="636"/>
      <c r="E405" s="636"/>
      <c r="F405" s="159"/>
      <c r="G405" s="159"/>
      <c r="H405" s="159"/>
      <c r="I405" s="668"/>
      <c r="J405" s="157"/>
      <c r="K405" s="708"/>
      <c r="L405" s="157"/>
      <c r="M405" s="157"/>
      <c r="N405" s="157"/>
      <c r="O405" s="668"/>
      <c r="P405" s="709"/>
      <c r="Q405" s="59"/>
      <c r="R405" s="61"/>
      <c r="S405" s="41"/>
      <c r="T405" s="59"/>
      <c r="Y405" s="61"/>
      <c r="Z405" s="59"/>
      <c r="AF405" s="61"/>
      <c r="AH405" s="61"/>
      <c r="AI405" s="41"/>
      <c r="AK405" s="40">
        <v>402.0</v>
      </c>
      <c r="AL405" s="719" t="s">
        <v>2442</v>
      </c>
      <c r="AM405" s="720" t="s">
        <v>2329</v>
      </c>
      <c r="AN405" s="720" t="s">
        <v>2330</v>
      </c>
      <c r="AO405" s="722">
        <v>0.031</v>
      </c>
      <c r="AP405" s="722" t="s">
        <v>2331</v>
      </c>
    </row>
    <row r="406">
      <c r="A406" s="159"/>
      <c r="B406" s="636"/>
      <c r="C406" s="159"/>
      <c r="D406" s="636"/>
      <c r="E406" s="636"/>
      <c r="F406" s="159"/>
      <c r="G406" s="159"/>
      <c r="H406" s="159"/>
      <c r="I406" s="668"/>
      <c r="J406" s="157"/>
      <c r="K406" s="708"/>
      <c r="L406" s="157"/>
      <c r="M406" s="157"/>
      <c r="N406" s="157"/>
      <c r="O406" s="668"/>
      <c r="P406" s="709"/>
      <c r="Q406" s="59"/>
      <c r="R406" s="61"/>
      <c r="S406" s="41"/>
      <c r="T406" s="59"/>
      <c r="Y406" s="61"/>
      <c r="Z406" s="59"/>
      <c r="AF406" s="61"/>
      <c r="AH406" s="61"/>
      <c r="AI406" s="41"/>
      <c r="AK406" s="40">
        <v>403.0</v>
      </c>
      <c r="AL406" s="738" t="s">
        <v>2443</v>
      </c>
      <c r="AM406" s="738" t="s">
        <v>2329</v>
      </c>
      <c r="AN406" s="738" t="s">
        <v>2330</v>
      </c>
      <c r="AO406" s="739">
        <v>0.031</v>
      </c>
      <c r="AP406" s="739" t="s">
        <v>2331</v>
      </c>
    </row>
    <row r="407">
      <c r="A407" s="159"/>
      <c r="B407" s="636"/>
      <c r="C407" s="159"/>
      <c r="D407" s="636"/>
      <c r="E407" s="636"/>
      <c r="F407" s="159"/>
      <c r="G407" s="159"/>
      <c r="H407" s="159"/>
      <c r="I407" s="668"/>
      <c r="J407" s="157"/>
      <c r="K407" s="708"/>
      <c r="L407" s="157"/>
      <c r="M407" s="157"/>
      <c r="N407" s="157"/>
      <c r="O407" s="668"/>
      <c r="P407" s="709"/>
      <c r="Q407" s="59"/>
      <c r="R407" s="61"/>
      <c r="S407" s="41"/>
      <c r="T407" s="59"/>
      <c r="Y407" s="61"/>
      <c r="Z407" s="59"/>
      <c r="AF407" s="61"/>
      <c r="AH407" s="61"/>
      <c r="AI407" s="41"/>
      <c r="AK407" s="40">
        <v>404.0</v>
      </c>
      <c r="AL407" s="719" t="s">
        <v>2444</v>
      </c>
      <c r="AM407" s="720" t="s">
        <v>2329</v>
      </c>
      <c r="AN407" s="720" t="s">
        <v>2330</v>
      </c>
      <c r="AO407" s="722">
        <v>0.031</v>
      </c>
      <c r="AP407" s="722" t="s">
        <v>2331</v>
      </c>
    </row>
    <row r="408">
      <c r="A408" s="159"/>
      <c r="B408" s="636"/>
      <c r="C408" s="159"/>
      <c r="D408" s="636"/>
      <c r="E408" s="636"/>
      <c r="F408" s="159"/>
      <c r="G408" s="159"/>
      <c r="H408" s="159"/>
      <c r="I408" s="668"/>
      <c r="J408" s="157"/>
      <c r="K408" s="708"/>
      <c r="L408" s="157"/>
      <c r="M408" s="157"/>
      <c r="N408" s="157"/>
      <c r="O408" s="668"/>
      <c r="P408" s="709"/>
      <c r="Q408" s="59"/>
      <c r="R408" s="61"/>
      <c r="S408" s="41"/>
      <c r="T408" s="59"/>
      <c r="Y408" s="61"/>
      <c r="Z408" s="59"/>
      <c r="AF408" s="61"/>
      <c r="AH408" s="61"/>
      <c r="AI408" s="41"/>
      <c r="AK408" s="40">
        <v>405.0</v>
      </c>
      <c r="AL408" s="738" t="s">
        <v>2445</v>
      </c>
      <c r="AM408" s="738" t="s">
        <v>1899</v>
      </c>
      <c r="AN408" s="738" t="s">
        <v>1744</v>
      </c>
      <c r="AO408" s="739">
        <v>0.236</v>
      </c>
      <c r="AP408" s="739" t="s">
        <v>1900</v>
      </c>
    </row>
    <row r="409">
      <c r="A409" s="159"/>
      <c r="B409" s="636"/>
      <c r="C409" s="159"/>
      <c r="D409" s="636"/>
      <c r="E409" s="636"/>
      <c r="F409" s="159"/>
      <c r="G409" s="159"/>
      <c r="H409" s="159"/>
      <c r="I409" s="668"/>
      <c r="J409" s="157"/>
      <c r="K409" s="708"/>
      <c r="L409" s="157"/>
      <c r="M409" s="157"/>
      <c r="N409" s="157"/>
      <c r="O409" s="668"/>
      <c r="P409" s="709"/>
      <c r="Q409" s="59"/>
      <c r="R409" s="61"/>
      <c r="S409" s="41"/>
      <c r="T409" s="59"/>
      <c r="Y409" s="61"/>
      <c r="Z409" s="59"/>
      <c r="AF409" s="61"/>
      <c r="AH409" s="61"/>
      <c r="AI409" s="41"/>
      <c r="AK409" s="40">
        <v>406.0</v>
      </c>
      <c r="AL409" s="719" t="s">
        <v>2446</v>
      </c>
      <c r="AM409" s="720" t="s">
        <v>1899</v>
      </c>
      <c r="AN409" s="720" t="s">
        <v>1744</v>
      </c>
      <c r="AO409" s="722">
        <v>0.236</v>
      </c>
      <c r="AP409" s="722" t="s">
        <v>1900</v>
      </c>
    </row>
    <row r="410">
      <c r="A410" s="159"/>
      <c r="B410" s="636"/>
      <c r="C410" s="159"/>
      <c r="D410" s="636"/>
      <c r="E410" s="636"/>
      <c r="F410" s="159"/>
      <c r="G410" s="159"/>
      <c r="H410" s="159"/>
      <c r="I410" s="668"/>
      <c r="J410" s="157"/>
      <c r="K410" s="708"/>
      <c r="L410" s="157"/>
      <c r="M410" s="157"/>
      <c r="N410" s="157"/>
      <c r="O410" s="668"/>
      <c r="P410" s="709"/>
      <c r="Q410" s="59"/>
      <c r="R410" s="61"/>
      <c r="S410" s="41"/>
      <c r="T410" s="59"/>
      <c r="Y410" s="61"/>
      <c r="Z410" s="59"/>
      <c r="AF410" s="61"/>
      <c r="AH410" s="61"/>
      <c r="AI410" s="41"/>
      <c r="AK410" s="40">
        <v>407.0</v>
      </c>
      <c r="AL410" s="738" t="s">
        <v>2447</v>
      </c>
      <c r="AM410" s="738" t="s">
        <v>1899</v>
      </c>
      <c r="AN410" s="738" t="s">
        <v>1744</v>
      </c>
      <c r="AO410" s="739">
        <v>0.236</v>
      </c>
      <c r="AP410" s="739" t="s">
        <v>1900</v>
      </c>
    </row>
    <row r="411">
      <c r="A411" s="159"/>
      <c r="B411" s="636"/>
      <c r="C411" s="159"/>
      <c r="D411" s="636"/>
      <c r="E411" s="636"/>
      <c r="F411" s="159"/>
      <c r="G411" s="159"/>
      <c r="H411" s="159"/>
      <c r="I411" s="668"/>
      <c r="J411" s="157"/>
      <c r="K411" s="708"/>
      <c r="L411" s="157"/>
      <c r="M411" s="157"/>
      <c r="N411" s="157"/>
      <c r="O411" s="668"/>
      <c r="P411" s="709"/>
      <c r="Q411" s="59"/>
      <c r="R411" s="61"/>
      <c r="S411" s="41"/>
      <c r="T411" s="59"/>
      <c r="Y411" s="61"/>
      <c r="Z411" s="59"/>
      <c r="AF411" s="61"/>
      <c r="AH411" s="61"/>
      <c r="AI411" s="41"/>
      <c r="AK411" s="40">
        <v>408.0</v>
      </c>
      <c r="AL411" s="719" t="s">
        <v>2448</v>
      </c>
      <c r="AM411" s="720" t="s">
        <v>1743</v>
      </c>
      <c r="AN411" s="720" t="s">
        <v>1744</v>
      </c>
      <c r="AO411" s="722" t="s">
        <v>1728</v>
      </c>
      <c r="AP411" s="723"/>
    </row>
    <row r="412">
      <c r="A412" s="159"/>
      <c r="B412" s="636"/>
      <c r="C412" s="159"/>
      <c r="D412" s="636"/>
      <c r="E412" s="636"/>
      <c r="F412" s="159"/>
      <c r="G412" s="159"/>
      <c r="H412" s="159"/>
      <c r="I412" s="668"/>
      <c r="J412" s="157"/>
      <c r="K412" s="708"/>
      <c r="L412" s="157"/>
      <c r="M412" s="157"/>
      <c r="N412" s="157"/>
      <c r="O412" s="668"/>
      <c r="P412" s="709"/>
      <c r="Q412" s="59"/>
      <c r="R412" s="61"/>
      <c r="S412" s="41"/>
      <c r="T412" s="59"/>
      <c r="Y412" s="61"/>
      <c r="Z412" s="59"/>
      <c r="AF412" s="61"/>
      <c r="AH412" s="61"/>
      <c r="AI412" s="41"/>
      <c r="AK412" s="40">
        <v>409.0</v>
      </c>
      <c r="AL412" s="738" t="s">
        <v>2448</v>
      </c>
      <c r="AM412" s="738" t="s">
        <v>1743</v>
      </c>
      <c r="AN412" s="738" t="s">
        <v>1744</v>
      </c>
      <c r="AO412" s="739" t="s">
        <v>1728</v>
      </c>
      <c r="AP412" s="740"/>
    </row>
    <row r="413">
      <c r="A413" s="159"/>
      <c r="B413" s="636"/>
      <c r="C413" s="159"/>
      <c r="D413" s="636"/>
      <c r="E413" s="636"/>
      <c r="F413" s="159"/>
      <c r="G413" s="159"/>
      <c r="H413" s="159"/>
      <c r="I413" s="668"/>
      <c r="J413" s="157"/>
      <c r="K413" s="708"/>
      <c r="L413" s="157"/>
      <c r="M413" s="157"/>
      <c r="N413" s="157"/>
      <c r="O413" s="668"/>
      <c r="P413" s="709"/>
      <c r="Q413" s="59"/>
      <c r="R413" s="61"/>
      <c r="S413" s="41"/>
      <c r="T413" s="59"/>
      <c r="Y413" s="61"/>
      <c r="Z413" s="59"/>
      <c r="AF413" s="61"/>
      <c r="AH413" s="61"/>
      <c r="AI413" s="41"/>
      <c r="AK413" s="40">
        <v>410.0</v>
      </c>
      <c r="AL413" s="719" t="s">
        <v>2448</v>
      </c>
      <c r="AM413" s="720" t="s">
        <v>1743</v>
      </c>
      <c r="AN413" s="720" t="s">
        <v>1744</v>
      </c>
      <c r="AO413" s="722" t="s">
        <v>1728</v>
      </c>
      <c r="AP413" s="723"/>
    </row>
    <row r="414">
      <c r="A414" s="159"/>
      <c r="B414" s="636"/>
      <c r="C414" s="159"/>
      <c r="D414" s="636"/>
      <c r="E414" s="636"/>
      <c r="F414" s="159"/>
      <c r="G414" s="159"/>
      <c r="H414" s="159"/>
      <c r="I414" s="668"/>
      <c r="J414" s="157"/>
      <c r="K414" s="708"/>
      <c r="L414" s="157"/>
      <c r="M414" s="157"/>
      <c r="N414" s="157"/>
      <c r="O414" s="668"/>
      <c r="P414" s="709"/>
      <c r="Q414" s="59"/>
      <c r="R414" s="61"/>
      <c r="S414" s="41"/>
      <c r="T414" s="59"/>
      <c r="Y414" s="61"/>
      <c r="Z414" s="59"/>
      <c r="AF414" s="61"/>
      <c r="AH414" s="61"/>
      <c r="AI414" s="41"/>
      <c r="AK414" s="40">
        <v>411.0</v>
      </c>
      <c r="AL414" s="738" t="s">
        <v>2449</v>
      </c>
      <c r="AM414" s="738" t="s">
        <v>1743</v>
      </c>
      <c r="AN414" s="738" t="s">
        <v>1744</v>
      </c>
      <c r="AO414" s="739" t="s">
        <v>1728</v>
      </c>
      <c r="AP414" s="740"/>
    </row>
    <row r="415">
      <c r="A415" s="159"/>
      <c r="B415" s="636"/>
      <c r="C415" s="159"/>
      <c r="D415" s="636"/>
      <c r="E415" s="636"/>
      <c r="F415" s="159"/>
      <c r="G415" s="159"/>
      <c r="H415" s="159"/>
      <c r="I415" s="668"/>
      <c r="J415" s="157"/>
      <c r="K415" s="708"/>
      <c r="L415" s="157"/>
      <c r="M415" s="157"/>
      <c r="N415" s="157"/>
      <c r="O415" s="668"/>
      <c r="P415" s="709"/>
      <c r="Q415" s="59"/>
      <c r="R415" s="61"/>
      <c r="S415" s="41"/>
      <c r="T415" s="59"/>
      <c r="Y415" s="61"/>
      <c r="Z415" s="59"/>
      <c r="AF415" s="61"/>
      <c r="AH415" s="61"/>
      <c r="AI415" s="41"/>
      <c r="AK415" s="40">
        <v>412.0</v>
      </c>
      <c r="AL415" s="719" t="s">
        <v>2449</v>
      </c>
      <c r="AM415" s="720" t="s">
        <v>1743</v>
      </c>
      <c r="AN415" s="720" t="s">
        <v>1744</v>
      </c>
      <c r="AO415" s="722" t="s">
        <v>1728</v>
      </c>
      <c r="AP415" s="723"/>
    </row>
    <row r="416">
      <c r="A416" s="159"/>
      <c r="B416" s="636"/>
      <c r="C416" s="159"/>
      <c r="D416" s="636"/>
      <c r="E416" s="636"/>
      <c r="F416" s="159"/>
      <c r="G416" s="159"/>
      <c r="H416" s="159"/>
      <c r="I416" s="668"/>
      <c r="J416" s="157"/>
      <c r="K416" s="708"/>
      <c r="L416" s="157"/>
      <c r="M416" s="157"/>
      <c r="N416" s="157"/>
      <c r="O416" s="668"/>
      <c r="P416" s="709"/>
      <c r="Q416" s="59"/>
      <c r="R416" s="61"/>
      <c r="S416" s="41"/>
      <c r="T416" s="59"/>
      <c r="Y416" s="61"/>
      <c r="Z416" s="59"/>
      <c r="AF416" s="61"/>
      <c r="AH416" s="61"/>
      <c r="AI416" s="41"/>
      <c r="AK416" s="40">
        <v>413.0</v>
      </c>
      <c r="AL416" s="738" t="s">
        <v>2449</v>
      </c>
      <c r="AM416" s="738" t="s">
        <v>1743</v>
      </c>
      <c r="AN416" s="738" t="s">
        <v>1744</v>
      </c>
      <c r="AO416" s="739" t="s">
        <v>1728</v>
      </c>
      <c r="AP416" s="740"/>
    </row>
    <row r="417">
      <c r="A417" s="159"/>
      <c r="B417" s="636"/>
      <c r="C417" s="159"/>
      <c r="D417" s="636"/>
      <c r="E417" s="636"/>
      <c r="F417" s="159"/>
      <c r="G417" s="159"/>
      <c r="H417" s="159"/>
      <c r="I417" s="668"/>
      <c r="J417" s="157"/>
      <c r="K417" s="708"/>
      <c r="L417" s="157"/>
      <c r="M417" s="157"/>
      <c r="N417" s="157"/>
      <c r="O417" s="668"/>
      <c r="P417" s="709"/>
      <c r="Q417" s="59"/>
      <c r="R417" s="61"/>
      <c r="S417" s="41"/>
      <c r="T417" s="59"/>
      <c r="Y417" s="61"/>
      <c r="Z417" s="59"/>
      <c r="AF417" s="61"/>
      <c r="AH417" s="61"/>
      <c r="AI417" s="41"/>
      <c r="AK417" s="40">
        <v>414.0</v>
      </c>
      <c r="AL417" s="719" t="s">
        <v>2450</v>
      </c>
      <c r="AM417" s="720" t="s">
        <v>1743</v>
      </c>
      <c r="AN417" s="720" t="s">
        <v>1744</v>
      </c>
      <c r="AO417" s="722" t="s">
        <v>1728</v>
      </c>
      <c r="AP417" s="723"/>
    </row>
    <row r="418">
      <c r="A418" s="159"/>
      <c r="B418" s="636"/>
      <c r="C418" s="159"/>
      <c r="D418" s="636"/>
      <c r="E418" s="636"/>
      <c r="F418" s="159"/>
      <c r="G418" s="159"/>
      <c r="H418" s="159"/>
      <c r="I418" s="668"/>
      <c r="J418" s="157"/>
      <c r="K418" s="708"/>
      <c r="L418" s="157"/>
      <c r="M418" s="157"/>
      <c r="N418" s="157"/>
      <c r="O418" s="668"/>
      <c r="P418" s="709"/>
      <c r="Q418" s="59"/>
      <c r="R418" s="61"/>
      <c r="S418" s="41"/>
      <c r="T418" s="59"/>
      <c r="Y418" s="61"/>
      <c r="Z418" s="59"/>
      <c r="AF418" s="61"/>
      <c r="AH418" s="61"/>
      <c r="AI418" s="41"/>
      <c r="AK418" s="40">
        <v>415.0</v>
      </c>
      <c r="AL418" s="738" t="s">
        <v>2450</v>
      </c>
      <c r="AM418" s="738" t="s">
        <v>1743</v>
      </c>
      <c r="AN418" s="738" t="s">
        <v>1744</v>
      </c>
      <c r="AO418" s="739" t="s">
        <v>1728</v>
      </c>
      <c r="AP418" s="740"/>
    </row>
    <row r="419">
      <c r="A419" s="159"/>
      <c r="B419" s="636"/>
      <c r="C419" s="159"/>
      <c r="D419" s="636"/>
      <c r="E419" s="636"/>
      <c r="F419" s="159"/>
      <c r="G419" s="159"/>
      <c r="H419" s="159"/>
      <c r="I419" s="668"/>
      <c r="J419" s="157"/>
      <c r="K419" s="708"/>
      <c r="L419" s="157"/>
      <c r="M419" s="157"/>
      <c r="N419" s="157"/>
      <c r="O419" s="668"/>
      <c r="P419" s="709"/>
      <c r="Q419" s="59"/>
      <c r="R419" s="61"/>
      <c r="S419" s="41"/>
      <c r="T419" s="59"/>
      <c r="Y419" s="61"/>
      <c r="Z419" s="59"/>
      <c r="AF419" s="61"/>
      <c r="AH419" s="61"/>
      <c r="AI419" s="41"/>
      <c r="AK419" s="40">
        <v>416.0</v>
      </c>
      <c r="AL419" s="719" t="s">
        <v>2450</v>
      </c>
      <c r="AM419" s="720" t="s">
        <v>1743</v>
      </c>
      <c r="AN419" s="720" t="s">
        <v>1744</v>
      </c>
      <c r="AO419" s="722" t="s">
        <v>1728</v>
      </c>
      <c r="AP419" s="723"/>
    </row>
    <row r="420">
      <c r="A420" s="159"/>
      <c r="B420" s="636"/>
      <c r="C420" s="159"/>
      <c r="D420" s="636"/>
      <c r="E420" s="636"/>
      <c r="F420" s="159"/>
      <c r="G420" s="159"/>
      <c r="H420" s="159"/>
      <c r="I420" s="668"/>
      <c r="J420" s="157"/>
      <c r="K420" s="708"/>
      <c r="L420" s="157"/>
      <c r="M420" s="157"/>
      <c r="N420" s="157"/>
      <c r="O420" s="668"/>
      <c r="P420" s="709"/>
      <c r="Q420" s="59"/>
      <c r="R420" s="61"/>
      <c r="S420" s="41"/>
      <c r="T420" s="59"/>
      <c r="Y420" s="61"/>
      <c r="Z420" s="59"/>
      <c r="AF420" s="61"/>
      <c r="AH420" s="61"/>
      <c r="AI420" s="41"/>
      <c r="AK420" s="40">
        <v>417.0</v>
      </c>
      <c r="AL420" s="738" t="s">
        <v>2451</v>
      </c>
      <c r="AM420" s="738" t="s">
        <v>1747</v>
      </c>
      <c r="AN420" s="738" t="s">
        <v>1744</v>
      </c>
      <c r="AO420" s="739" t="s">
        <v>1728</v>
      </c>
      <c r="AP420" s="740"/>
    </row>
    <row r="421">
      <c r="A421" s="159"/>
      <c r="B421" s="636"/>
      <c r="C421" s="159"/>
      <c r="D421" s="636"/>
      <c r="E421" s="636"/>
      <c r="F421" s="159"/>
      <c r="G421" s="159"/>
      <c r="H421" s="159"/>
      <c r="I421" s="668"/>
      <c r="J421" s="157"/>
      <c r="K421" s="708"/>
      <c r="L421" s="157"/>
      <c r="M421" s="157"/>
      <c r="N421" s="157"/>
      <c r="O421" s="668"/>
      <c r="P421" s="709"/>
      <c r="Q421" s="59"/>
      <c r="R421" s="61"/>
      <c r="S421" s="41"/>
      <c r="T421" s="59"/>
      <c r="Y421" s="61"/>
      <c r="Z421" s="59"/>
      <c r="AF421" s="61"/>
      <c r="AH421" s="61"/>
      <c r="AI421" s="41"/>
      <c r="AK421" s="40">
        <v>418.0</v>
      </c>
      <c r="AL421" s="719" t="s">
        <v>2451</v>
      </c>
      <c r="AM421" s="720" t="s">
        <v>1747</v>
      </c>
      <c r="AN421" s="720" t="s">
        <v>1744</v>
      </c>
      <c r="AO421" s="722" t="s">
        <v>1728</v>
      </c>
      <c r="AP421" s="723"/>
    </row>
    <row r="422">
      <c r="A422" s="159"/>
      <c r="B422" s="636"/>
      <c r="C422" s="159"/>
      <c r="D422" s="636"/>
      <c r="E422" s="636"/>
      <c r="F422" s="159"/>
      <c r="G422" s="159"/>
      <c r="H422" s="159"/>
      <c r="I422" s="668"/>
      <c r="J422" s="157"/>
      <c r="K422" s="708"/>
      <c r="L422" s="157"/>
      <c r="M422" s="157"/>
      <c r="N422" s="157"/>
      <c r="O422" s="668"/>
      <c r="P422" s="709"/>
      <c r="Q422" s="59"/>
      <c r="R422" s="61"/>
      <c r="S422" s="41"/>
      <c r="T422" s="59"/>
      <c r="Y422" s="61"/>
      <c r="Z422" s="59"/>
      <c r="AF422" s="61"/>
      <c r="AH422" s="61"/>
      <c r="AI422" s="41"/>
      <c r="AK422" s="40">
        <v>419.0</v>
      </c>
      <c r="AL422" s="738" t="s">
        <v>2451</v>
      </c>
      <c r="AM422" s="738" t="s">
        <v>1747</v>
      </c>
      <c r="AN422" s="738" t="s">
        <v>1744</v>
      </c>
      <c r="AO422" s="739" t="s">
        <v>1728</v>
      </c>
      <c r="AP422" s="740"/>
    </row>
    <row r="423">
      <c r="A423" s="159"/>
      <c r="B423" s="636"/>
      <c r="C423" s="159"/>
      <c r="D423" s="636"/>
      <c r="E423" s="636"/>
      <c r="F423" s="159"/>
      <c r="G423" s="159"/>
      <c r="H423" s="159"/>
      <c r="I423" s="668"/>
      <c r="J423" s="157"/>
      <c r="K423" s="708"/>
      <c r="L423" s="157"/>
      <c r="M423" s="157"/>
      <c r="N423" s="157"/>
      <c r="O423" s="668"/>
      <c r="P423" s="709"/>
      <c r="Q423" s="59"/>
      <c r="R423" s="61"/>
      <c r="S423" s="41"/>
      <c r="T423" s="59"/>
      <c r="Y423" s="61"/>
      <c r="Z423" s="59"/>
      <c r="AF423" s="61"/>
      <c r="AH423" s="61"/>
      <c r="AI423" s="41"/>
      <c r="AK423" s="40">
        <v>420.0</v>
      </c>
      <c r="AL423" s="719" t="s">
        <v>2451</v>
      </c>
      <c r="AM423" s="720" t="s">
        <v>1747</v>
      </c>
      <c r="AN423" s="720" t="s">
        <v>1744</v>
      </c>
      <c r="AO423" s="722" t="s">
        <v>1728</v>
      </c>
      <c r="AP423" s="723"/>
    </row>
    <row r="424">
      <c r="A424" s="159"/>
      <c r="B424" s="636"/>
      <c r="C424" s="159"/>
      <c r="D424" s="636"/>
      <c r="E424" s="636"/>
      <c r="F424" s="159"/>
      <c r="G424" s="159"/>
      <c r="H424" s="159"/>
      <c r="I424" s="668"/>
      <c r="J424" s="157"/>
      <c r="K424" s="708"/>
      <c r="L424" s="157"/>
      <c r="M424" s="157"/>
      <c r="N424" s="157"/>
      <c r="O424" s="668"/>
      <c r="P424" s="709"/>
      <c r="Q424" s="59"/>
      <c r="R424" s="61"/>
      <c r="S424" s="41"/>
      <c r="T424" s="59"/>
      <c r="Y424" s="61"/>
      <c r="Z424" s="59"/>
      <c r="AF424" s="61"/>
      <c r="AH424" s="61"/>
      <c r="AI424" s="41"/>
      <c r="AK424" s="40">
        <v>421.0</v>
      </c>
      <c r="AL424" s="738" t="s">
        <v>2452</v>
      </c>
      <c r="AM424" s="738" t="s">
        <v>1747</v>
      </c>
      <c r="AN424" s="738" t="s">
        <v>1744</v>
      </c>
      <c r="AO424" s="739" t="s">
        <v>1728</v>
      </c>
      <c r="AP424" s="740"/>
    </row>
    <row r="425">
      <c r="A425" s="159"/>
      <c r="B425" s="636"/>
      <c r="C425" s="159"/>
      <c r="D425" s="636"/>
      <c r="E425" s="636"/>
      <c r="F425" s="159"/>
      <c r="G425" s="159"/>
      <c r="H425" s="159"/>
      <c r="I425" s="668"/>
      <c r="J425" s="157"/>
      <c r="K425" s="708"/>
      <c r="L425" s="157"/>
      <c r="M425" s="157"/>
      <c r="N425" s="157"/>
      <c r="O425" s="668"/>
      <c r="P425" s="709"/>
      <c r="Q425" s="59"/>
      <c r="R425" s="61"/>
      <c r="S425" s="41"/>
      <c r="T425" s="59"/>
      <c r="Y425" s="61"/>
      <c r="Z425" s="59"/>
      <c r="AF425" s="61"/>
      <c r="AH425" s="61"/>
      <c r="AI425" s="41"/>
      <c r="AK425" s="40">
        <v>422.0</v>
      </c>
      <c r="AL425" s="719" t="s">
        <v>2452</v>
      </c>
      <c r="AM425" s="720" t="s">
        <v>1747</v>
      </c>
      <c r="AN425" s="720" t="s">
        <v>1744</v>
      </c>
      <c r="AO425" s="722" t="s">
        <v>1728</v>
      </c>
      <c r="AP425" s="723"/>
    </row>
    <row r="426">
      <c r="A426" s="159"/>
      <c r="B426" s="636"/>
      <c r="C426" s="159"/>
      <c r="D426" s="636"/>
      <c r="E426" s="636"/>
      <c r="F426" s="159"/>
      <c r="G426" s="159"/>
      <c r="H426" s="159"/>
      <c r="I426" s="668"/>
      <c r="J426" s="157"/>
      <c r="K426" s="708"/>
      <c r="L426" s="157"/>
      <c r="M426" s="157"/>
      <c r="N426" s="157"/>
      <c r="O426" s="668"/>
      <c r="P426" s="709"/>
      <c r="Q426" s="59"/>
      <c r="R426" s="61"/>
      <c r="S426" s="41"/>
      <c r="T426" s="59"/>
      <c r="Y426" s="61"/>
      <c r="Z426" s="59"/>
      <c r="AF426" s="61"/>
      <c r="AH426" s="61"/>
      <c r="AI426" s="41"/>
      <c r="AK426" s="40">
        <v>423.0</v>
      </c>
      <c r="AL426" s="738" t="s">
        <v>2452</v>
      </c>
      <c r="AM426" s="738" t="s">
        <v>1747</v>
      </c>
      <c r="AN426" s="738" t="s">
        <v>1744</v>
      </c>
      <c r="AO426" s="739" t="s">
        <v>1728</v>
      </c>
      <c r="AP426" s="740"/>
    </row>
    <row r="427">
      <c r="A427" s="159"/>
      <c r="B427" s="636"/>
      <c r="C427" s="159"/>
      <c r="D427" s="636"/>
      <c r="E427" s="636"/>
      <c r="F427" s="159"/>
      <c r="G427" s="159"/>
      <c r="H427" s="159"/>
      <c r="I427" s="668"/>
      <c r="J427" s="157"/>
      <c r="K427" s="708"/>
      <c r="L427" s="157"/>
      <c r="M427" s="157"/>
      <c r="N427" s="157"/>
      <c r="O427" s="668"/>
      <c r="P427" s="709"/>
      <c r="Q427" s="59"/>
      <c r="R427" s="61"/>
      <c r="S427" s="41"/>
      <c r="T427" s="59"/>
      <c r="Y427" s="61"/>
      <c r="Z427" s="59"/>
      <c r="AF427" s="61"/>
      <c r="AH427" s="61"/>
      <c r="AI427" s="41"/>
      <c r="AK427" s="40">
        <v>424.0</v>
      </c>
      <c r="AL427" s="719" t="s">
        <v>2452</v>
      </c>
      <c r="AM427" s="720" t="s">
        <v>1747</v>
      </c>
      <c r="AN427" s="720" t="s">
        <v>1744</v>
      </c>
      <c r="AO427" s="722" t="s">
        <v>1728</v>
      </c>
      <c r="AP427" s="723"/>
    </row>
    <row r="428">
      <c r="A428" s="159"/>
      <c r="B428" s="636"/>
      <c r="C428" s="159"/>
      <c r="D428" s="636"/>
      <c r="E428" s="636"/>
      <c r="F428" s="159"/>
      <c r="G428" s="159"/>
      <c r="H428" s="159"/>
      <c r="I428" s="668"/>
      <c r="J428" s="157"/>
      <c r="K428" s="708"/>
      <c r="L428" s="157"/>
      <c r="M428" s="157"/>
      <c r="N428" s="157"/>
      <c r="O428" s="668"/>
      <c r="P428" s="709"/>
      <c r="Q428" s="59"/>
      <c r="R428" s="61"/>
      <c r="S428" s="41"/>
      <c r="T428" s="59"/>
      <c r="Y428" s="61"/>
      <c r="Z428" s="59"/>
      <c r="AF428" s="61"/>
      <c r="AH428" s="61"/>
      <c r="AI428" s="41"/>
      <c r="AK428" s="40">
        <v>425.0</v>
      </c>
      <c r="AL428" s="738" t="s">
        <v>2453</v>
      </c>
      <c r="AM428" s="738" t="s">
        <v>1747</v>
      </c>
      <c r="AN428" s="738" t="s">
        <v>1744</v>
      </c>
      <c r="AO428" s="739" t="s">
        <v>1728</v>
      </c>
      <c r="AP428" s="740"/>
    </row>
    <row r="429">
      <c r="A429" s="159"/>
      <c r="B429" s="636"/>
      <c r="C429" s="159"/>
      <c r="D429" s="636"/>
      <c r="E429" s="636"/>
      <c r="F429" s="159"/>
      <c r="G429" s="159"/>
      <c r="H429" s="159"/>
      <c r="I429" s="668"/>
      <c r="J429" s="157"/>
      <c r="K429" s="708"/>
      <c r="L429" s="157"/>
      <c r="M429" s="157"/>
      <c r="N429" s="157"/>
      <c r="O429" s="668"/>
      <c r="P429" s="709"/>
      <c r="Q429" s="59"/>
      <c r="R429" s="61"/>
      <c r="S429" s="41"/>
      <c r="T429" s="59"/>
      <c r="Y429" s="61"/>
      <c r="Z429" s="59"/>
      <c r="AF429" s="61"/>
      <c r="AH429" s="61"/>
      <c r="AI429" s="41"/>
      <c r="AK429" s="40">
        <v>426.0</v>
      </c>
      <c r="AL429" s="719" t="s">
        <v>2453</v>
      </c>
      <c r="AM429" s="720" t="s">
        <v>1747</v>
      </c>
      <c r="AN429" s="720" t="s">
        <v>1744</v>
      </c>
      <c r="AO429" s="722" t="s">
        <v>1728</v>
      </c>
      <c r="AP429" s="723"/>
    </row>
    <row r="430">
      <c r="A430" s="159"/>
      <c r="B430" s="636"/>
      <c r="C430" s="159"/>
      <c r="D430" s="636"/>
      <c r="E430" s="636"/>
      <c r="F430" s="159"/>
      <c r="G430" s="159"/>
      <c r="H430" s="159"/>
      <c r="I430" s="668"/>
      <c r="J430" s="157"/>
      <c r="K430" s="708"/>
      <c r="L430" s="157"/>
      <c r="M430" s="157"/>
      <c r="N430" s="157"/>
      <c r="O430" s="668"/>
      <c r="P430" s="709"/>
      <c r="Q430" s="59"/>
      <c r="R430" s="61"/>
      <c r="S430" s="41"/>
      <c r="T430" s="59"/>
      <c r="Y430" s="61"/>
      <c r="Z430" s="59"/>
      <c r="AF430" s="61"/>
      <c r="AH430" s="61"/>
      <c r="AI430" s="41"/>
      <c r="AK430" s="40">
        <v>427.0</v>
      </c>
      <c r="AL430" s="738" t="s">
        <v>2453</v>
      </c>
      <c r="AM430" s="738" t="s">
        <v>1747</v>
      </c>
      <c r="AN430" s="738" t="s">
        <v>1744</v>
      </c>
      <c r="AO430" s="739" t="s">
        <v>1728</v>
      </c>
      <c r="AP430" s="740"/>
    </row>
    <row r="431">
      <c r="A431" s="159"/>
      <c r="B431" s="636"/>
      <c r="C431" s="159"/>
      <c r="D431" s="636"/>
      <c r="E431" s="636"/>
      <c r="F431" s="159"/>
      <c r="G431" s="159"/>
      <c r="H431" s="159"/>
      <c r="I431" s="668"/>
      <c r="J431" s="157"/>
      <c r="K431" s="708"/>
      <c r="L431" s="157"/>
      <c r="M431" s="157"/>
      <c r="N431" s="157"/>
      <c r="O431" s="668"/>
      <c r="P431" s="709"/>
      <c r="Q431" s="59"/>
      <c r="R431" s="61"/>
      <c r="S431" s="41"/>
      <c r="T431" s="59"/>
      <c r="Y431" s="61"/>
      <c r="Z431" s="59"/>
      <c r="AF431" s="61"/>
      <c r="AH431" s="61"/>
      <c r="AI431" s="41"/>
      <c r="AK431" s="40">
        <v>428.0</v>
      </c>
      <c r="AL431" s="719" t="s">
        <v>2453</v>
      </c>
      <c r="AM431" s="720" t="s">
        <v>1747</v>
      </c>
      <c r="AN431" s="720" t="s">
        <v>1744</v>
      </c>
      <c r="AO431" s="722" t="s">
        <v>1728</v>
      </c>
      <c r="AP431" s="723"/>
    </row>
    <row r="432">
      <c r="A432" s="159"/>
      <c r="B432" s="636"/>
      <c r="C432" s="159"/>
      <c r="D432" s="636"/>
      <c r="E432" s="636"/>
      <c r="F432" s="159"/>
      <c r="G432" s="159"/>
      <c r="H432" s="159"/>
      <c r="I432" s="668"/>
      <c r="J432" s="157"/>
      <c r="K432" s="708"/>
      <c r="L432" s="157"/>
      <c r="M432" s="157"/>
      <c r="N432" s="157"/>
      <c r="O432" s="668"/>
      <c r="P432" s="709"/>
      <c r="Q432" s="59"/>
      <c r="R432" s="61"/>
      <c r="S432" s="41"/>
      <c r="T432" s="59"/>
      <c r="Y432" s="61"/>
      <c r="Z432" s="59"/>
      <c r="AF432" s="61"/>
      <c r="AH432" s="61"/>
      <c r="AI432" s="41"/>
      <c r="AK432" s="40">
        <v>429.0</v>
      </c>
      <c r="AL432" s="738" t="s">
        <v>2454</v>
      </c>
      <c r="AM432" s="738" t="s">
        <v>1842</v>
      </c>
      <c r="AN432" s="738" t="s">
        <v>1744</v>
      </c>
      <c r="AO432" s="739">
        <v>0.351</v>
      </c>
      <c r="AP432" s="739" t="s">
        <v>1843</v>
      </c>
    </row>
    <row r="433">
      <c r="A433" s="159"/>
      <c r="B433" s="636"/>
      <c r="C433" s="159"/>
      <c r="D433" s="636"/>
      <c r="E433" s="636"/>
      <c r="F433" s="159"/>
      <c r="G433" s="159"/>
      <c r="H433" s="159"/>
      <c r="I433" s="668"/>
      <c r="J433" s="157"/>
      <c r="K433" s="708"/>
      <c r="L433" s="157"/>
      <c r="M433" s="157"/>
      <c r="N433" s="157"/>
      <c r="O433" s="668"/>
      <c r="P433" s="709"/>
      <c r="Q433" s="59"/>
      <c r="R433" s="61"/>
      <c r="S433" s="41"/>
      <c r="T433" s="59"/>
      <c r="Y433" s="61"/>
      <c r="Z433" s="59"/>
      <c r="AF433" s="61"/>
      <c r="AH433" s="61"/>
      <c r="AI433" s="41"/>
      <c r="AK433" s="40">
        <v>430.0</v>
      </c>
      <c r="AL433" s="719" t="s">
        <v>2454</v>
      </c>
      <c r="AM433" s="720" t="s">
        <v>1842</v>
      </c>
      <c r="AN433" s="720" t="s">
        <v>1744</v>
      </c>
      <c r="AO433" s="722">
        <v>0.351</v>
      </c>
      <c r="AP433" s="722" t="s">
        <v>1843</v>
      </c>
    </row>
    <row r="434">
      <c r="A434" s="159"/>
      <c r="B434" s="636"/>
      <c r="C434" s="159"/>
      <c r="D434" s="636"/>
      <c r="E434" s="636"/>
      <c r="F434" s="159"/>
      <c r="G434" s="159"/>
      <c r="H434" s="159"/>
      <c r="I434" s="668"/>
      <c r="J434" s="157"/>
      <c r="K434" s="708"/>
      <c r="L434" s="157"/>
      <c r="M434" s="157"/>
      <c r="N434" s="157"/>
      <c r="O434" s="668"/>
      <c r="P434" s="709"/>
      <c r="Q434" s="59"/>
      <c r="R434" s="61"/>
      <c r="S434" s="41"/>
      <c r="T434" s="59"/>
      <c r="Y434" s="61"/>
      <c r="Z434" s="59"/>
      <c r="AF434" s="61"/>
      <c r="AH434" s="61"/>
      <c r="AI434" s="41"/>
      <c r="AK434" s="40">
        <v>431.0</v>
      </c>
      <c r="AL434" s="738" t="s">
        <v>2455</v>
      </c>
      <c r="AM434" s="738" t="s">
        <v>1842</v>
      </c>
      <c r="AN434" s="738" t="s">
        <v>1744</v>
      </c>
      <c r="AO434" s="739">
        <v>0.351</v>
      </c>
      <c r="AP434" s="739" t="s">
        <v>1843</v>
      </c>
    </row>
    <row r="435">
      <c r="A435" s="159"/>
      <c r="B435" s="636"/>
      <c r="C435" s="159"/>
      <c r="D435" s="636"/>
      <c r="E435" s="636"/>
      <c r="F435" s="159"/>
      <c r="G435" s="159"/>
      <c r="H435" s="159"/>
      <c r="I435" s="668"/>
      <c r="J435" s="157"/>
      <c r="K435" s="708"/>
      <c r="L435" s="157"/>
      <c r="M435" s="157"/>
      <c r="N435" s="157"/>
      <c r="O435" s="668"/>
      <c r="P435" s="709"/>
      <c r="Q435" s="59"/>
      <c r="R435" s="61"/>
      <c r="S435" s="41"/>
      <c r="T435" s="59"/>
      <c r="Y435" s="61"/>
      <c r="Z435" s="59"/>
      <c r="AF435" s="61"/>
      <c r="AH435" s="61"/>
      <c r="AI435" s="41"/>
      <c r="AK435" s="40">
        <v>432.0</v>
      </c>
      <c r="AL435" s="719" t="s">
        <v>2455</v>
      </c>
      <c r="AM435" s="720" t="s">
        <v>1842</v>
      </c>
      <c r="AN435" s="720" t="s">
        <v>1744</v>
      </c>
      <c r="AO435" s="722">
        <v>0.351</v>
      </c>
      <c r="AP435" s="722" t="s">
        <v>1843</v>
      </c>
    </row>
    <row r="436">
      <c r="A436" s="159"/>
      <c r="B436" s="636"/>
      <c r="C436" s="159"/>
      <c r="D436" s="636"/>
      <c r="E436" s="636"/>
      <c r="F436" s="159"/>
      <c r="G436" s="159"/>
      <c r="H436" s="159"/>
      <c r="I436" s="668"/>
      <c r="J436" s="157"/>
      <c r="K436" s="708"/>
      <c r="L436" s="157"/>
      <c r="M436" s="157"/>
      <c r="N436" s="157"/>
      <c r="O436" s="668"/>
      <c r="P436" s="709"/>
      <c r="Q436" s="59"/>
      <c r="R436" s="61"/>
      <c r="S436" s="41"/>
      <c r="T436" s="59"/>
      <c r="Y436" s="61"/>
      <c r="Z436" s="59"/>
      <c r="AF436" s="61"/>
      <c r="AH436" s="61"/>
      <c r="AI436" s="41"/>
      <c r="AK436" s="40">
        <v>433.0</v>
      </c>
      <c r="AL436" s="738" t="s">
        <v>2456</v>
      </c>
      <c r="AM436" s="738" t="s">
        <v>1842</v>
      </c>
      <c r="AN436" s="738" t="s">
        <v>1744</v>
      </c>
      <c r="AO436" s="739">
        <v>0.351</v>
      </c>
      <c r="AP436" s="739" t="s">
        <v>1843</v>
      </c>
    </row>
    <row r="437">
      <c r="A437" s="159"/>
      <c r="B437" s="636"/>
      <c r="C437" s="159"/>
      <c r="D437" s="636"/>
      <c r="E437" s="636"/>
      <c r="F437" s="159"/>
      <c r="G437" s="159"/>
      <c r="H437" s="159"/>
      <c r="I437" s="668"/>
      <c r="J437" s="157"/>
      <c r="K437" s="708"/>
      <c r="L437" s="157"/>
      <c r="M437" s="157"/>
      <c r="N437" s="157"/>
      <c r="O437" s="668"/>
      <c r="P437" s="709"/>
      <c r="Q437" s="59"/>
      <c r="R437" s="61"/>
      <c r="S437" s="41"/>
      <c r="T437" s="59"/>
      <c r="Y437" s="61"/>
      <c r="Z437" s="59"/>
      <c r="AF437" s="61"/>
      <c r="AH437" s="61"/>
      <c r="AI437" s="41"/>
      <c r="AK437" s="40">
        <v>434.0</v>
      </c>
      <c r="AL437" s="719" t="s">
        <v>2456</v>
      </c>
      <c r="AM437" s="720" t="s">
        <v>1842</v>
      </c>
      <c r="AN437" s="720" t="s">
        <v>1744</v>
      </c>
      <c r="AO437" s="722">
        <v>0.351</v>
      </c>
      <c r="AP437" s="722" t="s">
        <v>1843</v>
      </c>
    </row>
    <row r="438">
      <c r="A438" s="159"/>
      <c r="B438" s="636"/>
      <c r="C438" s="159"/>
      <c r="D438" s="636"/>
      <c r="E438" s="636"/>
      <c r="F438" s="159"/>
      <c r="G438" s="159"/>
      <c r="H438" s="159"/>
      <c r="I438" s="668"/>
      <c r="J438" s="157"/>
      <c r="K438" s="708"/>
      <c r="L438" s="157"/>
      <c r="M438" s="157"/>
      <c r="N438" s="157"/>
      <c r="O438" s="668"/>
      <c r="P438" s="709"/>
      <c r="Q438" s="59"/>
      <c r="R438" s="61"/>
      <c r="S438" s="41"/>
      <c r="T438" s="59"/>
      <c r="Y438" s="61"/>
      <c r="Z438" s="59"/>
      <c r="AF438" s="61"/>
      <c r="AH438" s="61"/>
      <c r="AI438" s="41"/>
      <c r="AK438" s="40">
        <v>435.0</v>
      </c>
      <c r="AL438" s="738" t="s">
        <v>2457</v>
      </c>
      <c r="AM438" s="738" t="s">
        <v>1750</v>
      </c>
      <c r="AN438" s="738" t="s">
        <v>1744</v>
      </c>
      <c r="AO438" s="739" t="s">
        <v>1728</v>
      </c>
      <c r="AP438" s="740"/>
    </row>
    <row r="439">
      <c r="A439" s="159"/>
      <c r="B439" s="636"/>
      <c r="C439" s="159"/>
      <c r="D439" s="636"/>
      <c r="E439" s="636"/>
      <c r="F439" s="159"/>
      <c r="G439" s="159"/>
      <c r="H439" s="159"/>
      <c r="I439" s="668"/>
      <c r="J439" s="157"/>
      <c r="K439" s="708"/>
      <c r="L439" s="157"/>
      <c r="M439" s="157"/>
      <c r="N439" s="157"/>
      <c r="O439" s="668"/>
      <c r="P439" s="709"/>
      <c r="Q439" s="59"/>
      <c r="R439" s="61"/>
      <c r="S439" s="41"/>
      <c r="T439" s="59"/>
      <c r="Y439" s="61"/>
      <c r="Z439" s="59"/>
      <c r="AF439" s="61"/>
      <c r="AH439" s="61"/>
      <c r="AI439" s="41"/>
      <c r="AK439" s="40">
        <v>436.0</v>
      </c>
      <c r="AL439" s="719" t="s">
        <v>2457</v>
      </c>
      <c r="AM439" s="720" t="s">
        <v>1750</v>
      </c>
      <c r="AN439" s="720" t="s">
        <v>1744</v>
      </c>
      <c r="AO439" s="722" t="s">
        <v>1728</v>
      </c>
      <c r="AP439" s="723"/>
    </row>
    <row r="440">
      <c r="A440" s="159"/>
      <c r="B440" s="636"/>
      <c r="C440" s="159"/>
      <c r="D440" s="636"/>
      <c r="E440" s="636"/>
      <c r="F440" s="159"/>
      <c r="G440" s="159"/>
      <c r="H440" s="159"/>
      <c r="I440" s="668"/>
      <c r="J440" s="157"/>
      <c r="K440" s="708"/>
      <c r="L440" s="157"/>
      <c r="M440" s="157"/>
      <c r="N440" s="157"/>
      <c r="O440" s="668"/>
      <c r="P440" s="709"/>
      <c r="Q440" s="59"/>
      <c r="R440" s="61"/>
      <c r="S440" s="41"/>
      <c r="T440" s="59"/>
      <c r="Y440" s="61"/>
      <c r="Z440" s="59"/>
      <c r="AF440" s="61"/>
      <c r="AH440" s="61"/>
      <c r="AI440" s="41"/>
      <c r="AK440" s="40">
        <v>437.0</v>
      </c>
      <c r="AL440" s="738" t="s">
        <v>2457</v>
      </c>
      <c r="AM440" s="738" t="s">
        <v>1750</v>
      </c>
      <c r="AN440" s="738" t="s">
        <v>1744</v>
      </c>
      <c r="AO440" s="739" t="s">
        <v>1728</v>
      </c>
      <c r="AP440" s="740"/>
    </row>
    <row r="441">
      <c r="A441" s="159"/>
      <c r="B441" s="636"/>
      <c r="C441" s="159"/>
      <c r="D441" s="636"/>
      <c r="E441" s="636"/>
      <c r="F441" s="159"/>
      <c r="G441" s="159"/>
      <c r="H441" s="159"/>
      <c r="I441" s="668"/>
      <c r="J441" s="157"/>
      <c r="K441" s="708"/>
      <c r="L441" s="157"/>
      <c r="M441" s="157"/>
      <c r="N441" s="157"/>
      <c r="O441" s="668"/>
      <c r="P441" s="709"/>
      <c r="Q441" s="59"/>
      <c r="R441" s="61"/>
      <c r="S441" s="41"/>
      <c r="T441" s="59"/>
      <c r="Y441" s="61"/>
      <c r="Z441" s="59"/>
      <c r="AF441" s="61"/>
      <c r="AH441" s="61"/>
      <c r="AI441" s="41"/>
      <c r="AK441" s="40">
        <v>438.0</v>
      </c>
      <c r="AL441" s="719" t="s">
        <v>2457</v>
      </c>
      <c r="AM441" s="720" t="s">
        <v>1750</v>
      </c>
      <c r="AN441" s="720" t="s">
        <v>1744</v>
      </c>
      <c r="AO441" s="722" t="s">
        <v>1728</v>
      </c>
      <c r="AP441" s="723"/>
    </row>
    <row r="442">
      <c r="A442" s="159"/>
      <c r="B442" s="636"/>
      <c r="C442" s="159"/>
      <c r="D442" s="636"/>
      <c r="E442" s="636"/>
      <c r="F442" s="159"/>
      <c r="G442" s="159"/>
      <c r="H442" s="159"/>
      <c r="I442" s="668"/>
      <c r="J442" s="157"/>
      <c r="K442" s="708"/>
      <c r="L442" s="157"/>
      <c r="M442" s="157"/>
      <c r="N442" s="157"/>
      <c r="O442" s="668"/>
      <c r="P442" s="709"/>
      <c r="Q442" s="59"/>
      <c r="R442" s="61"/>
      <c r="S442" s="41"/>
      <c r="T442" s="59"/>
      <c r="Y442" s="61"/>
      <c r="Z442" s="59"/>
      <c r="AF442" s="61"/>
      <c r="AH442" s="61"/>
      <c r="AI442" s="41"/>
      <c r="AK442" s="40">
        <v>439.0</v>
      </c>
      <c r="AL442" s="738" t="s">
        <v>2458</v>
      </c>
      <c r="AM442" s="738" t="s">
        <v>1750</v>
      </c>
      <c r="AN442" s="738" t="s">
        <v>1744</v>
      </c>
      <c r="AO442" s="739" t="s">
        <v>1728</v>
      </c>
      <c r="AP442" s="740"/>
    </row>
    <row r="443">
      <c r="A443" s="159"/>
      <c r="B443" s="636"/>
      <c r="C443" s="159"/>
      <c r="D443" s="636"/>
      <c r="E443" s="636"/>
      <c r="F443" s="159"/>
      <c r="G443" s="159"/>
      <c r="H443" s="159"/>
      <c r="I443" s="668"/>
      <c r="J443" s="157"/>
      <c r="K443" s="708"/>
      <c r="L443" s="157"/>
      <c r="M443" s="157"/>
      <c r="N443" s="157"/>
      <c r="O443" s="668"/>
      <c r="P443" s="709"/>
      <c r="Q443" s="59"/>
      <c r="R443" s="61"/>
      <c r="S443" s="41"/>
      <c r="T443" s="59"/>
      <c r="Y443" s="61"/>
      <c r="Z443" s="59"/>
      <c r="AF443" s="61"/>
      <c r="AH443" s="61"/>
      <c r="AI443" s="41"/>
      <c r="AK443" s="40">
        <v>440.0</v>
      </c>
      <c r="AL443" s="719" t="s">
        <v>2458</v>
      </c>
      <c r="AM443" s="720" t="s">
        <v>1750</v>
      </c>
      <c r="AN443" s="720" t="s">
        <v>1744</v>
      </c>
      <c r="AO443" s="722" t="s">
        <v>1728</v>
      </c>
      <c r="AP443" s="723"/>
    </row>
    <row r="444">
      <c r="A444" s="159"/>
      <c r="B444" s="636"/>
      <c r="C444" s="159"/>
      <c r="D444" s="636"/>
      <c r="E444" s="636"/>
      <c r="F444" s="159"/>
      <c r="G444" s="159"/>
      <c r="H444" s="159"/>
      <c r="I444" s="668"/>
      <c r="J444" s="157"/>
      <c r="K444" s="708"/>
      <c r="L444" s="157"/>
      <c r="M444" s="157"/>
      <c r="N444" s="157"/>
      <c r="O444" s="668"/>
      <c r="P444" s="709"/>
      <c r="Q444" s="59"/>
      <c r="R444" s="61"/>
      <c r="S444" s="41"/>
      <c r="T444" s="59"/>
      <c r="Y444" s="61"/>
      <c r="Z444" s="59"/>
      <c r="AF444" s="61"/>
      <c r="AH444" s="61"/>
      <c r="AI444" s="41"/>
      <c r="AK444" s="40">
        <v>441.0</v>
      </c>
      <c r="AL444" s="738" t="s">
        <v>2458</v>
      </c>
      <c r="AM444" s="738" t="s">
        <v>1750</v>
      </c>
      <c r="AN444" s="738" t="s">
        <v>1744</v>
      </c>
      <c r="AO444" s="739" t="s">
        <v>1728</v>
      </c>
      <c r="AP444" s="740"/>
    </row>
    <row r="445">
      <c r="A445" s="159"/>
      <c r="B445" s="636"/>
      <c r="C445" s="159"/>
      <c r="D445" s="636"/>
      <c r="E445" s="636"/>
      <c r="F445" s="159"/>
      <c r="G445" s="159"/>
      <c r="H445" s="159"/>
      <c r="I445" s="668"/>
      <c r="J445" s="157"/>
      <c r="K445" s="708"/>
      <c r="L445" s="157"/>
      <c r="M445" s="157"/>
      <c r="N445" s="157"/>
      <c r="O445" s="668"/>
      <c r="P445" s="709"/>
      <c r="Q445" s="59"/>
      <c r="R445" s="61"/>
      <c r="S445" s="41"/>
      <c r="T445" s="59"/>
      <c r="Y445" s="61"/>
      <c r="Z445" s="59"/>
      <c r="AF445" s="61"/>
      <c r="AH445" s="61"/>
      <c r="AI445" s="41"/>
      <c r="AK445" s="40">
        <v>442.0</v>
      </c>
      <c r="AL445" s="719" t="s">
        <v>2458</v>
      </c>
      <c r="AM445" s="720" t="s">
        <v>1750</v>
      </c>
      <c r="AN445" s="720" t="s">
        <v>1744</v>
      </c>
      <c r="AO445" s="722" t="s">
        <v>1728</v>
      </c>
      <c r="AP445" s="723"/>
    </row>
    <row r="446">
      <c r="A446" s="159"/>
      <c r="B446" s="636"/>
      <c r="C446" s="159"/>
      <c r="D446" s="636"/>
      <c r="E446" s="636"/>
      <c r="F446" s="159"/>
      <c r="G446" s="159"/>
      <c r="H446" s="159"/>
      <c r="I446" s="668"/>
      <c r="J446" s="157"/>
      <c r="K446" s="708"/>
      <c r="L446" s="157"/>
      <c r="M446" s="157"/>
      <c r="N446" s="157"/>
      <c r="O446" s="668"/>
      <c r="P446" s="709"/>
      <c r="Q446" s="59"/>
      <c r="R446" s="61"/>
      <c r="S446" s="41"/>
      <c r="T446" s="59"/>
      <c r="Y446" s="61"/>
      <c r="Z446" s="59"/>
      <c r="AF446" s="61"/>
      <c r="AH446" s="61"/>
      <c r="AI446" s="41"/>
      <c r="AK446" s="40">
        <v>443.0</v>
      </c>
      <c r="AL446" s="738" t="s">
        <v>2459</v>
      </c>
      <c r="AM446" s="738" t="s">
        <v>1750</v>
      </c>
      <c r="AN446" s="738" t="s">
        <v>1744</v>
      </c>
      <c r="AO446" s="739" t="s">
        <v>1728</v>
      </c>
      <c r="AP446" s="740"/>
    </row>
    <row r="447">
      <c r="A447" s="159"/>
      <c r="B447" s="636"/>
      <c r="C447" s="159"/>
      <c r="D447" s="636"/>
      <c r="E447" s="636"/>
      <c r="F447" s="159"/>
      <c r="G447" s="159"/>
      <c r="H447" s="159"/>
      <c r="I447" s="668"/>
      <c r="J447" s="157"/>
      <c r="K447" s="708"/>
      <c r="L447" s="157"/>
      <c r="M447" s="157"/>
      <c r="N447" s="157"/>
      <c r="O447" s="668"/>
      <c r="P447" s="709"/>
      <c r="Q447" s="59"/>
      <c r="R447" s="61"/>
      <c r="S447" s="41"/>
      <c r="T447" s="59"/>
      <c r="Y447" s="61"/>
      <c r="Z447" s="59"/>
      <c r="AF447" s="61"/>
      <c r="AH447" s="61"/>
      <c r="AI447" s="41"/>
      <c r="AK447" s="40">
        <v>444.0</v>
      </c>
      <c r="AL447" s="719" t="s">
        <v>2459</v>
      </c>
      <c r="AM447" s="720" t="s">
        <v>1750</v>
      </c>
      <c r="AN447" s="720" t="s">
        <v>1744</v>
      </c>
      <c r="AO447" s="722" t="s">
        <v>1728</v>
      </c>
      <c r="AP447" s="723"/>
    </row>
    <row r="448">
      <c r="A448" s="159"/>
      <c r="B448" s="636"/>
      <c r="C448" s="159"/>
      <c r="D448" s="636"/>
      <c r="E448" s="636"/>
      <c r="F448" s="159"/>
      <c r="G448" s="159"/>
      <c r="H448" s="159"/>
      <c r="I448" s="668"/>
      <c r="J448" s="157"/>
      <c r="K448" s="708"/>
      <c r="L448" s="157"/>
      <c r="M448" s="157"/>
      <c r="N448" s="157"/>
      <c r="O448" s="668"/>
      <c r="P448" s="709"/>
      <c r="Q448" s="59"/>
      <c r="R448" s="61"/>
      <c r="S448" s="41"/>
      <c r="T448" s="59"/>
      <c r="Y448" s="61"/>
      <c r="Z448" s="59"/>
      <c r="AF448" s="61"/>
      <c r="AH448" s="61"/>
      <c r="AI448" s="41"/>
      <c r="AK448" s="40">
        <v>445.0</v>
      </c>
      <c r="AL448" s="738" t="s">
        <v>2459</v>
      </c>
      <c r="AM448" s="738" t="s">
        <v>1750</v>
      </c>
      <c r="AN448" s="738" t="s">
        <v>1744</v>
      </c>
      <c r="AO448" s="739" t="s">
        <v>1728</v>
      </c>
      <c r="AP448" s="740"/>
    </row>
    <row r="449">
      <c r="A449" s="159"/>
      <c r="B449" s="636"/>
      <c r="C449" s="159"/>
      <c r="D449" s="636"/>
      <c r="E449" s="636"/>
      <c r="F449" s="159"/>
      <c r="G449" s="159"/>
      <c r="H449" s="159"/>
      <c r="I449" s="668"/>
      <c r="J449" s="157"/>
      <c r="K449" s="708"/>
      <c r="L449" s="157"/>
      <c r="M449" s="157"/>
      <c r="N449" s="157"/>
      <c r="O449" s="668"/>
      <c r="P449" s="709"/>
      <c r="Q449" s="59"/>
      <c r="R449" s="61"/>
      <c r="S449" s="41"/>
      <c r="T449" s="59"/>
      <c r="Y449" s="61"/>
      <c r="Z449" s="59"/>
      <c r="AF449" s="61"/>
      <c r="AH449" s="61"/>
      <c r="AI449" s="41"/>
      <c r="AK449" s="40">
        <v>446.0</v>
      </c>
      <c r="AL449" s="719" t="s">
        <v>2459</v>
      </c>
      <c r="AM449" s="720" t="s">
        <v>1750</v>
      </c>
      <c r="AN449" s="720" t="s">
        <v>1744</v>
      </c>
      <c r="AO449" s="722" t="s">
        <v>1728</v>
      </c>
      <c r="AP449" s="723"/>
    </row>
    <row r="450">
      <c r="A450" s="159"/>
      <c r="B450" s="636"/>
      <c r="C450" s="159"/>
      <c r="D450" s="636"/>
      <c r="E450" s="636"/>
      <c r="F450" s="159"/>
      <c r="G450" s="159"/>
      <c r="H450" s="159"/>
      <c r="I450" s="668"/>
      <c r="J450" s="157"/>
      <c r="K450" s="708"/>
      <c r="L450" s="157"/>
      <c r="M450" s="157"/>
      <c r="N450" s="157"/>
      <c r="O450" s="668"/>
      <c r="P450" s="709"/>
      <c r="Q450" s="59"/>
      <c r="R450" s="61"/>
      <c r="S450" s="41"/>
      <c r="T450" s="59"/>
      <c r="Y450" s="61"/>
      <c r="Z450" s="59"/>
      <c r="AF450" s="61"/>
      <c r="AH450" s="61"/>
      <c r="AI450" s="41"/>
      <c r="AK450" s="40">
        <v>447.0</v>
      </c>
      <c r="AL450" s="738" t="s">
        <v>2460</v>
      </c>
      <c r="AM450" s="738" t="s">
        <v>1754</v>
      </c>
      <c r="AN450" s="738" t="s">
        <v>1744</v>
      </c>
      <c r="AO450" s="739" t="s">
        <v>1728</v>
      </c>
      <c r="AP450" s="740"/>
    </row>
    <row r="451">
      <c r="A451" s="159"/>
      <c r="B451" s="636"/>
      <c r="C451" s="159"/>
      <c r="D451" s="636"/>
      <c r="E451" s="636"/>
      <c r="F451" s="159"/>
      <c r="G451" s="159"/>
      <c r="H451" s="159"/>
      <c r="I451" s="668"/>
      <c r="J451" s="157"/>
      <c r="K451" s="708"/>
      <c r="L451" s="157"/>
      <c r="M451" s="157"/>
      <c r="N451" s="157"/>
      <c r="O451" s="668"/>
      <c r="P451" s="709"/>
      <c r="Q451" s="59"/>
      <c r="R451" s="61"/>
      <c r="S451" s="41"/>
      <c r="T451" s="59"/>
      <c r="Y451" s="61"/>
      <c r="Z451" s="59"/>
      <c r="AF451" s="61"/>
      <c r="AH451" s="61"/>
      <c r="AI451" s="41"/>
      <c r="AK451" s="40">
        <v>448.0</v>
      </c>
      <c r="AL451" s="719" t="s">
        <v>2460</v>
      </c>
      <c r="AM451" s="720" t="s">
        <v>1754</v>
      </c>
      <c r="AN451" s="720" t="s">
        <v>1744</v>
      </c>
      <c r="AO451" s="722" t="s">
        <v>1728</v>
      </c>
      <c r="AP451" s="723"/>
    </row>
    <row r="452">
      <c r="A452" s="159"/>
      <c r="B452" s="636"/>
      <c r="C452" s="159"/>
      <c r="D452" s="636"/>
      <c r="E452" s="636"/>
      <c r="F452" s="159"/>
      <c r="G452" s="159"/>
      <c r="H452" s="159"/>
      <c r="I452" s="668"/>
      <c r="J452" s="157"/>
      <c r="K452" s="708"/>
      <c r="L452" s="157"/>
      <c r="M452" s="157"/>
      <c r="N452" s="157"/>
      <c r="O452" s="668"/>
      <c r="P452" s="709"/>
      <c r="Q452" s="59"/>
      <c r="R452" s="61"/>
      <c r="S452" s="41"/>
      <c r="T452" s="59"/>
      <c r="Y452" s="61"/>
      <c r="Z452" s="59"/>
      <c r="AF452" s="61"/>
      <c r="AH452" s="61"/>
      <c r="AI452" s="41"/>
      <c r="AK452" s="40">
        <v>449.0</v>
      </c>
      <c r="AL452" s="738" t="s">
        <v>2460</v>
      </c>
      <c r="AM452" s="738" t="s">
        <v>1754</v>
      </c>
      <c r="AN452" s="738" t="s">
        <v>1744</v>
      </c>
      <c r="AO452" s="739" t="s">
        <v>1728</v>
      </c>
      <c r="AP452" s="740"/>
    </row>
    <row r="453">
      <c r="A453" s="159"/>
      <c r="B453" s="636"/>
      <c r="C453" s="159"/>
      <c r="D453" s="636"/>
      <c r="E453" s="636"/>
      <c r="F453" s="159"/>
      <c r="G453" s="159"/>
      <c r="H453" s="159"/>
      <c r="I453" s="668"/>
      <c r="J453" s="157"/>
      <c r="K453" s="708"/>
      <c r="L453" s="157"/>
      <c r="M453" s="157"/>
      <c r="N453" s="157"/>
      <c r="O453" s="668"/>
      <c r="P453" s="709"/>
      <c r="Q453" s="59"/>
      <c r="R453" s="61"/>
      <c r="S453" s="41"/>
      <c r="T453" s="59"/>
      <c r="Y453" s="61"/>
      <c r="Z453" s="59"/>
      <c r="AF453" s="61"/>
      <c r="AH453" s="61"/>
      <c r="AI453" s="41"/>
      <c r="AK453" s="40">
        <v>450.0</v>
      </c>
      <c r="AL453" s="719" t="s">
        <v>2460</v>
      </c>
      <c r="AM453" s="720" t="s">
        <v>1754</v>
      </c>
      <c r="AN453" s="720" t="s">
        <v>1744</v>
      </c>
      <c r="AO453" s="722" t="s">
        <v>1728</v>
      </c>
      <c r="AP453" s="723"/>
    </row>
    <row r="454">
      <c r="A454" s="159"/>
      <c r="B454" s="636"/>
      <c r="C454" s="159"/>
      <c r="D454" s="636"/>
      <c r="E454" s="636"/>
      <c r="F454" s="159"/>
      <c r="G454" s="159"/>
      <c r="H454" s="159"/>
      <c r="I454" s="668"/>
      <c r="J454" s="157"/>
      <c r="K454" s="708"/>
      <c r="L454" s="157"/>
      <c r="M454" s="157"/>
      <c r="N454" s="157"/>
      <c r="O454" s="668"/>
      <c r="P454" s="709"/>
      <c r="Q454" s="59"/>
      <c r="R454" s="61"/>
      <c r="S454" s="41"/>
      <c r="T454" s="59"/>
      <c r="Y454" s="61"/>
      <c r="Z454" s="59"/>
      <c r="AF454" s="61"/>
      <c r="AH454" s="61"/>
      <c r="AI454" s="41"/>
      <c r="AK454" s="40">
        <v>451.0</v>
      </c>
      <c r="AL454" s="738" t="s">
        <v>2460</v>
      </c>
      <c r="AM454" s="738" t="s">
        <v>1754</v>
      </c>
      <c r="AN454" s="738" t="s">
        <v>1744</v>
      </c>
      <c r="AO454" s="739" t="s">
        <v>1728</v>
      </c>
      <c r="AP454" s="740"/>
    </row>
    <row r="455">
      <c r="A455" s="159"/>
      <c r="B455" s="636"/>
      <c r="C455" s="159"/>
      <c r="D455" s="636"/>
      <c r="E455" s="636"/>
      <c r="F455" s="159"/>
      <c r="G455" s="159"/>
      <c r="H455" s="159"/>
      <c r="I455" s="668"/>
      <c r="J455" s="157"/>
      <c r="K455" s="708"/>
      <c r="L455" s="157"/>
      <c r="M455" s="157"/>
      <c r="N455" s="157"/>
      <c r="O455" s="668"/>
      <c r="P455" s="709"/>
      <c r="Q455" s="59"/>
      <c r="R455" s="61"/>
      <c r="S455" s="41"/>
      <c r="T455" s="59"/>
      <c r="Y455" s="61"/>
      <c r="Z455" s="59"/>
      <c r="AF455" s="61"/>
      <c r="AH455" s="61"/>
      <c r="AI455" s="41"/>
      <c r="AK455" s="40">
        <v>452.0</v>
      </c>
      <c r="AL455" s="719" t="s">
        <v>2461</v>
      </c>
      <c r="AM455" s="720" t="s">
        <v>1754</v>
      </c>
      <c r="AN455" s="720" t="s">
        <v>1744</v>
      </c>
      <c r="AO455" s="722" t="s">
        <v>1728</v>
      </c>
      <c r="AP455" s="723"/>
    </row>
    <row r="456">
      <c r="A456" s="159"/>
      <c r="B456" s="636"/>
      <c r="C456" s="159"/>
      <c r="D456" s="636"/>
      <c r="E456" s="636"/>
      <c r="F456" s="159"/>
      <c r="G456" s="159"/>
      <c r="H456" s="159"/>
      <c r="I456" s="668"/>
      <c r="J456" s="157"/>
      <c r="K456" s="708"/>
      <c r="L456" s="157"/>
      <c r="M456" s="157"/>
      <c r="N456" s="157"/>
      <c r="O456" s="668"/>
      <c r="P456" s="709"/>
      <c r="Q456" s="59"/>
      <c r="R456" s="61"/>
      <c r="S456" s="41"/>
      <c r="T456" s="59"/>
      <c r="Y456" s="61"/>
      <c r="Z456" s="59"/>
      <c r="AF456" s="61"/>
      <c r="AH456" s="61"/>
      <c r="AI456" s="41"/>
      <c r="AK456" s="40">
        <v>453.0</v>
      </c>
      <c r="AL456" s="738" t="s">
        <v>2461</v>
      </c>
      <c r="AM456" s="738" t="s">
        <v>1754</v>
      </c>
      <c r="AN456" s="738" t="s">
        <v>1744</v>
      </c>
      <c r="AO456" s="739" t="s">
        <v>1728</v>
      </c>
      <c r="AP456" s="740"/>
    </row>
    <row r="457">
      <c r="A457" s="159"/>
      <c r="B457" s="636"/>
      <c r="C457" s="159"/>
      <c r="D457" s="636"/>
      <c r="E457" s="636"/>
      <c r="F457" s="159"/>
      <c r="G457" s="159"/>
      <c r="H457" s="159"/>
      <c r="I457" s="668"/>
      <c r="J457" s="157"/>
      <c r="K457" s="708"/>
      <c r="L457" s="157"/>
      <c r="M457" s="157"/>
      <c r="N457" s="157"/>
      <c r="O457" s="668"/>
      <c r="P457" s="709"/>
      <c r="Q457" s="59"/>
      <c r="R457" s="61"/>
      <c r="S457" s="41"/>
      <c r="T457" s="59"/>
      <c r="Y457" s="61"/>
      <c r="Z457" s="59"/>
      <c r="AF457" s="61"/>
      <c r="AH457" s="61"/>
      <c r="AI457" s="41"/>
      <c r="AK457" s="40">
        <v>454.0</v>
      </c>
      <c r="AL457" s="719" t="s">
        <v>2461</v>
      </c>
      <c r="AM457" s="720" t="s">
        <v>1754</v>
      </c>
      <c r="AN457" s="720" t="s">
        <v>1744</v>
      </c>
      <c r="AO457" s="722" t="s">
        <v>1728</v>
      </c>
      <c r="AP457" s="723"/>
    </row>
    <row r="458">
      <c r="A458" s="159"/>
      <c r="B458" s="636"/>
      <c r="C458" s="159"/>
      <c r="D458" s="636"/>
      <c r="E458" s="636"/>
      <c r="F458" s="159"/>
      <c r="G458" s="159"/>
      <c r="H458" s="159"/>
      <c r="I458" s="668"/>
      <c r="J458" s="157"/>
      <c r="K458" s="708"/>
      <c r="L458" s="157"/>
      <c r="M458" s="157"/>
      <c r="N458" s="157"/>
      <c r="O458" s="668"/>
      <c r="P458" s="709"/>
      <c r="Q458" s="59"/>
      <c r="R458" s="61"/>
      <c r="S458" s="41"/>
      <c r="T458" s="59"/>
      <c r="Y458" s="61"/>
      <c r="Z458" s="59"/>
      <c r="AF458" s="61"/>
      <c r="AH458" s="61"/>
      <c r="AI458" s="41"/>
      <c r="AK458" s="40">
        <v>455.0</v>
      </c>
      <c r="AL458" s="738" t="s">
        <v>2461</v>
      </c>
      <c r="AM458" s="738" t="s">
        <v>1754</v>
      </c>
      <c r="AN458" s="738" t="s">
        <v>1744</v>
      </c>
      <c r="AO458" s="739" t="s">
        <v>1728</v>
      </c>
      <c r="AP458" s="740"/>
    </row>
    <row r="459">
      <c r="A459" s="159"/>
      <c r="B459" s="636"/>
      <c r="C459" s="159"/>
      <c r="D459" s="636"/>
      <c r="E459" s="636"/>
      <c r="F459" s="159"/>
      <c r="G459" s="159"/>
      <c r="H459" s="159"/>
      <c r="I459" s="668"/>
      <c r="J459" s="157"/>
      <c r="K459" s="708"/>
      <c r="L459" s="157"/>
      <c r="M459" s="157"/>
      <c r="N459" s="157"/>
      <c r="O459" s="668"/>
      <c r="P459" s="709"/>
      <c r="Q459" s="59"/>
      <c r="R459" s="61"/>
      <c r="S459" s="41"/>
      <c r="T459" s="59"/>
      <c r="Y459" s="61"/>
      <c r="Z459" s="59"/>
      <c r="AF459" s="61"/>
      <c r="AH459" s="61"/>
      <c r="AI459" s="41"/>
      <c r="AK459" s="40">
        <v>456.0</v>
      </c>
      <c r="AL459" s="719" t="s">
        <v>2461</v>
      </c>
      <c r="AM459" s="720" t="s">
        <v>1754</v>
      </c>
      <c r="AN459" s="720" t="s">
        <v>1744</v>
      </c>
      <c r="AO459" s="722" t="s">
        <v>1728</v>
      </c>
      <c r="AP459" s="723"/>
    </row>
    <row r="460">
      <c r="A460" s="159"/>
      <c r="B460" s="636"/>
      <c r="C460" s="159"/>
      <c r="D460" s="636"/>
      <c r="E460" s="636"/>
      <c r="F460" s="159"/>
      <c r="G460" s="159"/>
      <c r="H460" s="159"/>
      <c r="I460" s="668"/>
      <c r="J460" s="157"/>
      <c r="K460" s="708"/>
      <c r="L460" s="157"/>
      <c r="M460" s="157"/>
      <c r="N460" s="157"/>
      <c r="O460" s="668"/>
      <c r="P460" s="709"/>
      <c r="Q460" s="59"/>
      <c r="R460" s="61"/>
      <c r="S460" s="41"/>
      <c r="T460" s="59"/>
      <c r="Y460" s="61"/>
      <c r="Z460" s="59"/>
      <c r="AF460" s="61"/>
      <c r="AH460" s="61"/>
      <c r="AI460" s="41"/>
      <c r="AK460" s="40">
        <v>457.0</v>
      </c>
      <c r="AL460" s="738" t="s">
        <v>2462</v>
      </c>
      <c r="AM460" s="738" t="s">
        <v>1754</v>
      </c>
      <c r="AN460" s="738" t="s">
        <v>1744</v>
      </c>
      <c r="AO460" s="739" t="s">
        <v>1728</v>
      </c>
      <c r="AP460" s="740"/>
    </row>
    <row r="461">
      <c r="A461" s="159"/>
      <c r="B461" s="636"/>
      <c r="C461" s="159"/>
      <c r="D461" s="636"/>
      <c r="E461" s="636"/>
      <c r="F461" s="159"/>
      <c r="G461" s="159"/>
      <c r="H461" s="159"/>
      <c r="I461" s="668"/>
      <c r="J461" s="157"/>
      <c r="K461" s="708"/>
      <c r="L461" s="157"/>
      <c r="M461" s="157"/>
      <c r="N461" s="157"/>
      <c r="O461" s="668"/>
      <c r="P461" s="709"/>
      <c r="Q461" s="59"/>
      <c r="R461" s="61"/>
      <c r="S461" s="41"/>
      <c r="T461" s="59"/>
      <c r="Y461" s="61"/>
      <c r="Z461" s="59"/>
      <c r="AF461" s="61"/>
      <c r="AH461" s="61"/>
      <c r="AI461" s="41"/>
      <c r="AK461" s="40">
        <v>458.0</v>
      </c>
      <c r="AL461" s="719" t="s">
        <v>2462</v>
      </c>
      <c r="AM461" s="720" t="s">
        <v>1754</v>
      </c>
      <c r="AN461" s="720" t="s">
        <v>1744</v>
      </c>
      <c r="AO461" s="722" t="s">
        <v>1728</v>
      </c>
      <c r="AP461" s="723"/>
    </row>
    <row r="462">
      <c r="A462" s="159"/>
      <c r="B462" s="636"/>
      <c r="C462" s="159"/>
      <c r="D462" s="636"/>
      <c r="E462" s="636"/>
      <c r="F462" s="159"/>
      <c r="G462" s="159"/>
      <c r="H462" s="159"/>
      <c r="I462" s="668"/>
      <c r="J462" s="157"/>
      <c r="K462" s="708"/>
      <c r="L462" s="157"/>
      <c r="M462" s="157"/>
      <c r="N462" s="157"/>
      <c r="O462" s="668"/>
      <c r="P462" s="709"/>
      <c r="Q462" s="59"/>
      <c r="R462" s="61"/>
      <c r="S462" s="41"/>
      <c r="T462" s="59"/>
      <c r="Y462" s="61"/>
      <c r="Z462" s="59"/>
      <c r="AF462" s="61"/>
      <c r="AH462" s="61"/>
      <c r="AI462" s="41"/>
      <c r="AK462" s="40">
        <v>459.0</v>
      </c>
      <c r="AL462" s="738" t="s">
        <v>2462</v>
      </c>
      <c r="AM462" s="738" t="s">
        <v>1754</v>
      </c>
      <c r="AN462" s="738" t="s">
        <v>1744</v>
      </c>
      <c r="AO462" s="739" t="s">
        <v>1728</v>
      </c>
      <c r="AP462" s="740"/>
    </row>
    <row r="463">
      <c r="A463" s="159"/>
      <c r="B463" s="636"/>
      <c r="C463" s="159"/>
      <c r="D463" s="636"/>
      <c r="E463" s="636"/>
      <c r="F463" s="159"/>
      <c r="G463" s="159"/>
      <c r="H463" s="159"/>
      <c r="I463" s="668"/>
      <c r="J463" s="157"/>
      <c r="K463" s="708"/>
      <c r="L463" s="157"/>
      <c r="M463" s="157"/>
      <c r="N463" s="157"/>
      <c r="O463" s="668"/>
      <c r="P463" s="709"/>
      <c r="Q463" s="59"/>
      <c r="R463" s="61"/>
      <c r="S463" s="41"/>
      <c r="T463" s="59"/>
      <c r="Y463" s="61"/>
      <c r="Z463" s="59"/>
      <c r="AF463" s="61"/>
      <c r="AH463" s="61"/>
      <c r="AI463" s="41"/>
      <c r="AK463" s="40">
        <v>460.0</v>
      </c>
      <c r="AL463" s="719" t="s">
        <v>2462</v>
      </c>
      <c r="AM463" s="720" t="s">
        <v>1754</v>
      </c>
      <c r="AN463" s="720" t="s">
        <v>1744</v>
      </c>
      <c r="AO463" s="722" t="s">
        <v>1728</v>
      </c>
      <c r="AP463" s="723"/>
    </row>
    <row r="464">
      <c r="A464" s="159"/>
      <c r="B464" s="636"/>
      <c r="C464" s="159"/>
      <c r="D464" s="636"/>
      <c r="E464" s="636"/>
      <c r="F464" s="159"/>
      <c r="G464" s="159"/>
      <c r="H464" s="159"/>
      <c r="I464" s="668"/>
      <c r="J464" s="157"/>
      <c r="K464" s="708"/>
      <c r="L464" s="157"/>
      <c r="M464" s="157"/>
      <c r="N464" s="157"/>
      <c r="O464" s="668"/>
      <c r="P464" s="709"/>
      <c r="Q464" s="59"/>
      <c r="R464" s="61"/>
      <c r="S464" s="41"/>
      <c r="T464" s="59"/>
      <c r="Y464" s="61"/>
      <c r="Z464" s="59"/>
      <c r="AF464" s="61"/>
      <c r="AH464" s="61"/>
      <c r="AI464" s="41"/>
      <c r="AK464" s="40">
        <v>461.0</v>
      </c>
      <c r="AL464" s="738" t="s">
        <v>2462</v>
      </c>
      <c r="AM464" s="738" t="s">
        <v>1754</v>
      </c>
      <c r="AN464" s="738" t="s">
        <v>1744</v>
      </c>
      <c r="AO464" s="739" t="s">
        <v>1728</v>
      </c>
      <c r="AP464" s="740"/>
    </row>
    <row r="465">
      <c r="A465" s="159"/>
      <c r="B465" s="636"/>
      <c r="C465" s="159"/>
      <c r="D465" s="636"/>
      <c r="E465" s="636"/>
      <c r="F465" s="159"/>
      <c r="G465" s="159"/>
      <c r="H465" s="159"/>
      <c r="I465" s="668"/>
      <c r="J465" s="157"/>
      <c r="K465" s="708"/>
      <c r="L465" s="157"/>
      <c r="M465" s="157"/>
      <c r="N465" s="157"/>
      <c r="O465" s="668"/>
      <c r="P465" s="709"/>
      <c r="Q465" s="59"/>
      <c r="R465" s="61"/>
      <c r="S465" s="41"/>
      <c r="T465" s="59"/>
      <c r="Y465" s="61"/>
      <c r="Z465" s="59"/>
      <c r="AF465" s="61"/>
      <c r="AH465" s="61"/>
      <c r="AI465" s="41"/>
      <c r="AK465" s="40">
        <v>462.0</v>
      </c>
      <c r="AL465" s="719" t="s">
        <v>2463</v>
      </c>
      <c r="AM465" s="720" t="s">
        <v>1801</v>
      </c>
      <c r="AN465" s="720" t="s">
        <v>1744</v>
      </c>
      <c r="AO465" s="722">
        <v>0.512</v>
      </c>
      <c r="AP465" s="722" t="s">
        <v>1802</v>
      </c>
    </row>
    <row r="466">
      <c r="A466" s="159"/>
      <c r="B466" s="636"/>
      <c r="C466" s="159"/>
      <c r="D466" s="636"/>
      <c r="E466" s="636"/>
      <c r="F466" s="159"/>
      <c r="G466" s="159"/>
      <c r="H466" s="159"/>
      <c r="I466" s="668"/>
      <c r="J466" s="157"/>
      <c r="K466" s="708"/>
      <c r="L466" s="157"/>
      <c r="M466" s="157"/>
      <c r="N466" s="157"/>
      <c r="O466" s="668"/>
      <c r="P466" s="709"/>
      <c r="Q466" s="59"/>
      <c r="R466" s="61"/>
      <c r="S466" s="41"/>
      <c r="T466" s="59"/>
      <c r="Y466" s="61"/>
      <c r="Z466" s="59"/>
      <c r="AF466" s="61"/>
      <c r="AH466" s="61"/>
      <c r="AI466" s="41"/>
      <c r="AK466" s="40">
        <v>463.0</v>
      </c>
      <c r="AL466" s="738" t="s">
        <v>2464</v>
      </c>
      <c r="AM466" s="738" t="s">
        <v>1801</v>
      </c>
      <c r="AN466" s="738" t="s">
        <v>1744</v>
      </c>
      <c r="AO466" s="739">
        <v>0.512</v>
      </c>
      <c r="AP466" s="739" t="s">
        <v>1802</v>
      </c>
    </row>
    <row r="467">
      <c r="A467" s="159"/>
      <c r="B467" s="636"/>
      <c r="C467" s="159"/>
      <c r="D467" s="636"/>
      <c r="E467" s="636"/>
      <c r="F467" s="159"/>
      <c r="G467" s="159"/>
      <c r="H467" s="159"/>
      <c r="I467" s="668"/>
      <c r="J467" s="157"/>
      <c r="K467" s="708"/>
      <c r="L467" s="157"/>
      <c r="M467" s="157"/>
      <c r="N467" s="157"/>
      <c r="O467" s="668"/>
      <c r="P467" s="709"/>
      <c r="Q467" s="59"/>
      <c r="R467" s="61"/>
      <c r="S467" s="41"/>
      <c r="T467" s="59"/>
      <c r="Y467" s="61"/>
      <c r="Z467" s="59"/>
      <c r="AF467" s="61"/>
      <c r="AH467" s="61"/>
      <c r="AI467" s="41"/>
      <c r="AK467" s="40">
        <v>464.0</v>
      </c>
      <c r="AL467" s="719" t="s">
        <v>2465</v>
      </c>
      <c r="AM467" s="720" t="s">
        <v>1801</v>
      </c>
      <c r="AN467" s="720" t="s">
        <v>1744</v>
      </c>
      <c r="AO467" s="722">
        <v>0.512</v>
      </c>
      <c r="AP467" s="722" t="s">
        <v>1802</v>
      </c>
    </row>
    <row r="468">
      <c r="A468" s="159"/>
      <c r="B468" s="636"/>
      <c r="C468" s="159"/>
      <c r="D468" s="636"/>
      <c r="E468" s="636"/>
      <c r="F468" s="159"/>
      <c r="G468" s="159"/>
      <c r="H468" s="159"/>
      <c r="I468" s="668"/>
      <c r="J468" s="157"/>
      <c r="K468" s="708"/>
      <c r="L468" s="157"/>
      <c r="M468" s="157"/>
      <c r="N468" s="157"/>
      <c r="O468" s="668"/>
      <c r="P468" s="709"/>
      <c r="Q468" s="59"/>
      <c r="R468" s="61"/>
      <c r="S468" s="41"/>
      <c r="T468" s="59"/>
      <c r="Y468" s="61"/>
      <c r="Z468" s="59"/>
      <c r="AF468" s="61"/>
      <c r="AH468" s="61"/>
      <c r="AI468" s="41"/>
      <c r="AK468" s="40">
        <v>465.0</v>
      </c>
      <c r="AL468" s="738" t="s">
        <v>2466</v>
      </c>
      <c r="AM468" s="738" t="s">
        <v>1758</v>
      </c>
      <c r="AN468" s="738" t="s">
        <v>1744</v>
      </c>
      <c r="AO468" s="739" t="s">
        <v>1728</v>
      </c>
      <c r="AP468" s="740"/>
    </row>
    <row r="469">
      <c r="A469" s="159"/>
      <c r="B469" s="636"/>
      <c r="C469" s="159"/>
      <c r="D469" s="636"/>
      <c r="E469" s="636"/>
      <c r="F469" s="159"/>
      <c r="G469" s="159"/>
      <c r="H469" s="159"/>
      <c r="I469" s="668"/>
      <c r="J469" s="157"/>
      <c r="K469" s="708"/>
      <c r="L469" s="157"/>
      <c r="M469" s="157"/>
      <c r="N469" s="157"/>
      <c r="O469" s="668"/>
      <c r="P469" s="709"/>
      <c r="Q469" s="59"/>
      <c r="R469" s="61"/>
      <c r="S469" s="41"/>
      <c r="T469" s="59"/>
      <c r="Y469" s="61"/>
      <c r="Z469" s="59"/>
      <c r="AF469" s="61"/>
      <c r="AH469" s="61"/>
      <c r="AI469" s="41"/>
      <c r="AK469" s="40">
        <v>466.0</v>
      </c>
      <c r="AL469" s="719" t="s">
        <v>2466</v>
      </c>
      <c r="AM469" s="720" t="s">
        <v>1758</v>
      </c>
      <c r="AN469" s="720" t="s">
        <v>1744</v>
      </c>
      <c r="AO469" s="722" t="s">
        <v>1728</v>
      </c>
      <c r="AP469" s="723"/>
    </row>
    <row r="470">
      <c r="A470" s="159"/>
      <c r="B470" s="636"/>
      <c r="C470" s="159"/>
      <c r="D470" s="636"/>
      <c r="E470" s="636"/>
      <c r="F470" s="159"/>
      <c r="G470" s="159"/>
      <c r="H470" s="159"/>
      <c r="I470" s="668"/>
      <c r="J470" s="157"/>
      <c r="K470" s="708"/>
      <c r="L470" s="157"/>
      <c r="M470" s="157"/>
      <c r="N470" s="157"/>
      <c r="O470" s="668"/>
      <c r="P470" s="709"/>
      <c r="Q470" s="59"/>
      <c r="R470" s="61"/>
      <c r="S470" s="41"/>
      <c r="T470" s="59"/>
      <c r="Y470" s="61"/>
      <c r="Z470" s="59"/>
      <c r="AF470" s="61"/>
      <c r="AH470" s="61"/>
      <c r="AI470" s="41"/>
      <c r="AK470" s="40">
        <v>467.0</v>
      </c>
      <c r="AL470" s="738" t="s">
        <v>2466</v>
      </c>
      <c r="AM470" s="738" t="s">
        <v>1758</v>
      </c>
      <c r="AN470" s="738" t="s">
        <v>1744</v>
      </c>
      <c r="AO470" s="739" t="s">
        <v>1728</v>
      </c>
      <c r="AP470" s="740"/>
    </row>
    <row r="471">
      <c r="A471" s="159"/>
      <c r="B471" s="636"/>
      <c r="C471" s="159"/>
      <c r="D471" s="636"/>
      <c r="E471" s="636"/>
      <c r="F471" s="159"/>
      <c r="G471" s="159"/>
      <c r="H471" s="159"/>
      <c r="I471" s="668"/>
      <c r="J471" s="157"/>
      <c r="K471" s="708"/>
      <c r="L471" s="157"/>
      <c r="M471" s="157"/>
      <c r="N471" s="157"/>
      <c r="O471" s="668"/>
      <c r="P471" s="709"/>
      <c r="Q471" s="59"/>
      <c r="R471" s="61"/>
      <c r="S471" s="41"/>
      <c r="T471" s="59"/>
      <c r="Y471" s="61"/>
      <c r="Z471" s="59"/>
      <c r="AF471" s="61"/>
      <c r="AH471" s="61"/>
      <c r="AI471" s="41"/>
      <c r="AK471" s="40">
        <v>468.0</v>
      </c>
      <c r="AL471" s="719" t="s">
        <v>2467</v>
      </c>
      <c r="AM471" s="720" t="s">
        <v>1758</v>
      </c>
      <c r="AN471" s="720" t="s">
        <v>1744</v>
      </c>
      <c r="AO471" s="722" t="s">
        <v>1728</v>
      </c>
      <c r="AP471" s="723"/>
    </row>
    <row r="472">
      <c r="A472" s="159"/>
      <c r="B472" s="636"/>
      <c r="C472" s="159"/>
      <c r="D472" s="636"/>
      <c r="E472" s="636"/>
      <c r="F472" s="159"/>
      <c r="G472" s="159"/>
      <c r="H472" s="159"/>
      <c r="I472" s="668"/>
      <c r="J472" s="157"/>
      <c r="K472" s="708"/>
      <c r="L472" s="157"/>
      <c r="M472" s="157"/>
      <c r="N472" s="157"/>
      <c r="O472" s="668"/>
      <c r="P472" s="709"/>
      <c r="Q472" s="59"/>
      <c r="R472" s="61"/>
      <c r="S472" s="41"/>
      <c r="T472" s="59"/>
      <c r="Y472" s="61"/>
      <c r="Z472" s="59"/>
      <c r="AF472" s="61"/>
      <c r="AH472" s="61"/>
      <c r="AI472" s="41"/>
      <c r="AK472" s="40">
        <v>469.0</v>
      </c>
      <c r="AL472" s="738" t="s">
        <v>2467</v>
      </c>
      <c r="AM472" s="738" t="s">
        <v>1758</v>
      </c>
      <c r="AN472" s="738" t="s">
        <v>1744</v>
      </c>
      <c r="AO472" s="739" t="s">
        <v>1728</v>
      </c>
      <c r="AP472" s="740"/>
    </row>
    <row r="473">
      <c r="A473" s="159"/>
      <c r="B473" s="636"/>
      <c r="C473" s="159"/>
      <c r="D473" s="636"/>
      <c r="E473" s="636"/>
      <c r="F473" s="159"/>
      <c r="G473" s="159"/>
      <c r="H473" s="159"/>
      <c r="I473" s="668"/>
      <c r="J473" s="157"/>
      <c r="K473" s="708"/>
      <c r="L473" s="157"/>
      <c r="M473" s="157"/>
      <c r="N473" s="157"/>
      <c r="O473" s="668"/>
      <c r="P473" s="709"/>
      <c r="Q473" s="59"/>
      <c r="R473" s="61"/>
      <c r="S473" s="41"/>
      <c r="T473" s="59"/>
      <c r="Y473" s="61"/>
      <c r="Z473" s="59"/>
      <c r="AF473" s="61"/>
      <c r="AH473" s="61"/>
      <c r="AI473" s="41"/>
      <c r="AK473" s="40">
        <v>470.0</v>
      </c>
      <c r="AL473" s="719" t="s">
        <v>2467</v>
      </c>
      <c r="AM473" s="720" t="s">
        <v>1758</v>
      </c>
      <c r="AN473" s="720" t="s">
        <v>1744</v>
      </c>
      <c r="AO473" s="722" t="s">
        <v>1728</v>
      </c>
      <c r="AP473" s="723"/>
    </row>
    <row r="474">
      <c r="A474" s="159"/>
      <c r="B474" s="636"/>
      <c r="C474" s="159"/>
      <c r="D474" s="636"/>
      <c r="E474" s="636"/>
      <c r="F474" s="159"/>
      <c r="G474" s="159"/>
      <c r="H474" s="159"/>
      <c r="I474" s="668"/>
      <c r="J474" s="157"/>
      <c r="K474" s="708"/>
      <c r="L474" s="157"/>
      <c r="M474" s="157"/>
      <c r="N474" s="157"/>
      <c r="O474" s="668"/>
      <c r="P474" s="709"/>
      <c r="Q474" s="59"/>
      <c r="R474" s="61"/>
      <c r="S474" s="41"/>
      <c r="T474" s="59"/>
      <c r="Y474" s="61"/>
      <c r="Z474" s="59"/>
      <c r="AF474" s="61"/>
      <c r="AH474" s="61"/>
      <c r="AI474" s="41"/>
      <c r="AK474" s="40">
        <v>471.0</v>
      </c>
      <c r="AL474" s="738" t="s">
        <v>2468</v>
      </c>
      <c r="AM474" s="738" t="s">
        <v>1758</v>
      </c>
      <c r="AN474" s="738" t="s">
        <v>1744</v>
      </c>
      <c r="AO474" s="739" t="s">
        <v>1728</v>
      </c>
      <c r="AP474" s="740"/>
    </row>
    <row r="475">
      <c r="A475" s="159"/>
      <c r="B475" s="636"/>
      <c r="C475" s="159"/>
      <c r="D475" s="636"/>
      <c r="E475" s="636"/>
      <c r="F475" s="159"/>
      <c r="G475" s="159"/>
      <c r="H475" s="159"/>
      <c r="I475" s="668"/>
      <c r="J475" s="157"/>
      <c r="K475" s="708"/>
      <c r="L475" s="157"/>
      <c r="M475" s="157"/>
      <c r="N475" s="157"/>
      <c r="O475" s="668"/>
      <c r="P475" s="709"/>
      <c r="Q475" s="59"/>
      <c r="R475" s="61"/>
      <c r="S475" s="41"/>
      <c r="T475" s="59"/>
      <c r="Y475" s="61"/>
      <c r="Z475" s="59"/>
      <c r="AF475" s="61"/>
      <c r="AH475" s="61"/>
      <c r="AI475" s="41"/>
      <c r="AK475" s="40">
        <v>472.0</v>
      </c>
      <c r="AL475" s="719" t="s">
        <v>2468</v>
      </c>
      <c r="AM475" s="720" t="s">
        <v>1758</v>
      </c>
      <c r="AN475" s="720" t="s">
        <v>1744</v>
      </c>
      <c r="AO475" s="722" t="s">
        <v>1728</v>
      </c>
      <c r="AP475" s="723"/>
    </row>
    <row r="476">
      <c r="A476" s="159"/>
      <c r="B476" s="636"/>
      <c r="C476" s="159"/>
      <c r="D476" s="636"/>
      <c r="E476" s="636"/>
      <c r="F476" s="159"/>
      <c r="G476" s="159"/>
      <c r="H476" s="159"/>
      <c r="I476" s="668"/>
      <c r="J476" s="157"/>
      <c r="K476" s="708"/>
      <c r="L476" s="157"/>
      <c r="M476" s="157"/>
      <c r="N476" s="157"/>
      <c r="O476" s="668"/>
      <c r="P476" s="709"/>
      <c r="Q476" s="59"/>
      <c r="R476" s="61"/>
      <c r="S476" s="41"/>
      <c r="T476" s="59"/>
      <c r="Y476" s="61"/>
      <c r="Z476" s="59"/>
      <c r="AF476" s="61"/>
      <c r="AH476" s="61"/>
      <c r="AI476" s="41"/>
      <c r="AK476" s="40">
        <v>473.0</v>
      </c>
      <c r="AL476" s="738" t="s">
        <v>2468</v>
      </c>
      <c r="AM476" s="738" t="s">
        <v>1758</v>
      </c>
      <c r="AN476" s="738" t="s">
        <v>1744</v>
      </c>
      <c r="AO476" s="739" t="s">
        <v>1728</v>
      </c>
      <c r="AP476" s="740"/>
    </row>
    <row r="477">
      <c r="A477" s="159"/>
      <c r="B477" s="636"/>
      <c r="C477" s="159"/>
      <c r="D477" s="636"/>
      <c r="E477" s="636"/>
      <c r="F477" s="159"/>
      <c r="G477" s="159"/>
      <c r="H477" s="159"/>
      <c r="I477" s="668"/>
      <c r="J477" s="157"/>
      <c r="K477" s="708"/>
      <c r="L477" s="157"/>
      <c r="M477" s="157"/>
      <c r="N477" s="157"/>
      <c r="O477" s="668"/>
      <c r="P477" s="709"/>
      <c r="Q477" s="59"/>
      <c r="R477" s="61"/>
      <c r="S477" s="41"/>
      <c r="T477" s="59"/>
      <c r="Y477" s="61"/>
      <c r="Z477" s="59"/>
      <c r="AF477" s="61"/>
      <c r="AH477" s="61"/>
      <c r="AI477" s="41"/>
      <c r="AK477" s="40">
        <v>474.0</v>
      </c>
      <c r="AL477" s="719" t="s">
        <v>2469</v>
      </c>
      <c r="AM477" s="720" t="s">
        <v>1760</v>
      </c>
      <c r="AN477" s="720" t="s">
        <v>1744</v>
      </c>
      <c r="AO477" s="722" t="s">
        <v>1728</v>
      </c>
      <c r="AP477" s="723"/>
    </row>
    <row r="478">
      <c r="A478" s="159"/>
      <c r="B478" s="636"/>
      <c r="C478" s="159"/>
      <c r="D478" s="636"/>
      <c r="E478" s="636"/>
      <c r="F478" s="159"/>
      <c r="G478" s="159"/>
      <c r="H478" s="159"/>
      <c r="I478" s="668"/>
      <c r="J478" s="157"/>
      <c r="K478" s="708"/>
      <c r="L478" s="157"/>
      <c r="M478" s="157"/>
      <c r="N478" s="157"/>
      <c r="O478" s="668"/>
      <c r="P478" s="709"/>
      <c r="Q478" s="59"/>
      <c r="R478" s="61"/>
      <c r="S478" s="41"/>
      <c r="T478" s="59"/>
      <c r="Y478" s="61"/>
      <c r="Z478" s="59"/>
      <c r="AF478" s="61"/>
      <c r="AH478" s="61"/>
      <c r="AI478" s="41"/>
      <c r="AK478" s="40">
        <v>475.0</v>
      </c>
      <c r="AL478" s="738" t="s">
        <v>2469</v>
      </c>
      <c r="AM478" s="738" t="s">
        <v>1760</v>
      </c>
      <c r="AN478" s="738" t="s">
        <v>1744</v>
      </c>
      <c r="AO478" s="739" t="s">
        <v>1728</v>
      </c>
      <c r="AP478" s="740"/>
    </row>
    <row r="479">
      <c r="A479" s="159"/>
      <c r="B479" s="636"/>
      <c r="C479" s="159"/>
      <c r="D479" s="636"/>
      <c r="E479" s="636"/>
      <c r="F479" s="159"/>
      <c r="G479" s="159"/>
      <c r="H479" s="159"/>
      <c r="I479" s="668"/>
      <c r="J479" s="157"/>
      <c r="K479" s="708"/>
      <c r="L479" s="157"/>
      <c r="M479" s="157"/>
      <c r="N479" s="157"/>
      <c r="O479" s="668"/>
      <c r="P479" s="709"/>
      <c r="Q479" s="59"/>
      <c r="R479" s="61"/>
      <c r="S479" s="41"/>
      <c r="T479" s="59"/>
      <c r="Y479" s="61"/>
      <c r="Z479" s="59"/>
      <c r="AF479" s="61"/>
      <c r="AH479" s="61"/>
      <c r="AI479" s="41"/>
      <c r="AK479" s="40">
        <v>476.0</v>
      </c>
      <c r="AL479" s="719" t="s">
        <v>2469</v>
      </c>
      <c r="AM479" s="720" t="s">
        <v>1760</v>
      </c>
      <c r="AN479" s="720" t="s">
        <v>1744</v>
      </c>
      <c r="AO479" s="722" t="s">
        <v>1728</v>
      </c>
      <c r="AP479" s="723"/>
    </row>
    <row r="480">
      <c r="A480" s="159"/>
      <c r="B480" s="636"/>
      <c r="C480" s="159"/>
      <c r="D480" s="636"/>
      <c r="E480" s="636"/>
      <c r="F480" s="159"/>
      <c r="G480" s="159"/>
      <c r="H480" s="159"/>
      <c r="I480" s="668"/>
      <c r="J480" s="157"/>
      <c r="K480" s="708"/>
      <c r="L480" s="157"/>
      <c r="M480" s="157"/>
      <c r="N480" s="157"/>
      <c r="O480" s="668"/>
      <c r="P480" s="709"/>
      <c r="Q480" s="59"/>
      <c r="R480" s="61"/>
      <c r="S480" s="41"/>
      <c r="T480" s="59"/>
      <c r="Y480" s="61"/>
      <c r="Z480" s="59"/>
      <c r="AF480" s="61"/>
      <c r="AH480" s="61"/>
      <c r="AI480" s="41"/>
      <c r="AK480" s="40">
        <v>477.0</v>
      </c>
      <c r="AL480" s="738" t="s">
        <v>2469</v>
      </c>
      <c r="AM480" s="738" t="s">
        <v>1760</v>
      </c>
      <c r="AN480" s="738" t="s">
        <v>1744</v>
      </c>
      <c r="AO480" s="739" t="s">
        <v>1728</v>
      </c>
      <c r="AP480" s="740"/>
    </row>
    <row r="481">
      <c r="A481" s="159"/>
      <c r="B481" s="636"/>
      <c r="C481" s="159"/>
      <c r="D481" s="636"/>
      <c r="E481" s="636"/>
      <c r="F481" s="159"/>
      <c r="G481" s="159"/>
      <c r="H481" s="159"/>
      <c r="I481" s="668"/>
      <c r="J481" s="157"/>
      <c r="K481" s="708"/>
      <c r="L481" s="157"/>
      <c r="M481" s="157"/>
      <c r="N481" s="157"/>
      <c r="O481" s="668"/>
      <c r="P481" s="709"/>
      <c r="Q481" s="59"/>
      <c r="R481" s="61"/>
      <c r="S481" s="41"/>
      <c r="T481" s="59"/>
      <c r="Y481" s="61"/>
      <c r="Z481" s="59"/>
      <c r="AF481" s="61"/>
      <c r="AH481" s="61"/>
      <c r="AI481" s="41"/>
      <c r="AK481" s="40">
        <v>478.0</v>
      </c>
      <c r="AL481" s="719" t="s">
        <v>2470</v>
      </c>
      <c r="AM481" s="720" t="s">
        <v>1760</v>
      </c>
      <c r="AN481" s="720" t="s">
        <v>1744</v>
      </c>
      <c r="AO481" s="722" t="s">
        <v>1728</v>
      </c>
      <c r="AP481" s="723"/>
    </row>
    <row r="482">
      <c r="A482" s="159"/>
      <c r="B482" s="636"/>
      <c r="C482" s="159"/>
      <c r="D482" s="636"/>
      <c r="E482" s="636"/>
      <c r="F482" s="159"/>
      <c r="G482" s="159"/>
      <c r="H482" s="159"/>
      <c r="I482" s="668"/>
      <c r="J482" s="157"/>
      <c r="K482" s="708"/>
      <c r="L482" s="157"/>
      <c r="M482" s="157"/>
      <c r="N482" s="157"/>
      <c r="O482" s="668"/>
      <c r="P482" s="709"/>
      <c r="Q482" s="59"/>
      <c r="R482" s="61"/>
      <c r="S482" s="41"/>
      <c r="T482" s="59"/>
      <c r="Y482" s="61"/>
      <c r="Z482" s="59"/>
      <c r="AF482" s="61"/>
      <c r="AH482" s="61"/>
      <c r="AI482" s="41"/>
      <c r="AK482" s="40">
        <v>479.0</v>
      </c>
      <c r="AL482" s="738" t="s">
        <v>2470</v>
      </c>
      <c r="AM482" s="738" t="s">
        <v>1760</v>
      </c>
      <c r="AN482" s="738" t="s">
        <v>1744</v>
      </c>
      <c r="AO482" s="739" t="s">
        <v>1728</v>
      </c>
      <c r="AP482" s="740"/>
    </row>
    <row r="483">
      <c r="A483" s="159"/>
      <c r="B483" s="636"/>
      <c r="C483" s="159"/>
      <c r="D483" s="636"/>
      <c r="E483" s="636"/>
      <c r="F483" s="159"/>
      <c r="G483" s="159"/>
      <c r="H483" s="159"/>
      <c r="I483" s="668"/>
      <c r="J483" s="157"/>
      <c r="K483" s="708"/>
      <c r="L483" s="157"/>
      <c r="M483" s="157"/>
      <c r="N483" s="157"/>
      <c r="O483" s="668"/>
      <c r="P483" s="709"/>
      <c r="Q483" s="59"/>
      <c r="R483" s="61"/>
      <c r="S483" s="41"/>
      <c r="T483" s="59"/>
      <c r="Y483" s="61"/>
      <c r="Z483" s="59"/>
      <c r="AF483" s="61"/>
      <c r="AH483" s="61"/>
      <c r="AI483" s="41"/>
      <c r="AK483" s="40">
        <v>480.0</v>
      </c>
      <c r="AL483" s="719" t="s">
        <v>2470</v>
      </c>
      <c r="AM483" s="720" t="s">
        <v>1760</v>
      </c>
      <c r="AN483" s="720" t="s">
        <v>1744</v>
      </c>
      <c r="AO483" s="722" t="s">
        <v>1728</v>
      </c>
      <c r="AP483" s="723"/>
    </row>
    <row r="484">
      <c r="A484" s="159"/>
      <c r="B484" s="636"/>
      <c r="C484" s="159"/>
      <c r="D484" s="636"/>
      <c r="E484" s="636"/>
      <c r="F484" s="159"/>
      <c r="G484" s="159"/>
      <c r="H484" s="159"/>
      <c r="I484" s="668"/>
      <c r="J484" s="157"/>
      <c r="K484" s="708"/>
      <c r="L484" s="157"/>
      <c r="M484" s="157"/>
      <c r="N484" s="157"/>
      <c r="O484" s="668"/>
      <c r="P484" s="709"/>
      <c r="Q484" s="59"/>
      <c r="R484" s="61"/>
      <c r="S484" s="41"/>
      <c r="T484" s="59"/>
      <c r="Y484" s="61"/>
      <c r="Z484" s="59"/>
      <c r="AF484" s="61"/>
      <c r="AH484" s="61"/>
      <c r="AI484" s="41"/>
      <c r="AK484" s="40">
        <v>481.0</v>
      </c>
      <c r="AL484" s="738" t="s">
        <v>2470</v>
      </c>
      <c r="AM484" s="738" t="s">
        <v>1760</v>
      </c>
      <c r="AN484" s="738" t="s">
        <v>1744</v>
      </c>
      <c r="AO484" s="739" t="s">
        <v>1728</v>
      </c>
      <c r="AP484" s="740"/>
    </row>
    <row r="485">
      <c r="A485" s="159"/>
      <c r="B485" s="636"/>
      <c r="C485" s="159"/>
      <c r="D485" s="636"/>
      <c r="E485" s="636"/>
      <c r="F485" s="159"/>
      <c r="G485" s="159"/>
      <c r="H485" s="159"/>
      <c r="I485" s="668"/>
      <c r="J485" s="157"/>
      <c r="K485" s="708"/>
      <c r="L485" s="157"/>
      <c r="M485" s="157"/>
      <c r="N485" s="157"/>
      <c r="O485" s="668"/>
      <c r="P485" s="709"/>
      <c r="Q485" s="59"/>
      <c r="R485" s="61"/>
      <c r="S485" s="41"/>
      <c r="T485" s="59"/>
      <c r="Y485" s="61"/>
      <c r="Z485" s="59"/>
      <c r="AF485" s="61"/>
      <c r="AH485" s="61"/>
      <c r="AI485" s="41"/>
      <c r="AK485" s="40">
        <v>482.0</v>
      </c>
      <c r="AL485" s="719" t="s">
        <v>2471</v>
      </c>
      <c r="AM485" s="720" t="s">
        <v>1760</v>
      </c>
      <c r="AN485" s="720" t="s">
        <v>1744</v>
      </c>
      <c r="AO485" s="722" t="s">
        <v>1728</v>
      </c>
      <c r="AP485" s="723"/>
    </row>
    <row r="486">
      <c r="A486" s="159"/>
      <c r="B486" s="636"/>
      <c r="C486" s="159"/>
      <c r="D486" s="636"/>
      <c r="E486" s="636"/>
      <c r="F486" s="159"/>
      <c r="G486" s="159"/>
      <c r="H486" s="159"/>
      <c r="I486" s="668"/>
      <c r="J486" s="157"/>
      <c r="K486" s="708"/>
      <c r="L486" s="157"/>
      <c r="M486" s="157"/>
      <c r="N486" s="157"/>
      <c r="O486" s="668"/>
      <c r="P486" s="709"/>
      <c r="Q486" s="59"/>
      <c r="R486" s="61"/>
      <c r="S486" s="41"/>
      <c r="T486" s="59"/>
      <c r="Y486" s="61"/>
      <c r="Z486" s="59"/>
      <c r="AF486" s="61"/>
      <c r="AH486" s="61"/>
      <c r="AI486" s="41"/>
      <c r="AK486" s="40">
        <v>483.0</v>
      </c>
      <c r="AL486" s="738" t="s">
        <v>2471</v>
      </c>
      <c r="AM486" s="738" t="s">
        <v>1760</v>
      </c>
      <c r="AN486" s="738" t="s">
        <v>1744</v>
      </c>
      <c r="AO486" s="739" t="s">
        <v>1728</v>
      </c>
      <c r="AP486" s="740"/>
    </row>
    <row r="487">
      <c r="A487" s="159"/>
      <c r="B487" s="636"/>
      <c r="C487" s="159"/>
      <c r="D487" s="636"/>
      <c r="E487" s="636"/>
      <c r="F487" s="159"/>
      <c r="G487" s="159"/>
      <c r="H487" s="159"/>
      <c r="I487" s="668"/>
      <c r="J487" s="157"/>
      <c r="K487" s="708"/>
      <c r="L487" s="157"/>
      <c r="M487" s="157"/>
      <c r="N487" s="157"/>
      <c r="O487" s="668"/>
      <c r="P487" s="709"/>
      <c r="Q487" s="59"/>
      <c r="R487" s="61"/>
      <c r="S487" s="41"/>
      <c r="T487" s="59"/>
      <c r="Y487" s="61"/>
      <c r="Z487" s="59"/>
      <c r="AF487" s="61"/>
      <c r="AH487" s="61"/>
      <c r="AI487" s="41"/>
      <c r="AK487" s="40">
        <v>484.0</v>
      </c>
      <c r="AL487" s="719" t="s">
        <v>2471</v>
      </c>
      <c r="AM487" s="720" t="s">
        <v>1760</v>
      </c>
      <c r="AN487" s="720" t="s">
        <v>1744</v>
      </c>
      <c r="AO487" s="722" t="s">
        <v>1728</v>
      </c>
      <c r="AP487" s="723"/>
    </row>
    <row r="488">
      <c r="A488" s="159"/>
      <c r="B488" s="636"/>
      <c r="C488" s="159"/>
      <c r="D488" s="636"/>
      <c r="E488" s="636"/>
      <c r="F488" s="159"/>
      <c r="G488" s="159"/>
      <c r="H488" s="159"/>
      <c r="I488" s="668"/>
      <c r="J488" s="157"/>
      <c r="K488" s="708"/>
      <c r="L488" s="157"/>
      <c r="M488" s="157"/>
      <c r="N488" s="157"/>
      <c r="O488" s="668"/>
      <c r="P488" s="709"/>
      <c r="Q488" s="59"/>
      <c r="R488" s="61"/>
      <c r="S488" s="41"/>
      <c r="T488" s="59"/>
      <c r="Y488" s="61"/>
      <c r="Z488" s="59"/>
      <c r="AF488" s="61"/>
      <c r="AH488" s="61"/>
      <c r="AI488" s="41"/>
      <c r="AK488" s="40">
        <v>485.0</v>
      </c>
      <c r="AL488" s="738" t="s">
        <v>2471</v>
      </c>
      <c r="AM488" s="738" t="s">
        <v>1760</v>
      </c>
      <c r="AN488" s="738" t="s">
        <v>1744</v>
      </c>
      <c r="AO488" s="739" t="s">
        <v>1728</v>
      </c>
      <c r="AP488" s="740"/>
    </row>
    <row r="489">
      <c r="A489" s="159"/>
      <c r="B489" s="636"/>
      <c r="C489" s="159"/>
      <c r="D489" s="636"/>
      <c r="E489" s="636"/>
      <c r="F489" s="159"/>
      <c r="G489" s="159"/>
      <c r="H489" s="159"/>
      <c r="I489" s="668"/>
      <c r="J489" s="157"/>
      <c r="K489" s="708"/>
      <c r="L489" s="157"/>
      <c r="M489" s="157"/>
      <c r="N489" s="157"/>
      <c r="O489" s="668"/>
      <c r="P489" s="709"/>
      <c r="Q489" s="59"/>
      <c r="R489" s="61"/>
      <c r="S489" s="41"/>
      <c r="T489" s="59"/>
      <c r="Y489" s="61"/>
      <c r="Z489" s="59"/>
      <c r="AF489" s="61"/>
      <c r="AH489" s="61"/>
      <c r="AI489" s="41"/>
      <c r="AK489" s="40">
        <v>486.0</v>
      </c>
      <c r="AL489" s="719" t="s">
        <v>2472</v>
      </c>
      <c r="AM489" s="720" t="s">
        <v>1777</v>
      </c>
      <c r="AN489" s="720" t="s">
        <v>1744</v>
      </c>
      <c r="AO489" s="722">
        <v>0.625</v>
      </c>
      <c r="AP489" s="722" t="s">
        <v>1778</v>
      </c>
    </row>
    <row r="490">
      <c r="A490" s="159"/>
      <c r="B490" s="636"/>
      <c r="C490" s="159"/>
      <c r="D490" s="636"/>
      <c r="E490" s="636"/>
      <c r="F490" s="159"/>
      <c r="G490" s="159"/>
      <c r="H490" s="159"/>
      <c r="I490" s="668"/>
      <c r="J490" s="157"/>
      <c r="K490" s="708"/>
      <c r="L490" s="157"/>
      <c r="M490" s="157"/>
      <c r="N490" s="157"/>
      <c r="O490" s="668"/>
      <c r="P490" s="709"/>
      <c r="Q490" s="59"/>
      <c r="R490" s="61"/>
      <c r="S490" s="41"/>
      <c r="T490" s="59"/>
      <c r="Y490" s="61"/>
      <c r="Z490" s="59"/>
      <c r="AF490" s="61"/>
      <c r="AH490" s="61"/>
      <c r="AI490" s="41"/>
      <c r="AK490" s="40">
        <v>487.0</v>
      </c>
      <c r="AL490" s="738" t="s">
        <v>2472</v>
      </c>
      <c r="AM490" s="738" t="s">
        <v>1777</v>
      </c>
      <c r="AN490" s="738" t="s">
        <v>1744</v>
      </c>
      <c r="AO490" s="739">
        <v>0.625</v>
      </c>
      <c r="AP490" s="739" t="s">
        <v>1778</v>
      </c>
    </row>
    <row r="491">
      <c r="A491" s="159"/>
      <c r="B491" s="636"/>
      <c r="C491" s="159"/>
      <c r="D491" s="636"/>
      <c r="E491" s="636"/>
      <c r="F491" s="159"/>
      <c r="G491" s="159"/>
      <c r="H491" s="159"/>
      <c r="I491" s="668"/>
      <c r="J491" s="157"/>
      <c r="K491" s="708"/>
      <c r="L491" s="157"/>
      <c r="M491" s="157"/>
      <c r="N491" s="157"/>
      <c r="O491" s="668"/>
      <c r="P491" s="709"/>
      <c r="Q491" s="59"/>
      <c r="R491" s="61"/>
      <c r="S491" s="41"/>
      <c r="T491" s="59"/>
      <c r="Y491" s="61"/>
      <c r="Z491" s="59"/>
      <c r="AF491" s="61"/>
      <c r="AH491" s="61"/>
      <c r="AI491" s="41"/>
      <c r="AK491" s="40">
        <v>488.0</v>
      </c>
      <c r="AL491" s="719" t="s">
        <v>2473</v>
      </c>
      <c r="AM491" s="720" t="s">
        <v>1777</v>
      </c>
      <c r="AN491" s="720" t="s">
        <v>1744</v>
      </c>
      <c r="AO491" s="722">
        <v>0.625</v>
      </c>
      <c r="AP491" s="722" t="s">
        <v>1778</v>
      </c>
    </row>
    <row r="492">
      <c r="A492" s="159"/>
      <c r="B492" s="636"/>
      <c r="C492" s="159"/>
      <c r="D492" s="636"/>
      <c r="E492" s="636"/>
      <c r="F492" s="159"/>
      <c r="G492" s="159"/>
      <c r="H492" s="159"/>
      <c r="I492" s="668"/>
      <c r="J492" s="157"/>
      <c r="K492" s="708"/>
      <c r="L492" s="157"/>
      <c r="M492" s="157"/>
      <c r="N492" s="157"/>
      <c r="O492" s="668"/>
      <c r="P492" s="709"/>
      <c r="Q492" s="59"/>
      <c r="R492" s="61"/>
      <c r="S492" s="41"/>
      <c r="T492" s="59"/>
      <c r="Y492" s="61"/>
      <c r="Z492" s="59"/>
      <c r="AF492" s="61"/>
      <c r="AH492" s="61"/>
      <c r="AI492" s="41"/>
      <c r="AK492" s="40">
        <v>489.0</v>
      </c>
      <c r="AL492" s="738" t="s">
        <v>2473</v>
      </c>
      <c r="AM492" s="738" t="s">
        <v>1777</v>
      </c>
      <c r="AN492" s="738" t="s">
        <v>1744</v>
      </c>
      <c r="AO492" s="739">
        <v>0.625</v>
      </c>
      <c r="AP492" s="739" t="s">
        <v>1778</v>
      </c>
    </row>
    <row r="493">
      <c r="A493" s="159"/>
      <c r="B493" s="636"/>
      <c r="C493" s="159"/>
      <c r="D493" s="636"/>
      <c r="E493" s="636"/>
      <c r="F493" s="159"/>
      <c r="G493" s="159"/>
      <c r="H493" s="159"/>
      <c r="I493" s="668"/>
      <c r="J493" s="157"/>
      <c r="K493" s="708"/>
      <c r="L493" s="157"/>
      <c r="M493" s="157"/>
      <c r="N493" s="157"/>
      <c r="O493" s="668"/>
      <c r="P493" s="709"/>
      <c r="Q493" s="59"/>
      <c r="R493" s="61"/>
      <c r="S493" s="41"/>
      <c r="T493" s="59"/>
      <c r="Y493" s="61"/>
      <c r="Z493" s="59"/>
      <c r="AF493" s="61"/>
      <c r="AH493" s="61"/>
      <c r="AI493" s="41"/>
      <c r="AK493" s="40">
        <v>490.0</v>
      </c>
      <c r="AL493" s="719" t="s">
        <v>2474</v>
      </c>
      <c r="AM493" s="720" t="s">
        <v>1777</v>
      </c>
      <c r="AN493" s="720" t="s">
        <v>1744</v>
      </c>
      <c r="AO493" s="722">
        <v>0.625</v>
      </c>
      <c r="AP493" s="722" t="s">
        <v>1778</v>
      </c>
    </row>
    <row r="494">
      <c r="A494" s="159"/>
      <c r="B494" s="636"/>
      <c r="C494" s="159"/>
      <c r="D494" s="636"/>
      <c r="E494" s="636"/>
      <c r="F494" s="159"/>
      <c r="G494" s="159"/>
      <c r="H494" s="159"/>
      <c r="I494" s="668"/>
      <c r="J494" s="157"/>
      <c r="K494" s="708"/>
      <c r="L494" s="157"/>
      <c r="M494" s="157"/>
      <c r="N494" s="157"/>
      <c r="O494" s="668"/>
      <c r="P494" s="709"/>
      <c r="Q494" s="59"/>
      <c r="R494" s="61"/>
      <c r="S494" s="41"/>
      <c r="T494" s="59"/>
      <c r="Y494" s="61"/>
      <c r="Z494" s="59"/>
      <c r="AF494" s="61"/>
      <c r="AH494" s="61"/>
      <c r="AI494" s="41"/>
      <c r="AK494" s="40">
        <v>491.0</v>
      </c>
      <c r="AL494" s="738" t="s">
        <v>2474</v>
      </c>
      <c r="AM494" s="738" t="s">
        <v>1777</v>
      </c>
      <c r="AN494" s="738" t="s">
        <v>1744</v>
      </c>
      <c r="AO494" s="739">
        <v>0.625</v>
      </c>
      <c r="AP494" s="739" t="s">
        <v>1778</v>
      </c>
    </row>
    <row r="495">
      <c r="A495" s="159"/>
      <c r="B495" s="636"/>
      <c r="C495" s="159"/>
      <c r="D495" s="636"/>
      <c r="E495" s="636"/>
      <c r="F495" s="159"/>
      <c r="G495" s="159"/>
      <c r="H495" s="159"/>
      <c r="I495" s="668"/>
      <c r="J495" s="157"/>
      <c r="K495" s="708"/>
      <c r="L495" s="157"/>
      <c r="M495" s="157"/>
      <c r="N495" s="157"/>
      <c r="O495" s="668"/>
      <c r="P495" s="709"/>
      <c r="Q495" s="59"/>
      <c r="R495" s="61"/>
      <c r="S495" s="41"/>
      <c r="T495" s="59"/>
      <c r="Y495" s="61"/>
      <c r="Z495" s="59"/>
      <c r="AF495" s="61"/>
      <c r="AH495" s="61"/>
      <c r="AI495" s="41"/>
      <c r="AK495" s="40">
        <v>492.0</v>
      </c>
      <c r="AL495" s="719" t="s">
        <v>2475</v>
      </c>
      <c r="AM495" s="720" t="s">
        <v>1763</v>
      </c>
      <c r="AN495" s="720" t="s">
        <v>1744</v>
      </c>
      <c r="AO495" s="722" t="s">
        <v>1728</v>
      </c>
      <c r="AP495" s="723"/>
    </row>
    <row r="496">
      <c r="A496" s="159"/>
      <c r="B496" s="636"/>
      <c r="C496" s="159"/>
      <c r="D496" s="636"/>
      <c r="E496" s="636"/>
      <c r="F496" s="159"/>
      <c r="G496" s="159"/>
      <c r="H496" s="159"/>
      <c r="I496" s="668"/>
      <c r="J496" s="157"/>
      <c r="K496" s="708"/>
      <c r="L496" s="157"/>
      <c r="M496" s="157"/>
      <c r="N496" s="157"/>
      <c r="O496" s="668"/>
      <c r="P496" s="709"/>
      <c r="Q496" s="59"/>
      <c r="R496" s="61"/>
      <c r="S496" s="41"/>
      <c r="T496" s="59"/>
      <c r="Y496" s="61"/>
      <c r="Z496" s="59"/>
      <c r="AF496" s="61"/>
      <c r="AH496" s="61"/>
      <c r="AI496" s="41"/>
      <c r="AK496" s="40">
        <v>493.0</v>
      </c>
      <c r="AL496" s="738" t="s">
        <v>2475</v>
      </c>
      <c r="AM496" s="738" t="s">
        <v>1763</v>
      </c>
      <c r="AN496" s="738" t="s">
        <v>1744</v>
      </c>
      <c r="AO496" s="739" t="s">
        <v>1728</v>
      </c>
      <c r="AP496" s="740"/>
    </row>
    <row r="497">
      <c r="A497" s="159"/>
      <c r="B497" s="636"/>
      <c r="C497" s="159"/>
      <c r="D497" s="636"/>
      <c r="E497" s="636"/>
      <c r="F497" s="159"/>
      <c r="G497" s="159"/>
      <c r="H497" s="159"/>
      <c r="I497" s="668"/>
      <c r="J497" s="157"/>
      <c r="K497" s="708"/>
      <c r="L497" s="157"/>
      <c r="M497" s="157"/>
      <c r="N497" s="157"/>
      <c r="O497" s="668"/>
      <c r="P497" s="709"/>
      <c r="Q497" s="59"/>
      <c r="R497" s="61"/>
      <c r="S497" s="41"/>
      <c r="T497" s="59"/>
      <c r="Y497" s="61"/>
      <c r="Z497" s="59"/>
      <c r="AF497" s="61"/>
      <c r="AH497" s="61"/>
      <c r="AI497" s="41"/>
      <c r="AK497" s="40">
        <v>494.0</v>
      </c>
      <c r="AL497" s="719" t="s">
        <v>2475</v>
      </c>
      <c r="AM497" s="720" t="s">
        <v>1763</v>
      </c>
      <c r="AN497" s="720" t="s">
        <v>1744</v>
      </c>
      <c r="AO497" s="722" t="s">
        <v>1728</v>
      </c>
      <c r="AP497" s="723"/>
    </row>
    <row r="498">
      <c r="A498" s="159"/>
      <c r="B498" s="636"/>
      <c r="C498" s="159"/>
      <c r="D498" s="636"/>
      <c r="E498" s="636"/>
      <c r="F498" s="159"/>
      <c r="G498" s="159"/>
      <c r="H498" s="159"/>
      <c r="I498" s="668"/>
      <c r="J498" s="157"/>
      <c r="K498" s="708"/>
      <c r="L498" s="157"/>
      <c r="M498" s="157"/>
      <c r="N498" s="157"/>
      <c r="O498" s="668"/>
      <c r="P498" s="709"/>
      <c r="Q498" s="59"/>
      <c r="R498" s="61"/>
      <c r="S498" s="41"/>
      <c r="T498" s="59"/>
      <c r="Y498" s="61"/>
      <c r="Z498" s="59"/>
      <c r="AF498" s="61"/>
      <c r="AH498" s="61"/>
      <c r="AI498" s="41"/>
      <c r="AK498" s="40">
        <v>495.0</v>
      </c>
      <c r="AL498" s="738" t="s">
        <v>2475</v>
      </c>
      <c r="AM498" s="738" t="s">
        <v>1763</v>
      </c>
      <c r="AN498" s="738" t="s">
        <v>1744</v>
      </c>
      <c r="AO498" s="739" t="s">
        <v>1728</v>
      </c>
      <c r="AP498" s="740"/>
    </row>
    <row r="499">
      <c r="A499" s="159"/>
      <c r="B499" s="636"/>
      <c r="C499" s="159"/>
      <c r="D499" s="636"/>
      <c r="E499" s="636"/>
      <c r="F499" s="159"/>
      <c r="G499" s="159"/>
      <c r="H499" s="159"/>
      <c r="I499" s="668"/>
      <c r="J499" s="157"/>
      <c r="K499" s="708"/>
      <c r="L499" s="157"/>
      <c r="M499" s="157"/>
      <c r="N499" s="157"/>
      <c r="O499" s="668"/>
      <c r="P499" s="709"/>
      <c r="Q499" s="59"/>
      <c r="R499" s="61"/>
      <c r="S499" s="41"/>
      <c r="T499" s="59"/>
      <c r="Y499" s="61"/>
      <c r="Z499" s="59"/>
      <c r="AF499" s="61"/>
      <c r="AH499" s="61"/>
      <c r="AI499" s="41"/>
      <c r="AK499" s="40">
        <v>496.0</v>
      </c>
      <c r="AL499" s="719" t="s">
        <v>2476</v>
      </c>
      <c r="AM499" s="720" t="s">
        <v>1763</v>
      </c>
      <c r="AN499" s="720" t="s">
        <v>1744</v>
      </c>
      <c r="AO499" s="722" t="s">
        <v>1728</v>
      </c>
      <c r="AP499" s="723"/>
    </row>
    <row r="500">
      <c r="A500" s="159"/>
      <c r="B500" s="636"/>
      <c r="C500" s="159"/>
      <c r="D500" s="636"/>
      <c r="E500" s="636"/>
      <c r="F500" s="159"/>
      <c r="G500" s="159"/>
      <c r="H500" s="159"/>
      <c r="I500" s="668"/>
      <c r="J500" s="157"/>
      <c r="K500" s="708"/>
      <c r="L500" s="157"/>
      <c r="M500" s="157"/>
      <c r="N500" s="157"/>
      <c r="O500" s="668"/>
      <c r="P500" s="709"/>
      <c r="Q500" s="59"/>
      <c r="R500" s="61"/>
      <c r="S500" s="41"/>
      <c r="T500" s="59"/>
      <c r="Y500" s="61"/>
      <c r="Z500" s="59"/>
      <c r="AF500" s="61"/>
      <c r="AH500" s="61"/>
      <c r="AI500" s="41"/>
      <c r="AK500" s="40">
        <v>497.0</v>
      </c>
      <c r="AL500" s="738" t="s">
        <v>2476</v>
      </c>
      <c r="AM500" s="738" t="s">
        <v>1763</v>
      </c>
      <c r="AN500" s="738" t="s">
        <v>1744</v>
      </c>
      <c r="AO500" s="739" t="s">
        <v>1728</v>
      </c>
      <c r="AP500" s="740"/>
    </row>
    <row r="501">
      <c r="A501" s="159"/>
      <c r="B501" s="636"/>
      <c r="C501" s="159"/>
      <c r="D501" s="636"/>
      <c r="E501" s="636"/>
      <c r="F501" s="159"/>
      <c r="G501" s="159"/>
      <c r="H501" s="159"/>
      <c r="I501" s="668"/>
      <c r="J501" s="157"/>
      <c r="K501" s="708"/>
      <c r="L501" s="157"/>
      <c r="M501" s="157"/>
      <c r="N501" s="157"/>
      <c r="O501" s="668"/>
      <c r="P501" s="709"/>
      <c r="Q501" s="59"/>
      <c r="R501" s="61"/>
      <c r="S501" s="41"/>
      <c r="T501" s="59"/>
      <c r="Y501" s="61"/>
      <c r="Z501" s="59"/>
      <c r="AF501" s="61"/>
      <c r="AH501" s="61"/>
      <c r="AI501" s="41"/>
      <c r="AK501" s="40">
        <v>498.0</v>
      </c>
      <c r="AL501" s="719" t="s">
        <v>2476</v>
      </c>
      <c r="AM501" s="720" t="s">
        <v>1763</v>
      </c>
      <c r="AN501" s="720" t="s">
        <v>1744</v>
      </c>
      <c r="AO501" s="722" t="s">
        <v>1728</v>
      </c>
      <c r="AP501" s="723"/>
    </row>
    <row r="502">
      <c r="A502" s="159"/>
      <c r="B502" s="636"/>
      <c r="C502" s="159"/>
      <c r="D502" s="636"/>
      <c r="E502" s="636"/>
      <c r="F502" s="159"/>
      <c r="G502" s="159"/>
      <c r="H502" s="159"/>
      <c r="I502" s="668"/>
      <c r="J502" s="157"/>
      <c r="K502" s="708"/>
      <c r="L502" s="157"/>
      <c r="M502" s="157"/>
      <c r="N502" s="157"/>
      <c r="O502" s="668"/>
      <c r="P502" s="709"/>
      <c r="Q502" s="59"/>
      <c r="R502" s="61"/>
      <c r="S502" s="41"/>
      <c r="T502" s="59"/>
      <c r="Y502" s="61"/>
      <c r="Z502" s="59"/>
      <c r="AF502" s="61"/>
      <c r="AH502" s="61"/>
      <c r="AI502" s="41"/>
      <c r="AK502" s="40">
        <v>499.0</v>
      </c>
      <c r="AL502" s="738" t="s">
        <v>2476</v>
      </c>
      <c r="AM502" s="738" t="s">
        <v>1763</v>
      </c>
      <c r="AN502" s="738" t="s">
        <v>1744</v>
      </c>
      <c r="AO502" s="739" t="s">
        <v>1728</v>
      </c>
      <c r="AP502" s="740"/>
    </row>
    <row r="503">
      <c r="A503" s="159"/>
      <c r="B503" s="636"/>
      <c r="C503" s="159"/>
      <c r="D503" s="636"/>
      <c r="E503" s="636"/>
      <c r="F503" s="159"/>
      <c r="G503" s="159"/>
      <c r="H503" s="159"/>
      <c r="I503" s="668"/>
      <c r="J503" s="157"/>
      <c r="K503" s="708"/>
      <c r="L503" s="157"/>
      <c r="M503" s="157"/>
      <c r="N503" s="157"/>
      <c r="O503" s="668"/>
      <c r="P503" s="709"/>
      <c r="Q503" s="59"/>
      <c r="R503" s="61"/>
      <c r="S503" s="41"/>
      <c r="T503" s="59"/>
      <c r="Y503" s="61"/>
      <c r="Z503" s="59"/>
      <c r="AF503" s="61"/>
      <c r="AH503" s="61"/>
      <c r="AI503" s="41"/>
      <c r="AK503" s="40">
        <v>500.0</v>
      </c>
      <c r="AL503" s="719" t="s">
        <v>2477</v>
      </c>
      <c r="AM503" s="720" t="s">
        <v>1763</v>
      </c>
      <c r="AN503" s="720" t="s">
        <v>1744</v>
      </c>
      <c r="AO503" s="722" t="s">
        <v>1728</v>
      </c>
      <c r="AP503" s="723"/>
    </row>
    <row r="504">
      <c r="A504" s="159"/>
      <c r="B504" s="636"/>
      <c r="C504" s="159"/>
      <c r="D504" s="636"/>
      <c r="E504" s="636"/>
      <c r="F504" s="159"/>
      <c r="G504" s="159"/>
      <c r="H504" s="159"/>
      <c r="I504" s="668"/>
      <c r="J504" s="157"/>
      <c r="K504" s="708"/>
      <c r="L504" s="157"/>
      <c r="M504" s="157"/>
      <c r="N504" s="157"/>
      <c r="O504" s="668"/>
      <c r="P504" s="709"/>
      <c r="Q504" s="59"/>
      <c r="R504" s="61"/>
      <c r="S504" s="41"/>
      <c r="T504" s="59"/>
      <c r="Y504" s="61"/>
      <c r="Z504" s="59"/>
      <c r="AF504" s="61"/>
      <c r="AH504" s="61"/>
      <c r="AI504" s="41"/>
      <c r="AK504" s="40">
        <v>501.0</v>
      </c>
      <c r="AL504" s="738" t="s">
        <v>2477</v>
      </c>
      <c r="AM504" s="738" t="s">
        <v>1763</v>
      </c>
      <c r="AN504" s="738" t="s">
        <v>1744</v>
      </c>
      <c r="AO504" s="739" t="s">
        <v>1728</v>
      </c>
      <c r="AP504" s="740"/>
    </row>
    <row r="505">
      <c r="A505" s="159"/>
      <c r="B505" s="636"/>
      <c r="C505" s="159"/>
      <c r="D505" s="636"/>
      <c r="E505" s="636"/>
      <c r="F505" s="159"/>
      <c r="G505" s="159"/>
      <c r="H505" s="159"/>
      <c r="I505" s="668"/>
      <c r="J505" s="157"/>
      <c r="K505" s="708"/>
      <c r="L505" s="157"/>
      <c r="M505" s="157"/>
      <c r="N505" s="157"/>
      <c r="O505" s="668"/>
      <c r="P505" s="709"/>
      <c r="Q505" s="59"/>
      <c r="R505" s="61"/>
      <c r="S505" s="41"/>
      <c r="T505" s="59"/>
      <c r="Y505" s="61"/>
      <c r="Z505" s="59"/>
      <c r="AF505" s="61"/>
      <c r="AH505" s="61"/>
      <c r="AI505" s="41"/>
      <c r="AK505" s="40">
        <v>502.0</v>
      </c>
      <c r="AL505" s="719" t="s">
        <v>2477</v>
      </c>
      <c r="AM505" s="720" t="s">
        <v>1763</v>
      </c>
      <c r="AN505" s="720" t="s">
        <v>1744</v>
      </c>
      <c r="AO505" s="722" t="s">
        <v>1728</v>
      </c>
      <c r="AP505" s="723"/>
    </row>
    <row r="506">
      <c r="A506" s="159"/>
      <c r="B506" s="636"/>
      <c r="C506" s="159"/>
      <c r="D506" s="636"/>
      <c r="E506" s="636"/>
      <c r="F506" s="159"/>
      <c r="G506" s="159"/>
      <c r="H506" s="159"/>
      <c r="I506" s="668"/>
      <c r="J506" s="157"/>
      <c r="K506" s="708"/>
      <c r="L506" s="157"/>
      <c r="M506" s="157"/>
      <c r="N506" s="157"/>
      <c r="O506" s="668"/>
      <c r="P506" s="709"/>
      <c r="Q506" s="59"/>
      <c r="R506" s="61"/>
      <c r="S506" s="41"/>
      <c r="T506" s="59"/>
      <c r="Y506" s="61"/>
      <c r="Z506" s="59"/>
      <c r="AF506" s="61"/>
      <c r="AH506" s="61"/>
      <c r="AI506" s="41"/>
      <c r="AK506" s="40">
        <v>503.0</v>
      </c>
      <c r="AL506" s="738" t="s">
        <v>2477</v>
      </c>
      <c r="AM506" s="738" t="s">
        <v>1763</v>
      </c>
      <c r="AN506" s="738" t="s">
        <v>1744</v>
      </c>
      <c r="AO506" s="739" t="s">
        <v>1728</v>
      </c>
      <c r="AP506" s="740"/>
    </row>
    <row r="507">
      <c r="A507" s="159"/>
      <c r="B507" s="636"/>
      <c r="C507" s="159"/>
      <c r="D507" s="636"/>
      <c r="E507" s="636"/>
      <c r="F507" s="159"/>
      <c r="G507" s="159"/>
      <c r="H507" s="159"/>
      <c r="I507" s="668"/>
      <c r="J507" s="157"/>
      <c r="K507" s="708"/>
      <c r="L507" s="157"/>
      <c r="M507" s="157"/>
      <c r="N507" s="157"/>
      <c r="O507" s="668"/>
      <c r="P507" s="709"/>
      <c r="Q507" s="59"/>
      <c r="R507" s="61"/>
      <c r="S507" s="41"/>
      <c r="T507" s="59"/>
      <c r="Y507" s="61"/>
      <c r="Z507" s="59"/>
      <c r="AF507" s="61"/>
      <c r="AH507" s="61"/>
      <c r="AI507" s="41"/>
      <c r="AK507" s="40">
        <v>504.0</v>
      </c>
      <c r="AL507" s="719" t="s">
        <v>2478</v>
      </c>
      <c r="AM507" s="720" t="s">
        <v>1767</v>
      </c>
      <c r="AN507" s="720" t="s">
        <v>1744</v>
      </c>
      <c r="AO507" s="722" t="s">
        <v>1728</v>
      </c>
      <c r="AP507" s="723"/>
    </row>
    <row r="508">
      <c r="A508" s="159"/>
      <c r="B508" s="636"/>
      <c r="C508" s="159"/>
      <c r="D508" s="636"/>
      <c r="E508" s="636"/>
      <c r="F508" s="159"/>
      <c r="G508" s="159"/>
      <c r="H508" s="159"/>
      <c r="I508" s="668"/>
      <c r="J508" s="157"/>
      <c r="K508" s="708"/>
      <c r="L508" s="157"/>
      <c r="M508" s="157"/>
      <c r="N508" s="157"/>
      <c r="O508" s="668"/>
      <c r="P508" s="709"/>
      <c r="Q508" s="59"/>
      <c r="R508" s="61"/>
      <c r="S508" s="41"/>
      <c r="T508" s="59"/>
      <c r="Y508" s="61"/>
      <c r="Z508" s="59"/>
      <c r="AF508" s="61"/>
      <c r="AH508" s="61"/>
      <c r="AI508" s="41"/>
      <c r="AK508" s="40">
        <v>505.0</v>
      </c>
      <c r="AL508" s="738" t="s">
        <v>2478</v>
      </c>
      <c r="AM508" s="738" t="s">
        <v>1767</v>
      </c>
      <c r="AN508" s="738" t="s">
        <v>1744</v>
      </c>
      <c r="AO508" s="739" t="s">
        <v>1728</v>
      </c>
      <c r="AP508" s="740"/>
    </row>
    <row r="509">
      <c r="A509" s="159"/>
      <c r="B509" s="636"/>
      <c r="C509" s="159"/>
      <c r="D509" s="636"/>
      <c r="E509" s="636"/>
      <c r="F509" s="159"/>
      <c r="G509" s="159"/>
      <c r="H509" s="159"/>
      <c r="I509" s="668"/>
      <c r="J509" s="157"/>
      <c r="K509" s="708"/>
      <c r="L509" s="157"/>
      <c r="M509" s="157"/>
      <c r="N509" s="157"/>
      <c r="O509" s="668"/>
      <c r="P509" s="709"/>
      <c r="Q509" s="59"/>
      <c r="R509" s="61"/>
      <c r="S509" s="41"/>
      <c r="T509" s="59"/>
      <c r="Y509" s="61"/>
      <c r="Z509" s="59"/>
      <c r="AF509" s="61"/>
      <c r="AH509" s="61"/>
      <c r="AI509" s="41"/>
      <c r="AK509" s="40">
        <v>506.0</v>
      </c>
      <c r="AL509" s="719" t="s">
        <v>2478</v>
      </c>
      <c r="AM509" s="720" t="s">
        <v>1767</v>
      </c>
      <c r="AN509" s="720" t="s">
        <v>1744</v>
      </c>
      <c r="AO509" s="722" t="s">
        <v>1728</v>
      </c>
      <c r="AP509" s="723"/>
    </row>
    <row r="510">
      <c r="A510" s="159"/>
      <c r="B510" s="636"/>
      <c r="C510" s="159"/>
      <c r="D510" s="636"/>
      <c r="E510" s="636"/>
      <c r="F510" s="159"/>
      <c r="G510" s="159"/>
      <c r="H510" s="159"/>
      <c r="I510" s="668"/>
      <c r="J510" s="157"/>
      <c r="K510" s="708"/>
      <c r="L510" s="157"/>
      <c r="M510" s="157"/>
      <c r="N510" s="157"/>
      <c r="O510" s="668"/>
      <c r="P510" s="709"/>
      <c r="Q510" s="59"/>
      <c r="R510" s="61"/>
      <c r="S510" s="41"/>
      <c r="T510" s="59"/>
      <c r="Y510" s="61"/>
      <c r="Z510" s="59"/>
      <c r="AF510" s="61"/>
      <c r="AH510" s="61"/>
      <c r="AI510" s="41"/>
      <c r="AK510" s="40">
        <v>507.0</v>
      </c>
      <c r="AL510" s="738" t="s">
        <v>2478</v>
      </c>
      <c r="AM510" s="738" t="s">
        <v>1767</v>
      </c>
      <c r="AN510" s="738" t="s">
        <v>1744</v>
      </c>
      <c r="AO510" s="739" t="s">
        <v>1728</v>
      </c>
      <c r="AP510" s="740"/>
    </row>
    <row r="511">
      <c r="A511" s="159"/>
      <c r="B511" s="636"/>
      <c r="C511" s="159"/>
      <c r="D511" s="636"/>
      <c r="E511" s="636"/>
      <c r="F511" s="159"/>
      <c r="G511" s="159"/>
      <c r="H511" s="159"/>
      <c r="I511" s="668"/>
      <c r="J511" s="157"/>
      <c r="K511" s="708"/>
      <c r="L511" s="157"/>
      <c r="M511" s="157"/>
      <c r="N511" s="157"/>
      <c r="O511" s="668"/>
      <c r="P511" s="709"/>
      <c r="Q511" s="59"/>
      <c r="R511" s="61"/>
      <c r="S511" s="41"/>
      <c r="T511" s="59"/>
      <c r="Y511" s="61"/>
      <c r="Z511" s="59"/>
      <c r="AF511" s="61"/>
      <c r="AH511" s="61"/>
      <c r="AI511" s="41"/>
      <c r="AK511" s="40">
        <v>508.0</v>
      </c>
      <c r="AL511" s="719" t="s">
        <v>2478</v>
      </c>
      <c r="AM511" s="720" t="s">
        <v>1767</v>
      </c>
      <c r="AN511" s="720" t="s">
        <v>1744</v>
      </c>
      <c r="AO511" s="722" t="s">
        <v>1728</v>
      </c>
      <c r="AP511" s="723"/>
    </row>
    <row r="512">
      <c r="A512" s="159"/>
      <c r="B512" s="636"/>
      <c r="C512" s="159"/>
      <c r="D512" s="636"/>
      <c r="E512" s="636"/>
      <c r="F512" s="159"/>
      <c r="G512" s="159"/>
      <c r="H512" s="159"/>
      <c r="I512" s="668"/>
      <c r="J512" s="157"/>
      <c r="K512" s="708"/>
      <c r="L512" s="157"/>
      <c r="M512" s="157"/>
      <c r="N512" s="157"/>
      <c r="O512" s="668"/>
      <c r="P512" s="709"/>
      <c r="Q512" s="59"/>
      <c r="R512" s="61"/>
      <c r="S512" s="41"/>
      <c r="T512" s="59"/>
      <c r="Y512" s="61"/>
      <c r="Z512" s="59"/>
      <c r="AF512" s="61"/>
      <c r="AH512" s="61"/>
      <c r="AI512" s="41"/>
      <c r="AK512" s="40">
        <v>509.0</v>
      </c>
      <c r="AL512" s="738" t="s">
        <v>2479</v>
      </c>
      <c r="AM512" s="738" t="s">
        <v>1767</v>
      </c>
      <c r="AN512" s="738" t="s">
        <v>1744</v>
      </c>
      <c r="AO512" s="739" t="s">
        <v>1728</v>
      </c>
      <c r="AP512" s="740"/>
    </row>
    <row r="513">
      <c r="A513" s="159"/>
      <c r="B513" s="636"/>
      <c r="C513" s="159"/>
      <c r="D513" s="636"/>
      <c r="E513" s="636"/>
      <c r="F513" s="159"/>
      <c r="G513" s="159"/>
      <c r="H513" s="159"/>
      <c r="I513" s="668"/>
      <c r="J513" s="157"/>
      <c r="K513" s="708"/>
      <c r="L513" s="157"/>
      <c r="M513" s="157"/>
      <c r="N513" s="157"/>
      <c r="O513" s="668"/>
      <c r="P513" s="709"/>
      <c r="Q513" s="59"/>
      <c r="R513" s="61"/>
      <c r="S513" s="41"/>
      <c r="T513" s="59"/>
      <c r="Y513" s="61"/>
      <c r="Z513" s="59"/>
      <c r="AF513" s="61"/>
      <c r="AH513" s="61"/>
      <c r="AI513" s="41"/>
      <c r="AK513" s="40">
        <v>510.0</v>
      </c>
      <c r="AL513" s="719" t="s">
        <v>2479</v>
      </c>
      <c r="AM513" s="720" t="s">
        <v>1767</v>
      </c>
      <c r="AN513" s="720" t="s">
        <v>1744</v>
      </c>
      <c r="AO513" s="722" t="s">
        <v>1728</v>
      </c>
      <c r="AP513" s="723"/>
    </row>
    <row r="514">
      <c r="A514" s="159"/>
      <c r="B514" s="636"/>
      <c r="C514" s="159"/>
      <c r="D514" s="636"/>
      <c r="E514" s="636"/>
      <c r="F514" s="159"/>
      <c r="G514" s="159"/>
      <c r="H514" s="159"/>
      <c r="I514" s="668"/>
      <c r="J514" s="157"/>
      <c r="K514" s="708"/>
      <c r="L514" s="157"/>
      <c r="M514" s="157"/>
      <c r="N514" s="157"/>
      <c r="O514" s="668"/>
      <c r="P514" s="709"/>
      <c r="Q514" s="59"/>
      <c r="R514" s="61"/>
      <c r="S514" s="41"/>
      <c r="T514" s="59"/>
      <c r="Y514" s="61"/>
      <c r="Z514" s="59"/>
      <c r="AF514" s="61"/>
      <c r="AH514" s="61"/>
      <c r="AI514" s="41"/>
      <c r="AK514" s="40">
        <v>511.0</v>
      </c>
      <c r="AL514" s="738" t="s">
        <v>2479</v>
      </c>
      <c r="AM514" s="738" t="s">
        <v>1767</v>
      </c>
      <c r="AN514" s="738" t="s">
        <v>1744</v>
      </c>
      <c r="AO514" s="739" t="s">
        <v>1728</v>
      </c>
      <c r="AP514" s="740"/>
    </row>
    <row r="515">
      <c r="A515" s="159"/>
      <c r="B515" s="636"/>
      <c r="C515" s="159"/>
      <c r="D515" s="636"/>
      <c r="E515" s="636"/>
      <c r="F515" s="159"/>
      <c r="G515" s="159"/>
      <c r="H515" s="159"/>
      <c r="I515" s="668"/>
      <c r="J515" s="157"/>
      <c r="K515" s="708"/>
      <c r="L515" s="157"/>
      <c r="M515" s="157"/>
      <c r="N515" s="157"/>
      <c r="O515" s="668"/>
      <c r="P515" s="709"/>
      <c r="Q515" s="59"/>
      <c r="R515" s="61"/>
      <c r="S515" s="41"/>
      <c r="T515" s="59"/>
      <c r="Y515" s="61"/>
      <c r="Z515" s="59"/>
      <c r="AF515" s="61"/>
      <c r="AH515" s="61"/>
      <c r="AI515" s="41"/>
      <c r="AK515" s="40">
        <v>512.0</v>
      </c>
      <c r="AL515" s="719" t="s">
        <v>2479</v>
      </c>
      <c r="AM515" s="720" t="s">
        <v>1767</v>
      </c>
      <c r="AN515" s="720" t="s">
        <v>1744</v>
      </c>
      <c r="AO515" s="722" t="s">
        <v>1728</v>
      </c>
      <c r="AP515" s="723"/>
    </row>
    <row r="516">
      <c r="A516" s="159"/>
      <c r="B516" s="636"/>
      <c r="C516" s="159"/>
      <c r="D516" s="636"/>
      <c r="E516" s="636"/>
      <c r="F516" s="159"/>
      <c r="G516" s="159"/>
      <c r="H516" s="159"/>
      <c r="I516" s="668"/>
      <c r="J516" s="157"/>
      <c r="K516" s="708"/>
      <c r="L516" s="157"/>
      <c r="M516" s="157"/>
      <c r="N516" s="157"/>
      <c r="O516" s="668"/>
      <c r="P516" s="709"/>
      <c r="Q516" s="59"/>
      <c r="R516" s="61"/>
      <c r="S516" s="41"/>
      <c r="T516" s="59"/>
      <c r="Y516" s="61"/>
      <c r="Z516" s="59"/>
      <c r="AF516" s="61"/>
      <c r="AH516" s="61"/>
      <c r="AI516" s="41"/>
      <c r="AK516" s="40">
        <v>513.0</v>
      </c>
      <c r="AL516" s="738" t="s">
        <v>2479</v>
      </c>
      <c r="AM516" s="738" t="s">
        <v>1767</v>
      </c>
      <c r="AN516" s="738" t="s">
        <v>1744</v>
      </c>
      <c r="AO516" s="739" t="s">
        <v>1728</v>
      </c>
      <c r="AP516" s="740"/>
    </row>
    <row r="517">
      <c r="A517" s="159"/>
      <c r="B517" s="636"/>
      <c r="C517" s="159"/>
      <c r="D517" s="636"/>
      <c r="E517" s="636"/>
      <c r="F517" s="159"/>
      <c r="G517" s="159"/>
      <c r="H517" s="159"/>
      <c r="I517" s="668"/>
      <c r="J517" s="157"/>
      <c r="K517" s="708"/>
      <c r="L517" s="157"/>
      <c r="M517" s="157"/>
      <c r="N517" s="157"/>
      <c r="O517" s="668"/>
      <c r="P517" s="709"/>
      <c r="Q517" s="59"/>
      <c r="R517" s="61"/>
      <c r="S517" s="41"/>
      <c r="T517" s="59"/>
      <c r="Y517" s="61"/>
      <c r="Z517" s="59"/>
      <c r="AF517" s="61"/>
      <c r="AH517" s="61"/>
      <c r="AI517" s="41"/>
      <c r="AK517" s="40">
        <v>514.0</v>
      </c>
      <c r="AL517" s="719" t="s">
        <v>2480</v>
      </c>
      <c r="AM517" s="720" t="s">
        <v>1767</v>
      </c>
      <c r="AN517" s="720" t="s">
        <v>1744</v>
      </c>
      <c r="AO517" s="722" t="s">
        <v>1728</v>
      </c>
      <c r="AP517" s="723"/>
    </row>
    <row r="518">
      <c r="A518" s="159"/>
      <c r="B518" s="636"/>
      <c r="C518" s="159"/>
      <c r="D518" s="636"/>
      <c r="E518" s="636"/>
      <c r="F518" s="159"/>
      <c r="G518" s="159"/>
      <c r="H518" s="159"/>
      <c r="I518" s="668"/>
      <c r="J518" s="157"/>
      <c r="K518" s="708"/>
      <c r="L518" s="157"/>
      <c r="M518" s="157"/>
      <c r="N518" s="157"/>
      <c r="O518" s="668"/>
      <c r="P518" s="709"/>
      <c r="Q518" s="59"/>
      <c r="R518" s="61"/>
      <c r="S518" s="41"/>
      <c r="T518" s="59"/>
      <c r="Y518" s="61"/>
      <c r="Z518" s="59"/>
      <c r="AF518" s="61"/>
      <c r="AH518" s="61"/>
      <c r="AI518" s="41"/>
      <c r="AK518" s="40">
        <v>515.0</v>
      </c>
      <c r="AL518" s="738" t="s">
        <v>2480</v>
      </c>
      <c r="AM518" s="738" t="s">
        <v>1767</v>
      </c>
      <c r="AN518" s="738" t="s">
        <v>1744</v>
      </c>
      <c r="AO518" s="739" t="s">
        <v>1728</v>
      </c>
      <c r="AP518" s="740"/>
    </row>
    <row r="519">
      <c r="A519" s="159"/>
      <c r="B519" s="636"/>
      <c r="C519" s="159"/>
      <c r="D519" s="636"/>
      <c r="E519" s="636"/>
      <c r="F519" s="159"/>
      <c r="G519" s="159"/>
      <c r="H519" s="159"/>
      <c r="I519" s="668"/>
      <c r="J519" s="157"/>
      <c r="K519" s="708"/>
      <c r="L519" s="157"/>
      <c r="M519" s="157"/>
      <c r="N519" s="157"/>
      <c r="O519" s="668"/>
      <c r="P519" s="709"/>
      <c r="Q519" s="59"/>
      <c r="R519" s="61"/>
      <c r="S519" s="41"/>
      <c r="T519" s="59"/>
      <c r="Y519" s="61"/>
      <c r="Z519" s="59"/>
      <c r="AF519" s="61"/>
      <c r="AH519" s="61"/>
      <c r="AI519" s="41"/>
      <c r="AK519" s="40">
        <v>516.0</v>
      </c>
      <c r="AL519" s="719" t="s">
        <v>2480</v>
      </c>
      <c r="AM519" s="720" t="s">
        <v>1767</v>
      </c>
      <c r="AN519" s="720" t="s">
        <v>1744</v>
      </c>
      <c r="AO519" s="722" t="s">
        <v>1728</v>
      </c>
      <c r="AP519" s="723"/>
    </row>
    <row r="520">
      <c r="A520" s="159"/>
      <c r="B520" s="636"/>
      <c r="C520" s="159"/>
      <c r="D520" s="636"/>
      <c r="E520" s="636"/>
      <c r="F520" s="159"/>
      <c r="G520" s="159"/>
      <c r="H520" s="159"/>
      <c r="I520" s="668"/>
      <c r="J520" s="157"/>
      <c r="K520" s="708"/>
      <c r="L520" s="157"/>
      <c r="M520" s="157"/>
      <c r="N520" s="157"/>
      <c r="O520" s="668"/>
      <c r="P520" s="709"/>
      <c r="Q520" s="59"/>
      <c r="R520" s="61"/>
      <c r="S520" s="41"/>
      <c r="T520" s="59"/>
      <c r="Y520" s="61"/>
      <c r="Z520" s="59"/>
      <c r="AF520" s="61"/>
      <c r="AH520" s="61"/>
      <c r="AI520" s="41"/>
      <c r="AK520" s="40">
        <v>517.0</v>
      </c>
      <c r="AL520" s="738" t="s">
        <v>2480</v>
      </c>
      <c r="AM520" s="738" t="s">
        <v>1767</v>
      </c>
      <c r="AN520" s="738" t="s">
        <v>1744</v>
      </c>
      <c r="AO520" s="739" t="s">
        <v>1728</v>
      </c>
      <c r="AP520" s="740"/>
    </row>
    <row r="521">
      <c r="A521" s="159"/>
      <c r="B521" s="636"/>
      <c r="C521" s="159"/>
      <c r="D521" s="636"/>
      <c r="E521" s="636"/>
      <c r="F521" s="159"/>
      <c r="G521" s="159"/>
      <c r="H521" s="159"/>
      <c r="I521" s="668"/>
      <c r="J521" s="157"/>
      <c r="K521" s="708"/>
      <c r="L521" s="157"/>
      <c r="M521" s="157"/>
      <c r="N521" s="157"/>
      <c r="O521" s="668"/>
      <c r="P521" s="709"/>
      <c r="Q521" s="59"/>
      <c r="R521" s="61"/>
      <c r="S521" s="41"/>
      <c r="T521" s="59"/>
      <c r="Y521" s="61"/>
      <c r="Z521" s="59"/>
      <c r="AF521" s="61"/>
      <c r="AH521" s="61"/>
      <c r="AI521" s="41"/>
      <c r="AK521" s="40">
        <v>518.0</v>
      </c>
      <c r="AL521" s="719" t="s">
        <v>2480</v>
      </c>
      <c r="AM521" s="720" t="s">
        <v>1767</v>
      </c>
      <c r="AN521" s="720" t="s">
        <v>1744</v>
      </c>
      <c r="AO521" s="722" t="s">
        <v>1728</v>
      </c>
      <c r="AP521" s="723"/>
    </row>
    <row r="522">
      <c r="A522" s="159"/>
      <c r="B522" s="636"/>
      <c r="C522" s="159"/>
      <c r="D522" s="636"/>
      <c r="E522" s="636"/>
      <c r="F522" s="159"/>
      <c r="G522" s="159"/>
      <c r="H522" s="159"/>
      <c r="I522" s="668"/>
      <c r="J522" s="157"/>
      <c r="K522" s="708"/>
      <c r="L522" s="157"/>
      <c r="M522" s="157"/>
      <c r="N522" s="157"/>
      <c r="O522" s="668"/>
      <c r="P522" s="709"/>
      <c r="Q522" s="59"/>
      <c r="R522" s="61"/>
      <c r="S522" s="41"/>
      <c r="T522" s="59"/>
      <c r="Y522" s="61"/>
      <c r="Z522" s="59"/>
      <c r="AF522" s="61"/>
      <c r="AH522" s="61"/>
      <c r="AI522" s="41"/>
      <c r="AK522" s="40">
        <v>519.0</v>
      </c>
      <c r="AL522" s="738" t="s">
        <v>2481</v>
      </c>
      <c r="AM522" s="738" t="s">
        <v>2482</v>
      </c>
      <c r="AN522" s="738" t="s">
        <v>2483</v>
      </c>
      <c r="AO522" s="739">
        <v>0.003</v>
      </c>
      <c r="AP522" s="739" t="s">
        <v>2484</v>
      </c>
    </row>
    <row r="523">
      <c r="A523" s="159"/>
      <c r="B523" s="636"/>
      <c r="C523" s="159"/>
      <c r="D523" s="636"/>
      <c r="E523" s="636"/>
      <c r="F523" s="159"/>
      <c r="G523" s="159"/>
      <c r="H523" s="159"/>
      <c r="I523" s="668"/>
      <c r="J523" s="157"/>
      <c r="K523" s="708"/>
      <c r="L523" s="157"/>
      <c r="M523" s="157"/>
      <c r="N523" s="157"/>
      <c r="O523" s="668"/>
      <c r="P523" s="709"/>
      <c r="Q523" s="59"/>
      <c r="R523" s="61"/>
      <c r="S523" s="41"/>
      <c r="T523" s="59"/>
      <c r="Y523" s="61"/>
      <c r="Z523" s="59"/>
      <c r="AF523" s="61"/>
      <c r="AH523" s="61"/>
      <c r="AI523" s="41"/>
      <c r="AK523" s="40">
        <v>520.0</v>
      </c>
      <c r="AL523" s="719" t="s">
        <v>2485</v>
      </c>
      <c r="AM523" s="720" t="s">
        <v>2184</v>
      </c>
      <c r="AN523" s="720" t="s">
        <v>2185</v>
      </c>
      <c r="AO523" s="722">
        <v>0.031</v>
      </c>
      <c r="AP523" s="722" t="s">
        <v>2186</v>
      </c>
    </row>
    <row r="524">
      <c r="A524" s="159"/>
      <c r="B524" s="636"/>
      <c r="C524" s="159"/>
      <c r="D524" s="636"/>
      <c r="E524" s="636"/>
      <c r="F524" s="159"/>
      <c r="G524" s="159"/>
      <c r="H524" s="159"/>
      <c r="I524" s="668"/>
      <c r="J524" s="157"/>
      <c r="K524" s="708"/>
      <c r="L524" s="157"/>
      <c r="M524" s="157"/>
      <c r="N524" s="157"/>
      <c r="O524" s="668"/>
      <c r="P524" s="709"/>
      <c r="Q524" s="59"/>
      <c r="R524" s="61"/>
      <c r="S524" s="41"/>
      <c r="T524" s="59"/>
      <c r="Y524" s="61"/>
      <c r="Z524" s="59"/>
      <c r="AF524" s="61"/>
      <c r="AH524" s="61"/>
      <c r="AI524" s="41"/>
      <c r="AK524" s="40">
        <v>521.0</v>
      </c>
      <c r="AL524" s="738" t="s">
        <v>2486</v>
      </c>
      <c r="AM524" s="738" t="s">
        <v>2188</v>
      </c>
      <c r="AN524" s="738" t="s">
        <v>2189</v>
      </c>
      <c r="AO524" s="739">
        <v>0.184</v>
      </c>
      <c r="AP524" s="739" t="s">
        <v>2190</v>
      </c>
    </row>
    <row r="525">
      <c r="A525" s="159"/>
      <c r="B525" s="636"/>
      <c r="C525" s="159"/>
      <c r="D525" s="636"/>
      <c r="E525" s="636"/>
      <c r="F525" s="159"/>
      <c r="G525" s="159"/>
      <c r="H525" s="159"/>
      <c r="I525" s="668"/>
      <c r="J525" s="157"/>
      <c r="K525" s="708"/>
      <c r="L525" s="157"/>
      <c r="M525" s="157"/>
      <c r="N525" s="157"/>
      <c r="O525" s="668"/>
      <c r="P525" s="709"/>
      <c r="Q525" s="59"/>
      <c r="R525" s="61"/>
      <c r="S525" s="41"/>
      <c r="T525" s="59"/>
      <c r="Y525" s="61"/>
      <c r="Z525" s="59"/>
      <c r="AF525" s="61"/>
      <c r="AH525" s="61"/>
      <c r="AI525" s="41"/>
      <c r="AK525" s="40">
        <v>522.0</v>
      </c>
      <c r="AL525" s="719" t="s">
        <v>2487</v>
      </c>
      <c r="AM525" s="720" t="s">
        <v>2192</v>
      </c>
      <c r="AN525" s="720" t="s">
        <v>2193</v>
      </c>
      <c r="AO525" s="722">
        <v>0.187</v>
      </c>
      <c r="AP525" s="722" t="s">
        <v>2194</v>
      </c>
    </row>
    <row r="526">
      <c r="A526" s="159"/>
      <c r="B526" s="636"/>
      <c r="C526" s="159"/>
      <c r="D526" s="636"/>
      <c r="E526" s="636"/>
      <c r="F526" s="159"/>
      <c r="G526" s="159"/>
      <c r="H526" s="159"/>
      <c r="I526" s="668"/>
      <c r="J526" s="157"/>
      <c r="K526" s="708"/>
      <c r="L526" s="157"/>
      <c r="M526" s="157"/>
      <c r="N526" s="157"/>
      <c r="O526" s="668"/>
      <c r="P526" s="709"/>
      <c r="Q526" s="59"/>
      <c r="R526" s="61"/>
      <c r="S526" s="41"/>
      <c r="T526" s="59"/>
      <c r="Y526" s="61"/>
      <c r="Z526" s="59"/>
      <c r="AF526" s="61"/>
      <c r="AH526" s="61"/>
      <c r="AI526" s="41"/>
      <c r="AK526" s="40">
        <v>523.0</v>
      </c>
      <c r="AL526" s="738" t="s">
        <v>2488</v>
      </c>
      <c r="AM526" s="738" t="s">
        <v>2156</v>
      </c>
      <c r="AN526" s="745"/>
      <c r="AO526" s="739">
        <v>0.0</v>
      </c>
      <c r="AP526" s="739" t="s">
        <v>2157</v>
      </c>
    </row>
    <row r="527">
      <c r="A527" s="159"/>
      <c r="B527" s="636"/>
      <c r="C527" s="159"/>
      <c r="D527" s="636"/>
      <c r="E527" s="636"/>
      <c r="F527" s="159"/>
      <c r="G527" s="159"/>
      <c r="H527" s="159"/>
      <c r="I527" s="668"/>
      <c r="J527" s="157"/>
      <c r="K527" s="708"/>
      <c r="L527" s="157"/>
      <c r="M527" s="157"/>
      <c r="N527" s="157"/>
      <c r="O527" s="668"/>
      <c r="P527" s="709"/>
      <c r="Q527" s="59"/>
      <c r="R527" s="61"/>
      <c r="S527" s="41"/>
      <c r="T527" s="59"/>
      <c r="Y527" s="61"/>
      <c r="Z527" s="59"/>
      <c r="AF527" s="61"/>
      <c r="AH527" s="61"/>
      <c r="AI527" s="41"/>
      <c r="AK527" s="40">
        <v>524.0</v>
      </c>
      <c r="AL527" s="719" t="s">
        <v>2489</v>
      </c>
      <c r="AM527" s="720" t="s">
        <v>2156</v>
      </c>
      <c r="AN527" s="721"/>
      <c r="AO527" s="722">
        <v>0.0</v>
      </c>
      <c r="AP527" s="722" t="s">
        <v>2157</v>
      </c>
    </row>
    <row r="528">
      <c r="A528" s="159"/>
      <c r="B528" s="636"/>
      <c r="C528" s="159"/>
      <c r="D528" s="636"/>
      <c r="E528" s="636"/>
      <c r="F528" s="159"/>
      <c r="G528" s="159"/>
      <c r="H528" s="159"/>
      <c r="I528" s="668"/>
      <c r="J528" s="157"/>
      <c r="K528" s="708"/>
      <c r="L528" s="157"/>
      <c r="M528" s="157"/>
      <c r="N528" s="157"/>
      <c r="O528" s="668"/>
      <c r="P528" s="709"/>
      <c r="Q528" s="59"/>
      <c r="R528" s="61"/>
      <c r="S528" s="41"/>
      <c r="T528" s="59"/>
      <c r="Y528" s="61"/>
      <c r="Z528" s="59"/>
      <c r="AF528" s="61"/>
      <c r="AH528" s="61"/>
      <c r="AI528" s="41"/>
      <c r="AK528" s="40">
        <v>525.0</v>
      </c>
      <c r="AL528" s="738" t="s">
        <v>2490</v>
      </c>
      <c r="AM528" s="738" t="s">
        <v>2156</v>
      </c>
      <c r="AN528" s="745"/>
      <c r="AO528" s="739">
        <v>0.0</v>
      </c>
      <c r="AP528" s="739" t="s">
        <v>2157</v>
      </c>
    </row>
    <row r="529">
      <c r="A529" s="159"/>
      <c r="B529" s="636"/>
      <c r="C529" s="159"/>
      <c r="D529" s="636"/>
      <c r="E529" s="636"/>
      <c r="F529" s="159"/>
      <c r="G529" s="159"/>
      <c r="H529" s="159"/>
      <c r="I529" s="668"/>
      <c r="J529" s="157"/>
      <c r="K529" s="708"/>
      <c r="L529" s="157"/>
      <c r="M529" s="157"/>
      <c r="N529" s="157"/>
      <c r="O529" s="668"/>
      <c r="P529" s="709"/>
      <c r="Q529" s="59"/>
      <c r="R529" s="61"/>
      <c r="S529" s="41"/>
      <c r="T529" s="59"/>
      <c r="Y529" s="61"/>
      <c r="Z529" s="59"/>
      <c r="AF529" s="61"/>
      <c r="AH529" s="61"/>
      <c r="AI529" s="41"/>
      <c r="AK529" s="40">
        <v>526.0</v>
      </c>
      <c r="AL529" s="719" t="s">
        <v>2491</v>
      </c>
      <c r="AM529" s="720" t="s">
        <v>2156</v>
      </c>
      <c r="AN529" s="721"/>
      <c r="AO529" s="722">
        <v>0.0</v>
      </c>
      <c r="AP529" s="722" t="s">
        <v>2157</v>
      </c>
    </row>
    <row r="530">
      <c r="A530" s="159"/>
      <c r="B530" s="636"/>
      <c r="C530" s="159"/>
      <c r="D530" s="636"/>
      <c r="E530" s="636"/>
      <c r="F530" s="159"/>
      <c r="G530" s="159"/>
      <c r="H530" s="159"/>
      <c r="I530" s="668"/>
      <c r="J530" s="157"/>
      <c r="K530" s="708"/>
      <c r="L530" s="157"/>
      <c r="M530" s="157"/>
      <c r="N530" s="157"/>
      <c r="O530" s="668"/>
      <c r="P530" s="709"/>
      <c r="Q530" s="59"/>
      <c r="R530" s="61"/>
      <c r="S530" s="41"/>
      <c r="T530" s="59"/>
      <c r="Y530" s="61"/>
      <c r="Z530" s="59"/>
      <c r="AF530" s="61"/>
      <c r="AH530" s="61"/>
      <c r="AI530" s="41"/>
      <c r="AK530" s="40">
        <v>527.0</v>
      </c>
      <c r="AL530" s="738" t="s">
        <v>2492</v>
      </c>
      <c r="AM530" s="738" t="s">
        <v>2323</v>
      </c>
      <c r="AN530" s="738" t="s">
        <v>2324</v>
      </c>
      <c r="AO530" s="739">
        <v>0.01</v>
      </c>
      <c r="AP530" s="739" t="s">
        <v>2325</v>
      </c>
    </row>
    <row r="531">
      <c r="A531" s="159"/>
      <c r="B531" s="636"/>
      <c r="C531" s="159"/>
      <c r="D531" s="636"/>
      <c r="E531" s="636"/>
      <c r="F531" s="159"/>
      <c r="G531" s="159"/>
      <c r="H531" s="159"/>
      <c r="I531" s="668"/>
      <c r="J531" s="157"/>
      <c r="K531" s="708"/>
      <c r="L531" s="157"/>
      <c r="M531" s="157"/>
      <c r="N531" s="157"/>
      <c r="O531" s="668"/>
      <c r="P531" s="709"/>
      <c r="Q531" s="59"/>
      <c r="R531" s="61"/>
      <c r="S531" s="41"/>
      <c r="T531" s="59"/>
      <c r="Y531" s="61"/>
      <c r="Z531" s="59"/>
      <c r="AF531" s="61"/>
      <c r="AH531" s="61"/>
      <c r="AI531" s="41"/>
      <c r="AK531" s="40">
        <v>528.0</v>
      </c>
      <c r="AL531" s="719" t="s">
        <v>2493</v>
      </c>
      <c r="AM531" s="720" t="s">
        <v>2033</v>
      </c>
      <c r="AN531" s="720" t="s">
        <v>2034</v>
      </c>
      <c r="AO531" s="722">
        <v>0.061</v>
      </c>
      <c r="AP531" s="722" t="s">
        <v>2035</v>
      </c>
    </row>
    <row r="532">
      <c r="A532" s="159"/>
      <c r="B532" s="636"/>
      <c r="C532" s="159"/>
      <c r="D532" s="636"/>
      <c r="E532" s="636"/>
      <c r="F532" s="159"/>
      <c r="G532" s="159"/>
      <c r="H532" s="159"/>
      <c r="I532" s="668"/>
      <c r="J532" s="157"/>
      <c r="K532" s="708"/>
      <c r="L532" s="157"/>
      <c r="M532" s="157"/>
      <c r="N532" s="157"/>
      <c r="O532" s="668"/>
      <c r="P532" s="709"/>
      <c r="Q532" s="59"/>
      <c r="R532" s="61"/>
      <c r="S532" s="41"/>
      <c r="T532" s="59"/>
      <c r="Y532" s="61"/>
      <c r="Z532" s="59"/>
      <c r="AF532" s="61"/>
      <c r="AH532" s="61"/>
      <c r="AI532" s="41"/>
      <c r="AK532" s="40">
        <v>529.0</v>
      </c>
      <c r="AL532" s="738" t="s">
        <v>2494</v>
      </c>
      <c r="AM532" s="738" t="s">
        <v>1835</v>
      </c>
      <c r="AN532" s="738" t="s">
        <v>1836</v>
      </c>
      <c r="AO532" s="739">
        <v>0.402</v>
      </c>
      <c r="AP532" s="739" t="s">
        <v>1837</v>
      </c>
    </row>
    <row r="533">
      <c r="A533" s="159"/>
      <c r="B533" s="636"/>
      <c r="C533" s="159"/>
      <c r="D533" s="636"/>
      <c r="E533" s="636"/>
      <c r="F533" s="159"/>
      <c r="G533" s="159"/>
      <c r="H533" s="159"/>
      <c r="I533" s="668"/>
      <c r="J533" s="157"/>
      <c r="K533" s="708"/>
      <c r="L533" s="157"/>
      <c r="M533" s="157"/>
      <c r="N533" s="157"/>
      <c r="O533" s="668"/>
      <c r="P533" s="709"/>
      <c r="Q533" s="59"/>
      <c r="R533" s="61"/>
      <c r="S533" s="41"/>
      <c r="T533" s="59"/>
      <c r="Y533" s="61"/>
      <c r="Z533" s="59"/>
      <c r="AF533" s="61"/>
      <c r="AH533" s="61"/>
      <c r="AI533" s="41"/>
      <c r="AK533" s="40">
        <v>530.0</v>
      </c>
      <c r="AL533" s="719" t="s">
        <v>2495</v>
      </c>
      <c r="AM533" s="720" t="s">
        <v>2329</v>
      </c>
      <c r="AN533" s="720" t="s">
        <v>2330</v>
      </c>
      <c r="AO533" s="722">
        <v>0.031</v>
      </c>
      <c r="AP533" s="722" t="s">
        <v>2331</v>
      </c>
    </row>
    <row r="534">
      <c r="A534" s="159"/>
      <c r="B534" s="636"/>
      <c r="C534" s="159"/>
      <c r="D534" s="636"/>
      <c r="E534" s="636"/>
      <c r="F534" s="159"/>
      <c r="G534" s="159"/>
      <c r="H534" s="159"/>
      <c r="I534" s="668"/>
      <c r="J534" s="157"/>
      <c r="K534" s="708"/>
      <c r="L534" s="157"/>
      <c r="M534" s="157"/>
      <c r="N534" s="157"/>
      <c r="O534" s="668"/>
      <c r="P534" s="709"/>
      <c r="Q534" s="59"/>
      <c r="R534" s="61"/>
      <c r="S534" s="41"/>
      <c r="T534" s="59"/>
      <c r="Y534" s="61"/>
      <c r="Z534" s="59"/>
      <c r="AF534" s="61"/>
      <c r="AH534" s="61"/>
      <c r="AI534" s="41"/>
      <c r="AK534" s="40">
        <v>531.0</v>
      </c>
      <c r="AL534" s="738" t="s">
        <v>2496</v>
      </c>
      <c r="AM534" s="738" t="s">
        <v>1899</v>
      </c>
      <c r="AN534" s="738" t="s">
        <v>1744</v>
      </c>
      <c r="AO534" s="739">
        <v>0.236</v>
      </c>
      <c r="AP534" s="739" t="s">
        <v>1900</v>
      </c>
    </row>
    <row r="535">
      <c r="A535" s="159"/>
      <c r="B535" s="636"/>
      <c r="C535" s="159"/>
      <c r="D535" s="636"/>
      <c r="E535" s="636"/>
      <c r="F535" s="159"/>
      <c r="G535" s="159"/>
      <c r="H535" s="159"/>
      <c r="I535" s="668"/>
      <c r="J535" s="157"/>
      <c r="K535" s="708"/>
      <c r="L535" s="157"/>
      <c r="M535" s="157"/>
      <c r="N535" s="157"/>
      <c r="O535" s="668"/>
      <c r="P535" s="709"/>
      <c r="Q535" s="59"/>
      <c r="R535" s="61"/>
      <c r="S535" s="41"/>
      <c r="T535" s="59"/>
      <c r="Y535" s="61"/>
      <c r="Z535" s="59"/>
      <c r="AF535" s="61"/>
      <c r="AH535" s="61"/>
      <c r="AI535" s="41"/>
      <c r="AK535" s="40">
        <v>532.0</v>
      </c>
      <c r="AL535" s="719" t="s">
        <v>2497</v>
      </c>
      <c r="AM535" s="720" t="s">
        <v>1743</v>
      </c>
      <c r="AN535" s="720" t="s">
        <v>1744</v>
      </c>
      <c r="AO535" s="722" t="s">
        <v>1728</v>
      </c>
      <c r="AP535" s="723"/>
    </row>
    <row r="536">
      <c r="A536" s="159"/>
      <c r="B536" s="636"/>
      <c r="C536" s="159"/>
      <c r="D536" s="636"/>
      <c r="E536" s="636"/>
      <c r="F536" s="159"/>
      <c r="G536" s="159"/>
      <c r="H536" s="159"/>
      <c r="I536" s="668"/>
      <c r="J536" s="157"/>
      <c r="K536" s="708"/>
      <c r="L536" s="157"/>
      <c r="M536" s="157"/>
      <c r="N536" s="157"/>
      <c r="O536" s="668"/>
      <c r="P536" s="709"/>
      <c r="Q536" s="59"/>
      <c r="R536" s="61"/>
      <c r="S536" s="41"/>
      <c r="T536" s="59"/>
      <c r="Y536" s="61"/>
      <c r="Z536" s="59"/>
      <c r="AF536" s="61"/>
      <c r="AH536" s="61"/>
      <c r="AI536" s="41"/>
      <c r="AK536" s="40">
        <v>533.0</v>
      </c>
      <c r="AL536" s="738" t="s">
        <v>2497</v>
      </c>
      <c r="AM536" s="738" t="s">
        <v>1743</v>
      </c>
      <c r="AN536" s="738" t="s">
        <v>1744</v>
      </c>
      <c r="AO536" s="739" t="s">
        <v>1728</v>
      </c>
      <c r="AP536" s="740"/>
    </row>
    <row r="537">
      <c r="A537" s="159"/>
      <c r="B537" s="636"/>
      <c r="C537" s="159"/>
      <c r="D537" s="636"/>
      <c r="E537" s="636"/>
      <c r="F537" s="159"/>
      <c r="G537" s="159"/>
      <c r="H537" s="159"/>
      <c r="I537" s="668"/>
      <c r="J537" s="157"/>
      <c r="K537" s="708"/>
      <c r="L537" s="157"/>
      <c r="M537" s="157"/>
      <c r="N537" s="157"/>
      <c r="O537" s="668"/>
      <c r="P537" s="709"/>
      <c r="Q537" s="59"/>
      <c r="R537" s="61"/>
      <c r="S537" s="41"/>
      <c r="T537" s="59"/>
      <c r="Y537" s="61"/>
      <c r="Z537" s="59"/>
      <c r="AF537" s="61"/>
      <c r="AH537" s="61"/>
      <c r="AI537" s="41"/>
      <c r="AK537" s="40">
        <v>534.0</v>
      </c>
      <c r="AL537" s="719" t="s">
        <v>2497</v>
      </c>
      <c r="AM537" s="720" t="s">
        <v>1743</v>
      </c>
      <c r="AN537" s="720" t="s">
        <v>1744</v>
      </c>
      <c r="AO537" s="722" t="s">
        <v>1728</v>
      </c>
      <c r="AP537" s="723"/>
    </row>
    <row r="538">
      <c r="A538" s="159"/>
      <c r="B538" s="636"/>
      <c r="C538" s="159"/>
      <c r="D538" s="636"/>
      <c r="E538" s="636"/>
      <c r="F538" s="159"/>
      <c r="G538" s="159"/>
      <c r="H538" s="159"/>
      <c r="I538" s="668"/>
      <c r="J538" s="157"/>
      <c r="K538" s="708"/>
      <c r="L538" s="157"/>
      <c r="M538" s="157"/>
      <c r="N538" s="157"/>
      <c r="O538" s="668"/>
      <c r="P538" s="709"/>
      <c r="Q538" s="59"/>
      <c r="R538" s="61"/>
      <c r="S538" s="41"/>
      <c r="T538" s="59"/>
      <c r="Y538" s="61"/>
      <c r="Z538" s="59"/>
      <c r="AF538" s="61"/>
      <c r="AH538" s="61"/>
      <c r="AI538" s="41"/>
      <c r="AK538" s="40">
        <v>535.0</v>
      </c>
      <c r="AL538" s="738" t="s">
        <v>2498</v>
      </c>
      <c r="AM538" s="738" t="s">
        <v>1747</v>
      </c>
      <c r="AN538" s="738" t="s">
        <v>1744</v>
      </c>
      <c r="AO538" s="739" t="s">
        <v>1728</v>
      </c>
      <c r="AP538" s="740"/>
    </row>
    <row r="539">
      <c r="A539" s="159"/>
      <c r="B539" s="636"/>
      <c r="C539" s="159"/>
      <c r="D539" s="636"/>
      <c r="E539" s="636"/>
      <c r="F539" s="159"/>
      <c r="G539" s="159"/>
      <c r="H539" s="159"/>
      <c r="I539" s="668"/>
      <c r="J539" s="157"/>
      <c r="K539" s="708"/>
      <c r="L539" s="157"/>
      <c r="M539" s="157"/>
      <c r="N539" s="157"/>
      <c r="O539" s="668"/>
      <c r="P539" s="709"/>
      <c r="Q539" s="59"/>
      <c r="R539" s="61"/>
      <c r="S539" s="41"/>
      <c r="T539" s="59"/>
      <c r="Y539" s="61"/>
      <c r="Z539" s="59"/>
      <c r="AF539" s="61"/>
      <c r="AH539" s="61"/>
      <c r="AI539" s="41"/>
      <c r="AK539" s="40">
        <v>536.0</v>
      </c>
      <c r="AL539" s="719" t="s">
        <v>2498</v>
      </c>
      <c r="AM539" s="720" t="s">
        <v>1747</v>
      </c>
      <c r="AN539" s="720" t="s">
        <v>1744</v>
      </c>
      <c r="AO539" s="722" t="s">
        <v>1728</v>
      </c>
      <c r="AP539" s="723"/>
    </row>
    <row r="540">
      <c r="A540" s="159"/>
      <c r="B540" s="636"/>
      <c r="C540" s="159"/>
      <c r="D540" s="636"/>
      <c r="E540" s="636"/>
      <c r="F540" s="159"/>
      <c r="G540" s="159"/>
      <c r="H540" s="159"/>
      <c r="I540" s="668"/>
      <c r="J540" s="157"/>
      <c r="K540" s="708"/>
      <c r="L540" s="157"/>
      <c r="M540" s="157"/>
      <c r="N540" s="157"/>
      <c r="O540" s="668"/>
      <c r="P540" s="709"/>
      <c r="Q540" s="59"/>
      <c r="R540" s="61"/>
      <c r="S540" s="41"/>
      <c r="T540" s="59"/>
      <c r="Y540" s="61"/>
      <c r="Z540" s="59"/>
      <c r="AF540" s="61"/>
      <c r="AH540" s="61"/>
      <c r="AI540" s="41"/>
      <c r="AK540" s="40">
        <v>537.0</v>
      </c>
      <c r="AL540" s="738" t="s">
        <v>2498</v>
      </c>
      <c r="AM540" s="738" t="s">
        <v>1747</v>
      </c>
      <c r="AN540" s="738" t="s">
        <v>1744</v>
      </c>
      <c r="AO540" s="739" t="s">
        <v>1728</v>
      </c>
      <c r="AP540" s="740"/>
    </row>
    <row r="541">
      <c r="A541" s="159"/>
      <c r="B541" s="636"/>
      <c r="C541" s="159"/>
      <c r="D541" s="636"/>
      <c r="E541" s="636"/>
      <c r="F541" s="159"/>
      <c r="G541" s="159"/>
      <c r="H541" s="159"/>
      <c r="I541" s="668"/>
      <c r="J541" s="157"/>
      <c r="K541" s="708"/>
      <c r="L541" s="157"/>
      <c r="M541" s="157"/>
      <c r="N541" s="157"/>
      <c r="O541" s="668"/>
      <c r="P541" s="709"/>
      <c r="Q541" s="59"/>
      <c r="R541" s="61"/>
      <c r="S541" s="41"/>
      <c r="T541" s="59"/>
      <c r="Y541" s="61"/>
      <c r="Z541" s="59"/>
      <c r="AF541" s="61"/>
      <c r="AH541" s="61"/>
      <c r="AI541" s="41"/>
      <c r="AK541" s="40">
        <v>538.0</v>
      </c>
      <c r="AL541" s="719" t="s">
        <v>2498</v>
      </c>
      <c r="AM541" s="720" t="s">
        <v>1747</v>
      </c>
      <c r="AN541" s="720" t="s">
        <v>1744</v>
      </c>
      <c r="AO541" s="722" t="s">
        <v>1728</v>
      </c>
      <c r="AP541" s="723"/>
    </row>
    <row r="542">
      <c r="A542" s="159"/>
      <c r="B542" s="636"/>
      <c r="C542" s="159"/>
      <c r="D542" s="636"/>
      <c r="E542" s="636"/>
      <c r="F542" s="159"/>
      <c r="G542" s="159"/>
      <c r="H542" s="159"/>
      <c r="I542" s="668"/>
      <c r="J542" s="157"/>
      <c r="K542" s="708"/>
      <c r="L542" s="157"/>
      <c r="M542" s="157"/>
      <c r="N542" s="157"/>
      <c r="O542" s="668"/>
      <c r="P542" s="709"/>
      <c r="Q542" s="59"/>
      <c r="R542" s="61"/>
      <c r="S542" s="41"/>
      <c r="T542" s="59"/>
      <c r="Y542" s="61"/>
      <c r="Z542" s="59"/>
      <c r="AF542" s="61"/>
      <c r="AH542" s="61"/>
      <c r="AI542" s="41"/>
      <c r="AK542" s="40">
        <v>539.0</v>
      </c>
      <c r="AL542" s="738" t="s">
        <v>2499</v>
      </c>
      <c r="AM542" s="738" t="s">
        <v>1842</v>
      </c>
      <c r="AN542" s="738" t="s">
        <v>1744</v>
      </c>
      <c r="AO542" s="739">
        <v>0.351</v>
      </c>
      <c r="AP542" s="739" t="s">
        <v>1843</v>
      </c>
    </row>
    <row r="543">
      <c r="A543" s="159"/>
      <c r="B543" s="636"/>
      <c r="C543" s="159"/>
      <c r="D543" s="636"/>
      <c r="E543" s="636"/>
      <c r="F543" s="159"/>
      <c r="G543" s="159"/>
      <c r="H543" s="159"/>
      <c r="I543" s="668"/>
      <c r="J543" s="157"/>
      <c r="K543" s="708"/>
      <c r="L543" s="157"/>
      <c r="M543" s="157"/>
      <c r="N543" s="157"/>
      <c r="O543" s="668"/>
      <c r="P543" s="709"/>
      <c r="Q543" s="59"/>
      <c r="R543" s="61"/>
      <c r="S543" s="41"/>
      <c r="T543" s="59"/>
      <c r="Y543" s="61"/>
      <c r="Z543" s="59"/>
      <c r="AF543" s="61"/>
      <c r="AH543" s="61"/>
      <c r="AI543" s="41"/>
      <c r="AK543" s="40">
        <v>540.0</v>
      </c>
      <c r="AL543" s="719" t="s">
        <v>2499</v>
      </c>
      <c r="AM543" s="720" t="s">
        <v>1842</v>
      </c>
      <c r="AN543" s="720" t="s">
        <v>1744</v>
      </c>
      <c r="AO543" s="722">
        <v>0.351</v>
      </c>
      <c r="AP543" s="722" t="s">
        <v>1843</v>
      </c>
    </row>
    <row r="544">
      <c r="A544" s="159"/>
      <c r="B544" s="636"/>
      <c r="C544" s="159"/>
      <c r="D544" s="636"/>
      <c r="E544" s="636"/>
      <c r="F544" s="159"/>
      <c r="G544" s="159"/>
      <c r="H544" s="159"/>
      <c r="I544" s="668"/>
      <c r="J544" s="157"/>
      <c r="K544" s="708"/>
      <c r="L544" s="157"/>
      <c r="M544" s="157"/>
      <c r="N544" s="157"/>
      <c r="O544" s="668"/>
      <c r="P544" s="709"/>
      <c r="Q544" s="59"/>
      <c r="R544" s="61"/>
      <c r="S544" s="41"/>
      <c r="T544" s="59"/>
      <c r="Y544" s="61"/>
      <c r="Z544" s="59"/>
      <c r="AF544" s="61"/>
      <c r="AH544" s="61"/>
      <c r="AI544" s="41"/>
      <c r="AK544" s="40">
        <v>541.0</v>
      </c>
      <c r="AL544" s="738" t="s">
        <v>2500</v>
      </c>
      <c r="AM544" s="738" t="s">
        <v>1750</v>
      </c>
      <c r="AN544" s="738" t="s">
        <v>1744</v>
      </c>
      <c r="AO544" s="739" t="s">
        <v>1728</v>
      </c>
      <c r="AP544" s="740"/>
    </row>
    <row r="545">
      <c r="A545" s="159"/>
      <c r="B545" s="636"/>
      <c r="C545" s="159"/>
      <c r="D545" s="636"/>
      <c r="E545" s="636"/>
      <c r="F545" s="159"/>
      <c r="G545" s="159"/>
      <c r="H545" s="159"/>
      <c r="I545" s="668"/>
      <c r="J545" s="157"/>
      <c r="K545" s="708"/>
      <c r="L545" s="157"/>
      <c r="M545" s="157"/>
      <c r="N545" s="157"/>
      <c r="O545" s="668"/>
      <c r="P545" s="709"/>
      <c r="Q545" s="59"/>
      <c r="R545" s="61"/>
      <c r="S545" s="41"/>
      <c r="T545" s="59"/>
      <c r="Y545" s="61"/>
      <c r="Z545" s="59"/>
      <c r="AF545" s="61"/>
      <c r="AH545" s="61"/>
      <c r="AI545" s="41"/>
      <c r="AK545" s="40">
        <v>542.0</v>
      </c>
      <c r="AL545" s="719" t="s">
        <v>2500</v>
      </c>
      <c r="AM545" s="720" t="s">
        <v>1750</v>
      </c>
      <c r="AN545" s="720" t="s">
        <v>1744</v>
      </c>
      <c r="AO545" s="722" t="s">
        <v>1728</v>
      </c>
      <c r="AP545" s="723"/>
    </row>
    <row r="546">
      <c r="A546" s="159"/>
      <c r="B546" s="636"/>
      <c r="C546" s="159"/>
      <c r="D546" s="636"/>
      <c r="E546" s="636"/>
      <c r="F546" s="159"/>
      <c r="G546" s="159"/>
      <c r="H546" s="159"/>
      <c r="I546" s="668"/>
      <c r="J546" s="157"/>
      <c r="K546" s="708"/>
      <c r="L546" s="157"/>
      <c r="M546" s="157"/>
      <c r="N546" s="157"/>
      <c r="O546" s="668"/>
      <c r="P546" s="709"/>
      <c r="Q546" s="59"/>
      <c r="R546" s="61"/>
      <c r="S546" s="41"/>
      <c r="T546" s="59"/>
      <c r="Y546" s="61"/>
      <c r="Z546" s="59"/>
      <c r="AF546" s="61"/>
      <c r="AH546" s="61"/>
      <c r="AI546" s="41"/>
      <c r="AK546" s="40">
        <v>543.0</v>
      </c>
      <c r="AL546" s="738" t="s">
        <v>2500</v>
      </c>
      <c r="AM546" s="738" t="s">
        <v>1750</v>
      </c>
      <c r="AN546" s="738" t="s">
        <v>1744</v>
      </c>
      <c r="AO546" s="739" t="s">
        <v>1728</v>
      </c>
      <c r="AP546" s="740"/>
    </row>
    <row r="547">
      <c r="A547" s="159"/>
      <c r="B547" s="636"/>
      <c r="C547" s="159"/>
      <c r="D547" s="636"/>
      <c r="E547" s="636"/>
      <c r="F547" s="159"/>
      <c r="G547" s="159"/>
      <c r="H547" s="159"/>
      <c r="I547" s="668"/>
      <c r="J547" s="157"/>
      <c r="K547" s="708"/>
      <c r="L547" s="157"/>
      <c r="M547" s="157"/>
      <c r="N547" s="157"/>
      <c r="O547" s="668"/>
      <c r="P547" s="709"/>
      <c r="Q547" s="59"/>
      <c r="R547" s="61"/>
      <c r="S547" s="41"/>
      <c r="T547" s="59"/>
      <c r="Y547" s="61"/>
      <c r="Z547" s="59"/>
      <c r="AF547" s="61"/>
      <c r="AH547" s="61"/>
      <c r="AI547" s="41"/>
      <c r="AK547" s="40">
        <v>544.0</v>
      </c>
      <c r="AL547" s="719" t="s">
        <v>2500</v>
      </c>
      <c r="AM547" s="720" t="s">
        <v>1750</v>
      </c>
      <c r="AN547" s="720" t="s">
        <v>1744</v>
      </c>
      <c r="AO547" s="722" t="s">
        <v>1728</v>
      </c>
      <c r="AP547" s="723"/>
    </row>
    <row r="548">
      <c r="A548" s="159"/>
      <c r="B548" s="636"/>
      <c r="C548" s="159"/>
      <c r="D548" s="636"/>
      <c r="E548" s="636"/>
      <c r="F548" s="159"/>
      <c r="G548" s="159"/>
      <c r="H548" s="159"/>
      <c r="I548" s="668"/>
      <c r="J548" s="157"/>
      <c r="K548" s="708"/>
      <c r="L548" s="157"/>
      <c r="M548" s="157"/>
      <c r="N548" s="157"/>
      <c r="O548" s="668"/>
      <c r="P548" s="709"/>
      <c r="Q548" s="59"/>
      <c r="R548" s="61"/>
      <c r="S548" s="41"/>
      <c r="T548" s="59"/>
      <c r="Y548" s="61"/>
      <c r="Z548" s="59"/>
      <c r="AF548" s="61"/>
      <c r="AH548" s="61"/>
      <c r="AI548" s="41"/>
      <c r="AK548" s="40">
        <v>545.0</v>
      </c>
      <c r="AL548" s="738" t="s">
        <v>2501</v>
      </c>
      <c r="AM548" s="738" t="s">
        <v>1754</v>
      </c>
      <c r="AN548" s="738" t="s">
        <v>1744</v>
      </c>
      <c r="AO548" s="739" t="s">
        <v>1728</v>
      </c>
      <c r="AP548" s="740"/>
    </row>
    <row r="549">
      <c r="A549" s="159"/>
      <c r="B549" s="636"/>
      <c r="C549" s="159"/>
      <c r="D549" s="636"/>
      <c r="E549" s="636"/>
      <c r="F549" s="159"/>
      <c r="G549" s="159"/>
      <c r="H549" s="159"/>
      <c r="I549" s="668"/>
      <c r="J549" s="157"/>
      <c r="K549" s="708"/>
      <c r="L549" s="157"/>
      <c r="M549" s="157"/>
      <c r="N549" s="157"/>
      <c r="O549" s="668"/>
      <c r="P549" s="709"/>
      <c r="Q549" s="59"/>
      <c r="R549" s="61"/>
      <c r="S549" s="41"/>
      <c r="T549" s="59"/>
      <c r="Y549" s="61"/>
      <c r="Z549" s="59"/>
      <c r="AF549" s="61"/>
      <c r="AH549" s="61"/>
      <c r="AI549" s="41"/>
      <c r="AK549" s="40">
        <v>546.0</v>
      </c>
      <c r="AL549" s="719" t="s">
        <v>2501</v>
      </c>
      <c r="AM549" s="720" t="s">
        <v>1754</v>
      </c>
      <c r="AN549" s="720" t="s">
        <v>1744</v>
      </c>
      <c r="AO549" s="722" t="s">
        <v>1728</v>
      </c>
      <c r="AP549" s="723"/>
    </row>
    <row r="550">
      <c r="A550" s="159"/>
      <c r="B550" s="636"/>
      <c r="C550" s="159"/>
      <c r="D550" s="636"/>
      <c r="E550" s="636"/>
      <c r="F550" s="159"/>
      <c r="G550" s="159"/>
      <c r="H550" s="159"/>
      <c r="I550" s="668"/>
      <c r="J550" s="157"/>
      <c r="K550" s="708"/>
      <c r="L550" s="157"/>
      <c r="M550" s="157"/>
      <c r="N550" s="157"/>
      <c r="O550" s="668"/>
      <c r="P550" s="709"/>
      <c r="Q550" s="59"/>
      <c r="R550" s="61"/>
      <c r="S550" s="41"/>
      <c r="T550" s="59"/>
      <c r="Y550" s="61"/>
      <c r="Z550" s="59"/>
      <c r="AF550" s="61"/>
      <c r="AH550" s="61"/>
      <c r="AI550" s="41"/>
      <c r="AK550" s="40">
        <v>547.0</v>
      </c>
      <c r="AL550" s="738" t="s">
        <v>2501</v>
      </c>
      <c r="AM550" s="738" t="s">
        <v>1754</v>
      </c>
      <c r="AN550" s="738" t="s">
        <v>1744</v>
      </c>
      <c r="AO550" s="739" t="s">
        <v>1728</v>
      </c>
      <c r="AP550" s="740"/>
    </row>
    <row r="551">
      <c r="A551" s="159"/>
      <c r="B551" s="636"/>
      <c r="C551" s="159"/>
      <c r="D551" s="636"/>
      <c r="E551" s="636"/>
      <c r="F551" s="159"/>
      <c r="G551" s="159"/>
      <c r="H551" s="159"/>
      <c r="I551" s="668"/>
      <c r="J551" s="157"/>
      <c r="K551" s="708"/>
      <c r="L551" s="157"/>
      <c r="M551" s="157"/>
      <c r="N551" s="157"/>
      <c r="O551" s="668"/>
      <c r="P551" s="709"/>
      <c r="Q551" s="59"/>
      <c r="R551" s="61"/>
      <c r="S551" s="41"/>
      <c r="T551" s="59"/>
      <c r="Y551" s="61"/>
      <c r="Z551" s="59"/>
      <c r="AF551" s="61"/>
      <c r="AH551" s="61"/>
      <c r="AI551" s="41"/>
      <c r="AK551" s="40">
        <v>548.0</v>
      </c>
      <c r="AL551" s="719" t="s">
        <v>2501</v>
      </c>
      <c r="AM551" s="720" t="s">
        <v>1754</v>
      </c>
      <c r="AN551" s="720" t="s">
        <v>1744</v>
      </c>
      <c r="AO551" s="722" t="s">
        <v>1728</v>
      </c>
      <c r="AP551" s="723"/>
    </row>
    <row r="552">
      <c r="A552" s="159"/>
      <c r="B552" s="636"/>
      <c r="C552" s="159"/>
      <c r="D552" s="636"/>
      <c r="E552" s="636"/>
      <c r="F552" s="159"/>
      <c r="G552" s="159"/>
      <c r="H552" s="159"/>
      <c r="I552" s="668"/>
      <c r="J552" s="157"/>
      <c r="K552" s="708"/>
      <c r="L552" s="157"/>
      <c r="M552" s="157"/>
      <c r="N552" s="157"/>
      <c r="O552" s="668"/>
      <c r="P552" s="709"/>
      <c r="Q552" s="59"/>
      <c r="R552" s="61"/>
      <c r="S552" s="41"/>
      <c r="T552" s="59"/>
      <c r="Y552" s="61"/>
      <c r="Z552" s="59"/>
      <c r="AF552" s="61"/>
      <c r="AH552" s="61"/>
      <c r="AI552" s="41"/>
      <c r="AK552" s="40">
        <v>549.0</v>
      </c>
      <c r="AL552" s="738" t="s">
        <v>2501</v>
      </c>
      <c r="AM552" s="738" t="s">
        <v>1754</v>
      </c>
      <c r="AN552" s="738" t="s">
        <v>1744</v>
      </c>
      <c r="AO552" s="739" t="s">
        <v>1728</v>
      </c>
      <c r="AP552" s="740"/>
    </row>
    <row r="553">
      <c r="A553" s="159"/>
      <c r="B553" s="636"/>
      <c r="C553" s="159"/>
      <c r="D553" s="636"/>
      <c r="E553" s="636"/>
      <c r="F553" s="159"/>
      <c r="G553" s="159"/>
      <c r="H553" s="159"/>
      <c r="I553" s="668"/>
      <c r="J553" s="157"/>
      <c r="K553" s="708"/>
      <c r="L553" s="157"/>
      <c r="M553" s="157"/>
      <c r="N553" s="157"/>
      <c r="O553" s="668"/>
      <c r="P553" s="709"/>
      <c r="Q553" s="59"/>
      <c r="R553" s="61"/>
      <c r="S553" s="41"/>
      <c r="T553" s="59"/>
      <c r="Y553" s="61"/>
      <c r="Z553" s="59"/>
      <c r="AF553" s="61"/>
      <c r="AH553" s="61"/>
      <c r="AI553" s="41"/>
      <c r="AK553" s="40">
        <v>550.0</v>
      </c>
      <c r="AL553" s="719" t="s">
        <v>2502</v>
      </c>
      <c r="AM553" s="720" t="s">
        <v>1801</v>
      </c>
      <c r="AN553" s="720" t="s">
        <v>1744</v>
      </c>
      <c r="AO553" s="722">
        <v>0.512</v>
      </c>
      <c r="AP553" s="722" t="s">
        <v>1802</v>
      </c>
    </row>
    <row r="554">
      <c r="A554" s="159"/>
      <c r="B554" s="636"/>
      <c r="C554" s="159"/>
      <c r="D554" s="636"/>
      <c r="E554" s="636"/>
      <c r="F554" s="159"/>
      <c r="G554" s="159"/>
      <c r="H554" s="159"/>
      <c r="I554" s="668"/>
      <c r="J554" s="157"/>
      <c r="K554" s="708"/>
      <c r="L554" s="157"/>
      <c r="M554" s="157"/>
      <c r="N554" s="157"/>
      <c r="O554" s="668"/>
      <c r="P554" s="709"/>
      <c r="Q554" s="59"/>
      <c r="R554" s="61"/>
      <c r="S554" s="41"/>
      <c r="T554" s="59"/>
      <c r="Y554" s="61"/>
      <c r="Z554" s="59"/>
      <c r="AF554" s="61"/>
      <c r="AH554" s="61"/>
      <c r="AI554" s="41"/>
      <c r="AK554" s="40">
        <v>551.0</v>
      </c>
      <c r="AL554" s="738" t="s">
        <v>2503</v>
      </c>
      <c r="AM554" s="738" t="s">
        <v>1758</v>
      </c>
      <c r="AN554" s="738" t="s">
        <v>1744</v>
      </c>
      <c r="AO554" s="739" t="s">
        <v>1728</v>
      </c>
      <c r="AP554" s="740"/>
    </row>
    <row r="555">
      <c r="A555" s="159"/>
      <c r="B555" s="636"/>
      <c r="C555" s="159"/>
      <c r="D555" s="636"/>
      <c r="E555" s="636"/>
      <c r="F555" s="159"/>
      <c r="G555" s="159"/>
      <c r="H555" s="159"/>
      <c r="I555" s="668"/>
      <c r="J555" s="157"/>
      <c r="K555" s="708"/>
      <c r="L555" s="157"/>
      <c r="M555" s="157"/>
      <c r="N555" s="157"/>
      <c r="O555" s="668"/>
      <c r="P555" s="709"/>
      <c r="Q555" s="59"/>
      <c r="R555" s="61"/>
      <c r="S555" s="41"/>
      <c r="T555" s="59"/>
      <c r="Y555" s="61"/>
      <c r="Z555" s="59"/>
      <c r="AF555" s="61"/>
      <c r="AH555" s="61"/>
      <c r="AI555" s="41"/>
      <c r="AK555" s="40">
        <v>552.0</v>
      </c>
      <c r="AL555" s="719" t="s">
        <v>2503</v>
      </c>
      <c r="AM555" s="720" t="s">
        <v>1758</v>
      </c>
      <c r="AN555" s="720" t="s">
        <v>1744</v>
      </c>
      <c r="AO555" s="722" t="s">
        <v>1728</v>
      </c>
      <c r="AP555" s="723"/>
    </row>
    <row r="556">
      <c r="A556" s="159"/>
      <c r="B556" s="636"/>
      <c r="C556" s="159"/>
      <c r="D556" s="636"/>
      <c r="E556" s="636"/>
      <c r="F556" s="159"/>
      <c r="G556" s="159"/>
      <c r="H556" s="159"/>
      <c r="I556" s="668"/>
      <c r="J556" s="157"/>
      <c r="K556" s="708"/>
      <c r="L556" s="157"/>
      <c r="M556" s="157"/>
      <c r="N556" s="157"/>
      <c r="O556" s="668"/>
      <c r="P556" s="709"/>
      <c r="Q556" s="59"/>
      <c r="R556" s="61"/>
      <c r="S556" s="41"/>
      <c r="T556" s="59"/>
      <c r="Y556" s="61"/>
      <c r="Z556" s="59"/>
      <c r="AF556" s="61"/>
      <c r="AH556" s="61"/>
      <c r="AI556" s="41"/>
      <c r="AK556" s="40">
        <v>553.0</v>
      </c>
      <c r="AL556" s="738" t="s">
        <v>2503</v>
      </c>
      <c r="AM556" s="738" t="s">
        <v>1758</v>
      </c>
      <c r="AN556" s="738" t="s">
        <v>1744</v>
      </c>
      <c r="AO556" s="739" t="s">
        <v>1728</v>
      </c>
      <c r="AP556" s="740"/>
    </row>
    <row r="557">
      <c r="A557" s="159"/>
      <c r="B557" s="636"/>
      <c r="C557" s="159"/>
      <c r="D557" s="636"/>
      <c r="E557" s="636"/>
      <c r="F557" s="159"/>
      <c r="G557" s="159"/>
      <c r="H557" s="159"/>
      <c r="I557" s="668"/>
      <c r="J557" s="157"/>
      <c r="K557" s="708"/>
      <c r="L557" s="157"/>
      <c r="M557" s="157"/>
      <c r="N557" s="157"/>
      <c r="O557" s="668"/>
      <c r="P557" s="709"/>
      <c r="Q557" s="59"/>
      <c r="R557" s="61"/>
      <c r="S557" s="41"/>
      <c r="T557" s="59"/>
      <c r="Y557" s="61"/>
      <c r="Z557" s="59"/>
      <c r="AF557" s="61"/>
      <c r="AH557" s="61"/>
      <c r="AI557" s="41"/>
      <c r="AK557" s="40">
        <v>554.0</v>
      </c>
      <c r="AL557" s="719" t="s">
        <v>2504</v>
      </c>
      <c r="AM557" s="720" t="s">
        <v>1760</v>
      </c>
      <c r="AN557" s="720" t="s">
        <v>1744</v>
      </c>
      <c r="AO557" s="722" t="s">
        <v>1728</v>
      </c>
      <c r="AP557" s="723"/>
    </row>
    <row r="558">
      <c r="A558" s="159"/>
      <c r="B558" s="636"/>
      <c r="C558" s="159"/>
      <c r="D558" s="636"/>
      <c r="E558" s="636"/>
      <c r="F558" s="159"/>
      <c r="G558" s="159"/>
      <c r="H558" s="159"/>
      <c r="I558" s="668"/>
      <c r="J558" s="157"/>
      <c r="K558" s="708"/>
      <c r="L558" s="157"/>
      <c r="M558" s="157"/>
      <c r="N558" s="157"/>
      <c r="O558" s="668"/>
      <c r="P558" s="709"/>
      <c r="Q558" s="59"/>
      <c r="R558" s="61"/>
      <c r="S558" s="41"/>
      <c r="T558" s="59"/>
      <c r="Y558" s="61"/>
      <c r="Z558" s="59"/>
      <c r="AF558" s="61"/>
      <c r="AH558" s="61"/>
      <c r="AI558" s="41"/>
      <c r="AK558" s="40">
        <v>555.0</v>
      </c>
      <c r="AL558" s="738" t="s">
        <v>2504</v>
      </c>
      <c r="AM558" s="738" t="s">
        <v>1760</v>
      </c>
      <c r="AN558" s="738" t="s">
        <v>1744</v>
      </c>
      <c r="AO558" s="739" t="s">
        <v>1728</v>
      </c>
      <c r="AP558" s="740"/>
    </row>
    <row r="559">
      <c r="A559" s="159"/>
      <c r="B559" s="636"/>
      <c r="C559" s="159"/>
      <c r="D559" s="636"/>
      <c r="E559" s="636"/>
      <c r="F559" s="159"/>
      <c r="G559" s="159"/>
      <c r="H559" s="159"/>
      <c r="I559" s="668"/>
      <c r="J559" s="157"/>
      <c r="K559" s="708"/>
      <c r="L559" s="157"/>
      <c r="M559" s="157"/>
      <c r="N559" s="157"/>
      <c r="O559" s="668"/>
      <c r="P559" s="709"/>
      <c r="Q559" s="59"/>
      <c r="R559" s="61"/>
      <c r="S559" s="41"/>
      <c r="T559" s="59"/>
      <c r="Y559" s="61"/>
      <c r="Z559" s="59"/>
      <c r="AF559" s="61"/>
      <c r="AH559" s="61"/>
      <c r="AI559" s="41"/>
      <c r="AK559" s="40">
        <v>556.0</v>
      </c>
      <c r="AL559" s="719" t="s">
        <v>2504</v>
      </c>
      <c r="AM559" s="720" t="s">
        <v>1760</v>
      </c>
      <c r="AN559" s="720" t="s">
        <v>1744</v>
      </c>
      <c r="AO559" s="722" t="s">
        <v>1728</v>
      </c>
      <c r="AP559" s="723"/>
    </row>
    <row r="560">
      <c r="A560" s="159"/>
      <c r="B560" s="636"/>
      <c r="C560" s="159"/>
      <c r="D560" s="636"/>
      <c r="E560" s="636"/>
      <c r="F560" s="159"/>
      <c r="G560" s="159"/>
      <c r="H560" s="159"/>
      <c r="I560" s="668"/>
      <c r="J560" s="157"/>
      <c r="K560" s="708"/>
      <c r="L560" s="157"/>
      <c r="M560" s="157"/>
      <c r="N560" s="157"/>
      <c r="O560" s="668"/>
      <c r="P560" s="709"/>
      <c r="Q560" s="59"/>
      <c r="R560" s="61"/>
      <c r="S560" s="41"/>
      <c r="T560" s="59"/>
      <c r="Y560" s="61"/>
      <c r="Z560" s="59"/>
      <c r="AF560" s="61"/>
      <c r="AH560" s="61"/>
      <c r="AI560" s="41"/>
      <c r="AK560" s="40">
        <v>557.0</v>
      </c>
      <c r="AL560" s="738" t="s">
        <v>2504</v>
      </c>
      <c r="AM560" s="738" t="s">
        <v>1760</v>
      </c>
      <c r="AN560" s="738" t="s">
        <v>1744</v>
      </c>
      <c r="AO560" s="739" t="s">
        <v>1728</v>
      </c>
      <c r="AP560" s="740"/>
    </row>
    <row r="561">
      <c r="A561" s="159"/>
      <c r="B561" s="636"/>
      <c r="C561" s="159"/>
      <c r="D561" s="636"/>
      <c r="E561" s="636"/>
      <c r="F561" s="159"/>
      <c r="G561" s="159"/>
      <c r="H561" s="159"/>
      <c r="I561" s="668"/>
      <c r="J561" s="157"/>
      <c r="K561" s="708"/>
      <c r="L561" s="157"/>
      <c r="M561" s="157"/>
      <c r="N561" s="157"/>
      <c r="O561" s="668"/>
      <c r="P561" s="709"/>
      <c r="Q561" s="59"/>
      <c r="R561" s="61"/>
      <c r="S561" s="41"/>
      <c r="T561" s="59"/>
      <c r="Y561" s="61"/>
      <c r="Z561" s="59"/>
      <c r="AF561" s="61"/>
      <c r="AH561" s="61"/>
      <c r="AI561" s="41"/>
      <c r="AK561" s="40">
        <v>558.0</v>
      </c>
      <c r="AL561" s="719" t="s">
        <v>2505</v>
      </c>
      <c r="AM561" s="720" t="s">
        <v>1777</v>
      </c>
      <c r="AN561" s="720" t="s">
        <v>1744</v>
      </c>
      <c r="AO561" s="722">
        <v>0.625</v>
      </c>
      <c r="AP561" s="722" t="s">
        <v>1778</v>
      </c>
    </row>
    <row r="562">
      <c r="A562" s="159"/>
      <c r="B562" s="636"/>
      <c r="C562" s="159"/>
      <c r="D562" s="636"/>
      <c r="E562" s="636"/>
      <c r="F562" s="159"/>
      <c r="G562" s="159"/>
      <c r="H562" s="159"/>
      <c r="I562" s="668"/>
      <c r="J562" s="157"/>
      <c r="K562" s="708"/>
      <c r="L562" s="157"/>
      <c r="M562" s="157"/>
      <c r="N562" s="157"/>
      <c r="O562" s="668"/>
      <c r="P562" s="709"/>
      <c r="Q562" s="59"/>
      <c r="R562" s="61"/>
      <c r="S562" s="41"/>
      <c r="T562" s="59"/>
      <c r="Y562" s="61"/>
      <c r="Z562" s="59"/>
      <c r="AF562" s="61"/>
      <c r="AH562" s="61"/>
      <c r="AI562" s="41"/>
      <c r="AK562" s="40">
        <v>559.0</v>
      </c>
      <c r="AL562" s="738" t="s">
        <v>2505</v>
      </c>
      <c r="AM562" s="738" t="s">
        <v>1777</v>
      </c>
      <c r="AN562" s="738" t="s">
        <v>1744</v>
      </c>
      <c r="AO562" s="739">
        <v>0.625</v>
      </c>
      <c r="AP562" s="739" t="s">
        <v>1778</v>
      </c>
    </row>
    <row r="563">
      <c r="A563" s="159"/>
      <c r="B563" s="636"/>
      <c r="C563" s="159"/>
      <c r="D563" s="636"/>
      <c r="E563" s="636"/>
      <c r="F563" s="159"/>
      <c r="G563" s="159"/>
      <c r="H563" s="159"/>
      <c r="I563" s="668"/>
      <c r="J563" s="157"/>
      <c r="K563" s="708"/>
      <c r="L563" s="157"/>
      <c r="M563" s="157"/>
      <c r="N563" s="157"/>
      <c r="O563" s="668"/>
      <c r="P563" s="709"/>
      <c r="Q563" s="59"/>
      <c r="R563" s="61"/>
      <c r="S563" s="41"/>
      <c r="T563" s="59"/>
      <c r="Y563" s="61"/>
      <c r="Z563" s="59"/>
      <c r="AF563" s="61"/>
      <c r="AH563" s="61"/>
      <c r="AI563" s="41"/>
      <c r="AK563" s="40">
        <v>560.0</v>
      </c>
      <c r="AL563" s="719" t="s">
        <v>2506</v>
      </c>
      <c r="AM563" s="720" t="s">
        <v>1763</v>
      </c>
      <c r="AN563" s="720" t="s">
        <v>1744</v>
      </c>
      <c r="AO563" s="722" t="s">
        <v>1728</v>
      </c>
      <c r="AP563" s="723"/>
    </row>
    <row r="564">
      <c r="A564" s="159"/>
      <c r="B564" s="636"/>
      <c r="C564" s="159"/>
      <c r="D564" s="636"/>
      <c r="E564" s="636"/>
      <c r="F564" s="159"/>
      <c r="G564" s="159"/>
      <c r="H564" s="159"/>
      <c r="I564" s="668"/>
      <c r="J564" s="157"/>
      <c r="K564" s="708"/>
      <c r="L564" s="157"/>
      <c r="M564" s="157"/>
      <c r="N564" s="157"/>
      <c r="O564" s="668"/>
      <c r="P564" s="709"/>
      <c r="Q564" s="59"/>
      <c r="R564" s="61"/>
      <c r="S564" s="41"/>
      <c r="T564" s="59"/>
      <c r="Y564" s="61"/>
      <c r="Z564" s="59"/>
      <c r="AF564" s="61"/>
      <c r="AH564" s="61"/>
      <c r="AI564" s="41"/>
      <c r="AK564" s="40">
        <v>561.0</v>
      </c>
      <c r="AL564" s="738" t="s">
        <v>2506</v>
      </c>
      <c r="AM564" s="738" t="s">
        <v>1763</v>
      </c>
      <c r="AN564" s="738" t="s">
        <v>1744</v>
      </c>
      <c r="AO564" s="739" t="s">
        <v>1728</v>
      </c>
      <c r="AP564" s="740"/>
    </row>
    <row r="565">
      <c r="A565" s="159"/>
      <c r="B565" s="636"/>
      <c r="C565" s="159"/>
      <c r="D565" s="636"/>
      <c r="E565" s="636"/>
      <c r="F565" s="159"/>
      <c r="G565" s="159"/>
      <c r="H565" s="159"/>
      <c r="I565" s="668"/>
      <c r="J565" s="157"/>
      <c r="K565" s="708"/>
      <c r="L565" s="157"/>
      <c r="M565" s="157"/>
      <c r="N565" s="157"/>
      <c r="O565" s="668"/>
      <c r="P565" s="709"/>
      <c r="Q565" s="59"/>
      <c r="R565" s="61"/>
      <c r="S565" s="41"/>
      <c r="T565" s="59"/>
      <c r="Y565" s="61"/>
      <c r="Z565" s="59"/>
      <c r="AF565" s="61"/>
      <c r="AH565" s="61"/>
      <c r="AI565" s="41"/>
      <c r="AK565" s="40">
        <v>562.0</v>
      </c>
      <c r="AL565" s="719" t="s">
        <v>2506</v>
      </c>
      <c r="AM565" s="720" t="s">
        <v>1763</v>
      </c>
      <c r="AN565" s="720" t="s">
        <v>1744</v>
      </c>
      <c r="AO565" s="722" t="s">
        <v>1728</v>
      </c>
      <c r="AP565" s="723"/>
    </row>
    <row r="566">
      <c r="A566" s="159"/>
      <c r="B566" s="636"/>
      <c r="C566" s="159"/>
      <c r="D566" s="636"/>
      <c r="E566" s="636"/>
      <c r="F566" s="159"/>
      <c r="G566" s="159"/>
      <c r="H566" s="159"/>
      <c r="I566" s="668"/>
      <c r="J566" s="157"/>
      <c r="K566" s="708"/>
      <c r="L566" s="157"/>
      <c r="M566" s="157"/>
      <c r="N566" s="157"/>
      <c r="O566" s="668"/>
      <c r="P566" s="709"/>
      <c r="Q566" s="59"/>
      <c r="R566" s="61"/>
      <c r="S566" s="41"/>
      <c r="T566" s="59"/>
      <c r="Y566" s="61"/>
      <c r="Z566" s="59"/>
      <c r="AF566" s="61"/>
      <c r="AH566" s="61"/>
      <c r="AI566" s="41"/>
      <c r="AK566" s="40">
        <v>563.0</v>
      </c>
      <c r="AL566" s="738" t="s">
        <v>2506</v>
      </c>
      <c r="AM566" s="738" t="s">
        <v>1763</v>
      </c>
      <c r="AN566" s="738" t="s">
        <v>1744</v>
      </c>
      <c r="AO566" s="739" t="s">
        <v>1728</v>
      </c>
      <c r="AP566" s="740"/>
    </row>
    <row r="567">
      <c r="A567" s="159"/>
      <c r="B567" s="636"/>
      <c r="C567" s="159"/>
      <c r="D567" s="636"/>
      <c r="E567" s="636"/>
      <c r="F567" s="159"/>
      <c r="G567" s="159"/>
      <c r="H567" s="159"/>
      <c r="I567" s="668"/>
      <c r="J567" s="157"/>
      <c r="K567" s="708"/>
      <c r="L567" s="157"/>
      <c r="M567" s="157"/>
      <c r="N567" s="157"/>
      <c r="O567" s="668"/>
      <c r="P567" s="709"/>
      <c r="Q567" s="59"/>
      <c r="R567" s="61"/>
      <c r="S567" s="41"/>
      <c r="T567" s="59"/>
      <c r="Y567" s="61"/>
      <c r="Z567" s="59"/>
      <c r="AF567" s="61"/>
      <c r="AH567" s="61"/>
      <c r="AI567" s="41"/>
      <c r="AK567" s="40">
        <v>564.0</v>
      </c>
      <c r="AL567" s="719" t="s">
        <v>2507</v>
      </c>
      <c r="AM567" s="720" t="s">
        <v>1767</v>
      </c>
      <c r="AN567" s="720" t="s">
        <v>1744</v>
      </c>
      <c r="AO567" s="722" t="s">
        <v>1728</v>
      </c>
      <c r="AP567" s="723"/>
    </row>
    <row r="568">
      <c r="A568" s="159"/>
      <c r="B568" s="636"/>
      <c r="C568" s="159"/>
      <c r="D568" s="636"/>
      <c r="E568" s="636"/>
      <c r="F568" s="159"/>
      <c r="G568" s="159"/>
      <c r="H568" s="159"/>
      <c r="I568" s="668"/>
      <c r="J568" s="157"/>
      <c r="K568" s="708"/>
      <c r="L568" s="157"/>
      <c r="M568" s="157"/>
      <c r="N568" s="157"/>
      <c r="O568" s="668"/>
      <c r="P568" s="709"/>
      <c r="Q568" s="59"/>
      <c r="R568" s="61"/>
      <c r="S568" s="41"/>
      <c r="T568" s="59"/>
      <c r="Y568" s="61"/>
      <c r="Z568" s="59"/>
      <c r="AF568" s="61"/>
      <c r="AH568" s="61"/>
      <c r="AI568" s="41"/>
      <c r="AK568" s="40">
        <v>565.0</v>
      </c>
      <c r="AL568" s="738" t="s">
        <v>2507</v>
      </c>
      <c r="AM568" s="738" t="s">
        <v>1767</v>
      </c>
      <c r="AN568" s="738" t="s">
        <v>1744</v>
      </c>
      <c r="AO568" s="739" t="s">
        <v>1728</v>
      </c>
      <c r="AP568" s="740"/>
    </row>
    <row r="569">
      <c r="A569" s="159"/>
      <c r="B569" s="636"/>
      <c r="C569" s="159"/>
      <c r="D569" s="636"/>
      <c r="E569" s="636"/>
      <c r="F569" s="159"/>
      <c r="G569" s="159"/>
      <c r="H569" s="159"/>
      <c r="I569" s="668"/>
      <c r="J569" s="157"/>
      <c r="K569" s="708"/>
      <c r="L569" s="157"/>
      <c r="M569" s="157"/>
      <c r="N569" s="157"/>
      <c r="O569" s="668"/>
      <c r="P569" s="709"/>
      <c r="Q569" s="59"/>
      <c r="R569" s="61"/>
      <c r="S569" s="41"/>
      <c r="T569" s="59"/>
      <c r="Y569" s="61"/>
      <c r="Z569" s="59"/>
      <c r="AF569" s="61"/>
      <c r="AH569" s="61"/>
      <c r="AI569" s="41"/>
      <c r="AK569" s="40">
        <v>566.0</v>
      </c>
      <c r="AL569" s="719" t="s">
        <v>2507</v>
      </c>
      <c r="AM569" s="720" t="s">
        <v>1767</v>
      </c>
      <c r="AN569" s="720" t="s">
        <v>1744</v>
      </c>
      <c r="AO569" s="722" t="s">
        <v>1728</v>
      </c>
      <c r="AP569" s="723"/>
    </row>
    <row r="570">
      <c r="A570" s="159"/>
      <c r="B570" s="636"/>
      <c r="C570" s="159"/>
      <c r="D570" s="636"/>
      <c r="E570" s="636"/>
      <c r="F570" s="159"/>
      <c r="G570" s="159"/>
      <c r="H570" s="159"/>
      <c r="I570" s="668"/>
      <c r="J570" s="157"/>
      <c r="K570" s="708"/>
      <c r="L570" s="157"/>
      <c r="M570" s="157"/>
      <c r="N570" s="157"/>
      <c r="O570" s="668"/>
      <c r="P570" s="709"/>
      <c r="Q570" s="59"/>
      <c r="R570" s="61"/>
      <c r="S570" s="41"/>
      <c r="T570" s="59"/>
      <c r="Y570" s="61"/>
      <c r="Z570" s="59"/>
      <c r="AF570" s="61"/>
      <c r="AH570" s="61"/>
      <c r="AI570" s="41"/>
      <c r="AK570" s="40">
        <v>567.0</v>
      </c>
      <c r="AL570" s="738" t="s">
        <v>2507</v>
      </c>
      <c r="AM570" s="738" t="s">
        <v>1767</v>
      </c>
      <c r="AN570" s="738" t="s">
        <v>1744</v>
      </c>
      <c r="AO570" s="739" t="s">
        <v>1728</v>
      </c>
      <c r="AP570" s="740"/>
    </row>
    <row r="571">
      <c r="A571" s="159"/>
      <c r="B571" s="636"/>
      <c r="C571" s="159"/>
      <c r="D571" s="636"/>
      <c r="E571" s="636"/>
      <c r="F571" s="159"/>
      <c r="G571" s="159"/>
      <c r="H571" s="159"/>
      <c r="I571" s="668"/>
      <c r="J571" s="157"/>
      <c r="K571" s="708"/>
      <c r="L571" s="157"/>
      <c r="M571" s="157"/>
      <c r="N571" s="157"/>
      <c r="O571" s="668"/>
      <c r="P571" s="709"/>
      <c r="Q571" s="59"/>
      <c r="R571" s="61"/>
      <c r="S571" s="41"/>
      <c r="T571" s="59"/>
      <c r="Y571" s="61"/>
      <c r="Z571" s="59"/>
      <c r="AF571" s="61"/>
      <c r="AH571" s="61"/>
      <c r="AI571" s="41"/>
      <c r="AK571" s="40">
        <v>568.0</v>
      </c>
      <c r="AL571" s="719" t="s">
        <v>2507</v>
      </c>
      <c r="AM571" s="720" t="s">
        <v>1767</v>
      </c>
      <c r="AN571" s="720" t="s">
        <v>1744</v>
      </c>
      <c r="AO571" s="722" t="s">
        <v>1728</v>
      </c>
      <c r="AP571" s="723"/>
    </row>
    <row r="572">
      <c r="A572" s="159"/>
      <c r="B572" s="636"/>
      <c r="C572" s="159"/>
      <c r="D572" s="636"/>
      <c r="E572" s="636"/>
      <c r="F572" s="159"/>
      <c r="G572" s="159"/>
      <c r="H572" s="159"/>
      <c r="I572" s="668"/>
      <c r="J572" s="157"/>
      <c r="K572" s="708"/>
      <c r="L572" s="157"/>
      <c r="M572" s="157"/>
      <c r="N572" s="157"/>
      <c r="O572" s="668"/>
      <c r="P572" s="709"/>
      <c r="Q572" s="59"/>
      <c r="R572" s="61"/>
      <c r="S572" s="41"/>
      <c r="T572" s="59"/>
      <c r="Y572" s="61"/>
      <c r="Z572" s="59"/>
      <c r="AF572" s="61"/>
      <c r="AH572" s="61"/>
      <c r="AI572" s="41"/>
      <c r="AK572" s="40">
        <v>569.0</v>
      </c>
      <c r="AL572" s="738" t="s">
        <v>2508</v>
      </c>
      <c r="AM572" s="738" t="s">
        <v>2156</v>
      </c>
      <c r="AN572" s="745"/>
      <c r="AO572" s="739">
        <v>0.0</v>
      </c>
      <c r="AP572" s="739" t="s">
        <v>2157</v>
      </c>
    </row>
    <row r="573">
      <c r="A573" s="159"/>
      <c r="B573" s="636"/>
      <c r="C573" s="159"/>
      <c r="D573" s="636"/>
      <c r="E573" s="636"/>
      <c r="F573" s="159"/>
      <c r="G573" s="159"/>
      <c r="H573" s="159"/>
      <c r="I573" s="668"/>
      <c r="J573" s="157"/>
      <c r="K573" s="708"/>
      <c r="L573" s="157"/>
      <c r="M573" s="157"/>
      <c r="N573" s="157"/>
      <c r="O573" s="668"/>
      <c r="P573" s="709"/>
      <c r="Q573" s="59"/>
      <c r="R573" s="61"/>
      <c r="S573" s="41"/>
      <c r="T573" s="59"/>
      <c r="Y573" s="61"/>
      <c r="Z573" s="59"/>
      <c r="AF573" s="61"/>
      <c r="AH573" s="61"/>
      <c r="AI573" s="41"/>
      <c r="AK573" s="40">
        <v>570.0</v>
      </c>
      <c r="AL573" s="719" t="s">
        <v>2509</v>
      </c>
      <c r="AM573" s="720" t="s">
        <v>2323</v>
      </c>
      <c r="AN573" s="720" t="s">
        <v>2324</v>
      </c>
      <c r="AO573" s="722">
        <v>0.01</v>
      </c>
      <c r="AP573" s="722" t="s">
        <v>2325</v>
      </c>
    </row>
    <row r="574">
      <c r="A574" s="159"/>
      <c r="B574" s="636"/>
      <c r="C574" s="159"/>
      <c r="D574" s="636"/>
      <c r="E574" s="636"/>
      <c r="F574" s="159"/>
      <c r="G574" s="159"/>
      <c r="H574" s="159"/>
      <c r="I574" s="668"/>
      <c r="J574" s="157"/>
      <c r="K574" s="708"/>
      <c r="L574" s="157"/>
      <c r="M574" s="157"/>
      <c r="N574" s="157"/>
      <c r="O574" s="668"/>
      <c r="P574" s="709"/>
      <c r="Q574" s="59"/>
      <c r="R574" s="61"/>
      <c r="S574" s="41"/>
      <c r="T574" s="59"/>
      <c r="Y574" s="61"/>
      <c r="Z574" s="59"/>
      <c r="AF574" s="61"/>
      <c r="AH574" s="61"/>
      <c r="AI574" s="41"/>
      <c r="AK574" s="40">
        <v>571.0</v>
      </c>
      <c r="AL574" s="738" t="s">
        <v>2510</v>
      </c>
      <c r="AM574" s="738" t="s">
        <v>2033</v>
      </c>
      <c r="AN574" s="738" t="s">
        <v>2034</v>
      </c>
      <c r="AO574" s="739">
        <v>0.061</v>
      </c>
      <c r="AP574" s="739" t="s">
        <v>2035</v>
      </c>
    </row>
    <row r="575">
      <c r="A575" s="159"/>
      <c r="B575" s="636"/>
      <c r="C575" s="159"/>
      <c r="D575" s="636"/>
      <c r="E575" s="636"/>
      <c r="F575" s="159"/>
      <c r="G575" s="159"/>
      <c r="H575" s="159"/>
      <c r="I575" s="668"/>
      <c r="J575" s="157"/>
      <c r="K575" s="708"/>
      <c r="L575" s="157"/>
      <c r="M575" s="157"/>
      <c r="N575" s="157"/>
      <c r="O575" s="668"/>
      <c r="P575" s="709"/>
      <c r="Q575" s="59"/>
      <c r="R575" s="61"/>
      <c r="S575" s="41"/>
      <c r="T575" s="59"/>
      <c r="Y575" s="61"/>
      <c r="Z575" s="59"/>
      <c r="AF575" s="61"/>
      <c r="AH575" s="61"/>
      <c r="AI575" s="41"/>
      <c r="AK575" s="40">
        <v>572.0</v>
      </c>
      <c r="AL575" s="719" t="s">
        <v>2511</v>
      </c>
      <c r="AM575" s="720" t="s">
        <v>1835</v>
      </c>
      <c r="AN575" s="720" t="s">
        <v>1836</v>
      </c>
      <c r="AO575" s="722">
        <v>0.402</v>
      </c>
      <c r="AP575" s="722" t="s">
        <v>1837</v>
      </c>
    </row>
    <row r="576">
      <c r="A576" s="159"/>
      <c r="B576" s="636"/>
      <c r="C576" s="159"/>
      <c r="D576" s="636"/>
      <c r="E576" s="636"/>
      <c r="F576" s="159"/>
      <c r="G576" s="159"/>
      <c r="H576" s="159"/>
      <c r="I576" s="668"/>
      <c r="J576" s="157"/>
      <c r="K576" s="708"/>
      <c r="L576" s="157"/>
      <c r="M576" s="157"/>
      <c r="N576" s="157"/>
      <c r="O576" s="668"/>
      <c r="P576" s="709"/>
      <c r="Q576" s="59"/>
      <c r="R576" s="61"/>
      <c r="S576" s="41"/>
      <c r="T576" s="59"/>
      <c r="Y576" s="61"/>
      <c r="Z576" s="59"/>
      <c r="AF576" s="61"/>
      <c r="AH576" s="61"/>
      <c r="AI576" s="41"/>
      <c r="AK576" s="40">
        <v>573.0</v>
      </c>
      <c r="AL576" s="738" t="s">
        <v>2512</v>
      </c>
      <c r="AM576" s="738" t="s">
        <v>2329</v>
      </c>
      <c r="AN576" s="738" t="s">
        <v>2330</v>
      </c>
      <c r="AO576" s="739">
        <v>0.031</v>
      </c>
      <c r="AP576" s="739" t="s">
        <v>2331</v>
      </c>
    </row>
    <row r="577">
      <c r="A577" s="159"/>
      <c r="B577" s="636"/>
      <c r="C577" s="159"/>
      <c r="D577" s="636"/>
      <c r="E577" s="636"/>
      <c r="F577" s="159"/>
      <c r="G577" s="159"/>
      <c r="H577" s="159"/>
      <c r="I577" s="668"/>
      <c r="J577" s="157"/>
      <c r="K577" s="708"/>
      <c r="L577" s="157"/>
      <c r="M577" s="157"/>
      <c r="N577" s="157"/>
      <c r="O577" s="668"/>
      <c r="P577" s="709"/>
      <c r="Q577" s="59"/>
      <c r="R577" s="61"/>
      <c r="S577" s="41"/>
      <c r="T577" s="59"/>
      <c r="Y577" s="61"/>
      <c r="Z577" s="59"/>
      <c r="AF577" s="61"/>
      <c r="AH577" s="61"/>
      <c r="AI577" s="41"/>
      <c r="AK577" s="40">
        <v>574.0</v>
      </c>
      <c r="AL577" s="719" t="s">
        <v>2513</v>
      </c>
      <c r="AM577" s="720" t="s">
        <v>1899</v>
      </c>
      <c r="AN577" s="720" t="s">
        <v>1744</v>
      </c>
      <c r="AO577" s="722">
        <v>0.236</v>
      </c>
      <c r="AP577" s="722" t="s">
        <v>1900</v>
      </c>
    </row>
    <row r="578">
      <c r="A578" s="159"/>
      <c r="B578" s="636"/>
      <c r="C578" s="159"/>
      <c r="D578" s="636"/>
      <c r="E578" s="636"/>
      <c r="F578" s="159"/>
      <c r="G578" s="159"/>
      <c r="H578" s="159"/>
      <c r="I578" s="668"/>
      <c r="J578" s="157"/>
      <c r="K578" s="708"/>
      <c r="L578" s="157"/>
      <c r="M578" s="157"/>
      <c r="N578" s="157"/>
      <c r="O578" s="668"/>
      <c r="P578" s="709"/>
      <c r="Q578" s="59"/>
      <c r="R578" s="61"/>
      <c r="S578" s="41"/>
      <c r="T578" s="59"/>
      <c r="Y578" s="61"/>
      <c r="Z578" s="59"/>
      <c r="AF578" s="61"/>
      <c r="AH578" s="61"/>
      <c r="AI578" s="41"/>
      <c r="AK578" s="40">
        <v>575.0</v>
      </c>
      <c r="AL578" s="738" t="s">
        <v>2513</v>
      </c>
      <c r="AM578" s="738" t="s">
        <v>1899</v>
      </c>
      <c r="AN578" s="738" t="s">
        <v>1744</v>
      </c>
      <c r="AO578" s="739">
        <v>0.236</v>
      </c>
      <c r="AP578" s="739" t="s">
        <v>1900</v>
      </c>
    </row>
    <row r="579">
      <c r="A579" s="159"/>
      <c r="B579" s="636"/>
      <c r="C579" s="159"/>
      <c r="D579" s="636"/>
      <c r="E579" s="636"/>
      <c r="F579" s="159"/>
      <c r="G579" s="159"/>
      <c r="H579" s="159"/>
      <c r="I579" s="668"/>
      <c r="J579" s="157"/>
      <c r="K579" s="708"/>
      <c r="L579" s="157"/>
      <c r="M579" s="157"/>
      <c r="N579" s="157"/>
      <c r="O579" s="668"/>
      <c r="P579" s="709"/>
      <c r="Q579" s="59"/>
      <c r="R579" s="61"/>
      <c r="S579" s="41"/>
      <c r="T579" s="59"/>
      <c r="Y579" s="61"/>
      <c r="Z579" s="59"/>
      <c r="AF579" s="61"/>
      <c r="AH579" s="61"/>
      <c r="AI579" s="41"/>
      <c r="AK579" s="40">
        <v>576.0</v>
      </c>
      <c r="AL579" s="719" t="s">
        <v>2514</v>
      </c>
      <c r="AM579" s="720" t="s">
        <v>1743</v>
      </c>
      <c r="AN579" s="720" t="s">
        <v>1744</v>
      </c>
      <c r="AO579" s="722" t="s">
        <v>1728</v>
      </c>
      <c r="AP579" s="723"/>
    </row>
    <row r="580">
      <c r="A580" s="159"/>
      <c r="B580" s="636"/>
      <c r="C580" s="159"/>
      <c r="D580" s="636"/>
      <c r="E580" s="636"/>
      <c r="F580" s="159"/>
      <c r="G580" s="159"/>
      <c r="H580" s="159"/>
      <c r="I580" s="668"/>
      <c r="J580" s="157"/>
      <c r="K580" s="708"/>
      <c r="L580" s="157"/>
      <c r="M580" s="157"/>
      <c r="N580" s="157"/>
      <c r="O580" s="668"/>
      <c r="P580" s="709"/>
      <c r="Q580" s="59"/>
      <c r="R580" s="61"/>
      <c r="S580" s="41"/>
      <c r="T580" s="59"/>
      <c r="Y580" s="61"/>
      <c r="Z580" s="59"/>
      <c r="AF580" s="61"/>
      <c r="AH580" s="61"/>
      <c r="AI580" s="41"/>
      <c r="AK580" s="40">
        <v>577.0</v>
      </c>
      <c r="AL580" s="738" t="s">
        <v>2514</v>
      </c>
      <c r="AM580" s="738" t="s">
        <v>1743</v>
      </c>
      <c r="AN580" s="738" t="s">
        <v>1744</v>
      </c>
      <c r="AO580" s="739" t="s">
        <v>1728</v>
      </c>
      <c r="AP580" s="740"/>
    </row>
    <row r="581">
      <c r="A581" s="159"/>
      <c r="B581" s="636"/>
      <c r="C581" s="159"/>
      <c r="D581" s="636"/>
      <c r="E581" s="636"/>
      <c r="F581" s="159"/>
      <c r="G581" s="159"/>
      <c r="H581" s="159"/>
      <c r="I581" s="668"/>
      <c r="J581" s="157"/>
      <c r="K581" s="708"/>
      <c r="L581" s="157"/>
      <c r="M581" s="157"/>
      <c r="N581" s="157"/>
      <c r="O581" s="668"/>
      <c r="P581" s="709"/>
      <c r="Q581" s="59"/>
      <c r="R581" s="61"/>
      <c r="S581" s="41"/>
      <c r="T581" s="59"/>
      <c r="Y581" s="61"/>
      <c r="Z581" s="59"/>
      <c r="AF581" s="61"/>
      <c r="AH581" s="61"/>
      <c r="AI581" s="41"/>
      <c r="AK581" s="40">
        <v>578.0</v>
      </c>
      <c r="AL581" s="719" t="s">
        <v>2514</v>
      </c>
      <c r="AM581" s="720" t="s">
        <v>1743</v>
      </c>
      <c r="AN581" s="720" t="s">
        <v>1744</v>
      </c>
      <c r="AO581" s="722" t="s">
        <v>1728</v>
      </c>
      <c r="AP581" s="723"/>
    </row>
    <row r="582">
      <c r="A582" s="159"/>
      <c r="B582" s="636"/>
      <c r="C582" s="159"/>
      <c r="D582" s="636"/>
      <c r="E582" s="636"/>
      <c r="F582" s="159"/>
      <c r="G582" s="159"/>
      <c r="H582" s="159"/>
      <c r="I582" s="668"/>
      <c r="J582" s="157"/>
      <c r="K582" s="708"/>
      <c r="L582" s="157"/>
      <c r="M582" s="157"/>
      <c r="N582" s="157"/>
      <c r="O582" s="668"/>
      <c r="P582" s="709"/>
      <c r="Q582" s="59"/>
      <c r="R582" s="61"/>
      <c r="S582" s="41"/>
      <c r="T582" s="59"/>
      <c r="Y582" s="61"/>
      <c r="Z582" s="59"/>
      <c r="AF582" s="61"/>
      <c r="AH582" s="61"/>
      <c r="AI582" s="41"/>
      <c r="AK582" s="40">
        <v>579.0</v>
      </c>
      <c r="AL582" s="738" t="s">
        <v>2514</v>
      </c>
      <c r="AM582" s="738" t="s">
        <v>1743</v>
      </c>
      <c r="AN582" s="738" t="s">
        <v>1744</v>
      </c>
      <c r="AO582" s="739" t="s">
        <v>1728</v>
      </c>
      <c r="AP582" s="740"/>
    </row>
    <row r="583">
      <c r="A583" s="159"/>
      <c r="B583" s="636"/>
      <c r="C583" s="159"/>
      <c r="D583" s="636"/>
      <c r="E583" s="636"/>
      <c r="F583" s="159"/>
      <c r="G583" s="159"/>
      <c r="H583" s="159"/>
      <c r="I583" s="668"/>
      <c r="J583" s="157"/>
      <c r="K583" s="708"/>
      <c r="L583" s="157"/>
      <c r="M583" s="157"/>
      <c r="N583" s="157"/>
      <c r="O583" s="668"/>
      <c r="P583" s="709"/>
      <c r="Q583" s="59"/>
      <c r="R583" s="61"/>
      <c r="S583" s="41"/>
      <c r="T583" s="59"/>
      <c r="Y583" s="61"/>
      <c r="Z583" s="59"/>
      <c r="AF583" s="61"/>
      <c r="AH583" s="61"/>
      <c r="AI583" s="41"/>
      <c r="AK583" s="40">
        <v>580.0</v>
      </c>
      <c r="AL583" s="719" t="s">
        <v>2515</v>
      </c>
      <c r="AM583" s="720" t="s">
        <v>1747</v>
      </c>
      <c r="AN583" s="720" t="s">
        <v>1744</v>
      </c>
      <c r="AO583" s="722" t="s">
        <v>1728</v>
      </c>
      <c r="AP583" s="723"/>
    </row>
    <row r="584">
      <c r="A584" s="159"/>
      <c r="B584" s="636"/>
      <c r="C584" s="159"/>
      <c r="D584" s="636"/>
      <c r="E584" s="636"/>
      <c r="F584" s="159"/>
      <c r="G584" s="159"/>
      <c r="H584" s="159"/>
      <c r="I584" s="668"/>
      <c r="J584" s="157"/>
      <c r="K584" s="708"/>
      <c r="L584" s="157"/>
      <c r="M584" s="157"/>
      <c r="N584" s="157"/>
      <c r="O584" s="668"/>
      <c r="P584" s="709"/>
      <c r="Q584" s="59"/>
      <c r="R584" s="61"/>
      <c r="S584" s="41"/>
      <c r="T584" s="59"/>
      <c r="Y584" s="61"/>
      <c r="Z584" s="59"/>
      <c r="AF584" s="61"/>
      <c r="AH584" s="61"/>
      <c r="AI584" s="41"/>
      <c r="AK584" s="40">
        <v>581.0</v>
      </c>
      <c r="AL584" s="738" t="s">
        <v>2515</v>
      </c>
      <c r="AM584" s="738" t="s">
        <v>1747</v>
      </c>
      <c r="AN584" s="738" t="s">
        <v>1744</v>
      </c>
      <c r="AO584" s="739" t="s">
        <v>1728</v>
      </c>
      <c r="AP584" s="740"/>
    </row>
    <row r="585">
      <c r="A585" s="159"/>
      <c r="B585" s="636"/>
      <c r="C585" s="159"/>
      <c r="D585" s="636"/>
      <c r="E585" s="636"/>
      <c r="F585" s="159"/>
      <c r="G585" s="159"/>
      <c r="H585" s="159"/>
      <c r="I585" s="668"/>
      <c r="J585" s="157"/>
      <c r="K585" s="708"/>
      <c r="L585" s="157"/>
      <c r="M585" s="157"/>
      <c r="N585" s="157"/>
      <c r="O585" s="668"/>
      <c r="P585" s="709"/>
      <c r="Q585" s="59"/>
      <c r="R585" s="61"/>
      <c r="S585" s="41"/>
      <c r="T585" s="59"/>
      <c r="Y585" s="61"/>
      <c r="Z585" s="59"/>
      <c r="AF585" s="61"/>
      <c r="AH585" s="61"/>
      <c r="AI585" s="41"/>
      <c r="AK585" s="40">
        <v>582.0</v>
      </c>
      <c r="AL585" s="719" t="s">
        <v>2515</v>
      </c>
      <c r="AM585" s="720" t="s">
        <v>1747</v>
      </c>
      <c r="AN585" s="720" t="s">
        <v>1744</v>
      </c>
      <c r="AO585" s="722" t="s">
        <v>1728</v>
      </c>
      <c r="AP585" s="723"/>
    </row>
    <row r="586">
      <c r="A586" s="159"/>
      <c r="B586" s="636"/>
      <c r="C586" s="159"/>
      <c r="D586" s="636"/>
      <c r="E586" s="636"/>
      <c r="F586" s="159"/>
      <c r="G586" s="159"/>
      <c r="H586" s="159"/>
      <c r="I586" s="668"/>
      <c r="J586" s="157"/>
      <c r="K586" s="708"/>
      <c r="L586" s="157"/>
      <c r="M586" s="157"/>
      <c r="N586" s="157"/>
      <c r="O586" s="668"/>
      <c r="P586" s="709"/>
      <c r="Q586" s="59"/>
      <c r="R586" s="61"/>
      <c r="S586" s="41"/>
      <c r="T586" s="59"/>
      <c r="Y586" s="61"/>
      <c r="Z586" s="59"/>
      <c r="AF586" s="61"/>
      <c r="AH586" s="61"/>
      <c r="AI586" s="41"/>
      <c r="AK586" s="40">
        <v>583.0</v>
      </c>
      <c r="AL586" s="738" t="s">
        <v>2515</v>
      </c>
      <c r="AM586" s="738" t="s">
        <v>1747</v>
      </c>
      <c r="AN586" s="738" t="s">
        <v>1744</v>
      </c>
      <c r="AO586" s="739" t="s">
        <v>1728</v>
      </c>
      <c r="AP586" s="740"/>
    </row>
    <row r="587">
      <c r="A587" s="159"/>
      <c r="B587" s="636"/>
      <c r="C587" s="159"/>
      <c r="D587" s="636"/>
      <c r="E587" s="636"/>
      <c r="F587" s="159"/>
      <c r="G587" s="159"/>
      <c r="H587" s="159"/>
      <c r="I587" s="668"/>
      <c r="J587" s="157"/>
      <c r="K587" s="708"/>
      <c r="L587" s="157"/>
      <c r="M587" s="157"/>
      <c r="N587" s="157"/>
      <c r="O587" s="668"/>
      <c r="P587" s="709"/>
      <c r="Q587" s="59"/>
      <c r="R587" s="61"/>
      <c r="S587" s="41"/>
      <c r="T587" s="59"/>
      <c r="Y587" s="61"/>
      <c r="Z587" s="59"/>
      <c r="AF587" s="61"/>
      <c r="AH587" s="61"/>
      <c r="AI587" s="41"/>
      <c r="AK587" s="40">
        <v>584.0</v>
      </c>
      <c r="AL587" s="719" t="s">
        <v>2515</v>
      </c>
      <c r="AM587" s="720" t="s">
        <v>1747</v>
      </c>
      <c r="AN587" s="720" t="s">
        <v>1744</v>
      </c>
      <c r="AO587" s="722" t="s">
        <v>1728</v>
      </c>
      <c r="AP587" s="723"/>
    </row>
    <row r="588">
      <c r="A588" s="159"/>
      <c r="B588" s="636"/>
      <c r="C588" s="159"/>
      <c r="D588" s="636"/>
      <c r="E588" s="636"/>
      <c r="F588" s="159"/>
      <c r="G588" s="159"/>
      <c r="H588" s="159"/>
      <c r="I588" s="668"/>
      <c r="J588" s="157"/>
      <c r="K588" s="708"/>
      <c r="L588" s="157"/>
      <c r="M588" s="157"/>
      <c r="N588" s="157"/>
      <c r="O588" s="668"/>
      <c r="P588" s="709"/>
      <c r="Q588" s="59"/>
      <c r="R588" s="61"/>
      <c r="S588" s="41"/>
      <c r="T588" s="59"/>
      <c r="Y588" s="61"/>
      <c r="Z588" s="59"/>
      <c r="AF588" s="61"/>
      <c r="AH588" s="61"/>
      <c r="AI588" s="41"/>
      <c r="AK588" s="40">
        <v>585.0</v>
      </c>
      <c r="AL588" s="738" t="s">
        <v>2516</v>
      </c>
      <c r="AM588" s="738" t="s">
        <v>1842</v>
      </c>
      <c r="AN588" s="738" t="s">
        <v>1744</v>
      </c>
      <c r="AO588" s="739">
        <v>0.351</v>
      </c>
      <c r="AP588" s="739" t="s">
        <v>1843</v>
      </c>
    </row>
    <row r="589">
      <c r="A589" s="159"/>
      <c r="B589" s="636"/>
      <c r="C589" s="159"/>
      <c r="D589" s="636"/>
      <c r="E589" s="636"/>
      <c r="F589" s="159"/>
      <c r="G589" s="159"/>
      <c r="H589" s="159"/>
      <c r="I589" s="668"/>
      <c r="J589" s="157"/>
      <c r="K589" s="708"/>
      <c r="L589" s="157"/>
      <c r="M589" s="157"/>
      <c r="N589" s="157"/>
      <c r="O589" s="668"/>
      <c r="P589" s="709"/>
      <c r="Q589" s="59"/>
      <c r="R589" s="61"/>
      <c r="S589" s="41"/>
      <c r="T589" s="59"/>
      <c r="Y589" s="61"/>
      <c r="Z589" s="59"/>
      <c r="AF589" s="61"/>
      <c r="AH589" s="61"/>
      <c r="AI589" s="41"/>
      <c r="AK589" s="40">
        <v>586.0</v>
      </c>
      <c r="AL589" s="719" t="s">
        <v>2516</v>
      </c>
      <c r="AM589" s="720" t="s">
        <v>1842</v>
      </c>
      <c r="AN589" s="720" t="s">
        <v>1744</v>
      </c>
      <c r="AO589" s="722">
        <v>0.351</v>
      </c>
      <c r="AP589" s="722" t="s">
        <v>1843</v>
      </c>
    </row>
    <row r="590">
      <c r="A590" s="159"/>
      <c r="B590" s="636"/>
      <c r="C590" s="159"/>
      <c r="D590" s="636"/>
      <c r="E590" s="636"/>
      <c r="F590" s="159"/>
      <c r="G590" s="159"/>
      <c r="H590" s="159"/>
      <c r="I590" s="668"/>
      <c r="J590" s="157"/>
      <c r="K590" s="708"/>
      <c r="L590" s="157"/>
      <c r="M590" s="157"/>
      <c r="N590" s="157"/>
      <c r="O590" s="668"/>
      <c r="P590" s="709"/>
      <c r="Q590" s="59"/>
      <c r="R590" s="61"/>
      <c r="S590" s="41"/>
      <c r="T590" s="59"/>
      <c r="Y590" s="61"/>
      <c r="Z590" s="59"/>
      <c r="AF590" s="61"/>
      <c r="AH590" s="61"/>
      <c r="AI590" s="41"/>
      <c r="AK590" s="40">
        <v>587.0</v>
      </c>
      <c r="AL590" s="738" t="s">
        <v>2517</v>
      </c>
      <c r="AM590" s="738" t="s">
        <v>1750</v>
      </c>
      <c r="AN590" s="738" t="s">
        <v>1744</v>
      </c>
      <c r="AO590" s="739" t="s">
        <v>1728</v>
      </c>
      <c r="AP590" s="740"/>
    </row>
    <row r="591">
      <c r="A591" s="159"/>
      <c r="B591" s="636"/>
      <c r="C591" s="159"/>
      <c r="D591" s="636"/>
      <c r="E591" s="636"/>
      <c r="F591" s="159"/>
      <c r="G591" s="159"/>
      <c r="H591" s="159"/>
      <c r="I591" s="668"/>
      <c r="J591" s="157"/>
      <c r="K591" s="708"/>
      <c r="L591" s="157"/>
      <c r="M591" s="157"/>
      <c r="N591" s="157"/>
      <c r="O591" s="668"/>
      <c r="P591" s="709"/>
      <c r="Q591" s="59"/>
      <c r="R591" s="61"/>
      <c r="S591" s="41"/>
      <c r="T591" s="59"/>
      <c r="Y591" s="61"/>
      <c r="Z591" s="59"/>
      <c r="AF591" s="61"/>
      <c r="AH591" s="61"/>
      <c r="AI591" s="41"/>
      <c r="AK591" s="40">
        <v>588.0</v>
      </c>
      <c r="AL591" s="719" t="s">
        <v>2517</v>
      </c>
      <c r="AM591" s="720" t="s">
        <v>1750</v>
      </c>
      <c r="AN591" s="720" t="s">
        <v>1744</v>
      </c>
      <c r="AO591" s="722" t="s">
        <v>1728</v>
      </c>
      <c r="AP591" s="723"/>
    </row>
    <row r="592">
      <c r="A592" s="159"/>
      <c r="B592" s="636"/>
      <c r="C592" s="159"/>
      <c r="D592" s="636"/>
      <c r="E592" s="636"/>
      <c r="F592" s="159"/>
      <c r="G592" s="159"/>
      <c r="H592" s="159"/>
      <c r="I592" s="668"/>
      <c r="J592" s="157"/>
      <c r="K592" s="708"/>
      <c r="L592" s="157"/>
      <c r="M592" s="157"/>
      <c r="N592" s="157"/>
      <c r="O592" s="668"/>
      <c r="P592" s="709"/>
      <c r="Q592" s="59"/>
      <c r="R592" s="61"/>
      <c r="S592" s="41"/>
      <c r="T592" s="59"/>
      <c r="Y592" s="61"/>
      <c r="Z592" s="59"/>
      <c r="AF592" s="61"/>
      <c r="AH592" s="61"/>
      <c r="AI592" s="41"/>
      <c r="AK592" s="40">
        <v>589.0</v>
      </c>
      <c r="AL592" s="738" t="s">
        <v>2517</v>
      </c>
      <c r="AM592" s="738" t="s">
        <v>1750</v>
      </c>
      <c r="AN592" s="738" t="s">
        <v>1744</v>
      </c>
      <c r="AO592" s="739" t="s">
        <v>1728</v>
      </c>
      <c r="AP592" s="740"/>
    </row>
    <row r="593">
      <c r="A593" s="159"/>
      <c r="B593" s="636"/>
      <c r="C593" s="159"/>
      <c r="D593" s="636"/>
      <c r="E593" s="636"/>
      <c r="F593" s="159"/>
      <c r="G593" s="159"/>
      <c r="H593" s="159"/>
      <c r="I593" s="668"/>
      <c r="J593" s="157"/>
      <c r="K593" s="708"/>
      <c r="L593" s="157"/>
      <c r="M593" s="157"/>
      <c r="N593" s="157"/>
      <c r="O593" s="668"/>
      <c r="P593" s="709"/>
      <c r="Q593" s="59"/>
      <c r="R593" s="61"/>
      <c r="S593" s="41"/>
      <c r="T593" s="59"/>
      <c r="Y593" s="61"/>
      <c r="Z593" s="59"/>
      <c r="AF593" s="61"/>
      <c r="AH593" s="61"/>
      <c r="AI593" s="41"/>
      <c r="AK593" s="40">
        <v>590.0</v>
      </c>
      <c r="AL593" s="719" t="s">
        <v>2517</v>
      </c>
      <c r="AM593" s="720" t="s">
        <v>1750</v>
      </c>
      <c r="AN593" s="720" t="s">
        <v>1744</v>
      </c>
      <c r="AO593" s="722" t="s">
        <v>1728</v>
      </c>
      <c r="AP593" s="723"/>
    </row>
    <row r="594">
      <c r="A594" s="159"/>
      <c r="B594" s="636"/>
      <c r="C594" s="159"/>
      <c r="D594" s="636"/>
      <c r="E594" s="636"/>
      <c r="F594" s="159"/>
      <c r="G594" s="159"/>
      <c r="H594" s="159"/>
      <c r="I594" s="668"/>
      <c r="J594" s="157"/>
      <c r="K594" s="708"/>
      <c r="L594" s="157"/>
      <c r="M594" s="157"/>
      <c r="N594" s="157"/>
      <c r="O594" s="668"/>
      <c r="P594" s="709"/>
      <c r="Q594" s="59"/>
      <c r="R594" s="61"/>
      <c r="S594" s="41"/>
      <c r="T594" s="59"/>
      <c r="Y594" s="61"/>
      <c r="Z594" s="59"/>
      <c r="AF594" s="61"/>
      <c r="AH594" s="61"/>
      <c r="AI594" s="41"/>
      <c r="AK594" s="40">
        <v>591.0</v>
      </c>
      <c r="AL594" s="738" t="s">
        <v>2518</v>
      </c>
      <c r="AM594" s="738" t="s">
        <v>1754</v>
      </c>
      <c r="AN594" s="738" t="s">
        <v>1744</v>
      </c>
      <c r="AO594" s="739" t="s">
        <v>1728</v>
      </c>
      <c r="AP594" s="740"/>
    </row>
    <row r="595">
      <c r="A595" s="159"/>
      <c r="B595" s="636"/>
      <c r="C595" s="159"/>
      <c r="D595" s="636"/>
      <c r="E595" s="636"/>
      <c r="F595" s="159"/>
      <c r="G595" s="159"/>
      <c r="H595" s="159"/>
      <c r="I595" s="668"/>
      <c r="J595" s="157"/>
      <c r="K595" s="708"/>
      <c r="L595" s="157"/>
      <c r="M595" s="157"/>
      <c r="N595" s="157"/>
      <c r="O595" s="668"/>
      <c r="P595" s="709"/>
      <c r="Q595" s="59"/>
      <c r="R595" s="61"/>
      <c r="S595" s="41"/>
      <c r="T595" s="59"/>
      <c r="Y595" s="61"/>
      <c r="Z595" s="59"/>
      <c r="AF595" s="61"/>
      <c r="AH595" s="61"/>
      <c r="AI595" s="41"/>
      <c r="AK595" s="40">
        <v>592.0</v>
      </c>
      <c r="AL595" s="719" t="s">
        <v>2518</v>
      </c>
      <c r="AM595" s="720" t="s">
        <v>1754</v>
      </c>
      <c r="AN595" s="720" t="s">
        <v>1744</v>
      </c>
      <c r="AO595" s="722" t="s">
        <v>1728</v>
      </c>
      <c r="AP595" s="723"/>
    </row>
    <row r="596">
      <c r="A596" s="159"/>
      <c r="B596" s="636"/>
      <c r="C596" s="159"/>
      <c r="D596" s="636"/>
      <c r="E596" s="636"/>
      <c r="F596" s="159"/>
      <c r="G596" s="159"/>
      <c r="H596" s="159"/>
      <c r="I596" s="668"/>
      <c r="J596" s="157"/>
      <c r="K596" s="708"/>
      <c r="L596" s="157"/>
      <c r="M596" s="157"/>
      <c r="N596" s="157"/>
      <c r="O596" s="668"/>
      <c r="P596" s="709"/>
      <c r="Q596" s="59"/>
      <c r="R596" s="61"/>
      <c r="S596" s="41"/>
      <c r="T596" s="59"/>
      <c r="Y596" s="61"/>
      <c r="Z596" s="59"/>
      <c r="AF596" s="61"/>
      <c r="AH596" s="61"/>
      <c r="AI596" s="41"/>
      <c r="AK596" s="40">
        <v>593.0</v>
      </c>
      <c r="AL596" s="738" t="s">
        <v>2518</v>
      </c>
      <c r="AM596" s="738" t="s">
        <v>1754</v>
      </c>
      <c r="AN596" s="738" t="s">
        <v>1744</v>
      </c>
      <c r="AO596" s="739" t="s">
        <v>1728</v>
      </c>
      <c r="AP596" s="740"/>
    </row>
    <row r="597">
      <c r="A597" s="159"/>
      <c r="B597" s="636"/>
      <c r="C597" s="159"/>
      <c r="D597" s="636"/>
      <c r="E597" s="636"/>
      <c r="F597" s="159"/>
      <c r="G597" s="159"/>
      <c r="H597" s="159"/>
      <c r="I597" s="668"/>
      <c r="J597" s="157"/>
      <c r="K597" s="708"/>
      <c r="L597" s="157"/>
      <c r="M597" s="157"/>
      <c r="N597" s="157"/>
      <c r="O597" s="668"/>
      <c r="P597" s="709"/>
      <c r="Q597" s="59"/>
      <c r="R597" s="61"/>
      <c r="S597" s="41"/>
      <c r="T597" s="59"/>
      <c r="Y597" s="61"/>
      <c r="Z597" s="59"/>
      <c r="AF597" s="61"/>
      <c r="AH597" s="61"/>
      <c r="AI597" s="41"/>
      <c r="AK597" s="40">
        <v>594.0</v>
      </c>
      <c r="AL597" s="719" t="s">
        <v>2518</v>
      </c>
      <c r="AM597" s="720" t="s">
        <v>1754</v>
      </c>
      <c r="AN597" s="720" t="s">
        <v>1744</v>
      </c>
      <c r="AO597" s="722" t="s">
        <v>1728</v>
      </c>
      <c r="AP597" s="723"/>
    </row>
    <row r="598">
      <c r="A598" s="159"/>
      <c r="B598" s="636"/>
      <c r="C598" s="159"/>
      <c r="D598" s="636"/>
      <c r="E598" s="636"/>
      <c r="F598" s="159"/>
      <c r="G598" s="159"/>
      <c r="H598" s="159"/>
      <c r="I598" s="668"/>
      <c r="J598" s="157"/>
      <c r="K598" s="708"/>
      <c r="L598" s="157"/>
      <c r="M598" s="157"/>
      <c r="N598" s="157"/>
      <c r="O598" s="668"/>
      <c r="P598" s="709"/>
      <c r="Q598" s="59"/>
      <c r="R598" s="61"/>
      <c r="S598" s="41"/>
      <c r="T598" s="59"/>
      <c r="Y598" s="61"/>
      <c r="Z598" s="59"/>
      <c r="AF598" s="61"/>
      <c r="AH598" s="61"/>
      <c r="AI598" s="41"/>
      <c r="AK598" s="40">
        <v>595.0</v>
      </c>
      <c r="AL598" s="738" t="s">
        <v>2518</v>
      </c>
      <c r="AM598" s="738" t="s">
        <v>1754</v>
      </c>
      <c r="AN598" s="738" t="s">
        <v>1744</v>
      </c>
      <c r="AO598" s="739" t="s">
        <v>1728</v>
      </c>
      <c r="AP598" s="740"/>
    </row>
    <row r="599">
      <c r="A599" s="159"/>
      <c r="B599" s="636"/>
      <c r="C599" s="159"/>
      <c r="D599" s="636"/>
      <c r="E599" s="636"/>
      <c r="F599" s="159"/>
      <c r="G599" s="159"/>
      <c r="H599" s="159"/>
      <c r="I599" s="668"/>
      <c r="J599" s="157"/>
      <c r="K599" s="708"/>
      <c r="L599" s="157"/>
      <c r="M599" s="157"/>
      <c r="N599" s="157"/>
      <c r="O599" s="668"/>
      <c r="P599" s="709"/>
      <c r="Q599" s="59"/>
      <c r="R599" s="61"/>
      <c r="S599" s="41"/>
      <c r="T599" s="59"/>
      <c r="Y599" s="61"/>
      <c r="Z599" s="59"/>
      <c r="AF599" s="61"/>
      <c r="AH599" s="61"/>
      <c r="AI599" s="41"/>
      <c r="AK599" s="40">
        <v>596.0</v>
      </c>
      <c r="AL599" s="719" t="s">
        <v>2519</v>
      </c>
      <c r="AM599" s="720" t="s">
        <v>1801</v>
      </c>
      <c r="AN599" s="720" t="s">
        <v>1744</v>
      </c>
      <c r="AO599" s="722">
        <v>0.512</v>
      </c>
      <c r="AP599" s="722" t="s">
        <v>1802</v>
      </c>
    </row>
    <row r="600">
      <c r="A600" s="159"/>
      <c r="B600" s="636"/>
      <c r="C600" s="159"/>
      <c r="D600" s="636"/>
      <c r="E600" s="636"/>
      <c r="F600" s="159"/>
      <c r="G600" s="159"/>
      <c r="H600" s="159"/>
      <c r="I600" s="668"/>
      <c r="J600" s="157"/>
      <c r="K600" s="708"/>
      <c r="L600" s="157"/>
      <c r="M600" s="157"/>
      <c r="N600" s="157"/>
      <c r="O600" s="668"/>
      <c r="P600" s="709"/>
      <c r="Q600" s="59"/>
      <c r="R600" s="61"/>
      <c r="S600" s="41"/>
      <c r="T600" s="59"/>
      <c r="Y600" s="61"/>
      <c r="Z600" s="59"/>
      <c r="AF600" s="61"/>
      <c r="AH600" s="61"/>
      <c r="AI600" s="41"/>
      <c r="AK600" s="40">
        <v>597.0</v>
      </c>
      <c r="AL600" s="738" t="s">
        <v>2519</v>
      </c>
      <c r="AM600" s="738" t="s">
        <v>1801</v>
      </c>
      <c r="AN600" s="738" t="s">
        <v>1744</v>
      </c>
      <c r="AO600" s="739">
        <v>0.512</v>
      </c>
      <c r="AP600" s="739" t="s">
        <v>1802</v>
      </c>
    </row>
    <row r="601">
      <c r="A601" s="159"/>
      <c r="B601" s="636"/>
      <c r="C601" s="159"/>
      <c r="D601" s="636"/>
      <c r="E601" s="636"/>
      <c r="F601" s="159"/>
      <c r="G601" s="159"/>
      <c r="H601" s="159"/>
      <c r="I601" s="668"/>
      <c r="J601" s="157"/>
      <c r="K601" s="708"/>
      <c r="L601" s="157"/>
      <c r="M601" s="157"/>
      <c r="N601" s="157"/>
      <c r="O601" s="668"/>
      <c r="P601" s="709"/>
      <c r="Q601" s="59"/>
      <c r="R601" s="61"/>
      <c r="S601" s="41"/>
      <c r="T601" s="59"/>
      <c r="Y601" s="61"/>
      <c r="Z601" s="59"/>
      <c r="AF601" s="61"/>
      <c r="AH601" s="61"/>
      <c r="AI601" s="41"/>
      <c r="AK601" s="40">
        <v>598.0</v>
      </c>
      <c r="AL601" s="719" t="s">
        <v>2520</v>
      </c>
      <c r="AM601" s="720" t="s">
        <v>1758</v>
      </c>
      <c r="AN601" s="720" t="s">
        <v>1744</v>
      </c>
      <c r="AO601" s="722" t="s">
        <v>1728</v>
      </c>
      <c r="AP601" s="723"/>
    </row>
    <row r="602">
      <c r="A602" s="159"/>
      <c r="B602" s="636"/>
      <c r="C602" s="159"/>
      <c r="D602" s="636"/>
      <c r="E602" s="636"/>
      <c r="F602" s="159"/>
      <c r="G602" s="159"/>
      <c r="H602" s="159"/>
      <c r="I602" s="668"/>
      <c r="J602" s="157"/>
      <c r="K602" s="708"/>
      <c r="L602" s="157"/>
      <c r="M602" s="157"/>
      <c r="N602" s="157"/>
      <c r="O602" s="668"/>
      <c r="P602" s="709"/>
      <c r="Q602" s="59"/>
      <c r="R602" s="61"/>
      <c r="S602" s="41"/>
      <c r="T602" s="59"/>
      <c r="Y602" s="61"/>
      <c r="Z602" s="59"/>
      <c r="AF602" s="61"/>
      <c r="AH602" s="61"/>
      <c r="AI602" s="41"/>
      <c r="AK602" s="40">
        <v>599.0</v>
      </c>
      <c r="AL602" s="738" t="s">
        <v>2520</v>
      </c>
      <c r="AM602" s="738" t="s">
        <v>1758</v>
      </c>
      <c r="AN602" s="738" t="s">
        <v>1744</v>
      </c>
      <c r="AO602" s="739" t="s">
        <v>1728</v>
      </c>
      <c r="AP602" s="740"/>
    </row>
    <row r="603">
      <c r="A603" s="159"/>
      <c r="B603" s="636"/>
      <c r="C603" s="159"/>
      <c r="D603" s="636"/>
      <c r="E603" s="636"/>
      <c r="F603" s="159"/>
      <c r="G603" s="159"/>
      <c r="H603" s="159"/>
      <c r="I603" s="668"/>
      <c r="J603" s="157"/>
      <c r="K603" s="708"/>
      <c r="L603" s="157"/>
      <c r="M603" s="157"/>
      <c r="N603" s="157"/>
      <c r="O603" s="668"/>
      <c r="P603" s="709"/>
      <c r="Q603" s="59"/>
      <c r="R603" s="61"/>
      <c r="S603" s="41"/>
      <c r="T603" s="59"/>
      <c r="Y603" s="61"/>
      <c r="Z603" s="59"/>
      <c r="AF603" s="61"/>
      <c r="AH603" s="61"/>
      <c r="AI603" s="41"/>
      <c r="AK603" s="40">
        <v>600.0</v>
      </c>
      <c r="AL603" s="719" t="s">
        <v>2520</v>
      </c>
      <c r="AM603" s="720" t="s">
        <v>1758</v>
      </c>
      <c r="AN603" s="720" t="s">
        <v>1744</v>
      </c>
      <c r="AO603" s="722" t="s">
        <v>1728</v>
      </c>
      <c r="AP603" s="723"/>
    </row>
    <row r="604">
      <c r="A604" s="159"/>
      <c r="B604" s="636"/>
      <c r="C604" s="159"/>
      <c r="D604" s="636"/>
      <c r="E604" s="636"/>
      <c r="F604" s="159"/>
      <c r="G604" s="159"/>
      <c r="H604" s="159"/>
      <c r="I604" s="668"/>
      <c r="J604" s="157"/>
      <c r="K604" s="708"/>
      <c r="L604" s="157"/>
      <c r="M604" s="157"/>
      <c r="N604" s="157"/>
      <c r="O604" s="668"/>
      <c r="P604" s="709"/>
      <c r="Q604" s="59"/>
      <c r="R604" s="61"/>
      <c r="S604" s="41"/>
      <c r="T604" s="59"/>
      <c r="Y604" s="61"/>
      <c r="Z604" s="59"/>
      <c r="AF604" s="61"/>
      <c r="AH604" s="61"/>
      <c r="AI604" s="41"/>
      <c r="AK604" s="40">
        <v>601.0</v>
      </c>
      <c r="AL604" s="738" t="s">
        <v>2520</v>
      </c>
      <c r="AM604" s="738" t="s">
        <v>1758</v>
      </c>
      <c r="AN604" s="738" t="s">
        <v>1744</v>
      </c>
      <c r="AO604" s="739" t="s">
        <v>1728</v>
      </c>
      <c r="AP604" s="740"/>
    </row>
    <row r="605">
      <c r="A605" s="159"/>
      <c r="B605" s="636"/>
      <c r="C605" s="159"/>
      <c r="D605" s="636"/>
      <c r="E605" s="636"/>
      <c r="F605" s="159"/>
      <c r="G605" s="159"/>
      <c r="H605" s="159"/>
      <c r="I605" s="668"/>
      <c r="J605" s="157"/>
      <c r="K605" s="708"/>
      <c r="L605" s="157"/>
      <c r="M605" s="157"/>
      <c r="N605" s="157"/>
      <c r="O605" s="668"/>
      <c r="P605" s="709"/>
      <c r="Q605" s="59"/>
      <c r="R605" s="61"/>
      <c r="S605" s="41"/>
      <c r="T605" s="59"/>
      <c r="Y605" s="61"/>
      <c r="Z605" s="59"/>
      <c r="AF605" s="61"/>
      <c r="AH605" s="61"/>
      <c r="AI605" s="41"/>
      <c r="AK605" s="40">
        <v>602.0</v>
      </c>
      <c r="AL605" s="719" t="s">
        <v>2521</v>
      </c>
      <c r="AM605" s="720" t="s">
        <v>1760</v>
      </c>
      <c r="AN605" s="720" t="s">
        <v>1744</v>
      </c>
      <c r="AO605" s="722" t="s">
        <v>1728</v>
      </c>
      <c r="AP605" s="723"/>
    </row>
    <row r="606">
      <c r="A606" s="159"/>
      <c r="B606" s="636"/>
      <c r="C606" s="159"/>
      <c r="D606" s="636"/>
      <c r="E606" s="636"/>
      <c r="F606" s="159"/>
      <c r="G606" s="159"/>
      <c r="H606" s="159"/>
      <c r="I606" s="668"/>
      <c r="J606" s="157"/>
      <c r="K606" s="708"/>
      <c r="L606" s="157"/>
      <c r="M606" s="157"/>
      <c r="N606" s="157"/>
      <c r="O606" s="668"/>
      <c r="P606" s="709"/>
      <c r="Q606" s="59"/>
      <c r="R606" s="61"/>
      <c r="S606" s="41"/>
      <c r="T606" s="59"/>
      <c r="Y606" s="61"/>
      <c r="Z606" s="59"/>
      <c r="AF606" s="61"/>
      <c r="AH606" s="61"/>
      <c r="AI606" s="41"/>
      <c r="AK606" s="40">
        <v>603.0</v>
      </c>
      <c r="AL606" s="738" t="s">
        <v>2521</v>
      </c>
      <c r="AM606" s="738" t="s">
        <v>1760</v>
      </c>
      <c r="AN606" s="738" t="s">
        <v>1744</v>
      </c>
      <c r="AO606" s="739" t="s">
        <v>1728</v>
      </c>
      <c r="AP606" s="740"/>
    </row>
    <row r="607">
      <c r="A607" s="159"/>
      <c r="B607" s="636"/>
      <c r="C607" s="159"/>
      <c r="D607" s="636"/>
      <c r="E607" s="636"/>
      <c r="F607" s="159"/>
      <c r="G607" s="159"/>
      <c r="H607" s="159"/>
      <c r="I607" s="668"/>
      <c r="J607" s="157"/>
      <c r="K607" s="708"/>
      <c r="L607" s="157"/>
      <c r="M607" s="157"/>
      <c r="N607" s="157"/>
      <c r="O607" s="668"/>
      <c r="P607" s="709"/>
      <c r="Q607" s="59"/>
      <c r="R607" s="61"/>
      <c r="S607" s="41"/>
      <c r="T607" s="59"/>
      <c r="Y607" s="61"/>
      <c r="Z607" s="59"/>
      <c r="AF607" s="61"/>
      <c r="AH607" s="61"/>
      <c r="AI607" s="41"/>
      <c r="AK607" s="40">
        <v>604.0</v>
      </c>
      <c r="AL607" s="719" t="s">
        <v>2521</v>
      </c>
      <c r="AM607" s="720" t="s">
        <v>1760</v>
      </c>
      <c r="AN607" s="720" t="s">
        <v>1744</v>
      </c>
      <c r="AO607" s="722" t="s">
        <v>1728</v>
      </c>
      <c r="AP607" s="723"/>
    </row>
    <row r="608">
      <c r="A608" s="159"/>
      <c r="B608" s="636"/>
      <c r="C608" s="159"/>
      <c r="D608" s="636"/>
      <c r="E608" s="636"/>
      <c r="F608" s="159"/>
      <c r="G608" s="159"/>
      <c r="H608" s="159"/>
      <c r="I608" s="668"/>
      <c r="J608" s="157"/>
      <c r="K608" s="708"/>
      <c r="L608" s="157"/>
      <c r="M608" s="157"/>
      <c r="N608" s="157"/>
      <c r="O608" s="668"/>
      <c r="P608" s="709"/>
      <c r="Q608" s="59"/>
      <c r="R608" s="61"/>
      <c r="S608" s="41"/>
      <c r="T608" s="59"/>
      <c r="Y608" s="61"/>
      <c r="Z608" s="59"/>
      <c r="AF608" s="61"/>
      <c r="AH608" s="61"/>
      <c r="AI608" s="41"/>
      <c r="AK608" s="40">
        <v>605.0</v>
      </c>
      <c r="AL608" s="738" t="s">
        <v>2521</v>
      </c>
      <c r="AM608" s="738" t="s">
        <v>1760</v>
      </c>
      <c r="AN608" s="738" t="s">
        <v>1744</v>
      </c>
      <c r="AO608" s="739" t="s">
        <v>1728</v>
      </c>
      <c r="AP608" s="740"/>
    </row>
    <row r="609">
      <c r="A609" s="159"/>
      <c r="B609" s="636"/>
      <c r="C609" s="159"/>
      <c r="D609" s="636"/>
      <c r="E609" s="636"/>
      <c r="F609" s="159"/>
      <c r="G609" s="159"/>
      <c r="H609" s="159"/>
      <c r="I609" s="668"/>
      <c r="J609" s="157"/>
      <c r="K609" s="708"/>
      <c r="L609" s="157"/>
      <c r="M609" s="157"/>
      <c r="N609" s="157"/>
      <c r="O609" s="668"/>
      <c r="P609" s="709"/>
      <c r="Q609" s="59"/>
      <c r="R609" s="61"/>
      <c r="S609" s="41"/>
      <c r="T609" s="59"/>
      <c r="Y609" s="61"/>
      <c r="Z609" s="59"/>
      <c r="AF609" s="61"/>
      <c r="AH609" s="61"/>
      <c r="AI609" s="41"/>
      <c r="AK609" s="40">
        <v>606.0</v>
      </c>
      <c r="AL609" s="719" t="s">
        <v>2521</v>
      </c>
      <c r="AM609" s="720" t="s">
        <v>1760</v>
      </c>
      <c r="AN609" s="720" t="s">
        <v>1744</v>
      </c>
      <c r="AO609" s="722" t="s">
        <v>1728</v>
      </c>
      <c r="AP609" s="723"/>
    </row>
    <row r="610">
      <c r="A610" s="159"/>
      <c r="B610" s="636"/>
      <c r="C610" s="159"/>
      <c r="D610" s="636"/>
      <c r="E610" s="636"/>
      <c r="F610" s="159"/>
      <c r="G610" s="159"/>
      <c r="H610" s="159"/>
      <c r="I610" s="668"/>
      <c r="J610" s="157"/>
      <c r="K610" s="708"/>
      <c r="L610" s="157"/>
      <c r="M610" s="157"/>
      <c r="N610" s="157"/>
      <c r="O610" s="668"/>
      <c r="P610" s="709"/>
      <c r="Q610" s="59"/>
      <c r="R610" s="61"/>
      <c r="S610" s="41"/>
      <c r="T610" s="59"/>
      <c r="Y610" s="61"/>
      <c r="Z610" s="59"/>
      <c r="AF610" s="61"/>
      <c r="AH610" s="61"/>
      <c r="AI610" s="41"/>
      <c r="AK610" s="40">
        <v>607.0</v>
      </c>
      <c r="AL610" s="738" t="s">
        <v>2522</v>
      </c>
      <c r="AM610" s="738" t="s">
        <v>1777</v>
      </c>
      <c r="AN610" s="738" t="s">
        <v>1744</v>
      </c>
      <c r="AO610" s="739">
        <v>0.625</v>
      </c>
      <c r="AP610" s="739" t="s">
        <v>1778</v>
      </c>
    </row>
    <row r="611">
      <c r="A611" s="159"/>
      <c r="B611" s="636"/>
      <c r="C611" s="159"/>
      <c r="D611" s="636"/>
      <c r="E611" s="636"/>
      <c r="F611" s="159"/>
      <c r="G611" s="159"/>
      <c r="H611" s="159"/>
      <c r="I611" s="668"/>
      <c r="J611" s="157"/>
      <c r="K611" s="708"/>
      <c r="L611" s="157"/>
      <c r="M611" s="157"/>
      <c r="N611" s="157"/>
      <c r="O611" s="668"/>
      <c r="P611" s="709"/>
      <c r="Q611" s="59"/>
      <c r="R611" s="61"/>
      <c r="S611" s="41"/>
      <c r="T611" s="59"/>
      <c r="Y611" s="61"/>
      <c r="Z611" s="59"/>
      <c r="AF611" s="61"/>
      <c r="AH611" s="61"/>
      <c r="AI611" s="41"/>
      <c r="AK611" s="40">
        <v>608.0</v>
      </c>
      <c r="AL611" s="719" t="s">
        <v>2522</v>
      </c>
      <c r="AM611" s="720" t="s">
        <v>1777</v>
      </c>
      <c r="AN611" s="720" t="s">
        <v>1744</v>
      </c>
      <c r="AO611" s="722">
        <v>0.625</v>
      </c>
      <c r="AP611" s="722" t="s">
        <v>1778</v>
      </c>
    </row>
    <row r="612">
      <c r="A612" s="159"/>
      <c r="B612" s="636"/>
      <c r="C612" s="159"/>
      <c r="D612" s="636"/>
      <c r="E612" s="636"/>
      <c r="F612" s="159"/>
      <c r="G612" s="159"/>
      <c r="H612" s="159"/>
      <c r="I612" s="668"/>
      <c r="J612" s="157"/>
      <c r="K612" s="708"/>
      <c r="L612" s="157"/>
      <c r="M612" s="157"/>
      <c r="N612" s="157"/>
      <c r="O612" s="668"/>
      <c r="P612" s="709"/>
      <c r="Q612" s="59"/>
      <c r="R612" s="61"/>
      <c r="S612" s="41"/>
      <c r="T612" s="59"/>
      <c r="Y612" s="61"/>
      <c r="Z612" s="59"/>
      <c r="AF612" s="61"/>
      <c r="AH612" s="61"/>
      <c r="AI612" s="41"/>
      <c r="AK612" s="40">
        <v>609.0</v>
      </c>
      <c r="AL612" s="738" t="s">
        <v>2523</v>
      </c>
      <c r="AM612" s="738" t="s">
        <v>1763</v>
      </c>
      <c r="AN612" s="738" t="s">
        <v>1744</v>
      </c>
      <c r="AO612" s="739" t="s">
        <v>1728</v>
      </c>
      <c r="AP612" s="740"/>
    </row>
    <row r="613">
      <c r="A613" s="159"/>
      <c r="B613" s="636"/>
      <c r="C613" s="159"/>
      <c r="D613" s="636"/>
      <c r="E613" s="636"/>
      <c r="F613" s="159"/>
      <c r="G613" s="159"/>
      <c r="H613" s="159"/>
      <c r="I613" s="668"/>
      <c r="J613" s="157"/>
      <c r="K613" s="708"/>
      <c r="L613" s="157"/>
      <c r="M613" s="157"/>
      <c r="N613" s="157"/>
      <c r="O613" s="668"/>
      <c r="P613" s="709"/>
      <c r="Q613" s="59"/>
      <c r="R613" s="61"/>
      <c r="S613" s="41"/>
      <c r="T613" s="59"/>
      <c r="Y613" s="61"/>
      <c r="Z613" s="59"/>
      <c r="AF613" s="61"/>
      <c r="AH613" s="61"/>
      <c r="AI613" s="41"/>
      <c r="AK613" s="40">
        <v>610.0</v>
      </c>
      <c r="AL613" s="719" t="s">
        <v>2523</v>
      </c>
      <c r="AM613" s="720" t="s">
        <v>1763</v>
      </c>
      <c r="AN613" s="720" t="s">
        <v>1744</v>
      </c>
      <c r="AO613" s="722" t="s">
        <v>1728</v>
      </c>
      <c r="AP613" s="723"/>
    </row>
    <row r="614">
      <c r="A614" s="159"/>
      <c r="B614" s="636"/>
      <c r="C614" s="159"/>
      <c r="D614" s="636"/>
      <c r="E614" s="636"/>
      <c r="F614" s="159"/>
      <c r="G614" s="159"/>
      <c r="H614" s="159"/>
      <c r="I614" s="668"/>
      <c r="J614" s="157"/>
      <c r="K614" s="708"/>
      <c r="L614" s="157"/>
      <c r="M614" s="157"/>
      <c r="N614" s="157"/>
      <c r="O614" s="668"/>
      <c r="P614" s="709"/>
      <c r="Q614" s="59"/>
      <c r="R614" s="61"/>
      <c r="S614" s="41"/>
      <c r="T614" s="59"/>
      <c r="Y614" s="61"/>
      <c r="Z614" s="59"/>
      <c r="AF614" s="61"/>
      <c r="AH614" s="61"/>
      <c r="AI614" s="41"/>
      <c r="AK614" s="40">
        <v>611.0</v>
      </c>
      <c r="AL614" s="738" t="s">
        <v>2523</v>
      </c>
      <c r="AM614" s="738" t="s">
        <v>1763</v>
      </c>
      <c r="AN614" s="738" t="s">
        <v>1744</v>
      </c>
      <c r="AO614" s="739" t="s">
        <v>1728</v>
      </c>
      <c r="AP614" s="740"/>
    </row>
    <row r="615">
      <c r="A615" s="159"/>
      <c r="B615" s="636"/>
      <c r="C615" s="159"/>
      <c r="D615" s="636"/>
      <c r="E615" s="636"/>
      <c r="F615" s="159"/>
      <c r="G615" s="159"/>
      <c r="H615" s="159"/>
      <c r="I615" s="668"/>
      <c r="J615" s="157"/>
      <c r="K615" s="708"/>
      <c r="L615" s="157"/>
      <c r="M615" s="157"/>
      <c r="N615" s="157"/>
      <c r="O615" s="668"/>
      <c r="P615" s="709"/>
      <c r="Q615" s="59"/>
      <c r="R615" s="61"/>
      <c r="S615" s="41"/>
      <c r="T615" s="59"/>
      <c r="Y615" s="61"/>
      <c r="Z615" s="59"/>
      <c r="AF615" s="61"/>
      <c r="AH615" s="61"/>
      <c r="AI615" s="41"/>
      <c r="AK615" s="40">
        <v>612.0</v>
      </c>
      <c r="AL615" s="719" t="s">
        <v>2523</v>
      </c>
      <c r="AM615" s="720" t="s">
        <v>1763</v>
      </c>
      <c r="AN615" s="720" t="s">
        <v>1744</v>
      </c>
      <c r="AO615" s="722" t="s">
        <v>1728</v>
      </c>
      <c r="AP615" s="723"/>
    </row>
    <row r="616">
      <c r="A616" s="159"/>
      <c r="B616" s="636"/>
      <c r="C616" s="159"/>
      <c r="D616" s="636"/>
      <c r="E616" s="636"/>
      <c r="F616" s="159"/>
      <c r="G616" s="159"/>
      <c r="H616" s="159"/>
      <c r="I616" s="668"/>
      <c r="J616" s="157"/>
      <c r="K616" s="708"/>
      <c r="L616" s="157"/>
      <c r="M616" s="157"/>
      <c r="N616" s="157"/>
      <c r="O616" s="668"/>
      <c r="P616" s="709"/>
      <c r="Q616" s="59"/>
      <c r="R616" s="61"/>
      <c r="S616" s="41"/>
      <c r="T616" s="59"/>
      <c r="Y616" s="61"/>
      <c r="Z616" s="59"/>
      <c r="AF616" s="61"/>
      <c r="AH616" s="61"/>
      <c r="AI616" s="41"/>
      <c r="AK616" s="40">
        <v>613.0</v>
      </c>
      <c r="AL616" s="738" t="s">
        <v>2524</v>
      </c>
      <c r="AM616" s="738" t="s">
        <v>1767</v>
      </c>
      <c r="AN616" s="738" t="s">
        <v>1744</v>
      </c>
      <c r="AO616" s="739" t="s">
        <v>1728</v>
      </c>
      <c r="AP616" s="740"/>
    </row>
    <row r="617">
      <c r="A617" s="159"/>
      <c r="B617" s="636"/>
      <c r="C617" s="159"/>
      <c r="D617" s="636"/>
      <c r="E617" s="636"/>
      <c r="F617" s="159"/>
      <c r="G617" s="159"/>
      <c r="H617" s="159"/>
      <c r="I617" s="668"/>
      <c r="J617" s="157"/>
      <c r="K617" s="708"/>
      <c r="L617" s="157"/>
      <c r="M617" s="157"/>
      <c r="N617" s="157"/>
      <c r="O617" s="668"/>
      <c r="P617" s="709"/>
      <c r="Q617" s="59"/>
      <c r="R617" s="61"/>
      <c r="S617" s="41"/>
      <c r="T617" s="59"/>
      <c r="Y617" s="61"/>
      <c r="Z617" s="59"/>
      <c r="AF617" s="61"/>
      <c r="AH617" s="61"/>
      <c r="AI617" s="41"/>
      <c r="AK617" s="40">
        <v>614.0</v>
      </c>
      <c r="AL617" s="719" t="s">
        <v>2524</v>
      </c>
      <c r="AM617" s="720" t="s">
        <v>1767</v>
      </c>
      <c r="AN617" s="720" t="s">
        <v>1744</v>
      </c>
      <c r="AO617" s="722" t="s">
        <v>1728</v>
      </c>
      <c r="AP617" s="723"/>
    </row>
    <row r="618">
      <c r="A618" s="159"/>
      <c r="B618" s="636"/>
      <c r="C618" s="159"/>
      <c r="D618" s="636"/>
      <c r="E618" s="636"/>
      <c r="F618" s="159"/>
      <c r="G618" s="159"/>
      <c r="H618" s="159"/>
      <c r="I618" s="668"/>
      <c r="J618" s="157"/>
      <c r="K618" s="708"/>
      <c r="L618" s="157"/>
      <c r="M618" s="157"/>
      <c r="N618" s="157"/>
      <c r="O618" s="668"/>
      <c r="P618" s="709"/>
      <c r="Q618" s="59"/>
      <c r="R618" s="61"/>
      <c r="S618" s="41"/>
      <c r="T618" s="59"/>
      <c r="Y618" s="61"/>
      <c r="Z618" s="59"/>
      <c r="AF618" s="61"/>
      <c r="AH618" s="61"/>
      <c r="AI618" s="41"/>
      <c r="AK618" s="40">
        <v>615.0</v>
      </c>
      <c r="AL618" s="738" t="s">
        <v>2524</v>
      </c>
      <c r="AM618" s="738" t="s">
        <v>1767</v>
      </c>
      <c r="AN618" s="738" t="s">
        <v>1744</v>
      </c>
      <c r="AO618" s="739" t="s">
        <v>1728</v>
      </c>
      <c r="AP618" s="740"/>
    </row>
    <row r="619">
      <c r="A619" s="159"/>
      <c r="B619" s="636"/>
      <c r="C619" s="159"/>
      <c r="D619" s="636"/>
      <c r="E619" s="636"/>
      <c r="F619" s="159"/>
      <c r="G619" s="159"/>
      <c r="H619" s="159"/>
      <c r="I619" s="668"/>
      <c r="J619" s="157"/>
      <c r="K619" s="708"/>
      <c r="L619" s="157"/>
      <c r="M619" s="157"/>
      <c r="N619" s="157"/>
      <c r="O619" s="668"/>
      <c r="P619" s="709"/>
      <c r="Q619" s="59"/>
      <c r="R619" s="61"/>
      <c r="S619" s="41"/>
      <c r="T619" s="59"/>
      <c r="Y619" s="61"/>
      <c r="Z619" s="59"/>
      <c r="AF619" s="61"/>
      <c r="AH619" s="61"/>
      <c r="AI619" s="41"/>
      <c r="AK619" s="40">
        <v>616.0</v>
      </c>
      <c r="AL619" s="719" t="s">
        <v>2524</v>
      </c>
      <c r="AM619" s="720" t="s">
        <v>1767</v>
      </c>
      <c r="AN619" s="720" t="s">
        <v>1744</v>
      </c>
      <c r="AO619" s="722" t="s">
        <v>1728</v>
      </c>
      <c r="AP619" s="723"/>
    </row>
    <row r="620">
      <c r="A620" s="159"/>
      <c r="B620" s="636"/>
      <c r="C620" s="159"/>
      <c r="D620" s="636"/>
      <c r="E620" s="636"/>
      <c r="F620" s="159"/>
      <c r="G620" s="159"/>
      <c r="H620" s="159"/>
      <c r="I620" s="668"/>
      <c r="J620" s="157"/>
      <c r="K620" s="708"/>
      <c r="L620" s="157"/>
      <c r="M620" s="157"/>
      <c r="N620" s="157"/>
      <c r="O620" s="668"/>
      <c r="P620" s="709"/>
      <c r="Q620" s="59"/>
      <c r="R620" s="61"/>
      <c r="S620" s="41"/>
      <c r="T620" s="59"/>
      <c r="Y620" s="61"/>
      <c r="Z620" s="59"/>
      <c r="AF620" s="61"/>
      <c r="AH620" s="61"/>
      <c r="AI620" s="41"/>
      <c r="AK620" s="40">
        <v>617.0</v>
      </c>
      <c r="AL620" s="738" t="s">
        <v>2524</v>
      </c>
      <c r="AM620" s="738" t="s">
        <v>1767</v>
      </c>
      <c r="AN620" s="738" t="s">
        <v>1744</v>
      </c>
      <c r="AO620" s="739" t="s">
        <v>1728</v>
      </c>
      <c r="AP620" s="740"/>
    </row>
    <row r="621">
      <c r="A621" s="159"/>
      <c r="B621" s="636"/>
      <c r="C621" s="159"/>
      <c r="D621" s="636"/>
      <c r="E621" s="636"/>
      <c r="F621" s="159"/>
      <c r="G621" s="159"/>
      <c r="H621" s="159"/>
      <c r="I621" s="668"/>
      <c r="J621" s="157"/>
      <c r="K621" s="708"/>
      <c r="L621" s="157"/>
      <c r="M621" s="157"/>
      <c r="N621" s="157"/>
      <c r="O621" s="668"/>
      <c r="P621" s="709"/>
      <c r="Q621" s="59"/>
      <c r="R621" s="61"/>
      <c r="S621" s="41"/>
      <c r="T621" s="59"/>
      <c r="Y621" s="61"/>
      <c r="Z621" s="59"/>
      <c r="AF621" s="61"/>
      <c r="AH621" s="61"/>
      <c r="AI621" s="41"/>
      <c r="AK621" s="40">
        <v>618.0</v>
      </c>
      <c r="AL621" s="719" t="s">
        <v>2525</v>
      </c>
      <c r="AM621" s="720" t="s">
        <v>2156</v>
      </c>
      <c r="AN621" s="721"/>
      <c r="AO621" s="722">
        <v>0.0</v>
      </c>
      <c r="AP621" s="722" t="s">
        <v>2157</v>
      </c>
    </row>
    <row r="622">
      <c r="A622" s="159"/>
      <c r="B622" s="636"/>
      <c r="C622" s="159"/>
      <c r="D622" s="636"/>
      <c r="E622" s="636"/>
      <c r="F622" s="159"/>
      <c r="G622" s="159"/>
      <c r="H622" s="159"/>
      <c r="I622" s="668"/>
      <c r="J622" s="157"/>
      <c r="K622" s="708"/>
      <c r="L622" s="157"/>
      <c r="M622" s="157"/>
      <c r="N622" s="157"/>
      <c r="O622" s="668"/>
      <c r="P622" s="709"/>
      <c r="Q622" s="59"/>
      <c r="R622" s="61"/>
      <c r="S622" s="41"/>
      <c r="T622" s="59"/>
      <c r="Y622" s="61"/>
      <c r="Z622" s="59"/>
      <c r="AF622" s="61"/>
      <c r="AH622" s="61"/>
      <c r="AI622" s="41"/>
      <c r="AK622" s="40">
        <v>619.0</v>
      </c>
      <c r="AL622" s="738" t="s">
        <v>2526</v>
      </c>
      <c r="AM622" s="738" t="s">
        <v>1860</v>
      </c>
      <c r="AN622" s="738" t="s">
        <v>1861</v>
      </c>
      <c r="AO622" s="739">
        <v>0.324</v>
      </c>
      <c r="AP622" s="739" t="s">
        <v>1862</v>
      </c>
    </row>
    <row r="623">
      <c r="A623" s="159"/>
      <c r="B623" s="636"/>
      <c r="C623" s="159"/>
      <c r="D623" s="636"/>
      <c r="E623" s="636"/>
      <c r="F623" s="159"/>
      <c r="G623" s="159"/>
      <c r="H623" s="159"/>
      <c r="I623" s="668"/>
      <c r="J623" s="157"/>
      <c r="K623" s="708"/>
      <c r="L623" s="157"/>
      <c r="M623" s="157"/>
      <c r="N623" s="157"/>
      <c r="O623" s="668"/>
      <c r="P623" s="709"/>
      <c r="Q623" s="59"/>
      <c r="R623" s="61"/>
      <c r="S623" s="41"/>
      <c r="T623" s="59"/>
      <c r="Y623" s="61"/>
      <c r="Z623" s="59"/>
      <c r="AF623" s="61"/>
      <c r="AH623" s="61"/>
      <c r="AI623" s="41"/>
      <c r="AK623" s="40">
        <v>620.0</v>
      </c>
      <c r="AL623" s="719" t="s">
        <v>2527</v>
      </c>
      <c r="AM623" s="720" t="s">
        <v>2033</v>
      </c>
      <c r="AN623" s="720" t="s">
        <v>2034</v>
      </c>
      <c r="AO623" s="722">
        <v>0.061</v>
      </c>
      <c r="AP623" s="722" t="s">
        <v>2035</v>
      </c>
    </row>
    <row r="624">
      <c r="A624" s="159"/>
      <c r="B624" s="636"/>
      <c r="C624" s="159"/>
      <c r="D624" s="636"/>
      <c r="E624" s="636"/>
      <c r="F624" s="159"/>
      <c r="G624" s="159"/>
      <c r="H624" s="159"/>
      <c r="I624" s="668"/>
      <c r="J624" s="157"/>
      <c r="K624" s="708"/>
      <c r="L624" s="157"/>
      <c r="M624" s="157"/>
      <c r="N624" s="157"/>
      <c r="O624" s="668"/>
      <c r="P624" s="709"/>
      <c r="Q624" s="59"/>
      <c r="R624" s="61"/>
      <c r="S624" s="41"/>
      <c r="T624" s="59"/>
      <c r="Y624" s="61"/>
      <c r="Z624" s="59"/>
      <c r="AF624" s="61"/>
      <c r="AH624" s="61"/>
      <c r="AI624" s="41"/>
      <c r="AK624" s="40">
        <v>621.0</v>
      </c>
      <c r="AL624" s="738" t="s">
        <v>2528</v>
      </c>
      <c r="AM624" s="738" t="s">
        <v>1835</v>
      </c>
      <c r="AN624" s="738" t="s">
        <v>1836</v>
      </c>
      <c r="AO624" s="739">
        <v>0.402</v>
      </c>
      <c r="AP624" s="739" t="s">
        <v>1837</v>
      </c>
    </row>
    <row r="625">
      <c r="A625" s="159"/>
      <c r="B625" s="636"/>
      <c r="C625" s="159"/>
      <c r="D625" s="636"/>
      <c r="E625" s="636"/>
      <c r="F625" s="159"/>
      <c r="G625" s="159"/>
      <c r="H625" s="159"/>
      <c r="I625" s="668"/>
      <c r="J625" s="157"/>
      <c r="K625" s="708"/>
      <c r="L625" s="157"/>
      <c r="M625" s="157"/>
      <c r="N625" s="157"/>
      <c r="O625" s="668"/>
      <c r="P625" s="709"/>
      <c r="Q625" s="59"/>
      <c r="R625" s="61"/>
      <c r="S625" s="41"/>
      <c r="T625" s="59"/>
      <c r="Y625" s="61"/>
      <c r="Z625" s="59"/>
      <c r="AF625" s="61"/>
      <c r="AH625" s="61"/>
      <c r="AI625" s="41"/>
      <c r="AK625" s="40">
        <v>622.0</v>
      </c>
      <c r="AL625" s="719" t="s">
        <v>2529</v>
      </c>
      <c r="AM625" s="720" t="s">
        <v>1899</v>
      </c>
      <c r="AN625" s="720" t="s">
        <v>1744</v>
      </c>
      <c r="AO625" s="722">
        <v>0.236</v>
      </c>
      <c r="AP625" s="722" t="s">
        <v>1900</v>
      </c>
    </row>
    <row r="626">
      <c r="A626" s="159"/>
      <c r="B626" s="636"/>
      <c r="C626" s="159"/>
      <c r="D626" s="636"/>
      <c r="E626" s="636"/>
      <c r="F626" s="159"/>
      <c r="G626" s="159"/>
      <c r="H626" s="159"/>
      <c r="I626" s="668"/>
      <c r="J626" s="157"/>
      <c r="K626" s="708"/>
      <c r="L626" s="157"/>
      <c r="M626" s="157"/>
      <c r="N626" s="157"/>
      <c r="O626" s="668"/>
      <c r="P626" s="709"/>
      <c r="Q626" s="59"/>
      <c r="R626" s="61"/>
      <c r="S626" s="41"/>
      <c r="T626" s="59"/>
      <c r="Y626" s="61"/>
      <c r="Z626" s="59"/>
      <c r="AF626" s="61"/>
      <c r="AH626" s="61"/>
      <c r="AI626" s="41"/>
      <c r="AK626" s="40">
        <v>623.0</v>
      </c>
      <c r="AL626" s="738" t="s">
        <v>2530</v>
      </c>
      <c r="AM626" s="738" t="s">
        <v>1743</v>
      </c>
      <c r="AN626" s="738" t="s">
        <v>1744</v>
      </c>
      <c r="AO626" s="739" t="s">
        <v>1728</v>
      </c>
      <c r="AP626" s="740"/>
    </row>
    <row r="627">
      <c r="A627" s="159"/>
      <c r="B627" s="636"/>
      <c r="C627" s="159"/>
      <c r="D627" s="636"/>
      <c r="E627" s="636"/>
      <c r="F627" s="159"/>
      <c r="G627" s="159"/>
      <c r="H627" s="159"/>
      <c r="I627" s="668"/>
      <c r="J627" s="157"/>
      <c r="K627" s="708"/>
      <c r="L627" s="157"/>
      <c r="M627" s="157"/>
      <c r="N627" s="157"/>
      <c r="O627" s="668"/>
      <c r="P627" s="709"/>
      <c r="Q627" s="59"/>
      <c r="R627" s="61"/>
      <c r="S627" s="41"/>
      <c r="T627" s="59"/>
      <c r="Y627" s="61"/>
      <c r="Z627" s="59"/>
      <c r="AF627" s="61"/>
      <c r="AH627" s="61"/>
      <c r="AI627" s="41"/>
      <c r="AK627" s="40">
        <v>624.0</v>
      </c>
      <c r="AL627" s="719" t="s">
        <v>2530</v>
      </c>
      <c r="AM627" s="720" t="s">
        <v>1743</v>
      </c>
      <c r="AN627" s="720" t="s">
        <v>1744</v>
      </c>
      <c r="AO627" s="722" t="s">
        <v>1728</v>
      </c>
      <c r="AP627" s="723"/>
    </row>
    <row r="628">
      <c r="A628" s="159"/>
      <c r="B628" s="636"/>
      <c r="C628" s="159"/>
      <c r="D628" s="636"/>
      <c r="E628" s="636"/>
      <c r="F628" s="159"/>
      <c r="G628" s="159"/>
      <c r="H628" s="159"/>
      <c r="I628" s="668"/>
      <c r="J628" s="157"/>
      <c r="K628" s="708"/>
      <c r="L628" s="157"/>
      <c r="M628" s="157"/>
      <c r="N628" s="157"/>
      <c r="O628" s="668"/>
      <c r="P628" s="709"/>
      <c r="Q628" s="59"/>
      <c r="R628" s="61"/>
      <c r="S628" s="41"/>
      <c r="T628" s="59"/>
      <c r="Y628" s="61"/>
      <c r="Z628" s="59"/>
      <c r="AF628" s="61"/>
      <c r="AH628" s="61"/>
      <c r="AI628" s="41"/>
      <c r="AK628" s="40">
        <v>625.0</v>
      </c>
      <c r="AL628" s="738" t="s">
        <v>2530</v>
      </c>
      <c r="AM628" s="738" t="s">
        <v>1743</v>
      </c>
      <c r="AN628" s="738" t="s">
        <v>1744</v>
      </c>
      <c r="AO628" s="739" t="s">
        <v>1728</v>
      </c>
      <c r="AP628" s="740"/>
    </row>
    <row r="629">
      <c r="A629" s="159"/>
      <c r="B629" s="636"/>
      <c r="C629" s="159"/>
      <c r="D629" s="636"/>
      <c r="E629" s="636"/>
      <c r="F629" s="159"/>
      <c r="G629" s="159"/>
      <c r="H629" s="159"/>
      <c r="I629" s="668"/>
      <c r="J629" s="157"/>
      <c r="K629" s="708"/>
      <c r="L629" s="157"/>
      <c r="M629" s="157"/>
      <c r="N629" s="157"/>
      <c r="O629" s="668"/>
      <c r="P629" s="709"/>
      <c r="Q629" s="59"/>
      <c r="R629" s="61"/>
      <c r="S629" s="41"/>
      <c r="T629" s="59"/>
      <c r="Y629" s="61"/>
      <c r="Z629" s="59"/>
      <c r="AF629" s="61"/>
      <c r="AH629" s="61"/>
      <c r="AI629" s="41"/>
      <c r="AK629" s="40">
        <v>626.0</v>
      </c>
      <c r="AL629" s="719" t="s">
        <v>2531</v>
      </c>
      <c r="AM629" s="720" t="s">
        <v>1747</v>
      </c>
      <c r="AN629" s="720" t="s">
        <v>1744</v>
      </c>
      <c r="AO629" s="722" t="s">
        <v>1728</v>
      </c>
      <c r="AP629" s="723"/>
    </row>
    <row r="630">
      <c r="A630" s="159"/>
      <c r="B630" s="636"/>
      <c r="C630" s="159"/>
      <c r="D630" s="636"/>
      <c r="E630" s="636"/>
      <c r="F630" s="159"/>
      <c r="G630" s="159"/>
      <c r="H630" s="159"/>
      <c r="I630" s="668"/>
      <c r="J630" s="157"/>
      <c r="K630" s="708"/>
      <c r="L630" s="157"/>
      <c r="M630" s="157"/>
      <c r="N630" s="157"/>
      <c r="O630" s="668"/>
      <c r="P630" s="709"/>
      <c r="Q630" s="59"/>
      <c r="R630" s="61"/>
      <c r="S630" s="41"/>
      <c r="T630" s="59"/>
      <c r="Y630" s="61"/>
      <c r="Z630" s="59"/>
      <c r="AF630" s="61"/>
      <c r="AH630" s="61"/>
      <c r="AI630" s="41"/>
      <c r="AK630" s="40">
        <v>627.0</v>
      </c>
      <c r="AL630" s="738" t="s">
        <v>2531</v>
      </c>
      <c r="AM630" s="738" t="s">
        <v>1747</v>
      </c>
      <c r="AN630" s="738" t="s">
        <v>1744</v>
      </c>
      <c r="AO630" s="739" t="s">
        <v>1728</v>
      </c>
      <c r="AP630" s="740"/>
    </row>
    <row r="631">
      <c r="A631" s="159"/>
      <c r="B631" s="636"/>
      <c r="C631" s="159"/>
      <c r="D631" s="636"/>
      <c r="E631" s="636"/>
      <c r="F631" s="159"/>
      <c r="G631" s="159"/>
      <c r="H631" s="159"/>
      <c r="I631" s="668"/>
      <c r="J631" s="157"/>
      <c r="K631" s="708"/>
      <c r="L631" s="157"/>
      <c r="M631" s="157"/>
      <c r="N631" s="157"/>
      <c r="O631" s="668"/>
      <c r="P631" s="709"/>
      <c r="Q631" s="59"/>
      <c r="R631" s="61"/>
      <c r="S631" s="41"/>
      <c r="T631" s="59"/>
      <c r="Y631" s="61"/>
      <c r="Z631" s="59"/>
      <c r="AF631" s="61"/>
      <c r="AH631" s="61"/>
      <c r="AI631" s="41"/>
      <c r="AK631" s="40">
        <v>628.0</v>
      </c>
      <c r="AL631" s="719" t="s">
        <v>2531</v>
      </c>
      <c r="AM631" s="720" t="s">
        <v>1747</v>
      </c>
      <c r="AN631" s="720" t="s">
        <v>1744</v>
      </c>
      <c r="AO631" s="722" t="s">
        <v>1728</v>
      </c>
      <c r="AP631" s="723"/>
    </row>
    <row r="632">
      <c r="A632" s="159"/>
      <c r="B632" s="636"/>
      <c r="C632" s="159"/>
      <c r="D632" s="636"/>
      <c r="E632" s="636"/>
      <c r="F632" s="159"/>
      <c r="G632" s="159"/>
      <c r="H632" s="159"/>
      <c r="I632" s="668"/>
      <c r="J632" s="157"/>
      <c r="K632" s="708"/>
      <c r="L632" s="157"/>
      <c r="M632" s="157"/>
      <c r="N632" s="157"/>
      <c r="O632" s="668"/>
      <c r="P632" s="709"/>
      <c r="Q632" s="59"/>
      <c r="R632" s="61"/>
      <c r="S632" s="41"/>
      <c r="T632" s="59"/>
      <c r="Y632" s="61"/>
      <c r="Z632" s="59"/>
      <c r="AF632" s="61"/>
      <c r="AH632" s="61"/>
      <c r="AI632" s="41"/>
      <c r="AK632" s="40">
        <v>629.0</v>
      </c>
      <c r="AL632" s="738" t="s">
        <v>2531</v>
      </c>
      <c r="AM632" s="738" t="s">
        <v>1747</v>
      </c>
      <c r="AN632" s="738" t="s">
        <v>1744</v>
      </c>
      <c r="AO632" s="739" t="s">
        <v>1728</v>
      </c>
      <c r="AP632" s="740"/>
    </row>
    <row r="633">
      <c r="A633" s="159"/>
      <c r="B633" s="636"/>
      <c r="C633" s="159"/>
      <c r="D633" s="636"/>
      <c r="E633" s="636"/>
      <c r="F633" s="159"/>
      <c r="G633" s="159"/>
      <c r="H633" s="159"/>
      <c r="I633" s="668"/>
      <c r="J633" s="157"/>
      <c r="K633" s="708"/>
      <c r="L633" s="157"/>
      <c r="M633" s="157"/>
      <c r="N633" s="157"/>
      <c r="O633" s="668"/>
      <c r="P633" s="709"/>
      <c r="Q633" s="59"/>
      <c r="R633" s="61"/>
      <c r="S633" s="41"/>
      <c r="T633" s="59"/>
      <c r="Y633" s="61"/>
      <c r="Z633" s="59"/>
      <c r="AF633" s="61"/>
      <c r="AH633" s="61"/>
      <c r="AI633" s="41"/>
      <c r="AK633" s="40">
        <v>630.0</v>
      </c>
      <c r="AL633" s="719" t="s">
        <v>2532</v>
      </c>
      <c r="AM633" s="720" t="s">
        <v>1842</v>
      </c>
      <c r="AN633" s="720" t="s">
        <v>1744</v>
      </c>
      <c r="AO633" s="722">
        <v>0.351</v>
      </c>
      <c r="AP633" s="722" t="s">
        <v>1843</v>
      </c>
    </row>
    <row r="634">
      <c r="A634" s="159"/>
      <c r="B634" s="636"/>
      <c r="C634" s="159"/>
      <c r="D634" s="636"/>
      <c r="E634" s="636"/>
      <c r="F634" s="159"/>
      <c r="G634" s="159"/>
      <c r="H634" s="159"/>
      <c r="I634" s="668"/>
      <c r="J634" s="157"/>
      <c r="K634" s="708"/>
      <c r="L634" s="157"/>
      <c r="M634" s="157"/>
      <c r="N634" s="157"/>
      <c r="O634" s="668"/>
      <c r="P634" s="709"/>
      <c r="Q634" s="59"/>
      <c r="R634" s="61"/>
      <c r="S634" s="41"/>
      <c r="T634" s="59"/>
      <c r="Y634" s="61"/>
      <c r="Z634" s="59"/>
      <c r="AF634" s="61"/>
      <c r="AH634" s="61"/>
      <c r="AI634" s="41"/>
      <c r="AK634" s="40">
        <v>631.0</v>
      </c>
      <c r="AL634" s="738" t="s">
        <v>2532</v>
      </c>
      <c r="AM634" s="738" t="s">
        <v>1842</v>
      </c>
      <c r="AN634" s="738" t="s">
        <v>1744</v>
      </c>
      <c r="AO634" s="739">
        <v>0.351</v>
      </c>
      <c r="AP634" s="739" t="s">
        <v>1843</v>
      </c>
    </row>
    <row r="635">
      <c r="A635" s="159"/>
      <c r="B635" s="636"/>
      <c r="C635" s="159"/>
      <c r="D635" s="636"/>
      <c r="E635" s="636"/>
      <c r="F635" s="159"/>
      <c r="G635" s="159"/>
      <c r="H635" s="159"/>
      <c r="I635" s="668"/>
      <c r="J635" s="157"/>
      <c r="K635" s="708"/>
      <c r="L635" s="157"/>
      <c r="M635" s="157"/>
      <c r="N635" s="157"/>
      <c r="O635" s="668"/>
      <c r="P635" s="709"/>
      <c r="Q635" s="59"/>
      <c r="R635" s="61"/>
      <c r="S635" s="41"/>
      <c r="T635" s="59"/>
      <c r="Y635" s="61"/>
      <c r="Z635" s="59"/>
      <c r="AF635" s="61"/>
      <c r="AH635" s="61"/>
      <c r="AI635" s="41"/>
      <c r="AK635" s="40">
        <v>632.0</v>
      </c>
      <c r="AL635" s="719" t="s">
        <v>2533</v>
      </c>
      <c r="AM635" s="720" t="s">
        <v>1750</v>
      </c>
      <c r="AN635" s="720" t="s">
        <v>1744</v>
      </c>
      <c r="AO635" s="722" t="s">
        <v>1728</v>
      </c>
      <c r="AP635" s="723"/>
    </row>
    <row r="636">
      <c r="A636" s="159"/>
      <c r="B636" s="636"/>
      <c r="C636" s="159"/>
      <c r="D636" s="636"/>
      <c r="E636" s="636"/>
      <c r="F636" s="159"/>
      <c r="G636" s="159"/>
      <c r="H636" s="159"/>
      <c r="I636" s="668"/>
      <c r="J636" s="157"/>
      <c r="K636" s="708"/>
      <c r="L636" s="157"/>
      <c r="M636" s="157"/>
      <c r="N636" s="157"/>
      <c r="O636" s="668"/>
      <c r="P636" s="709"/>
      <c r="Q636" s="59"/>
      <c r="R636" s="61"/>
      <c r="S636" s="41"/>
      <c r="T636" s="59"/>
      <c r="Y636" s="61"/>
      <c r="Z636" s="59"/>
      <c r="AF636" s="61"/>
      <c r="AH636" s="61"/>
      <c r="AI636" s="41"/>
      <c r="AK636" s="40">
        <v>633.0</v>
      </c>
      <c r="AL636" s="738" t="s">
        <v>2533</v>
      </c>
      <c r="AM636" s="738" t="s">
        <v>1750</v>
      </c>
      <c r="AN636" s="738" t="s">
        <v>1744</v>
      </c>
      <c r="AO636" s="739" t="s">
        <v>1728</v>
      </c>
      <c r="AP636" s="740"/>
    </row>
    <row r="637">
      <c r="A637" s="159"/>
      <c r="B637" s="636"/>
      <c r="C637" s="159"/>
      <c r="D637" s="636"/>
      <c r="E637" s="636"/>
      <c r="F637" s="159"/>
      <c r="G637" s="159"/>
      <c r="H637" s="159"/>
      <c r="I637" s="668"/>
      <c r="J637" s="157"/>
      <c r="K637" s="708"/>
      <c r="L637" s="157"/>
      <c r="M637" s="157"/>
      <c r="N637" s="157"/>
      <c r="O637" s="668"/>
      <c r="P637" s="709"/>
      <c r="Q637" s="59"/>
      <c r="R637" s="61"/>
      <c r="S637" s="41"/>
      <c r="T637" s="59"/>
      <c r="Y637" s="61"/>
      <c r="Z637" s="59"/>
      <c r="AF637" s="61"/>
      <c r="AH637" s="61"/>
      <c r="AI637" s="41"/>
      <c r="AK637" s="40">
        <v>634.0</v>
      </c>
      <c r="AL637" s="719" t="s">
        <v>2533</v>
      </c>
      <c r="AM637" s="720" t="s">
        <v>1750</v>
      </c>
      <c r="AN637" s="720" t="s">
        <v>1744</v>
      </c>
      <c r="AO637" s="722" t="s">
        <v>1728</v>
      </c>
      <c r="AP637" s="723"/>
    </row>
    <row r="638">
      <c r="A638" s="159"/>
      <c r="B638" s="636"/>
      <c r="C638" s="159"/>
      <c r="D638" s="636"/>
      <c r="E638" s="636"/>
      <c r="F638" s="159"/>
      <c r="G638" s="159"/>
      <c r="H638" s="159"/>
      <c r="I638" s="668"/>
      <c r="J638" s="157"/>
      <c r="K638" s="708"/>
      <c r="L638" s="157"/>
      <c r="M638" s="157"/>
      <c r="N638" s="157"/>
      <c r="O638" s="668"/>
      <c r="P638" s="709"/>
      <c r="Q638" s="59"/>
      <c r="R638" s="61"/>
      <c r="S638" s="41"/>
      <c r="T638" s="59"/>
      <c r="Y638" s="61"/>
      <c r="Z638" s="59"/>
      <c r="AF638" s="61"/>
      <c r="AH638" s="61"/>
      <c r="AI638" s="41"/>
      <c r="AK638" s="40">
        <v>635.0</v>
      </c>
      <c r="AL638" s="738" t="s">
        <v>2533</v>
      </c>
      <c r="AM638" s="738" t="s">
        <v>1750</v>
      </c>
      <c r="AN638" s="738" t="s">
        <v>1744</v>
      </c>
      <c r="AO638" s="739" t="s">
        <v>1728</v>
      </c>
      <c r="AP638" s="740"/>
    </row>
    <row r="639">
      <c r="A639" s="159"/>
      <c r="B639" s="636"/>
      <c r="C639" s="159"/>
      <c r="D639" s="636"/>
      <c r="E639" s="636"/>
      <c r="F639" s="159"/>
      <c r="G639" s="159"/>
      <c r="H639" s="159"/>
      <c r="I639" s="668"/>
      <c r="J639" s="157"/>
      <c r="K639" s="708"/>
      <c r="L639" s="157"/>
      <c r="M639" s="157"/>
      <c r="N639" s="157"/>
      <c r="O639" s="668"/>
      <c r="P639" s="709"/>
      <c r="Q639" s="59"/>
      <c r="R639" s="61"/>
      <c r="S639" s="41"/>
      <c r="T639" s="59"/>
      <c r="Y639" s="61"/>
      <c r="Z639" s="59"/>
      <c r="AF639" s="61"/>
      <c r="AH639" s="61"/>
      <c r="AI639" s="41"/>
      <c r="AK639" s="40">
        <v>636.0</v>
      </c>
      <c r="AL639" s="719" t="s">
        <v>2534</v>
      </c>
      <c r="AM639" s="720" t="s">
        <v>1754</v>
      </c>
      <c r="AN639" s="720" t="s">
        <v>1744</v>
      </c>
      <c r="AO639" s="722" t="s">
        <v>1728</v>
      </c>
      <c r="AP639" s="723"/>
    </row>
    <row r="640">
      <c r="A640" s="159"/>
      <c r="B640" s="636"/>
      <c r="C640" s="159"/>
      <c r="D640" s="636"/>
      <c r="E640" s="636"/>
      <c r="F640" s="159"/>
      <c r="G640" s="159"/>
      <c r="H640" s="159"/>
      <c r="I640" s="668"/>
      <c r="J640" s="157"/>
      <c r="K640" s="708"/>
      <c r="L640" s="157"/>
      <c r="M640" s="157"/>
      <c r="N640" s="157"/>
      <c r="O640" s="668"/>
      <c r="P640" s="709"/>
      <c r="Q640" s="59"/>
      <c r="R640" s="61"/>
      <c r="S640" s="41"/>
      <c r="T640" s="59"/>
      <c r="Y640" s="61"/>
      <c r="Z640" s="59"/>
      <c r="AF640" s="61"/>
      <c r="AH640" s="61"/>
      <c r="AI640" s="41"/>
      <c r="AK640" s="40">
        <v>637.0</v>
      </c>
      <c r="AL640" s="738" t="s">
        <v>2534</v>
      </c>
      <c r="AM640" s="738" t="s">
        <v>1754</v>
      </c>
      <c r="AN640" s="738" t="s">
        <v>1744</v>
      </c>
      <c r="AO640" s="739" t="s">
        <v>1728</v>
      </c>
      <c r="AP640" s="740"/>
    </row>
    <row r="641">
      <c r="A641" s="159"/>
      <c r="B641" s="636"/>
      <c r="C641" s="159"/>
      <c r="D641" s="636"/>
      <c r="E641" s="636"/>
      <c r="F641" s="159"/>
      <c r="G641" s="159"/>
      <c r="H641" s="159"/>
      <c r="I641" s="668"/>
      <c r="J641" s="157"/>
      <c r="K641" s="708"/>
      <c r="L641" s="157"/>
      <c r="M641" s="157"/>
      <c r="N641" s="157"/>
      <c r="O641" s="668"/>
      <c r="P641" s="709"/>
      <c r="Q641" s="59"/>
      <c r="R641" s="61"/>
      <c r="S641" s="41"/>
      <c r="T641" s="59"/>
      <c r="Y641" s="61"/>
      <c r="Z641" s="59"/>
      <c r="AF641" s="61"/>
      <c r="AH641" s="61"/>
      <c r="AI641" s="41"/>
      <c r="AK641" s="40">
        <v>638.0</v>
      </c>
      <c r="AL641" s="719" t="s">
        <v>2534</v>
      </c>
      <c r="AM641" s="720" t="s">
        <v>1754</v>
      </c>
      <c r="AN641" s="720" t="s">
        <v>1744</v>
      </c>
      <c r="AO641" s="722" t="s">
        <v>1728</v>
      </c>
      <c r="AP641" s="723"/>
    </row>
    <row r="642">
      <c r="A642" s="159"/>
      <c r="B642" s="636"/>
      <c r="C642" s="159"/>
      <c r="D642" s="636"/>
      <c r="E642" s="636"/>
      <c r="F642" s="159"/>
      <c r="G642" s="159"/>
      <c r="H642" s="159"/>
      <c r="I642" s="668"/>
      <c r="J642" s="157"/>
      <c r="K642" s="708"/>
      <c r="L642" s="157"/>
      <c r="M642" s="157"/>
      <c r="N642" s="157"/>
      <c r="O642" s="668"/>
      <c r="P642" s="709"/>
      <c r="Q642" s="59"/>
      <c r="R642" s="61"/>
      <c r="S642" s="41"/>
      <c r="T642" s="59"/>
      <c r="Y642" s="61"/>
      <c r="Z642" s="59"/>
      <c r="AF642" s="61"/>
      <c r="AH642" s="61"/>
      <c r="AI642" s="41"/>
      <c r="AK642" s="40">
        <v>639.0</v>
      </c>
      <c r="AL642" s="738" t="s">
        <v>2534</v>
      </c>
      <c r="AM642" s="738" t="s">
        <v>1754</v>
      </c>
      <c r="AN642" s="738" t="s">
        <v>1744</v>
      </c>
      <c r="AO642" s="739" t="s">
        <v>1728</v>
      </c>
      <c r="AP642" s="740"/>
    </row>
    <row r="643">
      <c r="A643" s="159"/>
      <c r="B643" s="636"/>
      <c r="C643" s="159"/>
      <c r="D643" s="636"/>
      <c r="E643" s="636"/>
      <c r="F643" s="159"/>
      <c r="G643" s="159"/>
      <c r="H643" s="159"/>
      <c r="I643" s="668"/>
      <c r="J643" s="157"/>
      <c r="K643" s="708"/>
      <c r="L643" s="157"/>
      <c r="M643" s="157"/>
      <c r="N643" s="157"/>
      <c r="O643" s="668"/>
      <c r="P643" s="709"/>
      <c r="Q643" s="59"/>
      <c r="R643" s="61"/>
      <c r="S643" s="41"/>
      <c r="T643" s="59"/>
      <c r="Y643" s="61"/>
      <c r="Z643" s="59"/>
      <c r="AF643" s="61"/>
      <c r="AH643" s="61"/>
      <c r="AI643" s="41"/>
      <c r="AK643" s="40">
        <v>640.0</v>
      </c>
      <c r="AL643" s="719" t="s">
        <v>2534</v>
      </c>
      <c r="AM643" s="720" t="s">
        <v>1754</v>
      </c>
      <c r="AN643" s="720" t="s">
        <v>1744</v>
      </c>
      <c r="AO643" s="722" t="s">
        <v>1728</v>
      </c>
      <c r="AP643" s="723"/>
    </row>
    <row r="644">
      <c r="A644" s="159"/>
      <c r="B644" s="636"/>
      <c r="C644" s="159"/>
      <c r="D644" s="636"/>
      <c r="E644" s="636"/>
      <c r="F644" s="159"/>
      <c r="G644" s="159"/>
      <c r="H644" s="159"/>
      <c r="I644" s="668"/>
      <c r="J644" s="157"/>
      <c r="K644" s="708"/>
      <c r="L644" s="157"/>
      <c r="M644" s="157"/>
      <c r="N644" s="157"/>
      <c r="O644" s="668"/>
      <c r="P644" s="709"/>
      <c r="Q644" s="59"/>
      <c r="R644" s="61"/>
      <c r="S644" s="41"/>
      <c r="T644" s="59"/>
      <c r="Y644" s="61"/>
      <c r="Z644" s="59"/>
      <c r="AF644" s="61"/>
      <c r="AH644" s="61"/>
      <c r="AI644" s="41"/>
      <c r="AK644" s="40">
        <v>641.0</v>
      </c>
      <c r="AL644" s="738" t="s">
        <v>2535</v>
      </c>
      <c r="AM644" s="738" t="s">
        <v>1801</v>
      </c>
      <c r="AN644" s="738" t="s">
        <v>1744</v>
      </c>
      <c r="AO644" s="739">
        <v>0.512</v>
      </c>
      <c r="AP644" s="739" t="s">
        <v>1802</v>
      </c>
    </row>
    <row r="645">
      <c r="A645" s="159"/>
      <c r="B645" s="636"/>
      <c r="C645" s="159"/>
      <c r="D645" s="636"/>
      <c r="E645" s="636"/>
      <c r="F645" s="159"/>
      <c r="G645" s="159"/>
      <c r="H645" s="159"/>
      <c r="I645" s="668"/>
      <c r="J645" s="157"/>
      <c r="K645" s="708"/>
      <c r="L645" s="157"/>
      <c r="M645" s="157"/>
      <c r="N645" s="157"/>
      <c r="O645" s="668"/>
      <c r="P645" s="709"/>
      <c r="Q645" s="59"/>
      <c r="R645" s="61"/>
      <c r="S645" s="41"/>
      <c r="T645" s="59"/>
      <c r="Y645" s="61"/>
      <c r="Z645" s="59"/>
      <c r="AF645" s="61"/>
      <c r="AH645" s="61"/>
      <c r="AI645" s="41"/>
      <c r="AK645" s="40">
        <v>642.0</v>
      </c>
      <c r="AL645" s="719" t="s">
        <v>2536</v>
      </c>
      <c r="AM645" s="720" t="s">
        <v>1758</v>
      </c>
      <c r="AN645" s="720" t="s">
        <v>1744</v>
      </c>
      <c r="AO645" s="722" t="s">
        <v>1728</v>
      </c>
      <c r="AP645" s="723"/>
    </row>
    <row r="646">
      <c r="A646" s="159"/>
      <c r="B646" s="636"/>
      <c r="C646" s="159"/>
      <c r="D646" s="636"/>
      <c r="E646" s="636"/>
      <c r="F646" s="159"/>
      <c r="G646" s="159"/>
      <c r="H646" s="159"/>
      <c r="I646" s="668"/>
      <c r="J646" s="157"/>
      <c r="K646" s="708"/>
      <c r="L646" s="157"/>
      <c r="M646" s="157"/>
      <c r="N646" s="157"/>
      <c r="O646" s="668"/>
      <c r="P646" s="709"/>
      <c r="Q646" s="59"/>
      <c r="R646" s="61"/>
      <c r="S646" s="41"/>
      <c r="T646" s="59"/>
      <c r="Y646" s="61"/>
      <c r="Z646" s="59"/>
      <c r="AF646" s="61"/>
      <c r="AH646" s="61"/>
      <c r="AI646" s="41"/>
      <c r="AK646" s="40">
        <v>643.0</v>
      </c>
      <c r="AL646" s="738" t="s">
        <v>2536</v>
      </c>
      <c r="AM646" s="738" t="s">
        <v>1758</v>
      </c>
      <c r="AN646" s="738" t="s">
        <v>1744</v>
      </c>
      <c r="AO646" s="739" t="s">
        <v>1728</v>
      </c>
      <c r="AP646" s="740"/>
    </row>
    <row r="647">
      <c r="A647" s="159"/>
      <c r="B647" s="636"/>
      <c r="C647" s="159"/>
      <c r="D647" s="636"/>
      <c r="E647" s="636"/>
      <c r="F647" s="159"/>
      <c r="G647" s="159"/>
      <c r="H647" s="159"/>
      <c r="I647" s="668"/>
      <c r="J647" s="157"/>
      <c r="K647" s="708"/>
      <c r="L647" s="157"/>
      <c r="M647" s="157"/>
      <c r="N647" s="157"/>
      <c r="O647" s="668"/>
      <c r="P647" s="709"/>
      <c r="Q647" s="59"/>
      <c r="R647" s="61"/>
      <c r="S647" s="41"/>
      <c r="T647" s="59"/>
      <c r="Y647" s="61"/>
      <c r="Z647" s="59"/>
      <c r="AF647" s="61"/>
      <c r="AH647" s="61"/>
      <c r="AI647" s="41"/>
      <c r="AK647" s="40">
        <v>644.0</v>
      </c>
      <c r="AL647" s="719" t="s">
        <v>2536</v>
      </c>
      <c r="AM647" s="720" t="s">
        <v>1758</v>
      </c>
      <c r="AN647" s="720" t="s">
        <v>1744</v>
      </c>
      <c r="AO647" s="722" t="s">
        <v>1728</v>
      </c>
      <c r="AP647" s="723"/>
    </row>
    <row r="648">
      <c r="A648" s="159"/>
      <c r="B648" s="636"/>
      <c r="C648" s="159"/>
      <c r="D648" s="636"/>
      <c r="E648" s="636"/>
      <c r="F648" s="159"/>
      <c r="G648" s="159"/>
      <c r="H648" s="159"/>
      <c r="I648" s="668"/>
      <c r="J648" s="157"/>
      <c r="K648" s="708"/>
      <c r="L648" s="157"/>
      <c r="M648" s="157"/>
      <c r="N648" s="157"/>
      <c r="O648" s="668"/>
      <c r="P648" s="709"/>
      <c r="Q648" s="59"/>
      <c r="R648" s="61"/>
      <c r="S648" s="41"/>
      <c r="T648" s="59"/>
      <c r="Y648" s="61"/>
      <c r="Z648" s="59"/>
      <c r="AF648" s="61"/>
      <c r="AH648" s="61"/>
      <c r="AI648" s="41"/>
      <c r="AK648" s="40">
        <v>645.0</v>
      </c>
      <c r="AL648" s="738" t="s">
        <v>2537</v>
      </c>
      <c r="AM648" s="738" t="s">
        <v>1760</v>
      </c>
      <c r="AN648" s="738" t="s">
        <v>1744</v>
      </c>
      <c r="AO648" s="739" t="s">
        <v>1728</v>
      </c>
      <c r="AP648" s="740"/>
    </row>
    <row r="649">
      <c r="A649" s="159"/>
      <c r="B649" s="636"/>
      <c r="C649" s="159"/>
      <c r="D649" s="636"/>
      <c r="E649" s="636"/>
      <c r="F649" s="159"/>
      <c r="G649" s="159"/>
      <c r="H649" s="159"/>
      <c r="I649" s="668"/>
      <c r="J649" s="157"/>
      <c r="K649" s="708"/>
      <c r="L649" s="157"/>
      <c r="M649" s="157"/>
      <c r="N649" s="157"/>
      <c r="O649" s="668"/>
      <c r="P649" s="709"/>
      <c r="Q649" s="59"/>
      <c r="R649" s="61"/>
      <c r="S649" s="41"/>
      <c r="T649" s="59"/>
      <c r="Y649" s="61"/>
      <c r="Z649" s="59"/>
      <c r="AF649" s="61"/>
      <c r="AH649" s="61"/>
      <c r="AI649" s="41"/>
      <c r="AK649" s="40">
        <v>646.0</v>
      </c>
      <c r="AL649" s="719" t="s">
        <v>2537</v>
      </c>
      <c r="AM649" s="720" t="s">
        <v>1760</v>
      </c>
      <c r="AN649" s="720" t="s">
        <v>1744</v>
      </c>
      <c r="AO649" s="722" t="s">
        <v>1728</v>
      </c>
      <c r="AP649" s="723"/>
    </row>
    <row r="650">
      <c r="A650" s="159"/>
      <c r="B650" s="636"/>
      <c r="C650" s="159"/>
      <c r="D650" s="636"/>
      <c r="E650" s="636"/>
      <c r="F650" s="159"/>
      <c r="G650" s="159"/>
      <c r="H650" s="159"/>
      <c r="I650" s="668"/>
      <c r="J650" s="157"/>
      <c r="K650" s="708"/>
      <c r="L650" s="157"/>
      <c r="M650" s="157"/>
      <c r="N650" s="157"/>
      <c r="O650" s="668"/>
      <c r="P650" s="709"/>
      <c r="Q650" s="59"/>
      <c r="R650" s="61"/>
      <c r="S650" s="41"/>
      <c r="T650" s="59"/>
      <c r="Y650" s="61"/>
      <c r="Z650" s="59"/>
      <c r="AF650" s="61"/>
      <c r="AH650" s="61"/>
      <c r="AI650" s="41"/>
      <c r="AK650" s="40">
        <v>647.0</v>
      </c>
      <c r="AL650" s="738" t="s">
        <v>2537</v>
      </c>
      <c r="AM650" s="738" t="s">
        <v>1760</v>
      </c>
      <c r="AN650" s="738" t="s">
        <v>1744</v>
      </c>
      <c r="AO650" s="739" t="s">
        <v>1728</v>
      </c>
      <c r="AP650" s="740"/>
    </row>
    <row r="651">
      <c r="A651" s="159"/>
      <c r="B651" s="636"/>
      <c r="C651" s="159"/>
      <c r="D651" s="636"/>
      <c r="E651" s="636"/>
      <c r="F651" s="159"/>
      <c r="G651" s="159"/>
      <c r="H651" s="159"/>
      <c r="I651" s="668"/>
      <c r="J651" s="157"/>
      <c r="K651" s="708"/>
      <c r="L651" s="157"/>
      <c r="M651" s="157"/>
      <c r="N651" s="157"/>
      <c r="O651" s="668"/>
      <c r="P651" s="709"/>
      <c r="Q651" s="59"/>
      <c r="R651" s="61"/>
      <c r="S651" s="41"/>
      <c r="T651" s="59"/>
      <c r="Y651" s="61"/>
      <c r="Z651" s="59"/>
      <c r="AF651" s="61"/>
      <c r="AH651" s="61"/>
      <c r="AI651" s="41"/>
      <c r="AK651" s="40">
        <v>648.0</v>
      </c>
      <c r="AL651" s="719" t="s">
        <v>2537</v>
      </c>
      <c r="AM651" s="720" t="s">
        <v>1760</v>
      </c>
      <c r="AN651" s="720" t="s">
        <v>1744</v>
      </c>
      <c r="AO651" s="722" t="s">
        <v>1728</v>
      </c>
      <c r="AP651" s="723"/>
    </row>
    <row r="652">
      <c r="A652" s="159"/>
      <c r="B652" s="636"/>
      <c r="C652" s="159"/>
      <c r="D652" s="636"/>
      <c r="E652" s="636"/>
      <c r="F652" s="159"/>
      <c r="G652" s="159"/>
      <c r="H652" s="159"/>
      <c r="I652" s="668"/>
      <c r="J652" s="157"/>
      <c r="K652" s="708"/>
      <c r="L652" s="157"/>
      <c r="M652" s="157"/>
      <c r="N652" s="157"/>
      <c r="O652" s="668"/>
      <c r="P652" s="709"/>
      <c r="Q652" s="59"/>
      <c r="R652" s="61"/>
      <c r="S652" s="41"/>
      <c r="T652" s="59"/>
      <c r="Y652" s="61"/>
      <c r="Z652" s="59"/>
      <c r="AF652" s="61"/>
      <c r="AH652" s="61"/>
      <c r="AI652" s="41"/>
      <c r="AK652" s="40">
        <v>649.0</v>
      </c>
      <c r="AL652" s="738" t="s">
        <v>2538</v>
      </c>
      <c r="AM652" s="738" t="s">
        <v>1777</v>
      </c>
      <c r="AN652" s="738" t="s">
        <v>1744</v>
      </c>
      <c r="AO652" s="739">
        <v>0.625</v>
      </c>
      <c r="AP652" s="739" t="s">
        <v>1778</v>
      </c>
    </row>
    <row r="653">
      <c r="A653" s="159"/>
      <c r="B653" s="636"/>
      <c r="C653" s="159"/>
      <c r="D653" s="636"/>
      <c r="E653" s="636"/>
      <c r="F653" s="159"/>
      <c r="G653" s="159"/>
      <c r="H653" s="159"/>
      <c r="I653" s="668"/>
      <c r="J653" s="157"/>
      <c r="K653" s="708"/>
      <c r="L653" s="157"/>
      <c r="M653" s="157"/>
      <c r="N653" s="157"/>
      <c r="O653" s="668"/>
      <c r="P653" s="709"/>
      <c r="Q653" s="59"/>
      <c r="R653" s="61"/>
      <c r="S653" s="41"/>
      <c r="T653" s="59"/>
      <c r="Y653" s="61"/>
      <c r="Z653" s="59"/>
      <c r="AF653" s="61"/>
      <c r="AH653" s="61"/>
      <c r="AI653" s="41"/>
      <c r="AK653" s="40">
        <v>650.0</v>
      </c>
      <c r="AL653" s="719" t="s">
        <v>2538</v>
      </c>
      <c r="AM653" s="720" t="s">
        <v>1777</v>
      </c>
      <c r="AN653" s="720" t="s">
        <v>1744</v>
      </c>
      <c r="AO653" s="722">
        <v>0.625</v>
      </c>
      <c r="AP653" s="722" t="s">
        <v>1778</v>
      </c>
    </row>
    <row r="654">
      <c r="A654" s="159"/>
      <c r="B654" s="636"/>
      <c r="C654" s="159"/>
      <c r="D654" s="636"/>
      <c r="E654" s="636"/>
      <c r="F654" s="159"/>
      <c r="G654" s="159"/>
      <c r="H654" s="159"/>
      <c r="I654" s="668"/>
      <c r="J654" s="157"/>
      <c r="K654" s="708"/>
      <c r="L654" s="157"/>
      <c r="M654" s="157"/>
      <c r="N654" s="157"/>
      <c r="O654" s="668"/>
      <c r="P654" s="709"/>
      <c r="Q654" s="59"/>
      <c r="R654" s="61"/>
      <c r="S654" s="41"/>
      <c r="T654" s="59"/>
      <c r="Y654" s="61"/>
      <c r="Z654" s="59"/>
      <c r="AF654" s="61"/>
      <c r="AH654" s="61"/>
      <c r="AI654" s="41"/>
      <c r="AK654" s="40">
        <v>651.0</v>
      </c>
      <c r="AL654" s="738" t="s">
        <v>2539</v>
      </c>
      <c r="AM654" s="738" t="s">
        <v>1763</v>
      </c>
      <c r="AN654" s="738" t="s">
        <v>1744</v>
      </c>
      <c r="AO654" s="739" t="s">
        <v>1728</v>
      </c>
      <c r="AP654" s="740"/>
    </row>
    <row r="655">
      <c r="A655" s="159"/>
      <c r="B655" s="636"/>
      <c r="C655" s="159"/>
      <c r="D655" s="636"/>
      <c r="E655" s="636"/>
      <c r="F655" s="159"/>
      <c r="G655" s="159"/>
      <c r="H655" s="159"/>
      <c r="I655" s="668"/>
      <c r="J655" s="157"/>
      <c r="K655" s="708"/>
      <c r="L655" s="157"/>
      <c r="M655" s="157"/>
      <c r="N655" s="157"/>
      <c r="O655" s="668"/>
      <c r="P655" s="709"/>
      <c r="Q655" s="59"/>
      <c r="R655" s="61"/>
      <c r="S655" s="41"/>
      <c r="T655" s="59"/>
      <c r="Y655" s="61"/>
      <c r="Z655" s="59"/>
      <c r="AF655" s="61"/>
      <c r="AH655" s="61"/>
      <c r="AI655" s="41"/>
      <c r="AK655" s="40">
        <v>652.0</v>
      </c>
      <c r="AL655" s="719" t="s">
        <v>2539</v>
      </c>
      <c r="AM655" s="720" t="s">
        <v>1763</v>
      </c>
      <c r="AN655" s="720" t="s">
        <v>1744</v>
      </c>
      <c r="AO655" s="722" t="s">
        <v>1728</v>
      </c>
      <c r="AP655" s="723"/>
    </row>
    <row r="656">
      <c r="A656" s="159"/>
      <c r="B656" s="636"/>
      <c r="C656" s="159"/>
      <c r="D656" s="636"/>
      <c r="E656" s="636"/>
      <c r="F656" s="159"/>
      <c r="G656" s="159"/>
      <c r="H656" s="159"/>
      <c r="I656" s="668"/>
      <c r="J656" s="157"/>
      <c r="K656" s="708"/>
      <c r="L656" s="157"/>
      <c r="M656" s="157"/>
      <c r="N656" s="157"/>
      <c r="O656" s="668"/>
      <c r="P656" s="709"/>
      <c r="Q656" s="59"/>
      <c r="R656" s="61"/>
      <c r="S656" s="41"/>
      <c r="T656" s="59"/>
      <c r="Y656" s="61"/>
      <c r="Z656" s="59"/>
      <c r="AF656" s="61"/>
      <c r="AH656" s="61"/>
      <c r="AI656" s="41"/>
      <c r="AK656" s="40">
        <v>653.0</v>
      </c>
      <c r="AL656" s="738" t="s">
        <v>2539</v>
      </c>
      <c r="AM656" s="738" t="s">
        <v>1763</v>
      </c>
      <c r="AN656" s="738" t="s">
        <v>1744</v>
      </c>
      <c r="AO656" s="739" t="s">
        <v>1728</v>
      </c>
      <c r="AP656" s="740"/>
    </row>
    <row r="657">
      <c r="A657" s="159"/>
      <c r="B657" s="636"/>
      <c r="C657" s="159"/>
      <c r="D657" s="636"/>
      <c r="E657" s="636"/>
      <c r="F657" s="159"/>
      <c r="G657" s="159"/>
      <c r="H657" s="159"/>
      <c r="I657" s="668"/>
      <c r="J657" s="157"/>
      <c r="K657" s="708"/>
      <c r="L657" s="157"/>
      <c r="M657" s="157"/>
      <c r="N657" s="157"/>
      <c r="O657" s="668"/>
      <c r="P657" s="709"/>
      <c r="Q657" s="59"/>
      <c r="R657" s="61"/>
      <c r="S657" s="41"/>
      <c r="T657" s="59"/>
      <c r="Y657" s="61"/>
      <c r="Z657" s="59"/>
      <c r="AF657" s="61"/>
      <c r="AH657" s="61"/>
      <c r="AI657" s="41"/>
      <c r="AK657" s="40">
        <v>654.0</v>
      </c>
      <c r="AL657" s="719" t="s">
        <v>2539</v>
      </c>
      <c r="AM657" s="720" t="s">
        <v>1763</v>
      </c>
      <c r="AN657" s="720" t="s">
        <v>1744</v>
      </c>
      <c r="AO657" s="722" t="s">
        <v>1728</v>
      </c>
      <c r="AP657" s="723"/>
    </row>
    <row r="658">
      <c r="A658" s="159"/>
      <c r="B658" s="636"/>
      <c r="C658" s="159"/>
      <c r="D658" s="636"/>
      <c r="E658" s="636"/>
      <c r="F658" s="159"/>
      <c r="G658" s="159"/>
      <c r="H658" s="159"/>
      <c r="I658" s="668"/>
      <c r="J658" s="157"/>
      <c r="K658" s="708"/>
      <c r="L658" s="157"/>
      <c r="M658" s="157"/>
      <c r="N658" s="157"/>
      <c r="O658" s="668"/>
      <c r="P658" s="709"/>
      <c r="Q658" s="59"/>
      <c r="R658" s="61"/>
      <c r="S658" s="41"/>
      <c r="T658" s="59"/>
      <c r="Y658" s="61"/>
      <c r="Z658" s="59"/>
      <c r="AF658" s="61"/>
      <c r="AH658" s="61"/>
      <c r="AI658" s="41"/>
      <c r="AK658" s="40">
        <v>655.0</v>
      </c>
      <c r="AL658" s="738" t="s">
        <v>2540</v>
      </c>
      <c r="AM658" s="738" t="s">
        <v>1767</v>
      </c>
      <c r="AN658" s="738" t="s">
        <v>1744</v>
      </c>
      <c r="AO658" s="739" t="s">
        <v>1728</v>
      </c>
      <c r="AP658" s="740"/>
    </row>
    <row r="659">
      <c r="A659" s="159"/>
      <c r="B659" s="636"/>
      <c r="C659" s="159"/>
      <c r="D659" s="636"/>
      <c r="E659" s="636"/>
      <c r="F659" s="159"/>
      <c r="G659" s="159"/>
      <c r="H659" s="159"/>
      <c r="I659" s="668"/>
      <c r="J659" s="157"/>
      <c r="K659" s="708"/>
      <c r="L659" s="157"/>
      <c r="M659" s="157"/>
      <c r="N659" s="157"/>
      <c r="O659" s="668"/>
      <c r="P659" s="709"/>
      <c r="Q659" s="59"/>
      <c r="R659" s="61"/>
      <c r="S659" s="41"/>
      <c r="T659" s="59"/>
      <c r="Y659" s="61"/>
      <c r="Z659" s="59"/>
      <c r="AF659" s="61"/>
      <c r="AH659" s="61"/>
      <c r="AI659" s="41"/>
      <c r="AK659" s="40">
        <v>656.0</v>
      </c>
      <c r="AL659" s="719" t="s">
        <v>2540</v>
      </c>
      <c r="AM659" s="720" t="s">
        <v>1767</v>
      </c>
      <c r="AN659" s="720" t="s">
        <v>1744</v>
      </c>
      <c r="AO659" s="722" t="s">
        <v>1728</v>
      </c>
      <c r="AP659" s="723"/>
    </row>
    <row r="660">
      <c r="A660" s="159"/>
      <c r="B660" s="636"/>
      <c r="C660" s="159"/>
      <c r="D660" s="636"/>
      <c r="E660" s="636"/>
      <c r="F660" s="159"/>
      <c r="G660" s="159"/>
      <c r="H660" s="159"/>
      <c r="I660" s="668"/>
      <c r="J660" s="157"/>
      <c r="K660" s="708"/>
      <c r="L660" s="157"/>
      <c r="M660" s="157"/>
      <c r="N660" s="157"/>
      <c r="O660" s="668"/>
      <c r="P660" s="709"/>
      <c r="Q660" s="59"/>
      <c r="R660" s="61"/>
      <c r="S660" s="41"/>
      <c r="T660" s="59"/>
      <c r="Y660" s="61"/>
      <c r="Z660" s="59"/>
      <c r="AF660" s="61"/>
      <c r="AH660" s="61"/>
      <c r="AI660" s="41"/>
      <c r="AK660" s="40">
        <v>657.0</v>
      </c>
      <c r="AL660" s="738" t="s">
        <v>2540</v>
      </c>
      <c r="AM660" s="738" t="s">
        <v>1767</v>
      </c>
      <c r="AN660" s="738" t="s">
        <v>1744</v>
      </c>
      <c r="AO660" s="739" t="s">
        <v>1728</v>
      </c>
      <c r="AP660" s="740"/>
    </row>
    <row r="661">
      <c r="A661" s="159"/>
      <c r="B661" s="636"/>
      <c r="C661" s="159"/>
      <c r="D661" s="636"/>
      <c r="E661" s="636"/>
      <c r="F661" s="159"/>
      <c r="G661" s="159"/>
      <c r="H661" s="159"/>
      <c r="I661" s="668"/>
      <c r="J661" s="157"/>
      <c r="K661" s="708"/>
      <c r="L661" s="157"/>
      <c r="M661" s="157"/>
      <c r="N661" s="157"/>
      <c r="O661" s="668"/>
      <c r="P661" s="709"/>
      <c r="Q661" s="59"/>
      <c r="R661" s="61"/>
      <c r="S661" s="41"/>
      <c r="T661" s="59"/>
      <c r="Y661" s="61"/>
      <c r="Z661" s="59"/>
      <c r="AF661" s="61"/>
      <c r="AH661" s="61"/>
      <c r="AI661" s="41"/>
      <c r="AK661" s="40">
        <v>658.0</v>
      </c>
      <c r="AL661" s="719" t="s">
        <v>2540</v>
      </c>
      <c r="AM661" s="720" t="s">
        <v>1767</v>
      </c>
      <c r="AN661" s="720" t="s">
        <v>1744</v>
      </c>
      <c r="AO661" s="722" t="s">
        <v>1728</v>
      </c>
      <c r="AP661" s="723"/>
    </row>
    <row r="662">
      <c r="A662" s="159"/>
      <c r="B662" s="636"/>
      <c r="C662" s="159"/>
      <c r="D662" s="636"/>
      <c r="E662" s="636"/>
      <c r="F662" s="159"/>
      <c r="G662" s="159"/>
      <c r="H662" s="159"/>
      <c r="I662" s="668"/>
      <c r="J662" s="157"/>
      <c r="K662" s="708"/>
      <c r="L662" s="157"/>
      <c r="M662" s="157"/>
      <c r="N662" s="157"/>
      <c r="O662" s="668"/>
      <c r="P662" s="709"/>
      <c r="Q662" s="59"/>
      <c r="R662" s="61"/>
      <c r="S662" s="41"/>
      <c r="T662" s="59"/>
      <c r="Y662" s="61"/>
      <c r="Z662" s="59"/>
      <c r="AF662" s="61"/>
      <c r="AH662" s="61"/>
      <c r="AI662" s="41"/>
      <c r="AK662" s="40">
        <v>659.0</v>
      </c>
      <c r="AL662" s="738" t="s">
        <v>2540</v>
      </c>
      <c r="AM662" s="738" t="s">
        <v>1767</v>
      </c>
      <c r="AN662" s="738" t="s">
        <v>1744</v>
      </c>
      <c r="AO662" s="739" t="s">
        <v>1728</v>
      </c>
      <c r="AP662" s="740"/>
    </row>
    <row r="663">
      <c r="A663" s="159"/>
      <c r="B663" s="636"/>
      <c r="C663" s="159"/>
      <c r="D663" s="636"/>
      <c r="E663" s="636"/>
      <c r="F663" s="159"/>
      <c r="G663" s="159"/>
      <c r="H663" s="159"/>
      <c r="I663" s="668"/>
      <c r="J663" s="157"/>
      <c r="K663" s="708"/>
      <c r="L663" s="157"/>
      <c r="M663" s="157"/>
      <c r="N663" s="157"/>
      <c r="O663" s="668"/>
      <c r="P663" s="709"/>
      <c r="Q663" s="59"/>
      <c r="R663" s="61"/>
      <c r="S663" s="41"/>
      <c r="T663" s="59"/>
      <c r="Y663" s="61"/>
      <c r="Z663" s="59"/>
      <c r="AF663" s="61"/>
      <c r="AH663" s="61"/>
      <c r="AI663" s="41"/>
      <c r="AK663" s="40">
        <v>660.0</v>
      </c>
      <c r="AL663" s="719" t="s">
        <v>2541</v>
      </c>
      <c r="AM663" s="720" t="s">
        <v>1727</v>
      </c>
      <c r="AN663" s="721"/>
      <c r="AO663" s="722" t="s">
        <v>1728</v>
      </c>
      <c r="AP663" s="723"/>
    </row>
    <row r="664">
      <c r="A664" s="159"/>
      <c r="B664" s="636"/>
      <c r="C664" s="159"/>
      <c r="D664" s="636"/>
      <c r="E664" s="636"/>
      <c r="F664" s="159"/>
      <c r="G664" s="159"/>
      <c r="H664" s="159"/>
      <c r="I664" s="668"/>
      <c r="J664" s="157"/>
      <c r="K664" s="708"/>
      <c r="L664" s="157"/>
      <c r="M664" s="157"/>
      <c r="N664" s="157"/>
      <c r="O664" s="668"/>
      <c r="P664" s="709"/>
      <c r="Q664" s="59"/>
      <c r="R664" s="61"/>
      <c r="S664" s="41"/>
      <c r="T664" s="59"/>
      <c r="Y664" s="61"/>
      <c r="Z664" s="59"/>
      <c r="AF664" s="61"/>
      <c r="AH664" s="61"/>
      <c r="AI664" s="41"/>
      <c r="AK664" s="40">
        <v>661.0</v>
      </c>
      <c r="AL664" s="738" t="s">
        <v>2542</v>
      </c>
      <c r="AM664" s="738" t="s">
        <v>2543</v>
      </c>
      <c r="AN664" s="738" t="s">
        <v>2544</v>
      </c>
      <c r="AO664" s="739">
        <v>0.051</v>
      </c>
      <c r="AP664" s="739" t="s">
        <v>2545</v>
      </c>
    </row>
    <row r="665">
      <c r="A665" s="159"/>
      <c r="B665" s="636"/>
      <c r="C665" s="159"/>
      <c r="D665" s="636"/>
      <c r="E665" s="636"/>
      <c r="F665" s="159"/>
      <c r="G665" s="159"/>
      <c r="H665" s="159"/>
      <c r="I665" s="668"/>
      <c r="J665" s="157"/>
      <c r="K665" s="708"/>
      <c r="L665" s="157"/>
      <c r="M665" s="157"/>
      <c r="N665" s="157"/>
      <c r="O665" s="668"/>
      <c r="P665" s="709"/>
      <c r="Q665" s="59"/>
      <c r="R665" s="61"/>
      <c r="S665" s="41"/>
      <c r="T665" s="59"/>
      <c r="Y665" s="61"/>
      <c r="Z665" s="59"/>
      <c r="AF665" s="61"/>
      <c r="AH665" s="61"/>
      <c r="AI665" s="41"/>
      <c r="AK665" s="40">
        <v>662.0</v>
      </c>
      <c r="AL665" s="719" t="s">
        <v>2546</v>
      </c>
      <c r="AM665" s="720" t="s">
        <v>2218</v>
      </c>
      <c r="AN665" s="720" t="s">
        <v>2219</v>
      </c>
      <c r="AO665" s="722">
        <v>0.128</v>
      </c>
      <c r="AP665" s="722" t="s">
        <v>2220</v>
      </c>
    </row>
    <row r="666">
      <c r="A666" s="159"/>
      <c r="B666" s="636"/>
      <c r="C666" s="159"/>
      <c r="D666" s="636"/>
      <c r="E666" s="636"/>
      <c r="F666" s="159"/>
      <c r="G666" s="159"/>
      <c r="H666" s="159"/>
      <c r="I666" s="668"/>
      <c r="J666" s="157"/>
      <c r="K666" s="708"/>
      <c r="L666" s="157"/>
      <c r="M666" s="157"/>
      <c r="N666" s="157"/>
      <c r="O666" s="668"/>
      <c r="P666" s="709"/>
      <c r="Q666" s="59"/>
      <c r="R666" s="61"/>
      <c r="S666" s="41"/>
      <c r="T666" s="59"/>
      <c r="Y666" s="61"/>
      <c r="Z666" s="59"/>
      <c r="AF666" s="61"/>
      <c r="AH666" s="61"/>
      <c r="AI666" s="41"/>
      <c r="AK666" s="40">
        <v>663.0</v>
      </c>
      <c r="AL666" s="738" t="s">
        <v>2547</v>
      </c>
      <c r="AM666" s="738" t="s">
        <v>2156</v>
      </c>
      <c r="AN666" s="745"/>
      <c r="AO666" s="739">
        <v>0.0</v>
      </c>
      <c r="AP666" s="739" t="s">
        <v>2157</v>
      </c>
    </row>
    <row r="667">
      <c r="A667" s="159"/>
      <c r="B667" s="636"/>
      <c r="C667" s="159"/>
      <c r="D667" s="636"/>
      <c r="E667" s="636"/>
      <c r="F667" s="159"/>
      <c r="G667" s="159"/>
      <c r="H667" s="159"/>
      <c r="I667" s="668"/>
      <c r="J667" s="157"/>
      <c r="K667" s="708"/>
      <c r="L667" s="157"/>
      <c r="M667" s="157"/>
      <c r="N667" s="157"/>
      <c r="O667" s="668"/>
      <c r="P667" s="709"/>
      <c r="Q667" s="59"/>
      <c r="R667" s="61"/>
      <c r="S667" s="41"/>
      <c r="T667" s="59"/>
      <c r="Y667" s="61"/>
      <c r="Z667" s="59"/>
      <c r="AF667" s="61"/>
      <c r="AH667" s="61"/>
      <c r="AI667" s="41"/>
      <c r="AK667" s="40">
        <v>664.0</v>
      </c>
      <c r="AL667" s="719" t="s">
        <v>2548</v>
      </c>
      <c r="AM667" s="720" t="s">
        <v>2549</v>
      </c>
      <c r="AN667" s="720" t="s">
        <v>1744</v>
      </c>
      <c r="AO667" s="722">
        <v>0.172</v>
      </c>
      <c r="AP667" s="722" t="s">
        <v>2550</v>
      </c>
    </row>
    <row r="668">
      <c r="A668" s="159"/>
      <c r="B668" s="636"/>
      <c r="C668" s="159"/>
      <c r="D668" s="636"/>
      <c r="E668" s="636"/>
      <c r="F668" s="159"/>
      <c r="G668" s="159"/>
      <c r="H668" s="159"/>
      <c r="I668" s="668"/>
      <c r="J668" s="157"/>
      <c r="K668" s="708"/>
      <c r="L668" s="157"/>
      <c r="M668" s="157"/>
      <c r="N668" s="157"/>
      <c r="O668" s="668"/>
      <c r="P668" s="709"/>
      <c r="Q668" s="59"/>
      <c r="R668" s="61"/>
      <c r="S668" s="41"/>
      <c r="T668" s="59"/>
      <c r="Y668" s="61"/>
      <c r="Z668" s="59"/>
      <c r="AF668" s="61"/>
      <c r="AH668" s="61"/>
      <c r="AI668" s="41"/>
      <c r="AK668" s="40">
        <v>665.0</v>
      </c>
      <c r="AL668" s="738" t="s">
        <v>2551</v>
      </c>
      <c r="AM668" s="738" t="s">
        <v>2113</v>
      </c>
      <c r="AN668" s="738" t="s">
        <v>2114</v>
      </c>
      <c r="AO668" s="739">
        <v>0.011</v>
      </c>
      <c r="AP668" s="739" t="s">
        <v>2107</v>
      </c>
    </row>
    <row r="669">
      <c r="A669" s="159"/>
      <c r="B669" s="636"/>
      <c r="C669" s="159"/>
      <c r="D669" s="636"/>
      <c r="E669" s="636"/>
      <c r="F669" s="159"/>
      <c r="G669" s="159"/>
      <c r="H669" s="159"/>
      <c r="I669" s="668"/>
      <c r="J669" s="157"/>
      <c r="K669" s="708"/>
      <c r="L669" s="157"/>
      <c r="M669" s="157"/>
      <c r="N669" s="157"/>
      <c r="O669" s="668"/>
      <c r="P669" s="709"/>
      <c r="Q669" s="59"/>
      <c r="R669" s="61"/>
      <c r="S669" s="41"/>
      <c r="T669" s="59"/>
      <c r="Y669" s="61"/>
      <c r="Z669" s="59"/>
      <c r="AF669" s="61"/>
      <c r="AH669" s="61"/>
      <c r="AI669" s="41"/>
      <c r="AK669" s="40">
        <v>666.0</v>
      </c>
      <c r="AL669" s="719" t="s">
        <v>2552</v>
      </c>
      <c r="AM669" s="720" t="s">
        <v>2553</v>
      </c>
      <c r="AN669" s="720" t="s">
        <v>1744</v>
      </c>
      <c r="AO669" s="722">
        <v>0.358</v>
      </c>
      <c r="AP669" s="722" t="s">
        <v>2554</v>
      </c>
    </row>
    <row r="670">
      <c r="A670" s="159"/>
      <c r="B670" s="636"/>
      <c r="C670" s="159"/>
      <c r="D670" s="636"/>
      <c r="E670" s="636"/>
      <c r="F670" s="159"/>
      <c r="G670" s="159"/>
      <c r="H670" s="159"/>
      <c r="I670" s="668"/>
      <c r="J670" s="157"/>
      <c r="K670" s="708"/>
      <c r="L670" s="157"/>
      <c r="M670" s="157"/>
      <c r="N670" s="157"/>
      <c r="O670" s="668"/>
      <c r="P670" s="709"/>
      <c r="Q670" s="59"/>
      <c r="R670" s="61"/>
      <c r="S670" s="41"/>
      <c r="T670" s="59"/>
      <c r="Y670" s="61"/>
      <c r="Z670" s="59"/>
      <c r="AF670" s="61"/>
      <c r="AH670" s="61"/>
      <c r="AI670" s="41"/>
      <c r="AK670" s="40">
        <v>667.0</v>
      </c>
      <c r="AL670" s="738" t="s">
        <v>2555</v>
      </c>
      <c r="AM670" s="738" t="s">
        <v>2556</v>
      </c>
      <c r="AN670" s="738" t="s">
        <v>1744</v>
      </c>
      <c r="AO670" s="739">
        <v>0.326</v>
      </c>
      <c r="AP670" s="739" t="s">
        <v>2557</v>
      </c>
    </row>
    <row r="671">
      <c r="A671" s="159"/>
      <c r="B671" s="636"/>
      <c r="C671" s="159"/>
      <c r="D671" s="636"/>
      <c r="E671" s="636"/>
      <c r="F671" s="159"/>
      <c r="G671" s="159"/>
      <c r="H671" s="159"/>
      <c r="I671" s="668"/>
      <c r="J671" s="157"/>
      <c r="K671" s="708"/>
      <c r="L671" s="157"/>
      <c r="M671" s="157"/>
      <c r="N671" s="157"/>
      <c r="O671" s="668"/>
      <c r="P671" s="709"/>
      <c r="Q671" s="59"/>
      <c r="R671" s="61"/>
      <c r="S671" s="41"/>
      <c r="T671" s="59"/>
      <c r="Y671" s="61"/>
      <c r="Z671" s="59"/>
      <c r="AF671" s="61"/>
      <c r="AH671" s="61"/>
      <c r="AI671" s="41"/>
      <c r="AK671" s="40">
        <v>668.0</v>
      </c>
      <c r="AL671" s="719" t="s">
        <v>2558</v>
      </c>
      <c r="AM671" s="720" t="s">
        <v>2156</v>
      </c>
      <c r="AN671" s="721"/>
      <c r="AO671" s="722">
        <v>0.0</v>
      </c>
      <c r="AP671" s="722" t="s">
        <v>2157</v>
      </c>
    </row>
    <row r="672">
      <c r="A672" s="159"/>
      <c r="B672" s="636"/>
      <c r="C672" s="159"/>
      <c r="D672" s="636"/>
      <c r="E672" s="636"/>
      <c r="F672" s="159"/>
      <c r="G672" s="159"/>
      <c r="H672" s="159"/>
      <c r="I672" s="668"/>
      <c r="J672" s="157"/>
      <c r="K672" s="708"/>
      <c r="L672" s="157"/>
      <c r="M672" s="157"/>
      <c r="N672" s="157"/>
      <c r="O672" s="668"/>
      <c r="P672" s="709"/>
      <c r="Q672" s="59"/>
      <c r="R672" s="61"/>
      <c r="S672" s="41"/>
      <c r="T672" s="59"/>
      <c r="Y672" s="61"/>
      <c r="Z672" s="59"/>
      <c r="AF672" s="61"/>
      <c r="AH672" s="61"/>
      <c r="AI672" s="41"/>
      <c r="AK672" s="40">
        <v>669.0</v>
      </c>
      <c r="AL672" s="738" t="s">
        <v>2559</v>
      </c>
      <c r="AM672" s="738" t="s">
        <v>2184</v>
      </c>
      <c r="AN672" s="738" t="s">
        <v>2185</v>
      </c>
      <c r="AO672" s="739">
        <v>0.031</v>
      </c>
      <c r="AP672" s="739" t="s">
        <v>2186</v>
      </c>
    </row>
    <row r="673">
      <c r="A673" s="159"/>
      <c r="B673" s="636"/>
      <c r="C673" s="159"/>
      <c r="D673" s="636"/>
      <c r="E673" s="636"/>
      <c r="F673" s="159"/>
      <c r="G673" s="159"/>
      <c r="H673" s="159"/>
      <c r="I673" s="668"/>
      <c r="J673" s="157"/>
      <c r="K673" s="708"/>
      <c r="L673" s="157"/>
      <c r="M673" s="157"/>
      <c r="N673" s="157"/>
      <c r="O673" s="668"/>
      <c r="P673" s="709"/>
      <c r="Q673" s="59"/>
      <c r="R673" s="61"/>
      <c r="S673" s="41"/>
      <c r="T673" s="59"/>
      <c r="Y673" s="61"/>
      <c r="Z673" s="59"/>
      <c r="AF673" s="61"/>
      <c r="AH673" s="61"/>
      <c r="AI673" s="41"/>
      <c r="AK673" s="40">
        <v>670.0</v>
      </c>
      <c r="AL673" s="719" t="s">
        <v>2560</v>
      </c>
      <c r="AM673" s="720" t="s">
        <v>2188</v>
      </c>
      <c r="AN673" s="720" t="s">
        <v>2189</v>
      </c>
      <c r="AO673" s="722">
        <v>0.184</v>
      </c>
      <c r="AP673" s="722" t="s">
        <v>2190</v>
      </c>
    </row>
    <row r="674">
      <c r="A674" s="159"/>
      <c r="B674" s="636"/>
      <c r="C674" s="159"/>
      <c r="D674" s="636"/>
      <c r="E674" s="636"/>
      <c r="F674" s="159"/>
      <c r="G674" s="159"/>
      <c r="H674" s="159"/>
      <c r="I674" s="668"/>
      <c r="J674" s="157"/>
      <c r="K674" s="708"/>
      <c r="L674" s="157"/>
      <c r="M674" s="157"/>
      <c r="N674" s="157"/>
      <c r="O674" s="668"/>
      <c r="P674" s="709"/>
      <c r="Q674" s="59"/>
      <c r="R674" s="61"/>
      <c r="S674" s="41"/>
      <c r="T674" s="59"/>
      <c r="Y674" s="61"/>
      <c r="Z674" s="59"/>
      <c r="AF674" s="61"/>
      <c r="AH674" s="61"/>
      <c r="AI674" s="41"/>
      <c r="AK674" s="40">
        <v>671.0</v>
      </c>
      <c r="AL674" s="738" t="s">
        <v>2561</v>
      </c>
      <c r="AM674" s="738" t="s">
        <v>2192</v>
      </c>
      <c r="AN674" s="738" t="s">
        <v>2193</v>
      </c>
      <c r="AO674" s="739">
        <v>0.187</v>
      </c>
      <c r="AP674" s="739" t="s">
        <v>2194</v>
      </c>
    </row>
    <row r="675">
      <c r="A675" s="159"/>
      <c r="B675" s="636"/>
      <c r="C675" s="159"/>
      <c r="D675" s="636"/>
      <c r="E675" s="636"/>
      <c r="F675" s="159"/>
      <c r="G675" s="159"/>
      <c r="H675" s="159"/>
      <c r="I675" s="668"/>
      <c r="J675" s="157"/>
      <c r="K675" s="708"/>
      <c r="L675" s="157"/>
      <c r="M675" s="157"/>
      <c r="N675" s="157"/>
      <c r="O675" s="668"/>
      <c r="P675" s="709"/>
      <c r="Q675" s="59"/>
      <c r="R675" s="61"/>
      <c r="S675" s="41"/>
      <c r="T675" s="59"/>
      <c r="Y675" s="61"/>
      <c r="Z675" s="59"/>
      <c r="AF675" s="61"/>
      <c r="AH675" s="61"/>
      <c r="AI675" s="41"/>
      <c r="AK675" s="40">
        <v>672.0</v>
      </c>
      <c r="AL675" s="719" t="s">
        <v>2562</v>
      </c>
      <c r="AM675" s="720" t="s">
        <v>2150</v>
      </c>
      <c r="AN675" s="720" t="s">
        <v>2151</v>
      </c>
      <c r="AO675" s="722">
        <v>0.004</v>
      </c>
      <c r="AP675" s="722" t="s">
        <v>2152</v>
      </c>
    </row>
    <row r="676">
      <c r="A676" s="159"/>
      <c r="B676" s="636"/>
      <c r="C676" s="159"/>
      <c r="D676" s="636"/>
      <c r="E676" s="636"/>
      <c r="F676" s="159"/>
      <c r="G676" s="159"/>
      <c r="H676" s="159"/>
      <c r="I676" s="668"/>
      <c r="J676" s="157"/>
      <c r="K676" s="708"/>
      <c r="L676" s="157"/>
      <c r="M676" s="157"/>
      <c r="N676" s="157"/>
      <c r="O676" s="668"/>
      <c r="P676" s="709"/>
      <c r="Q676" s="59"/>
      <c r="R676" s="61"/>
      <c r="S676" s="41"/>
      <c r="T676" s="59"/>
      <c r="Y676" s="61"/>
      <c r="Z676" s="59"/>
      <c r="AF676" s="61"/>
      <c r="AH676" s="61"/>
      <c r="AI676" s="41"/>
      <c r="AK676" s="40">
        <v>673.0</v>
      </c>
      <c r="AL676" s="738" t="s">
        <v>2563</v>
      </c>
      <c r="AM676" s="738" t="s">
        <v>2044</v>
      </c>
      <c r="AN676" s="738" t="s">
        <v>2045</v>
      </c>
      <c r="AO676" s="739">
        <v>0.052</v>
      </c>
      <c r="AP676" s="739" t="s">
        <v>2046</v>
      </c>
    </row>
    <row r="677">
      <c r="A677" s="159"/>
      <c r="B677" s="636"/>
      <c r="C677" s="159"/>
      <c r="D677" s="636"/>
      <c r="E677" s="636"/>
      <c r="F677" s="159"/>
      <c r="G677" s="159"/>
      <c r="H677" s="159"/>
      <c r="I677" s="668"/>
      <c r="J677" s="157"/>
      <c r="K677" s="708"/>
      <c r="L677" s="157"/>
      <c r="M677" s="157"/>
      <c r="N677" s="157"/>
      <c r="O677" s="668"/>
      <c r="P677" s="709"/>
      <c r="Q677" s="59"/>
      <c r="R677" s="61"/>
      <c r="S677" s="41"/>
      <c r="T677" s="59"/>
      <c r="Y677" s="61"/>
      <c r="Z677" s="59"/>
      <c r="AF677" s="61"/>
      <c r="AH677" s="61"/>
      <c r="AI677" s="41"/>
      <c r="AK677" s="40">
        <v>674.0</v>
      </c>
      <c r="AL677" s="719" t="s">
        <v>2564</v>
      </c>
      <c r="AM677" s="720" t="s">
        <v>1940</v>
      </c>
      <c r="AN677" s="720" t="s">
        <v>1941</v>
      </c>
      <c r="AO677" s="722">
        <v>0.149</v>
      </c>
      <c r="AP677" s="722" t="s">
        <v>1942</v>
      </c>
    </row>
    <row r="678">
      <c r="A678" s="159"/>
      <c r="B678" s="636"/>
      <c r="C678" s="159"/>
      <c r="D678" s="636"/>
      <c r="E678" s="636"/>
      <c r="F678" s="159"/>
      <c r="G678" s="159"/>
      <c r="H678" s="159"/>
      <c r="I678" s="668"/>
      <c r="J678" s="157"/>
      <c r="K678" s="708"/>
      <c r="L678" s="157"/>
      <c r="M678" s="157"/>
      <c r="N678" s="157"/>
      <c r="O678" s="668"/>
      <c r="P678" s="709"/>
      <c r="Q678" s="59"/>
      <c r="R678" s="61"/>
      <c r="S678" s="41"/>
      <c r="T678" s="59"/>
      <c r="Y678" s="61"/>
      <c r="Z678" s="59"/>
      <c r="AF678" s="61"/>
      <c r="AH678" s="61"/>
      <c r="AI678" s="41"/>
      <c r="AK678" s="40">
        <v>675.0</v>
      </c>
      <c r="AL678" s="738" t="s">
        <v>2565</v>
      </c>
      <c r="AM678" s="738" t="s">
        <v>2150</v>
      </c>
      <c r="AN678" s="738" t="s">
        <v>2151</v>
      </c>
      <c r="AO678" s="739">
        <v>0.004</v>
      </c>
      <c r="AP678" s="739" t="s">
        <v>2152</v>
      </c>
    </row>
    <row r="679">
      <c r="A679" s="159"/>
      <c r="B679" s="636"/>
      <c r="C679" s="159"/>
      <c r="D679" s="636"/>
      <c r="E679" s="636"/>
      <c r="F679" s="159"/>
      <c r="G679" s="159"/>
      <c r="H679" s="159"/>
      <c r="I679" s="668"/>
      <c r="J679" s="157"/>
      <c r="K679" s="708"/>
      <c r="L679" s="157"/>
      <c r="M679" s="157"/>
      <c r="N679" s="157"/>
      <c r="O679" s="668"/>
      <c r="P679" s="709"/>
      <c r="Q679" s="59"/>
      <c r="R679" s="61"/>
      <c r="S679" s="41"/>
      <c r="T679" s="59"/>
      <c r="Y679" s="61"/>
      <c r="Z679" s="59"/>
      <c r="AF679" s="61"/>
      <c r="AH679" s="61"/>
      <c r="AI679" s="41"/>
      <c r="AK679" s="40">
        <v>676.0</v>
      </c>
      <c r="AL679" s="719" t="s">
        <v>2566</v>
      </c>
      <c r="AM679" s="720" t="s">
        <v>2044</v>
      </c>
      <c r="AN679" s="720" t="s">
        <v>2045</v>
      </c>
      <c r="AO679" s="722">
        <v>0.052</v>
      </c>
      <c r="AP679" s="722" t="s">
        <v>2046</v>
      </c>
    </row>
    <row r="680">
      <c r="A680" s="159"/>
      <c r="B680" s="636"/>
      <c r="C680" s="159"/>
      <c r="D680" s="636"/>
      <c r="E680" s="636"/>
      <c r="F680" s="159"/>
      <c r="G680" s="159"/>
      <c r="H680" s="159"/>
      <c r="I680" s="668"/>
      <c r="J680" s="157"/>
      <c r="K680" s="708"/>
      <c r="L680" s="157"/>
      <c r="M680" s="157"/>
      <c r="N680" s="157"/>
      <c r="O680" s="668"/>
      <c r="P680" s="709"/>
      <c r="Q680" s="59"/>
      <c r="R680" s="61"/>
      <c r="S680" s="41"/>
      <c r="T680" s="59"/>
      <c r="Y680" s="61"/>
      <c r="Z680" s="59"/>
      <c r="AF680" s="61"/>
      <c r="AH680" s="61"/>
      <c r="AI680" s="41"/>
      <c r="AK680" s="40">
        <v>677.0</v>
      </c>
      <c r="AL680" s="738" t="s">
        <v>2567</v>
      </c>
      <c r="AM680" s="738" t="s">
        <v>1940</v>
      </c>
      <c r="AN680" s="738" t="s">
        <v>1941</v>
      </c>
      <c r="AO680" s="739">
        <v>0.149</v>
      </c>
      <c r="AP680" s="739" t="s">
        <v>1942</v>
      </c>
    </row>
    <row r="681">
      <c r="A681" s="159"/>
      <c r="B681" s="636"/>
      <c r="C681" s="159"/>
      <c r="D681" s="636"/>
      <c r="E681" s="636"/>
      <c r="F681" s="159"/>
      <c r="G681" s="159"/>
      <c r="H681" s="159"/>
      <c r="I681" s="668"/>
      <c r="J681" s="157"/>
      <c r="K681" s="708"/>
      <c r="L681" s="157"/>
      <c r="M681" s="157"/>
      <c r="N681" s="157"/>
      <c r="O681" s="668"/>
      <c r="P681" s="709"/>
      <c r="Q681" s="59"/>
      <c r="R681" s="61"/>
      <c r="S681" s="41"/>
      <c r="T681" s="59"/>
      <c r="Y681" s="61"/>
      <c r="Z681" s="59"/>
      <c r="AF681" s="61"/>
      <c r="AH681" s="61"/>
      <c r="AI681" s="41"/>
      <c r="AK681" s="40">
        <v>678.0</v>
      </c>
      <c r="AL681" s="719" t="s">
        <v>2568</v>
      </c>
      <c r="AM681" s="720" t="s">
        <v>1727</v>
      </c>
      <c r="AN681" s="721"/>
      <c r="AO681" s="722" t="s">
        <v>1728</v>
      </c>
      <c r="AP681" s="723"/>
    </row>
    <row r="682">
      <c r="A682" s="159"/>
      <c r="B682" s="636"/>
      <c r="C682" s="159"/>
      <c r="D682" s="636"/>
      <c r="E682" s="636"/>
      <c r="F682" s="159"/>
      <c r="G682" s="159"/>
      <c r="H682" s="159"/>
      <c r="I682" s="668"/>
      <c r="J682" s="157"/>
      <c r="K682" s="708"/>
      <c r="L682" s="157"/>
      <c r="M682" s="157"/>
      <c r="N682" s="157"/>
      <c r="O682" s="668"/>
      <c r="P682" s="709"/>
      <c r="Q682" s="59"/>
      <c r="R682" s="61"/>
      <c r="S682" s="41"/>
      <c r="T682" s="59"/>
      <c r="Y682" s="61"/>
      <c r="Z682" s="59"/>
      <c r="AF682" s="61"/>
      <c r="AH682" s="61"/>
      <c r="AI682" s="41"/>
      <c r="AK682" s="40">
        <v>679.0</v>
      </c>
      <c r="AL682" s="738" t="s">
        <v>2569</v>
      </c>
      <c r="AM682" s="738" t="s">
        <v>2570</v>
      </c>
      <c r="AN682" s="738" t="s">
        <v>2571</v>
      </c>
      <c r="AO682" s="739">
        <v>0.288</v>
      </c>
      <c r="AP682" s="739" t="s">
        <v>2572</v>
      </c>
    </row>
    <row r="683">
      <c r="A683" s="159"/>
      <c r="B683" s="636"/>
      <c r="C683" s="159"/>
      <c r="D683" s="636"/>
      <c r="E683" s="636"/>
      <c r="F683" s="159"/>
      <c r="G683" s="159"/>
      <c r="H683" s="159"/>
      <c r="I683" s="668"/>
      <c r="J683" s="157"/>
      <c r="K683" s="708"/>
      <c r="L683" s="157"/>
      <c r="M683" s="157"/>
      <c r="N683" s="157"/>
      <c r="O683" s="668"/>
      <c r="P683" s="709"/>
      <c r="Q683" s="59"/>
      <c r="R683" s="61"/>
      <c r="S683" s="41"/>
      <c r="T683" s="59"/>
      <c r="Y683" s="61"/>
      <c r="Z683" s="59"/>
      <c r="AF683" s="61"/>
      <c r="AH683" s="61"/>
      <c r="AI683" s="41"/>
      <c r="AK683" s="40">
        <v>680.0</v>
      </c>
      <c r="AL683" s="719" t="s">
        <v>2573</v>
      </c>
      <c r="AM683" s="720" t="s">
        <v>2574</v>
      </c>
      <c r="AN683" s="720" t="s">
        <v>2575</v>
      </c>
      <c r="AO683" s="722">
        <v>0.451</v>
      </c>
      <c r="AP683" s="722" t="s">
        <v>2576</v>
      </c>
    </row>
    <row r="684">
      <c r="A684" s="159"/>
      <c r="B684" s="636"/>
      <c r="C684" s="159"/>
      <c r="D684" s="636"/>
      <c r="E684" s="636"/>
      <c r="F684" s="159"/>
      <c r="G684" s="159"/>
      <c r="H684" s="159"/>
      <c r="I684" s="668"/>
      <c r="J684" s="157"/>
      <c r="K684" s="708"/>
      <c r="L684" s="157"/>
      <c r="M684" s="157"/>
      <c r="N684" s="157"/>
      <c r="O684" s="668"/>
      <c r="P684" s="709"/>
      <c r="Q684" s="59"/>
      <c r="R684" s="61"/>
      <c r="S684" s="41"/>
      <c r="T684" s="59"/>
      <c r="Y684" s="61"/>
      <c r="Z684" s="59"/>
      <c r="AF684" s="61"/>
      <c r="AH684" s="61"/>
      <c r="AI684" s="41"/>
      <c r="AK684" s="40">
        <v>681.0</v>
      </c>
      <c r="AL684" s="738" t="s">
        <v>2577</v>
      </c>
      <c r="AM684" s="738" t="s">
        <v>2578</v>
      </c>
      <c r="AN684" s="738" t="s">
        <v>2579</v>
      </c>
      <c r="AO684" s="739">
        <v>0.54</v>
      </c>
      <c r="AP684" s="739" t="s">
        <v>2580</v>
      </c>
    </row>
    <row r="685">
      <c r="A685" s="159"/>
      <c r="B685" s="636"/>
      <c r="C685" s="159"/>
      <c r="D685" s="636"/>
      <c r="E685" s="636"/>
      <c r="F685" s="159"/>
      <c r="G685" s="159"/>
      <c r="H685" s="159"/>
      <c r="I685" s="668"/>
      <c r="J685" s="157"/>
      <c r="K685" s="708"/>
      <c r="L685" s="157"/>
      <c r="M685" s="157"/>
      <c r="N685" s="157"/>
      <c r="O685" s="668"/>
      <c r="P685" s="709"/>
      <c r="Q685" s="59"/>
      <c r="R685" s="61"/>
      <c r="S685" s="41"/>
      <c r="T685" s="59"/>
      <c r="Y685" s="61"/>
      <c r="Z685" s="59"/>
      <c r="AF685" s="61"/>
      <c r="AH685" s="61"/>
      <c r="AI685" s="41"/>
      <c r="AK685" s="40">
        <v>682.0</v>
      </c>
      <c r="AL685" s="719" t="s">
        <v>2581</v>
      </c>
      <c r="AM685" s="720" t="s">
        <v>2065</v>
      </c>
      <c r="AN685" s="720" t="s">
        <v>2066</v>
      </c>
      <c r="AO685" s="722">
        <v>0.049</v>
      </c>
      <c r="AP685" s="722" t="s">
        <v>2067</v>
      </c>
    </row>
    <row r="686">
      <c r="A686" s="159"/>
      <c r="B686" s="636"/>
      <c r="C686" s="159"/>
      <c r="D686" s="636"/>
      <c r="E686" s="636"/>
      <c r="F686" s="159"/>
      <c r="G686" s="159"/>
      <c r="H686" s="159"/>
      <c r="I686" s="668"/>
      <c r="J686" s="157"/>
      <c r="K686" s="708"/>
      <c r="L686" s="157"/>
      <c r="M686" s="157"/>
      <c r="N686" s="157"/>
      <c r="O686" s="668"/>
      <c r="P686" s="709"/>
      <c r="Q686" s="59"/>
      <c r="R686" s="61"/>
      <c r="S686" s="41"/>
      <c r="T686" s="59"/>
      <c r="Y686" s="61"/>
      <c r="Z686" s="59"/>
      <c r="AF686" s="61"/>
      <c r="AH686" s="61"/>
      <c r="AI686" s="41"/>
      <c r="AK686" s="40">
        <v>683.0</v>
      </c>
      <c r="AL686" s="738" t="s">
        <v>2582</v>
      </c>
      <c r="AM686" s="738" t="s">
        <v>2570</v>
      </c>
      <c r="AN686" s="738" t="s">
        <v>2571</v>
      </c>
      <c r="AO686" s="739">
        <v>0.288</v>
      </c>
      <c r="AP686" s="739" t="s">
        <v>2572</v>
      </c>
    </row>
    <row r="687">
      <c r="A687" s="159"/>
      <c r="B687" s="636"/>
      <c r="C687" s="159"/>
      <c r="D687" s="636"/>
      <c r="E687" s="636"/>
      <c r="F687" s="159"/>
      <c r="G687" s="159"/>
      <c r="H687" s="159"/>
      <c r="I687" s="668"/>
      <c r="J687" s="157"/>
      <c r="K687" s="708"/>
      <c r="L687" s="157"/>
      <c r="M687" s="157"/>
      <c r="N687" s="157"/>
      <c r="O687" s="668"/>
      <c r="P687" s="709"/>
      <c r="Q687" s="59"/>
      <c r="R687" s="61"/>
      <c r="S687" s="41"/>
      <c r="T687" s="59"/>
      <c r="Y687" s="61"/>
      <c r="Z687" s="59"/>
      <c r="AF687" s="61"/>
      <c r="AH687" s="61"/>
      <c r="AI687" s="41"/>
      <c r="AK687" s="40">
        <v>684.0</v>
      </c>
      <c r="AL687" s="719" t="s">
        <v>2583</v>
      </c>
      <c r="AM687" s="720" t="s">
        <v>2574</v>
      </c>
      <c r="AN687" s="720" t="s">
        <v>2575</v>
      </c>
      <c r="AO687" s="722">
        <v>0.451</v>
      </c>
      <c r="AP687" s="722" t="s">
        <v>2576</v>
      </c>
    </row>
    <row r="688">
      <c r="A688" s="159"/>
      <c r="B688" s="636"/>
      <c r="C688" s="159"/>
      <c r="D688" s="636"/>
      <c r="E688" s="636"/>
      <c r="F688" s="159"/>
      <c r="G688" s="159"/>
      <c r="H688" s="159"/>
      <c r="I688" s="668"/>
      <c r="J688" s="157"/>
      <c r="K688" s="708"/>
      <c r="L688" s="157"/>
      <c r="M688" s="157"/>
      <c r="N688" s="157"/>
      <c r="O688" s="668"/>
      <c r="P688" s="709"/>
      <c r="Q688" s="59"/>
      <c r="R688" s="61"/>
      <c r="S688" s="41"/>
      <c r="T688" s="59"/>
      <c r="Y688" s="61"/>
      <c r="Z688" s="59"/>
      <c r="AF688" s="61"/>
      <c r="AH688" s="61"/>
      <c r="AI688" s="41"/>
      <c r="AK688" s="40">
        <v>685.0</v>
      </c>
      <c r="AL688" s="738" t="s">
        <v>2584</v>
      </c>
      <c r="AM688" s="738" t="s">
        <v>2578</v>
      </c>
      <c r="AN688" s="738" t="s">
        <v>2579</v>
      </c>
      <c r="AO688" s="739">
        <v>0.54</v>
      </c>
      <c r="AP688" s="739" t="s">
        <v>2580</v>
      </c>
    </row>
    <row r="689">
      <c r="A689" s="159"/>
      <c r="B689" s="636"/>
      <c r="C689" s="159"/>
      <c r="D689" s="636"/>
      <c r="E689" s="636"/>
      <c r="F689" s="159"/>
      <c r="G689" s="159"/>
      <c r="H689" s="159"/>
      <c r="I689" s="668"/>
      <c r="J689" s="157"/>
      <c r="K689" s="708"/>
      <c r="L689" s="157"/>
      <c r="M689" s="157"/>
      <c r="N689" s="157"/>
      <c r="O689" s="668"/>
      <c r="P689" s="709"/>
      <c r="Q689" s="59"/>
      <c r="R689" s="61"/>
      <c r="S689" s="41"/>
      <c r="T689" s="59"/>
      <c r="Y689" s="61"/>
      <c r="Z689" s="59"/>
      <c r="AF689" s="61"/>
      <c r="AH689" s="61"/>
      <c r="AI689" s="41"/>
      <c r="AK689" s="40">
        <v>686.0</v>
      </c>
      <c r="AL689" s="719" t="s">
        <v>2585</v>
      </c>
      <c r="AM689" s="720" t="s">
        <v>2065</v>
      </c>
      <c r="AN689" s="720" t="s">
        <v>2066</v>
      </c>
      <c r="AO689" s="722">
        <v>0.049</v>
      </c>
      <c r="AP689" s="722" t="s">
        <v>2067</v>
      </c>
    </row>
    <row r="690">
      <c r="A690" s="159"/>
      <c r="B690" s="636"/>
      <c r="C690" s="159"/>
      <c r="D690" s="636"/>
      <c r="E690" s="636"/>
      <c r="F690" s="159"/>
      <c r="G690" s="159"/>
      <c r="H690" s="159"/>
      <c r="I690" s="668"/>
      <c r="J690" s="157"/>
      <c r="K690" s="708"/>
      <c r="L690" s="157"/>
      <c r="M690" s="157"/>
      <c r="N690" s="157"/>
      <c r="O690" s="668"/>
      <c r="P690" s="709"/>
      <c r="Q690" s="59"/>
      <c r="R690" s="61"/>
      <c r="S690" s="41"/>
      <c r="T690" s="59"/>
      <c r="Y690" s="61"/>
      <c r="Z690" s="59"/>
      <c r="AF690" s="61"/>
      <c r="AH690" s="61"/>
      <c r="AI690" s="41"/>
      <c r="AK690" s="40">
        <v>687.0</v>
      </c>
      <c r="AL690" s="738" t="s">
        <v>2586</v>
      </c>
      <c r="AM690" s="738" t="s">
        <v>2570</v>
      </c>
      <c r="AN690" s="738" t="s">
        <v>2571</v>
      </c>
      <c r="AO690" s="739">
        <v>0.288</v>
      </c>
      <c r="AP690" s="739" t="s">
        <v>2572</v>
      </c>
    </row>
    <row r="691">
      <c r="A691" s="159"/>
      <c r="B691" s="636"/>
      <c r="C691" s="159"/>
      <c r="D691" s="636"/>
      <c r="E691" s="636"/>
      <c r="F691" s="159"/>
      <c r="G691" s="159"/>
      <c r="H691" s="159"/>
      <c r="I691" s="668"/>
      <c r="J691" s="157"/>
      <c r="K691" s="708"/>
      <c r="L691" s="157"/>
      <c r="M691" s="157"/>
      <c r="N691" s="157"/>
      <c r="O691" s="668"/>
      <c r="P691" s="709"/>
      <c r="Q691" s="59"/>
      <c r="R691" s="61"/>
      <c r="S691" s="41"/>
      <c r="T691" s="59"/>
      <c r="Y691" s="61"/>
      <c r="Z691" s="59"/>
      <c r="AF691" s="61"/>
      <c r="AH691" s="61"/>
      <c r="AI691" s="41"/>
      <c r="AK691" s="40">
        <v>688.0</v>
      </c>
      <c r="AL691" s="719" t="s">
        <v>2587</v>
      </c>
      <c r="AM691" s="720" t="s">
        <v>2574</v>
      </c>
      <c r="AN691" s="720" t="s">
        <v>2575</v>
      </c>
      <c r="AO691" s="722">
        <v>0.451</v>
      </c>
      <c r="AP691" s="722" t="s">
        <v>2576</v>
      </c>
    </row>
    <row r="692">
      <c r="A692" s="159"/>
      <c r="B692" s="636"/>
      <c r="C692" s="159"/>
      <c r="D692" s="636"/>
      <c r="E692" s="636"/>
      <c r="F692" s="159"/>
      <c r="G692" s="159"/>
      <c r="H692" s="159"/>
      <c r="I692" s="668"/>
      <c r="J692" s="157"/>
      <c r="K692" s="708"/>
      <c r="L692" s="157"/>
      <c r="M692" s="157"/>
      <c r="N692" s="157"/>
      <c r="O692" s="668"/>
      <c r="P692" s="709"/>
      <c r="Q692" s="59"/>
      <c r="R692" s="61"/>
      <c r="S692" s="41"/>
      <c r="T692" s="59"/>
      <c r="Y692" s="61"/>
      <c r="Z692" s="59"/>
      <c r="AF692" s="61"/>
      <c r="AH692" s="61"/>
      <c r="AI692" s="41"/>
      <c r="AK692" s="40">
        <v>689.0</v>
      </c>
      <c r="AL692" s="738" t="s">
        <v>2588</v>
      </c>
      <c r="AM692" s="738" t="s">
        <v>2578</v>
      </c>
      <c r="AN692" s="738" t="s">
        <v>2579</v>
      </c>
      <c r="AO692" s="739">
        <v>0.54</v>
      </c>
      <c r="AP692" s="739" t="s">
        <v>2580</v>
      </c>
    </row>
    <row r="693">
      <c r="A693" s="159"/>
      <c r="B693" s="636"/>
      <c r="C693" s="159"/>
      <c r="D693" s="636"/>
      <c r="E693" s="636"/>
      <c r="F693" s="159"/>
      <c r="G693" s="159"/>
      <c r="H693" s="159"/>
      <c r="I693" s="668"/>
      <c r="J693" s="157"/>
      <c r="K693" s="708"/>
      <c r="L693" s="157"/>
      <c r="M693" s="157"/>
      <c r="N693" s="157"/>
      <c r="O693" s="668"/>
      <c r="P693" s="709"/>
      <c r="Q693" s="59"/>
      <c r="R693" s="61"/>
      <c r="S693" s="41"/>
      <c r="T693" s="59"/>
      <c r="Y693" s="61"/>
      <c r="Z693" s="59"/>
      <c r="AF693" s="61"/>
      <c r="AH693" s="61"/>
      <c r="AI693" s="41"/>
      <c r="AK693" s="40">
        <v>690.0</v>
      </c>
      <c r="AL693" s="719" t="s">
        <v>2589</v>
      </c>
      <c r="AM693" s="720" t="s">
        <v>2065</v>
      </c>
      <c r="AN693" s="720" t="s">
        <v>2066</v>
      </c>
      <c r="AO693" s="722">
        <v>0.049</v>
      </c>
      <c r="AP693" s="722" t="s">
        <v>2067</v>
      </c>
    </row>
    <row r="694">
      <c r="A694" s="159"/>
      <c r="B694" s="636"/>
      <c r="C694" s="159"/>
      <c r="D694" s="636"/>
      <c r="E694" s="636"/>
      <c r="F694" s="159"/>
      <c r="G694" s="159"/>
      <c r="H694" s="159"/>
      <c r="I694" s="668"/>
      <c r="J694" s="157"/>
      <c r="K694" s="708"/>
      <c r="L694" s="157"/>
      <c r="M694" s="157"/>
      <c r="N694" s="157"/>
      <c r="O694" s="668"/>
      <c r="P694" s="709"/>
      <c r="Q694" s="59"/>
      <c r="R694" s="61"/>
      <c r="S694" s="41"/>
      <c r="T694" s="59"/>
      <c r="Y694" s="61"/>
      <c r="Z694" s="59"/>
      <c r="AF694" s="61"/>
      <c r="AH694" s="61"/>
      <c r="AI694" s="41"/>
      <c r="AK694" s="40">
        <v>691.0</v>
      </c>
      <c r="AL694" s="738" t="s">
        <v>2590</v>
      </c>
      <c r="AM694" s="738" t="s">
        <v>2570</v>
      </c>
      <c r="AN694" s="738" t="s">
        <v>2571</v>
      </c>
      <c r="AO694" s="739">
        <v>0.288</v>
      </c>
      <c r="AP694" s="739" t="s">
        <v>2572</v>
      </c>
    </row>
    <row r="695">
      <c r="A695" s="159"/>
      <c r="B695" s="636"/>
      <c r="C695" s="159"/>
      <c r="D695" s="636"/>
      <c r="E695" s="636"/>
      <c r="F695" s="159"/>
      <c r="G695" s="159"/>
      <c r="H695" s="159"/>
      <c r="I695" s="668"/>
      <c r="J695" s="157"/>
      <c r="K695" s="708"/>
      <c r="L695" s="157"/>
      <c r="M695" s="157"/>
      <c r="N695" s="157"/>
      <c r="O695" s="668"/>
      <c r="P695" s="709"/>
      <c r="Q695" s="59"/>
      <c r="R695" s="61"/>
      <c r="S695" s="41"/>
      <c r="T695" s="59"/>
      <c r="Y695" s="61"/>
      <c r="Z695" s="59"/>
      <c r="AF695" s="61"/>
      <c r="AH695" s="61"/>
      <c r="AI695" s="41"/>
      <c r="AK695" s="40">
        <v>692.0</v>
      </c>
      <c r="AL695" s="719" t="s">
        <v>2591</v>
      </c>
      <c r="AM695" s="720" t="s">
        <v>2574</v>
      </c>
      <c r="AN695" s="720" t="s">
        <v>2575</v>
      </c>
      <c r="AO695" s="722">
        <v>0.451</v>
      </c>
      <c r="AP695" s="722" t="s">
        <v>2576</v>
      </c>
    </row>
    <row r="696">
      <c r="A696" s="159"/>
      <c r="B696" s="636"/>
      <c r="C696" s="159"/>
      <c r="D696" s="636"/>
      <c r="E696" s="636"/>
      <c r="F696" s="159"/>
      <c r="G696" s="159"/>
      <c r="H696" s="159"/>
      <c r="I696" s="668"/>
      <c r="J696" s="157"/>
      <c r="K696" s="708"/>
      <c r="L696" s="157"/>
      <c r="M696" s="157"/>
      <c r="N696" s="157"/>
      <c r="O696" s="668"/>
      <c r="P696" s="709"/>
      <c r="Q696" s="59"/>
      <c r="R696" s="61"/>
      <c r="S696" s="41"/>
      <c r="T696" s="59"/>
      <c r="Y696" s="61"/>
      <c r="Z696" s="59"/>
      <c r="AF696" s="61"/>
      <c r="AH696" s="61"/>
      <c r="AI696" s="41"/>
      <c r="AK696" s="40">
        <v>693.0</v>
      </c>
      <c r="AL696" s="738" t="s">
        <v>2592</v>
      </c>
      <c r="AM696" s="738" t="s">
        <v>2578</v>
      </c>
      <c r="AN696" s="738" t="s">
        <v>2579</v>
      </c>
      <c r="AO696" s="739">
        <v>0.54</v>
      </c>
      <c r="AP696" s="739" t="s">
        <v>2580</v>
      </c>
    </row>
    <row r="697">
      <c r="A697" s="159"/>
      <c r="B697" s="636"/>
      <c r="C697" s="159"/>
      <c r="D697" s="636"/>
      <c r="E697" s="636"/>
      <c r="F697" s="159"/>
      <c r="G697" s="159"/>
      <c r="H697" s="159"/>
      <c r="I697" s="668"/>
      <c r="J697" s="157"/>
      <c r="K697" s="708"/>
      <c r="L697" s="157"/>
      <c r="M697" s="157"/>
      <c r="N697" s="157"/>
      <c r="O697" s="668"/>
      <c r="P697" s="709"/>
      <c r="Q697" s="59"/>
      <c r="R697" s="61"/>
      <c r="S697" s="41"/>
      <c r="T697" s="59"/>
      <c r="Y697" s="61"/>
      <c r="Z697" s="59"/>
      <c r="AF697" s="61"/>
      <c r="AH697" s="61"/>
      <c r="AI697" s="41"/>
      <c r="AK697" s="40">
        <v>694.0</v>
      </c>
      <c r="AL697" s="719" t="s">
        <v>2593</v>
      </c>
      <c r="AM697" s="720" t="s">
        <v>2065</v>
      </c>
      <c r="AN697" s="720" t="s">
        <v>2066</v>
      </c>
      <c r="AO697" s="722">
        <v>0.049</v>
      </c>
      <c r="AP697" s="722" t="s">
        <v>2067</v>
      </c>
    </row>
    <row r="698">
      <c r="A698" s="159"/>
      <c r="B698" s="636"/>
      <c r="C698" s="159"/>
      <c r="D698" s="636"/>
      <c r="E698" s="636"/>
      <c r="F698" s="159"/>
      <c r="G698" s="159"/>
      <c r="H698" s="159"/>
      <c r="I698" s="668"/>
      <c r="J698" s="157"/>
      <c r="K698" s="708"/>
      <c r="L698" s="157"/>
      <c r="M698" s="157"/>
      <c r="N698" s="157"/>
      <c r="O698" s="668"/>
      <c r="P698" s="709"/>
      <c r="Q698" s="59"/>
      <c r="R698" s="61"/>
      <c r="S698" s="41"/>
      <c r="T698" s="59"/>
      <c r="Y698" s="61"/>
      <c r="Z698" s="59"/>
      <c r="AF698" s="61"/>
      <c r="AH698" s="61"/>
      <c r="AI698" s="41"/>
      <c r="AK698" s="40">
        <v>695.0</v>
      </c>
      <c r="AL698" s="738" t="s">
        <v>2594</v>
      </c>
      <c r="AM698" s="738" t="s">
        <v>2570</v>
      </c>
      <c r="AN698" s="738" t="s">
        <v>2571</v>
      </c>
      <c r="AO698" s="739">
        <v>0.288</v>
      </c>
      <c r="AP698" s="739" t="s">
        <v>2572</v>
      </c>
    </row>
    <row r="699">
      <c r="A699" s="159"/>
      <c r="B699" s="636"/>
      <c r="C699" s="159"/>
      <c r="D699" s="636"/>
      <c r="E699" s="636"/>
      <c r="F699" s="159"/>
      <c r="G699" s="159"/>
      <c r="H699" s="159"/>
      <c r="I699" s="668"/>
      <c r="J699" s="157"/>
      <c r="K699" s="708"/>
      <c r="L699" s="157"/>
      <c r="M699" s="157"/>
      <c r="N699" s="157"/>
      <c r="O699" s="668"/>
      <c r="P699" s="709"/>
      <c r="Q699" s="59"/>
      <c r="R699" s="61"/>
      <c r="S699" s="41"/>
      <c r="T699" s="59"/>
      <c r="Y699" s="61"/>
      <c r="Z699" s="59"/>
      <c r="AF699" s="61"/>
      <c r="AH699" s="61"/>
      <c r="AI699" s="41"/>
      <c r="AK699" s="40">
        <v>696.0</v>
      </c>
      <c r="AL699" s="719" t="s">
        <v>2595</v>
      </c>
      <c r="AM699" s="720" t="s">
        <v>2574</v>
      </c>
      <c r="AN699" s="720" t="s">
        <v>2575</v>
      </c>
      <c r="AO699" s="722">
        <v>0.451</v>
      </c>
      <c r="AP699" s="722" t="s">
        <v>2576</v>
      </c>
    </row>
    <row r="700">
      <c r="A700" s="159"/>
      <c r="B700" s="636"/>
      <c r="C700" s="159"/>
      <c r="D700" s="636"/>
      <c r="E700" s="636"/>
      <c r="F700" s="159"/>
      <c r="G700" s="159"/>
      <c r="H700" s="159"/>
      <c r="I700" s="668"/>
      <c r="J700" s="157"/>
      <c r="K700" s="708"/>
      <c r="L700" s="157"/>
      <c r="M700" s="157"/>
      <c r="N700" s="157"/>
      <c r="O700" s="668"/>
      <c r="P700" s="709"/>
      <c r="Q700" s="59"/>
      <c r="R700" s="61"/>
      <c r="S700" s="41"/>
      <c r="T700" s="59"/>
      <c r="Y700" s="61"/>
      <c r="Z700" s="59"/>
      <c r="AF700" s="61"/>
      <c r="AH700" s="61"/>
      <c r="AI700" s="41"/>
      <c r="AK700" s="40">
        <v>697.0</v>
      </c>
      <c r="AL700" s="738" t="s">
        <v>2596</v>
      </c>
      <c r="AM700" s="738" t="s">
        <v>2578</v>
      </c>
      <c r="AN700" s="738" t="s">
        <v>2579</v>
      </c>
      <c r="AO700" s="739">
        <v>0.54</v>
      </c>
      <c r="AP700" s="739" t="s">
        <v>2580</v>
      </c>
    </row>
    <row r="701">
      <c r="A701" s="159"/>
      <c r="B701" s="636"/>
      <c r="C701" s="159"/>
      <c r="D701" s="636"/>
      <c r="E701" s="636"/>
      <c r="F701" s="159"/>
      <c r="G701" s="159"/>
      <c r="H701" s="159"/>
      <c r="I701" s="668"/>
      <c r="J701" s="157"/>
      <c r="K701" s="708"/>
      <c r="L701" s="157"/>
      <c r="M701" s="157"/>
      <c r="N701" s="157"/>
      <c r="O701" s="668"/>
      <c r="P701" s="709"/>
      <c r="Q701" s="59"/>
      <c r="R701" s="61"/>
      <c r="S701" s="41"/>
      <c r="T701" s="59"/>
      <c r="Y701" s="61"/>
      <c r="Z701" s="59"/>
      <c r="AF701" s="61"/>
      <c r="AH701" s="61"/>
      <c r="AI701" s="41"/>
      <c r="AK701" s="40">
        <v>698.0</v>
      </c>
      <c r="AL701" s="719" t="s">
        <v>2597</v>
      </c>
      <c r="AM701" s="720" t="s">
        <v>2065</v>
      </c>
      <c r="AN701" s="720" t="s">
        <v>2066</v>
      </c>
      <c r="AO701" s="722">
        <v>0.049</v>
      </c>
      <c r="AP701" s="722" t="s">
        <v>2067</v>
      </c>
    </row>
    <row r="702">
      <c r="A702" s="159"/>
      <c r="B702" s="636"/>
      <c r="C702" s="159"/>
      <c r="D702" s="636"/>
      <c r="E702" s="636"/>
      <c r="F702" s="159"/>
      <c r="G702" s="159"/>
      <c r="H702" s="159"/>
      <c r="I702" s="668"/>
      <c r="J702" s="157"/>
      <c r="K702" s="708"/>
      <c r="L702" s="157"/>
      <c r="M702" s="157"/>
      <c r="N702" s="157"/>
      <c r="O702" s="668"/>
      <c r="P702" s="709"/>
      <c r="Q702" s="59"/>
      <c r="R702" s="61"/>
      <c r="S702" s="41"/>
      <c r="T702" s="59"/>
      <c r="Y702" s="61"/>
      <c r="Z702" s="59"/>
      <c r="AF702" s="61"/>
      <c r="AH702" s="61"/>
      <c r="AI702" s="41"/>
      <c r="AK702" s="40">
        <v>699.0</v>
      </c>
      <c r="AL702" s="738" t="s">
        <v>2598</v>
      </c>
      <c r="AM702" s="738" t="s">
        <v>2570</v>
      </c>
      <c r="AN702" s="738" t="s">
        <v>2571</v>
      </c>
      <c r="AO702" s="739">
        <v>0.288</v>
      </c>
      <c r="AP702" s="739" t="s">
        <v>2572</v>
      </c>
    </row>
    <row r="703">
      <c r="A703" s="159"/>
      <c r="B703" s="636"/>
      <c r="C703" s="159"/>
      <c r="D703" s="636"/>
      <c r="E703" s="636"/>
      <c r="F703" s="159"/>
      <c r="G703" s="159"/>
      <c r="H703" s="159"/>
      <c r="I703" s="668"/>
      <c r="J703" s="157"/>
      <c r="K703" s="708"/>
      <c r="L703" s="157"/>
      <c r="M703" s="157"/>
      <c r="N703" s="157"/>
      <c r="O703" s="668"/>
      <c r="P703" s="709"/>
      <c r="Q703" s="59"/>
      <c r="R703" s="61"/>
      <c r="S703" s="41"/>
      <c r="T703" s="59"/>
      <c r="Y703" s="61"/>
      <c r="Z703" s="59"/>
      <c r="AF703" s="61"/>
      <c r="AH703" s="61"/>
      <c r="AI703" s="41"/>
      <c r="AK703" s="40">
        <v>700.0</v>
      </c>
      <c r="AL703" s="719" t="s">
        <v>2599</v>
      </c>
      <c r="AM703" s="720" t="s">
        <v>2574</v>
      </c>
      <c r="AN703" s="720" t="s">
        <v>2575</v>
      </c>
      <c r="AO703" s="722">
        <v>0.451</v>
      </c>
      <c r="AP703" s="722" t="s">
        <v>2576</v>
      </c>
    </row>
    <row r="704">
      <c r="A704" s="159"/>
      <c r="B704" s="636"/>
      <c r="C704" s="159"/>
      <c r="D704" s="636"/>
      <c r="E704" s="636"/>
      <c r="F704" s="159"/>
      <c r="G704" s="159"/>
      <c r="H704" s="159"/>
      <c r="I704" s="668"/>
      <c r="J704" s="157"/>
      <c r="K704" s="708"/>
      <c r="L704" s="157"/>
      <c r="M704" s="157"/>
      <c r="N704" s="157"/>
      <c r="O704" s="668"/>
      <c r="P704" s="709"/>
      <c r="Q704" s="59"/>
      <c r="R704" s="61"/>
      <c r="S704" s="41"/>
      <c r="T704" s="59"/>
      <c r="Y704" s="61"/>
      <c r="Z704" s="59"/>
      <c r="AF704" s="61"/>
      <c r="AH704" s="61"/>
      <c r="AI704" s="41"/>
      <c r="AK704" s="40">
        <v>701.0</v>
      </c>
      <c r="AL704" s="738" t="s">
        <v>2600</v>
      </c>
      <c r="AM704" s="738" t="s">
        <v>2601</v>
      </c>
      <c r="AN704" s="738" t="s">
        <v>2602</v>
      </c>
      <c r="AO704" s="739">
        <v>0.095</v>
      </c>
      <c r="AP704" s="739" t="s">
        <v>2603</v>
      </c>
    </row>
    <row r="705">
      <c r="A705" s="159"/>
      <c r="B705" s="636"/>
      <c r="C705" s="159"/>
      <c r="D705" s="636"/>
      <c r="E705" s="636"/>
      <c r="F705" s="159"/>
      <c r="G705" s="159"/>
      <c r="H705" s="159"/>
      <c r="I705" s="668"/>
      <c r="J705" s="157"/>
      <c r="K705" s="708"/>
      <c r="L705" s="157"/>
      <c r="M705" s="157"/>
      <c r="N705" s="157"/>
      <c r="O705" s="668"/>
      <c r="P705" s="709"/>
      <c r="Q705" s="59"/>
      <c r="R705" s="61"/>
      <c r="S705" s="41"/>
      <c r="T705" s="59"/>
      <c r="Y705" s="61"/>
      <c r="Z705" s="59"/>
      <c r="AF705" s="61"/>
      <c r="AH705" s="61"/>
      <c r="AI705" s="41"/>
      <c r="AK705" s="40">
        <v>702.0</v>
      </c>
      <c r="AL705" s="719" t="s">
        <v>2604</v>
      </c>
      <c r="AM705" s="720" t="s">
        <v>2578</v>
      </c>
      <c r="AN705" s="720" t="s">
        <v>2579</v>
      </c>
      <c r="AO705" s="722">
        <v>0.54</v>
      </c>
      <c r="AP705" s="722" t="s">
        <v>2580</v>
      </c>
    </row>
    <row r="706">
      <c r="A706" s="159"/>
      <c r="B706" s="636"/>
      <c r="C706" s="159"/>
      <c r="D706" s="636"/>
      <c r="E706" s="636"/>
      <c r="F706" s="159"/>
      <c r="G706" s="159"/>
      <c r="H706" s="159"/>
      <c r="I706" s="668"/>
      <c r="J706" s="157"/>
      <c r="K706" s="708"/>
      <c r="L706" s="157"/>
      <c r="M706" s="157"/>
      <c r="N706" s="157"/>
      <c r="O706" s="668"/>
      <c r="P706" s="709"/>
      <c r="Q706" s="59"/>
      <c r="R706" s="61"/>
      <c r="S706" s="41"/>
      <c r="T706" s="59"/>
      <c r="Y706" s="61"/>
      <c r="Z706" s="59"/>
      <c r="AF706" s="61"/>
      <c r="AH706" s="61"/>
      <c r="AI706" s="41"/>
      <c r="AK706" s="40">
        <v>703.0</v>
      </c>
      <c r="AL706" s="738" t="s">
        <v>2605</v>
      </c>
      <c r="AM706" s="738" t="s">
        <v>2065</v>
      </c>
      <c r="AN706" s="738" t="s">
        <v>2066</v>
      </c>
      <c r="AO706" s="739">
        <v>0.049</v>
      </c>
      <c r="AP706" s="739" t="s">
        <v>2067</v>
      </c>
    </row>
    <row r="707">
      <c r="A707" s="159"/>
      <c r="B707" s="636"/>
      <c r="C707" s="159"/>
      <c r="D707" s="636"/>
      <c r="E707" s="636"/>
      <c r="F707" s="159"/>
      <c r="G707" s="159"/>
      <c r="H707" s="159"/>
      <c r="I707" s="668"/>
      <c r="J707" s="157"/>
      <c r="K707" s="708"/>
      <c r="L707" s="157"/>
      <c r="M707" s="157"/>
      <c r="N707" s="157"/>
      <c r="O707" s="668"/>
      <c r="P707" s="709"/>
      <c r="Q707" s="59"/>
      <c r="R707" s="61"/>
      <c r="S707" s="41"/>
      <c r="T707" s="59"/>
      <c r="Y707" s="61"/>
      <c r="Z707" s="59"/>
      <c r="AF707" s="61"/>
      <c r="AH707" s="61"/>
      <c r="AI707" s="41"/>
      <c r="AK707" s="40">
        <v>704.0</v>
      </c>
      <c r="AL707" s="719" t="s">
        <v>2606</v>
      </c>
      <c r="AM707" s="720" t="s">
        <v>2607</v>
      </c>
      <c r="AN707" s="720" t="s">
        <v>1744</v>
      </c>
      <c r="AO707" s="722">
        <v>0.139</v>
      </c>
      <c r="AP707" s="722" t="s">
        <v>2608</v>
      </c>
    </row>
    <row r="708">
      <c r="A708" s="159"/>
      <c r="B708" s="636"/>
      <c r="C708" s="159"/>
      <c r="D708" s="636"/>
      <c r="E708" s="636"/>
      <c r="F708" s="159"/>
      <c r="G708" s="159"/>
      <c r="H708" s="159"/>
      <c r="I708" s="668"/>
      <c r="J708" s="157"/>
      <c r="K708" s="708"/>
      <c r="L708" s="157"/>
      <c r="M708" s="157"/>
      <c r="N708" s="157"/>
      <c r="O708" s="668"/>
      <c r="P708" s="709"/>
      <c r="Q708" s="59"/>
      <c r="R708" s="61"/>
      <c r="S708" s="41"/>
      <c r="T708" s="59"/>
      <c r="Y708" s="61"/>
      <c r="Z708" s="59"/>
      <c r="AF708" s="61"/>
      <c r="AH708" s="61"/>
      <c r="AI708" s="41"/>
      <c r="AK708" s="40">
        <v>705.0</v>
      </c>
      <c r="AL708" s="738" t="s">
        <v>2609</v>
      </c>
      <c r="AM708" s="738" t="s">
        <v>2570</v>
      </c>
      <c r="AN708" s="738" t="s">
        <v>2571</v>
      </c>
      <c r="AO708" s="739">
        <v>0.288</v>
      </c>
      <c r="AP708" s="739" t="s">
        <v>2572</v>
      </c>
    </row>
    <row r="709">
      <c r="A709" s="159"/>
      <c r="B709" s="636"/>
      <c r="C709" s="159"/>
      <c r="D709" s="636"/>
      <c r="E709" s="636"/>
      <c r="F709" s="159"/>
      <c r="G709" s="159"/>
      <c r="H709" s="159"/>
      <c r="I709" s="668"/>
      <c r="J709" s="157"/>
      <c r="K709" s="708"/>
      <c r="L709" s="157"/>
      <c r="M709" s="157"/>
      <c r="N709" s="157"/>
      <c r="O709" s="668"/>
      <c r="P709" s="709"/>
      <c r="Q709" s="59"/>
      <c r="R709" s="61"/>
      <c r="S709" s="41"/>
      <c r="T709" s="59"/>
      <c r="Y709" s="61"/>
      <c r="Z709" s="59"/>
      <c r="AF709" s="61"/>
      <c r="AH709" s="61"/>
      <c r="AI709" s="41"/>
      <c r="AK709" s="40">
        <v>706.0</v>
      </c>
      <c r="AL709" s="719" t="s">
        <v>2610</v>
      </c>
      <c r="AM709" s="720" t="s">
        <v>2574</v>
      </c>
      <c r="AN709" s="720" t="s">
        <v>2575</v>
      </c>
      <c r="AO709" s="722">
        <v>0.451</v>
      </c>
      <c r="AP709" s="722" t="s">
        <v>2576</v>
      </c>
    </row>
    <row r="710">
      <c r="A710" s="159"/>
      <c r="B710" s="636"/>
      <c r="C710" s="159"/>
      <c r="D710" s="636"/>
      <c r="E710" s="636"/>
      <c r="F710" s="159"/>
      <c r="G710" s="159"/>
      <c r="H710" s="159"/>
      <c r="I710" s="668"/>
      <c r="J710" s="157"/>
      <c r="K710" s="708"/>
      <c r="L710" s="157"/>
      <c r="M710" s="157"/>
      <c r="N710" s="157"/>
      <c r="O710" s="668"/>
      <c r="P710" s="709"/>
      <c r="Q710" s="59"/>
      <c r="R710" s="61"/>
      <c r="S710" s="41"/>
      <c r="T710" s="59"/>
      <c r="Y710" s="61"/>
      <c r="Z710" s="59"/>
      <c r="AF710" s="61"/>
      <c r="AH710" s="61"/>
      <c r="AI710" s="41"/>
      <c r="AK710" s="40">
        <v>707.0</v>
      </c>
      <c r="AL710" s="738" t="s">
        <v>2611</v>
      </c>
      <c r="AM710" s="738" t="s">
        <v>2578</v>
      </c>
      <c r="AN710" s="738" t="s">
        <v>2579</v>
      </c>
      <c r="AO710" s="739">
        <v>0.54</v>
      </c>
      <c r="AP710" s="739" t="s">
        <v>2580</v>
      </c>
    </row>
    <row r="711">
      <c r="A711" s="159"/>
      <c r="B711" s="636"/>
      <c r="C711" s="159"/>
      <c r="D711" s="636"/>
      <c r="E711" s="636"/>
      <c r="F711" s="159"/>
      <c r="G711" s="159"/>
      <c r="H711" s="159"/>
      <c r="I711" s="668"/>
      <c r="J711" s="157"/>
      <c r="K711" s="708"/>
      <c r="L711" s="157"/>
      <c r="M711" s="157"/>
      <c r="N711" s="157"/>
      <c r="O711" s="668"/>
      <c r="P711" s="709"/>
      <c r="Q711" s="59"/>
      <c r="R711" s="61"/>
      <c r="S711" s="41"/>
      <c r="T711" s="59"/>
      <c r="Y711" s="61"/>
      <c r="Z711" s="59"/>
      <c r="AF711" s="61"/>
      <c r="AH711" s="61"/>
      <c r="AI711" s="41"/>
      <c r="AK711" s="40">
        <v>708.0</v>
      </c>
      <c r="AL711" s="719" t="s">
        <v>2612</v>
      </c>
      <c r="AM711" s="720" t="s">
        <v>2065</v>
      </c>
      <c r="AN711" s="720" t="s">
        <v>2066</v>
      </c>
      <c r="AO711" s="722">
        <v>0.049</v>
      </c>
      <c r="AP711" s="722" t="s">
        <v>2067</v>
      </c>
    </row>
    <row r="712">
      <c r="A712" s="159"/>
      <c r="B712" s="636"/>
      <c r="C712" s="159"/>
      <c r="D712" s="636"/>
      <c r="E712" s="636"/>
      <c r="F712" s="159"/>
      <c r="G712" s="159"/>
      <c r="H712" s="159"/>
      <c r="I712" s="668"/>
      <c r="J712" s="157"/>
      <c r="K712" s="708"/>
      <c r="L712" s="157"/>
      <c r="M712" s="157"/>
      <c r="N712" s="157"/>
      <c r="O712" s="668"/>
      <c r="P712" s="709"/>
      <c r="Q712" s="59"/>
      <c r="R712" s="61"/>
      <c r="S712" s="41"/>
      <c r="T712" s="59"/>
      <c r="Y712" s="61"/>
      <c r="Z712" s="59"/>
      <c r="AF712" s="61"/>
      <c r="AH712" s="61"/>
      <c r="AI712" s="41"/>
      <c r="AK712" s="40">
        <v>709.0</v>
      </c>
      <c r="AL712" s="738" t="s">
        <v>2613</v>
      </c>
      <c r="AM712" s="738" t="s">
        <v>2570</v>
      </c>
      <c r="AN712" s="738" t="s">
        <v>2571</v>
      </c>
      <c r="AO712" s="739">
        <v>0.288</v>
      </c>
      <c r="AP712" s="739" t="s">
        <v>2572</v>
      </c>
    </row>
    <row r="713">
      <c r="A713" s="159"/>
      <c r="B713" s="636"/>
      <c r="C713" s="159"/>
      <c r="D713" s="636"/>
      <c r="E713" s="636"/>
      <c r="F713" s="159"/>
      <c r="G713" s="159"/>
      <c r="H713" s="159"/>
      <c r="I713" s="668"/>
      <c r="J713" s="157"/>
      <c r="K713" s="708"/>
      <c r="L713" s="157"/>
      <c r="M713" s="157"/>
      <c r="N713" s="157"/>
      <c r="O713" s="668"/>
      <c r="P713" s="709"/>
      <c r="Q713" s="59"/>
      <c r="R713" s="61"/>
      <c r="S713" s="41"/>
      <c r="T713" s="59"/>
      <c r="Y713" s="61"/>
      <c r="Z713" s="59"/>
      <c r="AF713" s="61"/>
      <c r="AH713" s="61"/>
      <c r="AI713" s="41"/>
      <c r="AK713" s="40">
        <v>710.0</v>
      </c>
      <c r="AL713" s="719" t="s">
        <v>2614</v>
      </c>
      <c r="AM713" s="720" t="s">
        <v>2574</v>
      </c>
      <c r="AN713" s="720" t="s">
        <v>2575</v>
      </c>
      <c r="AO713" s="722">
        <v>0.451</v>
      </c>
      <c r="AP713" s="722" t="s">
        <v>2576</v>
      </c>
    </row>
    <row r="714">
      <c r="A714" s="159"/>
      <c r="B714" s="636"/>
      <c r="C714" s="159"/>
      <c r="D714" s="636"/>
      <c r="E714" s="636"/>
      <c r="F714" s="159"/>
      <c r="G714" s="159"/>
      <c r="H714" s="159"/>
      <c r="I714" s="668"/>
      <c r="J714" s="157"/>
      <c r="K714" s="708"/>
      <c r="L714" s="157"/>
      <c r="M714" s="157"/>
      <c r="N714" s="157"/>
      <c r="O714" s="668"/>
      <c r="P714" s="709"/>
      <c r="Q714" s="59"/>
      <c r="R714" s="61"/>
      <c r="S714" s="41"/>
      <c r="T714" s="59"/>
      <c r="Y714" s="61"/>
      <c r="Z714" s="59"/>
      <c r="AF714" s="61"/>
      <c r="AH714" s="61"/>
      <c r="AI714" s="41"/>
      <c r="AK714" s="40">
        <v>711.0</v>
      </c>
      <c r="AL714" s="738" t="s">
        <v>2615</v>
      </c>
      <c r="AM714" s="738" t="s">
        <v>2578</v>
      </c>
      <c r="AN714" s="738" t="s">
        <v>2579</v>
      </c>
      <c r="AO714" s="739">
        <v>0.54</v>
      </c>
      <c r="AP714" s="739" t="s">
        <v>2580</v>
      </c>
    </row>
    <row r="715">
      <c r="A715" s="159"/>
      <c r="B715" s="636"/>
      <c r="C715" s="159"/>
      <c r="D715" s="636"/>
      <c r="E715" s="636"/>
      <c r="F715" s="159"/>
      <c r="G715" s="159"/>
      <c r="H715" s="159"/>
      <c r="I715" s="668"/>
      <c r="J715" s="157"/>
      <c r="K715" s="708"/>
      <c r="L715" s="157"/>
      <c r="M715" s="157"/>
      <c r="N715" s="157"/>
      <c r="O715" s="668"/>
      <c r="P715" s="709"/>
      <c r="Q715" s="59"/>
      <c r="R715" s="61"/>
      <c r="S715" s="41"/>
      <c r="T715" s="59"/>
      <c r="Y715" s="61"/>
      <c r="Z715" s="59"/>
      <c r="AF715" s="61"/>
      <c r="AH715" s="61"/>
      <c r="AI715" s="41"/>
      <c r="AK715" s="40">
        <v>712.0</v>
      </c>
      <c r="AL715" s="719" t="s">
        <v>2616</v>
      </c>
      <c r="AM715" s="720" t="s">
        <v>2065</v>
      </c>
      <c r="AN715" s="720" t="s">
        <v>2066</v>
      </c>
      <c r="AO715" s="722">
        <v>0.049</v>
      </c>
      <c r="AP715" s="722" t="s">
        <v>2067</v>
      </c>
    </row>
    <row r="716">
      <c r="A716" s="159"/>
      <c r="B716" s="636"/>
      <c r="C716" s="159"/>
      <c r="D716" s="636"/>
      <c r="E716" s="636"/>
      <c r="F716" s="159"/>
      <c r="G716" s="159"/>
      <c r="H716" s="159"/>
      <c r="I716" s="668"/>
      <c r="J716" s="157"/>
      <c r="K716" s="708"/>
      <c r="L716" s="157"/>
      <c r="M716" s="157"/>
      <c r="N716" s="157"/>
      <c r="O716" s="668"/>
      <c r="P716" s="709"/>
      <c r="Q716" s="59"/>
      <c r="R716" s="61"/>
      <c r="S716" s="41"/>
      <c r="T716" s="59"/>
      <c r="Y716" s="61"/>
      <c r="Z716" s="59"/>
      <c r="AF716" s="61"/>
      <c r="AH716" s="61"/>
      <c r="AI716" s="41"/>
      <c r="AK716" s="40">
        <v>713.0</v>
      </c>
      <c r="AL716" s="738" t="s">
        <v>2617</v>
      </c>
      <c r="AM716" s="738" t="s">
        <v>2570</v>
      </c>
      <c r="AN716" s="738" t="s">
        <v>2571</v>
      </c>
      <c r="AO716" s="739">
        <v>0.288</v>
      </c>
      <c r="AP716" s="739" t="s">
        <v>2572</v>
      </c>
    </row>
    <row r="717">
      <c r="A717" s="159"/>
      <c r="B717" s="636"/>
      <c r="C717" s="159"/>
      <c r="D717" s="636"/>
      <c r="E717" s="636"/>
      <c r="F717" s="159"/>
      <c r="G717" s="159"/>
      <c r="H717" s="159"/>
      <c r="I717" s="668"/>
      <c r="J717" s="157"/>
      <c r="K717" s="708"/>
      <c r="L717" s="157"/>
      <c r="M717" s="157"/>
      <c r="N717" s="157"/>
      <c r="O717" s="668"/>
      <c r="P717" s="709"/>
      <c r="Q717" s="59"/>
      <c r="R717" s="61"/>
      <c r="S717" s="41"/>
      <c r="T717" s="59"/>
      <c r="Y717" s="61"/>
      <c r="Z717" s="59"/>
      <c r="AF717" s="61"/>
      <c r="AH717" s="61"/>
      <c r="AI717" s="41"/>
      <c r="AK717" s="40">
        <v>714.0</v>
      </c>
      <c r="AL717" s="719" t="s">
        <v>2618</v>
      </c>
      <c r="AM717" s="720" t="s">
        <v>2574</v>
      </c>
      <c r="AN717" s="720" t="s">
        <v>2575</v>
      </c>
      <c r="AO717" s="722">
        <v>0.451</v>
      </c>
      <c r="AP717" s="722" t="s">
        <v>2576</v>
      </c>
    </row>
    <row r="718">
      <c r="A718" s="159"/>
      <c r="B718" s="636"/>
      <c r="C718" s="159"/>
      <c r="D718" s="636"/>
      <c r="E718" s="636"/>
      <c r="F718" s="159"/>
      <c r="G718" s="159"/>
      <c r="H718" s="159"/>
      <c r="I718" s="668"/>
      <c r="J718" s="157"/>
      <c r="K718" s="708"/>
      <c r="L718" s="157"/>
      <c r="M718" s="157"/>
      <c r="N718" s="157"/>
      <c r="O718" s="668"/>
      <c r="P718" s="709"/>
      <c r="Q718" s="59"/>
      <c r="R718" s="61"/>
      <c r="S718" s="41"/>
      <c r="T718" s="59"/>
      <c r="Y718" s="61"/>
      <c r="Z718" s="59"/>
      <c r="AF718" s="61"/>
      <c r="AH718" s="61"/>
      <c r="AI718" s="41"/>
      <c r="AK718" s="40">
        <v>715.0</v>
      </c>
      <c r="AL718" s="738" t="s">
        <v>2619</v>
      </c>
      <c r="AM718" s="738" t="s">
        <v>2578</v>
      </c>
      <c r="AN718" s="738" t="s">
        <v>2579</v>
      </c>
      <c r="AO718" s="739">
        <v>0.54</v>
      </c>
      <c r="AP718" s="739" t="s">
        <v>2580</v>
      </c>
    </row>
    <row r="719">
      <c r="A719" s="159"/>
      <c r="B719" s="636"/>
      <c r="C719" s="159"/>
      <c r="D719" s="636"/>
      <c r="E719" s="636"/>
      <c r="F719" s="159"/>
      <c r="G719" s="159"/>
      <c r="H719" s="159"/>
      <c r="I719" s="668"/>
      <c r="J719" s="157"/>
      <c r="K719" s="708"/>
      <c r="L719" s="157"/>
      <c r="M719" s="157"/>
      <c r="N719" s="157"/>
      <c r="O719" s="668"/>
      <c r="P719" s="709"/>
      <c r="Q719" s="59"/>
      <c r="R719" s="61"/>
      <c r="S719" s="41"/>
      <c r="T719" s="59"/>
      <c r="Y719" s="61"/>
      <c r="Z719" s="59"/>
      <c r="AF719" s="61"/>
      <c r="AH719" s="61"/>
      <c r="AI719" s="41"/>
      <c r="AK719" s="40">
        <v>716.0</v>
      </c>
      <c r="AL719" s="719" t="s">
        <v>2620</v>
      </c>
      <c r="AM719" s="720" t="s">
        <v>2065</v>
      </c>
      <c r="AN719" s="720" t="s">
        <v>2066</v>
      </c>
      <c r="AO719" s="722">
        <v>0.049</v>
      </c>
      <c r="AP719" s="722" t="s">
        <v>2067</v>
      </c>
    </row>
    <row r="720">
      <c r="A720" s="159"/>
      <c r="B720" s="636"/>
      <c r="C720" s="159"/>
      <c r="D720" s="636"/>
      <c r="E720" s="636"/>
      <c r="F720" s="159"/>
      <c r="G720" s="159"/>
      <c r="H720" s="159"/>
      <c r="I720" s="668"/>
      <c r="J720" s="157"/>
      <c r="K720" s="708"/>
      <c r="L720" s="157"/>
      <c r="M720" s="157"/>
      <c r="N720" s="157"/>
      <c r="O720" s="668"/>
      <c r="P720" s="709"/>
      <c r="Q720" s="59"/>
      <c r="R720" s="61"/>
      <c r="S720" s="41"/>
      <c r="T720" s="59"/>
      <c r="Y720" s="61"/>
      <c r="Z720" s="59"/>
      <c r="AF720" s="61"/>
      <c r="AH720" s="61"/>
      <c r="AI720" s="41"/>
      <c r="AK720" s="40">
        <v>717.0</v>
      </c>
      <c r="AL720" s="738" t="s">
        <v>2621</v>
      </c>
      <c r="AM720" s="738" t="s">
        <v>2570</v>
      </c>
      <c r="AN720" s="738" t="s">
        <v>2571</v>
      </c>
      <c r="AO720" s="739">
        <v>0.288</v>
      </c>
      <c r="AP720" s="739" t="s">
        <v>2572</v>
      </c>
    </row>
    <row r="721">
      <c r="A721" s="159"/>
      <c r="B721" s="636"/>
      <c r="C721" s="159"/>
      <c r="D721" s="636"/>
      <c r="E721" s="636"/>
      <c r="F721" s="159"/>
      <c r="G721" s="159"/>
      <c r="H721" s="159"/>
      <c r="I721" s="668"/>
      <c r="J721" s="157"/>
      <c r="K721" s="708"/>
      <c r="L721" s="157"/>
      <c r="M721" s="157"/>
      <c r="N721" s="157"/>
      <c r="O721" s="668"/>
      <c r="P721" s="709"/>
      <c r="Q721" s="59"/>
      <c r="R721" s="61"/>
      <c r="S721" s="41"/>
      <c r="T721" s="59"/>
      <c r="Y721" s="61"/>
      <c r="Z721" s="59"/>
      <c r="AF721" s="61"/>
      <c r="AH721" s="61"/>
      <c r="AI721" s="41"/>
      <c r="AK721" s="40">
        <v>718.0</v>
      </c>
      <c r="AL721" s="719" t="s">
        <v>2622</v>
      </c>
      <c r="AM721" s="720" t="s">
        <v>2574</v>
      </c>
      <c r="AN721" s="720" t="s">
        <v>2575</v>
      </c>
      <c r="AO721" s="722">
        <v>0.451</v>
      </c>
      <c r="AP721" s="722" t="s">
        <v>2576</v>
      </c>
    </row>
    <row r="722">
      <c r="A722" s="159"/>
      <c r="B722" s="636"/>
      <c r="C722" s="159"/>
      <c r="D722" s="636"/>
      <c r="E722" s="636"/>
      <c r="F722" s="159"/>
      <c r="G722" s="159"/>
      <c r="H722" s="159"/>
      <c r="I722" s="668"/>
      <c r="J722" s="157"/>
      <c r="K722" s="708"/>
      <c r="L722" s="157"/>
      <c r="M722" s="157"/>
      <c r="N722" s="157"/>
      <c r="O722" s="668"/>
      <c r="P722" s="709"/>
      <c r="Q722" s="59"/>
      <c r="R722" s="61"/>
      <c r="S722" s="41"/>
      <c r="T722" s="59"/>
      <c r="Y722" s="61"/>
      <c r="Z722" s="59"/>
      <c r="AF722" s="61"/>
      <c r="AH722" s="61"/>
      <c r="AI722" s="41"/>
      <c r="AK722" s="40">
        <v>719.0</v>
      </c>
      <c r="AL722" s="738" t="s">
        <v>2623</v>
      </c>
      <c r="AM722" s="738" t="s">
        <v>2624</v>
      </c>
      <c r="AN722" s="738" t="s">
        <v>2625</v>
      </c>
      <c r="AO722" s="739">
        <v>0.569</v>
      </c>
      <c r="AP722" s="739" t="s">
        <v>2626</v>
      </c>
    </row>
    <row r="723">
      <c r="A723" s="159"/>
      <c r="B723" s="636"/>
      <c r="C723" s="159"/>
      <c r="D723" s="636"/>
      <c r="E723" s="636"/>
      <c r="F723" s="159"/>
      <c r="G723" s="159"/>
      <c r="H723" s="159"/>
      <c r="I723" s="668"/>
      <c r="J723" s="157"/>
      <c r="K723" s="708"/>
      <c r="L723" s="157"/>
      <c r="M723" s="157"/>
      <c r="N723" s="157"/>
      <c r="O723" s="668"/>
      <c r="P723" s="709"/>
      <c r="Q723" s="59"/>
      <c r="R723" s="61"/>
      <c r="S723" s="41"/>
      <c r="T723" s="59"/>
      <c r="Y723" s="61"/>
      <c r="Z723" s="59"/>
      <c r="AF723" s="61"/>
      <c r="AH723" s="61"/>
      <c r="AI723" s="41"/>
      <c r="AK723" s="40">
        <v>720.0</v>
      </c>
      <c r="AL723" s="719" t="s">
        <v>2627</v>
      </c>
      <c r="AM723" s="720" t="s">
        <v>2065</v>
      </c>
      <c r="AN723" s="720" t="s">
        <v>2066</v>
      </c>
      <c r="AO723" s="722">
        <v>0.049</v>
      </c>
      <c r="AP723" s="722" t="s">
        <v>2067</v>
      </c>
    </row>
    <row r="724">
      <c r="A724" s="159"/>
      <c r="B724" s="636"/>
      <c r="C724" s="159"/>
      <c r="D724" s="636"/>
      <c r="E724" s="636"/>
      <c r="F724" s="159"/>
      <c r="G724" s="159"/>
      <c r="H724" s="159"/>
      <c r="I724" s="668"/>
      <c r="J724" s="157"/>
      <c r="K724" s="708"/>
      <c r="L724" s="157"/>
      <c r="M724" s="157"/>
      <c r="N724" s="157"/>
      <c r="O724" s="668"/>
      <c r="P724" s="709"/>
      <c r="Q724" s="59"/>
      <c r="R724" s="61"/>
      <c r="S724" s="41"/>
      <c r="T724" s="59"/>
      <c r="Y724" s="61"/>
      <c r="Z724" s="59"/>
      <c r="AF724" s="61"/>
      <c r="AH724" s="61"/>
      <c r="AI724" s="41"/>
      <c r="AK724" s="40">
        <v>721.0</v>
      </c>
      <c r="AL724" s="738" t="s">
        <v>2628</v>
      </c>
      <c r="AM724" s="738" t="s">
        <v>2570</v>
      </c>
      <c r="AN724" s="738" t="s">
        <v>2571</v>
      </c>
      <c r="AO724" s="739">
        <v>0.288</v>
      </c>
      <c r="AP724" s="739" t="s">
        <v>2572</v>
      </c>
    </row>
    <row r="725">
      <c r="A725" s="159"/>
      <c r="B725" s="636"/>
      <c r="C725" s="159"/>
      <c r="D725" s="636"/>
      <c r="E725" s="636"/>
      <c r="F725" s="159"/>
      <c r="G725" s="159"/>
      <c r="H725" s="159"/>
      <c r="I725" s="668"/>
      <c r="J725" s="157"/>
      <c r="K725" s="708"/>
      <c r="L725" s="157"/>
      <c r="M725" s="157"/>
      <c r="N725" s="157"/>
      <c r="O725" s="668"/>
      <c r="P725" s="709"/>
      <c r="Q725" s="59"/>
      <c r="R725" s="61"/>
      <c r="S725" s="41"/>
      <c r="T725" s="59"/>
      <c r="Y725" s="61"/>
      <c r="Z725" s="59"/>
      <c r="AF725" s="61"/>
      <c r="AH725" s="61"/>
      <c r="AI725" s="41"/>
      <c r="AK725" s="40">
        <v>722.0</v>
      </c>
      <c r="AL725" s="719" t="s">
        <v>2629</v>
      </c>
      <c r="AM725" s="720" t="s">
        <v>2574</v>
      </c>
      <c r="AN725" s="720" t="s">
        <v>2575</v>
      </c>
      <c r="AO725" s="722">
        <v>0.451</v>
      </c>
      <c r="AP725" s="722" t="s">
        <v>2576</v>
      </c>
    </row>
    <row r="726">
      <c r="A726" s="159"/>
      <c r="B726" s="636"/>
      <c r="C726" s="159"/>
      <c r="D726" s="636"/>
      <c r="E726" s="636"/>
      <c r="F726" s="159"/>
      <c r="G726" s="159"/>
      <c r="H726" s="159"/>
      <c r="I726" s="668"/>
      <c r="J726" s="157"/>
      <c r="K726" s="708"/>
      <c r="L726" s="157"/>
      <c r="M726" s="157"/>
      <c r="N726" s="157"/>
      <c r="O726" s="668"/>
      <c r="P726" s="709"/>
      <c r="Q726" s="59"/>
      <c r="R726" s="61"/>
      <c r="S726" s="41"/>
      <c r="T726" s="59"/>
      <c r="Y726" s="61"/>
      <c r="Z726" s="59"/>
      <c r="AF726" s="61"/>
      <c r="AH726" s="61"/>
      <c r="AI726" s="41"/>
      <c r="AK726" s="40">
        <v>723.0</v>
      </c>
      <c r="AL726" s="738" t="s">
        <v>2630</v>
      </c>
      <c r="AM726" s="738" t="s">
        <v>2578</v>
      </c>
      <c r="AN726" s="738" t="s">
        <v>2579</v>
      </c>
      <c r="AO726" s="739">
        <v>0.54</v>
      </c>
      <c r="AP726" s="739" t="s">
        <v>2580</v>
      </c>
    </row>
    <row r="727">
      <c r="A727" s="159"/>
      <c r="B727" s="636"/>
      <c r="C727" s="159"/>
      <c r="D727" s="636"/>
      <c r="E727" s="636"/>
      <c r="F727" s="159"/>
      <c r="G727" s="159"/>
      <c r="H727" s="159"/>
      <c r="I727" s="668"/>
      <c r="J727" s="157"/>
      <c r="K727" s="708"/>
      <c r="L727" s="157"/>
      <c r="M727" s="157"/>
      <c r="N727" s="157"/>
      <c r="O727" s="668"/>
      <c r="P727" s="709"/>
      <c r="Q727" s="59"/>
      <c r="R727" s="61"/>
      <c r="S727" s="41"/>
      <c r="T727" s="59"/>
      <c r="Y727" s="61"/>
      <c r="Z727" s="59"/>
      <c r="AF727" s="61"/>
      <c r="AH727" s="61"/>
      <c r="AI727" s="41"/>
      <c r="AK727" s="40">
        <v>724.0</v>
      </c>
      <c r="AL727" s="719" t="s">
        <v>2631</v>
      </c>
      <c r="AM727" s="720" t="s">
        <v>2065</v>
      </c>
      <c r="AN727" s="720" t="s">
        <v>2066</v>
      </c>
      <c r="AO727" s="722">
        <v>0.049</v>
      </c>
      <c r="AP727" s="722" t="s">
        <v>2067</v>
      </c>
    </row>
    <row r="728">
      <c r="A728" s="159"/>
      <c r="B728" s="636"/>
      <c r="C728" s="159"/>
      <c r="D728" s="636"/>
      <c r="E728" s="636"/>
      <c r="F728" s="159"/>
      <c r="G728" s="159"/>
      <c r="H728" s="159"/>
      <c r="I728" s="668"/>
      <c r="J728" s="157"/>
      <c r="K728" s="708"/>
      <c r="L728" s="157"/>
      <c r="M728" s="157"/>
      <c r="N728" s="157"/>
      <c r="O728" s="668"/>
      <c r="P728" s="709"/>
      <c r="Q728" s="59"/>
      <c r="R728" s="61"/>
      <c r="S728" s="41"/>
      <c r="T728" s="59"/>
      <c r="Y728" s="61"/>
      <c r="Z728" s="59"/>
      <c r="AF728" s="61"/>
      <c r="AH728" s="61"/>
      <c r="AI728" s="41"/>
      <c r="AK728" s="40">
        <v>725.0</v>
      </c>
      <c r="AL728" s="738" t="s">
        <v>2632</v>
      </c>
      <c r="AM728" s="738" t="s">
        <v>2570</v>
      </c>
      <c r="AN728" s="738" t="s">
        <v>2571</v>
      </c>
      <c r="AO728" s="739">
        <v>0.288</v>
      </c>
      <c r="AP728" s="739" t="s">
        <v>2572</v>
      </c>
    </row>
    <row r="729">
      <c r="A729" s="159"/>
      <c r="B729" s="636"/>
      <c r="C729" s="159"/>
      <c r="D729" s="636"/>
      <c r="E729" s="636"/>
      <c r="F729" s="159"/>
      <c r="G729" s="159"/>
      <c r="H729" s="159"/>
      <c r="I729" s="668"/>
      <c r="J729" s="157"/>
      <c r="K729" s="708"/>
      <c r="L729" s="157"/>
      <c r="M729" s="157"/>
      <c r="N729" s="157"/>
      <c r="O729" s="668"/>
      <c r="P729" s="709"/>
      <c r="Q729" s="59"/>
      <c r="R729" s="61"/>
      <c r="S729" s="41"/>
      <c r="T729" s="59"/>
      <c r="Y729" s="61"/>
      <c r="Z729" s="59"/>
      <c r="AF729" s="61"/>
      <c r="AH729" s="61"/>
      <c r="AI729" s="41"/>
      <c r="AK729" s="40">
        <v>726.0</v>
      </c>
      <c r="AL729" s="719" t="s">
        <v>2633</v>
      </c>
      <c r="AM729" s="720" t="s">
        <v>2574</v>
      </c>
      <c r="AN729" s="720" t="s">
        <v>2575</v>
      </c>
      <c r="AO729" s="722">
        <v>0.451</v>
      </c>
      <c r="AP729" s="722" t="s">
        <v>2576</v>
      </c>
    </row>
    <row r="730">
      <c r="A730" s="159"/>
      <c r="B730" s="636"/>
      <c r="C730" s="159"/>
      <c r="D730" s="636"/>
      <c r="E730" s="636"/>
      <c r="F730" s="159"/>
      <c r="G730" s="159"/>
      <c r="H730" s="159"/>
      <c r="I730" s="668"/>
      <c r="J730" s="157"/>
      <c r="K730" s="708"/>
      <c r="L730" s="157"/>
      <c r="M730" s="157"/>
      <c r="N730" s="157"/>
      <c r="O730" s="668"/>
      <c r="P730" s="709"/>
      <c r="Q730" s="59"/>
      <c r="R730" s="61"/>
      <c r="S730" s="41"/>
      <c r="T730" s="59"/>
      <c r="Y730" s="61"/>
      <c r="Z730" s="59"/>
      <c r="AF730" s="61"/>
      <c r="AH730" s="61"/>
      <c r="AI730" s="41"/>
      <c r="AK730" s="40">
        <v>727.0</v>
      </c>
      <c r="AL730" s="738" t="s">
        <v>2634</v>
      </c>
      <c r="AM730" s="738" t="s">
        <v>2578</v>
      </c>
      <c r="AN730" s="738" t="s">
        <v>2579</v>
      </c>
      <c r="AO730" s="739">
        <v>0.54</v>
      </c>
      <c r="AP730" s="739" t="s">
        <v>2580</v>
      </c>
    </row>
    <row r="731">
      <c r="A731" s="159"/>
      <c r="B731" s="636"/>
      <c r="C731" s="159"/>
      <c r="D731" s="636"/>
      <c r="E731" s="636"/>
      <c r="F731" s="159"/>
      <c r="G731" s="159"/>
      <c r="H731" s="159"/>
      <c r="I731" s="668"/>
      <c r="J731" s="157"/>
      <c r="K731" s="708"/>
      <c r="L731" s="157"/>
      <c r="M731" s="157"/>
      <c r="N731" s="157"/>
      <c r="O731" s="668"/>
      <c r="P731" s="709"/>
      <c r="Q731" s="59"/>
      <c r="R731" s="61"/>
      <c r="S731" s="41"/>
      <c r="T731" s="59"/>
      <c r="Y731" s="61"/>
      <c r="Z731" s="59"/>
      <c r="AF731" s="61"/>
      <c r="AH731" s="61"/>
      <c r="AI731" s="41"/>
      <c r="AK731" s="40">
        <v>728.0</v>
      </c>
      <c r="AL731" s="719" t="s">
        <v>2635</v>
      </c>
      <c r="AM731" s="720" t="s">
        <v>2065</v>
      </c>
      <c r="AN731" s="720" t="s">
        <v>2066</v>
      </c>
      <c r="AO731" s="722">
        <v>0.049</v>
      </c>
      <c r="AP731" s="722" t="s">
        <v>2067</v>
      </c>
    </row>
    <row r="732">
      <c r="A732" s="159"/>
      <c r="B732" s="636"/>
      <c r="C732" s="159"/>
      <c r="D732" s="636"/>
      <c r="E732" s="636"/>
      <c r="F732" s="159"/>
      <c r="G732" s="159"/>
      <c r="H732" s="159"/>
      <c r="I732" s="668"/>
      <c r="J732" s="157"/>
      <c r="K732" s="708"/>
      <c r="L732" s="157"/>
      <c r="M732" s="157"/>
      <c r="N732" s="157"/>
      <c r="O732" s="668"/>
      <c r="P732" s="709"/>
      <c r="Q732" s="59"/>
      <c r="R732" s="61"/>
      <c r="S732" s="41"/>
      <c r="T732" s="59"/>
      <c r="Y732" s="61"/>
      <c r="Z732" s="59"/>
      <c r="AF732" s="61"/>
      <c r="AH732" s="61"/>
      <c r="AI732" s="41"/>
      <c r="AK732" s="40">
        <v>729.0</v>
      </c>
      <c r="AL732" s="738" t="s">
        <v>2636</v>
      </c>
      <c r="AM732" s="738" t="s">
        <v>2570</v>
      </c>
      <c r="AN732" s="738" t="s">
        <v>2571</v>
      </c>
      <c r="AO732" s="739">
        <v>0.288</v>
      </c>
      <c r="AP732" s="739" t="s">
        <v>2572</v>
      </c>
    </row>
    <row r="733">
      <c r="A733" s="159"/>
      <c r="B733" s="636"/>
      <c r="C733" s="159"/>
      <c r="D733" s="636"/>
      <c r="E733" s="636"/>
      <c r="F733" s="159"/>
      <c r="G733" s="159"/>
      <c r="H733" s="159"/>
      <c r="I733" s="668"/>
      <c r="J733" s="157"/>
      <c r="K733" s="708"/>
      <c r="L733" s="157"/>
      <c r="M733" s="157"/>
      <c r="N733" s="157"/>
      <c r="O733" s="668"/>
      <c r="P733" s="709"/>
      <c r="Q733" s="59"/>
      <c r="R733" s="61"/>
      <c r="S733" s="41"/>
      <c r="T733" s="59"/>
      <c r="Y733" s="61"/>
      <c r="Z733" s="59"/>
      <c r="AF733" s="61"/>
      <c r="AH733" s="61"/>
      <c r="AI733" s="41"/>
      <c r="AK733" s="40">
        <v>730.0</v>
      </c>
      <c r="AL733" s="719" t="s">
        <v>2637</v>
      </c>
      <c r="AM733" s="720" t="s">
        <v>2574</v>
      </c>
      <c r="AN733" s="720" t="s">
        <v>2575</v>
      </c>
      <c r="AO733" s="722">
        <v>0.451</v>
      </c>
      <c r="AP733" s="722" t="s">
        <v>2576</v>
      </c>
    </row>
    <row r="734">
      <c r="A734" s="159"/>
      <c r="B734" s="636"/>
      <c r="C734" s="159"/>
      <c r="D734" s="636"/>
      <c r="E734" s="636"/>
      <c r="F734" s="159"/>
      <c r="G734" s="159"/>
      <c r="H734" s="159"/>
      <c r="I734" s="668"/>
      <c r="J734" s="157"/>
      <c r="K734" s="708"/>
      <c r="L734" s="157"/>
      <c r="M734" s="157"/>
      <c r="N734" s="157"/>
      <c r="O734" s="668"/>
      <c r="P734" s="709"/>
      <c r="Q734" s="59"/>
      <c r="R734" s="61"/>
      <c r="S734" s="41"/>
      <c r="T734" s="59"/>
      <c r="Y734" s="61"/>
      <c r="Z734" s="59"/>
      <c r="AF734" s="61"/>
      <c r="AH734" s="61"/>
      <c r="AI734" s="41"/>
      <c r="AK734" s="40">
        <v>731.0</v>
      </c>
      <c r="AL734" s="738" t="s">
        <v>2638</v>
      </c>
      <c r="AM734" s="738" t="s">
        <v>2578</v>
      </c>
      <c r="AN734" s="738" t="s">
        <v>2579</v>
      </c>
      <c r="AO734" s="739">
        <v>0.54</v>
      </c>
      <c r="AP734" s="739" t="s">
        <v>2580</v>
      </c>
    </row>
    <row r="735">
      <c r="A735" s="159"/>
      <c r="B735" s="636"/>
      <c r="C735" s="159"/>
      <c r="D735" s="636"/>
      <c r="E735" s="636"/>
      <c r="F735" s="159"/>
      <c r="G735" s="159"/>
      <c r="H735" s="159"/>
      <c r="I735" s="668"/>
      <c r="J735" s="157"/>
      <c r="K735" s="708"/>
      <c r="L735" s="157"/>
      <c r="M735" s="157"/>
      <c r="N735" s="157"/>
      <c r="O735" s="668"/>
      <c r="P735" s="709"/>
      <c r="Q735" s="59"/>
      <c r="R735" s="61"/>
      <c r="S735" s="41"/>
      <c r="T735" s="59"/>
      <c r="Y735" s="61"/>
      <c r="Z735" s="59"/>
      <c r="AF735" s="61"/>
      <c r="AH735" s="61"/>
      <c r="AI735" s="41"/>
      <c r="AK735" s="40">
        <v>732.0</v>
      </c>
      <c r="AL735" s="719" t="s">
        <v>2639</v>
      </c>
      <c r="AM735" s="720" t="s">
        <v>2065</v>
      </c>
      <c r="AN735" s="720" t="s">
        <v>2066</v>
      </c>
      <c r="AO735" s="722">
        <v>0.049</v>
      </c>
      <c r="AP735" s="722" t="s">
        <v>2067</v>
      </c>
    </row>
    <row r="736">
      <c r="A736" s="159"/>
      <c r="B736" s="636"/>
      <c r="C736" s="159"/>
      <c r="D736" s="636"/>
      <c r="E736" s="636"/>
      <c r="F736" s="159"/>
      <c r="G736" s="159"/>
      <c r="H736" s="159"/>
      <c r="I736" s="668"/>
      <c r="J736" s="157"/>
      <c r="K736" s="708"/>
      <c r="L736" s="157"/>
      <c r="M736" s="157"/>
      <c r="N736" s="157"/>
      <c r="O736" s="668"/>
      <c r="P736" s="709"/>
      <c r="Q736" s="59"/>
      <c r="R736" s="61"/>
      <c r="S736" s="41"/>
      <c r="T736" s="59"/>
      <c r="Y736" s="61"/>
      <c r="Z736" s="59"/>
      <c r="AF736" s="61"/>
      <c r="AH736" s="61"/>
      <c r="AI736" s="41"/>
      <c r="AK736" s="40">
        <v>733.0</v>
      </c>
      <c r="AL736" s="738" t="s">
        <v>2640</v>
      </c>
      <c r="AM736" s="738" t="s">
        <v>2570</v>
      </c>
      <c r="AN736" s="738" t="s">
        <v>2571</v>
      </c>
      <c r="AO736" s="739">
        <v>0.288</v>
      </c>
      <c r="AP736" s="739" t="s">
        <v>2572</v>
      </c>
    </row>
    <row r="737">
      <c r="A737" s="159"/>
      <c r="B737" s="636"/>
      <c r="C737" s="159"/>
      <c r="D737" s="636"/>
      <c r="E737" s="636"/>
      <c r="F737" s="159"/>
      <c r="G737" s="159"/>
      <c r="H737" s="159"/>
      <c r="I737" s="668"/>
      <c r="J737" s="157"/>
      <c r="K737" s="708"/>
      <c r="L737" s="157"/>
      <c r="M737" s="157"/>
      <c r="N737" s="157"/>
      <c r="O737" s="668"/>
      <c r="P737" s="709"/>
      <c r="Q737" s="59"/>
      <c r="R737" s="61"/>
      <c r="S737" s="41"/>
      <c r="T737" s="59"/>
      <c r="Y737" s="61"/>
      <c r="Z737" s="59"/>
      <c r="AF737" s="61"/>
      <c r="AH737" s="61"/>
      <c r="AI737" s="41"/>
      <c r="AK737" s="40">
        <v>734.0</v>
      </c>
      <c r="AL737" s="719" t="s">
        <v>2641</v>
      </c>
      <c r="AM737" s="720" t="s">
        <v>2574</v>
      </c>
      <c r="AN737" s="720" t="s">
        <v>2575</v>
      </c>
      <c r="AO737" s="722">
        <v>0.451</v>
      </c>
      <c r="AP737" s="722" t="s">
        <v>2576</v>
      </c>
    </row>
    <row r="738">
      <c r="A738" s="159"/>
      <c r="B738" s="636"/>
      <c r="C738" s="159"/>
      <c r="D738" s="636"/>
      <c r="E738" s="636"/>
      <c r="F738" s="159"/>
      <c r="G738" s="159"/>
      <c r="H738" s="159"/>
      <c r="I738" s="668"/>
      <c r="J738" s="157"/>
      <c r="K738" s="708"/>
      <c r="L738" s="157"/>
      <c r="M738" s="157"/>
      <c r="N738" s="157"/>
      <c r="O738" s="668"/>
      <c r="P738" s="709"/>
      <c r="Q738" s="59"/>
      <c r="R738" s="61"/>
      <c r="S738" s="41"/>
      <c r="T738" s="59"/>
      <c r="Y738" s="61"/>
      <c r="Z738" s="59"/>
      <c r="AF738" s="61"/>
      <c r="AH738" s="61"/>
      <c r="AI738" s="41"/>
      <c r="AK738" s="40">
        <v>735.0</v>
      </c>
      <c r="AL738" s="738" t="s">
        <v>2642</v>
      </c>
      <c r="AM738" s="738" t="s">
        <v>2578</v>
      </c>
      <c r="AN738" s="738" t="s">
        <v>2579</v>
      </c>
      <c r="AO738" s="739">
        <v>0.54</v>
      </c>
      <c r="AP738" s="739" t="s">
        <v>2580</v>
      </c>
    </row>
    <row r="739">
      <c r="A739" s="159"/>
      <c r="B739" s="636"/>
      <c r="C739" s="159"/>
      <c r="D739" s="636"/>
      <c r="E739" s="636"/>
      <c r="F739" s="159"/>
      <c r="G739" s="159"/>
      <c r="H739" s="159"/>
      <c r="I739" s="668"/>
      <c r="J739" s="157"/>
      <c r="K739" s="708"/>
      <c r="L739" s="157"/>
      <c r="M739" s="157"/>
      <c r="N739" s="157"/>
      <c r="O739" s="668"/>
      <c r="P739" s="709"/>
      <c r="Q739" s="59"/>
      <c r="R739" s="61"/>
      <c r="S739" s="41"/>
      <c r="T739" s="59"/>
      <c r="Y739" s="61"/>
      <c r="Z739" s="59"/>
      <c r="AF739" s="61"/>
      <c r="AH739" s="61"/>
      <c r="AI739" s="41"/>
      <c r="AK739" s="40">
        <v>736.0</v>
      </c>
      <c r="AL739" s="719" t="s">
        <v>2643</v>
      </c>
      <c r="AM739" s="720" t="s">
        <v>2065</v>
      </c>
      <c r="AN739" s="720" t="s">
        <v>2066</v>
      </c>
      <c r="AO739" s="722">
        <v>0.049</v>
      </c>
      <c r="AP739" s="722" t="s">
        <v>2067</v>
      </c>
    </row>
    <row r="740">
      <c r="A740" s="159"/>
      <c r="B740" s="636"/>
      <c r="C740" s="159"/>
      <c r="D740" s="636"/>
      <c r="E740" s="636"/>
      <c r="F740" s="159"/>
      <c r="G740" s="159"/>
      <c r="H740" s="159"/>
      <c r="I740" s="668"/>
      <c r="J740" s="157"/>
      <c r="K740" s="708"/>
      <c r="L740" s="157"/>
      <c r="M740" s="157"/>
      <c r="N740" s="157"/>
      <c r="O740" s="668"/>
      <c r="P740" s="709"/>
      <c r="Q740" s="59"/>
      <c r="R740" s="61"/>
      <c r="S740" s="41"/>
      <c r="T740" s="59"/>
      <c r="Y740" s="61"/>
      <c r="Z740" s="59"/>
      <c r="AF740" s="61"/>
      <c r="AH740" s="61"/>
      <c r="AI740" s="41"/>
      <c r="AK740" s="40">
        <v>737.0</v>
      </c>
      <c r="AL740" s="738" t="s">
        <v>2644</v>
      </c>
      <c r="AM740" s="738" t="s">
        <v>2570</v>
      </c>
      <c r="AN740" s="738" t="s">
        <v>2571</v>
      </c>
      <c r="AO740" s="739">
        <v>0.288</v>
      </c>
      <c r="AP740" s="739" t="s">
        <v>2572</v>
      </c>
    </row>
    <row r="741">
      <c r="A741" s="159"/>
      <c r="B741" s="636"/>
      <c r="C741" s="159"/>
      <c r="D741" s="636"/>
      <c r="E741" s="636"/>
      <c r="F741" s="159"/>
      <c r="G741" s="159"/>
      <c r="H741" s="159"/>
      <c r="I741" s="668"/>
      <c r="J741" s="157"/>
      <c r="K741" s="708"/>
      <c r="L741" s="157"/>
      <c r="M741" s="157"/>
      <c r="N741" s="157"/>
      <c r="O741" s="668"/>
      <c r="P741" s="709"/>
      <c r="Q741" s="59"/>
      <c r="R741" s="61"/>
      <c r="S741" s="41"/>
      <c r="T741" s="59"/>
      <c r="Y741" s="61"/>
      <c r="Z741" s="59"/>
      <c r="AF741" s="61"/>
      <c r="AH741" s="61"/>
      <c r="AI741" s="41"/>
      <c r="AK741" s="40">
        <v>738.0</v>
      </c>
      <c r="AL741" s="719" t="s">
        <v>2645</v>
      </c>
      <c r="AM741" s="720" t="s">
        <v>2574</v>
      </c>
      <c r="AN741" s="720" t="s">
        <v>2575</v>
      </c>
      <c r="AO741" s="722">
        <v>0.451</v>
      </c>
      <c r="AP741" s="722" t="s">
        <v>2576</v>
      </c>
    </row>
    <row r="742">
      <c r="A742" s="159"/>
      <c r="B742" s="636"/>
      <c r="C742" s="159"/>
      <c r="D742" s="636"/>
      <c r="E742" s="636"/>
      <c r="F742" s="159"/>
      <c r="G742" s="159"/>
      <c r="H742" s="159"/>
      <c r="I742" s="668"/>
      <c r="J742" s="157"/>
      <c r="K742" s="708"/>
      <c r="L742" s="157"/>
      <c r="M742" s="157"/>
      <c r="N742" s="157"/>
      <c r="O742" s="668"/>
      <c r="P742" s="709"/>
      <c r="Q742" s="59"/>
      <c r="R742" s="61"/>
      <c r="S742" s="41"/>
      <c r="T742" s="59"/>
      <c r="Y742" s="61"/>
      <c r="Z742" s="59"/>
      <c r="AF742" s="61"/>
      <c r="AH742" s="61"/>
      <c r="AI742" s="41"/>
      <c r="AK742" s="40">
        <v>739.0</v>
      </c>
      <c r="AL742" s="738" t="s">
        <v>2646</v>
      </c>
      <c r="AM742" s="738" t="s">
        <v>2578</v>
      </c>
      <c r="AN742" s="738" t="s">
        <v>2579</v>
      </c>
      <c r="AO742" s="739">
        <v>0.54</v>
      </c>
      <c r="AP742" s="739" t="s">
        <v>2580</v>
      </c>
    </row>
    <row r="743">
      <c r="A743" s="159"/>
      <c r="B743" s="636"/>
      <c r="C743" s="159"/>
      <c r="D743" s="636"/>
      <c r="E743" s="636"/>
      <c r="F743" s="159"/>
      <c r="G743" s="159"/>
      <c r="H743" s="159"/>
      <c r="I743" s="668"/>
      <c r="J743" s="157"/>
      <c r="K743" s="708"/>
      <c r="L743" s="157"/>
      <c r="M743" s="157"/>
      <c r="N743" s="157"/>
      <c r="O743" s="668"/>
      <c r="P743" s="709"/>
      <c r="Q743" s="59"/>
      <c r="R743" s="61"/>
      <c r="S743" s="41"/>
      <c r="T743" s="59"/>
      <c r="Y743" s="61"/>
      <c r="Z743" s="59"/>
      <c r="AF743" s="61"/>
      <c r="AH743" s="61"/>
      <c r="AI743" s="41"/>
      <c r="AK743" s="40">
        <v>740.0</v>
      </c>
      <c r="AL743" s="719" t="s">
        <v>2647</v>
      </c>
      <c r="AM743" s="720" t="s">
        <v>2648</v>
      </c>
      <c r="AN743" s="720" t="s">
        <v>2649</v>
      </c>
      <c r="AO743" s="722">
        <v>0.051</v>
      </c>
      <c r="AP743" s="722" t="s">
        <v>2650</v>
      </c>
    </row>
    <row r="744">
      <c r="A744" s="159"/>
      <c r="B744" s="636"/>
      <c r="C744" s="159"/>
      <c r="D744" s="636"/>
      <c r="E744" s="636"/>
      <c r="F744" s="159"/>
      <c r="G744" s="159"/>
      <c r="H744" s="159"/>
      <c r="I744" s="668"/>
      <c r="J744" s="157"/>
      <c r="K744" s="708"/>
      <c r="L744" s="157"/>
      <c r="M744" s="157"/>
      <c r="N744" s="157"/>
      <c r="O744" s="668"/>
      <c r="P744" s="709"/>
      <c r="Q744" s="59"/>
      <c r="R744" s="61"/>
      <c r="S744" s="41"/>
      <c r="T744" s="59"/>
      <c r="Y744" s="61"/>
      <c r="Z744" s="59"/>
      <c r="AF744" s="61"/>
      <c r="AH744" s="61"/>
      <c r="AI744" s="41"/>
      <c r="AK744" s="40">
        <v>741.0</v>
      </c>
      <c r="AL744" s="738" t="s">
        <v>2651</v>
      </c>
      <c r="AM744" s="738" t="s">
        <v>2065</v>
      </c>
      <c r="AN744" s="738" t="s">
        <v>2066</v>
      </c>
      <c r="AO744" s="739">
        <v>0.049</v>
      </c>
      <c r="AP744" s="739" t="s">
        <v>2067</v>
      </c>
    </row>
    <row r="745">
      <c r="A745" s="159"/>
      <c r="B745" s="636"/>
      <c r="C745" s="159"/>
      <c r="D745" s="636"/>
      <c r="E745" s="636"/>
      <c r="F745" s="159"/>
      <c r="G745" s="159"/>
      <c r="H745" s="159"/>
      <c r="I745" s="668"/>
      <c r="J745" s="157"/>
      <c r="K745" s="708"/>
      <c r="L745" s="157"/>
      <c r="M745" s="157"/>
      <c r="N745" s="157"/>
      <c r="O745" s="668"/>
      <c r="P745" s="709"/>
      <c r="Q745" s="59"/>
      <c r="R745" s="61"/>
      <c r="S745" s="41"/>
      <c r="T745" s="59"/>
      <c r="Y745" s="61"/>
      <c r="Z745" s="59"/>
      <c r="AF745" s="61"/>
      <c r="AH745" s="61"/>
      <c r="AI745" s="41"/>
      <c r="AK745" s="40">
        <v>742.0</v>
      </c>
      <c r="AL745" s="719" t="s">
        <v>2652</v>
      </c>
      <c r="AM745" s="720" t="s">
        <v>2653</v>
      </c>
      <c r="AN745" s="720" t="s">
        <v>1744</v>
      </c>
      <c r="AO745" s="722">
        <v>0.098</v>
      </c>
      <c r="AP745" s="722" t="s">
        <v>2654</v>
      </c>
    </row>
    <row r="746">
      <c r="A746" s="159"/>
      <c r="B746" s="636"/>
      <c r="C746" s="159"/>
      <c r="D746" s="636"/>
      <c r="E746" s="636"/>
      <c r="F746" s="159"/>
      <c r="G746" s="159"/>
      <c r="H746" s="159"/>
      <c r="I746" s="668"/>
      <c r="J746" s="157"/>
      <c r="K746" s="708"/>
      <c r="L746" s="157"/>
      <c r="M746" s="157"/>
      <c r="N746" s="157"/>
      <c r="O746" s="668"/>
      <c r="P746" s="709"/>
      <c r="Q746" s="59"/>
      <c r="R746" s="61"/>
      <c r="S746" s="41"/>
      <c r="T746" s="59"/>
      <c r="Y746" s="61"/>
      <c r="Z746" s="59"/>
      <c r="AF746" s="61"/>
      <c r="AH746" s="61"/>
      <c r="AI746" s="41"/>
      <c r="AK746" s="40">
        <v>743.0</v>
      </c>
      <c r="AL746" s="738" t="s">
        <v>2655</v>
      </c>
      <c r="AM746" s="738" t="s">
        <v>2570</v>
      </c>
      <c r="AN746" s="738" t="s">
        <v>2571</v>
      </c>
      <c r="AO746" s="739">
        <v>0.288</v>
      </c>
      <c r="AP746" s="739" t="s">
        <v>2572</v>
      </c>
    </row>
    <row r="747">
      <c r="A747" s="159"/>
      <c r="B747" s="636"/>
      <c r="C747" s="159"/>
      <c r="D747" s="636"/>
      <c r="E747" s="636"/>
      <c r="F747" s="159"/>
      <c r="G747" s="159"/>
      <c r="H747" s="159"/>
      <c r="I747" s="668"/>
      <c r="J747" s="157"/>
      <c r="K747" s="708"/>
      <c r="L747" s="157"/>
      <c r="M747" s="157"/>
      <c r="N747" s="157"/>
      <c r="O747" s="668"/>
      <c r="P747" s="709"/>
      <c r="Q747" s="59"/>
      <c r="R747" s="61"/>
      <c r="S747" s="41"/>
      <c r="T747" s="59"/>
      <c r="Y747" s="61"/>
      <c r="Z747" s="59"/>
      <c r="AF747" s="61"/>
      <c r="AH747" s="61"/>
      <c r="AI747" s="41"/>
      <c r="AK747" s="40">
        <v>744.0</v>
      </c>
      <c r="AL747" s="719" t="s">
        <v>2656</v>
      </c>
      <c r="AM747" s="720" t="s">
        <v>2574</v>
      </c>
      <c r="AN747" s="720" t="s">
        <v>2575</v>
      </c>
      <c r="AO747" s="722">
        <v>0.451</v>
      </c>
      <c r="AP747" s="722" t="s">
        <v>2576</v>
      </c>
    </row>
    <row r="748">
      <c r="A748" s="159"/>
      <c r="B748" s="636"/>
      <c r="C748" s="159"/>
      <c r="D748" s="636"/>
      <c r="E748" s="636"/>
      <c r="F748" s="159"/>
      <c r="G748" s="159"/>
      <c r="H748" s="159"/>
      <c r="I748" s="668"/>
      <c r="J748" s="157"/>
      <c r="K748" s="708"/>
      <c r="L748" s="157"/>
      <c r="M748" s="157"/>
      <c r="N748" s="157"/>
      <c r="O748" s="668"/>
      <c r="P748" s="709"/>
      <c r="Q748" s="59"/>
      <c r="R748" s="61"/>
      <c r="S748" s="41"/>
      <c r="T748" s="59"/>
      <c r="Y748" s="61"/>
      <c r="Z748" s="59"/>
      <c r="AF748" s="61"/>
      <c r="AH748" s="61"/>
      <c r="AI748" s="41"/>
      <c r="AK748" s="40">
        <v>745.0</v>
      </c>
      <c r="AL748" s="738" t="s">
        <v>2657</v>
      </c>
      <c r="AM748" s="738" t="s">
        <v>2578</v>
      </c>
      <c r="AN748" s="738" t="s">
        <v>2579</v>
      </c>
      <c r="AO748" s="739">
        <v>0.54</v>
      </c>
      <c r="AP748" s="739" t="s">
        <v>2580</v>
      </c>
    </row>
    <row r="749">
      <c r="A749" s="159"/>
      <c r="B749" s="636"/>
      <c r="C749" s="159"/>
      <c r="D749" s="636"/>
      <c r="E749" s="636"/>
      <c r="F749" s="159"/>
      <c r="G749" s="159"/>
      <c r="H749" s="159"/>
      <c r="I749" s="668"/>
      <c r="J749" s="157"/>
      <c r="K749" s="708"/>
      <c r="L749" s="157"/>
      <c r="M749" s="157"/>
      <c r="N749" s="157"/>
      <c r="O749" s="668"/>
      <c r="P749" s="709"/>
      <c r="Q749" s="59"/>
      <c r="R749" s="61"/>
      <c r="S749" s="41"/>
      <c r="T749" s="59"/>
      <c r="Y749" s="61"/>
      <c r="Z749" s="59"/>
      <c r="AF749" s="61"/>
      <c r="AH749" s="61"/>
      <c r="AI749" s="41"/>
      <c r="AK749" s="40">
        <v>746.0</v>
      </c>
      <c r="AL749" s="719" t="s">
        <v>2658</v>
      </c>
      <c r="AM749" s="720" t="s">
        <v>2065</v>
      </c>
      <c r="AN749" s="720" t="s">
        <v>2066</v>
      </c>
      <c r="AO749" s="722">
        <v>0.049</v>
      </c>
      <c r="AP749" s="722" t="s">
        <v>2067</v>
      </c>
    </row>
    <row r="750">
      <c r="A750" s="159"/>
      <c r="B750" s="636"/>
      <c r="C750" s="159"/>
      <c r="D750" s="636"/>
      <c r="E750" s="636"/>
      <c r="F750" s="159"/>
      <c r="G750" s="159"/>
      <c r="H750" s="159"/>
      <c r="I750" s="668"/>
      <c r="J750" s="157"/>
      <c r="K750" s="708"/>
      <c r="L750" s="157"/>
      <c r="M750" s="157"/>
      <c r="N750" s="157"/>
      <c r="O750" s="668"/>
      <c r="P750" s="709"/>
      <c r="Q750" s="59"/>
      <c r="R750" s="61"/>
      <c r="S750" s="41"/>
      <c r="T750" s="59"/>
      <c r="Y750" s="61"/>
      <c r="Z750" s="59"/>
      <c r="AF750" s="61"/>
      <c r="AH750" s="61"/>
      <c r="AI750" s="41"/>
      <c r="AK750" s="40">
        <v>747.0</v>
      </c>
      <c r="AL750" s="738" t="s">
        <v>2659</v>
      </c>
      <c r="AM750" s="738" t="s">
        <v>2570</v>
      </c>
      <c r="AN750" s="738" t="s">
        <v>2571</v>
      </c>
      <c r="AO750" s="739">
        <v>0.288</v>
      </c>
      <c r="AP750" s="739" t="s">
        <v>2572</v>
      </c>
    </row>
    <row r="751">
      <c r="A751" s="159"/>
      <c r="B751" s="636"/>
      <c r="C751" s="159"/>
      <c r="D751" s="636"/>
      <c r="E751" s="636"/>
      <c r="F751" s="159"/>
      <c r="G751" s="159"/>
      <c r="H751" s="159"/>
      <c r="I751" s="668"/>
      <c r="J751" s="157"/>
      <c r="K751" s="708"/>
      <c r="L751" s="157"/>
      <c r="M751" s="157"/>
      <c r="N751" s="157"/>
      <c r="O751" s="668"/>
      <c r="P751" s="709"/>
      <c r="Q751" s="59"/>
      <c r="R751" s="61"/>
      <c r="S751" s="41"/>
      <c r="T751" s="59"/>
      <c r="Y751" s="61"/>
      <c r="Z751" s="59"/>
      <c r="AF751" s="61"/>
      <c r="AH751" s="61"/>
      <c r="AI751" s="41"/>
      <c r="AK751" s="40">
        <v>748.0</v>
      </c>
      <c r="AL751" s="719" t="s">
        <v>2660</v>
      </c>
      <c r="AM751" s="720" t="s">
        <v>2574</v>
      </c>
      <c r="AN751" s="720" t="s">
        <v>2575</v>
      </c>
      <c r="AO751" s="722">
        <v>0.451</v>
      </c>
      <c r="AP751" s="722" t="s">
        <v>2576</v>
      </c>
    </row>
    <row r="752">
      <c r="A752" s="159"/>
      <c r="B752" s="636"/>
      <c r="C752" s="159"/>
      <c r="D752" s="636"/>
      <c r="E752" s="636"/>
      <c r="F752" s="159"/>
      <c r="G752" s="159"/>
      <c r="H752" s="159"/>
      <c r="I752" s="668"/>
      <c r="J752" s="157"/>
      <c r="K752" s="708"/>
      <c r="L752" s="157"/>
      <c r="M752" s="157"/>
      <c r="N752" s="157"/>
      <c r="O752" s="668"/>
      <c r="P752" s="709"/>
      <c r="Q752" s="59"/>
      <c r="R752" s="61"/>
      <c r="S752" s="41"/>
      <c r="T752" s="59"/>
      <c r="Y752" s="61"/>
      <c r="Z752" s="59"/>
      <c r="AF752" s="61"/>
      <c r="AH752" s="61"/>
      <c r="AI752" s="41"/>
      <c r="AK752" s="40">
        <v>749.0</v>
      </c>
      <c r="AL752" s="738" t="s">
        <v>2661</v>
      </c>
      <c r="AM752" s="738" t="s">
        <v>2578</v>
      </c>
      <c r="AN752" s="738" t="s">
        <v>2579</v>
      </c>
      <c r="AO752" s="739">
        <v>0.54</v>
      </c>
      <c r="AP752" s="739" t="s">
        <v>2580</v>
      </c>
    </row>
    <row r="753">
      <c r="A753" s="159"/>
      <c r="B753" s="636"/>
      <c r="C753" s="159"/>
      <c r="D753" s="636"/>
      <c r="E753" s="636"/>
      <c r="F753" s="159"/>
      <c r="G753" s="159"/>
      <c r="H753" s="159"/>
      <c r="I753" s="668"/>
      <c r="J753" s="157"/>
      <c r="K753" s="708"/>
      <c r="L753" s="157"/>
      <c r="M753" s="157"/>
      <c r="N753" s="157"/>
      <c r="O753" s="668"/>
      <c r="P753" s="709"/>
      <c r="Q753" s="59"/>
      <c r="R753" s="61"/>
      <c r="S753" s="41"/>
      <c r="T753" s="59"/>
      <c r="Y753" s="61"/>
      <c r="Z753" s="59"/>
      <c r="AF753" s="61"/>
      <c r="AH753" s="61"/>
      <c r="AI753" s="41"/>
      <c r="AK753" s="40">
        <v>750.0</v>
      </c>
      <c r="AL753" s="719" t="s">
        <v>2662</v>
      </c>
      <c r="AM753" s="720" t="s">
        <v>2065</v>
      </c>
      <c r="AN753" s="720" t="s">
        <v>2066</v>
      </c>
      <c r="AO753" s="722">
        <v>0.049</v>
      </c>
      <c r="AP753" s="722" t="s">
        <v>2067</v>
      </c>
    </row>
    <row r="754">
      <c r="A754" s="159"/>
      <c r="B754" s="636"/>
      <c r="C754" s="159"/>
      <c r="D754" s="636"/>
      <c r="E754" s="636"/>
      <c r="F754" s="159"/>
      <c r="G754" s="159"/>
      <c r="H754" s="159"/>
      <c r="I754" s="668"/>
      <c r="J754" s="157"/>
      <c r="K754" s="708"/>
      <c r="L754" s="157"/>
      <c r="M754" s="157"/>
      <c r="N754" s="157"/>
      <c r="O754" s="668"/>
      <c r="P754" s="709"/>
      <c r="Q754" s="59"/>
      <c r="R754" s="61"/>
      <c r="S754" s="41"/>
      <c r="T754" s="59"/>
      <c r="Y754" s="61"/>
      <c r="Z754" s="59"/>
      <c r="AF754" s="61"/>
      <c r="AH754" s="61"/>
      <c r="AI754" s="41"/>
      <c r="AK754" s="40">
        <v>751.0</v>
      </c>
      <c r="AL754" s="738" t="s">
        <v>2663</v>
      </c>
      <c r="AM754" s="738" t="s">
        <v>2113</v>
      </c>
      <c r="AN754" s="738" t="s">
        <v>2114</v>
      </c>
      <c r="AO754" s="739">
        <v>0.011</v>
      </c>
      <c r="AP754" s="739" t="s">
        <v>2107</v>
      </c>
    </row>
    <row r="755">
      <c r="A755" s="159"/>
      <c r="B755" s="636"/>
      <c r="C755" s="159"/>
      <c r="D755" s="636"/>
      <c r="E755" s="636"/>
      <c r="F755" s="159"/>
      <c r="G755" s="159"/>
      <c r="H755" s="159"/>
      <c r="I755" s="668"/>
      <c r="J755" s="157"/>
      <c r="K755" s="708"/>
      <c r="L755" s="157"/>
      <c r="M755" s="157"/>
      <c r="N755" s="157"/>
      <c r="O755" s="668"/>
      <c r="P755" s="709"/>
      <c r="Q755" s="59"/>
      <c r="R755" s="61"/>
      <c r="S755" s="41"/>
      <c r="T755" s="59"/>
      <c r="Y755" s="61"/>
      <c r="Z755" s="59"/>
      <c r="AF755" s="61"/>
      <c r="AH755" s="61"/>
      <c r="AI755" s="41"/>
      <c r="AK755" s="40">
        <v>752.0</v>
      </c>
      <c r="AL755" s="719" t="s">
        <v>2664</v>
      </c>
      <c r="AM755" s="720" t="s">
        <v>2024</v>
      </c>
      <c r="AN755" s="720" t="s">
        <v>2025</v>
      </c>
      <c r="AO755" s="722">
        <v>0.067</v>
      </c>
      <c r="AP755" s="722" t="s">
        <v>2026</v>
      </c>
    </row>
    <row r="756">
      <c r="A756" s="159"/>
      <c r="B756" s="636"/>
      <c r="C756" s="159"/>
      <c r="D756" s="636"/>
      <c r="E756" s="636"/>
      <c r="F756" s="159"/>
      <c r="G756" s="159"/>
      <c r="H756" s="159"/>
      <c r="I756" s="668"/>
      <c r="J756" s="157"/>
      <c r="K756" s="708"/>
      <c r="L756" s="157"/>
      <c r="M756" s="157"/>
      <c r="N756" s="157"/>
      <c r="O756" s="668"/>
      <c r="P756" s="709"/>
      <c r="Q756" s="59"/>
      <c r="R756" s="61"/>
      <c r="S756" s="41"/>
      <c r="T756" s="59"/>
      <c r="Y756" s="61"/>
      <c r="Z756" s="59"/>
      <c r="AF756" s="61"/>
      <c r="AH756" s="61"/>
      <c r="AI756" s="41"/>
      <c r="AK756" s="40">
        <v>753.0</v>
      </c>
      <c r="AL756" s="738" t="s">
        <v>2665</v>
      </c>
      <c r="AM756" s="738" t="s">
        <v>2666</v>
      </c>
      <c r="AN756" s="738" t="s">
        <v>2667</v>
      </c>
      <c r="AO756" s="739">
        <v>0.576</v>
      </c>
      <c r="AP756" s="739" t="s">
        <v>2668</v>
      </c>
    </row>
    <row r="757">
      <c r="A757" s="159"/>
      <c r="B757" s="636"/>
      <c r="C757" s="159"/>
      <c r="D757" s="636"/>
      <c r="E757" s="636"/>
      <c r="F757" s="159"/>
      <c r="G757" s="159"/>
      <c r="H757" s="159"/>
      <c r="I757" s="668"/>
      <c r="J757" s="157"/>
      <c r="K757" s="708"/>
      <c r="L757" s="157"/>
      <c r="M757" s="157"/>
      <c r="N757" s="157"/>
      <c r="O757" s="668"/>
      <c r="P757" s="709"/>
      <c r="Q757" s="59"/>
      <c r="R757" s="61"/>
      <c r="S757" s="41"/>
      <c r="T757" s="59"/>
      <c r="Y757" s="61"/>
      <c r="Z757" s="59"/>
      <c r="AF757" s="61"/>
      <c r="AH757" s="61"/>
      <c r="AI757" s="41"/>
      <c r="AK757" s="40">
        <v>754.0</v>
      </c>
      <c r="AL757" s="719" t="s">
        <v>2669</v>
      </c>
      <c r="AM757" s="720" t="s">
        <v>2113</v>
      </c>
      <c r="AN757" s="720" t="s">
        <v>2114</v>
      </c>
      <c r="AO757" s="722">
        <v>0.011</v>
      </c>
      <c r="AP757" s="722" t="s">
        <v>2107</v>
      </c>
    </row>
    <row r="758">
      <c r="A758" s="159"/>
      <c r="B758" s="636"/>
      <c r="C758" s="159"/>
      <c r="D758" s="636"/>
      <c r="E758" s="636"/>
      <c r="F758" s="159"/>
      <c r="G758" s="159"/>
      <c r="H758" s="159"/>
      <c r="I758" s="668"/>
      <c r="J758" s="157"/>
      <c r="K758" s="708"/>
      <c r="L758" s="157"/>
      <c r="M758" s="157"/>
      <c r="N758" s="157"/>
      <c r="O758" s="668"/>
      <c r="P758" s="709"/>
      <c r="Q758" s="59"/>
      <c r="R758" s="61"/>
      <c r="S758" s="41"/>
      <c r="T758" s="59"/>
      <c r="Y758" s="61"/>
      <c r="Z758" s="59"/>
      <c r="AF758" s="61"/>
      <c r="AH758" s="61"/>
      <c r="AI758" s="41"/>
      <c r="AK758" s="40">
        <v>755.0</v>
      </c>
      <c r="AL758" s="738" t="s">
        <v>2670</v>
      </c>
      <c r="AM758" s="738" t="s">
        <v>2156</v>
      </c>
      <c r="AN758" s="745"/>
      <c r="AO758" s="739">
        <v>0.0</v>
      </c>
      <c r="AP758" s="739" t="s">
        <v>2157</v>
      </c>
    </row>
    <row r="759">
      <c r="A759" s="159"/>
      <c r="B759" s="636"/>
      <c r="C759" s="159"/>
      <c r="D759" s="636"/>
      <c r="E759" s="636"/>
      <c r="F759" s="159"/>
      <c r="G759" s="159"/>
      <c r="H759" s="159"/>
      <c r="I759" s="668"/>
      <c r="J759" s="157"/>
      <c r="K759" s="708"/>
      <c r="L759" s="157"/>
      <c r="M759" s="157"/>
      <c r="N759" s="157"/>
      <c r="O759" s="668"/>
      <c r="P759" s="709"/>
      <c r="Q759" s="59"/>
      <c r="R759" s="61"/>
      <c r="S759" s="41"/>
      <c r="T759" s="59"/>
      <c r="Y759" s="61"/>
      <c r="Z759" s="59"/>
      <c r="AF759" s="61"/>
      <c r="AH759" s="61"/>
      <c r="AI759" s="41"/>
      <c r="AK759" s="40">
        <v>756.0</v>
      </c>
      <c r="AL759" s="719" t="s">
        <v>2671</v>
      </c>
      <c r="AM759" s="720" t="s">
        <v>2570</v>
      </c>
      <c r="AN759" s="720" t="s">
        <v>2571</v>
      </c>
      <c r="AO759" s="722">
        <v>0.288</v>
      </c>
      <c r="AP759" s="722" t="s">
        <v>2572</v>
      </c>
    </row>
    <row r="760">
      <c r="A760" s="159"/>
      <c r="B760" s="636"/>
      <c r="C760" s="159"/>
      <c r="D760" s="636"/>
      <c r="E760" s="636"/>
      <c r="F760" s="159"/>
      <c r="G760" s="159"/>
      <c r="H760" s="159"/>
      <c r="I760" s="668"/>
      <c r="J760" s="157"/>
      <c r="K760" s="708"/>
      <c r="L760" s="157"/>
      <c r="M760" s="157"/>
      <c r="N760" s="157"/>
      <c r="O760" s="668"/>
      <c r="P760" s="709"/>
      <c r="Q760" s="59"/>
      <c r="R760" s="61"/>
      <c r="S760" s="41"/>
      <c r="T760" s="59"/>
      <c r="Y760" s="61"/>
      <c r="Z760" s="59"/>
      <c r="AF760" s="61"/>
      <c r="AH760" s="61"/>
      <c r="AI760" s="41"/>
      <c r="AK760" s="40">
        <v>757.0</v>
      </c>
      <c r="AL760" s="738" t="s">
        <v>2672</v>
      </c>
      <c r="AM760" s="738" t="s">
        <v>2574</v>
      </c>
      <c r="AN760" s="738" t="s">
        <v>2575</v>
      </c>
      <c r="AO760" s="739">
        <v>0.451</v>
      </c>
      <c r="AP760" s="739" t="s">
        <v>2576</v>
      </c>
    </row>
    <row r="761">
      <c r="A761" s="159"/>
      <c r="B761" s="636"/>
      <c r="C761" s="159"/>
      <c r="D761" s="636"/>
      <c r="E761" s="636"/>
      <c r="F761" s="159"/>
      <c r="G761" s="159"/>
      <c r="H761" s="159"/>
      <c r="I761" s="668"/>
      <c r="J761" s="157"/>
      <c r="K761" s="708"/>
      <c r="L761" s="157"/>
      <c r="M761" s="157"/>
      <c r="N761" s="157"/>
      <c r="O761" s="668"/>
      <c r="P761" s="709"/>
      <c r="Q761" s="59"/>
      <c r="R761" s="61"/>
      <c r="S761" s="41"/>
      <c r="T761" s="59"/>
      <c r="Y761" s="61"/>
      <c r="Z761" s="59"/>
      <c r="AF761" s="61"/>
      <c r="AH761" s="61"/>
      <c r="AI761" s="41"/>
      <c r="AK761" s="40">
        <v>758.0</v>
      </c>
      <c r="AL761" s="719" t="s">
        <v>2673</v>
      </c>
      <c r="AM761" s="720" t="s">
        <v>2578</v>
      </c>
      <c r="AN761" s="720" t="s">
        <v>2579</v>
      </c>
      <c r="AO761" s="722">
        <v>0.54</v>
      </c>
      <c r="AP761" s="722" t="s">
        <v>2580</v>
      </c>
    </row>
    <row r="762">
      <c r="A762" s="159"/>
      <c r="B762" s="636"/>
      <c r="C762" s="159"/>
      <c r="D762" s="636"/>
      <c r="E762" s="636"/>
      <c r="F762" s="159"/>
      <c r="G762" s="159"/>
      <c r="H762" s="159"/>
      <c r="I762" s="668"/>
      <c r="J762" s="157"/>
      <c r="K762" s="708"/>
      <c r="L762" s="157"/>
      <c r="M762" s="157"/>
      <c r="N762" s="157"/>
      <c r="O762" s="668"/>
      <c r="P762" s="709"/>
      <c r="Q762" s="59"/>
      <c r="R762" s="61"/>
      <c r="S762" s="41"/>
      <c r="T762" s="59"/>
      <c r="Y762" s="61"/>
      <c r="Z762" s="59"/>
      <c r="AF762" s="61"/>
      <c r="AH762" s="61"/>
      <c r="AI762" s="41"/>
      <c r="AK762" s="40">
        <v>759.0</v>
      </c>
      <c r="AL762" s="738" t="s">
        <v>2674</v>
      </c>
      <c r="AM762" s="738" t="s">
        <v>2065</v>
      </c>
      <c r="AN762" s="738" t="s">
        <v>2066</v>
      </c>
      <c r="AO762" s="739">
        <v>0.049</v>
      </c>
      <c r="AP762" s="739" t="s">
        <v>2067</v>
      </c>
    </row>
    <row r="763">
      <c r="A763" s="159"/>
      <c r="B763" s="636"/>
      <c r="C763" s="159"/>
      <c r="D763" s="636"/>
      <c r="E763" s="636"/>
      <c r="F763" s="159"/>
      <c r="G763" s="159"/>
      <c r="H763" s="159"/>
      <c r="I763" s="668"/>
      <c r="J763" s="157"/>
      <c r="K763" s="708"/>
      <c r="L763" s="157"/>
      <c r="M763" s="157"/>
      <c r="N763" s="157"/>
      <c r="O763" s="668"/>
      <c r="P763" s="709"/>
      <c r="Q763" s="59"/>
      <c r="R763" s="61"/>
      <c r="S763" s="41"/>
      <c r="T763" s="59"/>
      <c r="Y763" s="61"/>
      <c r="Z763" s="59"/>
      <c r="AF763" s="61"/>
      <c r="AH763" s="61"/>
      <c r="AI763" s="41"/>
      <c r="AK763" s="40">
        <v>760.0</v>
      </c>
      <c r="AL763" s="719" t="s">
        <v>2675</v>
      </c>
      <c r="AM763" s="720" t="s">
        <v>2570</v>
      </c>
      <c r="AN763" s="720" t="s">
        <v>2571</v>
      </c>
      <c r="AO763" s="722">
        <v>0.288</v>
      </c>
      <c r="AP763" s="722" t="s">
        <v>2572</v>
      </c>
    </row>
    <row r="764">
      <c r="A764" s="159"/>
      <c r="B764" s="636"/>
      <c r="C764" s="159"/>
      <c r="D764" s="636"/>
      <c r="E764" s="636"/>
      <c r="F764" s="159"/>
      <c r="G764" s="159"/>
      <c r="H764" s="159"/>
      <c r="I764" s="668"/>
      <c r="J764" s="157"/>
      <c r="K764" s="708"/>
      <c r="L764" s="157"/>
      <c r="M764" s="157"/>
      <c r="N764" s="157"/>
      <c r="O764" s="668"/>
      <c r="P764" s="709"/>
      <c r="Q764" s="59"/>
      <c r="R764" s="61"/>
      <c r="S764" s="41"/>
      <c r="T764" s="59"/>
      <c r="Y764" s="61"/>
      <c r="Z764" s="59"/>
      <c r="AF764" s="61"/>
      <c r="AH764" s="61"/>
      <c r="AI764" s="41"/>
      <c r="AK764" s="40">
        <v>761.0</v>
      </c>
      <c r="AL764" s="738" t="s">
        <v>2676</v>
      </c>
      <c r="AM764" s="738" t="s">
        <v>2574</v>
      </c>
      <c r="AN764" s="738" t="s">
        <v>2575</v>
      </c>
      <c r="AO764" s="739">
        <v>0.451</v>
      </c>
      <c r="AP764" s="739" t="s">
        <v>2576</v>
      </c>
    </row>
    <row r="765">
      <c r="A765" s="159"/>
      <c r="B765" s="636"/>
      <c r="C765" s="159"/>
      <c r="D765" s="636"/>
      <c r="E765" s="636"/>
      <c r="F765" s="159"/>
      <c r="G765" s="159"/>
      <c r="H765" s="159"/>
      <c r="I765" s="668"/>
      <c r="J765" s="157"/>
      <c r="K765" s="708"/>
      <c r="L765" s="157"/>
      <c r="M765" s="157"/>
      <c r="N765" s="157"/>
      <c r="O765" s="668"/>
      <c r="P765" s="709"/>
      <c r="Q765" s="59"/>
      <c r="R765" s="61"/>
      <c r="S765" s="41"/>
      <c r="T765" s="59"/>
      <c r="Y765" s="61"/>
      <c r="Z765" s="59"/>
      <c r="AF765" s="61"/>
      <c r="AH765" s="61"/>
      <c r="AI765" s="41"/>
      <c r="AK765" s="40">
        <v>762.0</v>
      </c>
      <c r="AL765" s="719" t="s">
        <v>2677</v>
      </c>
      <c r="AM765" s="720" t="s">
        <v>2578</v>
      </c>
      <c r="AN765" s="720" t="s">
        <v>2579</v>
      </c>
      <c r="AO765" s="722">
        <v>0.54</v>
      </c>
      <c r="AP765" s="722" t="s">
        <v>2580</v>
      </c>
    </row>
    <row r="766">
      <c r="A766" s="159"/>
      <c r="B766" s="636"/>
      <c r="C766" s="159"/>
      <c r="D766" s="636"/>
      <c r="E766" s="636"/>
      <c r="F766" s="159"/>
      <c r="G766" s="159"/>
      <c r="H766" s="159"/>
      <c r="I766" s="668"/>
      <c r="J766" s="157"/>
      <c r="K766" s="708"/>
      <c r="L766" s="157"/>
      <c r="M766" s="157"/>
      <c r="N766" s="157"/>
      <c r="O766" s="668"/>
      <c r="P766" s="709"/>
      <c r="Q766" s="59"/>
      <c r="R766" s="61"/>
      <c r="S766" s="41"/>
      <c r="T766" s="59"/>
      <c r="Y766" s="61"/>
      <c r="Z766" s="59"/>
      <c r="AF766" s="61"/>
      <c r="AH766" s="61"/>
      <c r="AI766" s="41"/>
      <c r="AK766" s="40">
        <v>763.0</v>
      </c>
      <c r="AL766" s="738" t="s">
        <v>2678</v>
      </c>
      <c r="AM766" s="738" t="s">
        <v>2065</v>
      </c>
      <c r="AN766" s="738" t="s">
        <v>2066</v>
      </c>
      <c r="AO766" s="739">
        <v>0.049</v>
      </c>
      <c r="AP766" s="739" t="s">
        <v>2067</v>
      </c>
    </row>
    <row r="767">
      <c r="A767" s="159"/>
      <c r="B767" s="636"/>
      <c r="C767" s="159"/>
      <c r="D767" s="636"/>
      <c r="E767" s="636"/>
      <c r="F767" s="159"/>
      <c r="G767" s="159"/>
      <c r="H767" s="159"/>
      <c r="I767" s="668"/>
      <c r="J767" s="157"/>
      <c r="K767" s="708"/>
      <c r="L767" s="157"/>
      <c r="M767" s="157"/>
      <c r="N767" s="157"/>
      <c r="O767" s="668"/>
      <c r="P767" s="709"/>
      <c r="Q767" s="59"/>
      <c r="R767" s="61"/>
      <c r="S767" s="41"/>
      <c r="T767" s="59"/>
      <c r="Y767" s="61"/>
      <c r="Z767" s="59"/>
      <c r="AF767" s="61"/>
      <c r="AH767" s="61"/>
      <c r="AI767" s="41"/>
      <c r="AK767" s="40">
        <v>764.0</v>
      </c>
      <c r="AL767" s="719" t="s">
        <v>2679</v>
      </c>
      <c r="AM767" s="720" t="s">
        <v>2570</v>
      </c>
      <c r="AN767" s="720" t="s">
        <v>2571</v>
      </c>
      <c r="AO767" s="722">
        <v>0.288</v>
      </c>
      <c r="AP767" s="722" t="s">
        <v>2572</v>
      </c>
    </row>
    <row r="768">
      <c r="A768" s="159"/>
      <c r="B768" s="636"/>
      <c r="C768" s="159"/>
      <c r="D768" s="636"/>
      <c r="E768" s="636"/>
      <c r="F768" s="159"/>
      <c r="G768" s="159"/>
      <c r="H768" s="159"/>
      <c r="I768" s="668"/>
      <c r="J768" s="157"/>
      <c r="K768" s="708"/>
      <c r="L768" s="157"/>
      <c r="M768" s="157"/>
      <c r="N768" s="157"/>
      <c r="O768" s="668"/>
      <c r="P768" s="709"/>
      <c r="Q768" s="59"/>
      <c r="R768" s="61"/>
      <c r="S768" s="41"/>
      <c r="T768" s="59"/>
      <c r="Y768" s="61"/>
      <c r="Z768" s="59"/>
      <c r="AF768" s="61"/>
      <c r="AH768" s="61"/>
      <c r="AI768" s="41"/>
      <c r="AK768" s="40">
        <v>765.0</v>
      </c>
      <c r="AL768" s="738" t="s">
        <v>2680</v>
      </c>
      <c r="AM768" s="738" t="s">
        <v>2574</v>
      </c>
      <c r="AN768" s="738" t="s">
        <v>2575</v>
      </c>
      <c r="AO768" s="739">
        <v>0.451</v>
      </c>
      <c r="AP768" s="739" t="s">
        <v>2576</v>
      </c>
    </row>
    <row r="769">
      <c r="A769" s="159"/>
      <c r="B769" s="636"/>
      <c r="C769" s="159"/>
      <c r="D769" s="636"/>
      <c r="E769" s="636"/>
      <c r="F769" s="159"/>
      <c r="G769" s="159"/>
      <c r="H769" s="159"/>
      <c r="I769" s="668"/>
      <c r="J769" s="157"/>
      <c r="K769" s="708"/>
      <c r="L769" s="157"/>
      <c r="M769" s="157"/>
      <c r="N769" s="157"/>
      <c r="O769" s="668"/>
      <c r="P769" s="709"/>
      <c r="Q769" s="59"/>
      <c r="R769" s="61"/>
      <c r="S769" s="41"/>
      <c r="T769" s="59"/>
      <c r="Y769" s="61"/>
      <c r="Z769" s="59"/>
      <c r="AF769" s="61"/>
      <c r="AH769" s="61"/>
      <c r="AI769" s="41"/>
      <c r="AK769" s="40">
        <v>766.0</v>
      </c>
      <c r="AL769" s="719" t="s">
        <v>2681</v>
      </c>
      <c r="AM769" s="720" t="s">
        <v>2682</v>
      </c>
      <c r="AN769" s="720" t="s">
        <v>2683</v>
      </c>
      <c r="AO769" s="722">
        <v>0.036</v>
      </c>
      <c r="AP769" s="722" t="s">
        <v>2684</v>
      </c>
    </row>
    <row r="770">
      <c r="A770" s="159"/>
      <c r="B770" s="636"/>
      <c r="C770" s="159"/>
      <c r="D770" s="636"/>
      <c r="E770" s="636"/>
      <c r="F770" s="159"/>
      <c r="G770" s="159"/>
      <c r="H770" s="159"/>
      <c r="I770" s="668"/>
      <c r="J770" s="157"/>
      <c r="K770" s="708"/>
      <c r="L770" s="157"/>
      <c r="M770" s="157"/>
      <c r="N770" s="157"/>
      <c r="O770" s="668"/>
      <c r="P770" s="709"/>
      <c r="Q770" s="59"/>
      <c r="R770" s="61"/>
      <c r="S770" s="41"/>
      <c r="T770" s="59"/>
      <c r="Y770" s="61"/>
      <c r="Z770" s="59"/>
      <c r="AF770" s="61"/>
      <c r="AH770" s="61"/>
      <c r="AI770" s="41"/>
      <c r="AK770" s="40">
        <v>767.0</v>
      </c>
      <c r="AL770" s="738" t="s">
        <v>2685</v>
      </c>
      <c r="AM770" s="738" t="s">
        <v>2578</v>
      </c>
      <c r="AN770" s="738" t="s">
        <v>2579</v>
      </c>
      <c r="AO770" s="739">
        <v>0.54</v>
      </c>
      <c r="AP770" s="739" t="s">
        <v>2580</v>
      </c>
    </row>
    <row r="771">
      <c r="A771" s="159"/>
      <c r="B771" s="636"/>
      <c r="C771" s="159"/>
      <c r="D771" s="636"/>
      <c r="E771" s="636"/>
      <c r="F771" s="159"/>
      <c r="G771" s="159"/>
      <c r="H771" s="159"/>
      <c r="I771" s="668"/>
      <c r="J771" s="157"/>
      <c r="K771" s="708"/>
      <c r="L771" s="157"/>
      <c r="M771" s="157"/>
      <c r="N771" s="157"/>
      <c r="O771" s="668"/>
      <c r="P771" s="709"/>
      <c r="Q771" s="59"/>
      <c r="R771" s="61"/>
      <c r="S771" s="41"/>
      <c r="T771" s="59"/>
      <c r="Y771" s="61"/>
      <c r="Z771" s="59"/>
      <c r="AF771" s="61"/>
      <c r="AH771" s="61"/>
      <c r="AI771" s="41"/>
      <c r="AK771" s="40">
        <v>768.0</v>
      </c>
      <c r="AL771" s="719" t="s">
        <v>2686</v>
      </c>
      <c r="AM771" s="720" t="s">
        <v>2065</v>
      </c>
      <c r="AN771" s="720" t="s">
        <v>2066</v>
      </c>
      <c r="AO771" s="722">
        <v>0.049</v>
      </c>
      <c r="AP771" s="722" t="s">
        <v>2067</v>
      </c>
    </row>
    <row r="772">
      <c r="A772" s="159"/>
      <c r="B772" s="636"/>
      <c r="C772" s="159"/>
      <c r="D772" s="636"/>
      <c r="E772" s="636"/>
      <c r="F772" s="159"/>
      <c r="G772" s="159"/>
      <c r="H772" s="159"/>
      <c r="I772" s="668"/>
      <c r="J772" s="157"/>
      <c r="K772" s="708"/>
      <c r="L772" s="157"/>
      <c r="M772" s="157"/>
      <c r="N772" s="157"/>
      <c r="O772" s="668"/>
      <c r="P772" s="709"/>
      <c r="Q772" s="59"/>
      <c r="R772" s="61"/>
      <c r="S772" s="41"/>
      <c r="T772" s="59"/>
      <c r="Y772" s="61"/>
      <c r="Z772" s="59"/>
      <c r="AF772" s="61"/>
      <c r="AH772" s="61"/>
      <c r="AI772" s="41"/>
      <c r="AK772" s="40">
        <v>769.0</v>
      </c>
      <c r="AL772" s="738" t="s">
        <v>2687</v>
      </c>
      <c r="AM772" s="738" t="s">
        <v>2688</v>
      </c>
      <c r="AN772" s="738" t="s">
        <v>1744</v>
      </c>
      <c r="AO772" s="739">
        <v>0.083</v>
      </c>
      <c r="AP772" s="739" t="s">
        <v>2689</v>
      </c>
    </row>
    <row r="773">
      <c r="A773" s="159"/>
      <c r="B773" s="636"/>
      <c r="C773" s="159"/>
      <c r="D773" s="636"/>
      <c r="E773" s="636"/>
      <c r="F773" s="159"/>
      <c r="G773" s="159"/>
      <c r="H773" s="159"/>
      <c r="I773" s="668"/>
      <c r="J773" s="157"/>
      <c r="K773" s="708"/>
      <c r="L773" s="157"/>
      <c r="M773" s="157"/>
      <c r="N773" s="157"/>
      <c r="O773" s="668"/>
      <c r="P773" s="709"/>
      <c r="Q773" s="59"/>
      <c r="R773" s="61"/>
      <c r="S773" s="41"/>
      <c r="T773" s="59"/>
      <c r="Y773" s="61"/>
      <c r="Z773" s="59"/>
      <c r="AF773" s="61"/>
      <c r="AH773" s="61"/>
      <c r="AI773" s="41"/>
      <c r="AK773" s="40">
        <v>770.0</v>
      </c>
      <c r="AL773" s="719" t="s">
        <v>2690</v>
      </c>
      <c r="AM773" s="720" t="s">
        <v>2570</v>
      </c>
      <c r="AN773" s="720" t="s">
        <v>2571</v>
      </c>
      <c r="AO773" s="722">
        <v>0.288</v>
      </c>
      <c r="AP773" s="722" t="s">
        <v>2572</v>
      </c>
    </row>
    <row r="774">
      <c r="A774" s="159"/>
      <c r="B774" s="636"/>
      <c r="C774" s="159"/>
      <c r="D774" s="636"/>
      <c r="E774" s="636"/>
      <c r="F774" s="159"/>
      <c r="G774" s="159"/>
      <c r="H774" s="159"/>
      <c r="I774" s="668"/>
      <c r="J774" s="157"/>
      <c r="K774" s="708"/>
      <c r="L774" s="157"/>
      <c r="M774" s="157"/>
      <c r="N774" s="157"/>
      <c r="O774" s="668"/>
      <c r="P774" s="709"/>
      <c r="Q774" s="59"/>
      <c r="R774" s="61"/>
      <c r="S774" s="41"/>
      <c r="T774" s="59"/>
      <c r="Y774" s="61"/>
      <c r="Z774" s="59"/>
      <c r="AF774" s="61"/>
      <c r="AH774" s="61"/>
      <c r="AI774" s="41"/>
      <c r="AK774" s="40">
        <v>771.0</v>
      </c>
      <c r="AL774" s="738" t="s">
        <v>2691</v>
      </c>
      <c r="AM774" s="738" t="s">
        <v>2574</v>
      </c>
      <c r="AN774" s="738" t="s">
        <v>2575</v>
      </c>
      <c r="AO774" s="739">
        <v>0.451</v>
      </c>
      <c r="AP774" s="739" t="s">
        <v>2576</v>
      </c>
    </row>
    <row r="775">
      <c r="A775" s="159"/>
      <c r="B775" s="636"/>
      <c r="C775" s="159"/>
      <c r="D775" s="636"/>
      <c r="E775" s="636"/>
      <c r="F775" s="159"/>
      <c r="G775" s="159"/>
      <c r="H775" s="159"/>
      <c r="I775" s="668"/>
      <c r="J775" s="157"/>
      <c r="K775" s="708"/>
      <c r="L775" s="157"/>
      <c r="M775" s="157"/>
      <c r="N775" s="157"/>
      <c r="O775" s="668"/>
      <c r="P775" s="709"/>
      <c r="Q775" s="59"/>
      <c r="R775" s="61"/>
      <c r="S775" s="41"/>
      <c r="T775" s="59"/>
      <c r="Y775" s="61"/>
      <c r="Z775" s="59"/>
      <c r="AF775" s="61"/>
      <c r="AH775" s="61"/>
      <c r="AI775" s="41"/>
      <c r="AK775" s="40">
        <v>772.0</v>
      </c>
      <c r="AL775" s="719" t="s">
        <v>2692</v>
      </c>
      <c r="AM775" s="720" t="s">
        <v>2578</v>
      </c>
      <c r="AN775" s="720" t="s">
        <v>2579</v>
      </c>
      <c r="AO775" s="722">
        <v>0.54</v>
      </c>
      <c r="AP775" s="722" t="s">
        <v>2580</v>
      </c>
    </row>
    <row r="776">
      <c r="A776" s="159"/>
      <c r="B776" s="636"/>
      <c r="C776" s="159"/>
      <c r="D776" s="636"/>
      <c r="E776" s="636"/>
      <c r="F776" s="159"/>
      <c r="G776" s="159"/>
      <c r="H776" s="159"/>
      <c r="I776" s="668"/>
      <c r="J776" s="157"/>
      <c r="K776" s="708"/>
      <c r="L776" s="157"/>
      <c r="M776" s="157"/>
      <c r="N776" s="157"/>
      <c r="O776" s="668"/>
      <c r="P776" s="709"/>
      <c r="Q776" s="59"/>
      <c r="R776" s="61"/>
      <c r="S776" s="41"/>
      <c r="T776" s="59"/>
      <c r="Y776" s="61"/>
      <c r="Z776" s="59"/>
      <c r="AF776" s="61"/>
      <c r="AH776" s="61"/>
      <c r="AI776" s="41"/>
      <c r="AK776" s="40">
        <v>773.0</v>
      </c>
      <c r="AL776" s="738" t="s">
        <v>2693</v>
      </c>
      <c r="AM776" s="738" t="s">
        <v>2065</v>
      </c>
      <c r="AN776" s="738" t="s">
        <v>2066</v>
      </c>
      <c r="AO776" s="739">
        <v>0.049</v>
      </c>
      <c r="AP776" s="739" t="s">
        <v>2067</v>
      </c>
    </row>
    <row r="777">
      <c r="A777" s="159"/>
      <c r="B777" s="636"/>
      <c r="C777" s="159"/>
      <c r="D777" s="636"/>
      <c r="E777" s="636"/>
      <c r="F777" s="159"/>
      <c r="G777" s="159"/>
      <c r="H777" s="159"/>
      <c r="I777" s="668"/>
      <c r="J777" s="157"/>
      <c r="K777" s="708"/>
      <c r="L777" s="157"/>
      <c r="M777" s="157"/>
      <c r="N777" s="157"/>
      <c r="O777" s="668"/>
      <c r="P777" s="709"/>
      <c r="Q777" s="59"/>
      <c r="R777" s="61"/>
      <c r="S777" s="41"/>
      <c r="T777" s="59"/>
      <c r="Y777" s="61"/>
      <c r="Z777" s="59"/>
      <c r="AF777" s="61"/>
      <c r="AH777" s="61"/>
      <c r="AI777" s="41"/>
      <c r="AK777" s="40">
        <v>774.0</v>
      </c>
      <c r="AL777" s="719" t="s">
        <v>2694</v>
      </c>
      <c r="AM777" s="720" t="s">
        <v>2570</v>
      </c>
      <c r="AN777" s="720" t="s">
        <v>2571</v>
      </c>
      <c r="AO777" s="722">
        <v>0.288</v>
      </c>
      <c r="AP777" s="722" t="s">
        <v>2572</v>
      </c>
    </row>
    <row r="778">
      <c r="A778" s="159"/>
      <c r="B778" s="636"/>
      <c r="C778" s="159"/>
      <c r="D778" s="636"/>
      <c r="E778" s="636"/>
      <c r="F778" s="159"/>
      <c r="G778" s="159"/>
      <c r="H778" s="159"/>
      <c r="I778" s="668"/>
      <c r="J778" s="157"/>
      <c r="K778" s="708"/>
      <c r="L778" s="157"/>
      <c r="M778" s="157"/>
      <c r="N778" s="157"/>
      <c r="O778" s="668"/>
      <c r="P778" s="709"/>
      <c r="Q778" s="59"/>
      <c r="R778" s="61"/>
      <c r="S778" s="41"/>
      <c r="T778" s="59"/>
      <c r="Y778" s="61"/>
      <c r="Z778" s="59"/>
      <c r="AF778" s="61"/>
      <c r="AH778" s="61"/>
      <c r="AI778" s="41"/>
      <c r="AK778" s="40">
        <v>775.0</v>
      </c>
      <c r="AL778" s="738" t="s">
        <v>2695</v>
      </c>
      <c r="AM778" s="738" t="s">
        <v>2574</v>
      </c>
      <c r="AN778" s="738" t="s">
        <v>2575</v>
      </c>
      <c r="AO778" s="739">
        <v>0.451</v>
      </c>
      <c r="AP778" s="739" t="s">
        <v>2576</v>
      </c>
    </row>
    <row r="779">
      <c r="A779" s="159"/>
      <c r="B779" s="636"/>
      <c r="C779" s="159"/>
      <c r="D779" s="636"/>
      <c r="E779" s="636"/>
      <c r="F779" s="159"/>
      <c r="G779" s="159"/>
      <c r="H779" s="159"/>
      <c r="I779" s="668"/>
      <c r="J779" s="157"/>
      <c r="K779" s="708"/>
      <c r="L779" s="157"/>
      <c r="M779" s="157"/>
      <c r="N779" s="157"/>
      <c r="O779" s="668"/>
      <c r="P779" s="709"/>
      <c r="Q779" s="59"/>
      <c r="R779" s="61"/>
      <c r="S779" s="41"/>
      <c r="T779" s="59"/>
      <c r="Y779" s="61"/>
      <c r="Z779" s="59"/>
      <c r="AF779" s="61"/>
      <c r="AH779" s="61"/>
      <c r="AI779" s="41"/>
      <c r="AK779" s="40">
        <v>776.0</v>
      </c>
      <c r="AL779" s="719" t="s">
        <v>2696</v>
      </c>
      <c r="AM779" s="720" t="s">
        <v>2578</v>
      </c>
      <c r="AN779" s="720" t="s">
        <v>2579</v>
      </c>
      <c r="AO779" s="722">
        <v>0.54</v>
      </c>
      <c r="AP779" s="722" t="s">
        <v>2580</v>
      </c>
    </row>
    <row r="780">
      <c r="A780" s="159"/>
      <c r="B780" s="636"/>
      <c r="C780" s="159"/>
      <c r="D780" s="636"/>
      <c r="E780" s="636"/>
      <c r="F780" s="159"/>
      <c r="G780" s="159"/>
      <c r="H780" s="159"/>
      <c r="I780" s="668"/>
      <c r="J780" s="157"/>
      <c r="K780" s="708"/>
      <c r="L780" s="157"/>
      <c r="M780" s="157"/>
      <c r="N780" s="157"/>
      <c r="O780" s="668"/>
      <c r="P780" s="709"/>
      <c r="Q780" s="59"/>
      <c r="R780" s="61"/>
      <c r="S780" s="41"/>
      <c r="T780" s="59"/>
      <c r="Y780" s="61"/>
      <c r="Z780" s="59"/>
      <c r="AF780" s="61"/>
      <c r="AH780" s="61"/>
      <c r="AI780" s="41"/>
      <c r="AK780" s="40">
        <v>777.0</v>
      </c>
      <c r="AL780" s="738" t="s">
        <v>2697</v>
      </c>
      <c r="AM780" s="738" t="s">
        <v>2065</v>
      </c>
      <c r="AN780" s="738" t="s">
        <v>2066</v>
      </c>
      <c r="AO780" s="739">
        <v>0.049</v>
      </c>
      <c r="AP780" s="739" t="s">
        <v>2067</v>
      </c>
    </row>
    <row r="781">
      <c r="A781" s="159"/>
      <c r="B781" s="636"/>
      <c r="C781" s="159"/>
      <c r="D781" s="636"/>
      <c r="E781" s="636"/>
      <c r="F781" s="159"/>
      <c r="G781" s="159"/>
      <c r="H781" s="159"/>
      <c r="I781" s="668"/>
      <c r="J781" s="157"/>
      <c r="K781" s="708"/>
      <c r="L781" s="157"/>
      <c r="M781" s="157"/>
      <c r="N781" s="157"/>
      <c r="O781" s="668"/>
      <c r="P781" s="709"/>
      <c r="Q781" s="59"/>
      <c r="R781" s="61"/>
      <c r="S781" s="41"/>
      <c r="T781" s="59"/>
      <c r="Y781" s="61"/>
      <c r="Z781" s="59"/>
      <c r="AF781" s="61"/>
      <c r="AH781" s="61"/>
      <c r="AI781" s="41"/>
      <c r="AK781" s="40">
        <v>778.0</v>
      </c>
      <c r="AL781" s="719" t="s">
        <v>2698</v>
      </c>
      <c r="AM781" s="720" t="s">
        <v>2570</v>
      </c>
      <c r="AN781" s="720" t="s">
        <v>2571</v>
      </c>
      <c r="AO781" s="722">
        <v>0.288</v>
      </c>
      <c r="AP781" s="722" t="s">
        <v>2572</v>
      </c>
    </row>
    <row r="782">
      <c r="A782" s="159"/>
      <c r="B782" s="636"/>
      <c r="C782" s="159"/>
      <c r="D782" s="636"/>
      <c r="E782" s="636"/>
      <c r="F782" s="159"/>
      <c r="G782" s="159"/>
      <c r="H782" s="159"/>
      <c r="I782" s="668"/>
      <c r="J782" s="157"/>
      <c r="K782" s="708"/>
      <c r="L782" s="157"/>
      <c r="M782" s="157"/>
      <c r="N782" s="157"/>
      <c r="O782" s="668"/>
      <c r="P782" s="709"/>
      <c r="Q782" s="59"/>
      <c r="R782" s="61"/>
      <c r="S782" s="41"/>
      <c r="T782" s="59"/>
      <c r="Y782" s="61"/>
      <c r="Z782" s="59"/>
      <c r="AF782" s="61"/>
      <c r="AH782" s="61"/>
      <c r="AI782" s="41"/>
      <c r="AK782" s="40">
        <v>779.0</v>
      </c>
      <c r="AL782" s="738" t="s">
        <v>2699</v>
      </c>
      <c r="AM782" s="738" t="s">
        <v>2574</v>
      </c>
      <c r="AN782" s="738" t="s">
        <v>2575</v>
      </c>
      <c r="AO782" s="739">
        <v>0.451</v>
      </c>
      <c r="AP782" s="739" t="s">
        <v>2576</v>
      </c>
    </row>
    <row r="783">
      <c r="A783" s="159"/>
      <c r="B783" s="636"/>
      <c r="C783" s="159"/>
      <c r="D783" s="636"/>
      <c r="E783" s="636"/>
      <c r="F783" s="159"/>
      <c r="G783" s="159"/>
      <c r="H783" s="159"/>
      <c r="I783" s="668"/>
      <c r="J783" s="157"/>
      <c r="K783" s="708"/>
      <c r="L783" s="157"/>
      <c r="M783" s="157"/>
      <c r="N783" s="157"/>
      <c r="O783" s="668"/>
      <c r="P783" s="709"/>
      <c r="Q783" s="59"/>
      <c r="R783" s="61"/>
      <c r="S783" s="41"/>
      <c r="T783" s="59"/>
      <c r="Y783" s="61"/>
      <c r="Z783" s="59"/>
      <c r="AF783" s="61"/>
      <c r="AH783" s="61"/>
      <c r="AI783" s="41"/>
      <c r="AK783" s="40">
        <v>780.0</v>
      </c>
      <c r="AL783" s="719" t="s">
        <v>2700</v>
      </c>
      <c r="AM783" s="720" t="s">
        <v>2578</v>
      </c>
      <c r="AN783" s="720" t="s">
        <v>2579</v>
      </c>
      <c r="AO783" s="722">
        <v>0.54</v>
      </c>
      <c r="AP783" s="722" t="s">
        <v>2580</v>
      </c>
    </row>
    <row r="784">
      <c r="A784" s="159"/>
      <c r="B784" s="636"/>
      <c r="C784" s="159"/>
      <c r="D784" s="636"/>
      <c r="E784" s="636"/>
      <c r="F784" s="159"/>
      <c r="G784" s="159"/>
      <c r="H784" s="159"/>
      <c r="I784" s="668"/>
      <c r="J784" s="157"/>
      <c r="K784" s="708"/>
      <c r="L784" s="157"/>
      <c r="M784" s="157"/>
      <c r="N784" s="157"/>
      <c r="O784" s="668"/>
      <c r="P784" s="709"/>
      <c r="Q784" s="59"/>
      <c r="R784" s="61"/>
      <c r="S784" s="41"/>
      <c r="T784" s="59"/>
      <c r="Y784" s="61"/>
      <c r="Z784" s="59"/>
      <c r="AF784" s="61"/>
      <c r="AH784" s="61"/>
      <c r="AI784" s="41"/>
      <c r="AK784" s="40">
        <v>781.0</v>
      </c>
      <c r="AL784" s="738" t="s">
        <v>2701</v>
      </c>
      <c r="AM784" s="738" t="s">
        <v>2065</v>
      </c>
      <c r="AN784" s="738" t="s">
        <v>2066</v>
      </c>
      <c r="AO784" s="739">
        <v>0.049</v>
      </c>
      <c r="AP784" s="739" t="s">
        <v>2067</v>
      </c>
    </row>
    <row r="785">
      <c r="A785" s="159"/>
      <c r="B785" s="636"/>
      <c r="C785" s="159"/>
      <c r="D785" s="636"/>
      <c r="E785" s="636"/>
      <c r="F785" s="159"/>
      <c r="G785" s="159"/>
      <c r="H785" s="159"/>
      <c r="I785" s="668"/>
      <c r="J785" s="157"/>
      <c r="K785" s="708"/>
      <c r="L785" s="157"/>
      <c r="M785" s="157"/>
      <c r="N785" s="157"/>
      <c r="O785" s="668"/>
      <c r="P785" s="709"/>
      <c r="Q785" s="59"/>
      <c r="R785" s="61"/>
      <c r="S785" s="41"/>
      <c r="T785" s="59"/>
      <c r="Y785" s="61"/>
      <c r="Z785" s="59"/>
      <c r="AF785" s="61"/>
      <c r="AH785" s="61"/>
      <c r="AI785" s="41"/>
      <c r="AK785" s="40">
        <v>782.0</v>
      </c>
      <c r="AL785" s="719" t="s">
        <v>2702</v>
      </c>
      <c r="AM785" s="720" t="s">
        <v>2570</v>
      </c>
      <c r="AN785" s="720" t="s">
        <v>2571</v>
      </c>
      <c r="AO785" s="722">
        <v>0.288</v>
      </c>
      <c r="AP785" s="722" t="s">
        <v>2572</v>
      </c>
    </row>
    <row r="786">
      <c r="A786" s="159"/>
      <c r="B786" s="636"/>
      <c r="C786" s="159"/>
      <c r="D786" s="636"/>
      <c r="E786" s="636"/>
      <c r="F786" s="159"/>
      <c r="G786" s="159"/>
      <c r="H786" s="159"/>
      <c r="I786" s="668"/>
      <c r="J786" s="157"/>
      <c r="K786" s="708"/>
      <c r="L786" s="157"/>
      <c r="M786" s="157"/>
      <c r="N786" s="157"/>
      <c r="O786" s="668"/>
      <c r="P786" s="709"/>
      <c r="Q786" s="59"/>
      <c r="R786" s="61"/>
      <c r="S786" s="41"/>
      <c r="T786" s="59"/>
      <c r="Y786" s="61"/>
      <c r="Z786" s="59"/>
      <c r="AF786" s="61"/>
      <c r="AH786" s="61"/>
      <c r="AI786" s="41"/>
      <c r="AK786" s="40">
        <v>783.0</v>
      </c>
      <c r="AL786" s="738" t="s">
        <v>2703</v>
      </c>
      <c r="AM786" s="738" t="s">
        <v>2574</v>
      </c>
      <c r="AN786" s="738" t="s">
        <v>2575</v>
      </c>
      <c r="AO786" s="739">
        <v>0.451</v>
      </c>
      <c r="AP786" s="739" t="s">
        <v>2576</v>
      </c>
    </row>
    <row r="787">
      <c r="A787" s="159"/>
      <c r="B787" s="636"/>
      <c r="C787" s="159"/>
      <c r="D787" s="636"/>
      <c r="E787" s="636"/>
      <c r="F787" s="159"/>
      <c r="G787" s="159"/>
      <c r="H787" s="159"/>
      <c r="I787" s="668"/>
      <c r="J787" s="157"/>
      <c r="K787" s="708"/>
      <c r="L787" s="157"/>
      <c r="M787" s="157"/>
      <c r="N787" s="157"/>
      <c r="O787" s="668"/>
      <c r="P787" s="709"/>
      <c r="Q787" s="59"/>
      <c r="R787" s="61"/>
      <c r="S787" s="41"/>
      <c r="T787" s="59"/>
      <c r="Y787" s="61"/>
      <c r="Z787" s="59"/>
      <c r="AF787" s="61"/>
      <c r="AH787" s="61"/>
      <c r="AI787" s="41"/>
      <c r="AK787" s="40">
        <v>784.0</v>
      </c>
      <c r="AL787" s="719" t="s">
        <v>2704</v>
      </c>
      <c r="AM787" s="720" t="s">
        <v>2578</v>
      </c>
      <c r="AN787" s="720" t="s">
        <v>2579</v>
      </c>
      <c r="AO787" s="722">
        <v>0.54</v>
      </c>
      <c r="AP787" s="722" t="s">
        <v>2580</v>
      </c>
    </row>
    <row r="788">
      <c r="A788" s="159"/>
      <c r="B788" s="636"/>
      <c r="C788" s="159"/>
      <c r="D788" s="636"/>
      <c r="E788" s="636"/>
      <c r="F788" s="159"/>
      <c r="G788" s="159"/>
      <c r="H788" s="159"/>
      <c r="I788" s="668"/>
      <c r="J788" s="157"/>
      <c r="K788" s="708"/>
      <c r="L788" s="157"/>
      <c r="M788" s="157"/>
      <c r="N788" s="157"/>
      <c r="O788" s="668"/>
      <c r="P788" s="709"/>
      <c r="Q788" s="59"/>
      <c r="R788" s="61"/>
      <c r="S788" s="41"/>
      <c r="T788" s="59"/>
      <c r="Y788" s="61"/>
      <c r="Z788" s="59"/>
      <c r="AF788" s="61"/>
      <c r="AH788" s="61"/>
      <c r="AI788" s="41"/>
      <c r="AK788" s="40">
        <v>785.0</v>
      </c>
      <c r="AL788" s="738" t="s">
        <v>2705</v>
      </c>
      <c r="AM788" s="738" t="s">
        <v>2065</v>
      </c>
      <c r="AN788" s="738" t="s">
        <v>2066</v>
      </c>
      <c r="AO788" s="739">
        <v>0.049</v>
      </c>
      <c r="AP788" s="739" t="s">
        <v>2067</v>
      </c>
    </row>
    <row r="789">
      <c r="A789" s="159"/>
      <c r="B789" s="636"/>
      <c r="C789" s="159"/>
      <c r="D789" s="636"/>
      <c r="E789" s="636"/>
      <c r="F789" s="159"/>
      <c r="G789" s="159"/>
      <c r="H789" s="159"/>
      <c r="I789" s="668"/>
      <c r="J789" s="157"/>
      <c r="K789" s="708"/>
      <c r="L789" s="157"/>
      <c r="M789" s="157"/>
      <c r="N789" s="157"/>
      <c r="O789" s="668"/>
      <c r="P789" s="709"/>
      <c r="Q789" s="59"/>
      <c r="R789" s="61"/>
      <c r="S789" s="41"/>
      <c r="T789" s="59"/>
      <c r="Y789" s="61"/>
      <c r="Z789" s="59"/>
      <c r="AF789" s="61"/>
      <c r="AH789" s="61"/>
      <c r="AI789" s="41"/>
      <c r="AK789" s="40">
        <v>786.0</v>
      </c>
      <c r="AL789" s="719" t="s">
        <v>2706</v>
      </c>
      <c r="AM789" s="720" t="s">
        <v>2707</v>
      </c>
      <c r="AN789" s="720" t="s">
        <v>1744</v>
      </c>
      <c r="AO789" s="722">
        <v>0.065</v>
      </c>
      <c r="AP789" s="722" t="s">
        <v>2708</v>
      </c>
    </row>
    <row r="790">
      <c r="A790" s="159"/>
      <c r="B790" s="636"/>
      <c r="C790" s="159"/>
      <c r="D790" s="636"/>
      <c r="E790" s="636"/>
      <c r="F790" s="159"/>
      <c r="G790" s="159"/>
      <c r="H790" s="159"/>
      <c r="I790" s="668"/>
      <c r="J790" s="157"/>
      <c r="K790" s="708"/>
      <c r="L790" s="157"/>
      <c r="M790" s="157"/>
      <c r="N790" s="157"/>
      <c r="O790" s="668"/>
      <c r="P790" s="709"/>
      <c r="Q790" s="59"/>
      <c r="R790" s="61"/>
      <c r="S790" s="41"/>
      <c r="T790" s="59"/>
      <c r="Y790" s="61"/>
      <c r="Z790" s="59"/>
      <c r="AF790" s="61"/>
      <c r="AH790" s="61"/>
      <c r="AI790" s="41"/>
      <c r="AK790" s="40">
        <v>787.0</v>
      </c>
      <c r="AL790" s="738" t="s">
        <v>2709</v>
      </c>
      <c r="AM790" s="738" t="s">
        <v>2710</v>
      </c>
      <c r="AN790" s="738" t="s">
        <v>1744</v>
      </c>
      <c r="AO790" s="739">
        <v>0.181</v>
      </c>
      <c r="AP790" s="739" t="s">
        <v>2711</v>
      </c>
    </row>
    <row r="791">
      <c r="A791" s="159"/>
      <c r="B791" s="636"/>
      <c r="C791" s="159"/>
      <c r="D791" s="636"/>
      <c r="E791" s="636"/>
      <c r="F791" s="159"/>
      <c r="G791" s="159"/>
      <c r="H791" s="159"/>
      <c r="I791" s="668"/>
      <c r="J791" s="157"/>
      <c r="K791" s="708"/>
      <c r="L791" s="157"/>
      <c r="M791" s="157"/>
      <c r="N791" s="157"/>
      <c r="O791" s="668"/>
      <c r="P791" s="709"/>
      <c r="Q791" s="59"/>
      <c r="R791" s="61"/>
      <c r="S791" s="41"/>
      <c r="T791" s="59"/>
      <c r="Y791" s="61"/>
      <c r="Z791" s="59"/>
      <c r="AF791" s="61"/>
      <c r="AH791" s="61"/>
      <c r="AI791" s="41"/>
      <c r="AK791" s="40">
        <v>788.0</v>
      </c>
      <c r="AL791" s="719" t="s">
        <v>2712</v>
      </c>
      <c r="AM791" s="720" t="s">
        <v>2713</v>
      </c>
      <c r="AN791" s="720" t="s">
        <v>2714</v>
      </c>
      <c r="AO791" s="722">
        <v>0.139</v>
      </c>
      <c r="AP791" s="722" t="s">
        <v>2715</v>
      </c>
    </row>
    <row r="792">
      <c r="A792" s="159"/>
      <c r="B792" s="636"/>
      <c r="C792" s="159"/>
      <c r="D792" s="636"/>
      <c r="E792" s="636"/>
      <c r="F792" s="159"/>
      <c r="G792" s="159"/>
      <c r="H792" s="159"/>
      <c r="I792" s="668"/>
      <c r="J792" s="157"/>
      <c r="K792" s="708"/>
      <c r="L792" s="157"/>
      <c r="M792" s="157"/>
      <c r="N792" s="157"/>
      <c r="O792" s="668"/>
      <c r="P792" s="709"/>
      <c r="Q792" s="59"/>
      <c r="R792" s="61"/>
      <c r="S792" s="41"/>
      <c r="T792" s="59"/>
      <c r="Y792" s="61"/>
      <c r="Z792" s="59"/>
      <c r="AF792" s="61"/>
      <c r="AH792" s="61"/>
      <c r="AI792" s="41"/>
      <c r="AK792" s="40">
        <v>789.0</v>
      </c>
      <c r="AL792" s="738" t="s">
        <v>2716</v>
      </c>
      <c r="AM792" s="738" t="s">
        <v>2717</v>
      </c>
      <c r="AN792" s="738" t="s">
        <v>2718</v>
      </c>
      <c r="AO792" s="739">
        <v>0.017</v>
      </c>
      <c r="AP792" s="739" t="s">
        <v>2719</v>
      </c>
    </row>
    <row r="793">
      <c r="A793" s="159"/>
      <c r="B793" s="636"/>
      <c r="C793" s="159"/>
      <c r="D793" s="636"/>
      <c r="E793" s="636"/>
      <c r="F793" s="159"/>
      <c r="G793" s="159"/>
      <c r="H793" s="159"/>
      <c r="I793" s="668"/>
      <c r="J793" s="157"/>
      <c r="K793" s="708"/>
      <c r="L793" s="157"/>
      <c r="M793" s="157"/>
      <c r="N793" s="157"/>
      <c r="O793" s="668"/>
      <c r="P793" s="709"/>
      <c r="Q793" s="59"/>
      <c r="R793" s="61"/>
      <c r="S793" s="41"/>
      <c r="T793" s="59"/>
      <c r="Y793" s="61"/>
      <c r="Z793" s="59"/>
      <c r="AF793" s="61"/>
      <c r="AH793" s="61"/>
      <c r="AI793" s="41"/>
      <c r="AK793" s="40">
        <v>790.0</v>
      </c>
      <c r="AL793" s="719" t="s">
        <v>2720</v>
      </c>
      <c r="AM793" s="720" t="s">
        <v>2570</v>
      </c>
      <c r="AN793" s="720" t="s">
        <v>2571</v>
      </c>
      <c r="AO793" s="722">
        <v>0.288</v>
      </c>
      <c r="AP793" s="722" t="s">
        <v>2572</v>
      </c>
    </row>
    <row r="794">
      <c r="A794" s="159"/>
      <c r="B794" s="636"/>
      <c r="C794" s="159"/>
      <c r="D794" s="636"/>
      <c r="E794" s="636"/>
      <c r="F794" s="159"/>
      <c r="G794" s="159"/>
      <c r="H794" s="159"/>
      <c r="I794" s="668"/>
      <c r="J794" s="157"/>
      <c r="K794" s="708"/>
      <c r="L794" s="157"/>
      <c r="M794" s="157"/>
      <c r="N794" s="157"/>
      <c r="O794" s="668"/>
      <c r="P794" s="709"/>
      <c r="Q794" s="59"/>
      <c r="R794" s="61"/>
      <c r="S794" s="41"/>
      <c r="T794" s="59"/>
      <c r="Y794" s="61"/>
      <c r="Z794" s="59"/>
      <c r="AF794" s="61"/>
      <c r="AH794" s="61"/>
      <c r="AI794" s="41"/>
      <c r="AK794" s="40">
        <v>791.0</v>
      </c>
      <c r="AL794" s="738" t="s">
        <v>2721</v>
      </c>
      <c r="AM794" s="738" t="s">
        <v>2574</v>
      </c>
      <c r="AN794" s="738" t="s">
        <v>2575</v>
      </c>
      <c r="AO794" s="739">
        <v>0.451</v>
      </c>
      <c r="AP794" s="739" t="s">
        <v>2576</v>
      </c>
    </row>
    <row r="795">
      <c r="A795" s="159"/>
      <c r="B795" s="636"/>
      <c r="C795" s="159"/>
      <c r="D795" s="636"/>
      <c r="E795" s="636"/>
      <c r="F795" s="159"/>
      <c r="G795" s="159"/>
      <c r="H795" s="159"/>
      <c r="I795" s="668"/>
      <c r="J795" s="157"/>
      <c r="K795" s="708"/>
      <c r="L795" s="157"/>
      <c r="M795" s="157"/>
      <c r="N795" s="157"/>
      <c r="O795" s="668"/>
      <c r="P795" s="709"/>
      <c r="Q795" s="59"/>
      <c r="R795" s="61"/>
      <c r="S795" s="41"/>
      <c r="T795" s="59"/>
      <c r="Y795" s="61"/>
      <c r="Z795" s="59"/>
      <c r="AF795" s="61"/>
      <c r="AH795" s="61"/>
      <c r="AI795" s="41"/>
      <c r="AK795" s="40">
        <v>792.0</v>
      </c>
      <c r="AL795" s="719" t="s">
        <v>2722</v>
      </c>
      <c r="AM795" s="720" t="s">
        <v>2578</v>
      </c>
      <c r="AN795" s="720" t="s">
        <v>2579</v>
      </c>
      <c r="AO795" s="722">
        <v>0.54</v>
      </c>
      <c r="AP795" s="722" t="s">
        <v>2580</v>
      </c>
    </row>
    <row r="796">
      <c r="A796" s="159"/>
      <c r="B796" s="636"/>
      <c r="C796" s="159"/>
      <c r="D796" s="636"/>
      <c r="E796" s="636"/>
      <c r="F796" s="159"/>
      <c r="G796" s="159"/>
      <c r="H796" s="159"/>
      <c r="I796" s="668"/>
      <c r="J796" s="157"/>
      <c r="K796" s="708"/>
      <c r="L796" s="157"/>
      <c r="M796" s="157"/>
      <c r="N796" s="157"/>
      <c r="O796" s="668"/>
      <c r="P796" s="709"/>
      <c r="Q796" s="59"/>
      <c r="R796" s="61"/>
      <c r="S796" s="41"/>
      <c r="T796" s="59"/>
      <c r="Y796" s="61"/>
      <c r="Z796" s="59"/>
      <c r="AF796" s="61"/>
      <c r="AH796" s="61"/>
      <c r="AI796" s="41"/>
      <c r="AK796" s="40">
        <v>793.0</v>
      </c>
      <c r="AL796" s="738" t="s">
        <v>2723</v>
      </c>
      <c r="AM796" s="738" t="s">
        <v>2065</v>
      </c>
      <c r="AN796" s="738" t="s">
        <v>2066</v>
      </c>
      <c r="AO796" s="739">
        <v>0.049</v>
      </c>
      <c r="AP796" s="739" t="s">
        <v>2067</v>
      </c>
    </row>
    <row r="797">
      <c r="A797" s="159"/>
      <c r="B797" s="636"/>
      <c r="C797" s="159"/>
      <c r="D797" s="636"/>
      <c r="E797" s="636"/>
      <c r="F797" s="159"/>
      <c r="G797" s="159"/>
      <c r="H797" s="159"/>
      <c r="I797" s="668"/>
      <c r="J797" s="157"/>
      <c r="K797" s="708"/>
      <c r="L797" s="157"/>
      <c r="M797" s="157"/>
      <c r="N797" s="157"/>
      <c r="O797" s="668"/>
      <c r="P797" s="709"/>
      <c r="Q797" s="59"/>
      <c r="R797" s="61"/>
      <c r="S797" s="41"/>
      <c r="T797" s="59"/>
      <c r="Y797" s="61"/>
      <c r="Z797" s="59"/>
      <c r="AF797" s="61"/>
      <c r="AH797" s="61"/>
      <c r="AI797" s="41"/>
      <c r="AK797" s="40">
        <v>794.0</v>
      </c>
      <c r="AL797" s="719" t="s">
        <v>2724</v>
      </c>
      <c r="AM797" s="720" t="s">
        <v>2570</v>
      </c>
      <c r="AN797" s="720" t="s">
        <v>2571</v>
      </c>
      <c r="AO797" s="722">
        <v>0.288</v>
      </c>
      <c r="AP797" s="722" t="s">
        <v>2572</v>
      </c>
    </row>
    <row r="798">
      <c r="A798" s="159"/>
      <c r="B798" s="636"/>
      <c r="C798" s="159"/>
      <c r="D798" s="636"/>
      <c r="E798" s="636"/>
      <c r="F798" s="159"/>
      <c r="G798" s="159"/>
      <c r="H798" s="159"/>
      <c r="I798" s="668"/>
      <c r="J798" s="157"/>
      <c r="K798" s="708"/>
      <c r="L798" s="157"/>
      <c r="M798" s="157"/>
      <c r="N798" s="157"/>
      <c r="O798" s="668"/>
      <c r="P798" s="709"/>
      <c r="Q798" s="59"/>
      <c r="R798" s="61"/>
      <c r="S798" s="41"/>
      <c r="T798" s="59"/>
      <c r="Y798" s="61"/>
      <c r="Z798" s="59"/>
      <c r="AF798" s="61"/>
      <c r="AH798" s="61"/>
      <c r="AI798" s="41"/>
      <c r="AK798" s="40">
        <v>795.0</v>
      </c>
      <c r="AL798" s="738" t="s">
        <v>2725</v>
      </c>
      <c r="AM798" s="738" t="s">
        <v>2574</v>
      </c>
      <c r="AN798" s="738" t="s">
        <v>2575</v>
      </c>
      <c r="AO798" s="739">
        <v>0.451</v>
      </c>
      <c r="AP798" s="739" t="s">
        <v>2576</v>
      </c>
    </row>
    <row r="799">
      <c r="A799" s="159"/>
      <c r="B799" s="636"/>
      <c r="C799" s="159"/>
      <c r="D799" s="636"/>
      <c r="E799" s="636"/>
      <c r="F799" s="159"/>
      <c r="G799" s="159"/>
      <c r="H799" s="159"/>
      <c r="I799" s="668"/>
      <c r="J799" s="157"/>
      <c r="K799" s="708"/>
      <c r="L799" s="157"/>
      <c r="M799" s="157"/>
      <c r="N799" s="157"/>
      <c r="O799" s="668"/>
      <c r="P799" s="709"/>
      <c r="Q799" s="59"/>
      <c r="R799" s="61"/>
      <c r="S799" s="41"/>
      <c r="T799" s="59"/>
      <c r="Y799" s="61"/>
      <c r="Z799" s="59"/>
      <c r="AF799" s="61"/>
      <c r="AH799" s="61"/>
      <c r="AI799" s="41"/>
      <c r="AK799" s="40">
        <v>796.0</v>
      </c>
      <c r="AL799" s="719" t="s">
        <v>2726</v>
      </c>
      <c r="AM799" s="720" t="s">
        <v>2578</v>
      </c>
      <c r="AN799" s="720" t="s">
        <v>2579</v>
      </c>
      <c r="AO799" s="722">
        <v>0.54</v>
      </c>
      <c r="AP799" s="722" t="s">
        <v>2580</v>
      </c>
    </row>
    <row r="800">
      <c r="A800" s="159"/>
      <c r="B800" s="636"/>
      <c r="C800" s="159"/>
      <c r="D800" s="636"/>
      <c r="E800" s="636"/>
      <c r="F800" s="159"/>
      <c r="G800" s="159"/>
      <c r="H800" s="159"/>
      <c r="I800" s="668"/>
      <c r="J800" s="157"/>
      <c r="K800" s="708"/>
      <c r="L800" s="157"/>
      <c r="M800" s="157"/>
      <c r="N800" s="157"/>
      <c r="O800" s="668"/>
      <c r="P800" s="709"/>
      <c r="Q800" s="59"/>
      <c r="R800" s="61"/>
      <c r="S800" s="41"/>
      <c r="T800" s="59"/>
      <c r="Y800" s="61"/>
      <c r="Z800" s="59"/>
      <c r="AF800" s="61"/>
      <c r="AH800" s="61"/>
      <c r="AI800" s="41"/>
      <c r="AK800" s="40">
        <v>797.0</v>
      </c>
      <c r="AL800" s="738" t="s">
        <v>2727</v>
      </c>
      <c r="AM800" s="738" t="s">
        <v>2065</v>
      </c>
      <c r="AN800" s="738" t="s">
        <v>2066</v>
      </c>
      <c r="AO800" s="739">
        <v>0.049</v>
      </c>
      <c r="AP800" s="739" t="s">
        <v>2067</v>
      </c>
    </row>
    <row r="801">
      <c r="A801" s="159"/>
      <c r="B801" s="636"/>
      <c r="C801" s="159"/>
      <c r="D801" s="636"/>
      <c r="E801" s="636"/>
      <c r="F801" s="159"/>
      <c r="G801" s="159"/>
      <c r="H801" s="159"/>
      <c r="I801" s="668"/>
      <c r="J801" s="157"/>
      <c r="K801" s="708"/>
      <c r="L801" s="157"/>
      <c r="M801" s="157"/>
      <c r="N801" s="157"/>
      <c r="O801" s="668"/>
      <c r="P801" s="709"/>
      <c r="Q801" s="59"/>
      <c r="R801" s="61"/>
      <c r="S801" s="41"/>
      <c r="T801" s="59"/>
      <c r="Y801" s="61"/>
      <c r="Z801" s="59"/>
      <c r="AF801" s="61"/>
      <c r="AH801" s="61"/>
      <c r="AI801" s="41"/>
      <c r="AK801" s="40">
        <v>798.0</v>
      </c>
      <c r="AL801" s="719" t="s">
        <v>2728</v>
      </c>
      <c r="AM801" s="720" t="s">
        <v>2570</v>
      </c>
      <c r="AN801" s="720" t="s">
        <v>2571</v>
      </c>
      <c r="AO801" s="722">
        <v>0.288</v>
      </c>
      <c r="AP801" s="722" t="s">
        <v>2572</v>
      </c>
    </row>
    <row r="802">
      <c r="A802" s="159"/>
      <c r="B802" s="636"/>
      <c r="C802" s="159"/>
      <c r="D802" s="636"/>
      <c r="E802" s="636"/>
      <c r="F802" s="159"/>
      <c r="G802" s="159"/>
      <c r="H802" s="159"/>
      <c r="I802" s="668"/>
      <c r="J802" s="157"/>
      <c r="K802" s="708"/>
      <c r="L802" s="157"/>
      <c r="M802" s="157"/>
      <c r="N802" s="157"/>
      <c r="O802" s="668"/>
      <c r="P802" s="709"/>
      <c r="Q802" s="59"/>
      <c r="R802" s="61"/>
      <c r="S802" s="41"/>
      <c r="T802" s="59"/>
      <c r="Y802" s="61"/>
      <c r="Z802" s="59"/>
      <c r="AF802" s="61"/>
      <c r="AH802" s="61"/>
      <c r="AI802" s="41"/>
      <c r="AK802" s="40">
        <v>799.0</v>
      </c>
      <c r="AL802" s="738" t="s">
        <v>2729</v>
      </c>
      <c r="AM802" s="738" t="s">
        <v>2574</v>
      </c>
      <c r="AN802" s="738" t="s">
        <v>2575</v>
      </c>
      <c r="AO802" s="739">
        <v>0.451</v>
      </c>
      <c r="AP802" s="739" t="s">
        <v>2576</v>
      </c>
    </row>
    <row r="803">
      <c r="A803" s="159"/>
      <c r="B803" s="636"/>
      <c r="C803" s="159"/>
      <c r="D803" s="636"/>
      <c r="E803" s="636"/>
      <c r="F803" s="159"/>
      <c r="G803" s="159"/>
      <c r="H803" s="159"/>
      <c r="I803" s="668"/>
      <c r="J803" s="157"/>
      <c r="K803" s="708"/>
      <c r="L803" s="157"/>
      <c r="M803" s="157"/>
      <c r="N803" s="157"/>
      <c r="O803" s="668"/>
      <c r="P803" s="709"/>
      <c r="Q803" s="59"/>
      <c r="R803" s="61"/>
      <c r="S803" s="41"/>
      <c r="T803" s="59"/>
      <c r="Y803" s="61"/>
      <c r="Z803" s="59"/>
      <c r="AF803" s="61"/>
      <c r="AH803" s="61"/>
      <c r="AI803" s="41"/>
      <c r="AK803" s="40">
        <v>800.0</v>
      </c>
      <c r="AL803" s="719" t="s">
        <v>2730</v>
      </c>
      <c r="AM803" s="720" t="s">
        <v>2578</v>
      </c>
      <c r="AN803" s="720" t="s">
        <v>2579</v>
      </c>
      <c r="AO803" s="722">
        <v>0.54</v>
      </c>
      <c r="AP803" s="722" t="s">
        <v>2580</v>
      </c>
    </row>
    <row r="804">
      <c r="A804" s="159"/>
      <c r="B804" s="636"/>
      <c r="C804" s="159"/>
      <c r="D804" s="636"/>
      <c r="E804" s="636"/>
      <c r="F804" s="159"/>
      <c r="G804" s="159"/>
      <c r="H804" s="159"/>
      <c r="I804" s="668"/>
      <c r="J804" s="157"/>
      <c r="K804" s="708"/>
      <c r="L804" s="157"/>
      <c r="M804" s="157"/>
      <c r="N804" s="157"/>
      <c r="O804" s="668"/>
      <c r="P804" s="709"/>
      <c r="Q804" s="59"/>
      <c r="R804" s="61"/>
      <c r="S804" s="41"/>
      <c r="T804" s="59"/>
      <c r="Y804" s="61"/>
      <c r="Z804" s="59"/>
      <c r="AF804" s="61"/>
      <c r="AH804" s="61"/>
      <c r="AI804" s="41"/>
      <c r="AK804" s="40">
        <v>801.0</v>
      </c>
      <c r="AL804" s="738" t="s">
        <v>2731</v>
      </c>
      <c r="AM804" s="738" t="s">
        <v>2713</v>
      </c>
      <c r="AN804" s="738" t="s">
        <v>2714</v>
      </c>
      <c r="AO804" s="739">
        <v>0.139</v>
      </c>
      <c r="AP804" s="739" t="s">
        <v>2715</v>
      </c>
    </row>
    <row r="805">
      <c r="A805" s="159"/>
      <c r="B805" s="636"/>
      <c r="C805" s="159"/>
      <c r="D805" s="636"/>
      <c r="E805" s="636"/>
      <c r="F805" s="159"/>
      <c r="G805" s="159"/>
      <c r="H805" s="159"/>
      <c r="I805" s="668"/>
      <c r="J805" s="157"/>
      <c r="K805" s="708"/>
      <c r="L805" s="157"/>
      <c r="M805" s="157"/>
      <c r="N805" s="157"/>
      <c r="O805" s="668"/>
      <c r="P805" s="709"/>
      <c r="Q805" s="59"/>
      <c r="R805" s="61"/>
      <c r="S805" s="41"/>
      <c r="T805" s="59"/>
      <c r="Y805" s="61"/>
      <c r="Z805" s="59"/>
      <c r="AF805" s="61"/>
      <c r="AH805" s="61"/>
      <c r="AI805" s="41"/>
      <c r="AK805" s="40">
        <v>802.0</v>
      </c>
      <c r="AL805" s="719" t="s">
        <v>2732</v>
      </c>
      <c r="AM805" s="720" t="s">
        <v>2065</v>
      </c>
      <c r="AN805" s="720" t="s">
        <v>2066</v>
      </c>
      <c r="AO805" s="722">
        <v>0.049</v>
      </c>
      <c r="AP805" s="722" t="s">
        <v>2067</v>
      </c>
    </row>
    <row r="806">
      <c r="A806" s="159"/>
      <c r="B806" s="636"/>
      <c r="C806" s="159"/>
      <c r="D806" s="636"/>
      <c r="E806" s="636"/>
      <c r="F806" s="159"/>
      <c r="G806" s="159"/>
      <c r="H806" s="159"/>
      <c r="I806" s="668"/>
      <c r="J806" s="157"/>
      <c r="K806" s="708"/>
      <c r="L806" s="157"/>
      <c r="M806" s="157"/>
      <c r="N806" s="157"/>
      <c r="O806" s="668"/>
      <c r="P806" s="709"/>
      <c r="Q806" s="59"/>
      <c r="R806" s="61"/>
      <c r="S806" s="41"/>
      <c r="T806" s="59"/>
      <c r="Y806" s="61"/>
      <c r="Z806" s="59"/>
      <c r="AF806" s="61"/>
      <c r="AH806" s="61"/>
      <c r="AI806" s="41"/>
      <c r="AK806" s="40">
        <v>803.0</v>
      </c>
      <c r="AL806" s="738" t="s">
        <v>2733</v>
      </c>
      <c r="AM806" s="738" t="s">
        <v>2710</v>
      </c>
      <c r="AN806" s="738" t="s">
        <v>1744</v>
      </c>
      <c r="AO806" s="739">
        <v>0.181</v>
      </c>
      <c r="AP806" s="739" t="s">
        <v>2711</v>
      </c>
    </row>
    <row r="807">
      <c r="A807" s="159"/>
      <c r="B807" s="636"/>
      <c r="C807" s="159"/>
      <c r="D807" s="636"/>
      <c r="E807" s="636"/>
      <c r="F807" s="159"/>
      <c r="G807" s="159"/>
      <c r="H807" s="159"/>
      <c r="I807" s="668"/>
      <c r="J807" s="157"/>
      <c r="K807" s="708"/>
      <c r="L807" s="157"/>
      <c r="M807" s="157"/>
      <c r="N807" s="157"/>
      <c r="O807" s="668"/>
      <c r="P807" s="709"/>
      <c r="Q807" s="59"/>
      <c r="R807" s="61"/>
      <c r="S807" s="41"/>
      <c r="T807" s="59"/>
      <c r="Y807" s="61"/>
      <c r="Z807" s="59"/>
      <c r="AF807" s="61"/>
      <c r="AH807" s="61"/>
      <c r="AI807" s="41"/>
      <c r="AK807" s="40">
        <v>804.0</v>
      </c>
      <c r="AL807" s="719" t="s">
        <v>2734</v>
      </c>
      <c r="AM807" s="720" t="s">
        <v>2570</v>
      </c>
      <c r="AN807" s="720" t="s">
        <v>2571</v>
      </c>
      <c r="AO807" s="722">
        <v>0.288</v>
      </c>
      <c r="AP807" s="722" t="s">
        <v>2572</v>
      </c>
    </row>
    <row r="808">
      <c r="A808" s="159"/>
      <c r="B808" s="636"/>
      <c r="C808" s="159"/>
      <c r="D808" s="636"/>
      <c r="E808" s="636"/>
      <c r="F808" s="159"/>
      <c r="G808" s="159"/>
      <c r="H808" s="159"/>
      <c r="I808" s="668"/>
      <c r="J808" s="157"/>
      <c r="K808" s="708"/>
      <c r="L808" s="157"/>
      <c r="M808" s="157"/>
      <c r="N808" s="157"/>
      <c r="O808" s="668"/>
      <c r="P808" s="709"/>
      <c r="Q808" s="59"/>
      <c r="R808" s="61"/>
      <c r="S808" s="41"/>
      <c r="T808" s="59"/>
      <c r="Y808" s="61"/>
      <c r="Z808" s="59"/>
      <c r="AF808" s="61"/>
      <c r="AH808" s="61"/>
      <c r="AI808" s="41"/>
      <c r="AK808" s="40">
        <v>805.0</v>
      </c>
      <c r="AL808" s="738" t="s">
        <v>2735</v>
      </c>
      <c r="AM808" s="738" t="s">
        <v>2574</v>
      </c>
      <c r="AN808" s="738" t="s">
        <v>2575</v>
      </c>
      <c r="AO808" s="739">
        <v>0.451</v>
      </c>
      <c r="AP808" s="739" t="s">
        <v>2576</v>
      </c>
    </row>
    <row r="809">
      <c r="A809" s="159"/>
      <c r="B809" s="636"/>
      <c r="C809" s="159"/>
      <c r="D809" s="636"/>
      <c r="E809" s="636"/>
      <c r="F809" s="159"/>
      <c r="G809" s="159"/>
      <c r="H809" s="159"/>
      <c r="I809" s="668"/>
      <c r="J809" s="157"/>
      <c r="K809" s="708"/>
      <c r="L809" s="157"/>
      <c r="M809" s="157"/>
      <c r="N809" s="157"/>
      <c r="O809" s="668"/>
      <c r="P809" s="709"/>
      <c r="Q809" s="59"/>
      <c r="R809" s="61"/>
      <c r="S809" s="41"/>
      <c r="T809" s="59"/>
      <c r="Y809" s="61"/>
      <c r="Z809" s="59"/>
      <c r="AF809" s="61"/>
      <c r="AH809" s="61"/>
      <c r="AI809" s="41"/>
      <c r="AK809" s="40">
        <v>806.0</v>
      </c>
      <c r="AL809" s="719" t="s">
        <v>2736</v>
      </c>
      <c r="AM809" s="720" t="s">
        <v>2578</v>
      </c>
      <c r="AN809" s="720" t="s">
        <v>2579</v>
      </c>
      <c r="AO809" s="722">
        <v>0.54</v>
      </c>
      <c r="AP809" s="722" t="s">
        <v>2580</v>
      </c>
    </row>
    <row r="810">
      <c r="A810" s="159"/>
      <c r="B810" s="636"/>
      <c r="C810" s="159"/>
      <c r="D810" s="636"/>
      <c r="E810" s="636"/>
      <c r="F810" s="159"/>
      <c r="G810" s="159"/>
      <c r="H810" s="159"/>
      <c r="I810" s="668"/>
      <c r="J810" s="157"/>
      <c r="K810" s="708"/>
      <c r="L810" s="157"/>
      <c r="M810" s="157"/>
      <c r="N810" s="157"/>
      <c r="O810" s="668"/>
      <c r="P810" s="709"/>
      <c r="Q810" s="59"/>
      <c r="R810" s="61"/>
      <c r="S810" s="41"/>
      <c r="T810" s="59"/>
      <c r="Y810" s="61"/>
      <c r="Z810" s="59"/>
      <c r="AF810" s="61"/>
      <c r="AH810" s="61"/>
      <c r="AI810" s="41"/>
      <c r="AK810" s="40">
        <v>807.0</v>
      </c>
      <c r="AL810" s="738" t="s">
        <v>2737</v>
      </c>
      <c r="AM810" s="738" t="s">
        <v>2065</v>
      </c>
      <c r="AN810" s="738" t="s">
        <v>2066</v>
      </c>
      <c r="AO810" s="739">
        <v>0.049</v>
      </c>
      <c r="AP810" s="739" t="s">
        <v>2067</v>
      </c>
    </row>
    <row r="811">
      <c r="A811" s="159"/>
      <c r="B811" s="636"/>
      <c r="C811" s="159"/>
      <c r="D811" s="636"/>
      <c r="E811" s="636"/>
      <c r="F811" s="159"/>
      <c r="G811" s="159"/>
      <c r="H811" s="159"/>
      <c r="I811" s="668"/>
      <c r="J811" s="157"/>
      <c r="K811" s="708"/>
      <c r="L811" s="157"/>
      <c r="M811" s="157"/>
      <c r="N811" s="157"/>
      <c r="O811" s="668"/>
      <c r="P811" s="709"/>
      <c r="Q811" s="59"/>
      <c r="R811" s="61"/>
      <c r="S811" s="41"/>
      <c r="T811" s="59"/>
      <c r="Y811" s="61"/>
      <c r="Z811" s="59"/>
      <c r="AF811" s="61"/>
      <c r="AH811" s="61"/>
      <c r="AI811" s="41"/>
      <c r="AK811" s="40">
        <v>808.0</v>
      </c>
      <c r="AL811" s="719" t="s">
        <v>2738</v>
      </c>
      <c r="AM811" s="720" t="s">
        <v>2570</v>
      </c>
      <c r="AN811" s="720" t="s">
        <v>2571</v>
      </c>
      <c r="AO811" s="722">
        <v>0.288</v>
      </c>
      <c r="AP811" s="722" t="s">
        <v>2572</v>
      </c>
    </row>
    <row r="812">
      <c r="A812" s="159"/>
      <c r="B812" s="636"/>
      <c r="C812" s="159"/>
      <c r="D812" s="636"/>
      <c r="E812" s="636"/>
      <c r="F812" s="159"/>
      <c r="G812" s="159"/>
      <c r="H812" s="159"/>
      <c r="I812" s="668"/>
      <c r="J812" s="157"/>
      <c r="K812" s="708"/>
      <c r="L812" s="157"/>
      <c r="M812" s="157"/>
      <c r="N812" s="157"/>
      <c r="O812" s="668"/>
      <c r="P812" s="709"/>
      <c r="Q812" s="59"/>
      <c r="R812" s="61"/>
      <c r="S812" s="41"/>
      <c r="T812" s="59"/>
      <c r="Y812" s="61"/>
      <c r="Z812" s="59"/>
      <c r="AF812" s="61"/>
      <c r="AH812" s="61"/>
      <c r="AI812" s="41"/>
      <c r="AK812" s="40">
        <v>809.0</v>
      </c>
      <c r="AL812" s="738" t="s">
        <v>2739</v>
      </c>
      <c r="AM812" s="738" t="s">
        <v>2574</v>
      </c>
      <c r="AN812" s="738" t="s">
        <v>2575</v>
      </c>
      <c r="AO812" s="739">
        <v>0.451</v>
      </c>
      <c r="AP812" s="739" t="s">
        <v>2576</v>
      </c>
    </row>
    <row r="813">
      <c r="A813" s="159"/>
      <c r="B813" s="636"/>
      <c r="C813" s="159"/>
      <c r="D813" s="636"/>
      <c r="E813" s="636"/>
      <c r="F813" s="159"/>
      <c r="G813" s="159"/>
      <c r="H813" s="159"/>
      <c r="I813" s="668"/>
      <c r="J813" s="157"/>
      <c r="K813" s="708"/>
      <c r="L813" s="157"/>
      <c r="M813" s="157"/>
      <c r="N813" s="157"/>
      <c r="O813" s="668"/>
      <c r="P813" s="709"/>
      <c r="Q813" s="59"/>
      <c r="R813" s="61"/>
      <c r="S813" s="41"/>
      <c r="T813" s="59"/>
      <c r="Y813" s="61"/>
      <c r="Z813" s="59"/>
      <c r="AF813" s="61"/>
      <c r="AH813" s="61"/>
      <c r="AI813" s="41"/>
      <c r="AK813" s="40">
        <v>810.0</v>
      </c>
      <c r="AL813" s="719" t="s">
        <v>2740</v>
      </c>
      <c r="AM813" s="720" t="s">
        <v>2578</v>
      </c>
      <c r="AN813" s="720" t="s">
        <v>2579</v>
      </c>
      <c r="AO813" s="722">
        <v>0.54</v>
      </c>
      <c r="AP813" s="722" t="s">
        <v>2580</v>
      </c>
    </row>
    <row r="814">
      <c r="A814" s="159"/>
      <c r="B814" s="636"/>
      <c r="C814" s="159"/>
      <c r="D814" s="636"/>
      <c r="E814" s="636"/>
      <c r="F814" s="159"/>
      <c r="G814" s="159"/>
      <c r="H814" s="159"/>
      <c r="I814" s="668"/>
      <c r="J814" s="157"/>
      <c r="K814" s="708"/>
      <c r="L814" s="157"/>
      <c r="M814" s="157"/>
      <c r="N814" s="157"/>
      <c r="O814" s="668"/>
      <c r="P814" s="709"/>
      <c r="Q814" s="59"/>
      <c r="R814" s="61"/>
      <c r="S814" s="41"/>
      <c r="T814" s="59"/>
      <c r="Y814" s="61"/>
      <c r="Z814" s="59"/>
      <c r="AF814" s="61"/>
      <c r="AH814" s="61"/>
      <c r="AI814" s="41"/>
      <c r="AK814" s="40">
        <v>811.0</v>
      </c>
      <c r="AL814" s="738" t="s">
        <v>2741</v>
      </c>
      <c r="AM814" s="738" t="s">
        <v>2065</v>
      </c>
      <c r="AN814" s="738" t="s">
        <v>2066</v>
      </c>
      <c r="AO814" s="739">
        <v>0.049</v>
      </c>
      <c r="AP814" s="739" t="s">
        <v>2067</v>
      </c>
    </row>
    <row r="815">
      <c r="A815" s="159"/>
      <c r="B815" s="636"/>
      <c r="C815" s="159"/>
      <c r="D815" s="636"/>
      <c r="E815" s="636"/>
      <c r="F815" s="159"/>
      <c r="G815" s="159"/>
      <c r="H815" s="159"/>
      <c r="I815" s="668"/>
      <c r="J815" s="157"/>
      <c r="K815" s="708"/>
      <c r="L815" s="157"/>
      <c r="M815" s="157"/>
      <c r="N815" s="157"/>
      <c r="O815" s="668"/>
      <c r="P815" s="709"/>
      <c r="Q815" s="59"/>
      <c r="R815" s="61"/>
      <c r="S815" s="41"/>
      <c r="T815" s="59"/>
      <c r="Y815" s="61"/>
      <c r="Z815" s="59"/>
      <c r="AF815" s="61"/>
      <c r="AH815" s="61"/>
      <c r="AI815" s="41"/>
      <c r="AK815" s="40">
        <v>812.0</v>
      </c>
      <c r="AL815" s="719" t="s">
        <v>2742</v>
      </c>
      <c r="AM815" s="720" t="s">
        <v>2570</v>
      </c>
      <c r="AN815" s="720" t="s">
        <v>2571</v>
      </c>
      <c r="AO815" s="722">
        <v>0.288</v>
      </c>
      <c r="AP815" s="722" t="s">
        <v>2572</v>
      </c>
    </row>
    <row r="816">
      <c r="A816" s="159"/>
      <c r="B816" s="636"/>
      <c r="C816" s="159"/>
      <c r="D816" s="636"/>
      <c r="E816" s="636"/>
      <c r="F816" s="159"/>
      <c r="G816" s="159"/>
      <c r="H816" s="159"/>
      <c r="I816" s="668"/>
      <c r="J816" s="157"/>
      <c r="K816" s="708"/>
      <c r="L816" s="157"/>
      <c r="M816" s="157"/>
      <c r="N816" s="157"/>
      <c r="O816" s="668"/>
      <c r="P816" s="709"/>
      <c r="Q816" s="59"/>
      <c r="R816" s="61"/>
      <c r="S816" s="41"/>
      <c r="T816" s="59"/>
      <c r="Y816" s="61"/>
      <c r="Z816" s="59"/>
      <c r="AF816" s="61"/>
      <c r="AH816" s="61"/>
      <c r="AI816" s="41"/>
      <c r="AK816" s="40">
        <v>813.0</v>
      </c>
      <c r="AL816" s="738" t="s">
        <v>2743</v>
      </c>
      <c r="AM816" s="738" t="s">
        <v>2574</v>
      </c>
      <c r="AN816" s="738" t="s">
        <v>2575</v>
      </c>
      <c r="AO816" s="739">
        <v>0.451</v>
      </c>
      <c r="AP816" s="739" t="s">
        <v>2576</v>
      </c>
    </row>
    <row r="817">
      <c r="A817" s="159"/>
      <c r="B817" s="636"/>
      <c r="C817" s="159"/>
      <c r="D817" s="636"/>
      <c r="E817" s="636"/>
      <c r="F817" s="159"/>
      <c r="G817" s="159"/>
      <c r="H817" s="159"/>
      <c r="I817" s="668"/>
      <c r="J817" s="157"/>
      <c r="K817" s="708"/>
      <c r="L817" s="157"/>
      <c r="M817" s="157"/>
      <c r="N817" s="157"/>
      <c r="O817" s="668"/>
      <c r="P817" s="709"/>
      <c r="Q817" s="59"/>
      <c r="R817" s="61"/>
      <c r="S817" s="41"/>
      <c r="T817" s="59"/>
      <c r="Y817" s="61"/>
      <c r="Z817" s="59"/>
      <c r="AF817" s="61"/>
      <c r="AH817" s="61"/>
      <c r="AI817" s="41"/>
      <c r="AK817" s="40">
        <v>814.0</v>
      </c>
      <c r="AL817" s="719" t="s">
        <v>2744</v>
      </c>
      <c r="AM817" s="720" t="s">
        <v>2578</v>
      </c>
      <c r="AN817" s="720" t="s">
        <v>2579</v>
      </c>
      <c r="AO817" s="722">
        <v>0.54</v>
      </c>
      <c r="AP817" s="722" t="s">
        <v>2580</v>
      </c>
    </row>
    <row r="818">
      <c r="A818" s="159"/>
      <c r="B818" s="636"/>
      <c r="C818" s="159"/>
      <c r="D818" s="636"/>
      <c r="E818" s="636"/>
      <c r="F818" s="159"/>
      <c r="G818" s="159"/>
      <c r="H818" s="159"/>
      <c r="I818" s="668"/>
      <c r="J818" s="157"/>
      <c r="K818" s="708"/>
      <c r="L818" s="157"/>
      <c r="M818" s="157"/>
      <c r="N818" s="157"/>
      <c r="O818" s="668"/>
      <c r="P818" s="709"/>
      <c r="Q818" s="59"/>
      <c r="R818" s="61"/>
      <c r="S818" s="41"/>
      <c r="T818" s="59"/>
      <c r="Y818" s="61"/>
      <c r="Z818" s="59"/>
      <c r="AF818" s="61"/>
      <c r="AH818" s="61"/>
      <c r="AI818" s="41"/>
      <c r="AK818" s="40">
        <v>815.0</v>
      </c>
      <c r="AL818" s="738" t="s">
        <v>2745</v>
      </c>
      <c r="AM818" s="738" t="s">
        <v>2065</v>
      </c>
      <c r="AN818" s="738" t="s">
        <v>2066</v>
      </c>
      <c r="AO818" s="739">
        <v>0.049</v>
      </c>
      <c r="AP818" s="739" t="s">
        <v>2067</v>
      </c>
    </row>
    <row r="819">
      <c r="A819" s="159"/>
      <c r="B819" s="636"/>
      <c r="C819" s="159"/>
      <c r="D819" s="636"/>
      <c r="E819" s="636"/>
      <c r="F819" s="159"/>
      <c r="G819" s="159"/>
      <c r="H819" s="159"/>
      <c r="I819" s="668"/>
      <c r="J819" s="157"/>
      <c r="K819" s="708"/>
      <c r="L819" s="157"/>
      <c r="M819" s="157"/>
      <c r="N819" s="157"/>
      <c r="O819" s="668"/>
      <c r="P819" s="709"/>
      <c r="Q819" s="59"/>
      <c r="R819" s="61"/>
      <c r="S819" s="41"/>
      <c r="T819" s="59"/>
      <c r="Y819" s="61"/>
      <c r="Z819" s="59"/>
      <c r="AF819" s="61"/>
      <c r="AH819" s="61"/>
      <c r="AI819" s="41"/>
      <c r="AK819" s="40">
        <v>816.0</v>
      </c>
      <c r="AL819" s="719" t="s">
        <v>2746</v>
      </c>
      <c r="AM819" s="720" t="s">
        <v>2570</v>
      </c>
      <c r="AN819" s="720" t="s">
        <v>2571</v>
      </c>
      <c r="AO819" s="722">
        <v>0.288</v>
      </c>
      <c r="AP819" s="722" t="s">
        <v>2572</v>
      </c>
    </row>
    <row r="820">
      <c r="A820" s="159"/>
      <c r="B820" s="636"/>
      <c r="C820" s="159"/>
      <c r="D820" s="636"/>
      <c r="E820" s="636"/>
      <c r="F820" s="159"/>
      <c r="G820" s="159"/>
      <c r="H820" s="159"/>
      <c r="I820" s="668"/>
      <c r="J820" s="157"/>
      <c r="K820" s="708"/>
      <c r="L820" s="157"/>
      <c r="M820" s="157"/>
      <c r="N820" s="157"/>
      <c r="O820" s="668"/>
      <c r="P820" s="709"/>
      <c r="Q820" s="59"/>
      <c r="R820" s="61"/>
      <c r="S820" s="41"/>
      <c r="T820" s="59"/>
      <c r="Y820" s="61"/>
      <c r="Z820" s="59"/>
      <c r="AF820" s="61"/>
      <c r="AH820" s="61"/>
      <c r="AI820" s="41"/>
      <c r="AK820" s="40">
        <v>817.0</v>
      </c>
      <c r="AL820" s="738" t="s">
        <v>2747</v>
      </c>
      <c r="AM820" s="738" t="s">
        <v>2574</v>
      </c>
      <c r="AN820" s="738" t="s">
        <v>2575</v>
      </c>
      <c r="AO820" s="739">
        <v>0.451</v>
      </c>
      <c r="AP820" s="739" t="s">
        <v>2576</v>
      </c>
    </row>
    <row r="821">
      <c r="A821" s="159"/>
      <c r="B821" s="636"/>
      <c r="C821" s="159"/>
      <c r="D821" s="636"/>
      <c r="E821" s="636"/>
      <c r="F821" s="159"/>
      <c r="G821" s="159"/>
      <c r="H821" s="159"/>
      <c r="I821" s="668"/>
      <c r="J821" s="157"/>
      <c r="K821" s="708"/>
      <c r="L821" s="157"/>
      <c r="M821" s="157"/>
      <c r="N821" s="157"/>
      <c r="O821" s="668"/>
      <c r="P821" s="709"/>
      <c r="Q821" s="59"/>
      <c r="R821" s="61"/>
      <c r="S821" s="41"/>
      <c r="T821" s="59"/>
      <c r="Y821" s="61"/>
      <c r="Z821" s="59"/>
      <c r="AF821" s="61"/>
      <c r="AH821" s="61"/>
      <c r="AI821" s="41"/>
      <c r="AK821" s="40">
        <v>818.0</v>
      </c>
      <c r="AL821" s="719" t="s">
        <v>2748</v>
      </c>
      <c r="AM821" s="720" t="s">
        <v>2578</v>
      </c>
      <c r="AN821" s="720" t="s">
        <v>2579</v>
      </c>
      <c r="AO821" s="722">
        <v>0.54</v>
      </c>
      <c r="AP821" s="722" t="s">
        <v>2580</v>
      </c>
    </row>
    <row r="822">
      <c r="A822" s="159"/>
      <c r="B822" s="636"/>
      <c r="C822" s="159"/>
      <c r="D822" s="636"/>
      <c r="E822" s="636"/>
      <c r="F822" s="159"/>
      <c r="G822" s="159"/>
      <c r="H822" s="159"/>
      <c r="I822" s="668"/>
      <c r="J822" s="157"/>
      <c r="K822" s="708"/>
      <c r="L822" s="157"/>
      <c r="M822" s="157"/>
      <c r="N822" s="157"/>
      <c r="O822" s="668"/>
      <c r="P822" s="709"/>
      <c r="Q822" s="59"/>
      <c r="R822" s="61"/>
      <c r="S822" s="41"/>
      <c r="T822" s="59"/>
      <c r="Y822" s="61"/>
      <c r="Z822" s="59"/>
      <c r="AF822" s="61"/>
      <c r="AH822" s="61"/>
      <c r="AI822" s="41"/>
      <c r="AK822" s="40">
        <v>819.0</v>
      </c>
      <c r="AL822" s="738" t="s">
        <v>2749</v>
      </c>
      <c r="AM822" s="738" t="s">
        <v>2065</v>
      </c>
      <c r="AN822" s="738" t="s">
        <v>2066</v>
      </c>
      <c r="AO822" s="739">
        <v>0.049</v>
      </c>
      <c r="AP822" s="739" t="s">
        <v>2067</v>
      </c>
    </row>
    <row r="823">
      <c r="A823" s="159"/>
      <c r="B823" s="636"/>
      <c r="C823" s="159"/>
      <c r="D823" s="636"/>
      <c r="E823" s="636"/>
      <c r="F823" s="159"/>
      <c r="G823" s="159"/>
      <c r="H823" s="159"/>
      <c r="I823" s="668"/>
      <c r="J823" s="157"/>
      <c r="K823" s="708"/>
      <c r="L823" s="157"/>
      <c r="M823" s="157"/>
      <c r="N823" s="157"/>
      <c r="O823" s="668"/>
      <c r="P823" s="709"/>
      <c r="Q823" s="59"/>
      <c r="R823" s="61"/>
      <c r="S823" s="41"/>
      <c r="T823" s="59"/>
      <c r="Y823" s="61"/>
      <c r="Z823" s="59"/>
      <c r="AF823" s="61"/>
      <c r="AH823" s="61"/>
      <c r="AI823" s="41"/>
      <c r="AK823" s="40">
        <v>820.0</v>
      </c>
      <c r="AL823" s="719" t="s">
        <v>2750</v>
      </c>
      <c r="AM823" s="720" t="s">
        <v>2570</v>
      </c>
      <c r="AN823" s="720" t="s">
        <v>2571</v>
      </c>
      <c r="AO823" s="722">
        <v>0.288</v>
      </c>
      <c r="AP823" s="722" t="s">
        <v>2572</v>
      </c>
    </row>
    <row r="824">
      <c r="A824" s="159"/>
      <c r="B824" s="636"/>
      <c r="C824" s="159"/>
      <c r="D824" s="636"/>
      <c r="E824" s="636"/>
      <c r="F824" s="159"/>
      <c r="G824" s="159"/>
      <c r="H824" s="159"/>
      <c r="I824" s="668"/>
      <c r="J824" s="157"/>
      <c r="K824" s="708"/>
      <c r="L824" s="157"/>
      <c r="M824" s="157"/>
      <c r="N824" s="157"/>
      <c r="O824" s="668"/>
      <c r="P824" s="709"/>
      <c r="Q824" s="59"/>
      <c r="R824" s="61"/>
      <c r="S824" s="41"/>
      <c r="T824" s="59"/>
      <c r="Y824" s="61"/>
      <c r="Z824" s="59"/>
      <c r="AF824" s="61"/>
      <c r="AH824" s="61"/>
      <c r="AI824" s="41"/>
      <c r="AK824" s="40">
        <v>821.0</v>
      </c>
      <c r="AL824" s="738" t="s">
        <v>2751</v>
      </c>
      <c r="AM824" s="738" t="s">
        <v>2574</v>
      </c>
      <c r="AN824" s="738" t="s">
        <v>2575</v>
      </c>
      <c r="AO824" s="739">
        <v>0.451</v>
      </c>
      <c r="AP824" s="739" t="s">
        <v>2576</v>
      </c>
    </row>
    <row r="825">
      <c r="A825" s="159"/>
      <c r="B825" s="636"/>
      <c r="C825" s="159"/>
      <c r="D825" s="636"/>
      <c r="E825" s="636"/>
      <c r="F825" s="159"/>
      <c r="G825" s="159"/>
      <c r="H825" s="159"/>
      <c r="I825" s="668"/>
      <c r="J825" s="157"/>
      <c r="K825" s="708"/>
      <c r="L825" s="157"/>
      <c r="M825" s="157"/>
      <c r="N825" s="157"/>
      <c r="O825" s="668"/>
      <c r="P825" s="709"/>
      <c r="Q825" s="59"/>
      <c r="R825" s="61"/>
      <c r="S825" s="41"/>
      <c r="T825" s="59"/>
      <c r="Y825" s="61"/>
      <c r="Z825" s="59"/>
      <c r="AF825" s="61"/>
      <c r="AH825" s="61"/>
      <c r="AI825" s="41"/>
      <c r="AK825" s="40">
        <v>822.0</v>
      </c>
      <c r="AL825" s="719" t="s">
        <v>2752</v>
      </c>
      <c r="AM825" s="720" t="s">
        <v>2578</v>
      </c>
      <c r="AN825" s="720" t="s">
        <v>2579</v>
      </c>
      <c r="AO825" s="722">
        <v>0.54</v>
      </c>
      <c r="AP825" s="722" t="s">
        <v>2580</v>
      </c>
    </row>
    <row r="826">
      <c r="A826" s="159"/>
      <c r="B826" s="636"/>
      <c r="C826" s="159"/>
      <c r="D826" s="636"/>
      <c r="E826" s="636"/>
      <c r="F826" s="159"/>
      <c r="G826" s="159"/>
      <c r="H826" s="159"/>
      <c r="I826" s="668"/>
      <c r="J826" s="157"/>
      <c r="K826" s="708"/>
      <c r="L826" s="157"/>
      <c r="M826" s="157"/>
      <c r="N826" s="157"/>
      <c r="O826" s="668"/>
      <c r="P826" s="709"/>
      <c r="Q826" s="59"/>
      <c r="R826" s="61"/>
      <c r="S826" s="41"/>
      <c r="T826" s="59"/>
      <c r="Y826" s="61"/>
      <c r="Z826" s="59"/>
      <c r="AF826" s="61"/>
      <c r="AH826" s="61"/>
      <c r="AI826" s="41"/>
      <c r="AK826" s="40">
        <v>823.0</v>
      </c>
      <c r="AL826" s="738" t="s">
        <v>2753</v>
      </c>
      <c r="AM826" s="738" t="s">
        <v>2065</v>
      </c>
      <c r="AN826" s="738" t="s">
        <v>2066</v>
      </c>
      <c r="AO826" s="739">
        <v>0.049</v>
      </c>
      <c r="AP826" s="739" t="s">
        <v>2067</v>
      </c>
    </row>
    <row r="827">
      <c r="A827" s="159"/>
      <c r="B827" s="636"/>
      <c r="C827" s="159"/>
      <c r="D827" s="636"/>
      <c r="E827" s="636"/>
      <c r="F827" s="159"/>
      <c r="G827" s="159"/>
      <c r="H827" s="159"/>
      <c r="I827" s="668"/>
      <c r="J827" s="157"/>
      <c r="K827" s="708"/>
      <c r="L827" s="157"/>
      <c r="M827" s="157"/>
      <c r="N827" s="157"/>
      <c r="O827" s="668"/>
      <c r="P827" s="709"/>
      <c r="Q827" s="59"/>
      <c r="R827" s="61"/>
      <c r="S827" s="41"/>
      <c r="T827" s="59"/>
      <c r="Y827" s="61"/>
      <c r="Z827" s="59"/>
      <c r="AF827" s="61"/>
      <c r="AH827" s="61"/>
      <c r="AI827" s="41"/>
      <c r="AK827" s="40">
        <v>824.0</v>
      </c>
      <c r="AL827" s="719" t="s">
        <v>2754</v>
      </c>
      <c r="AM827" s="720" t="s">
        <v>2570</v>
      </c>
      <c r="AN827" s="720" t="s">
        <v>2571</v>
      </c>
      <c r="AO827" s="722">
        <v>0.288</v>
      </c>
      <c r="AP827" s="722" t="s">
        <v>2572</v>
      </c>
    </row>
    <row r="828">
      <c r="A828" s="159"/>
      <c r="B828" s="636"/>
      <c r="C828" s="159"/>
      <c r="D828" s="636"/>
      <c r="E828" s="636"/>
      <c r="F828" s="159"/>
      <c r="G828" s="159"/>
      <c r="H828" s="159"/>
      <c r="I828" s="668"/>
      <c r="J828" s="157"/>
      <c r="K828" s="708"/>
      <c r="L828" s="157"/>
      <c r="M828" s="157"/>
      <c r="N828" s="157"/>
      <c r="O828" s="668"/>
      <c r="P828" s="709"/>
      <c r="Q828" s="59"/>
      <c r="R828" s="61"/>
      <c r="S828" s="41"/>
      <c r="T828" s="59"/>
      <c r="Y828" s="61"/>
      <c r="Z828" s="59"/>
      <c r="AF828" s="61"/>
      <c r="AH828" s="61"/>
      <c r="AI828" s="41"/>
      <c r="AK828" s="40">
        <v>825.0</v>
      </c>
      <c r="AL828" s="738" t="s">
        <v>2755</v>
      </c>
      <c r="AM828" s="738" t="s">
        <v>2574</v>
      </c>
      <c r="AN828" s="738" t="s">
        <v>2575</v>
      </c>
      <c r="AO828" s="739">
        <v>0.451</v>
      </c>
      <c r="AP828" s="739" t="s">
        <v>2576</v>
      </c>
    </row>
    <row r="829">
      <c r="A829" s="159"/>
      <c r="B829" s="636"/>
      <c r="C829" s="159"/>
      <c r="D829" s="636"/>
      <c r="E829" s="636"/>
      <c r="F829" s="159"/>
      <c r="G829" s="159"/>
      <c r="H829" s="159"/>
      <c r="I829" s="668"/>
      <c r="J829" s="157"/>
      <c r="K829" s="708"/>
      <c r="L829" s="157"/>
      <c r="M829" s="157"/>
      <c r="N829" s="157"/>
      <c r="O829" s="668"/>
      <c r="P829" s="709"/>
      <c r="Q829" s="59"/>
      <c r="R829" s="61"/>
      <c r="S829" s="41"/>
      <c r="T829" s="59"/>
      <c r="Y829" s="61"/>
      <c r="Z829" s="59"/>
      <c r="AF829" s="61"/>
      <c r="AH829" s="61"/>
      <c r="AI829" s="41"/>
      <c r="AK829" s="40">
        <v>826.0</v>
      </c>
      <c r="AL829" s="719" t="s">
        <v>2756</v>
      </c>
      <c r="AM829" s="720" t="s">
        <v>2578</v>
      </c>
      <c r="AN829" s="720" t="s">
        <v>2579</v>
      </c>
      <c r="AO829" s="722">
        <v>0.54</v>
      </c>
      <c r="AP829" s="722" t="s">
        <v>2580</v>
      </c>
    </row>
    <row r="830">
      <c r="A830" s="159"/>
      <c r="B830" s="636"/>
      <c r="C830" s="159"/>
      <c r="D830" s="636"/>
      <c r="E830" s="636"/>
      <c r="F830" s="159"/>
      <c r="G830" s="159"/>
      <c r="H830" s="159"/>
      <c r="I830" s="668"/>
      <c r="J830" s="157"/>
      <c r="K830" s="708"/>
      <c r="L830" s="157"/>
      <c r="M830" s="157"/>
      <c r="N830" s="157"/>
      <c r="O830" s="668"/>
      <c r="P830" s="709"/>
      <c r="Q830" s="59"/>
      <c r="R830" s="61"/>
      <c r="S830" s="41"/>
      <c r="T830" s="59"/>
      <c r="Y830" s="61"/>
      <c r="Z830" s="59"/>
      <c r="AF830" s="61"/>
      <c r="AH830" s="61"/>
      <c r="AI830" s="41"/>
      <c r="AK830" s="40">
        <v>827.0</v>
      </c>
      <c r="AL830" s="738" t="s">
        <v>2757</v>
      </c>
      <c r="AM830" s="738" t="s">
        <v>2065</v>
      </c>
      <c r="AN830" s="738" t="s">
        <v>2066</v>
      </c>
      <c r="AO830" s="739">
        <v>0.049</v>
      </c>
      <c r="AP830" s="739" t="s">
        <v>2067</v>
      </c>
    </row>
    <row r="831">
      <c r="A831" s="159"/>
      <c r="B831" s="636"/>
      <c r="C831" s="159"/>
      <c r="D831" s="636"/>
      <c r="E831" s="636"/>
      <c r="F831" s="159"/>
      <c r="G831" s="159"/>
      <c r="H831" s="159"/>
      <c r="I831" s="668"/>
      <c r="J831" s="157"/>
      <c r="K831" s="708"/>
      <c r="L831" s="157"/>
      <c r="M831" s="157"/>
      <c r="N831" s="157"/>
      <c r="O831" s="668"/>
      <c r="P831" s="709"/>
      <c r="Q831" s="59"/>
      <c r="R831" s="61"/>
      <c r="S831" s="41"/>
      <c r="T831" s="59"/>
      <c r="Y831" s="61"/>
      <c r="Z831" s="59"/>
      <c r="AF831" s="61"/>
      <c r="AH831" s="61"/>
      <c r="AI831" s="41"/>
      <c r="AK831" s="40">
        <v>828.0</v>
      </c>
      <c r="AL831" s="719" t="s">
        <v>2758</v>
      </c>
      <c r="AM831" s="720" t="s">
        <v>2570</v>
      </c>
      <c r="AN831" s="720" t="s">
        <v>2571</v>
      </c>
      <c r="AO831" s="722">
        <v>0.288</v>
      </c>
      <c r="AP831" s="722" t="s">
        <v>2572</v>
      </c>
    </row>
    <row r="832">
      <c r="A832" s="159"/>
      <c r="B832" s="636"/>
      <c r="C832" s="159"/>
      <c r="D832" s="636"/>
      <c r="E832" s="636"/>
      <c r="F832" s="159"/>
      <c r="G832" s="159"/>
      <c r="H832" s="159"/>
      <c r="I832" s="668"/>
      <c r="J832" s="157"/>
      <c r="K832" s="708"/>
      <c r="L832" s="157"/>
      <c r="M832" s="157"/>
      <c r="N832" s="157"/>
      <c r="O832" s="668"/>
      <c r="P832" s="709"/>
      <c r="Q832" s="59"/>
      <c r="R832" s="61"/>
      <c r="S832" s="41"/>
      <c r="T832" s="59"/>
      <c r="Y832" s="61"/>
      <c r="Z832" s="59"/>
      <c r="AF832" s="61"/>
      <c r="AH832" s="61"/>
      <c r="AI832" s="41"/>
      <c r="AK832" s="40">
        <v>829.0</v>
      </c>
      <c r="AL832" s="738" t="s">
        <v>2759</v>
      </c>
      <c r="AM832" s="738" t="s">
        <v>2574</v>
      </c>
      <c r="AN832" s="738" t="s">
        <v>2575</v>
      </c>
      <c r="AO832" s="739">
        <v>0.451</v>
      </c>
      <c r="AP832" s="739" t="s">
        <v>2576</v>
      </c>
    </row>
    <row r="833">
      <c r="A833" s="159"/>
      <c r="B833" s="636"/>
      <c r="C833" s="159"/>
      <c r="D833" s="636"/>
      <c r="E833" s="636"/>
      <c r="F833" s="159"/>
      <c r="G833" s="159"/>
      <c r="H833" s="159"/>
      <c r="I833" s="668"/>
      <c r="J833" s="157"/>
      <c r="K833" s="708"/>
      <c r="L833" s="157"/>
      <c r="M833" s="157"/>
      <c r="N833" s="157"/>
      <c r="O833" s="668"/>
      <c r="P833" s="709"/>
      <c r="Q833" s="59"/>
      <c r="R833" s="61"/>
      <c r="S833" s="41"/>
      <c r="T833" s="59"/>
      <c r="Y833" s="61"/>
      <c r="Z833" s="59"/>
      <c r="AF833" s="61"/>
      <c r="AH833" s="61"/>
      <c r="AI833" s="41"/>
      <c r="AK833" s="40">
        <v>830.0</v>
      </c>
      <c r="AL833" s="719" t="s">
        <v>2760</v>
      </c>
      <c r="AM833" s="720" t="s">
        <v>2578</v>
      </c>
      <c r="AN833" s="720" t="s">
        <v>2579</v>
      </c>
      <c r="AO833" s="722">
        <v>0.54</v>
      </c>
      <c r="AP833" s="722" t="s">
        <v>2580</v>
      </c>
    </row>
    <row r="834">
      <c r="A834" s="159"/>
      <c r="B834" s="636"/>
      <c r="C834" s="159"/>
      <c r="D834" s="636"/>
      <c r="E834" s="636"/>
      <c r="F834" s="159"/>
      <c r="G834" s="159"/>
      <c r="H834" s="159"/>
      <c r="I834" s="668"/>
      <c r="J834" s="157"/>
      <c r="K834" s="708"/>
      <c r="L834" s="157"/>
      <c r="M834" s="157"/>
      <c r="N834" s="157"/>
      <c r="O834" s="668"/>
      <c r="P834" s="709"/>
      <c r="Q834" s="59"/>
      <c r="R834" s="61"/>
      <c r="S834" s="41"/>
      <c r="T834" s="59"/>
      <c r="Y834" s="61"/>
      <c r="Z834" s="59"/>
      <c r="AF834" s="61"/>
      <c r="AH834" s="61"/>
      <c r="AI834" s="41"/>
      <c r="AK834" s="40">
        <v>831.0</v>
      </c>
      <c r="AL834" s="738" t="s">
        <v>2761</v>
      </c>
      <c r="AM834" s="738" t="s">
        <v>2065</v>
      </c>
      <c r="AN834" s="738" t="s">
        <v>2066</v>
      </c>
      <c r="AO834" s="739">
        <v>0.049</v>
      </c>
      <c r="AP834" s="739" t="s">
        <v>2067</v>
      </c>
    </row>
    <row r="835">
      <c r="A835" s="159"/>
      <c r="B835" s="636"/>
      <c r="C835" s="159"/>
      <c r="D835" s="636"/>
      <c r="E835" s="636"/>
      <c r="F835" s="159"/>
      <c r="G835" s="159"/>
      <c r="H835" s="159"/>
      <c r="I835" s="668"/>
      <c r="J835" s="157"/>
      <c r="K835" s="708"/>
      <c r="L835" s="157"/>
      <c r="M835" s="157"/>
      <c r="N835" s="157"/>
      <c r="O835" s="668"/>
      <c r="P835" s="709"/>
      <c r="Q835" s="59"/>
      <c r="R835" s="61"/>
      <c r="S835" s="41"/>
      <c r="T835" s="59"/>
      <c r="Y835" s="61"/>
      <c r="Z835" s="59"/>
      <c r="AF835" s="61"/>
      <c r="AH835" s="61"/>
      <c r="AI835" s="41"/>
      <c r="AK835" s="40">
        <v>832.0</v>
      </c>
      <c r="AL835" s="719" t="s">
        <v>2762</v>
      </c>
      <c r="AM835" s="720" t="s">
        <v>2570</v>
      </c>
      <c r="AN835" s="720" t="s">
        <v>2571</v>
      </c>
      <c r="AO835" s="722">
        <v>0.288</v>
      </c>
      <c r="AP835" s="722" t="s">
        <v>2572</v>
      </c>
    </row>
    <row r="836">
      <c r="A836" s="159"/>
      <c r="B836" s="636"/>
      <c r="C836" s="159"/>
      <c r="D836" s="636"/>
      <c r="E836" s="636"/>
      <c r="F836" s="159"/>
      <c r="G836" s="159"/>
      <c r="H836" s="159"/>
      <c r="I836" s="668"/>
      <c r="J836" s="157"/>
      <c r="K836" s="708"/>
      <c r="L836" s="157"/>
      <c r="M836" s="157"/>
      <c r="N836" s="157"/>
      <c r="O836" s="668"/>
      <c r="P836" s="709"/>
      <c r="Q836" s="59"/>
      <c r="R836" s="61"/>
      <c r="S836" s="41"/>
      <c r="T836" s="59"/>
      <c r="Y836" s="61"/>
      <c r="Z836" s="59"/>
      <c r="AF836" s="61"/>
      <c r="AH836" s="61"/>
      <c r="AI836" s="41"/>
      <c r="AK836" s="40">
        <v>833.0</v>
      </c>
      <c r="AL836" s="738" t="s">
        <v>2763</v>
      </c>
      <c r="AM836" s="738" t="s">
        <v>2574</v>
      </c>
      <c r="AN836" s="738" t="s">
        <v>2575</v>
      </c>
      <c r="AO836" s="739">
        <v>0.451</v>
      </c>
      <c r="AP836" s="739" t="s">
        <v>2576</v>
      </c>
    </row>
    <row r="837">
      <c r="A837" s="159"/>
      <c r="B837" s="636"/>
      <c r="C837" s="159"/>
      <c r="D837" s="636"/>
      <c r="E837" s="636"/>
      <c r="F837" s="159"/>
      <c r="G837" s="159"/>
      <c r="H837" s="159"/>
      <c r="I837" s="668"/>
      <c r="J837" s="157"/>
      <c r="K837" s="708"/>
      <c r="L837" s="157"/>
      <c r="M837" s="157"/>
      <c r="N837" s="157"/>
      <c r="O837" s="668"/>
      <c r="P837" s="709"/>
      <c r="Q837" s="59"/>
      <c r="R837" s="61"/>
      <c r="S837" s="41"/>
      <c r="T837" s="59"/>
      <c r="Y837" s="61"/>
      <c r="Z837" s="59"/>
      <c r="AF837" s="61"/>
      <c r="AH837" s="61"/>
      <c r="AI837" s="41"/>
      <c r="AK837" s="40">
        <v>834.0</v>
      </c>
      <c r="AL837" s="719" t="s">
        <v>2764</v>
      </c>
      <c r="AM837" s="720" t="s">
        <v>2578</v>
      </c>
      <c r="AN837" s="720" t="s">
        <v>2579</v>
      </c>
      <c r="AO837" s="722">
        <v>0.54</v>
      </c>
      <c r="AP837" s="722" t="s">
        <v>2580</v>
      </c>
    </row>
    <row r="838">
      <c r="A838" s="159"/>
      <c r="B838" s="636"/>
      <c r="C838" s="159"/>
      <c r="D838" s="636"/>
      <c r="E838" s="636"/>
      <c r="F838" s="159"/>
      <c r="G838" s="159"/>
      <c r="H838" s="159"/>
      <c r="I838" s="668"/>
      <c r="J838" s="157"/>
      <c r="K838" s="708"/>
      <c r="L838" s="157"/>
      <c r="M838" s="157"/>
      <c r="N838" s="157"/>
      <c r="O838" s="668"/>
      <c r="P838" s="709"/>
      <c r="Q838" s="59"/>
      <c r="R838" s="61"/>
      <c r="S838" s="41"/>
      <c r="T838" s="59"/>
      <c r="Y838" s="61"/>
      <c r="Z838" s="59"/>
      <c r="AF838" s="61"/>
      <c r="AH838" s="61"/>
      <c r="AI838" s="41"/>
      <c r="AK838" s="40">
        <v>835.0</v>
      </c>
      <c r="AL838" s="738" t="s">
        <v>2765</v>
      </c>
      <c r="AM838" s="738" t="s">
        <v>2065</v>
      </c>
      <c r="AN838" s="738" t="s">
        <v>2066</v>
      </c>
      <c r="AO838" s="739">
        <v>0.049</v>
      </c>
      <c r="AP838" s="739" t="s">
        <v>2067</v>
      </c>
    </row>
    <row r="839">
      <c r="A839" s="159"/>
      <c r="B839" s="636"/>
      <c r="C839" s="159"/>
      <c r="D839" s="636"/>
      <c r="E839" s="636"/>
      <c r="F839" s="159"/>
      <c r="G839" s="159"/>
      <c r="H839" s="159"/>
      <c r="I839" s="668"/>
      <c r="J839" s="157"/>
      <c r="K839" s="708"/>
      <c r="L839" s="157"/>
      <c r="M839" s="157"/>
      <c r="N839" s="157"/>
      <c r="O839" s="668"/>
      <c r="P839" s="709"/>
      <c r="Q839" s="59"/>
      <c r="R839" s="61"/>
      <c r="S839" s="41"/>
      <c r="T839" s="59"/>
      <c r="Y839" s="61"/>
      <c r="Z839" s="59"/>
      <c r="AF839" s="61"/>
      <c r="AH839" s="61"/>
      <c r="AI839" s="41"/>
      <c r="AK839" s="40">
        <v>836.0</v>
      </c>
      <c r="AL839" s="719" t="s">
        <v>2766</v>
      </c>
      <c r="AM839" s="720" t="s">
        <v>2570</v>
      </c>
      <c r="AN839" s="720" t="s">
        <v>2571</v>
      </c>
      <c r="AO839" s="722">
        <v>0.288</v>
      </c>
      <c r="AP839" s="722" t="s">
        <v>2572</v>
      </c>
    </row>
    <row r="840">
      <c r="A840" s="159"/>
      <c r="B840" s="636"/>
      <c r="C840" s="159"/>
      <c r="D840" s="636"/>
      <c r="E840" s="636"/>
      <c r="F840" s="159"/>
      <c r="G840" s="159"/>
      <c r="H840" s="159"/>
      <c r="I840" s="668"/>
      <c r="J840" s="157"/>
      <c r="K840" s="708"/>
      <c r="L840" s="157"/>
      <c r="M840" s="157"/>
      <c r="N840" s="157"/>
      <c r="O840" s="668"/>
      <c r="P840" s="709"/>
      <c r="Q840" s="59"/>
      <c r="R840" s="61"/>
      <c r="S840" s="41"/>
      <c r="T840" s="59"/>
      <c r="Y840" s="61"/>
      <c r="Z840" s="59"/>
      <c r="AF840" s="61"/>
      <c r="AH840" s="61"/>
      <c r="AI840" s="41"/>
      <c r="AK840" s="40">
        <v>837.0</v>
      </c>
      <c r="AL840" s="738" t="s">
        <v>2767</v>
      </c>
      <c r="AM840" s="738" t="s">
        <v>2574</v>
      </c>
      <c r="AN840" s="738" t="s">
        <v>2575</v>
      </c>
      <c r="AO840" s="739">
        <v>0.451</v>
      </c>
      <c r="AP840" s="739" t="s">
        <v>2576</v>
      </c>
    </row>
    <row r="841">
      <c r="A841" s="159"/>
      <c r="B841" s="636"/>
      <c r="C841" s="159"/>
      <c r="D841" s="636"/>
      <c r="E841" s="636"/>
      <c r="F841" s="159"/>
      <c r="G841" s="159"/>
      <c r="H841" s="159"/>
      <c r="I841" s="668"/>
      <c r="J841" s="157"/>
      <c r="K841" s="708"/>
      <c r="L841" s="157"/>
      <c r="M841" s="157"/>
      <c r="N841" s="157"/>
      <c r="O841" s="668"/>
      <c r="P841" s="709"/>
      <c r="Q841" s="59"/>
      <c r="R841" s="61"/>
      <c r="S841" s="41"/>
      <c r="T841" s="59"/>
      <c r="Y841" s="61"/>
      <c r="Z841" s="59"/>
      <c r="AF841" s="61"/>
      <c r="AH841" s="61"/>
      <c r="AI841" s="41"/>
      <c r="AK841" s="40">
        <v>838.0</v>
      </c>
      <c r="AL841" s="719" t="s">
        <v>2768</v>
      </c>
      <c r="AM841" s="720" t="s">
        <v>2578</v>
      </c>
      <c r="AN841" s="720" t="s">
        <v>2579</v>
      </c>
      <c r="AO841" s="722">
        <v>0.54</v>
      </c>
      <c r="AP841" s="722" t="s">
        <v>2580</v>
      </c>
    </row>
    <row r="842">
      <c r="A842" s="159"/>
      <c r="B842" s="636"/>
      <c r="C842" s="159"/>
      <c r="D842" s="636"/>
      <c r="E842" s="636"/>
      <c r="F842" s="159"/>
      <c r="G842" s="159"/>
      <c r="H842" s="159"/>
      <c r="I842" s="668"/>
      <c r="J842" s="157"/>
      <c r="K842" s="708"/>
      <c r="L842" s="157"/>
      <c r="M842" s="157"/>
      <c r="N842" s="157"/>
      <c r="O842" s="668"/>
      <c r="P842" s="709"/>
      <c r="Q842" s="59"/>
      <c r="R842" s="61"/>
      <c r="S842" s="41"/>
      <c r="T842" s="59"/>
      <c r="Y842" s="61"/>
      <c r="Z842" s="59"/>
      <c r="AF842" s="61"/>
      <c r="AH842" s="61"/>
      <c r="AI842" s="41"/>
      <c r="AK842" s="40">
        <v>839.0</v>
      </c>
      <c r="AL842" s="738" t="s">
        <v>2769</v>
      </c>
      <c r="AM842" s="738" t="s">
        <v>2065</v>
      </c>
      <c r="AN842" s="738" t="s">
        <v>2066</v>
      </c>
      <c r="AO842" s="739">
        <v>0.049</v>
      </c>
      <c r="AP842" s="739" t="s">
        <v>2067</v>
      </c>
    </row>
    <row r="843">
      <c r="A843" s="159"/>
      <c r="B843" s="636"/>
      <c r="C843" s="159"/>
      <c r="D843" s="636"/>
      <c r="E843" s="636"/>
      <c r="F843" s="159"/>
      <c r="G843" s="159"/>
      <c r="H843" s="159"/>
      <c r="I843" s="668"/>
      <c r="J843" s="157"/>
      <c r="K843" s="708"/>
      <c r="L843" s="157"/>
      <c r="M843" s="157"/>
      <c r="N843" s="157"/>
      <c r="O843" s="668"/>
      <c r="P843" s="709"/>
      <c r="Q843" s="59"/>
      <c r="R843" s="61"/>
      <c r="S843" s="41"/>
      <c r="T843" s="59"/>
      <c r="Y843" s="61"/>
      <c r="Z843" s="59"/>
      <c r="AF843" s="61"/>
      <c r="AH843" s="61"/>
      <c r="AI843" s="41"/>
      <c r="AK843" s="40">
        <v>840.0</v>
      </c>
      <c r="AL843" s="719" t="s">
        <v>2770</v>
      </c>
      <c r="AM843" s="720" t="s">
        <v>2570</v>
      </c>
      <c r="AN843" s="720" t="s">
        <v>2571</v>
      </c>
      <c r="AO843" s="722">
        <v>0.288</v>
      </c>
      <c r="AP843" s="722" t="s">
        <v>2572</v>
      </c>
    </row>
    <row r="844">
      <c r="A844" s="159"/>
      <c r="B844" s="636"/>
      <c r="C844" s="159"/>
      <c r="D844" s="636"/>
      <c r="E844" s="636"/>
      <c r="F844" s="159"/>
      <c r="G844" s="159"/>
      <c r="H844" s="159"/>
      <c r="I844" s="668"/>
      <c r="J844" s="157"/>
      <c r="K844" s="708"/>
      <c r="L844" s="157"/>
      <c r="M844" s="157"/>
      <c r="N844" s="157"/>
      <c r="O844" s="668"/>
      <c r="P844" s="709"/>
      <c r="Q844" s="59"/>
      <c r="R844" s="61"/>
      <c r="S844" s="41"/>
      <c r="T844" s="59"/>
      <c r="Y844" s="61"/>
      <c r="Z844" s="59"/>
      <c r="AF844" s="61"/>
      <c r="AH844" s="61"/>
      <c r="AI844" s="41"/>
      <c r="AK844" s="40">
        <v>841.0</v>
      </c>
      <c r="AL844" s="738" t="s">
        <v>2771</v>
      </c>
      <c r="AM844" s="738" t="s">
        <v>2574</v>
      </c>
      <c r="AN844" s="738" t="s">
        <v>2575</v>
      </c>
      <c r="AO844" s="739">
        <v>0.451</v>
      </c>
      <c r="AP844" s="739" t="s">
        <v>2576</v>
      </c>
    </row>
    <row r="845">
      <c r="A845" s="159"/>
      <c r="B845" s="636"/>
      <c r="C845" s="159"/>
      <c r="D845" s="636"/>
      <c r="E845" s="636"/>
      <c r="F845" s="159"/>
      <c r="G845" s="159"/>
      <c r="H845" s="159"/>
      <c r="I845" s="668"/>
      <c r="J845" s="157"/>
      <c r="K845" s="708"/>
      <c r="L845" s="157"/>
      <c r="M845" s="157"/>
      <c r="N845" s="157"/>
      <c r="O845" s="668"/>
      <c r="P845" s="709"/>
      <c r="Q845" s="59"/>
      <c r="R845" s="61"/>
      <c r="S845" s="41"/>
      <c r="T845" s="59"/>
      <c r="Y845" s="61"/>
      <c r="Z845" s="59"/>
      <c r="AF845" s="61"/>
      <c r="AH845" s="61"/>
      <c r="AI845" s="41"/>
      <c r="AK845" s="40">
        <v>842.0</v>
      </c>
      <c r="AL845" s="719" t="s">
        <v>2772</v>
      </c>
      <c r="AM845" s="720" t="s">
        <v>2578</v>
      </c>
      <c r="AN845" s="720" t="s">
        <v>2579</v>
      </c>
      <c r="AO845" s="722">
        <v>0.54</v>
      </c>
      <c r="AP845" s="722" t="s">
        <v>2580</v>
      </c>
    </row>
    <row r="846">
      <c r="A846" s="159"/>
      <c r="B846" s="636"/>
      <c r="C846" s="159"/>
      <c r="D846" s="636"/>
      <c r="E846" s="636"/>
      <c r="F846" s="159"/>
      <c r="G846" s="159"/>
      <c r="H846" s="159"/>
      <c r="I846" s="668"/>
      <c r="J846" s="157"/>
      <c r="K846" s="708"/>
      <c r="L846" s="157"/>
      <c r="M846" s="157"/>
      <c r="N846" s="157"/>
      <c r="O846" s="668"/>
      <c r="P846" s="709"/>
      <c r="Q846" s="59"/>
      <c r="R846" s="61"/>
      <c r="S846" s="41"/>
      <c r="T846" s="59"/>
      <c r="Y846" s="61"/>
      <c r="Z846" s="59"/>
      <c r="AF846" s="61"/>
      <c r="AH846" s="61"/>
      <c r="AI846" s="41"/>
      <c r="AK846" s="40">
        <v>843.0</v>
      </c>
      <c r="AL846" s="738" t="s">
        <v>2773</v>
      </c>
      <c r="AM846" s="738" t="s">
        <v>2065</v>
      </c>
      <c r="AN846" s="738" t="s">
        <v>2066</v>
      </c>
      <c r="AO846" s="739">
        <v>0.049</v>
      </c>
      <c r="AP846" s="739" t="s">
        <v>2067</v>
      </c>
    </row>
    <row r="847">
      <c r="A847" s="159"/>
      <c r="B847" s="636"/>
      <c r="C847" s="159"/>
      <c r="D847" s="636"/>
      <c r="E847" s="636"/>
      <c r="F847" s="159"/>
      <c r="G847" s="159"/>
      <c r="H847" s="159"/>
      <c r="I847" s="668"/>
      <c r="J847" s="157"/>
      <c r="K847" s="708"/>
      <c r="L847" s="157"/>
      <c r="M847" s="157"/>
      <c r="N847" s="157"/>
      <c r="O847" s="668"/>
      <c r="P847" s="709"/>
      <c r="Q847" s="59"/>
      <c r="R847" s="61"/>
      <c r="S847" s="41"/>
      <c r="T847" s="59"/>
      <c r="Y847" s="61"/>
      <c r="Z847" s="59"/>
      <c r="AF847" s="61"/>
      <c r="AH847" s="61"/>
      <c r="AI847" s="41"/>
      <c r="AK847" s="40">
        <v>844.0</v>
      </c>
      <c r="AL847" s="719" t="s">
        <v>2774</v>
      </c>
      <c r="AM847" s="720" t="s">
        <v>2570</v>
      </c>
      <c r="AN847" s="720" t="s">
        <v>2571</v>
      </c>
      <c r="AO847" s="722">
        <v>0.288</v>
      </c>
      <c r="AP847" s="722" t="s">
        <v>2572</v>
      </c>
    </row>
    <row r="848">
      <c r="A848" s="159"/>
      <c r="B848" s="636"/>
      <c r="C848" s="159"/>
      <c r="D848" s="636"/>
      <c r="E848" s="636"/>
      <c r="F848" s="159"/>
      <c r="G848" s="159"/>
      <c r="H848" s="159"/>
      <c r="I848" s="668"/>
      <c r="J848" s="157"/>
      <c r="K848" s="708"/>
      <c r="L848" s="157"/>
      <c r="M848" s="157"/>
      <c r="N848" s="157"/>
      <c r="O848" s="668"/>
      <c r="P848" s="709"/>
      <c r="Q848" s="59"/>
      <c r="R848" s="61"/>
      <c r="S848" s="41"/>
      <c r="T848" s="59"/>
      <c r="Y848" s="61"/>
      <c r="Z848" s="59"/>
      <c r="AF848" s="61"/>
      <c r="AH848" s="61"/>
      <c r="AI848" s="41"/>
      <c r="AK848" s="40">
        <v>845.0</v>
      </c>
      <c r="AL848" s="738" t="s">
        <v>2775</v>
      </c>
      <c r="AM848" s="738" t="s">
        <v>2574</v>
      </c>
      <c r="AN848" s="738" t="s">
        <v>2575</v>
      </c>
      <c r="AO848" s="739">
        <v>0.451</v>
      </c>
      <c r="AP848" s="739" t="s">
        <v>2576</v>
      </c>
    </row>
    <row r="849">
      <c r="A849" s="159"/>
      <c r="B849" s="636"/>
      <c r="C849" s="159"/>
      <c r="D849" s="636"/>
      <c r="E849" s="636"/>
      <c r="F849" s="159"/>
      <c r="G849" s="159"/>
      <c r="H849" s="159"/>
      <c r="I849" s="668"/>
      <c r="J849" s="157"/>
      <c r="K849" s="708"/>
      <c r="L849" s="157"/>
      <c r="M849" s="157"/>
      <c r="N849" s="157"/>
      <c r="O849" s="668"/>
      <c r="P849" s="709"/>
      <c r="Q849" s="59"/>
      <c r="R849" s="61"/>
      <c r="S849" s="41"/>
      <c r="T849" s="59"/>
      <c r="Y849" s="61"/>
      <c r="Z849" s="59"/>
      <c r="AF849" s="61"/>
      <c r="AH849" s="61"/>
      <c r="AI849" s="41"/>
      <c r="AK849" s="40">
        <v>846.0</v>
      </c>
      <c r="AL849" s="719" t="s">
        <v>2776</v>
      </c>
      <c r="AM849" s="720" t="s">
        <v>2578</v>
      </c>
      <c r="AN849" s="720" t="s">
        <v>2579</v>
      </c>
      <c r="AO849" s="722">
        <v>0.54</v>
      </c>
      <c r="AP849" s="722" t="s">
        <v>2580</v>
      </c>
    </row>
    <row r="850">
      <c r="A850" s="159"/>
      <c r="B850" s="636"/>
      <c r="C850" s="159"/>
      <c r="D850" s="636"/>
      <c r="E850" s="636"/>
      <c r="F850" s="159"/>
      <c r="G850" s="159"/>
      <c r="H850" s="159"/>
      <c r="I850" s="668"/>
      <c r="J850" s="157"/>
      <c r="K850" s="708"/>
      <c r="L850" s="157"/>
      <c r="M850" s="157"/>
      <c r="N850" s="157"/>
      <c r="O850" s="668"/>
      <c r="P850" s="709"/>
      <c r="Q850" s="59"/>
      <c r="R850" s="61"/>
      <c r="S850" s="41"/>
      <c r="T850" s="59"/>
      <c r="Y850" s="61"/>
      <c r="Z850" s="59"/>
      <c r="AF850" s="61"/>
      <c r="AH850" s="61"/>
      <c r="AI850" s="41"/>
      <c r="AK850" s="40">
        <v>847.0</v>
      </c>
      <c r="AL850" s="738" t="s">
        <v>2777</v>
      </c>
      <c r="AM850" s="738" t="s">
        <v>2065</v>
      </c>
      <c r="AN850" s="738" t="s">
        <v>2066</v>
      </c>
      <c r="AO850" s="739">
        <v>0.049</v>
      </c>
      <c r="AP850" s="739" t="s">
        <v>2067</v>
      </c>
    </row>
    <row r="851">
      <c r="A851" s="159"/>
      <c r="B851" s="636"/>
      <c r="C851" s="159"/>
      <c r="D851" s="636"/>
      <c r="E851" s="636"/>
      <c r="F851" s="159"/>
      <c r="G851" s="159"/>
      <c r="H851" s="159"/>
      <c r="I851" s="668"/>
      <c r="J851" s="157"/>
      <c r="K851" s="708"/>
      <c r="L851" s="157"/>
      <c r="M851" s="157"/>
      <c r="N851" s="157"/>
      <c r="O851" s="668"/>
      <c r="P851" s="709"/>
      <c r="Q851" s="59"/>
      <c r="R851" s="61"/>
      <c r="S851" s="41"/>
      <c r="T851" s="59"/>
      <c r="Y851" s="61"/>
      <c r="Z851" s="59"/>
      <c r="AF851" s="61"/>
      <c r="AH851" s="61"/>
      <c r="AI851" s="41"/>
      <c r="AK851" s="40">
        <v>848.0</v>
      </c>
      <c r="AL851" s="719" t="s">
        <v>2778</v>
      </c>
      <c r="AM851" s="720" t="s">
        <v>2570</v>
      </c>
      <c r="AN851" s="720" t="s">
        <v>2571</v>
      </c>
      <c r="AO851" s="722">
        <v>0.288</v>
      </c>
      <c r="AP851" s="722" t="s">
        <v>2572</v>
      </c>
    </row>
    <row r="852">
      <c r="A852" s="159"/>
      <c r="B852" s="636"/>
      <c r="C852" s="159"/>
      <c r="D852" s="636"/>
      <c r="E852" s="636"/>
      <c r="F852" s="159"/>
      <c r="G852" s="159"/>
      <c r="H852" s="159"/>
      <c r="I852" s="668"/>
      <c r="J852" s="157"/>
      <c r="K852" s="708"/>
      <c r="L852" s="157"/>
      <c r="M852" s="157"/>
      <c r="N852" s="157"/>
      <c r="O852" s="668"/>
      <c r="P852" s="709"/>
      <c r="Q852" s="59"/>
      <c r="R852" s="61"/>
      <c r="S852" s="41"/>
      <c r="T852" s="59"/>
      <c r="Y852" s="61"/>
      <c r="Z852" s="59"/>
      <c r="AF852" s="61"/>
      <c r="AH852" s="61"/>
      <c r="AI852" s="41"/>
      <c r="AK852" s="40">
        <v>849.0</v>
      </c>
      <c r="AL852" s="738" t="s">
        <v>2779</v>
      </c>
      <c r="AM852" s="738" t="s">
        <v>2574</v>
      </c>
      <c r="AN852" s="738" t="s">
        <v>2575</v>
      </c>
      <c r="AO852" s="739">
        <v>0.451</v>
      </c>
      <c r="AP852" s="739" t="s">
        <v>2576</v>
      </c>
    </row>
    <row r="853">
      <c r="A853" s="159"/>
      <c r="B853" s="636"/>
      <c r="C853" s="159"/>
      <c r="D853" s="636"/>
      <c r="E853" s="636"/>
      <c r="F853" s="159"/>
      <c r="G853" s="159"/>
      <c r="H853" s="159"/>
      <c r="I853" s="668"/>
      <c r="J853" s="157"/>
      <c r="K853" s="708"/>
      <c r="L853" s="157"/>
      <c r="M853" s="157"/>
      <c r="N853" s="157"/>
      <c r="O853" s="668"/>
      <c r="P853" s="709"/>
      <c r="Q853" s="59"/>
      <c r="R853" s="61"/>
      <c r="S853" s="41"/>
      <c r="T853" s="59"/>
      <c r="Y853" s="61"/>
      <c r="Z853" s="59"/>
      <c r="AF853" s="61"/>
      <c r="AH853" s="61"/>
      <c r="AI853" s="41"/>
      <c r="AK853" s="40">
        <v>850.0</v>
      </c>
      <c r="AL853" s="719" t="s">
        <v>2780</v>
      </c>
      <c r="AM853" s="720" t="s">
        <v>2578</v>
      </c>
      <c r="AN853" s="720" t="s">
        <v>2579</v>
      </c>
      <c r="AO853" s="722">
        <v>0.54</v>
      </c>
      <c r="AP853" s="722" t="s">
        <v>2580</v>
      </c>
    </row>
    <row r="854">
      <c r="A854" s="159"/>
      <c r="B854" s="636"/>
      <c r="C854" s="159"/>
      <c r="D854" s="636"/>
      <c r="E854" s="636"/>
      <c r="F854" s="159"/>
      <c r="G854" s="159"/>
      <c r="H854" s="159"/>
      <c r="I854" s="668"/>
      <c r="J854" s="157"/>
      <c r="K854" s="708"/>
      <c r="L854" s="157"/>
      <c r="M854" s="157"/>
      <c r="N854" s="157"/>
      <c r="O854" s="668"/>
      <c r="P854" s="709"/>
      <c r="Q854" s="59"/>
      <c r="R854" s="61"/>
      <c r="S854" s="41"/>
      <c r="T854" s="59"/>
      <c r="Y854" s="61"/>
      <c r="Z854" s="59"/>
      <c r="AF854" s="61"/>
      <c r="AH854" s="61"/>
      <c r="AI854" s="41"/>
      <c r="AK854" s="40">
        <v>851.0</v>
      </c>
      <c r="AL854" s="738" t="s">
        <v>2781</v>
      </c>
      <c r="AM854" s="738" t="s">
        <v>2065</v>
      </c>
      <c r="AN854" s="738" t="s">
        <v>2066</v>
      </c>
      <c r="AO854" s="739">
        <v>0.049</v>
      </c>
      <c r="AP854" s="739" t="s">
        <v>2067</v>
      </c>
    </row>
    <row r="855">
      <c r="A855" s="159"/>
      <c r="B855" s="636"/>
      <c r="C855" s="159"/>
      <c r="D855" s="636"/>
      <c r="E855" s="636"/>
      <c r="F855" s="159"/>
      <c r="G855" s="159"/>
      <c r="H855" s="159"/>
      <c r="I855" s="668"/>
      <c r="J855" s="157"/>
      <c r="K855" s="708"/>
      <c r="L855" s="157"/>
      <c r="M855" s="157"/>
      <c r="N855" s="157"/>
      <c r="O855" s="668"/>
      <c r="P855" s="709"/>
      <c r="Q855" s="59"/>
      <c r="R855" s="61"/>
      <c r="S855" s="41"/>
      <c r="T855" s="59"/>
      <c r="Y855" s="61"/>
      <c r="Z855" s="59"/>
      <c r="AF855" s="61"/>
      <c r="AH855" s="61"/>
      <c r="AI855" s="41"/>
      <c r="AK855" s="40">
        <v>852.0</v>
      </c>
      <c r="AL855" s="719" t="s">
        <v>2782</v>
      </c>
      <c r="AM855" s="720" t="s">
        <v>2570</v>
      </c>
      <c r="AN855" s="720" t="s">
        <v>2571</v>
      </c>
      <c r="AO855" s="722">
        <v>0.288</v>
      </c>
      <c r="AP855" s="722" t="s">
        <v>2572</v>
      </c>
    </row>
    <row r="856">
      <c r="A856" s="159"/>
      <c r="B856" s="636"/>
      <c r="C856" s="159"/>
      <c r="D856" s="636"/>
      <c r="E856" s="636"/>
      <c r="F856" s="159"/>
      <c r="G856" s="159"/>
      <c r="H856" s="159"/>
      <c r="I856" s="668"/>
      <c r="J856" s="157"/>
      <c r="K856" s="708"/>
      <c r="L856" s="157"/>
      <c r="M856" s="157"/>
      <c r="N856" s="157"/>
      <c r="O856" s="668"/>
      <c r="P856" s="709"/>
      <c r="Q856" s="59"/>
      <c r="R856" s="61"/>
      <c r="S856" s="41"/>
      <c r="T856" s="59"/>
      <c r="Y856" s="61"/>
      <c r="Z856" s="59"/>
      <c r="AF856" s="61"/>
      <c r="AH856" s="61"/>
      <c r="AI856" s="41"/>
      <c r="AK856" s="40">
        <v>853.0</v>
      </c>
      <c r="AL856" s="738" t="s">
        <v>2783</v>
      </c>
      <c r="AM856" s="738" t="s">
        <v>2574</v>
      </c>
      <c r="AN856" s="738" t="s">
        <v>2575</v>
      </c>
      <c r="AO856" s="739">
        <v>0.451</v>
      </c>
      <c r="AP856" s="739" t="s">
        <v>2576</v>
      </c>
    </row>
    <row r="857">
      <c r="A857" s="159"/>
      <c r="B857" s="636"/>
      <c r="C857" s="159"/>
      <c r="D857" s="636"/>
      <c r="E857" s="636"/>
      <c r="F857" s="159"/>
      <c r="G857" s="159"/>
      <c r="H857" s="159"/>
      <c r="I857" s="668"/>
      <c r="J857" s="157"/>
      <c r="K857" s="708"/>
      <c r="L857" s="157"/>
      <c r="M857" s="157"/>
      <c r="N857" s="157"/>
      <c r="O857" s="668"/>
      <c r="P857" s="709"/>
      <c r="Q857" s="59"/>
      <c r="R857" s="61"/>
      <c r="S857" s="41"/>
      <c r="T857" s="59"/>
      <c r="Y857" s="61"/>
      <c r="Z857" s="59"/>
      <c r="AF857" s="61"/>
      <c r="AH857" s="61"/>
      <c r="AI857" s="41"/>
      <c r="AK857" s="40">
        <v>854.0</v>
      </c>
      <c r="AL857" s="719" t="s">
        <v>2784</v>
      </c>
      <c r="AM857" s="720" t="s">
        <v>2578</v>
      </c>
      <c r="AN857" s="720" t="s">
        <v>2579</v>
      </c>
      <c r="AO857" s="722">
        <v>0.54</v>
      </c>
      <c r="AP857" s="722" t="s">
        <v>2580</v>
      </c>
    </row>
    <row r="858">
      <c r="A858" s="159"/>
      <c r="B858" s="636"/>
      <c r="C858" s="159"/>
      <c r="D858" s="636"/>
      <c r="E858" s="636"/>
      <c r="F858" s="159"/>
      <c r="G858" s="159"/>
      <c r="H858" s="159"/>
      <c r="I858" s="668"/>
      <c r="J858" s="157"/>
      <c r="K858" s="708"/>
      <c r="L858" s="157"/>
      <c r="M858" s="157"/>
      <c r="N858" s="157"/>
      <c r="O858" s="668"/>
      <c r="P858" s="709"/>
      <c r="Q858" s="59"/>
      <c r="R858" s="61"/>
      <c r="S858" s="41"/>
      <c r="T858" s="59"/>
      <c r="Y858" s="61"/>
      <c r="Z858" s="59"/>
      <c r="AF858" s="61"/>
      <c r="AH858" s="61"/>
      <c r="AI858" s="41"/>
      <c r="AK858" s="40">
        <v>855.0</v>
      </c>
      <c r="AL858" s="738" t="s">
        <v>2785</v>
      </c>
      <c r="AM858" s="738" t="s">
        <v>2065</v>
      </c>
      <c r="AN858" s="738" t="s">
        <v>2066</v>
      </c>
      <c r="AO858" s="739">
        <v>0.049</v>
      </c>
      <c r="AP858" s="739" t="s">
        <v>2067</v>
      </c>
    </row>
    <row r="859">
      <c r="A859" s="159"/>
      <c r="B859" s="636"/>
      <c r="C859" s="159"/>
      <c r="D859" s="636"/>
      <c r="E859" s="636"/>
      <c r="F859" s="159"/>
      <c r="G859" s="159"/>
      <c r="H859" s="159"/>
      <c r="I859" s="668"/>
      <c r="J859" s="157"/>
      <c r="K859" s="708"/>
      <c r="L859" s="157"/>
      <c r="M859" s="157"/>
      <c r="N859" s="157"/>
      <c r="O859" s="668"/>
      <c r="P859" s="709"/>
      <c r="Q859" s="59"/>
      <c r="R859" s="61"/>
      <c r="S859" s="41"/>
      <c r="T859" s="59"/>
      <c r="Y859" s="61"/>
      <c r="Z859" s="59"/>
      <c r="AF859" s="61"/>
      <c r="AH859" s="61"/>
      <c r="AI859" s="41"/>
      <c r="AK859" s="40">
        <v>856.0</v>
      </c>
      <c r="AL859" s="719" t="s">
        <v>2786</v>
      </c>
      <c r="AM859" s="720" t="s">
        <v>2570</v>
      </c>
      <c r="AN859" s="720" t="s">
        <v>2571</v>
      </c>
      <c r="AO859" s="722">
        <v>0.288</v>
      </c>
      <c r="AP859" s="722" t="s">
        <v>2572</v>
      </c>
    </row>
    <row r="860">
      <c r="A860" s="159"/>
      <c r="B860" s="636"/>
      <c r="C860" s="159"/>
      <c r="D860" s="636"/>
      <c r="E860" s="636"/>
      <c r="F860" s="159"/>
      <c r="G860" s="159"/>
      <c r="H860" s="159"/>
      <c r="I860" s="668"/>
      <c r="J860" s="157"/>
      <c r="K860" s="708"/>
      <c r="L860" s="157"/>
      <c r="M860" s="157"/>
      <c r="N860" s="157"/>
      <c r="O860" s="668"/>
      <c r="P860" s="709"/>
      <c r="Q860" s="59"/>
      <c r="R860" s="61"/>
      <c r="S860" s="41"/>
      <c r="T860" s="59"/>
      <c r="Y860" s="61"/>
      <c r="Z860" s="59"/>
      <c r="AF860" s="61"/>
      <c r="AH860" s="61"/>
      <c r="AI860" s="41"/>
      <c r="AK860" s="40">
        <v>857.0</v>
      </c>
      <c r="AL860" s="738" t="s">
        <v>2787</v>
      </c>
      <c r="AM860" s="738" t="s">
        <v>2574</v>
      </c>
      <c r="AN860" s="738" t="s">
        <v>2575</v>
      </c>
      <c r="AO860" s="739">
        <v>0.451</v>
      </c>
      <c r="AP860" s="739" t="s">
        <v>2576</v>
      </c>
    </row>
    <row r="861">
      <c r="A861" s="159"/>
      <c r="B861" s="636"/>
      <c r="C861" s="159"/>
      <c r="D861" s="636"/>
      <c r="E861" s="636"/>
      <c r="F861" s="159"/>
      <c r="G861" s="159"/>
      <c r="H861" s="159"/>
      <c r="I861" s="668"/>
      <c r="J861" s="157"/>
      <c r="K861" s="708"/>
      <c r="L861" s="157"/>
      <c r="M861" s="157"/>
      <c r="N861" s="157"/>
      <c r="O861" s="668"/>
      <c r="P861" s="709"/>
      <c r="Q861" s="59"/>
      <c r="R861" s="61"/>
      <c r="S861" s="41"/>
      <c r="T861" s="59"/>
      <c r="Y861" s="61"/>
      <c r="Z861" s="59"/>
      <c r="AF861" s="61"/>
      <c r="AH861" s="61"/>
      <c r="AI861" s="41"/>
      <c r="AK861" s="40">
        <v>858.0</v>
      </c>
      <c r="AL861" s="719" t="s">
        <v>2788</v>
      </c>
      <c r="AM861" s="720" t="s">
        <v>2578</v>
      </c>
      <c r="AN861" s="720" t="s">
        <v>2579</v>
      </c>
      <c r="AO861" s="722">
        <v>0.54</v>
      </c>
      <c r="AP861" s="722" t="s">
        <v>2580</v>
      </c>
    </row>
    <row r="862">
      <c r="A862" s="159"/>
      <c r="B862" s="636"/>
      <c r="C862" s="159"/>
      <c r="D862" s="636"/>
      <c r="E862" s="636"/>
      <c r="F862" s="159"/>
      <c r="G862" s="159"/>
      <c r="H862" s="159"/>
      <c r="I862" s="668"/>
      <c r="J862" s="157"/>
      <c r="K862" s="708"/>
      <c r="L862" s="157"/>
      <c r="M862" s="157"/>
      <c r="N862" s="157"/>
      <c r="O862" s="668"/>
      <c r="P862" s="709"/>
      <c r="Q862" s="59"/>
      <c r="R862" s="61"/>
      <c r="S862" s="41"/>
      <c r="T862" s="59"/>
      <c r="Y862" s="61"/>
      <c r="Z862" s="59"/>
      <c r="AF862" s="61"/>
      <c r="AH862" s="61"/>
      <c r="AI862" s="41"/>
      <c r="AK862" s="40">
        <v>859.0</v>
      </c>
      <c r="AL862" s="738" t="s">
        <v>2789</v>
      </c>
      <c r="AM862" s="738" t="s">
        <v>2065</v>
      </c>
      <c r="AN862" s="738" t="s">
        <v>2066</v>
      </c>
      <c r="AO862" s="739">
        <v>0.049</v>
      </c>
      <c r="AP862" s="739" t="s">
        <v>2067</v>
      </c>
    </row>
    <row r="863">
      <c r="A863" s="159"/>
      <c r="B863" s="636"/>
      <c r="C863" s="159"/>
      <c r="D863" s="636"/>
      <c r="E863" s="636"/>
      <c r="F863" s="159"/>
      <c r="G863" s="159"/>
      <c r="H863" s="159"/>
      <c r="I863" s="668"/>
      <c r="J863" s="157"/>
      <c r="K863" s="708"/>
      <c r="L863" s="157"/>
      <c r="M863" s="157"/>
      <c r="N863" s="157"/>
      <c r="O863" s="668"/>
      <c r="P863" s="709"/>
      <c r="Q863" s="59"/>
      <c r="R863" s="61"/>
      <c r="S863" s="41"/>
      <c r="T863" s="59"/>
      <c r="Y863" s="61"/>
      <c r="Z863" s="59"/>
      <c r="AF863" s="61"/>
      <c r="AH863" s="61"/>
      <c r="AI863" s="41"/>
      <c r="AK863" s="40">
        <v>860.0</v>
      </c>
      <c r="AL863" s="719" t="s">
        <v>2790</v>
      </c>
      <c r="AM863" s="720" t="s">
        <v>2570</v>
      </c>
      <c r="AN863" s="720" t="s">
        <v>2571</v>
      </c>
      <c r="AO863" s="722">
        <v>0.288</v>
      </c>
      <c r="AP863" s="722" t="s">
        <v>2572</v>
      </c>
    </row>
    <row r="864">
      <c r="A864" s="159"/>
      <c r="B864" s="636"/>
      <c r="C864" s="159"/>
      <c r="D864" s="636"/>
      <c r="E864" s="636"/>
      <c r="F864" s="159"/>
      <c r="G864" s="159"/>
      <c r="H864" s="159"/>
      <c r="I864" s="668"/>
      <c r="J864" s="157"/>
      <c r="K864" s="708"/>
      <c r="L864" s="157"/>
      <c r="M864" s="157"/>
      <c r="N864" s="157"/>
      <c r="O864" s="668"/>
      <c r="P864" s="709"/>
      <c r="Q864" s="59"/>
      <c r="R864" s="61"/>
      <c r="S864" s="41"/>
      <c r="T864" s="59"/>
      <c r="Y864" s="61"/>
      <c r="Z864" s="59"/>
      <c r="AF864" s="61"/>
      <c r="AH864" s="61"/>
      <c r="AI864" s="41"/>
      <c r="AK864" s="40">
        <v>861.0</v>
      </c>
      <c r="AL864" s="738" t="s">
        <v>2791</v>
      </c>
      <c r="AM864" s="738" t="s">
        <v>2574</v>
      </c>
      <c r="AN864" s="738" t="s">
        <v>2575</v>
      </c>
      <c r="AO864" s="739">
        <v>0.451</v>
      </c>
      <c r="AP864" s="739" t="s">
        <v>2576</v>
      </c>
    </row>
    <row r="865">
      <c r="A865" s="159"/>
      <c r="B865" s="636"/>
      <c r="C865" s="159"/>
      <c r="D865" s="636"/>
      <c r="E865" s="636"/>
      <c r="F865" s="159"/>
      <c r="G865" s="159"/>
      <c r="H865" s="159"/>
      <c r="I865" s="668"/>
      <c r="J865" s="157"/>
      <c r="K865" s="708"/>
      <c r="L865" s="157"/>
      <c r="M865" s="157"/>
      <c r="N865" s="157"/>
      <c r="O865" s="668"/>
      <c r="P865" s="709"/>
      <c r="Q865" s="59"/>
      <c r="R865" s="61"/>
      <c r="S865" s="41"/>
      <c r="T865" s="59"/>
      <c r="Y865" s="61"/>
      <c r="Z865" s="59"/>
      <c r="AF865" s="61"/>
      <c r="AH865" s="61"/>
      <c r="AI865" s="41"/>
      <c r="AK865" s="40">
        <v>862.0</v>
      </c>
      <c r="AL865" s="719" t="s">
        <v>2792</v>
      </c>
      <c r="AM865" s="720" t="s">
        <v>2578</v>
      </c>
      <c r="AN865" s="720" t="s">
        <v>2579</v>
      </c>
      <c r="AO865" s="722">
        <v>0.54</v>
      </c>
      <c r="AP865" s="722" t="s">
        <v>2580</v>
      </c>
    </row>
    <row r="866">
      <c r="A866" s="159"/>
      <c r="B866" s="636"/>
      <c r="C866" s="159"/>
      <c r="D866" s="636"/>
      <c r="E866" s="636"/>
      <c r="F866" s="159"/>
      <c r="G866" s="159"/>
      <c r="H866" s="159"/>
      <c r="I866" s="668"/>
      <c r="J866" s="157"/>
      <c r="K866" s="708"/>
      <c r="L866" s="157"/>
      <c r="M866" s="157"/>
      <c r="N866" s="157"/>
      <c r="O866" s="668"/>
      <c r="P866" s="709"/>
      <c r="Q866" s="59"/>
      <c r="R866" s="61"/>
      <c r="S866" s="41"/>
      <c r="T866" s="59"/>
      <c r="Y866" s="61"/>
      <c r="Z866" s="59"/>
      <c r="AF866" s="61"/>
      <c r="AH866" s="61"/>
      <c r="AI866" s="41"/>
      <c r="AK866" s="40">
        <v>863.0</v>
      </c>
      <c r="AL866" s="738" t="s">
        <v>2793</v>
      </c>
      <c r="AM866" s="738" t="s">
        <v>2065</v>
      </c>
      <c r="AN866" s="738" t="s">
        <v>2066</v>
      </c>
      <c r="AO866" s="739">
        <v>0.049</v>
      </c>
      <c r="AP866" s="739" t="s">
        <v>2067</v>
      </c>
    </row>
    <row r="867">
      <c r="A867" s="159"/>
      <c r="B867" s="636"/>
      <c r="C867" s="159"/>
      <c r="D867" s="636"/>
      <c r="E867" s="636"/>
      <c r="F867" s="159"/>
      <c r="G867" s="159"/>
      <c r="H867" s="159"/>
      <c r="I867" s="668"/>
      <c r="J867" s="157"/>
      <c r="K867" s="708"/>
      <c r="L867" s="157"/>
      <c r="M867" s="157"/>
      <c r="N867" s="157"/>
      <c r="O867" s="668"/>
      <c r="P867" s="709"/>
      <c r="Q867" s="59"/>
      <c r="R867" s="61"/>
      <c r="S867" s="41"/>
      <c r="T867" s="59"/>
      <c r="Y867" s="61"/>
      <c r="Z867" s="59"/>
      <c r="AF867" s="61"/>
      <c r="AH867" s="61"/>
      <c r="AI867" s="41"/>
      <c r="AK867" s="40">
        <v>864.0</v>
      </c>
      <c r="AL867" s="719" t="s">
        <v>2794</v>
      </c>
      <c r="AM867" s="720" t="s">
        <v>2570</v>
      </c>
      <c r="AN867" s="720" t="s">
        <v>2571</v>
      </c>
      <c r="AO867" s="722">
        <v>0.288</v>
      </c>
      <c r="AP867" s="722" t="s">
        <v>2572</v>
      </c>
    </row>
    <row r="868">
      <c r="A868" s="159"/>
      <c r="B868" s="636"/>
      <c r="C868" s="159"/>
      <c r="D868" s="636"/>
      <c r="E868" s="636"/>
      <c r="F868" s="159"/>
      <c r="G868" s="159"/>
      <c r="H868" s="159"/>
      <c r="I868" s="668"/>
      <c r="J868" s="157"/>
      <c r="K868" s="708"/>
      <c r="L868" s="157"/>
      <c r="M868" s="157"/>
      <c r="N868" s="157"/>
      <c r="O868" s="668"/>
      <c r="P868" s="709"/>
      <c r="Q868" s="59"/>
      <c r="R868" s="61"/>
      <c r="S868" s="41"/>
      <c r="T868" s="59"/>
      <c r="Y868" s="61"/>
      <c r="Z868" s="59"/>
      <c r="AF868" s="61"/>
      <c r="AH868" s="61"/>
      <c r="AI868" s="41"/>
      <c r="AK868" s="40">
        <v>865.0</v>
      </c>
      <c r="AL868" s="738" t="s">
        <v>2795</v>
      </c>
      <c r="AM868" s="738" t="s">
        <v>2574</v>
      </c>
      <c r="AN868" s="738" t="s">
        <v>2575</v>
      </c>
      <c r="AO868" s="739">
        <v>0.451</v>
      </c>
      <c r="AP868" s="739" t="s">
        <v>2576</v>
      </c>
    </row>
    <row r="869">
      <c r="A869" s="159"/>
      <c r="B869" s="636"/>
      <c r="C869" s="159"/>
      <c r="D869" s="636"/>
      <c r="E869" s="636"/>
      <c r="F869" s="159"/>
      <c r="G869" s="159"/>
      <c r="H869" s="159"/>
      <c r="I869" s="668"/>
      <c r="J869" s="157"/>
      <c r="K869" s="708"/>
      <c r="L869" s="157"/>
      <c r="M869" s="157"/>
      <c r="N869" s="157"/>
      <c r="O869" s="668"/>
      <c r="P869" s="709"/>
      <c r="Q869" s="59"/>
      <c r="R869" s="61"/>
      <c r="S869" s="41"/>
      <c r="T869" s="59"/>
      <c r="Y869" s="61"/>
      <c r="Z869" s="59"/>
      <c r="AF869" s="61"/>
      <c r="AH869" s="61"/>
      <c r="AI869" s="41"/>
      <c r="AK869" s="40">
        <v>866.0</v>
      </c>
      <c r="AL869" s="719" t="s">
        <v>2796</v>
      </c>
      <c r="AM869" s="720" t="s">
        <v>2578</v>
      </c>
      <c r="AN869" s="720" t="s">
        <v>2579</v>
      </c>
      <c r="AO869" s="722">
        <v>0.54</v>
      </c>
      <c r="AP869" s="722" t="s">
        <v>2580</v>
      </c>
    </row>
    <row r="870">
      <c r="A870" s="159"/>
      <c r="B870" s="636"/>
      <c r="C870" s="159"/>
      <c r="D870" s="636"/>
      <c r="E870" s="636"/>
      <c r="F870" s="159"/>
      <c r="G870" s="159"/>
      <c r="H870" s="159"/>
      <c r="I870" s="668"/>
      <c r="J870" s="157"/>
      <c r="K870" s="708"/>
      <c r="L870" s="157"/>
      <c r="M870" s="157"/>
      <c r="N870" s="157"/>
      <c r="O870" s="668"/>
      <c r="P870" s="709"/>
      <c r="Q870" s="59"/>
      <c r="R870" s="61"/>
      <c r="S870" s="41"/>
      <c r="T870" s="59"/>
      <c r="Y870" s="61"/>
      <c r="Z870" s="59"/>
      <c r="AF870" s="61"/>
      <c r="AH870" s="61"/>
      <c r="AI870" s="41"/>
      <c r="AK870" s="40">
        <v>867.0</v>
      </c>
      <c r="AL870" s="738" t="s">
        <v>2797</v>
      </c>
      <c r="AM870" s="738" t="s">
        <v>2065</v>
      </c>
      <c r="AN870" s="738" t="s">
        <v>2066</v>
      </c>
      <c r="AO870" s="739">
        <v>0.049</v>
      </c>
      <c r="AP870" s="739" t="s">
        <v>2067</v>
      </c>
    </row>
    <row r="871">
      <c r="A871" s="159"/>
      <c r="B871" s="636"/>
      <c r="C871" s="159"/>
      <c r="D871" s="636"/>
      <c r="E871" s="636"/>
      <c r="F871" s="159"/>
      <c r="G871" s="159"/>
      <c r="H871" s="159"/>
      <c r="I871" s="668"/>
      <c r="J871" s="157"/>
      <c r="K871" s="708"/>
      <c r="L871" s="157"/>
      <c r="M871" s="157"/>
      <c r="N871" s="157"/>
      <c r="O871" s="668"/>
      <c r="P871" s="709"/>
      <c r="Q871" s="59"/>
      <c r="R871" s="61"/>
      <c r="S871" s="41"/>
      <c r="T871" s="59"/>
      <c r="Y871" s="61"/>
      <c r="Z871" s="59"/>
      <c r="AF871" s="61"/>
      <c r="AH871" s="61"/>
      <c r="AI871" s="41"/>
      <c r="AK871" s="40">
        <v>868.0</v>
      </c>
      <c r="AL871" s="719" t="s">
        <v>2798</v>
      </c>
      <c r="AM871" s="720" t="s">
        <v>2065</v>
      </c>
      <c r="AN871" s="720" t="s">
        <v>2066</v>
      </c>
      <c r="AO871" s="722">
        <v>0.049</v>
      </c>
      <c r="AP871" s="722" t="s">
        <v>2067</v>
      </c>
    </row>
    <row r="872">
      <c r="A872" s="159"/>
      <c r="B872" s="636"/>
      <c r="C872" s="159"/>
      <c r="D872" s="636"/>
      <c r="E872" s="636"/>
      <c r="F872" s="159"/>
      <c r="G872" s="159"/>
      <c r="H872" s="159"/>
      <c r="I872" s="668"/>
      <c r="J872" s="157"/>
      <c r="K872" s="708"/>
      <c r="L872" s="157"/>
      <c r="M872" s="157"/>
      <c r="N872" s="157"/>
      <c r="O872" s="668"/>
      <c r="P872" s="709"/>
      <c r="Q872" s="59"/>
      <c r="R872" s="61"/>
      <c r="S872" s="41"/>
      <c r="T872" s="59"/>
      <c r="Y872" s="61"/>
      <c r="Z872" s="59"/>
      <c r="AF872" s="61"/>
      <c r="AH872" s="61"/>
      <c r="AI872" s="41"/>
      <c r="AK872" s="40">
        <v>869.0</v>
      </c>
      <c r="AL872" s="738" t="s">
        <v>2799</v>
      </c>
      <c r="AM872" s="738" t="s">
        <v>2156</v>
      </c>
      <c r="AN872" s="745"/>
      <c r="AO872" s="739">
        <v>0.0</v>
      </c>
      <c r="AP872" s="739" t="s">
        <v>2157</v>
      </c>
    </row>
    <row r="873">
      <c r="A873" s="159"/>
      <c r="B873" s="636"/>
      <c r="C873" s="159"/>
      <c r="D873" s="636"/>
      <c r="E873" s="636"/>
      <c r="F873" s="159"/>
      <c r="G873" s="159"/>
      <c r="H873" s="159"/>
      <c r="I873" s="668"/>
      <c r="J873" s="157"/>
      <c r="K873" s="708"/>
      <c r="L873" s="157"/>
      <c r="M873" s="157"/>
      <c r="N873" s="157"/>
      <c r="O873" s="668"/>
      <c r="P873" s="709"/>
      <c r="Q873" s="59"/>
      <c r="R873" s="61"/>
      <c r="S873" s="41"/>
      <c r="T873" s="59"/>
      <c r="Y873" s="61"/>
      <c r="Z873" s="59"/>
      <c r="AF873" s="61"/>
      <c r="AH873" s="61"/>
      <c r="AI873" s="41"/>
      <c r="AK873" s="40">
        <v>870.0</v>
      </c>
      <c r="AL873" s="719" t="s">
        <v>2800</v>
      </c>
      <c r="AM873" s="720" t="s">
        <v>2156</v>
      </c>
      <c r="AN873" s="721"/>
      <c r="AO873" s="722">
        <v>0.0</v>
      </c>
      <c r="AP873" s="722" t="s">
        <v>2157</v>
      </c>
    </row>
    <row r="874">
      <c r="A874" s="159"/>
      <c r="B874" s="636"/>
      <c r="C874" s="159"/>
      <c r="D874" s="636"/>
      <c r="E874" s="636"/>
      <c r="F874" s="159"/>
      <c r="G874" s="159"/>
      <c r="H874" s="159"/>
      <c r="I874" s="668"/>
      <c r="J874" s="157"/>
      <c r="K874" s="708"/>
      <c r="L874" s="157"/>
      <c r="M874" s="157"/>
      <c r="N874" s="157"/>
      <c r="O874" s="668"/>
      <c r="P874" s="709"/>
      <c r="Q874" s="59"/>
      <c r="R874" s="61"/>
      <c r="S874" s="41"/>
      <c r="T874" s="59"/>
      <c r="Y874" s="61"/>
      <c r="Z874" s="59"/>
      <c r="AF874" s="61"/>
      <c r="AH874" s="61"/>
      <c r="AI874" s="41"/>
      <c r="AK874" s="40">
        <v>871.0</v>
      </c>
      <c r="AL874" s="738" t="s">
        <v>2801</v>
      </c>
      <c r="AM874" s="738" t="s">
        <v>2156</v>
      </c>
      <c r="AN874" s="745"/>
      <c r="AO874" s="739">
        <v>0.0</v>
      </c>
      <c r="AP874" s="739" t="s">
        <v>2157</v>
      </c>
    </row>
    <row r="875">
      <c r="A875" s="159"/>
      <c r="B875" s="636"/>
      <c r="C875" s="159"/>
      <c r="D875" s="636"/>
      <c r="E875" s="636"/>
      <c r="F875" s="159"/>
      <c r="G875" s="159"/>
      <c r="H875" s="159"/>
      <c r="I875" s="668"/>
      <c r="J875" s="157"/>
      <c r="K875" s="708"/>
      <c r="L875" s="157"/>
      <c r="M875" s="157"/>
      <c r="N875" s="157"/>
      <c r="O875" s="668"/>
      <c r="P875" s="709"/>
      <c r="Q875" s="59"/>
      <c r="R875" s="61"/>
      <c r="S875" s="41"/>
      <c r="T875" s="59"/>
      <c r="Y875" s="61"/>
      <c r="Z875" s="59"/>
      <c r="AF875" s="61"/>
      <c r="AH875" s="61"/>
      <c r="AI875" s="41"/>
      <c r="AK875" s="40">
        <v>872.0</v>
      </c>
      <c r="AL875" s="719" t="s">
        <v>2802</v>
      </c>
      <c r="AM875" s="720" t="s">
        <v>2065</v>
      </c>
      <c r="AN875" s="720" t="s">
        <v>2066</v>
      </c>
      <c r="AO875" s="722">
        <v>0.049</v>
      </c>
      <c r="AP875" s="722" t="s">
        <v>2067</v>
      </c>
    </row>
    <row r="876">
      <c r="A876" s="159"/>
      <c r="B876" s="636"/>
      <c r="C876" s="159"/>
      <c r="D876" s="636"/>
      <c r="E876" s="636"/>
      <c r="F876" s="159"/>
      <c r="G876" s="159"/>
      <c r="H876" s="159"/>
      <c r="I876" s="668"/>
      <c r="J876" s="157"/>
      <c r="K876" s="708"/>
      <c r="L876" s="157"/>
      <c r="M876" s="157"/>
      <c r="N876" s="157"/>
      <c r="O876" s="668"/>
      <c r="P876" s="709"/>
      <c r="Q876" s="59"/>
      <c r="R876" s="61"/>
      <c r="S876" s="41"/>
      <c r="T876" s="59"/>
      <c r="Y876" s="61"/>
      <c r="Z876" s="59"/>
      <c r="AF876" s="61"/>
      <c r="AH876" s="61"/>
      <c r="AI876" s="41"/>
      <c r="AK876" s="40">
        <v>873.0</v>
      </c>
      <c r="AL876" s="738" t="s">
        <v>2803</v>
      </c>
      <c r="AM876" s="738" t="s">
        <v>2069</v>
      </c>
      <c r="AN876" s="738" t="s">
        <v>2070</v>
      </c>
      <c r="AO876" s="739">
        <v>0.041</v>
      </c>
      <c r="AP876" s="739" t="s">
        <v>2071</v>
      </c>
    </row>
    <row r="877">
      <c r="A877" s="159"/>
      <c r="B877" s="636"/>
      <c r="C877" s="159"/>
      <c r="D877" s="636"/>
      <c r="E877" s="636"/>
      <c r="F877" s="159"/>
      <c r="G877" s="159"/>
      <c r="H877" s="159"/>
      <c r="I877" s="668"/>
      <c r="J877" s="157"/>
      <c r="K877" s="708"/>
      <c r="L877" s="157"/>
      <c r="M877" s="157"/>
      <c r="N877" s="157"/>
      <c r="O877" s="668"/>
      <c r="P877" s="709"/>
      <c r="Q877" s="59"/>
      <c r="R877" s="61"/>
      <c r="S877" s="41"/>
      <c r="T877" s="59"/>
      <c r="Y877" s="61"/>
      <c r="Z877" s="59"/>
      <c r="AF877" s="61"/>
      <c r="AH877" s="61"/>
      <c r="AI877" s="41"/>
      <c r="AK877" s="40">
        <v>874.0</v>
      </c>
      <c r="AL877" s="719" t="s">
        <v>2804</v>
      </c>
      <c r="AM877" s="720" t="s">
        <v>2020</v>
      </c>
      <c r="AN877" s="720" t="s">
        <v>2021</v>
      </c>
      <c r="AO877" s="722">
        <v>0.072</v>
      </c>
      <c r="AP877" s="722" t="s">
        <v>2022</v>
      </c>
    </row>
    <row r="878">
      <c r="A878" s="159"/>
      <c r="B878" s="636"/>
      <c r="C878" s="159"/>
      <c r="D878" s="636"/>
      <c r="E878" s="636"/>
      <c r="F878" s="159"/>
      <c r="G878" s="159"/>
      <c r="H878" s="159"/>
      <c r="I878" s="668"/>
      <c r="J878" s="157"/>
      <c r="K878" s="708"/>
      <c r="L878" s="157"/>
      <c r="M878" s="157"/>
      <c r="N878" s="157"/>
      <c r="O878" s="668"/>
      <c r="P878" s="709"/>
      <c r="Q878" s="59"/>
      <c r="R878" s="61"/>
      <c r="S878" s="41"/>
      <c r="T878" s="59"/>
      <c r="Y878" s="61"/>
      <c r="Z878" s="59"/>
      <c r="AF878" s="61"/>
      <c r="AH878" s="61"/>
      <c r="AI878" s="41"/>
      <c r="AK878" s="40">
        <v>875.0</v>
      </c>
      <c r="AL878" s="738" t="s">
        <v>2805</v>
      </c>
      <c r="AM878" s="738" t="s">
        <v>1925</v>
      </c>
      <c r="AN878" s="738" t="s">
        <v>1926</v>
      </c>
      <c r="AO878" s="739">
        <v>0.179</v>
      </c>
      <c r="AP878" s="739" t="s">
        <v>1927</v>
      </c>
    </row>
    <row r="879">
      <c r="A879" s="159"/>
      <c r="B879" s="636"/>
      <c r="C879" s="159"/>
      <c r="D879" s="636"/>
      <c r="E879" s="636"/>
      <c r="F879" s="159"/>
      <c r="G879" s="159"/>
      <c r="H879" s="159"/>
      <c r="I879" s="668"/>
      <c r="J879" s="157"/>
      <c r="K879" s="708"/>
      <c r="L879" s="157"/>
      <c r="M879" s="157"/>
      <c r="N879" s="157"/>
      <c r="O879" s="668"/>
      <c r="P879" s="709"/>
      <c r="Q879" s="59"/>
      <c r="R879" s="61"/>
      <c r="S879" s="41"/>
      <c r="T879" s="59"/>
      <c r="Y879" s="61"/>
      <c r="Z879" s="59"/>
      <c r="AF879" s="61"/>
      <c r="AH879" s="61"/>
      <c r="AI879" s="41"/>
      <c r="AK879" s="40">
        <v>876.0</v>
      </c>
      <c r="AL879" s="719" t="s">
        <v>2806</v>
      </c>
      <c r="AM879" s="720" t="s">
        <v>2065</v>
      </c>
      <c r="AN879" s="720" t="s">
        <v>2066</v>
      </c>
      <c r="AO879" s="722">
        <v>0.049</v>
      </c>
      <c r="AP879" s="722" t="s">
        <v>2067</v>
      </c>
    </row>
    <row r="880">
      <c r="A880" s="159"/>
      <c r="B880" s="636"/>
      <c r="C880" s="159"/>
      <c r="D880" s="636"/>
      <c r="E880" s="636"/>
      <c r="F880" s="159"/>
      <c r="G880" s="159"/>
      <c r="H880" s="159"/>
      <c r="I880" s="668"/>
      <c r="J880" s="157"/>
      <c r="K880" s="708"/>
      <c r="L880" s="157"/>
      <c r="M880" s="157"/>
      <c r="N880" s="157"/>
      <c r="O880" s="668"/>
      <c r="P880" s="709"/>
      <c r="Q880" s="59"/>
      <c r="R880" s="61"/>
      <c r="S880" s="41"/>
      <c r="T880" s="59"/>
      <c r="Y880" s="61"/>
      <c r="Z880" s="59"/>
      <c r="AF880" s="61"/>
      <c r="AH880" s="61"/>
      <c r="AI880" s="41"/>
      <c r="AK880" s="40">
        <v>877.0</v>
      </c>
      <c r="AL880" s="738" t="s">
        <v>2807</v>
      </c>
      <c r="AM880" s="738" t="s">
        <v>2156</v>
      </c>
      <c r="AN880" s="745"/>
      <c r="AO880" s="739">
        <v>0.0</v>
      </c>
      <c r="AP880" s="739" t="s">
        <v>2157</v>
      </c>
    </row>
    <row r="881">
      <c r="A881" s="159"/>
      <c r="B881" s="636"/>
      <c r="C881" s="159"/>
      <c r="D881" s="636"/>
      <c r="E881" s="636"/>
      <c r="F881" s="159"/>
      <c r="G881" s="159"/>
      <c r="H881" s="159"/>
      <c r="I881" s="668"/>
      <c r="J881" s="157"/>
      <c r="K881" s="708"/>
      <c r="L881" s="157"/>
      <c r="M881" s="157"/>
      <c r="N881" s="157"/>
      <c r="O881" s="668"/>
      <c r="P881" s="709"/>
      <c r="Q881" s="59"/>
      <c r="R881" s="61"/>
      <c r="S881" s="41"/>
      <c r="T881" s="59"/>
      <c r="Y881" s="61"/>
      <c r="Z881" s="59"/>
      <c r="AF881" s="61"/>
      <c r="AH881" s="61"/>
      <c r="AI881" s="41"/>
      <c r="AK881" s="40">
        <v>878.0</v>
      </c>
      <c r="AL881" s="719" t="s">
        <v>2808</v>
      </c>
      <c r="AM881" s="720" t="s">
        <v>2809</v>
      </c>
      <c r="AN881" s="720" t="s">
        <v>2810</v>
      </c>
      <c r="AO881" s="722">
        <v>0.033</v>
      </c>
      <c r="AP881" s="722" t="s">
        <v>2811</v>
      </c>
    </row>
    <row r="882">
      <c r="A882" s="159"/>
      <c r="B882" s="636"/>
      <c r="C882" s="159"/>
      <c r="D882" s="636"/>
      <c r="E882" s="636"/>
      <c r="F882" s="159"/>
      <c r="G882" s="159"/>
      <c r="H882" s="159"/>
      <c r="I882" s="668"/>
      <c r="J882" s="157"/>
      <c r="K882" s="708"/>
      <c r="L882" s="157"/>
      <c r="M882" s="157"/>
      <c r="N882" s="157"/>
      <c r="O882" s="668"/>
      <c r="P882" s="709"/>
      <c r="Q882" s="59"/>
      <c r="R882" s="61"/>
      <c r="S882" s="41"/>
      <c r="T882" s="59"/>
      <c r="Y882" s="61"/>
      <c r="Z882" s="59"/>
      <c r="AF882" s="61"/>
      <c r="AH882" s="61"/>
      <c r="AI882" s="41"/>
      <c r="AK882" s="40">
        <v>879.0</v>
      </c>
      <c r="AL882" s="738" t="s">
        <v>2812</v>
      </c>
      <c r="AM882" s="738" t="s">
        <v>2813</v>
      </c>
      <c r="AN882" s="738" t="s">
        <v>2814</v>
      </c>
      <c r="AO882" s="739">
        <v>0.08</v>
      </c>
      <c r="AP882" s="739" t="s">
        <v>2815</v>
      </c>
    </row>
    <row r="883">
      <c r="A883" s="159"/>
      <c r="B883" s="636"/>
      <c r="C883" s="159"/>
      <c r="D883" s="636"/>
      <c r="E883" s="636"/>
      <c r="F883" s="159"/>
      <c r="G883" s="159"/>
      <c r="H883" s="159"/>
      <c r="I883" s="668"/>
      <c r="J883" s="157"/>
      <c r="K883" s="708"/>
      <c r="L883" s="157"/>
      <c r="M883" s="157"/>
      <c r="N883" s="157"/>
      <c r="O883" s="668"/>
      <c r="P883" s="709"/>
      <c r="Q883" s="59"/>
      <c r="R883" s="61"/>
      <c r="S883" s="41"/>
      <c r="T883" s="59"/>
      <c r="Y883" s="61"/>
      <c r="Z883" s="59"/>
      <c r="AF883" s="61"/>
      <c r="AH883" s="61"/>
      <c r="AI883" s="41"/>
      <c r="AK883" s="40">
        <v>880.0</v>
      </c>
      <c r="AL883" s="719" t="s">
        <v>2816</v>
      </c>
      <c r="AM883" s="720" t="s">
        <v>2817</v>
      </c>
      <c r="AN883" s="720" t="s">
        <v>2818</v>
      </c>
      <c r="AO883" s="722">
        <v>0.167</v>
      </c>
      <c r="AP883" s="722" t="s">
        <v>2819</v>
      </c>
    </row>
    <row r="884">
      <c r="A884" s="159"/>
      <c r="B884" s="636"/>
      <c r="C884" s="159"/>
      <c r="D884" s="636"/>
      <c r="E884" s="636"/>
      <c r="F884" s="159"/>
      <c r="G884" s="159"/>
      <c r="H884" s="159"/>
      <c r="I884" s="668"/>
      <c r="J884" s="157"/>
      <c r="K884" s="708"/>
      <c r="L884" s="157"/>
      <c r="M884" s="157"/>
      <c r="N884" s="157"/>
      <c r="O884" s="668"/>
      <c r="P884" s="709"/>
      <c r="Q884" s="59"/>
      <c r="R884" s="61"/>
      <c r="S884" s="41"/>
      <c r="T884" s="59"/>
      <c r="Y884" s="61"/>
      <c r="Z884" s="59"/>
      <c r="AF884" s="61"/>
      <c r="AH884" s="61"/>
      <c r="AI884" s="41"/>
      <c r="AK884" s="40">
        <v>881.0</v>
      </c>
      <c r="AL884" s="738" t="s">
        <v>2820</v>
      </c>
      <c r="AM884" s="738" t="s">
        <v>2156</v>
      </c>
      <c r="AN884" s="745"/>
      <c r="AO884" s="739">
        <v>0.0</v>
      </c>
      <c r="AP884" s="739" t="s">
        <v>2157</v>
      </c>
    </row>
    <row r="885">
      <c r="A885" s="159"/>
      <c r="B885" s="636"/>
      <c r="C885" s="159"/>
      <c r="D885" s="636"/>
      <c r="E885" s="636"/>
      <c r="F885" s="159"/>
      <c r="G885" s="159"/>
      <c r="H885" s="159"/>
      <c r="I885" s="668"/>
      <c r="J885" s="157"/>
      <c r="K885" s="708"/>
      <c r="L885" s="157"/>
      <c r="M885" s="157"/>
      <c r="N885" s="157"/>
      <c r="O885" s="668"/>
      <c r="P885" s="709"/>
      <c r="Q885" s="59"/>
      <c r="R885" s="61"/>
      <c r="S885" s="41"/>
      <c r="T885" s="59"/>
      <c r="Y885" s="61"/>
      <c r="Z885" s="59"/>
      <c r="AF885" s="61"/>
      <c r="AH885" s="61"/>
      <c r="AI885" s="41"/>
      <c r="AK885" s="40">
        <v>882.0</v>
      </c>
      <c r="AL885" s="719" t="s">
        <v>2821</v>
      </c>
      <c r="AM885" s="720" t="s">
        <v>2069</v>
      </c>
      <c r="AN885" s="720" t="s">
        <v>2070</v>
      </c>
      <c r="AO885" s="722">
        <v>0.041</v>
      </c>
      <c r="AP885" s="722" t="s">
        <v>2071</v>
      </c>
    </row>
    <row r="886">
      <c r="A886" s="159"/>
      <c r="B886" s="636"/>
      <c r="C886" s="159"/>
      <c r="D886" s="636"/>
      <c r="E886" s="636"/>
      <c r="F886" s="159"/>
      <c r="G886" s="159"/>
      <c r="H886" s="159"/>
      <c r="I886" s="668"/>
      <c r="J886" s="157"/>
      <c r="K886" s="708"/>
      <c r="L886" s="157"/>
      <c r="M886" s="157"/>
      <c r="N886" s="157"/>
      <c r="O886" s="668"/>
      <c r="P886" s="709"/>
      <c r="Q886" s="59"/>
      <c r="R886" s="61"/>
      <c r="S886" s="41"/>
      <c r="T886" s="59"/>
      <c r="Y886" s="61"/>
      <c r="Z886" s="59"/>
      <c r="AF886" s="61"/>
      <c r="AH886" s="61"/>
      <c r="AI886" s="41"/>
      <c r="AK886" s="40">
        <v>883.0</v>
      </c>
      <c r="AL886" s="738" t="s">
        <v>2822</v>
      </c>
      <c r="AM886" s="738" t="s">
        <v>2020</v>
      </c>
      <c r="AN886" s="738" t="s">
        <v>2021</v>
      </c>
      <c r="AO886" s="739">
        <v>0.072</v>
      </c>
      <c r="AP886" s="739" t="s">
        <v>2022</v>
      </c>
    </row>
    <row r="887">
      <c r="A887" s="159"/>
      <c r="B887" s="636"/>
      <c r="C887" s="159"/>
      <c r="D887" s="636"/>
      <c r="E887" s="636"/>
      <c r="F887" s="159"/>
      <c r="G887" s="159"/>
      <c r="H887" s="159"/>
      <c r="I887" s="668"/>
      <c r="J887" s="157"/>
      <c r="K887" s="708"/>
      <c r="L887" s="157"/>
      <c r="M887" s="157"/>
      <c r="N887" s="157"/>
      <c r="O887" s="668"/>
      <c r="P887" s="709"/>
      <c r="Q887" s="59"/>
      <c r="R887" s="61"/>
      <c r="S887" s="41"/>
      <c r="T887" s="59"/>
      <c r="Y887" s="61"/>
      <c r="Z887" s="59"/>
      <c r="AF887" s="61"/>
      <c r="AH887" s="61"/>
      <c r="AI887" s="41"/>
      <c r="AK887" s="40">
        <v>884.0</v>
      </c>
      <c r="AL887" s="719" t="s">
        <v>2823</v>
      </c>
      <c r="AM887" s="720" t="s">
        <v>1925</v>
      </c>
      <c r="AN887" s="720" t="s">
        <v>1926</v>
      </c>
      <c r="AO887" s="722">
        <v>0.179</v>
      </c>
      <c r="AP887" s="722" t="s">
        <v>1927</v>
      </c>
    </row>
    <row r="888">
      <c r="A888" s="159"/>
      <c r="B888" s="636"/>
      <c r="C888" s="159"/>
      <c r="D888" s="636"/>
      <c r="E888" s="636"/>
      <c r="F888" s="159"/>
      <c r="G888" s="159"/>
      <c r="H888" s="159"/>
      <c r="I888" s="668"/>
      <c r="J888" s="157"/>
      <c r="K888" s="708"/>
      <c r="L888" s="157"/>
      <c r="M888" s="157"/>
      <c r="N888" s="157"/>
      <c r="O888" s="668"/>
      <c r="P888" s="709"/>
      <c r="Q888" s="59"/>
      <c r="R888" s="61"/>
      <c r="S888" s="41"/>
      <c r="T888" s="59"/>
      <c r="Y888" s="61"/>
      <c r="Z888" s="59"/>
      <c r="AF888" s="61"/>
      <c r="AH888" s="61"/>
      <c r="AI888" s="41"/>
      <c r="AK888" s="40">
        <v>885.0</v>
      </c>
      <c r="AL888" s="738" t="s">
        <v>2824</v>
      </c>
      <c r="AM888" s="738" t="s">
        <v>2065</v>
      </c>
      <c r="AN888" s="738" t="s">
        <v>2066</v>
      </c>
      <c r="AO888" s="739">
        <v>0.049</v>
      </c>
      <c r="AP888" s="739" t="s">
        <v>2067</v>
      </c>
    </row>
    <row r="889">
      <c r="A889" s="159"/>
      <c r="B889" s="636"/>
      <c r="C889" s="159"/>
      <c r="D889" s="636"/>
      <c r="E889" s="636"/>
      <c r="F889" s="159"/>
      <c r="G889" s="159"/>
      <c r="H889" s="159"/>
      <c r="I889" s="668"/>
      <c r="J889" s="157"/>
      <c r="K889" s="708"/>
      <c r="L889" s="157"/>
      <c r="M889" s="157"/>
      <c r="N889" s="157"/>
      <c r="O889" s="668"/>
      <c r="P889" s="709"/>
      <c r="Q889" s="59"/>
      <c r="R889" s="61"/>
      <c r="S889" s="41"/>
      <c r="T889" s="59"/>
      <c r="Y889" s="61"/>
      <c r="Z889" s="59"/>
      <c r="AF889" s="61"/>
      <c r="AH889" s="61"/>
      <c r="AI889" s="41"/>
      <c r="AK889" s="40">
        <v>886.0</v>
      </c>
      <c r="AL889" s="719" t="s">
        <v>2825</v>
      </c>
      <c r="AM889" s="720" t="s">
        <v>2826</v>
      </c>
      <c r="AN889" s="720" t="s">
        <v>2827</v>
      </c>
      <c r="AO889" s="722">
        <v>0.432</v>
      </c>
      <c r="AP889" s="722" t="s">
        <v>2828</v>
      </c>
    </row>
    <row r="890">
      <c r="A890" s="159"/>
      <c r="B890" s="636"/>
      <c r="C890" s="159"/>
      <c r="D890" s="636"/>
      <c r="E890" s="636"/>
      <c r="F890" s="159"/>
      <c r="G890" s="159"/>
      <c r="H890" s="159"/>
      <c r="I890" s="668"/>
      <c r="J890" s="157"/>
      <c r="K890" s="708"/>
      <c r="L890" s="157"/>
      <c r="M890" s="157"/>
      <c r="N890" s="157"/>
      <c r="O890" s="668"/>
      <c r="P890" s="709"/>
      <c r="Q890" s="59"/>
      <c r="R890" s="61"/>
      <c r="S890" s="41"/>
      <c r="T890" s="59"/>
      <c r="Y890" s="61"/>
      <c r="Z890" s="59"/>
      <c r="AF890" s="61"/>
      <c r="AH890" s="61"/>
      <c r="AI890" s="41"/>
      <c r="AK890" s="40">
        <v>887.0</v>
      </c>
      <c r="AL890" s="738" t="s">
        <v>2829</v>
      </c>
      <c r="AM890" s="738" t="s">
        <v>2830</v>
      </c>
      <c r="AN890" s="738" t="s">
        <v>2831</v>
      </c>
      <c r="AO890" s="739">
        <v>0.074</v>
      </c>
      <c r="AP890" s="739" t="s">
        <v>2832</v>
      </c>
    </row>
    <row r="891">
      <c r="A891" s="159"/>
      <c r="B891" s="636"/>
      <c r="C891" s="159"/>
      <c r="D891" s="636"/>
      <c r="E891" s="636"/>
      <c r="F891" s="159"/>
      <c r="G891" s="159"/>
      <c r="H891" s="159"/>
      <c r="I891" s="668"/>
      <c r="J891" s="157"/>
      <c r="K891" s="708"/>
      <c r="L891" s="157"/>
      <c r="M891" s="157"/>
      <c r="N891" s="157"/>
      <c r="O891" s="668"/>
      <c r="P891" s="709"/>
      <c r="Q891" s="59"/>
      <c r="R891" s="61"/>
      <c r="S891" s="41"/>
      <c r="T891" s="59"/>
      <c r="Y891" s="61"/>
      <c r="Z891" s="59"/>
      <c r="AF891" s="61"/>
      <c r="AH891" s="61"/>
      <c r="AI891" s="41"/>
      <c r="AK891" s="40">
        <v>888.0</v>
      </c>
      <c r="AL891" s="719" t="s">
        <v>2833</v>
      </c>
      <c r="AM891" s="720" t="s">
        <v>2834</v>
      </c>
      <c r="AN891" s="720" t="s">
        <v>2835</v>
      </c>
      <c r="AO891" s="722">
        <v>0.019</v>
      </c>
      <c r="AP891" s="722" t="s">
        <v>2836</v>
      </c>
    </row>
    <row r="892">
      <c r="A892" s="159"/>
      <c r="B892" s="636"/>
      <c r="C892" s="159"/>
      <c r="D892" s="636"/>
      <c r="E892" s="636"/>
      <c r="F892" s="159"/>
      <c r="G892" s="159"/>
      <c r="H892" s="159"/>
      <c r="I892" s="668"/>
      <c r="J892" s="157"/>
      <c r="K892" s="708"/>
      <c r="L892" s="157"/>
      <c r="M892" s="157"/>
      <c r="N892" s="157"/>
      <c r="O892" s="668"/>
      <c r="P892" s="709"/>
      <c r="Q892" s="59"/>
      <c r="R892" s="61"/>
      <c r="S892" s="41"/>
      <c r="T892" s="59"/>
      <c r="Y892" s="61"/>
      <c r="Z892" s="59"/>
      <c r="AF892" s="61"/>
      <c r="AH892" s="61"/>
      <c r="AI892" s="41"/>
      <c r="AK892" s="40">
        <v>889.0</v>
      </c>
      <c r="AL892" s="738" t="s">
        <v>2837</v>
      </c>
      <c r="AM892" s="738" t="s">
        <v>2838</v>
      </c>
      <c r="AN892" s="738" t="s">
        <v>2839</v>
      </c>
      <c r="AO892" s="739">
        <v>0.07</v>
      </c>
      <c r="AP892" s="739" t="s">
        <v>2840</v>
      </c>
    </row>
    <row r="893">
      <c r="A893" s="159"/>
      <c r="B893" s="636"/>
      <c r="C893" s="159"/>
      <c r="D893" s="636"/>
      <c r="E893" s="636"/>
      <c r="F893" s="159"/>
      <c r="G893" s="159"/>
      <c r="H893" s="159"/>
      <c r="I893" s="668"/>
      <c r="J893" s="157"/>
      <c r="K893" s="708"/>
      <c r="L893" s="157"/>
      <c r="M893" s="157"/>
      <c r="N893" s="157"/>
      <c r="O893" s="668"/>
      <c r="P893" s="709"/>
      <c r="Q893" s="59"/>
      <c r="R893" s="61"/>
      <c r="S893" s="41"/>
      <c r="T893" s="59"/>
      <c r="Y893" s="61"/>
      <c r="Z893" s="59"/>
      <c r="AF893" s="61"/>
      <c r="AH893" s="61"/>
      <c r="AI893" s="41"/>
      <c r="AK893" s="40">
        <v>890.0</v>
      </c>
      <c r="AL893" s="719" t="s">
        <v>2841</v>
      </c>
      <c r="AM893" s="720" t="s">
        <v>2842</v>
      </c>
      <c r="AN893" s="720" t="s">
        <v>2843</v>
      </c>
      <c r="AO893" s="722">
        <v>0.316</v>
      </c>
      <c r="AP893" s="722" t="s">
        <v>2844</v>
      </c>
    </row>
    <row r="894">
      <c r="A894" s="159"/>
      <c r="B894" s="636"/>
      <c r="C894" s="159"/>
      <c r="D894" s="636"/>
      <c r="E894" s="636"/>
      <c r="F894" s="159"/>
      <c r="G894" s="159"/>
      <c r="H894" s="159"/>
      <c r="I894" s="668"/>
      <c r="J894" s="157"/>
      <c r="K894" s="708"/>
      <c r="L894" s="157"/>
      <c r="M894" s="157"/>
      <c r="N894" s="157"/>
      <c r="O894" s="668"/>
      <c r="P894" s="709"/>
      <c r="Q894" s="59"/>
      <c r="R894" s="61"/>
      <c r="S894" s="41"/>
      <c r="T894" s="59"/>
      <c r="Y894" s="61"/>
      <c r="Z894" s="59"/>
      <c r="AF894" s="61"/>
      <c r="AH894" s="61"/>
      <c r="AI894" s="41"/>
      <c r="AK894" s="40">
        <v>891.0</v>
      </c>
      <c r="AL894" s="738" t="s">
        <v>2845</v>
      </c>
      <c r="AM894" s="738" t="s">
        <v>2846</v>
      </c>
      <c r="AN894" s="738" t="s">
        <v>2847</v>
      </c>
      <c r="AO894" s="739">
        <v>0.552</v>
      </c>
      <c r="AP894" s="739" t="s">
        <v>2848</v>
      </c>
    </row>
    <row r="895">
      <c r="A895" s="159"/>
      <c r="B895" s="636"/>
      <c r="C895" s="159"/>
      <c r="D895" s="636"/>
      <c r="E895" s="636"/>
      <c r="F895" s="159"/>
      <c r="G895" s="159"/>
      <c r="H895" s="159"/>
      <c r="I895" s="668"/>
      <c r="J895" s="157"/>
      <c r="K895" s="708"/>
      <c r="L895" s="157"/>
      <c r="M895" s="157"/>
      <c r="N895" s="157"/>
      <c r="O895" s="668"/>
      <c r="P895" s="709"/>
      <c r="Q895" s="59"/>
      <c r="R895" s="61"/>
      <c r="S895" s="41"/>
      <c r="T895" s="59"/>
      <c r="Y895" s="61"/>
      <c r="Z895" s="59"/>
      <c r="AF895" s="61"/>
      <c r="AH895" s="61"/>
      <c r="AI895" s="41"/>
      <c r="AK895" s="40">
        <v>892.0</v>
      </c>
      <c r="AL895" s="719" t="s">
        <v>2849</v>
      </c>
      <c r="AM895" s="720" t="s">
        <v>2850</v>
      </c>
      <c r="AN895" s="720" t="s">
        <v>2851</v>
      </c>
      <c r="AO895" s="722">
        <v>0.588</v>
      </c>
      <c r="AP895" s="722" t="s">
        <v>2852</v>
      </c>
    </row>
    <row r="896">
      <c r="A896" s="159"/>
      <c r="B896" s="636"/>
      <c r="C896" s="159"/>
      <c r="D896" s="636"/>
      <c r="E896" s="636"/>
      <c r="F896" s="159"/>
      <c r="G896" s="159"/>
      <c r="H896" s="159"/>
      <c r="I896" s="668"/>
      <c r="J896" s="157"/>
      <c r="K896" s="708"/>
      <c r="L896" s="157"/>
      <c r="M896" s="157"/>
      <c r="N896" s="157"/>
      <c r="O896" s="668"/>
      <c r="P896" s="709"/>
      <c r="Q896" s="59"/>
      <c r="R896" s="61"/>
      <c r="S896" s="41"/>
      <c r="T896" s="59"/>
      <c r="Y896" s="61"/>
      <c r="Z896" s="59"/>
      <c r="AF896" s="61"/>
      <c r="AH896" s="61"/>
      <c r="AI896" s="41"/>
      <c r="AK896" s="40">
        <v>893.0</v>
      </c>
      <c r="AL896" s="738" t="s">
        <v>2853</v>
      </c>
      <c r="AM896" s="738" t="s">
        <v>2834</v>
      </c>
      <c r="AN896" s="738" t="s">
        <v>2835</v>
      </c>
      <c r="AO896" s="739">
        <v>0.019</v>
      </c>
      <c r="AP896" s="739" t="s">
        <v>2836</v>
      </c>
    </row>
    <row r="897">
      <c r="A897" s="159"/>
      <c r="B897" s="636"/>
      <c r="C897" s="159"/>
      <c r="D897" s="636"/>
      <c r="E897" s="636"/>
      <c r="F897" s="159"/>
      <c r="G897" s="159"/>
      <c r="H897" s="159"/>
      <c r="I897" s="668"/>
      <c r="J897" s="157"/>
      <c r="K897" s="708"/>
      <c r="L897" s="157"/>
      <c r="M897" s="157"/>
      <c r="N897" s="157"/>
      <c r="O897" s="668"/>
      <c r="P897" s="709"/>
      <c r="Q897" s="59"/>
      <c r="R897" s="61"/>
      <c r="S897" s="41"/>
      <c r="T897" s="59"/>
      <c r="Y897" s="61"/>
      <c r="Z897" s="59"/>
      <c r="AF897" s="61"/>
      <c r="AH897" s="61"/>
      <c r="AI897" s="41"/>
      <c r="AK897" s="40">
        <v>894.0</v>
      </c>
      <c r="AL897" s="719" t="s">
        <v>2854</v>
      </c>
      <c r="AM897" s="720" t="s">
        <v>2838</v>
      </c>
      <c r="AN897" s="720" t="s">
        <v>2839</v>
      </c>
      <c r="AO897" s="722">
        <v>0.07</v>
      </c>
      <c r="AP897" s="722" t="s">
        <v>2840</v>
      </c>
    </row>
    <row r="898">
      <c r="A898" s="159"/>
      <c r="B898" s="636"/>
      <c r="C898" s="159"/>
      <c r="D898" s="636"/>
      <c r="E898" s="636"/>
      <c r="F898" s="159"/>
      <c r="G898" s="159"/>
      <c r="H898" s="159"/>
      <c r="I898" s="668"/>
      <c r="J898" s="157"/>
      <c r="K898" s="708"/>
      <c r="L898" s="157"/>
      <c r="M898" s="157"/>
      <c r="N898" s="157"/>
      <c r="O898" s="668"/>
      <c r="P898" s="709"/>
      <c r="Q898" s="59"/>
      <c r="R898" s="61"/>
      <c r="S898" s="41"/>
      <c r="T898" s="59"/>
      <c r="Y898" s="61"/>
      <c r="Z898" s="59"/>
      <c r="AF898" s="61"/>
      <c r="AH898" s="61"/>
      <c r="AI898" s="41"/>
      <c r="AK898" s="40">
        <v>895.0</v>
      </c>
      <c r="AL898" s="738" t="s">
        <v>2855</v>
      </c>
      <c r="AM898" s="738" t="s">
        <v>2842</v>
      </c>
      <c r="AN898" s="738" t="s">
        <v>2843</v>
      </c>
      <c r="AO898" s="739">
        <v>0.316</v>
      </c>
      <c r="AP898" s="739" t="s">
        <v>2844</v>
      </c>
    </row>
    <row r="899">
      <c r="A899" s="159"/>
      <c r="B899" s="636"/>
      <c r="C899" s="159"/>
      <c r="D899" s="636"/>
      <c r="E899" s="636"/>
      <c r="F899" s="159"/>
      <c r="G899" s="159"/>
      <c r="H899" s="159"/>
      <c r="I899" s="668"/>
      <c r="J899" s="157"/>
      <c r="K899" s="708"/>
      <c r="L899" s="157"/>
      <c r="M899" s="157"/>
      <c r="N899" s="157"/>
      <c r="O899" s="668"/>
      <c r="P899" s="709"/>
      <c r="Q899" s="59"/>
      <c r="R899" s="61"/>
      <c r="S899" s="41"/>
      <c r="T899" s="59"/>
      <c r="Y899" s="61"/>
      <c r="Z899" s="59"/>
      <c r="AF899" s="61"/>
      <c r="AH899" s="61"/>
      <c r="AI899" s="41"/>
      <c r="AK899" s="40">
        <v>896.0</v>
      </c>
      <c r="AL899" s="719" t="s">
        <v>2856</v>
      </c>
      <c r="AM899" s="720" t="s">
        <v>2846</v>
      </c>
      <c r="AN899" s="720" t="s">
        <v>2847</v>
      </c>
      <c r="AO899" s="722">
        <v>0.552</v>
      </c>
      <c r="AP899" s="722" t="s">
        <v>2848</v>
      </c>
    </row>
    <row r="900">
      <c r="A900" s="159"/>
      <c r="B900" s="636"/>
      <c r="C900" s="159"/>
      <c r="D900" s="636"/>
      <c r="E900" s="636"/>
      <c r="F900" s="159"/>
      <c r="G900" s="159"/>
      <c r="H900" s="159"/>
      <c r="I900" s="668"/>
      <c r="J900" s="157"/>
      <c r="K900" s="708"/>
      <c r="L900" s="157"/>
      <c r="M900" s="157"/>
      <c r="N900" s="157"/>
      <c r="O900" s="668"/>
      <c r="P900" s="709"/>
      <c r="Q900" s="59"/>
      <c r="R900" s="61"/>
      <c r="S900" s="41"/>
      <c r="T900" s="59"/>
      <c r="Y900" s="61"/>
      <c r="Z900" s="59"/>
      <c r="AF900" s="61"/>
      <c r="AH900" s="61"/>
      <c r="AI900" s="41"/>
      <c r="AK900" s="40">
        <v>897.0</v>
      </c>
      <c r="AL900" s="738" t="s">
        <v>2857</v>
      </c>
      <c r="AM900" s="738" t="s">
        <v>2850</v>
      </c>
      <c r="AN900" s="738" t="s">
        <v>2851</v>
      </c>
      <c r="AO900" s="739">
        <v>0.588</v>
      </c>
      <c r="AP900" s="739" t="s">
        <v>2852</v>
      </c>
    </row>
    <row r="901">
      <c r="A901" s="159"/>
      <c r="B901" s="636"/>
      <c r="C901" s="159"/>
      <c r="D901" s="636"/>
      <c r="E901" s="636"/>
      <c r="F901" s="159"/>
      <c r="G901" s="159"/>
      <c r="H901" s="159"/>
      <c r="I901" s="668"/>
      <c r="J901" s="157"/>
      <c r="K901" s="708"/>
      <c r="L901" s="157"/>
      <c r="M901" s="157"/>
      <c r="N901" s="157"/>
      <c r="O901" s="668"/>
      <c r="P901" s="709"/>
      <c r="Q901" s="59"/>
      <c r="R901" s="61"/>
      <c r="S901" s="41"/>
      <c r="T901" s="59"/>
      <c r="Y901" s="61"/>
      <c r="Z901" s="59"/>
      <c r="AF901" s="61"/>
      <c r="AH901" s="61"/>
      <c r="AI901" s="41"/>
      <c r="AK901" s="40">
        <v>898.0</v>
      </c>
      <c r="AL901" s="719" t="s">
        <v>2858</v>
      </c>
      <c r="AM901" s="720" t="s">
        <v>2156</v>
      </c>
      <c r="AN901" s="721"/>
      <c r="AO901" s="722">
        <v>0.0</v>
      </c>
      <c r="AP901" s="722" t="s">
        <v>2157</v>
      </c>
    </row>
    <row r="902">
      <c r="A902" s="159"/>
      <c r="B902" s="636"/>
      <c r="C902" s="159"/>
      <c r="D902" s="636"/>
      <c r="E902" s="636"/>
      <c r="F902" s="159"/>
      <c r="G902" s="159"/>
      <c r="H902" s="159"/>
      <c r="I902" s="668"/>
      <c r="J902" s="157"/>
      <c r="K902" s="708"/>
      <c r="L902" s="157"/>
      <c r="M902" s="157"/>
      <c r="N902" s="157"/>
      <c r="O902" s="668"/>
      <c r="P902" s="709"/>
      <c r="Q902" s="59"/>
      <c r="R902" s="61"/>
      <c r="S902" s="41"/>
      <c r="T902" s="59"/>
      <c r="Y902" s="61"/>
      <c r="Z902" s="59"/>
      <c r="AF902" s="61"/>
      <c r="AH902" s="61"/>
      <c r="AI902" s="41"/>
      <c r="AK902" s="40">
        <v>899.0</v>
      </c>
      <c r="AL902" s="738" t="s">
        <v>2859</v>
      </c>
      <c r="AM902" s="738" t="s">
        <v>2834</v>
      </c>
      <c r="AN902" s="738" t="s">
        <v>2835</v>
      </c>
      <c r="AO902" s="739">
        <v>0.019</v>
      </c>
      <c r="AP902" s="739" t="s">
        <v>2836</v>
      </c>
    </row>
    <row r="903">
      <c r="A903" s="159"/>
      <c r="B903" s="636"/>
      <c r="C903" s="159"/>
      <c r="D903" s="636"/>
      <c r="E903" s="636"/>
      <c r="F903" s="159"/>
      <c r="G903" s="159"/>
      <c r="H903" s="159"/>
      <c r="I903" s="668"/>
      <c r="J903" s="157"/>
      <c r="K903" s="708"/>
      <c r="L903" s="157"/>
      <c r="M903" s="157"/>
      <c r="N903" s="157"/>
      <c r="O903" s="668"/>
      <c r="P903" s="709"/>
      <c r="Q903" s="59"/>
      <c r="R903" s="61"/>
      <c r="S903" s="41"/>
      <c r="T903" s="59"/>
      <c r="Y903" s="61"/>
      <c r="Z903" s="59"/>
      <c r="AF903" s="61"/>
      <c r="AH903" s="61"/>
      <c r="AI903" s="41"/>
      <c r="AK903" s="40">
        <v>900.0</v>
      </c>
      <c r="AL903" s="719" t="s">
        <v>2860</v>
      </c>
      <c r="AM903" s="720" t="s">
        <v>2838</v>
      </c>
      <c r="AN903" s="720" t="s">
        <v>2839</v>
      </c>
      <c r="AO903" s="722">
        <v>0.07</v>
      </c>
      <c r="AP903" s="722" t="s">
        <v>2840</v>
      </c>
    </row>
    <row r="904">
      <c r="A904" s="159"/>
      <c r="B904" s="636"/>
      <c r="C904" s="159"/>
      <c r="D904" s="636"/>
      <c r="E904" s="636"/>
      <c r="F904" s="159"/>
      <c r="G904" s="159"/>
      <c r="H904" s="159"/>
      <c r="I904" s="668"/>
      <c r="J904" s="157"/>
      <c r="K904" s="708"/>
      <c r="L904" s="157"/>
      <c r="M904" s="157"/>
      <c r="N904" s="157"/>
      <c r="O904" s="668"/>
      <c r="P904" s="709"/>
      <c r="Q904" s="59"/>
      <c r="R904" s="61"/>
      <c r="S904" s="41"/>
      <c r="T904" s="59"/>
      <c r="Y904" s="61"/>
      <c r="Z904" s="59"/>
      <c r="AF904" s="61"/>
      <c r="AH904" s="61"/>
      <c r="AI904" s="41"/>
      <c r="AK904" s="40">
        <v>901.0</v>
      </c>
      <c r="AL904" s="738" t="s">
        <v>2861</v>
      </c>
      <c r="AM904" s="738" t="s">
        <v>2842</v>
      </c>
      <c r="AN904" s="738" t="s">
        <v>2843</v>
      </c>
      <c r="AO904" s="739">
        <v>0.316</v>
      </c>
      <c r="AP904" s="739" t="s">
        <v>2844</v>
      </c>
    </row>
    <row r="905">
      <c r="A905" s="159"/>
      <c r="B905" s="636"/>
      <c r="C905" s="159"/>
      <c r="D905" s="636"/>
      <c r="E905" s="636"/>
      <c r="F905" s="159"/>
      <c r="G905" s="159"/>
      <c r="H905" s="159"/>
      <c r="I905" s="668"/>
      <c r="J905" s="157"/>
      <c r="K905" s="708"/>
      <c r="L905" s="157"/>
      <c r="M905" s="157"/>
      <c r="N905" s="157"/>
      <c r="O905" s="668"/>
      <c r="P905" s="709"/>
      <c r="Q905" s="59"/>
      <c r="R905" s="61"/>
      <c r="S905" s="41"/>
      <c r="T905" s="59"/>
      <c r="Y905" s="61"/>
      <c r="Z905" s="59"/>
      <c r="AF905" s="61"/>
      <c r="AH905" s="61"/>
      <c r="AI905" s="41"/>
      <c r="AK905" s="40">
        <v>902.0</v>
      </c>
      <c r="AL905" s="719" t="s">
        <v>2862</v>
      </c>
      <c r="AM905" s="720" t="s">
        <v>2846</v>
      </c>
      <c r="AN905" s="720" t="s">
        <v>2847</v>
      </c>
      <c r="AO905" s="722">
        <v>0.552</v>
      </c>
      <c r="AP905" s="722" t="s">
        <v>2848</v>
      </c>
    </row>
    <row r="906">
      <c r="A906" s="159"/>
      <c r="B906" s="636"/>
      <c r="C906" s="159"/>
      <c r="D906" s="636"/>
      <c r="E906" s="636"/>
      <c r="F906" s="159"/>
      <c r="G906" s="159"/>
      <c r="H906" s="159"/>
      <c r="I906" s="668"/>
      <c r="J906" s="157"/>
      <c r="K906" s="708"/>
      <c r="L906" s="157"/>
      <c r="M906" s="157"/>
      <c r="N906" s="157"/>
      <c r="O906" s="668"/>
      <c r="P906" s="709"/>
      <c r="Q906" s="59"/>
      <c r="R906" s="61"/>
      <c r="S906" s="41"/>
      <c r="T906" s="59"/>
      <c r="Y906" s="61"/>
      <c r="Z906" s="59"/>
      <c r="AF906" s="61"/>
      <c r="AH906" s="61"/>
      <c r="AI906" s="41"/>
      <c r="AK906" s="40">
        <v>903.0</v>
      </c>
      <c r="AL906" s="738" t="s">
        <v>2863</v>
      </c>
      <c r="AM906" s="738" t="s">
        <v>2850</v>
      </c>
      <c r="AN906" s="738" t="s">
        <v>2851</v>
      </c>
      <c r="AO906" s="739">
        <v>0.588</v>
      </c>
      <c r="AP906" s="739" t="s">
        <v>2852</v>
      </c>
    </row>
    <row r="907">
      <c r="A907" s="159"/>
      <c r="B907" s="636"/>
      <c r="C907" s="159"/>
      <c r="D907" s="636"/>
      <c r="E907" s="636"/>
      <c r="F907" s="159"/>
      <c r="G907" s="159"/>
      <c r="H907" s="159"/>
      <c r="I907" s="668"/>
      <c r="J907" s="157"/>
      <c r="K907" s="708"/>
      <c r="L907" s="157"/>
      <c r="M907" s="157"/>
      <c r="N907" s="157"/>
      <c r="O907" s="668"/>
      <c r="P907" s="709"/>
      <c r="Q907" s="59"/>
      <c r="R907" s="61"/>
      <c r="S907" s="41"/>
      <c r="T907" s="59"/>
      <c r="Y907" s="61"/>
      <c r="Z907" s="59"/>
      <c r="AF907" s="61"/>
      <c r="AH907" s="61"/>
      <c r="AI907" s="41"/>
      <c r="AK907" s="40">
        <v>904.0</v>
      </c>
      <c r="AL907" s="719" t="s">
        <v>2864</v>
      </c>
      <c r="AM907" s="720" t="s">
        <v>2834</v>
      </c>
      <c r="AN907" s="720" t="s">
        <v>2835</v>
      </c>
      <c r="AO907" s="722">
        <v>0.019</v>
      </c>
      <c r="AP907" s="722" t="s">
        <v>2836</v>
      </c>
    </row>
    <row r="908">
      <c r="A908" s="159"/>
      <c r="B908" s="636"/>
      <c r="C908" s="159"/>
      <c r="D908" s="636"/>
      <c r="E908" s="636"/>
      <c r="F908" s="159"/>
      <c r="G908" s="159"/>
      <c r="H908" s="159"/>
      <c r="I908" s="668"/>
      <c r="J908" s="157"/>
      <c r="K908" s="708"/>
      <c r="L908" s="157"/>
      <c r="M908" s="157"/>
      <c r="N908" s="157"/>
      <c r="O908" s="668"/>
      <c r="P908" s="709"/>
      <c r="Q908" s="59"/>
      <c r="R908" s="61"/>
      <c r="S908" s="41"/>
      <c r="T908" s="59"/>
      <c r="Y908" s="61"/>
      <c r="Z908" s="59"/>
      <c r="AF908" s="61"/>
      <c r="AH908" s="61"/>
      <c r="AI908" s="41"/>
      <c r="AK908" s="40">
        <v>905.0</v>
      </c>
      <c r="AL908" s="738" t="s">
        <v>2865</v>
      </c>
      <c r="AM908" s="738" t="s">
        <v>2838</v>
      </c>
      <c r="AN908" s="738" t="s">
        <v>2839</v>
      </c>
      <c r="AO908" s="739">
        <v>0.07</v>
      </c>
      <c r="AP908" s="739" t="s">
        <v>2840</v>
      </c>
    </row>
    <row r="909">
      <c r="A909" s="159"/>
      <c r="B909" s="636"/>
      <c r="C909" s="159"/>
      <c r="D909" s="636"/>
      <c r="E909" s="636"/>
      <c r="F909" s="159"/>
      <c r="G909" s="159"/>
      <c r="H909" s="159"/>
      <c r="I909" s="668"/>
      <c r="J909" s="157"/>
      <c r="K909" s="708"/>
      <c r="L909" s="157"/>
      <c r="M909" s="157"/>
      <c r="N909" s="157"/>
      <c r="O909" s="668"/>
      <c r="P909" s="709"/>
      <c r="Q909" s="59"/>
      <c r="R909" s="61"/>
      <c r="S909" s="41"/>
      <c r="T909" s="59"/>
      <c r="Y909" s="61"/>
      <c r="Z909" s="59"/>
      <c r="AF909" s="61"/>
      <c r="AH909" s="61"/>
      <c r="AI909" s="41"/>
      <c r="AK909" s="40">
        <v>906.0</v>
      </c>
      <c r="AL909" s="719" t="s">
        <v>2866</v>
      </c>
      <c r="AM909" s="720" t="s">
        <v>2842</v>
      </c>
      <c r="AN909" s="720" t="s">
        <v>2843</v>
      </c>
      <c r="AO909" s="722">
        <v>0.316</v>
      </c>
      <c r="AP909" s="722" t="s">
        <v>2844</v>
      </c>
    </row>
    <row r="910">
      <c r="A910" s="159"/>
      <c r="B910" s="636"/>
      <c r="C910" s="159"/>
      <c r="D910" s="636"/>
      <c r="E910" s="636"/>
      <c r="F910" s="159"/>
      <c r="G910" s="159"/>
      <c r="H910" s="159"/>
      <c r="I910" s="668"/>
      <c r="J910" s="157"/>
      <c r="K910" s="708"/>
      <c r="L910" s="157"/>
      <c r="M910" s="157"/>
      <c r="N910" s="157"/>
      <c r="O910" s="668"/>
      <c r="P910" s="709"/>
      <c r="Q910" s="59"/>
      <c r="R910" s="61"/>
      <c r="S910" s="41"/>
      <c r="T910" s="59"/>
      <c r="Y910" s="61"/>
      <c r="Z910" s="59"/>
      <c r="AF910" s="61"/>
      <c r="AH910" s="61"/>
      <c r="AI910" s="41"/>
      <c r="AK910" s="40">
        <v>907.0</v>
      </c>
      <c r="AL910" s="738" t="s">
        <v>2867</v>
      </c>
      <c r="AM910" s="738" t="s">
        <v>2846</v>
      </c>
      <c r="AN910" s="738" t="s">
        <v>2847</v>
      </c>
      <c r="AO910" s="739">
        <v>0.552</v>
      </c>
      <c r="AP910" s="739" t="s">
        <v>2848</v>
      </c>
    </row>
    <row r="911">
      <c r="A911" s="159"/>
      <c r="B911" s="636"/>
      <c r="C911" s="159"/>
      <c r="D911" s="636"/>
      <c r="E911" s="636"/>
      <c r="F911" s="159"/>
      <c r="G911" s="159"/>
      <c r="H911" s="159"/>
      <c r="I911" s="668"/>
      <c r="J911" s="157"/>
      <c r="K911" s="708"/>
      <c r="L911" s="157"/>
      <c r="M911" s="157"/>
      <c r="N911" s="157"/>
      <c r="O911" s="668"/>
      <c r="P911" s="709"/>
      <c r="Q911" s="59"/>
      <c r="R911" s="61"/>
      <c r="S911" s="41"/>
      <c r="T911" s="59"/>
      <c r="Y911" s="61"/>
      <c r="Z911" s="59"/>
      <c r="AF911" s="61"/>
      <c r="AH911" s="61"/>
      <c r="AI911" s="41"/>
      <c r="AK911" s="40">
        <v>908.0</v>
      </c>
      <c r="AL911" s="719" t="s">
        <v>2868</v>
      </c>
      <c r="AM911" s="720" t="s">
        <v>2850</v>
      </c>
      <c r="AN911" s="720" t="s">
        <v>2851</v>
      </c>
      <c r="AO911" s="722">
        <v>0.588</v>
      </c>
      <c r="AP911" s="722" t="s">
        <v>2852</v>
      </c>
    </row>
    <row r="912">
      <c r="A912" s="159"/>
      <c r="B912" s="636"/>
      <c r="C912" s="159"/>
      <c r="D912" s="636"/>
      <c r="E912" s="636"/>
      <c r="F912" s="159"/>
      <c r="G912" s="159"/>
      <c r="H912" s="159"/>
      <c r="I912" s="668"/>
      <c r="J912" s="157"/>
      <c r="K912" s="708"/>
      <c r="L912" s="157"/>
      <c r="M912" s="157"/>
      <c r="N912" s="157"/>
      <c r="O912" s="668"/>
      <c r="P912" s="709"/>
      <c r="Q912" s="59"/>
      <c r="R912" s="61"/>
      <c r="S912" s="41"/>
      <c r="T912" s="59"/>
      <c r="Y912" s="61"/>
      <c r="Z912" s="59"/>
      <c r="AF912" s="61"/>
      <c r="AH912" s="61"/>
      <c r="AI912" s="41"/>
      <c r="AK912" s="40">
        <v>909.0</v>
      </c>
      <c r="AL912" s="738" t="s">
        <v>2869</v>
      </c>
      <c r="AM912" s="738" t="s">
        <v>2156</v>
      </c>
      <c r="AN912" s="745"/>
      <c r="AO912" s="739">
        <v>0.0</v>
      </c>
      <c r="AP912" s="739" t="s">
        <v>2157</v>
      </c>
    </row>
    <row r="913">
      <c r="A913" s="159"/>
      <c r="B913" s="636"/>
      <c r="C913" s="159"/>
      <c r="D913" s="636"/>
      <c r="E913" s="636"/>
      <c r="F913" s="159"/>
      <c r="G913" s="159"/>
      <c r="H913" s="159"/>
      <c r="I913" s="668"/>
      <c r="J913" s="157"/>
      <c r="K913" s="708"/>
      <c r="L913" s="157"/>
      <c r="M913" s="157"/>
      <c r="N913" s="157"/>
      <c r="O913" s="668"/>
      <c r="P913" s="709"/>
      <c r="Q913" s="59"/>
      <c r="R913" s="61"/>
      <c r="S913" s="41"/>
      <c r="T913" s="59"/>
      <c r="Y913" s="61"/>
      <c r="Z913" s="59"/>
      <c r="AF913" s="61"/>
      <c r="AH913" s="61"/>
      <c r="AI913" s="41"/>
      <c r="AK913" s="40">
        <v>910.0</v>
      </c>
      <c r="AL913" s="719" t="s">
        <v>2870</v>
      </c>
      <c r="AM913" s="720" t="s">
        <v>2834</v>
      </c>
      <c r="AN913" s="720" t="s">
        <v>2835</v>
      </c>
      <c r="AO913" s="722">
        <v>0.019</v>
      </c>
      <c r="AP913" s="722" t="s">
        <v>2836</v>
      </c>
    </row>
    <row r="914">
      <c r="A914" s="159"/>
      <c r="B914" s="636"/>
      <c r="C914" s="159"/>
      <c r="D914" s="636"/>
      <c r="E914" s="636"/>
      <c r="F914" s="159"/>
      <c r="G914" s="159"/>
      <c r="H914" s="159"/>
      <c r="I914" s="668"/>
      <c r="J914" s="157"/>
      <c r="K914" s="708"/>
      <c r="L914" s="157"/>
      <c r="M914" s="157"/>
      <c r="N914" s="157"/>
      <c r="O914" s="668"/>
      <c r="P914" s="709"/>
      <c r="Q914" s="59"/>
      <c r="R914" s="61"/>
      <c r="S914" s="41"/>
      <c r="T914" s="59"/>
      <c r="Y914" s="61"/>
      <c r="Z914" s="59"/>
      <c r="AF914" s="61"/>
      <c r="AH914" s="61"/>
      <c r="AI914" s="41"/>
      <c r="AK914" s="40">
        <v>911.0</v>
      </c>
      <c r="AL914" s="738" t="s">
        <v>2871</v>
      </c>
      <c r="AM914" s="738" t="s">
        <v>2838</v>
      </c>
      <c r="AN914" s="738" t="s">
        <v>2839</v>
      </c>
      <c r="AO914" s="739">
        <v>0.07</v>
      </c>
      <c r="AP914" s="739" t="s">
        <v>2840</v>
      </c>
    </row>
    <row r="915">
      <c r="A915" s="159"/>
      <c r="B915" s="636"/>
      <c r="C915" s="159"/>
      <c r="D915" s="636"/>
      <c r="E915" s="636"/>
      <c r="F915" s="159"/>
      <c r="G915" s="159"/>
      <c r="H915" s="159"/>
      <c r="I915" s="668"/>
      <c r="J915" s="157"/>
      <c r="K915" s="708"/>
      <c r="L915" s="157"/>
      <c r="M915" s="157"/>
      <c r="N915" s="157"/>
      <c r="O915" s="668"/>
      <c r="P915" s="709"/>
      <c r="Q915" s="59"/>
      <c r="R915" s="61"/>
      <c r="S915" s="41"/>
      <c r="T915" s="59"/>
      <c r="Y915" s="61"/>
      <c r="Z915" s="59"/>
      <c r="AF915" s="61"/>
      <c r="AH915" s="61"/>
      <c r="AI915" s="41"/>
      <c r="AK915" s="40">
        <v>912.0</v>
      </c>
      <c r="AL915" s="719" t="s">
        <v>2872</v>
      </c>
      <c r="AM915" s="720" t="s">
        <v>2842</v>
      </c>
      <c r="AN915" s="720" t="s">
        <v>2843</v>
      </c>
      <c r="AO915" s="722">
        <v>0.316</v>
      </c>
      <c r="AP915" s="722" t="s">
        <v>2844</v>
      </c>
    </row>
    <row r="916">
      <c r="A916" s="159"/>
      <c r="B916" s="636"/>
      <c r="C916" s="159"/>
      <c r="D916" s="636"/>
      <c r="E916" s="636"/>
      <c r="F916" s="159"/>
      <c r="G916" s="159"/>
      <c r="H916" s="159"/>
      <c r="I916" s="668"/>
      <c r="J916" s="157"/>
      <c r="K916" s="708"/>
      <c r="L916" s="157"/>
      <c r="M916" s="157"/>
      <c r="N916" s="157"/>
      <c r="O916" s="668"/>
      <c r="P916" s="709"/>
      <c r="Q916" s="59"/>
      <c r="R916" s="61"/>
      <c r="S916" s="41"/>
      <c r="T916" s="59"/>
      <c r="Y916" s="61"/>
      <c r="Z916" s="59"/>
      <c r="AF916" s="61"/>
      <c r="AH916" s="61"/>
      <c r="AI916" s="41"/>
      <c r="AK916" s="40">
        <v>913.0</v>
      </c>
      <c r="AL916" s="738" t="s">
        <v>2873</v>
      </c>
      <c r="AM916" s="738" t="s">
        <v>2846</v>
      </c>
      <c r="AN916" s="738" t="s">
        <v>2847</v>
      </c>
      <c r="AO916" s="739">
        <v>0.552</v>
      </c>
      <c r="AP916" s="739" t="s">
        <v>2848</v>
      </c>
    </row>
    <row r="917">
      <c r="A917" s="159"/>
      <c r="B917" s="636"/>
      <c r="C917" s="159"/>
      <c r="D917" s="636"/>
      <c r="E917" s="636"/>
      <c r="F917" s="159"/>
      <c r="G917" s="159"/>
      <c r="H917" s="159"/>
      <c r="I917" s="668"/>
      <c r="J917" s="157"/>
      <c r="K917" s="708"/>
      <c r="L917" s="157"/>
      <c r="M917" s="157"/>
      <c r="N917" s="157"/>
      <c r="O917" s="668"/>
      <c r="P917" s="709"/>
      <c r="Q917" s="59"/>
      <c r="R917" s="61"/>
      <c r="S917" s="41"/>
      <c r="T917" s="59"/>
      <c r="Y917" s="61"/>
      <c r="Z917" s="59"/>
      <c r="AF917" s="61"/>
      <c r="AH917" s="61"/>
      <c r="AI917" s="41"/>
      <c r="AK917" s="40">
        <v>914.0</v>
      </c>
      <c r="AL917" s="719" t="s">
        <v>2874</v>
      </c>
      <c r="AM917" s="720" t="s">
        <v>2850</v>
      </c>
      <c r="AN917" s="720" t="s">
        <v>2851</v>
      </c>
      <c r="AO917" s="722">
        <v>0.588</v>
      </c>
      <c r="AP917" s="722" t="s">
        <v>2852</v>
      </c>
    </row>
    <row r="918">
      <c r="A918" s="159"/>
      <c r="B918" s="636"/>
      <c r="C918" s="159"/>
      <c r="D918" s="636"/>
      <c r="E918" s="636"/>
      <c r="F918" s="159"/>
      <c r="G918" s="159"/>
      <c r="H918" s="159"/>
      <c r="I918" s="668"/>
      <c r="J918" s="157"/>
      <c r="K918" s="708"/>
      <c r="L918" s="157"/>
      <c r="M918" s="157"/>
      <c r="N918" s="157"/>
      <c r="O918" s="668"/>
      <c r="P918" s="709"/>
      <c r="Q918" s="59"/>
      <c r="R918" s="61"/>
      <c r="S918" s="41"/>
      <c r="T918" s="59"/>
      <c r="Y918" s="61"/>
      <c r="Z918" s="59"/>
      <c r="AF918" s="61"/>
      <c r="AH918" s="61"/>
      <c r="AI918" s="41"/>
      <c r="AK918" s="40">
        <v>915.0</v>
      </c>
      <c r="AL918" s="738" t="s">
        <v>2875</v>
      </c>
      <c r="AM918" s="738" t="s">
        <v>2834</v>
      </c>
      <c r="AN918" s="738" t="s">
        <v>2835</v>
      </c>
      <c r="AO918" s="739">
        <v>0.019</v>
      </c>
      <c r="AP918" s="739" t="s">
        <v>2836</v>
      </c>
    </row>
    <row r="919">
      <c r="A919" s="159"/>
      <c r="B919" s="636"/>
      <c r="C919" s="159"/>
      <c r="D919" s="636"/>
      <c r="E919" s="636"/>
      <c r="F919" s="159"/>
      <c r="G919" s="159"/>
      <c r="H919" s="159"/>
      <c r="I919" s="668"/>
      <c r="J919" s="157"/>
      <c r="K919" s="708"/>
      <c r="L919" s="157"/>
      <c r="M919" s="157"/>
      <c r="N919" s="157"/>
      <c r="O919" s="668"/>
      <c r="P919" s="709"/>
      <c r="Q919" s="59"/>
      <c r="R919" s="61"/>
      <c r="S919" s="41"/>
      <c r="T919" s="59"/>
      <c r="Y919" s="61"/>
      <c r="Z919" s="59"/>
      <c r="AF919" s="61"/>
      <c r="AH919" s="61"/>
      <c r="AI919" s="41"/>
      <c r="AK919" s="40">
        <v>916.0</v>
      </c>
      <c r="AL919" s="719" t="s">
        <v>2876</v>
      </c>
      <c r="AM919" s="720" t="s">
        <v>2838</v>
      </c>
      <c r="AN919" s="720" t="s">
        <v>2839</v>
      </c>
      <c r="AO919" s="722">
        <v>0.07</v>
      </c>
      <c r="AP919" s="722" t="s">
        <v>2840</v>
      </c>
    </row>
    <row r="920">
      <c r="A920" s="159"/>
      <c r="B920" s="636"/>
      <c r="C920" s="159"/>
      <c r="D920" s="636"/>
      <c r="E920" s="636"/>
      <c r="F920" s="159"/>
      <c r="G920" s="159"/>
      <c r="H920" s="159"/>
      <c r="I920" s="668"/>
      <c r="J920" s="157"/>
      <c r="K920" s="708"/>
      <c r="L920" s="157"/>
      <c r="M920" s="157"/>
      <c r="N920" s="157"/>
      <c r="O920" s="668"/>
      <c r="P920" s="709"/>
      <c r="Q920" s="59"/>
      <c r="R920" s="61"/>
      <c r="S920" s="41"/>
      <c r="T920" s="59"/>
      <c r="Y920" s="61"/>
      <c r="Z920" s="59"/>
      <c r="AF920" s="61"/>
      <c r="AH920" s="61"/>
      <c r="AI920" s="41"/>
      <c r="AK920" s="40">
        <v>917.0</v>
      </c>
      <c r="AL920" s="738" t="s">
        <v>2877</v>
      </c>
      <c r="AM920" s="738" t="s">
        <v>2842</v>
      </c>
      <c r="AN920" s="738" t="s">
        <v>2843</v>
      </c>
      <c r="AO920" s="739">
        <v>0.316</v>
      </c>
      <c r="AP920" s="739" t="s">
        <v>2844</v>
      </c>
    </row>
    <row r="921">
      <c r="A921" s="159"/>
      <c r="B921" s="636"/>
      <c r="C921" s="159"/>
      <c r="D921" s="636"/>
      <c r="E921" s="636"/>
      <c r="F921" s="159"/>
      <c r="G921" s="159"/>
      <c r="H921" s="159"/>
      <c r="I921" s="668"/>
      <c r="J921" s="157"/>
      <c r="K921" s="708"/>
      <c r="L921" s="157"/>
      <c r="M921" s="157"/>
      <c r="N921" s="157"/>
      <c r="O921" s="668"/>
      <c r="P921" s="709"/>
      <c r="Q921" s="59"/>
      <c r="R921" s="61"/>
      <c r="S921" s="41"/>
      <c r="T921" s="59"/>
      <c r="Y921" s="61"/>
      <c r="Z921" s="59"/>
      <c r="AF921" s="61"/>
      <c r="AH921" s="61"/>
      <c r="AI921" s="41"/>
      <c r="AK921" s="40">
        <v>918.0</v>
      </c>
      <c r="AL921" s="719" t="s">
        <v>2878</v>
      </c>
      <c r="AM921" s="720" t="s">
        <v>2846</v>
      </c>
      <c r="AN921" s="720" t="s">
        <v>2847</v>
      </c>
      <c r="AO921" s="722">
        <v>0.552</v>
      </c>
      <c r="AP921" s="722" t="s">
        <v>2848</v>
      </c>
    </row>
    <row r="922">
      <c r="A922" s="159"/>
      <c r="B922" s="636"/>
      <c r="C922" s="159"/>
      <c r="D922" s="636"/>
      <c r="E922" s="636"/>
      <c r="F922" s="159"/>
      <c r="G922" s="159"/>
      <c r="H922" s="159"/>
      <c r="I922" s="668"/>
      <c r="J922" s="157"/>
      <c r="K922" s="708"/>
      <c r="L922" s="157"/>
      <c r="M922" s="157"/>
      <c r="N922" s="157"/>
      <c r="O922" s="668"/>
      <c r="P922" s="709"/>
      <c r="Q922" s="59"/>
      <c r="R922" s="61"/>
      <c r="S922" s="41"/>
      <c r="T922" s="59"/>
      <c r="Y922" s="61"/>
      <c r="Z922" s="59"/>
      <c r="AF922" s="61"/>
      <c r="AH922" s="61"/>
      <c r="AI922" s="41"/>
      <c r="AK922" s="40">
        <v>919.0</v>
      </c>
      <c r="AL922" s="738" t="s">
        <v>2879</v>
      </c>
      <c r="AM922" s="738" t="s">
        <v>2850</v>
      </c>
      <c r="AN922" s="738" t="s">
        <v>2851</v>
      </c>
      <c r="AO922" s="739">
        <v>0.588</v>
      </c>
      <c r="AP922" s="739" t="s">
        <v>2852</v>
      </c>
    </row>
    <row r="923">
      <c r="A923" s="159"/>
      <c r="B923" s="636"/>
      <c r="C923" s="159"/>
      <c r="D923" s="636"/>
      <c r="E923" s="636"/>
      <c r="F923" s="159"/>
      <c r="G923" s="159"/>
      <c r="H923" s="159"/>
      <c r="I923" s="668"/>
      <c r="J923" s="157"/>
      <c r="K923" s="708"/>
      <c r="L923" s="157"/>
      <c r="M923" s="157"/>
      <c r="N923" s="157"/>
      <c r="O923" s="668"/>
      <c r="P923" s="709"/>
      <c r="Q923" s="59"/>
      <c r="R923" s="61"/>
      <c r="S923" s="41"/>
      <c r="T923" s="59"/>
      <c r="Y923" s="61"/>
      <c r="Z923" s="59"/>
      <c r="AF923" s="61"/>
      <c r="AH923" s="61"/>
      <c r="AI923" s="41"/>
      <c r="AK923" s="40">
        <v>920.0</v>
      </c>
      <c r="AL923" s="719" t="s">
        <v>2880</v>
      </c>
      <c r="AM923" s="720" t="s">
        <v>2156</v>
      </c>
      <c r="AN923" s="721"/>
      <c r="AO923" s="722">
        <v>0.0</v>
      </c>
      <c r="AP923" s="722" t="s">
        <v>2157</v>
      </c>
    </row>
    <row r="924">
      <c r="A924" s="159"/>
      <c r="B924" s="636"/>
      <c r="C924" s="159"/>
      <c r="D924" s="636"/>
      <c r="E924" s="636"/>
      <c r="F924" s="159"/>
      <c r="G924" s="159"/>
      <c r="H924" s="159"/>
      <c r="I924" s="668"/>
      <c r="J924" s="157"/>
      <c r="K924" s="708"/>
      <c r="L924" s="157"/>
      <c r="M924" s="157"/>
      <c r="N924" s="157"/>
      <c r="O924" s="668"/>
      <c r="P924" s="709"/>
      <c r="Q924" s="59"/>
      <c r="R924" s="61"/>
      <c r="S924" s="41"/>
      <c r="T924" s="59"/>
      <c r="Y924" s="61"/>
      <c r="Z924" s="59"/>
      <c r="AF924" s="61"/>
      <c r="AH924" s="61"/>
      <c r="AI924" s="41"/>
      <c r="AK924" s="40">
        <v>921.0</v>
      </c>
      <c r="AL924" s="738" t="s">
        <v>2881</v>
      </c>
      <c r="AM924" s="738" t="s">
        <v>2069</v>
      </c>
      <c r="AN924" s="738" t="s">
        <v>2070</v>
      </c>
      <c r="AO924" s="739">
        <v>0.041</v>
      </c>
      <c r="AP924" s="739" t="s">
        <v>2071</v>
      </c>
    </row>
    <row r="925">
      <c r="A925" s="159"/>
      <c r="B925" s="636"/>
      <c r="C925" s="159"/>
      <c r="D925" s="636"/>
      <c r="E925" s="636"/>
      <c r="F925" s="159"/>
      <c r="G925" s="159"/>
      <c r="H925" s="159"/>
      <c r="I925" s="668"/>
      <c r="J925" s="157"/>
      <c r="K925" s="708"/>
      <c r="L925" s="157"/>
      <c r="M925" s="157"/>
      <c r="N925" s="157"/>
      <c r="O925" s="668"/>
      <c r="P925" s="709"/>
      <c r="Q925" s="59"/>
      <c r="R925" s="61"/>
      <c r="S925" s="41"/>
      <c r="T925" s="59"/>
      <c r="Y925" s="61"/>
      <c r="Z925" s="59"/>
      <c r="AF925" s="61"/>
      <c r="AH925" s="61"/>
      <c r="AI925" s="41"/>
      <c r="AK925" s="40">
        <v>922.0</v>
      </c>
      <c r="AL925" s="719" t="s">
        <v>2882</v>
      </c>
      <c r="AM925" s="720" t="s">
        <v>2020</v>
      </c>
      <c r="AN925" s="720" t="s">
        <v>2021</v>
      </c>
      <c r="AO925" s="722">
        <v>0.072</v>
      </c>
      <c r="AP925" s="722" t="s">
        <v>2022</v>
      </c>
    </row>
    <row r="926">
      <c r="A926" s="159"/>
      <c r="B926" s="636"/>
      <c r="C926" s="159"/>
      <c r="D926" s="636"/>
      <c r="E926" s="636"/>
      <c r="F926" s="159"/>
      <c r="G926" s="159"/>
      <c r="H926" s="159"/>
      <c r="I926" s="668"/>
      <c r="J926" s="157"/>
      <c r="K926" s="708"/>
      <c r="L926" s="157"/>
      <c r="M926" s="157"/>
      <c r="N926" s="157"/>
      <c r="O926" s="668"/>
      <c r="P926" s="709"/>
      <c r="Q926" s="59"/>
      <c r="R926" s="61"/>
      <c r="S926" s="41"/>
      <c r="T926" s="59"/>
      <c r="Y926" s="61"/>
      <c r="Z926" s="59"/>
      <c r="AF926" s="61"/>
      <c r="AH926" s="61"/>
      <c r="AI926" s="41"/>
      <c r="AK926" s="40">
        <v>923.0</v>
      </c>
      <c r="AL926" s="738" t="s">
        <v>2883</v>
      </c>
      <c r="AM926" s="738" t="s">
        <v>1925</v>
      </c>
      <c r="AN926" s="738" t="s">
        <v>1926</v>
      </c>
      <c r="AO926" s="739">
        <v>0.179</v>
      </c>
      <c r="AP926" s="739" t="s">
        <v>1927</v>
      </c>
    </row>
    <row r="927">
      <c r="A927" s="159"/>
      <c r="B927" s="636"/>
      <c r="C927" s="159"/>
      <c r="D927" s="636"/>
      <c r="E927" s="636"/>
      <c r="F927" s="159"/>
      <c r="G927" s="159"/>
      <c r="H927" s="159"/>
      <c r="I927" s="668"/>
      <c r="J927" s="157"/>
      <c r="K927" s="708"/>
      <c r="L927" s="157"/>
      <c r="M927" s="157"/>
      <c r="N927" s="157"/>
      <c r="O927" s="668"/>
      <c r="P927" s="709"/>
      <c r="Q927" s="59"/>
      <c r="R927" s="61"/>
      <c r="S927" s="41"/>
      <c r="T927" s="59"/>
      <c r="Y927" s="61"/>
      <c r="Z927" s="59"/>
      <c r="AF927" s="61"/>
      <c r="AH927" s="61"/>
      <c r="AI927" s="41"/>
      <c r="AK927" s="40">
        <v>924.0</v>
      </c>
      <c r="AL927" s="719" t="s">
        <v>2884</v>
      </c>
      <c r="AM927" s="720" t="s">
        <v>2065</v>
      </c>
      <c r="AN927" s="720" t="s">
        <v>2066</v>
      </c>
      <c r="AO927" s="722">
        <v>0.049</v>
      </c>
      <c r="AP927" s="722" t="s">
        <v>2067</v>
      </c>
    </row>
    <row r="928">
      <c r="A928" s="159"/>
      <c r="B928" s="636"/>
      <c r="C928" s="159"/>
      <c r="D928" s="636"/>
      <c r="E928" s="636"/>
      <c r="F928" s="159"/>
      <c r="G928" s="159"/>
      <c r="H928" s="159"/>
      <c r="I928" s="668"/>
      <c r="J928" s="157"/>
      <c r="K928" s="708"/>
      <c r="L928" s="157"/>
      <c r="M928" s="157"/>
      <c r="N928" s="157"/>
      <c r="O928" s="668"/>
      <c r="P928" s="709"/>
      <c r="Q928" s="59"/>
      <c r="R928" s="61"/>
      <c r="S928" s="41"/>
      <c r="T928" s="59"/>
      <c r="Y928" s="61"/>
      <c r="Z928" s="59"/>
      <c r="AF928" s="61"/>
      <c r="AH928" s="61"/>
      <c r="AI928" s="41"/>
      <c r="AK928" s="40">
        <v>925.0</v>
      </c>
      <c r="AL928" s="738" t="s">
        <v>2885</v>
      </c>
      <c r="AM928" s="738" t="s">
        <v>2069</v>
      </c>
      <c r="AN928" s="738" t="s">
        <v>2070</v>
      </c>
      <c r="AO928" s="739">
        <v>0.041</v>
      </c>
      <c r="AP928" s="739" t="s">
        <v>2071</v>
      </c>
    </row>
    <row r="929">
      <c r="A929" s="159"/>
      <c r="B929" s="636"/>
      <c r="C929" s="159"/>
      <c r="D929" s="636"/>
      <c r="E929" s="636"/>
      <c r="F929" s="159"/>
      <c r="G929" s="159"/>
      <c r="H929" s="159"/>
      <c r="I929" s="668"/>
      <c r="J929" s="157"/>
      <c r="K929" s="708"/>
      <c r="L929" s="157"/>
      <c r="M929" s="157"/>
      <c r="N929" s="157"/>
      <c r="O929" s="668"/>
      <c r="P929" s="709"/>
      <c r="Q929" s="59"/>
      <c r="R929" s="61"/>
      <c r="S929" s="41"/>
      <c r="T929" s="59"/>
      <c r="Y929" s="61"/>
      <c r="Z929" s="59"/>
      <c r="AF929" s="61"/>
      <c r="AH929" s="61"/>
      <c r="AI929" s="41"/>
      <c r="AK929" s="40">
        <v>926.0</v>
      </c>
      <c r="AL929" s="719" t="s">
        <v>2886</v>
      </c>
      <c r="AM929" s="720" t="s">
        <v>2020</v>
      </c>
      <c r="AN929" s="720" t="s">
        <v>2021</v>
      </c>
      <c r="AO929" s="722">
        <v>0.072</v>
      </c>
      <c r="AP929" s="722" t="s">
        <v>2022</v>
      </c>
    </row>
    <row r="930">
      <c r="A930" s="159"/>
      <c r="B930" s="636"/>
      <c r="C930" s="159"/>
      <c r="D930" s="636"/>
      <c r="E930" s="636"/>
      <c r="F930" s="159"/>
      <c r="G930" s="159"/>
      <c r="H930" s="159"/>
      <c r="I930" s="668"/>
      <c r="J930" s="157"/>
      <c r="K930" s="708"/>
      <c r="L930" s="157"/>
      <c r="M930" s="157"/>
      <c r="N930" s="157"/>
      <c r="O930" s="668"/>
      <c r="P930" s="709"/>
      <c r="Q930" s="59"/>
      <c r="R930" s="61"/>
      <c r="S930" s="41"/>
      <c r="T930" s="59"/>
      <c r="Y930" s="61"/>
      <c r="Z930" s="59"/>
      <c r="AF930" s="61"/>
      <c r="AH930" s="61"/>
      <c r="AI930" s="41"/>
      <c r="AK930" s="40">
        <v>927.0</v>
      </c>
      <c r="AL930" s="738" t="s">
        <v>2887</v>
      </c>
      <c r="AM930" s="738" t="s">
        <v>1925</v>
      </c>
      <c r="AN930" s="738" t="s">
        <v>1926</v>
      </c>
      <c r="AO930" s="739">
        <v>0.179</v>
      </c>
      <c r="AP930" s="739" t="s">
        <v>1927</v>
      </c>
    </row>
    <row r="931">
      <c r="A931" s="159"/>
      <c r="B931" s="636"/>
      <c r="C931" s="159"/>
      <c r="D931" s="636"/>
      <c r="E931" s="636"/>
      <c r="F931" s="159"/>
      <c r="G931" s="159"/>
      <c r="H931" s="159"/>
      <c r="I931" s="668"/>
      <c r="J931" s="157"/>
      <c r="K931" s="708"/>
      <c r="L931" s="157"/>
      <c r="M931" s="157"/>
      <c r="N931" s="157"/>
      <c r="O931" s="668"/>
      <c r="P931" s="709"/>
      <c r="Q931" s="59"/>
      <c r="R931" s="61"/>
      <c r="S931" s="41"/>
      <c r="T931" s="59"/>
      <c r="Y931" s="61"/>
      <c r="Z931" s="59"/>
      <c r="AF931" s="61"/>
      <c r="AH931" s="61"/>
      <c r="AI931" s="41"/>
      <c r="AK931" s="40">
        <v>928.0</v>
      </c>
      <c r="AL931" s="719" t="s">
        <v>2888</v>
      </c>
      <c r="AM931" s="720" t="s">
        <v>2065</v>
      </c>
      <c r="AN931" s="720" t="s">
        <v>2066</v>
      </c>
      <c r="AO931" s="722">
        <v>0.049</v>
      </c>
      <c r="AP931" s="722" t="s">
        <v>2067</v>
      </c>
    </row>
    <row r="932">
      <c r="A932" s="159"/>
      <c r="B932" s="636"/>
      <c r="C932" s="159"/>
      <c r="D932" s="636"/>
      <c r="E932" s="636"/>
      <c r="F932" s="159"/>
      <c r="G932" s="159"/>
      <c r="H932" s="159"/>
      <c r="I932" s="668"/>
      <c r="J932" s="157"/>
      <c r="K932" s="708"/>
      <c r="L932" s="157"/>
      <c r="M932" s="157"/>
      <c r="N932" s="157"/>
      <c r="O932" s="668"/>
      <c r="P932" s="709"/>
      <c r="Q932" s="59"/>
      <c r="R932" s="61"/>
      <c r="S932" s="41"/>
      <c r="T932" s="59"/>
      <c r="Y932" s="61"/>
      <c r="Z932" s="59"/>
      <c r="AF932" s="61"/>
      <c r="AH932" s="61"/>
      <c r="AI932" s="41"/>
      <c r="AK932" s="40">
        <v>929.0</v>
      </c>
      <c r="AL932" s="738" t="s">
        <v>2889</v>
      </c>
      <c r="AM932" s="738" t="s">
        <v>2065</v>
      </c>
      <c r="AN932" s="738" t="s">
        <v>2066</v>
      </c>
      <c r="AO932" s="739">
        <v>0.049</v>
      </c>
      <c r="AP932" s="739" t="s">
        <v>2067</v>
      </c>
    </row>
    <row r="933">
      <c r="A933" s="159"/>
      <c r="B933" s="636"/>
      <c r="C933" s="159"/>
      <c r="D933" s="636"/>
      <c r="E933" s="636"/>
      <c r="F933" s="159"/>
      <c r="G933" s="159"/>
      <c r="H933" s="159"/>
      <c r="I933" s="668"/>
      <c r="J933" s="157"/>
      <c r="K933" s="708"/>
      <c r="L933" s="157"/>
      <c r="M933" s="157"/>
      <c r="N933" s="157"/>
      <c r="O933" s="668"/>
      <c r="P933" s="709"/>
      <c r="Q933" s="59"/>
      <c r="R933" s="61"/>
      <c r="S933" s="41"/>
      <c r="T933" s="59"/>
      <c r="Y933" s="61"/>
      <c r="Z933" s="59"/>
      <c r="AF933" s="61"/>
      <c r="AH933" s="61"/>
      <c r="AI933" s="41"/>
      <c r="AK933" s="40">
        <v>930.0</v>
      </c>
      <c r="AL933" s="719" t="s">
        <v>2890</v>
      </c>
      <c r="AM933" s="720" t="s">
        <v>2156</v>
      </c>
      <c r="AN933" s="721"/>
      <c r="AO933" s="722">
        <v>0.0</v>
      </c>
      <c r="AP933" s="722" t="s">
        <v>2157</v>
      </c>
    </row>
    <row r="934">
      <c r="A934" s="159"/>
      <c r="B934" s="636"/>
      <c r="C934" s="159"/>
      <c r="D934" s="636"/>
      <c r="E934" s="636"/>
      <c r="F934" s="159"/>
      <c r="G934" s="159"/>
      <c r="H934" s="159"/>
      <c r="I934" s="668"/>
      <c r="J934" s="157"/>
      <c r="K934" s="708"/>
      <c r="L934" s="157"/>
      <c r="M934" s="157"/>
      <c r="N934" s="157"/>
      <c r="O934" s="668"/>
      <c r="P934" s="709"/>
      <c r="Q934" s="59"/>
      <c r="R934" s="61"/>
      <c r="S934" s="41"/>
      <c r="T934" s="59"/>
      <c r="Y934" s="61"/>
      <c r="Z934" s="59"/>
      <c r="AF934" s="61"/>
      <c r="AH934" s="61"/>
      <c r="AI934" s="41"/>
      <c r="AK934" s="40">
        <v>931.0</v>
      </c>
      <c r="AL934" s="738" t="s">
        <v>2891</v>
      </c>
      <c r="AM934" s="738" t="s">
        <v>2069</v>
      </c>
      <c r="AN934" s="738" t="s">
        <v>2070</v>
      </c>
      <c r="AO934" s="739">
        <v>0.041</v>
      </c>
      <c r="AP934" s="739" t="s">
        <v>2071</v>
      </c>
    </row>
    <row r="935">
      <c r="A935" s="159"/>
      <c r="B935" s="636"/>
      <c r="C935" s="159"/>
      <c r="D935" s="636"/>
      <c r="E935" s="636"/>
      <c r="F935" s="159"/>
      <c r="G935" s="159"/>
      <c r="H935" s="159"/>
      <c r="I935" s="668"/>
      <c r="J935" s="157"/>
      <c r="K935" s="708"/>
      <c r="L935" s="157"/>
      <c r="M935" s="157"/>
      <c r="N935" s="157"/>
      <c r="O935" s="668"/>
      <c r="P935" s="709"/>
      <c r="Q935" s="59"/>
      <c r="R935" s="61"/>
      <c r="S935" s="41"/>
      <c r="T935" s="59"/>
      <c r="Y935" s="61"/>
      <c r="Z935" s="59"/>
      <c r="AF935" s="61"/>
      <c r="AH935" s="61"/>
      <c r="AI935" s="41"/>
      <c r="AK935" s="40">
        <v>932.0</v>
      </c>
      <c r="AL935" s="719" t="s">
        <v>2892</v>
      </c>
      <c r="AM935" s="720" t="s">
        <v>2020</v>
      </c>
      <c r="AN935" s="720" t="s">
        <v>2021</v>
      </c>
      <c r="AO935" s="722">
        <v>0.072</v>
      </c>
      <c r="AP935" s="722" t="s">
        <v>2022</v>
      </c>
    </row>
    <row r="936">
      <c r="A936" s="159"/>
      <c r="B936" s="636"/>
      <c r="C936" s="159"/>
      <c r="D936" s="636"/>
      <c r="E936" s="636"/>
      <c r="F936" s="159"/>
      <c r="G936" s="159"/>
      <c r="H936" s="159"/>
      <c r="I936" s="668"/>
      <c r="J936" s="157"/>
      <c r="K936" s="708"/>
      <c r="L936" s="157"/>
      <c r="M936" s="157"/>
      <c r="N936" s="157"/>
      <c r="O936" s="668"/>
      <c r="P936" s="709"/>
      <c r="Q936" s="59"/>
      <c r="R936" s="61"/>
      <c r="S936" s="41"/>
      <c r="T936" s="59"/>
      <c r="Y936" s="61"/>
      <c r="Z936" s="59"/>
      <c r="AF936" s="61"/>
      <c r="AH936" s="61"/>
      <c r="AI936" s="41"/>
      <c r="AK936" s="40">
        <v>933.0</v>
      </c>
      <c r="AL936" s="738" t="s">
        <v>2893</v>
      </c>
      <c r="AM936" s="738" t="s">
        <v>1925</v>
      </c>
      <c r="AN936" s="738" t="s">
        <v>1926</v>
      </c>
      <c r="AO936" s="739">
        <v>0.179</v>
      </c>
      <c r="AP936" s="739" t="s">
        <v>1927</v>
      </c>
    </row>
    <row r="937">
      <c r="A937" s="159"/>
      <c r="B937" s="636"/>
      <c r="C937" s="159"/>
      <c r="D937" s="636"/>
      <c r="E937" s="636"/>
      <c r="F937" s="159"/>
      <c r="G937" s="159"/>
      <c r="H937" s="159"/>
      <c r="I937" s="668"/>
      <c r="J937" s="157"/>
      <c r="K937" s="708"/>
      <c r="L937" s="157"/>
      <c r="M937" s="157"/>
      <c r="N937" s="157"/>
      <c r="O937" s="668"/>
      <c r="P937" s="709"/>
      <c r="Q937" s="59"/>
      <c r="R937" s="61"/>
      <c r="S937" s="41"/>
      <c r="T937" s="59"/>
      <c r="Y937" s="61"/>
      <c r="Z937" s="59"/>
      <c r="AF937" s="61"/>
      <c r="AH937" s="61"/>
      <c r="AI937" s="41"/>
      <c r="AK937" s="40">
        <v>934.0</v>
      </c>
      <c r="AL937" s="719" t="s">
        <v>2894</v>
      </c>
      <c r="AM937" s="720" t="s">
        <v>2065</v>
      </c>
      <c r="AN937" s="720" t="s">
        <v>2066</v>
      </c>
      <c r="AO937" s="722">
        <v>0.049</v>
      </c>
      <c r="AP937" s="722" t="s">
        <v>2067</v>
      </c>
    </row>
    <row r="938">
      <c r="A938" s="159"/>
      <c r="B938" s="636"/>
      <c r="C938" s="159"/>
      <c r="D938" s="636"/>
      <c r="E938" s="636"/>
      <c r="F938" s="159"/>
      <c r="G938" s="159"/>
      <c r="H938" s="159"/>
      <c r="I938" s="668"/>
      <c r="J938" s="157"/>
      <c r="K938" s="708"/>
      <c r="L938" s="157"/>
      <c r="M938" s="157"/>
      <c r="N938" s="157"/>
      <c r="O938" s="668"/>
      <c r="P938" s="709"/>
      <c r="Q938" s="59"/>
      <c r="R938" s="61"/>
      <c r="S938" s="41"/>
      <c r="T938" s="59"/>
      <c r="Y938" s="61"/>
      <c r="Z938" s="59"/>
      <c r="AF938" s="61"/>
      <c r="AH938" s="61"/>
      <c r="AI938" s="41"/>
      <c r="AK938" s="40">
        <v>935.0</v>
      </c>
      <c r="AL938" s="738" t="s">
        <v>2895</v>
      </c>
      <c r="AM938" s="738" t="s">
        <v>2065</v>
      </c>
      <c r="AN938" s="738" t="s">
        <v>2066</v>
      </c>
      <c r="AO938" s="739">
        <v>0.049</v>
      </c>
      <c r="AP938" s="739" t="s">
        <v>2067</v>
      </c>
    </row>
    <row r="939">
      <c r="A939" s="159"/>
      <c r="B939" s="636"/>
      <c r="C939" s="159"/>
      <c r="D939" s="636"/>
      <c r="E939" s="636"/>
      <c r="F939" s="159"/>
      <c r="G939" s="159"/>
      <c r="H939" s="159"/>
      <c r="I939" s="668"/>
      <c r="J939" s="157"/>
      <c r="K939" s="708"/>
      <c r="L939" s="157"/>
      <c r="M939" s="157"/>
      <c r="N939" s="157"/>
      <c r="O939" s="668"/>
      <c r="P939" s="709"/>
      <c r="Q939" s="59"/>
      <c r="R939" s="61"/>
      <c r="S939" s="41"/>
      <c r="T939" s="59"/>
      <c r="Y939" s="61"/>
      <c r="Z939" s="59"/>
      <c r="AF939" s="61"/>
      <c r="AH939" s="61"/>
      <c r="AI939" s="41"/>
      <c r="AK939" s="40">
        <v>936.0</v>
      </c>
      <c r="AL939" s="719" t="s">
        <v>2896</v>
      </c>
      <c r="AM939" s="720" t="s">
        <v>2156</v>
      </c>
      <c r="AN939" s="721"/>
      <c r="AO939" s="722">
        <v>0.0</v>
      </c>
      <c r="AP939" s="722" t="s">
        <v>2157</v>
      </c>
    </row>
    <row r="940">
      <c r="A940" s="159"/>
      <c r="B940" s="636"/>
      <c r="C940" s="159"/>
      <c r="D940" s="636"/>
      <c r="E940" s="636"/>
      <c r="F940" s="159"/>
      <c r="G940" s="159"/>
      <c r="H940" s="159"/>
      <c r="I940" s="668"/>
      <c r="J940" s="157"/>
      <c r="K940" s="708"/>
      <c r="L940" s="157"/>
      <c r="M940" s="157"/>
      <c r="N940" s="157"/>
      <c r="O940" s="668"/>
      <c r="P940" s="709"/>
      <c r="Q940" s="59"/>
      <c r="R940" s="61"/>
      <c r="S940" s="41"/>
      <c r="T940" s="59"/>
      <c r="Y940" s="61"/>
      <c r="Z940" s="59"/>
      <c r="AF940" s="61"/>
      <c r="AH940" s="61"/>
      <c r="AI940" s="41"/>
      <c r="AK940" s="40">
        <v>937.0</v>
      </c>
      <c r="AL940" s="738" t="s">
        <v>2897</v>
      </c>
      <c r="AM940" s="738" t="s">
        <v>2069</v>
      </c>
      <c r="AN940" s="738" t="s">
        <v>2070</v>
      </c>
      <c r="AO940" s="739">
        <v>0.041</v>
      </c>
      <c r="AP940" s="739" t="s">
        <v>2071</v>
      </c>
    </row>
    <row r="941">
      <c r="A941" s="159"/>
      <c r="B941" s="636"/>
      <c r="C941" s="159"/>
      <c r="D941" s="636"/>
      <c r="E941" s="636"/>
      <c r="F941" s="159"/>
      <c r="G941" s="159"/>
      <c r="H941" s="159"/>
      <c r="I941" s="668"/>
      <c r="J941" s="157"/>
      <c r="K941" s="708"/>
      <c r="L941" s="157"/>
      <c r="M941" s="157"/>
      <c r="N941" s="157"/>
      <c r="O941" s="668"/>
      <c r="P941" s="709"/>
      <c r="Q941" s="59"/>
      <c r="R941" s="61"/>
      <c r="S941" s="41"/>
      <c r="T941" s="59"/>
      <c r="Y941" s="61"/>
      <c r="Z941" s="59"/>
      <c r="AF941" s="61"/>
      <c r="AH941" s="61"/>
      <c r="AI941" s="41"/>
      <c r="AK941" s="40">
        <v>938.0</v>
      </c>
      <c r="AL941" s="719" t="s">
        <v>2898</v>
      </c>
      <c r="AM941" s="720" t="s">
        <v>2020</v>
      </c>
      <c r="AN941" s="720" t="s">
        <v>2021</v>
      </c>
      <c r="AO941" s="722">
        <v>0.072</v>
      </c>
      <c r="AP941" s="722" t="s">
        <v>2022</v>
      </c>
    </row>
    <row r="942">
      <c r="A942" s="159"/>
      <c r="B942" s="636"/>
      <c r="C942" s="159"/>
      <c r="D942" s="636"/>
      <c r="E942" s="636"/>
      <c r="F942" s="159"/>
      <c r="G942" s="159"/>
      <c r="H942" s="159"/>
      <c r="I942" s="668"/>
      <c r="J942" s="157"/>
      <c r="K942" s="708"/>
      <c r="L942" s="157"/>
      <c r="M942" s="157"/>
      <c r="N942" s="157"/>
      <c r="O942" s="668"/>
      <c r="P942" s="709"/>
      <c r="Q942" s="59"/>
      <c r="R942" s="61"/>
      <c r="S942" s="41"/>
      <c r="T942" s="59"/>
      <c r="Y942" s="61"/>
      <c r="Z942" s="59"/>
      <c r="AF942" s="61"/>
      <c r="AH942" s="61"/>
      <c r="AI942" s="41"/>
      <c r="AK942" s="40">
        <v>939.0</v>
      </c>
      <c r="AL942" s="738" t="s">
        <v>2899</v>
      </c>
      <c r="AM942" s="738" t="s">
        <v>1925</v>
      </c>
      <c r="AN942" s="738" t="s">
        <v>1926</v>
      </c>
      <c r="AO942" s="739">
        <v>0.179</v>
      </c>
      <c r="AP942" s="739" t="s">
        <v>1927</v>
      </c>
    </row>
    <row r="943">
      <c r="A943" s="159"/>
      <c r="B943" s="636"/>
      <c r="C943" s="159"/>
      <c r="D943" s="636"/>
      <c r="E943" s="636"/>
      <c r="F943" s="159"/>
      <c r="G943" s="159"/>
      <c r="H943" s="159"/>
      <c r="I943" s="668"/>
      <c r="J943" s="157"/>
      <c r="K943" s="708"/>
      <c r="L943" s="157"/>
      <c r="M943" s="157"/>
      <c r="N943" s="157"/>
      <c r="O943" s="668"/>
      <c r="P943" s="709"/>
      <c r="Q943" s="59"/>
      <c r="R943" s="61"/>
      <c r="S943" s="41"/>
      <c r="T943" s="59"/>
      <c r="Y943" s="61"/>
      <c r="Z943" s="59"/>
      <c r="AF943" s="61"/>
      <c r="AH943" s="61"/>
      <c r="AI943" s="41"/>
      <c r="AK943" s="40">
        <v>940.0</v>
      </c>
      <c r="AL943" s="719" t="s">
        <v>2900</v>
      </c>
      <c r="AM943" s="720" t="s">
        <v>2065</v>
      </c>
      <c r="AN943" s="720" t="s">
        <v>2066</v>
      </c>
      <c r="AO943" s="722">
        <v>0.049</v>
      </c>
      <c r="AP943" s="722" t="s">
        <v>2067</v>
      </c>
    </row>
    <row r="944">
      <c r="A944" s="159"/>
      <c r="B944" s="636"/>
      <c r="C944" s="159"/>
      <c r="D944" s="636"/>
      <c r="E944" s="636"/>
      <c r="F944" s="159"/>
      <c r="G944" s="159"/>
      <c r="H944" s="159"/>
      <c r="I944" s="668"/>
      <c r="J944" s="157"/>
      <c r="K944" s="708"/>
      <c r="L944" s="157"/>
      <c r="M944" s="157"/>
      <c r="N944" s="157"/>
      <c r="O944" s="668"/>
      <c r="P944" s="709"/>
      <c r="Q944" s="59"/>
      <c r="R944" s="61"/>
      <c r="S944" s="41"/>
      <c r="T944" s="59"/>
      <c r="Y944" s="61"/>
      <c r="Z944" s="59"/>
      <c r="AF944" s="61"/>
      <c r="AH944" s="61"/>
      <c r="AI944" s="41"/>
      <c r="AK944" s="40">
        <v>941.0</v>
      </c>
      <c r="AL944" s="738" t="s">
        <v>2901</v>
      </c>
      <c r="AM944" s="738" t="s">
        <v>2050</v>
      </c>
      <c r="AN944" s="738" t="s">
        <v>2051</v>
      </c>
      <c r="AO944" s="739">
        <v>0.051</v>
      </c>
      <c r="AP944" s="739" t="s">
        <v>2052</v>
      </c>
    </row>
    <row r="945">
      <c r="A945" s="159"/>
      <c r="B945" s="636"/>
      <c r="C945" s="159"/>
      <c r="D945" s="636"/>
      <c r="E945" s="636"/>
      <c r="F945" s="159"/>
      <c r="G945" s="159"/>
      <c r="H945" s="159"/>
      <c r="I945" s="668"/>
      <c r="J945" s="157"/>
      <c r="K945" s="708"/>
      <c r="L945" s="157"/>
      <c r="M945" s="157"/>
      <c r="N945" s="157"/>
      <c r="O945" s="668"/>
      <c r="P945" s="709"/>
      <c r="Q945" s="59"/>
      <c r="R945" s="61"/>
      <c r="S945" s="41"/>
      <c r="T945" s="59"/>
      <c r="Y945" s="61"/>
      <c r="Z945" s="59"/>
      <c r="AF945" s="61"/>
      <c r="AH945" s="61"/>
      <c r="AI945" s="41"/>
      <c r="AK945" s="40">
        <v>942.0</v>
      </c>
      <c r="AL945" s="719" t="s">
        <v>2902</v>
      </c>
      <c r="AM945" s="720" t="s">
        <v>2069</v>
      </c>
      <c r="AN945" s="720" t="s">
        <v>2070</v>
      </c>
      <c r="AO945" s="722">
        <v>0.041</v>
      </c>
      <c r="AP945" s="722" t="s">
        <v>2071</v>
      </c>
    </row>
    <row r="946">
      <c r="A946" s="159"/>
      <c r="B946" s="636"/>
      <c r="C946" s="159"/>
      <c r="D946" s="636"/>
      <c r="E946" s="636"/>
      <c r="F946" s="159"/>
      <c r="G946" s="159"/>
      <c r="H946" s="159"/>
      <c r="I946" s="668"/>
      <c r="J946" s="157"/>
      <c r="K946" s="708"/>
      <c r="L946" s="157"/>
      <c r="M946" s="157"/>
      <c r="N946" s="157"/>
      <c r="O946" s="668"/>
      <c r="P946" s="709"/>
      <c r="Q946" s="59"/>
      <c r="R946" s="61"/>
      <c r="S946" s="41"/>
      <c r="T946" s="59"/>
      <c r="Y946" s="61"/>
      <c r="Z946" s="59"/>
      <c r="AF946" s="61"/>
      <c r="AH946" s="61"/>
      <c r="AI946" s="41"/>
      <c r="AK946" s="40">
        <v>943.0</v>
      </c>
      <c r="AL946" s="738" t="s">
        <v>2903</v>
      </c>
      <c r="AM946" s="738" t="s">
        <v>2020</v>
      </c>
      <c r="AN946" s="738" t="s">
        <v>2021</v>
      </c>
      <c r="AO946" s="739">
        <v>0.072</v>
      </c>
      <c r="AP946" s="739" t="s">
        <v>2022</v>
      </c>
    </row>
    <row r="947">
      <c r="A947" s="159"/>
      <c r="B947" s="636"/>
      <c r="C947" s="159"/>
      <c r="D947" s="636"/>
      <c r="E947" s="636"/>
      <c r="F947" s="159"/>
      <c r="G947" s="159"/>
      <c r="H947" s="159"/>
      <c r="I947" s="668"/>
      <c r="J947" s="157"/>
      <c r="K947" s="708"/>
      <c r="L947" s="157"/>
      <c r="M947" s="157"/>
      <c r="N947" s="157"/>
      <c r="O947" s="668"/>
      <c r="P947" s="709"/>
      <c r="Q947" s="59"/>
      <c r="R947" s="61"/>
      <c r="S947" s="41"/>
      <c r="T947" s="59"/>
      <c r="Y947" s="61"/>
      <c r="Z947" s="59"/>
      <c r="AF947" s="61"/>
      <c r="AH947" s="61"/>
      <c r="AI947" s="41"/>
      <c r="AK947" s="40">
        <v>944.0</v>
      </c>
      <c r="AL947" s="719" t="s">
        <v>2904</v>
      </c>
      <c r="AM947" s="720" t="s">
        <v>1925</v>
      </c>
      <c r="AN947" s="720" t="s">
        <v>1926</v>
      </c>
      <c r="AO947" s="722">
        <v>0.179</v>
      </c>
      <c r="AP947" s="722" t="s">
        <v>1927</v>
      </c>
    </row>
    <row r="948">
      <c r="A948" s="159"/>
      <c r="B948" s="636"/>
      <c r="C948" s="159"/>
      <c r="D948" s="636"/>
      <c r="E948" s="636"/>
      <c r="F948" s="159"/>
      <c r="G948" s="159"/>
      <c r="H948" s="159"/>
      <c r="I948" s="668"/>
      <c r="J948" s="157"/>
      <c r="K948" s="708"/>
      <c r="L948" s="157"/>
      <c r="M948" s="157"/>
      <c r="N948" s="157"/>
      <c r="O948" s="668"/>
      <c r="P948" s="709"/>
      <c r="Q948" s="59"/>
      <c r="R948" s="61"/>
      <c r="S948" s="41"/>
      <c r="T948" s="59"/>
      <c r="Y948" s="61"/>
      <c r="Z948" s="59"/>
      <c r="AF948" s="61"/>
      <c r="AH948" s="61"/>
      <c r="AI948" s="41"/>
      <c r="AK948" s="40">
        <v>945.0</v>
      </c>
      <c r="AL948" s="738" t="s">
        <v>2905</v>
      </c>
      <c r="AM948" s="738" t="s">
        <v>2065</v>
      </c>
      <c r="AN948" s="738" t="s">
        <v>2066</v>
      </c>
      <c r="AO948" s="739">
        <v>0.049</v>
      </c>
      <c r="AP948" s="739" t="s">
        <v>2067</v>
      </c>
    </row>
    <row r="949">
      <c r="A949" s="159"/>
      <c r="B949" s="636"/>
      <c r="C949" s="159"/>
      <c r="D949" s="636"/>
      <c r="E949" s="636"/>
      <c r="F949" s="159"/>
      <c r="G949" s="159"/>
      <c r="H949" s="159"/>
      <c r="I949" s="668"/>
      <c r="J949" s="157"/>
      <c r="K949" s="708"/>
      <c r="L949" s="157"/>
      <c r="M949" s="157"/>
      <c r="N949" s="157"/>
      <c r="O949" s="668"/>
      <c r="P949" s="709"/>
      <c r="Q949" s="59"/>
      <c r="R949" s="61"/>
      <c r="S949" s="41"/>
      <c r="T949" s="59"/>
      <c r="Y949" s="61"/>
      <c r="Z949" s="59"/>
      <c r="AF949" s="61"/>
      <c r="AH949" s="61"/>
      <c r="AI949" s="41"/>
      <c r="AK949" s="40">
        <v>946.0</v>
      </c>
      <c r="AL949" s="719" t="s">
        <v>2906</v>
      </c>
      <c r="AM949" s="720" t="s">
        <v>2069</v>
      </c>
      <c r="AN949" s="720" t="s">
        <v>2070</v>
      </c>
      <c r="AO949" s="722">
        <v>0.041</v>
      </c>
      <c r="AP949" s="722" t="s">
        <v>2071</v>
      </c>
    </row>
    <row r="950">
      <c r="A950" s="159"/>
      <c r="B950" s="636"/>
      <c r="C950" s="159"/>
      <c r="D950" s="636"/>
      <c r="E950" s="636"/>
      <c r="F950" s="159"/>
      <c r="G950" s="159"/>
      <c r="H950" s="159"/>
      <c r="I950" s="668"/>
      <c r="J950" s="157"/>
      <c r="K950" s="708"/>
      <c r="L950" s="157"/>
      <c r="M950" s="157"/>
      <c r="N950" s="157"/>
      <c r="O950" s="668"/>
      <c r="P950" s="709"/>
      <c r="Q950" s="59"/>
      <c r="R950" s="61"/>
      <c r="S950" s="41"/>
      <c r="T950" s="59"/>
      <c r="Y950" s="61"/>
      <c r="Z950" s="59"/>
      <c r="AF950" s="61"/>
      <c r="AH950" s="61"/>
      <c r="AI950" s="41"/>
      <c r="AK950" s="40">
        <v>947.0</v>
      </c>
      <c r="AL950" s="738" t="s">
        <v>2907</v>
      </c>
      <c r="AM950" s="738" t="s">
        <v>2020</v>
      </c>
      <c r="AN950" s="738" t="s">
        <v>2021</v>
      </c>
      <c r="AO950" s="739">
        <v>0.072</v>
      </c>
      <c r="AP950" s="739" t="s">
        <v>2022</v>
      </c>
    </row>
    <row r="951">
      <c r="A951" s="159"/>
      <c r="B951" s="636"/>
      <c r="C951" s="159"/>
      <c r="D951" s="636"/>
      <c r="E951" s="636"/>
      <c r="F951" s="159"/>
      <c r="G951" s="159"/>
      <c r="H951" s="159"/>
      <c r="I951" s="668"/>
      <c r="J951" s="157"/>
      <c r="K951" s="708"/>
      <c r="L951" s="157"/>
      <c r="M951" s="157"/>
      <c r="N951" s="157"/>
      <c r="O951" s="668"/>
      <c r="P951" s="709"/>
      <c r="Q951" s="59"/>
      <c r="R951" s="61"/>
      <c r="S951" s="41"/>
      <c r="T951" s="59"/>
      <c r="Y951" s="61"/>
      <c r="Z951" s="59"/>
      <c r="AF951" s="61"/>
      <c r="AH951" s="61"/>
      <c r="AI951" s="41"/>
      <c r="AK951" s="40">
        <v>948.0</v>
      </c>
      <c r="AL951" s="719" t="s">
        <v>2908</v>
      </c>
      <c r="AM951" s="720" t="s">
        <v>1925</v>
      </c>
      <c r="AN951" s="720" t="s">
        <v>1926</v>
      </c>
      <c r="AO951" s="722">
        <v>0.179</v>
      </c>
      <c r="AP951" s="722" t="s">
        <v>1927</v>
      </c>
    </row>
    <row r="952">
      <c r="A952" s="159"/>
      <c r="B952" s="636"/>
      <c r="C952" s="159"/>
      <c r="D952" s="636"/>
      <c r="E952" s="636"/>
      <c r="F952" s="159"/>
      <c r="G952" s="159"/>
      <c r="H952" s="159"/>
      <c r="I952" s="668"/>
      <c r="J952" s="157"/>
      <c r="K952" s="708"/>
      <c r="L952" s="157"/>
      <c r="M952" s="157"/>
      <c r="N952" s="157"/>
      <c r="O952" s="668"/>
      <c r="P952" s="709"/>
      <c r="Q952" s="59"/>
      <c r="R952" s="61"/>
      <c r="S952" s="41"/>
      <c r="T952" s="59"/>
      <c r="Y952" s="61"/>
      <c r="Z952" s="59"/>
      <c r="AF952" s="61"/>
      <c r="AH952" s="61"/>
      <c r="AI952" s="41"/>
      <c r="AK952" s="40">
        <v>949.0</v>
      </c>
      <c r="AL952" s="738" t="s">
        <v>2909</v>
      </c>
      <c r="AM952" s="738" t="s">
        <v>2065</v>
      </c>
      <c r="AN952" s="738" t="s">
        <v>2066</v>
      </c>
      <c r="AO952" s="739">
        <v>0.049</v>
      </c>
      <c r="AP952" s="739" t="s">
        <v>2067</v>
      </c>
    </row>
    <row r="953">
      <c r="A953" s="159"/>
      <c r="B953" s="636"/>
      <c r="C953" s="159"/>
      <c r="D953" s="636"/>
      <c r="E953" s="636"/>
      <c r="F953" s="159"/>
      <c r="G953" s="159"/>
      <c r="H953" s="159"/>
      <c r="I953" s="668"/>
      <c r="J953" s="157"/>
      <c r="K953" s="708"/>
      <c r="L953" s="157"/>
      <c r="M953" s="157"/>
      <c r="N953" s="157"/>
      <c r="O953" s="668"/>
      <c r="P953" s="709"/>
      <c r="Q953" s="59"/>
      <c r="R953" s="61"/>
      <c r="S953" s="41"/>
      <c r="T953" s="59"/>
      <c r="Y953" s="61"/>
      <c r="Z953" s="59"/>
      <c r="AF953" s="61"/>
      <c r="AH953" s="61"/>
      <c r="AI953" s="41"/>
      <c r="AK953" s="40">
        <v>950.0</v>
      </c>
      <c r="AL953" s="719" t="s">
        <v>2910</v>
      </c>
      <c r="AM953" s="720" t="s">
        <v>2069</v>
      </c>
      <c r="AN953" s="720" t="s">
        <v>2070</v>
      </c>
      <c r="AO953" s="722">
        <v>0.041</v>
      </c>
      <c r="AP953" s="722" t="s">
        <v>2071</v>
      </c>
    </row>
    <row r="954">
      <c r="A954" s="159"/>
      <c r="B954" s="636"/>
      <c r="C954" s="159"/>
      <c r="D954" s="636"/>
      <c r="E954" s="636"/>
      <c r="F954" s="159"/>
      <c r="G954" s="159"/>
      <c r="H954" s="159"/>
      <c r="I954" s="668"/>
      <c r="J954" s="157"/>
      <c r="K954" s="708"/>
      <c r="L954" s="157"/>
      <c r="M954" s="157"/>
      <c r="N954" s="157"/>
      <c r="O954" s="668"/>
      <c r="P954" s="709"/>
      <c r="Q954" s="59"/>
      <c r="R954" s="61"/>
      <c r="S954" s="41"/>
      <c r="T954" s="59"/>
      <c r="Y954" s="61"/>
      <c r="Z954" s="59"/>
      <c r="AF954" s="61"/>
      <c r="AH954" s="61"/>
      <c r="AI954" s="41"/>
      <c r="AK954" s="40">
        <v>951.0</v>
      </c>
      <c r="AL954" s="738" t="s">
        <v>2911</v>
      </c>
      <c r="AM954" s="738" t="s">
        <v>2020</v>
      </c>
      <c r="AN954" s="738" t="s">
        <v>2021</v>
      </c>
      <c r="AO954" s="739">
        <v>0.072</v>
      </c>
      <c r="AP954" s="739" t="s">
        <v>2022</v>
      </c>
    </row>
    <row r="955">
      <c r="A955" s="159"/>
      <c r="B955" s="636"/>
      <c r="C955" s="159"/>
      <c r="D955" s="636"/>
      <c r="E955" s="636"/>
      <c r="F955" s="159"/>
      <c r="G955" s="159"/>
      <c r="H955" s="159"/>
      <c r="I955" s="668"/>
      <c r="J955" s="157"/>
      <c r="K955" s="708"/>
      <c r="L955" s="157"/>
      <c r="M955" s="157"/>
      <c r="N955" s="157"/>
      <c r="O955" s="668"/>
      <c r="P955" s="709"/>
      <c r="Q955" s="59"/>
      <c r="R955" s="61"/>
      <c r="S955" s="41"/>
      <c r="T955" s="59"/>
      <c r="Y955" s="61"/>
      <c r="Z955" s="59"/>
      <c r="AF955" s="61"/>
      <c r="AH955" s="61"/>
      <c r="AI955" s="41"/>
      <c r="AK955" s="40">
        <v>952.0</v>
      </c>
      <c r="AL955" s="719" t="s">
        <v>2912</v>
      </c>
      <c r="AM955" s="720" t="s">
        <v>1925</v>
      </c>
      <c r="AN955" s="720" t="s">
        <v>1926</v>
      </c>
      <c r="AO955" s="722">
        <v>0.179</v>
      </c>
      <c r="AP955" s="722" t="s">
        <v>1927</v>
      </c>
    </row>
    <row r="956">
      <c r="A956" s="159"/>
      <c r="B956" s="636"/>
      <c r="C956" s="159"/>
      <c r="D956" s="636"/>
      <c r="E956" s="636"/>
      <c r="F956" s="159"/>
      <c r="G956" s="159"/>
      <c r="H956" s="159"/>
      <c r="I956" s="668"/>
      <c r="J956" s="157"/>
      <c r="K956" s="708"/>
      <c r="L956" s="157"/>
      <c r="M956" s="157"/>
      <c r="N956" s="157"/>
      <c r="O956" s="668"/>
      <c r="P956" s="709"/>
      <c r="Q956" s="59"/>
      <c r="R956" s="61"/>
      <c r="S956" s="41"/>
      <c r="T956" s="59"/>
      <c r="Y956" s="61"/>
      <c r="Z956" s="59"/>
      <c r="AF956" s="61"/>
      <c r="AH956" s="61"/>
      <c r="AI956" s="41"/>
      <c r="AK956" s="40">
        <v>953.0</v>
      </c>
      <c r="AL956" s="738" t="s">
        <v>2913</v>
      </c>
      <c r="AM956" s="738" t="s">
        <v>2065</v>
      </c>
      <c r="AN956" s="738" t="s">
        <v>2066</v>
      </c>
      <c r="AO956" s="739">
        <v>0.049</v>
      </c>
      <c r="AP956" s="739" t="s">
        <v>2067</v>
      </c>
    </row>
    <row r="957">
      <c r="A957" s="159"/>
      <c r="B957" s="636"/>
      <c r="C957" s="159"/>
      <c r="D957" s="636"/>
      <c r="E957" s="636"/>
      <c r="F957" s="159"/>
      <c r="G957" s="159"/>
      <c r="H957" s="159"/>
      <c r="I957" s="668"/>
      <c r="J957" s="157"/>
      <c r="K957" s="708"/>
      <c r="L957" s="157"/>
      <c r="M957" s="157"/>
      <c r="N957" s="157"/>
      <c r="O957" s="668"/>
      <c r="P957" s="709"/>
      <c r="Q957" s="59"/>
      <c r="R957" s="61"/>
      <c r="S957" s="41"/>
      <c r="T957" s="59"/>
      <c r="Y957" s="61"/>
      <c r="Z957" s="59"/>
      <c r="AF957" s="61"/>
      <c r="AH957" s="61"/>
      <c r="AI957" s="41"/>
      <c r="AK957" s="40">
        <v>954.0</v>
      </c>
      <c r="AL957" s="719" t="s">
        <v>2914</v>
      </c>
      <c r="AM957" s="720" t="s">
        <v>2069</v>
      </c>
      <c r="AN957" s="720" t="s">
        <v>2070</v>
      </c>
      <c r="AO957" s="722">
        <v>0.041</v>
      </c>
      <c r="AP957" s="722" t="s">
        <v>2071</v>
      </c>
    </row>
    <row r="958">
      <c r="A958" s="159"/>
      <c r="B958" s="636"/>
      <c r="C958" s="159"/>
      <c r="D958" s="636"/>
      <c r="E958" s="636"/>
      <c r="F958" s="159"/>
      <c r="G958" s="159"/>
      <c r="H958" s="159"/>
      <c r="I958" s="668"/>
      <c r="J958" s="157"/>
      <c r="K958" s="708"/>
      <c r="L958" s="157"/>
      <c r="M958" s="157"/>
      <c r="N958" s="157"/>
      <c r="O958" s="668"/>
      <c r="P958" s="709"/>
      <c r="Q958" s="59"/>
      <c r="R958" s="61"/>
      <c r="S958" s="41"/>
      <c r="T958" s="59"/>
      <c r="Y958" s="61"/>
      <c r="Z958" s="59"/>
      <c r="AF958" s="61"/>
      <c r="AH958" s="61"/>
      <c r="AI958" s="41"/>
      <c r="AK958" s="40">
        <v>955.0</v>
      </c>
      <c r="AL958" s="738" t="s">
        <v>2915</v>
      </c>
      <c r="AM958" s="738" t="s">
        <v>2020</v>
      </c>
      <c r="AN958" s="738" t="s">
        <v>2021</v>
      </c>
      <c r="AO958" s="739">
        <v>0.072</v>
      </c>
      <c r="AP958" s="739" t="s">
        <v>2022</v>
      </c>
    </row>
    <row r="959">
      <c r="A959" s="159"/>
      <c r="B959" s="636"/>
      <c r="C959" s="159"/>
      <c r="D959" s="636"/>
      <c r="E959" s="636"/>
      <c r="F959" s="159"/>
      <c r="G959" s="159"/>
      <c r="H959" s="159"/>
      <c r="I959" s="668"/>
      <c r="J959" s="157"/>
      <c r="K959" s="708"/>
      <c r="L959" s="157"/>
      <c r="M959" s="157"/>
      <c r="N959" s="157"/>
      <c r="O959" s="668"/>
      <c r="P959" s="709"/>
      <c r="Q959" s="59"/>
      <c r="R959" s="61"/>
      <c r="S959" s="41"/>
      <c r="T959" s="59"/>
      <c r="Y959" s="61"/>
      <c r="Z959" s="59"/>
      <c r="AF959" s="61"/>
      <c r="AH959" s="61"/>
      <c r="AI959" s="41"/>
      <c r="AK959" s="40">
        <v>956.0</v>
      </c>
      <c r="AL959" s="719" t="s">
        <v>2916</v>
      </c>
      <c r="AM959" s="720" t="s">
        <v>1925</v>
      </c>
      <c r="AN959" s="720" t="s">
        <v>1926</v>
      </c>
      <c r="AO959" s="722">
        <v>0.179</v>
      </c>
      <c r="AP959" s="722" t="s">
        <v>1927</v>
      </c>
    </row>
    <row r="960">
      <c r="A960" s="159"/>
      <c r="B960" s="636"/>
      <c r="C960" s="159"/>
      <c r="D960" s="636"/>
      <c r="E960" s="636"/>
      <c r="F960" s="159"/>
      <c r="G960" s="159"/>
      <c r="H960" s="159"/>
      <c r="I960" s="668"/>
      <c r="J960" s="157"/>
      <c r="K960" s="708"/>
      <c r="L960" s="157"/>
      <c r="M960" s="157"/>
      <c r="N960" s="157"/>
      <c r="O960" s="668"/>
      <c r="P960" s="709"/>
      <c r="Q960" s="59"/>
      <c r="R960" s="61"/>
      <c r="S960" s="41"/>
      <c r="T960" s="59"/>
      <c r="Y960" s="61"/>
      <c r="Z960" s="59"/>
      <c r="AF960" s="61"/>
      <c r="AH960" s="61"/>
      <c r="AI960" s="41"/>
      <c r="AK960" s="40">
        <v>957.0</v>
      </c>
      <c r="AL960" s="738" t="s">
        <v>2917</v>
      </c>
      <c r="AM960" s="738" t="s">
        <v>2065</v>
      </c>
      <c r="AN960" s="738" t="s">
        <v>2066</v>
      </c>
      <c r="AO960" s="739">
        <v>0.049</v>
      </c>
      <c r="AP960" s="739" t="s">
        <v>2067</v>
      </c>
    </row>
    <row r="961">
      <c r="A961" s="159"/>
      <c r="B961" s="636"/>
      <c r="C961" s="159"/>
      <c r="D961" s="636"/>
      <c r="E961" s="636"/>
      <c r="F961" s="159"/>
      <c r="G961" s="159"/>
      <c r="H961" s="159"/>
      <c r="I961" s="668"/>
      <c r="J961" s="157"/>
      <c r="K961" s="708"/>
      <c r="L961" s="157"/>
      <c r="M961" s="157"/>
      <c r="N961" s="157"/>
      <c r="O961" s="668"/>
      <c r="P961" s="709"/>
      <c r="Q961" s="59"/>
      <c r="R961" s="61"/>
      <c r="S961" s="41"/>
      <c r="T961" s="59"/>
      <c r="Y961" s="61"/>
      <c r="Z961" s="59"/>
      <c r="AF961" s="61"/>
      <c r="AH961" s="61"/>
      <c r="AI961" s="41"/>
      <c r="AK961" s="40">
        <v>958.0</v>
      </c>
      <c r="AL961" s="719" t="s">
        <v>2918</v>
      </c>
      <c r="AM961" s="720" t="s">
        <v>1903</v>
      </c>
      <c r="AN961" s="720" t="s">
        <v>1904</v>
      </c>
      <c r="AO961" s="722">
        <v>0.224</v>
      </c>
      <c r="AP961" s="722" t="s">
        <v>1905</v>
      </c>
    </row>
    <row r="962">
      <c r="A962" s="159"/>
      <c r="B962" s="636"/>
      <c r="C962" s="159"/>
      <c r="D962" s="636"/>
      <c r="E962" s="636"/>
      <c r="F962" s="159"/>
      <c r="G962" s="159"/>
      <c r="H962" s="159"/>
      <c r="I962" s="668"/>
      <c r="J962" s="157"/>
      <c r="K962" s="708"/>
      <c r="L962" s="157"/>
      <c r="M962" s="157"/>
      <c r="N962" s="157"/>
      <c r="O962" s="668"/>
      <c r="P962" s="709"/>
      <c r="Q962" s="59"/>
      <c r="R962" s="61"/>
      <c r="S962" s="41"/>
      <c r="T962" s="59"/>
      <c r="Y962" s="61"/>
      <c r="Z962" s="59"/>
      <c r="AF962" s="61"/>
      <c r="AH962" s="61"/>
      <c r="AI962" s="41"/>
      <c r="AK962" s="40">
        <v>959.0</v>
      </c>
      <c r="AL962" s="738" t="s">
        <v>2919</v>
      </c>
      <c r="AM962" s="738" t="s">
        <v>2156</v>
      </c>
      <c r="AN962" s="745"/>
      <c r="AO962" s="739">
        <v>0.0</v>
      </c>
      <c r="AP962" s="739" t="s">
        <v>2157</v>
      </c>
    </row>
    <row r="963">
      <c r="A963" s="159"/>
      <c r="B963" s="636"/>
      <c r="C963" s="159"/>
      <c r="D963" s="636"/>
      <c r="E963" s="636"/>
      <c r="F963" s="159"/>
      <c r="G963" s="159"/>
      <c r="H963" s="159"/>
      <c r="I963" s="668"/>
      <c r="J963" s="157"/>
      <c r="K963" s="708"/>
      <c r="L963" s="157"/>
      <c r="M963" s="157"/>
      <c r="N963" s="157"/>
      <c r="O963" s="668"/>
      <c r="P963" s="709"/>
      <c r="Q963" s="59"/>
      <c r="R963" s="61"/>
      <c r="S963" s="41"/>
      <c r="T963" s="59"/>
      <c r="Y963" s="61"/>
      <c r="Z963" s="59"/>
      <c r="AF963" s="61"/>
      <c r="AH963" s="61"/>
      <c r="AI963" s="41"/>
      <c r="AK963" s="40">
        <v>960.0</v>
      </c>
      <c r="AL963" s="719" t="s">
        <v>2920</v>
      </c>
      <c r="AM963" s="720" t="s">
        <v>2921</v>
      </c>
      <c r="AN963" s="720" t="s">
        <v>2922</v>
      </c>
      <c r="AO963" s="722">
        <v>0.014</v>
      </c>
      <c r="AP963" s="722" t="s">
        <v>2923</v>
      </c>
    </row>
    <row r="964">
      <c r="A964" s="159"/>
      <c r="B964" s="636"/>
      <c r="C964" s="159"/>
      <c r="D964" s="636"/>
      <c r="E964" s="636"/>
      <c r="F964" s="159"/>
      <c r="G964" s="159"/>
      <c r="H964" s="159"/>
      <c r="I964" s="668"/>
      <c r="J964" s="157"/>
      <c r="K964" s="708"/>
      <c r="L964" s="157"/>
      <c r="M964" s="157"/>
      <c r="N964" s="157"/>
      <c r="O964" s="668"/>
      <c r="P964" s="709"/>
      <c r="Q964" s="59"/>
      <c r="R964" s="61"/>
      <c r="S964" s="41"/>
      <c r="T964" s="59"/>
      <c r="Y964" s="61"/>
      <c r="Z964" s="59"/>
      <c r="AF964" s="61"/>
      <c r="AH964" s="61"/>
      <c r="AI964" s="41"/>
      <c r="AK964" s="40">
        <v>961.0</v>
      </c>
      <c r="AL964" s="738" t="s">
        <v>2924</v>
      </c>
      <c r="AM964" s="738" t="s">
        <v>2156</v>
      </c>
      <c r="AN964" s="745"/>
      <c r="AO964" s="739">
        <v>0.0</v>
      </c>
      <c r="AP964" s="739" t="s">
        <v>2157</v>
      </c>
    </row>
    <row r="965">
      <c r="A965" s="159"/>
      <c r="B965" s="636"/>
      <c r="C965" s="159"/>
      <c r="D965" s="636"/>
      <c r="E965" s="636"/>
      <c r="F965" s="159"/>
      <c r="G965" s="159"/>
      <c r="H965" s="159"/>
      <c r="I965" s="668"/>
      <c r="J965" s="157"/>
      <c r="K965" s="708"/>
      <c r="L965" s="157"/>
      <c r="M965" s="157"/>
      <c r="N965" s="157"/>
      <c r="O965" s="668"/>
      <c r="P965" s="709"/>
      <c r="Q965" s="59"/>
      <c r="R965" s="61"/>
      <c r="S965" s="41"/>
      <c r="T965" s="59"/>
      <c r="Y965" s="61"/>
      <c r="Z965" s="59"/>
      <c r="AF965" s="61"/>
      <c r="AH965" s="61"/>
      <c r="AI965" s="41"/>
      <c r="AK965" s="40">
        <v>962.0</v>
      </c>
      <c r="AL965" s="719" t="s">
        <v>2925</v>
      </c>
      <c r="AM965" s="720" t="s">
        <v>2050</v>
      </c>
      <c r="AN965" s="720" t="s">
        <v>2051</v>
      </c>
      <c r="AO965" s="722">
        <v>0.051</v>
      </c>
      <c r="AP965" s="722" t="s">
        <v>2052</v>
      </c>
    </row>
    <row r="966">
      <c r="A966" s="159"/>
      <c r="B966" s="636"/>
      <c r="C966" s="159"/>
      <c r="D966" s="636"/>
      <c r="E966" s="636"/>
      <c r="F966" s="159"/>
      <c r="G966" s="159"/>
      <c r="H966" s="159"/>
      <c r="I966" s="668"/>
      <c r="J966" s="157"/>
      <c r="K966" s="708"/>
      <c r="L966" s="157"/>
      <c r="M966" s="157"/>
      <c r="N966" s="157"/>
      <c r="O966" s="668"/>
      <c r="P966" s="709"/>
      <c r="Q966" s="59"/>
      <c r="R966" s="61"/>
      <c r="S966" s="41"/>
      <c r="T966" s="59"/>
      <c r="Y966" s="61"/>
      <c r="Z966" s="59"/>
      <c r="AF966" s="61"/>
      <c r="AH966" s="61"/>
      <c r="AI966" s="41"/>
      <c r="AK966" s="40">
        <v>963.0</v>
      </c>
      <c r="AL966" s="738" t="s">
        <v>2926</v>
      </c>
      <c r="AM966" s="738" t="s">
        <v>1952</v>
      </c>
      <c r="AN966" s="738" t="s">
        <v>1953</v>
      </c>
      <c r="AO966" s="739">
        <v>0.133</v>
      </c>
      <c r="AP966" s="739" t="s">
        <v>1954</v>
      </c>
    </row>
    <row r="967">
      <c r="A967" s="159"/>
      <c r="B967" s="636"/>
      <c r="C967" s="159"/>
      <c r="D967" s="636"/>
      <c r="E967" s="636"/>
      <c r="F967" s="159"/>
      <c r="G967" s="159"/>
      <c r="H967" s="159"/>
      <c r="I967" s="668"/>
      <c r="J967" s="157"/>
      <c r="K967" s="708"/>
      <c r="L967" s="157"/>
      <c r="M967" s="157"/>
      <c r="N967" s="157"/>
      <c r="O967" s="668"/>
      <c r="P967" s="709"/>
      <c r="Q967" s="59"/>
      <c r="R967" s="61"/>
      <c r="S967" s="41"/>
      <c r="T967" s="59"/>
      <c r="Y967" s="61"/>
      <c r="Z967" s="59"/>
      <c r="AF967" s="61"/>
      <c r="AH967" s="61"/>
      <c r="AI967" s="41"/>
      <c r="AK967" s="40">
        <v>964.0</v>
      </c>
      <c r="AL967" s="719" t="s">
        <v>2927</v>
      </c>
      <c r="AM967" s="720" t="s">
        <v>2069</v>
      </c>
      <c r="AN967" s="720" t="s">
        <v>2070</v>
      </c>
      <c r="AO967" s="722">
        <v>0.041</v>
      </c>
      <c r="AP967" s="722" t="s">
        <v>2071</v>
      </c>
    </row>
    <row r="968">
      <c r="A968" s="159"/>
      <c r="B968" s="636"/>
      <c r="C968" s="159"/>
      <c r="D968" s="636"/>
      <c r="E968" s="636"/>
      <c r="F968" s="159"/>
      <c r="G968" s="159"/>
      <c r="H968" s="159"/>
      <c r="I968" s="668"/>
      <c r="J968" s="157"/>
      <c r="K968" s="708"/>
      <c r="L968" s="157"/>
      <c r="M968" s="157"/>
      <c r="N968" s="157"/>
      <c r="O968" s="668"/>
      <c r="P968" s="709"/>
      <c r="Q968" s="59"/>
      <c r="R968" s="61"/>
      <c r="S968" s="41"/>
      <c r="T968" s="59"/>
      <c r="Y968" s="61"/>
      <c r="Z968" s="59"/>
      <c r="AF968" s="61"/>
      <c r="AH968" s="61"/>
      <c r="AI968" s="41"/>
      <c r="AK968" s="40">
        <v>965.0</v>
      </c>
      <c r="AL968" s="738" t="s">
        <v>2928</v>
      </c>
      <c r="AM968" s="738" t="s">
        <v>2020</v>
      </c>
      <c r="AN968" s="738" t="s">
        <v>2021</v>
      </c>
      <c r="AO968" s="739">
        <v>0.072</v>
      </c>
      <c r="AP968" s="739" t="s">
        <v>2022</v>
      </c>
    </row>
    <row r="969">
      <c r="A969" s="159"/>
      <c r="B969" s="636"/>
      <c r="C969" s="159"/>
      <c r="D969" s="636"/>
      <c r="E969" s="636"/>
      <c r="F969" s="159"/>
      <c r="G969" s="159"/>
      <c r="H969" s="159"/>
      <c r="I969" s="668"/>
      <c r="J969" s="157"/>
      <c r="K969" s="708"/>
      <c r="L969" s="157"/>
      <c r="M969" s="157"/>
      <c r="N969" s="157"/>
      <c r="O969" s="668"/>
      <c r="P969" s="709"/>
      <c r="Q969" s="59"/>
      <c r="R969" s="61"/>
      <c r="S969" s="41"/>
      <c r="T969" s="59"/>
      <c r="Y969" s="61"/>
      <c r="Z969" s="59"/>
      <c r="AF969" s="61"/>
      <c r="AH969" s="61"/>
      <c r="AI969" s="41"/>
      <c r="AK969" s="40">
        <v>966.0</v>
      </c>
      <c r="AL969" s="719" t="s">
        <v>2929</v>
      </c>
      <c r="AM969" s="720" t="s">
        <v>1925</v>
      </c>
      <c r="AN969" s="720" t="s">
        <v>1926</v>
      </c>
      <c r="AO969" s="722">
        <v>0.179</v>
      </c>
      <c r="AP969" s="722" t="s">
        <v>1927</v>
      </c>
    </row>
    <row r="970">
      <c r="A970" s="159"/>
      <c r="B970" s="636"/>
      <c r="C970" s="159"/>
      <c r="D970" s="636"/>
      <c r="E970" s="636"/>
      <c r="F970" s="159"/>
      <c r="G970" s="159"/>
      <c r="H970" s="159"/>
      <c r="I970" s="668"/>
      <c r="J970" s="157"/>
      <c r="K970" s="708"/>
      <c r="L970" s="157"/>
      <c r="M970" s="157"/>
      <c r="N970" s="157"/>
      <c r="O970" s="668"/>
      <c r="P970" s="709"/>
      <c r="Q970" s="59"/>
      <c r="R970" s="61"/>
      <c r="S970" s="41"/>
      <c r="T970" s="59"/>
      <c r="Y970" s="61"/>
      <c r="Z970" s="59"/>
      <c r="AF970" s="61"/>
      <c r="AH970" s="61"/>
      <c r="AI970" s="41"/>
      <c r="AK970" s="40">
        <v>967.0</v>
      </c>
      <c r="AL970" s="738" t="s">
        <v>2930</v>
      </c>
      <c r="AM970" s="738" t="s">
        <v>2065</v>
      </c>
      <c r="AN970" s="738" t="s">
        <v>2066</v>
      </c>
      <c r="AO970" s="739">
        <v>0.049</v>
      </c>
      <c r="AP970" s="739" t="s">
        <v>2067</v>
      </c>
    </row>
    <row r="971">
      <c r="A971" s="159"/>
      <c r="B971" s="636"/>
      <c r="C971" s="159"/>
      <c r="D971" s="636"/>
      <c r="E971" s="636"/>
      <c r="F971" s="159"/>
      <c r="G971" s="159"/>
      <c r="H971" s="159"/>
      <c r="I971" s="668"/>
      <c r="J971" s="157"/>
      <c r="K971" s="708"/>
      <c r="L971" s="157"/>
      <c r="M971" s="157"/>
      <c r="N971" s="157"/>
      <c r="O971" s="668"/>
      <c r="P971" s="709"/>
      <c r="Q971" s="59"/>
      <c r="R971" s="61"/>
      <c r="S971" s="41"/>
      <c r="T971" s="59"/>
      <c r="Y971" s="61"/>
      <c r="Z971" s="59"/>
      <c r="AF971" s="61"/>
      <c r="AH971" s="61"/>
      <c r="AI971" s="41"/>
      <c r="AK971" s="40">
        <v>968.0</v>
      </c>
      <c r="AL971" s="719" t="s">
        <v>2931</v>
      </c>
      <c r="AM971" s="720" t="s">
        <v>2069</v>
      </c>
      <c r="AN971" s="720" t="s">
        <v>2070</v>
      </c>
      <c r="AO971" s="722">
        <v>0.041</v>
      </c>
      <c r="AP971" s="722" t="s">
        <v>2071</v>
      </c>
    </row>
    <row r="972">
      <c r="A972" s="159"/>
      <c r="B972" s="636"/>
      <c r="C972" s="159"/>
      <c r="D972" s="636"/>
      <c r="E972" s="636"/>
      <c r="F972" s="159"/>
      <c r="G972" s="159"/>
      <c r="H972" s="159"/>
      <c r="I972" s="668"/>
      <c r="J972" s="157"/>
      <c r="K972" s="708"/>
      <c r="L972" s="157"/>
      <c r="M972" s="157"/>
      <c r="N972" s="157"/>
      <c r="O972" s="668"/>
      <c r="P972" s="709"/>
      <c r="Q972" s="59"/>
      <c r="R972" s="61"/>
      <c r="S972" s="41"/>
      <c r="T972" s="59"/>
      <c r="Y972" s="61"/>
      <c r="Z972" s="59"/>
      <c r="AF972" s="61"/>
      <c r="AH972" s="61"/>
      <c r="AI972" s="41"/>
      <c r="AK972" s="40">
        <v>969.0</v>
      </c>
      <c r="AL972" s="738" t="s">
        <v>2932</v>
      </c>
      <c r="AM972" s="738" t="s">
        <v>2020</v>
      </c>
      <c r="AN972" s="738" t="s">
        <v>2021</v>
      </c>
      <c r="AO972" s="739">
        <v>0.072</v>
      </c>
      <c r="AP972" s="739" t="s">
        <v>2022</v>
      </c>
    </row>
    <row r="973">
      <c r="A973" s="159"/>
      <c r="B973" s="636"/>
      <c r="C973" s="159"/>
      <c r="D973" s="636"/>
      <c r="E973" s="636"/>
      <c r="F973" s="159"/>
      <c r="G973" s="159"/>
      <c r="H973" s="159"/>
      <c r="I973" s="668"/>
      <c r="J973" s="157"/>
      <c r="K973" s="708"/>
      <c r="L973" s="157"/>
      <c r="M973" s="157"/>
      <c r="N973" s="157"/>
      <c r="O973" s="668"/>
      <c r="P973" s="709"/>
      <c r="Q973" s="59"/>
      <c r="R973" s="61"/>
      <c r="S973" s="41"/>
      <c r="T973" s="59"/>
      <c r="Y973" s="61"/>
      <c r="Z973" s="59"/>
      <c r="AF973" s="61"/>
      <c r="AH973" s="61"/>
      <c r="AI973" s="41"/>
      <c r="AK973" s="40">
        <v>970.0</v>
      </c>
      <c r="AL973" s="719" t="s">
        <v>2933</v>
      </c>
      <c r="AM973" s="720" t="s">
        <v>1925</v>
      </c>
      <c r="AN973" s="720" t="s">
        <v>1926</v>
      </c>
      <c r="AO973" s="722">
        <v>0.179</v>
      </c>
      <c r="AP973" s="722" t="s">
        <v>1927</v>
      </c>
    </row>
    <row r="974">
      <c r="A974" s="159"/>
      <c r="B974" s="636"/>
      <c r="C974" s="159"/>
      <c r="D974" s="636"/>
      <c r="E974" s="636"/>
      <c r="F974" s="159"/>
      <c r="G974" s="159"/>
      <c r="H974" s="159"/>
      <c r="I974" s="668"/>
      <c r="J974" s="157"/>
      <c r="K974" s="708"/>
      <c r="L974" s="157"/>
      <c r="M974" s="157"/>
      <c r="N974" s="157"/>
      <c r="O974" s="668"/>
      <c r="P974" s="709"/>
      <c r="Q974" s="59"/>
      <c r="R974" s="61"/>
      <c r="S974" s="41"/>
      <c r="T974" s="59"/>
      <c r="Y974" s="61"/>
      <c r="Z974" s="59"/>
      <c r="AF974" s="61"/>
      <c r="AH974" s="61"/>
      <c r="AI974" s="41"/>
      <c r="AK974" s="40">
        <v>971.0</v>
      </c>
      <c r="AL974" s="738" t="s">
        <v>2934</v>
      </c>
      <c r="AM974" s="738" t="s">
        <v>2065</v>
      </c>
      <c r="AN974" s="738" t="s">
        <v>2066</v>
      </c>
      <c r="AO974" s="739">
        <v>0.049</v>
      </c>
      <c r="AP974" s="739" t="s">
        <v>2067</v>
      </c>
    </row>
    <row r="975">
      <c r="A975" s="159"/>
      <c r="B975" s="636"/>
      <c r="C975" s="159"/>
      <c r="D975" s="636"/>
      <c r="E975" s="636"/>
      <c r="F975" s="159"/>
      <c r="G975" s="159"/>
      <c r="H975" s="159"/>
      <c r="I975" s="668"/>
      <c r="J975" s="157"/>
      <c r="K975" s="708"/>
      <c r="L975" s="157"/>
      <c r="M975" s="157"/>
      <c r="N975" s="157"/>
      <c r="O975" s="668"/>
      <c r="P975" s="709"/>
      <c r="Q975" s="59"/>
      <c r="R975" s="61"/>
      <c r="S975" s="41"/>
      <c r="T975" s="59"/>
      <c r="Y975" s="61"/>
      <c r="Z975" s="59"/>
      <c r="AF975" s="61"/>
      <c r="AH975" s="61"/>
      <c r="AI975" s="41"/>
      <c r="AK975" s="40">
        <v>972.0</v>
      </c>
      <c r="AL975" s="719" t="s">
        <v>2935</v>
      </c>
      <c r="AM975" s="720" t="s">
        <v>2069</v>
      </c>
      <c r="AN975" s="720" t="s">
        <v>2070</v>
      </c>
      <c r="AO975" s="722">
        <v>0.041</v>
      </c>
      <c r="AP975" s="722" t="s">
        <v>2071</v>
      </c>
    </row>
    <row r="976">
      <c r="A976" s="159"/>
      <c r="B976" s="636"/>
      <c r="C976" s="159"/>
      <c r="D976" s="636"/>
      <c r="E976" s="636"/>
      <c r="F976" s="159"/>
      <c r="G976" s="159"/>
      <c r="H976" s="159"/>
      <c r="I976" s="668"/>
      <c r="J976" s="157"/>
      <c r="K976" s="708"/>
      <c r="L976" s="157"/>
      <c r="M976" s="157"/>
      <c r="N976" s="157"/>
      <c r="O976" s="668"/>
      <c r="P976" s="709"/>
      <c r="Q976" s="59"/>
      <c r="R976" s="61"/>
      <c r="S976" s="41"/>
      <c r="T976" s="59"/>
      <c r="Y976" s="61"/>
      <c r="Z976" s="59"/>
      <c r="AF976" s="61"/>
      <c r="AH976" s="61"/>
      <c r="AI976" s="41"/>
      <c r="AK976" s="40">
        <v>973.0</v>
      </c>
      <c r="AL976" s="738" t="s">
        <v>2936</v>
      </c>
      <c r="AM976" s="738" t="s">
        <v>2020</v>
      </c>
      <c r="AN976" s="738" t="s">
        <v>2021</v>
      </c>
      <c r="AO976" s="739">
        <v>0.072</v>
      </c>
      <c r="AP976" s="739" t="s">
        <v>2022</v>
      </c>
    </row>
    <row r="977">
      <c r="A977" s="159"/>
      <c r="B977" s="636"/>
      <c r="C977" s="159"/>
      <c r="D977" s="636"/>
      <c r="E977" s="636"/>
      <c r="F977" s="159"/>
      <c r="G977" s="159"/>
      <c r="H977" s="159"/>
      <c r="I977" s="668"/>
      <c r="J977" s="157"/>
      <c r="K977" s="708"/>
      <c r="L977" s="157"/>
      <c r="M977" s="157"/>
      <c r="N977" s="157"/>
      <c r="O977" s="668"/>
      <c r="P977" s="709"/>
      <c r="Q977" s="59"/>
      <c r="R977" s="61"/>
      <c r="S977" s="41"/>
      <c r="T977" s="59"/>
      <c r="Y977" s="61"/>
      <c r="Z977" s="59"/>
      <c r="AF977" s="61"/>
      <c r="AH977" s="61"/>
      <c r="AI977" s="41"/>
      <c r="AK977" s="40">
        <v>974.0</v>
      </c>
      <c r="AL977" s="719" t="s">
        <v>2937</v>
      </c>
      <c r="AM977" s="720" t="s">
        <v>1925</v>
      </c>
      <c r="AN977" s="720" t="s">
        <v>1926</v>
      </c>
      <c r="AO977" s="722">
        <v>0.179</v>
      </c>
      <c r="AP977" s="722" t="s">
        <v>1927</v>
      </c>
    </row>
    <row r="978">
      <c r="A978" s="159"/>
      <c r="B978" s="636"/>
      <c r="C978" s="159"/>
      <c r="D978" s="636"/>
      <c r="E978" s="636"/>
      <c r="F978" s="159"/>
      <c r="G978" s="159"/>
      <c r="H978" s="159"/>
      <c r="I978" s="668"/>
      <c r="J978" s="157"/>
      <c r="K978" s="708"/>
      <c r="L978" s="157"/>
      <c r="M978" s="157"/>
      <c r="N978" s="157"/>
      <c r="O978" s="668"/>
      <c r="P978" s="709"/>
      <c r="Q978" s="59"/>
      <c r="R978" s="61"/>
      <c r="S978" s="41"/>
      <c r="T978" s="59"/>
      <c r="Y978" s="61"/>
      <c r="Z978" s="59"/>
      <c r="AF978" s="61"/>
      <c r="AH978" s="61"/>
      <c r="AI978" s="41"/>
      <c r="AK978" s="40">
        <v>975.0</v>
      </c>
      <c r="AL978" s="738" t="s">
        <v>2938</v>
      </c>
      <c r="AM978" s="738" t="s">
        <v>2156</v>
      </c>
      <c r="AN978" s="745"/>
      <c r="AO978" s="739">
        <v>0.0</v>
      </c>
      <c r="AP978" s="739" t="s">
        <v>2157</v>
      </c>
    </row>
    <row r="979">
      <c r="A979" s="159"/>
      <c r="B979" s="636"/>
      <c r="C979" s="159"/>
      <c r="D979" s="636"/>
      <c r="E979" s="636"/>
      <c r="F979" s="159"/>
      <c r="G979" s="159"/>
      <c r="H979" s="159"/>
      <c r="I979" s="668"/>
      <c r="J979" s="157"/>
      <c r="K979" s="708"/>
      <c r="L979" s="157"/>
      <c r="M979" s="157"/>
      <c r="N979" s="157"/>
      <c r="O979" s="668"/>
      <c r="P979" s="709"/>
      <c r="Q979" s="59"/>
      <c r="R979" s="61"/>
      <c r="S979" s="41"/>
      <c r="T979" s="59"/>
      <c r="Y979" s="61"/>
      <c r="Z979" s="59"/>
      <c r="AF979" s="61"/>
      <c r="AH979" s="61"/>
      <c r="AI979" s="41"/>
      <c r="AK979" s="40">
        <v>976.0</v>
      </c>
      <c r="AL979" s="719" t="s">
        <v>2939</v>
      </c>
      <c r="AM979" s="720" t="s">
        <v>2940</v>
      </c>
      <c r="AN979" s="721"/>
      <c r="AO979" s="722">
        <v>0.432</v>
      </c>
      <c r="AP979" s="722" t="s">
        <v>2941</v>
      </c>
    </row>
    <row r="980">
      <c r="A980" s="159"/>
      <c r="B980" s="636"/>
      <c r="C980" s="159"/>
      <c r="D980" s="636"/>
      <c r="E980" s="636"/>
      <c r="F980" s="159"/>
      <c r="G980" s="159"/>
      <c r="H980" s="159"/>
      <c r="I980" s="668"/>
      <c r="J980" s="157"/>
      <c r="K980" s="708"/>
      <c r="L980" s="157"/>
      <c r="M980" s="157"/>
      <c r="N980" s="157"/>
      <c r="O980" s="668"/>
      <c r="P980" s="709"/>
      <c r="Q980" s="59"/>
      <c r="R980" s="61"/>
      <c r="S980" s="41"/>
      <c r="T980" s="59"/>
      <c r="Y980" s="61"/>
      <c r="Z980" s="59"/>
      <c r="AF980" s="61"/>
      <c r="AH980" s="61"/>
      <c r="AI980" s="41"/>
      <c r="AK980" s="40">
        <v>977.0</v>
      </c>
      <c r="AL980" s="738" t="s">
        <v>2942</v>
      </c>
      <c r="AM980" s="738" t="s">
        <v>2943</v>
      </c>
      <c r="AN980" s="745"/>
      <c r="AO980" s="739">
        <v>0.45</v>
      </c>
      <c r="AP980" s="739" t="s">
        <v>2944</v>
      </c>
    </row>
    <row r="981">
      <c r="A981" s="159"/>
      <c r="B981" s="636"/>
      <c r="C981" s="159"/>
      <c r="D981" s="636"/>
      <c r="E981" s="636"/>
      <c r="F981" s="159"/>
      <c r="G981" s="159"/>
      <c r="H981" s="159"/>
      <c r="I981" s="668"/>
      <c r="J981" s="157"/>
      <c r="K981" s="708"/>
      <c r="L981" s="157"/>
      <c r="M981" s="157"/>
      <c r="N981" s="157"/>
      <c r="O981" s="668"/>
      <c r="P981" s="709"/>
      <c r="Q981" s="59"/>
      <c r="R981" s="61"/>
      <c r="S981" s="41"/>
      <c r="T981" s="59"/>
      <c r="Y981" s="61"/>
      <c r="Z981" s="59"/>
      <c r="AF981" s="61"/>
      <c r="AH981" s="61"/>
      <c r="AI981" s="41"/>
      <c r="AK981" s="40">
        <v>978.0</v>
      </c>
      <c r="AL981" s="719" t="s">
        <v>2945</v>
      </c>
      <c r="AM981" s="720" t="s">
        <v>2946</v>
      </c>
      <c r="AN981" s="721"/>
      <c r="AO981" s="722">
        <v>0.512</v>
      </c>
      <c r="AP981" s="722" t="s">
        <v>2947</v>
      </c>
    </row>
    <row r="982">
      <c r="A982" s="159"/>
      <c r="B982" s="636"/>
      <c r="C982" s="159"/>
      <c r="D982" s="636"/>
      <c r="E982" s="636"/>
      <c r="F982" s="159"/>
      <c r="G982" s="159"/>
      <c r="H982" s="159"/>
      <c r="I982" s="668"/>
      <c r="J982" s="157"/>
      <c r="K982" s="708"/>
      <c r="L982" s="157"/>
      <c r="M982" s="157"/>
      <c r="N982" s="157"/>
      <c r="O982" s="668"/>
      <c r="P982" s="709"/>
      <c r="Q982" s="59"/>
      <c r="R982" s="61"/>
      <c r="S982" s="41"/>
      <c r="T982" s="59"/>
      <c r="Y982" s="61"/>
      <c r="Z982" s="59"/>
      <c r="AF982" s="61"/>
      <c r="AH982" s="61"/>
      <c r="AI982" s="41"/>
      <c r="AK982" s="40">
        <v>979.0</v>
      </c>
      <c r="AL982" s="738" t="s">
        <v>2948</v>
      </c>
      <c r="AM982" s="738" t="s">
        <v>2949</v>
      </c>
      <c r="AN982" s="738" t="s">
        <v>1744</v>
      </c>
      <c r="AO982" s="739">
        <v>0.437</v>
      </c>
      <c r="AP982" s="739" t="s">
        <v>2950</v>
      </c>
    </row>
    <row r="983">
      <c r="A983" s="159"/>
      <c r="B983" s="636"/>
      <c r="C983" s="159"/>
      <c r="D983" s="636"/>
      <c r="E983" s="636"/>
      <c r="F983" s="159"/>
      <c r="G983" s="159"/>
      <c r="H983" s="159"/>
      <c r="I983" s="668"/>
      <c r="J983" s="157"/>
      <c r="K983" s="708"/>
      <c r="L983" s="157"/>
      <c r="M983" s="157"/>
      <c r="N983" s="157"/>
      <c r="O983" s="668"/>
      <c r="P983" s="709"/>
      <c r="Q983" s="59"/>
      <c r="R983" s="61"/>
      <c r="S983" s="41"/>
      <c r="T983" s="59"/>
      <c r="Y983" s="61"/>
      <c r="Z983" s="59"/>
      <c r="AF983" s="61"/>
      <c r="AH983" s="61"/>
      <c r="AI983" s="41"/>
      <c r="AK983" s="40">
        <v>980.0</v>
      </c>
      <c r="AL983" s="719" t="s">
        <v>2951</v>
      </c>
      <c r="AM983" s="720" t="s">
        <v>2088</v>
      </c>
      <c r="AN983" s="720" t="s">
        <v>2089</v>
      </c>
      <c r="AO983" s="722">
        <v>0.019</v>
      </c>
      <c r="AP983" s="722" t="s">
        <v>2090</v>
      </c>
    </row>
    <row r="984">
      <c r="A984" s="159"/>
      <c r="B984" s="636"/>
      <c r="C984" s="159"/>
      <c r="D984" s="636"/>
      <c r="E984" s="636"/>
      <c r="F984" s="159"/>
      <c r="G984" s="159"/>
      <c r="H984" s="159"/>
      <c r="I984" s="668"/>
      <c r="J984" s="157"/>
      <c r="K984" s="708"/>
      <c r="L984" s="157"/>
      <c r="M984" s="157"/>
      <c r="N984" s="157"/>
      <c r="O984" s="668"/>
      <c r="P984" s="709"/>
      <c r="Q984" s="59"/>
      <c r="R984" s="61"/>
      <c r="S984" s="41"/>
      <c r="T984" s="59"/>
      <c r="Y984" s="61"/>
      <c r="Z984" s="59"/>
      <c r="AF984" s="61"/>
      <c r="AH984" s="61"/>
      <c r="AI984" s="41"/>
      <c r="AK984" s="40">
        <v>981.0</v>
      </c>
      <c r="AL984" s="738" t="s">
        <v>2952</v>
      </c>
      <c r="AM984" s="738" t="s">
        <v>2241</v>
      </c>
      <c r="AN984" s="738" t="s">
        <v>2242</v>
      </c>
      <c r="AO984" s="739">
        <v>0.225</v>
      </c>
      <c r="AP984" s="739" t="s">
        <v>2243</v>
      </c>
    </row>
    <row r="985">
      <c r="A985" s="159"/>
      <c r="B985" s="636"/>
      <c r="C985" s="159"/>
      <c r="D985" s="636"/>
      <c r="E985" s="636"/>
      <c r="F985" s="159"/>
      <c r="G985" s="159"/>
      <c r="H985" s="159"/>
      <c r="I985" s="668"/>
      <c r="J985" s="157"/>
      <c r="K985" s="708"/>
      <c r="L985" s="157"/>
      <c r="M985" s="157"/>
      <c r="N985" s="157"/>
      <c r="O985" s="668"/>
      <c r="P985" s="709"/>
      <c r="Q985" s="59"/>
      <c r="R985" s="61"/>
      <c r="S985" s="41"/>
      <c r="T985" s="59"/>
      <c r="Y985" s="61"/>
      <c r="Z985" s="59"/>
      <c r="AF985" s="61"/>
      <c r="AH985" s="61"/>
      <c r="AI985" s="41"/>
      <c r="AK985" s="40">
        <v>982.0</v>
      </c>
      <c r="AL985" s="719" t="s">
        <v>2953</v>
      </c>
      <c r="AM985" s="720" t="s">
        <v>2245</v>
      </c>
      <c r="AN985" s="720" t="s">
        <v>2246</v>
      </c>
      <c r="AO985" s="722">
        <v>0.408</v>
      </c>
      <c r="AP985" s="722" t="s">
        <v>2247</v>
      </c>
    </row>
    <row r="986">
      <c r="A986" s="159"/>
      <c r="B986" s="636"/>
      <c r="C986" s="159"/>
      <c r="D986" s="636"/>
      <c r="E986" s="636"/>
      <c r="F986" s="159"/>
      <c r="G986" s="159"/>
      <c r="H986" s="159"/>
      <c r="I986" s="668"/>
      <c r="J986" s="157"/>
      <c r="K986" s="708"/>
      <c r="L986" s="157"/>
      <c r="M986" s="157"/>
      <c r="N986" s="157"/>
      <c r="O986" s="668"/>
      <c r="P986" s="709"/>
      <c r="Q986" s="59"/>
      <c r="R986" s="61"/>
      <c r="S986" s="41"/>
      <c r="T986" s="59"/>
      <c r="Y986" s="61"/>
      <c r="Z986" s="59"/>
      <c r="AF986" s="61"/>
      <c r="AH986" s="61"/>
      <c r="AI986" s="41"/>
      <c r="AK986" s="40">
        <v>983.0</v>
      </c>
      <c r="AL986" s="738" t="s">
        <v>2954</v>
      </c>
      <c r="AM986" s="738" t="s">
        <v>2156</v>
      </c>
      <c r="AN986" s="745"/>
      <c r="AO986" s="739">
        <v>0.0</v>
      </c>
      <c r="AP986" s="739" t="s">
        <v>2157</v>
      </c>
    </row>
    <row r="987">
      <c r="A987" s="159"/>
      <c r="B987" s="636"/>
      <c r="C987" s="159"/>
      <c r="D987" s="636"/>
      <c r="E987" s="636"/>
      <c r="F987" s="159"/>
      <c r="G987" s="159"/>
      <c r="H987" s="159"/>
      <c r="I987" s="668"/>
      <c r="J987" s="157"/>
      <c r="K987" s="708"/>
      <c r="L987" s="157"/>
      <c r="M987" s="157"/>
      <c r="N987" s="157"/>
      <c r="O987" s="668"/>
      <c r="P987" s="709"/>
      <c r="Q987" s="59"/>
      <c r="R987" s="61"/>
      <c r="S987" s="41"/>
      <c r="T987" s="59"/>
      <c r="Y987" s="61"/>
      <c r="Z987" s="59"/>
      <c r="AF987" s="61"/>
      <c r="AH987" s="61"/>
      <c r="AI987" s="41"/>
      <c r="AK987" s="40">
        <v>984.0</v>
      </c>
      <c r="AL987" s="719" t="s">
        <v>2955</v>
      </c>
      <c r="AM987" s="720" t="s">
        <v>2940</v>
      </c>
      <c r="AN987" s="721"/>
      <c r="AO987" s="722">
        <v>0.432</v>
      </c>
      <c r="AP987" s="722" t="s">
        <v>2941</v>
      </c>
    </row>
    <row r="988">
      <c r="A988" s="159"/>
      <c r="B988" s="636"/>
      <c r="C988" s="159"/>
      <c r="D988" s="636"/>
      <c r="E988" s="636"/>
      <c r="F988" s="159"/>
      <c r="G988" s="159"/>
      <c r="H988" s="159"/>
      <c r="I988" s="668"/>
      <c r="J988" s="157"/>
      <c r="K988" s="708"/>
      <c r="L988" s="157"/>
      <c r="M988" s="157"/>
      <c r="N988" s="157"/>
      <c r="O988" s="668"/>
      <c r="P988" s="709"/>
      <c r="Q988" s="59"/>
      <c r="R988" s="61"/>
      <c r="S988" s="41"/>
      <c r="T988" s="59"/>
      <c r="Y988" s="61"/>
      <c r="Z988" s="59"/>
      <c r="AF988" s="61"/>
      <c r="AH988" s="61"/>
      <c r="AI988" s="41"/>
      <c r="AK988" s="40">
        <v>985.0</v>
      </c>
      <c r="AL988" s="738" t="s">
        <v>2956</v>
      </c>
      <c r="AM988" s="738" t="s">
        <v>2943</v>
      </c>
      <c r="AN988" s="745"/>
      <c r="AO988" s="739">
        <v>0.45</v>
      </c>
      <c r="AP988" s="739" t="s">
        <v>2944</v>
      </c>
    </row>
    <row r="989">
      <c r="A989" s="159"/>
      <c r="B989" s="636"/>
      <c r="C989" s="159"/>
      <c r="D989" s="636"/>
      <c r="E989" s="636"/>
      <c r="F989" s="159"/>
      <c r="G989" s="159"/>
      <c r="H989" s="159"/>
      <c r="I989" s="668"/>
      <c r="J989" s="157"/>
      <c r="K989" s="708"/>
      <c r="L989" s="157"/>
      <c r="M989" s="157"/>
      <c r="N989" s="157"/>
      <c r="O989" s="668"/>
      <c r="P989" s="709"/>
      <c r="Q989" s="59"/>
      <c r="R989" s="61"/>
      <c r="S989" s="41"/>
      <c r="T989" s="59"/>
      <c r="Y989" s="61"/>
      <c r="Z989" s="59"/>
      <c r="AF989" s="61"/>
      <c r="AH989" s="61"/>
      <c r="AI989" s="41"/>
      <c r="AK989" s="40">
        <v>986.0</v>
      </c>
      <c r="AL989" s="719" t="s">
        <v>2957</v>
      </c>
      <c r="AM989" s="720" t="s">
        <v>2946</v>
      </c>
      <c r="AN989" s="721"/>
      <c r="AO989" s="722">
        <v>0.512</v>
      </c>
      <c r="AP989" s="722" t="s">
        <v>2947</v>
      </c>
    </row>
    <row r="990">
      <c r="A990" s="159"/>
      <c r="B990" s="636"/>
      <c r="C990" s="159"/>
      <c r="D990" s="636"/>
      <c r="E990" s="636"/>
      <c r="F990" s="159"/>
      <c r="G990" s="159"/>
      <c r="H990" s="159"/>
      <c r="I990" s="668"/>
      <c r="J990" s="157"/>
      <c r="K990" s="708"/>
      <c r="L990" s="157"/>
      <c r="M990" s="157"/>
      <c r="N990" s="157"/>
      <c r="O990" s="668"/>
      <c r="P990" s="709"/>
      <c r="Q990" s="59"/>
      <c r="R990" s="61"/>
      <c r="S990" s="41"/>
      <c r="T990" s="59"/>
      <c r="Y990" s="61"/>
      <c r="Z990" s="59"/>
      <c r="AF990" s="61"/>
      <c r="AH990" s="61"/>
      <c r="AI990" s="41"/>
      <c r="AK990" s="40">
        <v>987.0</v>
      </c>
      <c r="AL990" s="738" t="s">
        <v>2958</v>
      </c>
      <c r="AM990" s="738" t="s">
        <v>2949</v>
      </c>
      <c r="AN990" s="738" t="s">
        <v>1744</v>
      </c>
      <c r="AO990" s="739">
        <v>0.437</v>
      </c>
      <c r="AP990" s="739" t="s">
        <v>2950</v>
      </c>
    </row>
    <row r="991">
      <c r="A991" s="159"/>
      <c r="B991" s="636"/>
      <c r="C991" s="159"/>
      <c r="D991" s="636"/>
      <c r="E991" s="636"/>
      <c r="F991" s="159"/>
      <c r="G991" s="159"/>
      <c r="H991" s="159"/>
      <c r="I991" s="668"/>
      <c r="J991" s="157"/>
      <c r="K991" s="708"/>
      <c r="L991" s="157"/>
      <c r="M991" s="157"/>
      <c r="N991" s="157"/>
      <c r="O991" s="668"/>
      <c r="P991" s="709"/>
      <c r="Q991" s="59"/>
      <c r="R991" s="61"/>
      <c r="S991" s="41"/>
      <c r="T991" s="59"/>
      <c r="Y991" s="61"/>
      <c r="Z991" s="59"/>
      <c r="AF991" s="61"/>
      <c r="AH991" s="61"/>
      <c r="AI991" s="41"/>
      <c r="AK991" s="40">
        <v>988.0</v>
      </c>
      <c r="AL991" s="719" t="s">
        <v>2959</v>
      </c>
      <c r="AM991" s="720" t="s">
        <v>2088</v>
      </c>
      <c r="AN991" s="720" t="s">
        <v>2089</v>
      </c>
      <c r="AO991" s="722">
        <v>0.019</v>
      </c>
      <c r="AP991" s="722" t="s">
        <v>2090</v>
      </c>
    </row>
    <row r="992">
      <c r="A992" s="159"/>
      <c r="B992" s="636"/>
      <c r="C992" s="159"/>
      <c r="D992" s="636"/>
      <c r="E992" s="636"/>
      <c r="F992" s="159"/>
      <c r="G992" s="159"/>
      <c r="H992" s="159"/>
      <c r="I992" s="668"/>
      <c r="J992" s="157"/>
      <c r="K992" s="708"/>
      <c r="L992" s="157"/>
      <c r="M992" s="157"/>
      <c r="N992" s="157"/>
      <c r="O992" s="668"/>
      <c r="P992" s="709"/>
      <c r="Q992" s="59"/>
      <c r="R992" s="61"/>
      <c r="S992" s="41"/>
      <c r="T992" s="59"/>
      <c r="Y992" s="61"/>
      <c r="Z992" s="59"/>
      <c r="AF992" s="61"/>
      <c r="AH992" s="61"/>
      <c r="AI992" s="41"/>
      <c r="AK992" s="40">
        <v>989.0</v>
      </c>
      <c r="AL992" s="738" t="s">
        <v>2960</v>
      </c>
      <c r="AM992" s="738" t="s">
        <v>2241</v>
      </c>
      <c r="AN992" s="738" t="s">
        <v>2242</v>
      </c>
      <c r="AO992" s="739">
        <v>0.225</v>
      </c>
      <c r="AP992" s="739" t="s">
        <v>2243</v>
      </c>
    </row>
    <row r="993">
      <c r="A993" s="159"/>
      <c r="B993" s="636"/>
      <c r="C993" s="159"/>
      <c r="D993" s="636"/>
      <c r="E993" s="636"/>
      <c r="F993" s="159"/>
      <c r="G993" s="159"/>
      <c r="H993" s="159"/>
      <c r="I993" s="668"/>
      <c r="J993" s="157"/>
      <c r="K993" s="708"/>
      <c r="L993" s="157"/>
      <c r="M993" s="157"/>
      <c r="N993" s="157"/>
      <c r="O993" s="668"/>
      <c r="P993" s="709"/>
      <c r="Q993" s="59"/>
      <c r="R993" s="61"/>
      <c r="S993" s="41"/>
      <c r="T993" s="59"/>
      <c r="Y993" s="61"/>
      <c r="Z993" s="59"/>
      <c r="AF993" s="61"/>
      <c r="AH993" s="61"/>
      <c r="AI993" s="41"/>
      <c r="AK993" s="40">
        <v>990.0</v>
      </c>
      <c r="AL993" s="719" t="s">
        <v>2961</v>
      </c>
      <c r="AM993" s="720" t="s">
        <v>2245</v>
      </c>
      <c r="AN993" s="720" t="s">
        <v>2246</v>
      </c>
      <c r="AO993" s="722">
        <v>0.408</v>
      </c>
      <c r="AP993" s="722" t="s">
        <v>2247</v>
      </c>
    </row>
    <row r="994">
      <c r="A994" s="159"/>
      <c r="B994" s="636"/>
      <c r="C994" s="159"/>
      <c r="D994" s="636"/>
      <c r="E994" s="636"/>
      <c r="F994" s="159"/>
      <c r="G994" s="159"/>
      <c r="H994" s="159"/>
      <c r="I994" s="668"/>
      <c r="J994" s="157"/>
      <c r="K994" s="708"/>
      <c r="L994" s="157"/>
      <c r="M994" s="157"/>
      <c r="N994" s="157"/>
      <c r="O994" s="668"/>
      <c r="P994" s="709"/>
      <c r="Q994" s="59"/>
      <c r="R994" s="61"/>
      <c r="S994" s="41"/>
      <c r="T994" s="59"/>
      <c r="Y994" s="61"/>
      <c r="Z994" s="59"/>
      <c r="AF994" s="61"/>
      <c r="AH994" s="61"/>
      <c r="AI994" s="41"/>
      <c r="AK994" s="40">
        <v>991.0</v>
      </c>
      <c r="AL994" s="738" t="s">
        <v>2962</v>
      </c>
      <c r="AM994" s="738" t="s">
        <v>2156</v>
      </c>
      <c r="AN994" s="745"/>
      <c r="AO994" s="739">
        <v>0.0</v>
      </c>
      <c r="AP994" s="739" t="s">
        <v>2157</v>
      </c>
    </row>
    <row r="995">
      <c r="A995" s="159"/>
      <c r="B995" s="636"/>
      <c r="C995" s="159"/>
      <c r="D995" s="636"/>
      <c r="E995" s="636"/>
      <c r="F995" s="159"/>
      <c r="G995" s="159"/>
      <c r="H995" s="159"/>
      <c r="I995" s="668"/>
      <c r="J995" s="157"/>
      <c r="K995" s="708"/>
      <c r="L995" s="157"/>
      <c r="M995" s="157"/>
      <c r="N995" s="157"/>
      <c r="O995" s="668"/>
      <c r="P995" s="709"/>
      <c r="Q995" s="59"/>
      <c r="R995" s="61"/>
      <c r="S995" s="41"/>
      <c r="T995" s="59"/>
      <c r="Y995" s="61"/>
      <c r="Z995" s="59"/>
      <c r="AF995" s="61"/>
      <c r="AH995" s="61"/>
      <c r="AI995" s="41"/>
      <c r="AK995" s="40">
        <v>992.0</v>
      </c>
      <c r="AL995" s="719" t="s">
        <v>2963</v>
      </c>
      <c r="AM995" s="720" t="s">
        <v>2088</v>
      </c>
      <c r="AN995" s="720" t="s">
        <v>2089</v>
      </c>
      <c r="AO995" s="722">
        <v>0.019</v>
      </c>
      <c r="AP995" s="722" t="s">
        <v>2090</v>
      </c>
    </row>
    <row r="996">
      <c r="A996" s="159"/>
      <c r="B996" s="636"/>
      <c r="C996" s="159"/>
      <c r="D996" s="636"/>
      <c r="E996" s="636"/>
      <c r="F996" s="159"/>
      <c r="G996" s="159"/>
      <c r="H996" s="159"/>
      <c r="I996" s="668"/>
      <c r="J996" s="157"/>
      <c r="K996" s="708"/>
      <c r="L996" s="157"/>
      <c r="M996" s="157"/>
      <c r="N996" s="157"/>
      <c r="O996" s="668"/>
      <c r="P996" s="709"/>
      <c r="Q996" s="59"/>
      <c r="R996" s="61"/>
      <c r="S996" s="41"/>
      <c r="T996" s="59"/>
      <c r="Y996" s="61"/>
      <c r="Z996" s="59"/>
      <c r="AF996" s="61"/>
      <c r="AH996" s="61"/>
      <c r="AI996" s="41"/>
      <c r="AK996" s="40">
        <v>993.0</v>
      </c>
      <c r="AL996" s="738" t="s">
        <v>2964</v>
      </c>
      <c r="AM996" s="738" t="s">
        <v>2241</v>
      </c>
      <c r="AN996" s="738" t="s">
        <v>2242</v>
      </c>
      <c r="AO996" s="739">
        <v>0.225</v>
      </c>
      <c r="AP996" s="739" t="s">
        <v>2243</v>
      </c>
    </row>
    <row r="997">
      <c r="A997" s="159"/>
      <c r="B997" s="636"/>
      <c r="C997" s="159"/>
      <c r="D997" s="636"/>
      <c r="E997" s="636"/>
      <c r="F997" s="159"/>
      <c r="G997" s="159"/>
      <c r="H997" s="159"/>
      <c r="I997" s="668"/>
      <c r="J997" s="157"/>
      <c r="K997" s="708"/>
      <c r="L997" s="157"/>
      <c r="M997" s="157"/>
      <c r="N997" s="157"/>
      <c r="O997" s="668"/>
      <c r="P997" s="709"/>
      <c r="Q997" s="59"/>
      <c r="R997" s="61"/>
      <c r="S997" s="41"/>
      <c r="T997" s="59"/>
      <c r="Y997" s="61"/>
      <c r="Z997" s="59"/>
      <c r="AF997" s="61"/>
      <c r="AH997" s="61"/>
      <c r="AI997" s="41"/>
      <c r="AK997" s="40">
        <v>994.0</v>
      </c>
      <c r="AL997" s="719" t="s">
        <v>2965</v>
      </c>
      <c r="AM997" s="720" t="s">
        <v>2245</v>
      </c>
      <c r="AN997" s="720" t="s">
        <v>2246</v>
      </c>
      <c r="AO997" s="722">
        <v>0.408</v>
      </c>
      <c r="AP997" s="722" t="s">
        <v>2247</v>
      </c>
    </row>
    <row r="998">
      <c r="A998" s="159"/>
      <c r="B998" s="636"/>
      <c r="C998" s="159"/>
      <c r="D998" s="636"/>
      <c r="E998" s="636"/>
      <c r="F998" s="159"/>
      <c r="G998" s="159"/>
      <c r="H998" s="159"/>
      <c r="I998" s="668"/>
      <c r="J998" s="157"/>
      <c r="K998" s="708"/>
      <c r="L998" s="157"/>
      <c r="M998" s="157"/>
      <c r="N998" s="157"/>
      <c r="O998" s="668"/>
      <c r="P998" s="751"/>
      <c r="Q998" s="59"/>
      <c r="R998" s="61"/>
      <c r="S998" s="752"/>
      <c r="T998" s="59"/>
      <c r="Y998" s="61"/>
      <c r="Z998" s="59"/>
      <c r="AF998" s="61"/>
      <c r="AH998" s="61"/>
      <c r="AI998" s="752"/>
      <c r="AK998" s="40">
        <v>995.0</v>
      </c>
      <c r="AL998" s="738" t="s">
        <v>2966</v>
      </c>
      <c r="AM998" s="738" t="s">
        <v>2156</v>
      </c>
      <c r="AN998" s="745"/>
      <c r="AO998" s="739">
        <v>0.0</v>
      </c>
      <c r="AP998" s="739" t="s">
        <v>2157</v>
      </c>
    </row>
    <row r="999">
      <c r="A999" s="159"/>
      <c r="B999" s="159"/>
      <c r="C999" s="159"/>
      <c r="D999" s="159"/>
      <c r="E999" s="159"/>
      <c r="F999" s="159"/>
      <c r="G999" s="159"/>
      <c r="H999" s="159"/>
      <c r="I999" s="157"/>
      <c r="J999" s="157"/>
      <c r="K999" s="157"/>
      <c r="L999" s="157"/>
      <c r="M999" s="157"/>
      <c r="N999" s="157"/>
      <c r="O999" s="157"/>
      <c r="P999" s="753"/>
      <c r="AK999" s="40">
        <v>996.0</v>
      </c>
      <c r="AL999" s="719" t="s">
        <v>2967</v>
      </c>
      <c r="AM999" s="720" t="s">
        <v>2940</v>
      </c>
      <c r="AN999" s="721"/>
      <c r="AO999" s="722">
        <v>0.432</v>
      </c>
      <c r="AP999" s="722" t="s">
        <v>2941</v>
      </c>
    </row>
    <row r="1000">
      <c r="A1000" s="159"/>
      <c r="B1000" s="159"/>
      <c r="C1000" s="159"/>
      <c r="D1000" s="159"/>
      <c r="E1000" s="159"/>
      <c r="F1000" s="159"/>
      <c r="G1000" s="159"/>
      <c r="H1000" s="159"/>
      <c r="I1000" s="157"/>
      <c r="J1000" s="157"/>
      <c r="K1000" s="157"/>
      <c r="L1000" s="157"/>
      <c r="M1000" s="157"/>
      <c r="N1000" s="157"/>
      <c r="O1000" s="157"/>
      <c r="P1000" s="753"/>
      <c r="AK1000" s="40">
        <v>997.0</v>
      </c>
      <c r="AL1000" s="738" t="s">
        <v>2968</v>
      </c>
      <c r="AM1000" s="738" t="s">
        <v>2943</v>
      </c>
      <c r="AN1000" s="745"/>
      <c r="AO1000" s="739">
        <v>0.45</v>
      </c>
      <c r="AP1000" s="739" t="s">
        <v>2944</v>
      </c>
    </row>
    <row r="1001">
      <c r="A1001" s="159"/>
      <c r="B1001" s="159"/>
      <c r="C1001" s="159"/>
      <c r="D1001" s="159"/>
      <c r="E1001" s="159"/>
      <c r="F1001" s="159"/>
      <c r="G1001" s="159"/>
      <c r="H1001" s="159"/>
      <c r="I1001" s="157"/>
      <c r="J1001" s="157"/>
      <c r="K1001" s="157"/>
      <c r="L1001" s="157"/>
      <c r="M1001" s="157"/>
      <c r="N1001" s="157"/>
      <c r="O1001" s="157"/>
      <c r="P1001" s="753"/>
      <c r="AK1001" s="40">
        <v>998.0</v>
      </c>
      <c r="AL1001" s="719" t="s">
        <v>2969</v>
      </c>
      <c r="AM1001" s="720" t="s">
        <v>2946</v>
      </c>
      <c r="AN1001" s="721"/>
      <c r="AO1001" s="722">
        <v>0.512</v>
      </c>
      <c r="AP1001" s="722" t="s">
        <v>2947</v>
      </c>
    </row>
    <row r="1002">
      <c r="A1002" s="159"/>
      <c r="B1002" s="159"/>
      <c r="C1002" s="159"/>
      <c r="D1002" s="159"/>
      <c r="E1002" s="159"/>
      <c r="F1002" s="159"/>
      <c r="G1002" s="159"/>
      <c r="H1002" s="159"/>
      <c r="I1002" s="157"/>
      <c r="J1002" s="157"/>
      <c r="K1002" s="157"/>
      <c r="L1002" s="157"/>
      <c r="M1002" s="157"/>
      <c r="N1002" s="157"/>
      <c r="O1002" s="157"/>
      <c r="P1002" s="753"/>
      <c r="AK1002" s="40">
        <v>999.0</v>
      </c>
      <c r="AL1002" s="738" t="s">
        <v>2970</v>
      </c>
      <c r="AM1002" s="738" t="s">
        <v>2949</v>
      </c>
      <c r="AN1002" s="738" t="s">
        <v>1744</v>
      </c>
      <c r="AO1002" s="739">
        <v>0.437</v>
      </c>
      <c r="AP1002" s="739" t="s">
        <v>2950</v>
      </c>
    </row>
    <row r="1003">
      <c r="A1003" s="159"/>
      <c r="B1003" s="159"/>
      <c r="C1003" s="159"/>
      <c r="D1003" s="159"/>
      <c r="E1003" s="159"/>
      <c r="F1003" s="159"/>
      <c r="G1003" s="159"/>
      <c r="H1003" s="159"/>
      <c r="I1003" s="157"/>
      <c r="J1003" s="157"/>
      <c r="K1003" s="157"/>
      <c r="L1003" s="157"/>
      <c r="M1003" s="157"/>
      <c r="N1003" s="157"/>
      <c r="O1003" s="157"/>
      <c r="P1003" s="753"/>
      <c r="AK1003" s="40">
        <v>1000.0</v>
      </c>
      <c r="AL1003" s="719" t="s">
        <v>2971</v>
      </c>
      <c r="AM1003" s="720" t="s">
        <v>2088</v>
      </c>
      <c r="AN1003" s="720" t="s">
        <v>2089</v>
      </c>
      <c r="AO1003" s="722">
        <v>0.019</v>
      </c>
      <c r="AP1003" s="722" t="s">
        <v>2090</v>
      </c>
    </row>
    <row r="1004">
      <c r="A1004" s="159"/>
      <c r="B1004" s="159"/>
      <c r="C1004" s="159"/>
      <c r="D1004" s="159"/>
      <c r="E1004" s="159"/>
      <c r="F1004" s="159"/>
      <c r="G1004" s="159"/>
      <c r="H1004" s="159"/>
      <c r="I1004" s="157"/>
      <c r="J1004" s="157"/>
      <c r="K1004" s="157"/>
      <c r="L1004" s="157"/>
      <c r="M1004" s="157"/>
      <c r="N1004" s="157"/>
      <c r="O1004" s="157"/>
      <c r="P1004" s="753"/>
      <c r="AK1004" s="40">
        <v>1001.0</v>
      </c>
      <c r="AL1004" s="738" t="s">
        <v>2972</v>
      </c>
      <c r="AM1004" s="738" t="s">
        <v>2241</v>
      </c>
      <c r="AN1004" s="738" t="s">
        <v>2242</v>
      </c>
      <c r="AO1004" s="739">
        <v>0.225</v>
      </c>
      <c r="AP1004" s="739" t="s">
        <v>2243</v>
      </c>
    </row>
    <row r="1005">
      <c r="A1005" s="159"/>
      <c r="B1005" s="159"/>
      <c r="C1005" s="159"/>
      <c r="D1005" s="159"/>
      <c r="E1005" s="159"/>
      <c r="F1005" s="159"/>
      <c r="G1005" s="159"/>
      <c r="H1005" s="159"/>
      <c r="I1005" s="157"/>
      <c r="J1005" s="157"/>
      <c r="K1005" s="157"/>
      <c r="L1005" s="157"/>
      <c r="M1005" s="157"/>
      <c r="N1005" s="157"/>
      <c r="O1005" s="157"/>
      <c r="P1005" s="753"/>
      <c r="AK1005" s="40">
        <v>1002.0</v>
      </c>
      <c r="AL1005" s="719" t="s">
        <v>2973</v>
      </c>
      <c r="AM1005" s="720" t="s">
        <v>2245</v>
      </c>
      <c r="AN1005" s="720" t="s">
        <v>2246</v>
      </c>
      <c r="AO1005" s="722">
        <v>0.408</v>
      </c>
      <c r="AP1005" s="722" t="s">
        <v>2247</v>
      </c>
    </row>
    <row r="1006">
      <c r="A1006" s="159"/>
      <c r="B1006" s="159"/>
      <c r="C1006" s="159"/>
      <c r="D1006" s="159"/>
      <c r="E1006" s="159"/>
      <c r="F1006" s="159"/>
      <c r="G1006" s="159"/>
      <c r="H1006" s="159"/>
      <c r="I1006" s="157"/>
      <c r="J1006" s="157"/>
      <c r="K1006" s="157"/>
      <c r="L1006" s="157"/>
      <c r="M1006" s="157"/>
      <c r="N1006" s="157"/>
      <c r="O1006" s="157"/>
      <c r="P1006" s="753"/>
      <c r="AK1006" s="40">
        <v>1003.0</v>
      </c>
      <c r="AL1006" s="738" t="s">
        <v>2974</v>
      </c>
      <c r="AM1006" s="738" t="s">
        <v>2156</v>
      </c>
      <c r="AN1006" s="745"/>
      <c r="AO1006" s="739">
        <v>0.0</v>
      </c>
      <c r="AP1006" s="739" t="s">
        <v>2157</v>
      </c>
    </row>
    <row r="1007">
      <c r="A1007" s="159"/>
      <c r="B1007" s="159"/>
      <c r="C1007" s="159"/>
      <c r="D1007" s="159"/>
      <c r="E1007" s="159"/>
      <c r="F1007" s="159"/>
      <c r="G1007" s="159"/>
      <c r="H1007" s="159"/>
      <c r="I1007" s="157"/>
      <c r="J1007" s="157"/>
      <c r="K1007" s="157"/>
      <c r="L1007" s="157"/>
      <c r="M1007" s="157"/>
      <c r="N1007" s="157"/>
      <c r="O1007" s="157"/>
      <c r="P1007" s="753"/>
      <c r="AK1007" s="40">
        <v>1004.0</v>
      </c>
      <c r="AL1007" s="719" t="s">
        <v>2975</v>
      </c>
      <c r="AM1007" s="720" t="s">
        <v>2940</v>
      </c>
      <c r="AN1007" s="721"/>
      <c r="AO1007" s="722">
        <v>0.432</v>
      </c>
      <c r="AP1007" s="722" t="s">
        <v>2941</v>
      </c>
    </row>
    <row r="1008">
      <c r="A1008" s="159"/>
      <c r="B1008" s="159"/>
      <c r="C1008" s="159"/>
      <c r="D1008" s="159"/>
      <c r="E1008" s="159"/>
      <c r="F1008" s="159"/>
      <c r="G1008" s="159"/>
      <c r="H1008" s="159"/>
      <c r="I1008" s="157"/>
      <c r="J1008" s="157"/>
      <c r="K1008" s="157"/>
      <c r="L1008" s="157"/>
      <c r="M1008" s="157"/>
      <c r="N1008" s="157"/>
      <c r="O1008" s="157"/>
      <c r="P1008" s="753"/>
      <c r="AK1008" s="40">
        <v>1005.0</v>
      </c>
      <c r="AL1008" s="738" t="s">
        <v>2976</v>
      </c>
      <c r="AM1008" s="738" t="s">
        <v>2943</v>
      </c>
      <c r="AN1008" s="745"/>
      <c r="AO1008" s="739">
        <v>0.45</v>
      </c>
      <c r="AP1008" s="739" t="s">
        <v>2944</v>
      </c>
    </row>
    <row r="1009">
      <c r="A1009" s="159"/>
      <c r="B1009" s="159"/>
      <c r="C1009" s="159"/>
      <c r="D1009" s="159"/>
      <c r="E1009" s="159"/>
      <c r="F1009" s="159"/>
      <c r="G1009" s="159"/>
      <c r="H1009" s="159"/>
      <c r="I1009" s="157"/>
      <c r="J1009" s="157"/>
      <c r="K1009" s="157"/>
      <c r="L1009" s="157"/>
      <c r="M1009" s="157"/>
      <c r="N1009" s="157"/>
      <c r="O1009" s="157"/>
      <c r="P1009" s="753"/>
      <c r="AK1009" s="40">
        <v>1006.0</v>
      </c>
      <c r="AL1009" s="719" t="s">
        <v>2977</v>
      </c>
      <c r="AM1009" s="720" t="s">
        <v>2946</v>
      </c>
      <c r="AN1009" s="721"/>
      <c r="AO1009" s="722">
        <v>0.512</v>
      </c>
      <c r="AP1009" s="722" t="s">
        <v>2947</v>
      </c>
    </row>
    <row r="1010">
      <c r="A1010" s="159"/>
      <c r="B1010" s="159"/>
      <c r="C1010" s="159"/>
      <c r="D1010" s="159"/>
      <c r="E1010" s="159"/>
      <c r="F1010" s="159"/>
      <c r="G1010" s="159"/>
      <c r="H1010" s="159"/>
      <c r="I1010" s="157"/>
      <c r="J1010" s="157"/>
      <c r="K1010" s="157"/>
      <c r="L1010" s="157"/>
      <c r="M1010" s="157"/>
      <c r="N1010" s="157"/>
      <c r="O1010" s="157"/>
      <c r="P1010" s="753"/>
      <c r="AK1010" s="40">
        <v>1007.0</v>
      </c>
      <c r="AL1010" s="738" t="s">
        <v>2978</v>
      </c>
      <c r="AM1010" s="738" t="s">
        <v>2949</v>
      </c>
      <c r="AN1010" s="738" t="s">
        <v>1744</v>
      </c>
      <c r="AO1010" s="739">
        <v>0.437</v>
      </c>
      <c r="AP1010" s="739" t="s">
        <v>2950</v>
      </c>
    </row>
    <row r="1011">
      <c r="A1011" s="159"/>
      <c r="B1011" s="159"/>
      <c r="C1011" s="159"/>
      <c r="D1011" s="159"/>
      <c r="E1011" s="159"/>
      <c r="F1011" s="159"/>
      <c r="G1011" s="159"/>
      <c r="H1011" s="159"/>
      <c r="I1011" s="157"/>
      <c r="J1011" s="157"/>
      <c r="K1011" s="157"/>
      <c r="L1011" s="157"/>
      <c r="M1011" s="157"/>
      <c r="N1011" s="157"/>
      <c r="O1011" s="157"/>
      <c r="P1011" s="753"/>
      <c r="AK1011" s="40">
        <v>1008.0</v>
      </c>
      <c r="AL1011" s="719" t="s">
        <v>2979</v>
      </c>
      <c r="AM1011" s="720" t="s">
        <v>2940</v>
      </c>
      <c r="AN1011" s="721"/>
      <c r="AO1011" s="722">
        <v>0.432</v>
      </c>
      <c r="AP1011" s="722" t="s">
        <v>2941</v>
      </c>
    </row>
    <row r="1012">
      <c r="A1012" s="159"/>
      <c r="B1012" s="159"/>
      <c r="C1012" s="159"/>
      <c r="D1012" s="159"/>
      <c r="E1012" s="159"/>
      <c r="F1012" s="159"/>
      <c r="G1012" s="159"/>
      <c r="H1012" s="159"/>
      <c r="I1012" s="157"/>
      <c r="J1012" s="157"/>
      <c r="K1012" s="157"/>
      <c r="L1012" s="157"/>
      <c r="M1012" s="157"/>
      <c r="N1012" s="157"/>
      <c r="O1012" s="157"/>
      <c r="P1012" s="753"/>
      <c r="AK1012" s="40">
        <v>1009.0</v>
      </c>
      <c r="AL1012" s="738" t="s">
        <v>2980</v>
      </c>
      <c r="AM1012" s="738" t="s">
        <v>2943</v>
      </c>
      <c r="AN1012" s="745"/>
      <c r="AO1012" s="739">
        <v>0.45</v>
      </c>
      <c r="AP1012" s="739" t="s">
        <v>2944</v>
      </c>
    </row>
    <row r="1013">
      <c r="A1013" s="159"/>
      <c r="B1013" s="159"/>
      <c r="C1013" s="159"/>
      <c r="D1013" s="159"/>
      <c r="E1013" s="159"/>
      <c r="F1013" s="159"/>
      <c r="G1013" s="159"/>
      <c r="H1013" s="159"/>
      <c r="I1013" s="157"/>
      <c r="J1013" s="157"/>
      <c r="K1013" s="157"/>
      <c r="L1013" s="157"/>
      <c r="M1013" s="157"/>
      <c r="N1013" s="157"/>
      <c r="O1013" s="157"/>
      <c r="P1013" s="753"/>
      <c r="AK1013" s="40">
        <v>1010.0</v>
      </c>
      <c r="AL1013" s="719" t="s">
        <v>2981</v>
      </c>
      <c r="AM1013" s="720" t="s">
        <v>2946</v>
      </c>
      <c r="AN1013" s="721"/>
      <c r="AO1013" s="722">
        <v>0.512</v>
      </c>
      <c r="AP1013" s="722" t="s">
        <v>2947</v>
      </c>
    </row>
    <row r="1014">
      <c r="A1014" s="159"/>
      <c r="B1014" s="159"/>
      <c r="C1014" s="159"/>
      <c r="D1014" s="159"/>
      <c r="E1014" s="159"/>
      <c r="F1014" s="159"/>
      <c r="G1014" s="159"/>
      <c r="H1014" s="159"/>
      <c r="I1014" s="157"/>
      <c r="J1014" s="157"/>
      <c r="K1014" s="157"/>
      <c r="L1014" s="157"/>
      <c r="M1014" s="157"/>
      <c r="N1014" s="157"/>
      <c r="O1014" s="157"/>
      <c r="P1014" s="753"/>
      <c r="AK1014" s="40">
        <v>1011.0</v>
      </c>
      <c r="AL1014" s="738" t="s">
        <v>2982</v>
      </c>
      <c r="AM1014" s="738" t="s">
        <v>2949</v>
      </c>
      <c r="AN1014" s="738" t="s">
        <v>1744</v>
      </c>
      <c r="AO1014" s="739">
        <v>0.437</v>
      </c>
      <c r="AP1014" s="739" t="s">
        <v>2950</v>
      </c>
    </row>
    <row r="1015">
      <c r="A1015" s="159"/>
      <c r="B1015" s="159"/>
      <c r="C1015" s="159"/>
      <c r="D1015" s="159"/>
      <c r="E1015" s="159"/>
      <c r="F1015" s="159"/>
      <c r="G1015" s="159"/>
      <c r="H1015" s="159"/>
      <c r="I1015" s="157"/>
      <c r="J1015" s="157"/>
      <c r="K1015" s="157"/>
      <c r="L1015" s="157"/>
      <c r="M1015" s="157"/>
      <c r="N1015" s="157"/>
      <c r="O1015" s="157"/>
      <c r="P1015" s="753"/>
      <c r="AK1015" s="40">
        <v>1012.0</v>
      </c>
      <c r="AL1015" s="719" t="s">
        <v>2983</v>
      </c>
      <c r="AM1015" s="720" t="s">
        <v>2088</v>
      </c>
      <c r="AN1015" s="720" t="s">
        <v>2089</v>
      </c>
      <c r="AO1015" s="722">
        <v>0.019</v>
      </c>
      <c r="AP1015" s="722" t="s">
        <v>2090</v>
      </c>
    </row>
    <row r="1016">
      <c r="A1016" s="159"/>
      <c r="B1016" s="159"/>
      <c r="C1016" s="159"/>
      <c r="D1016" s="159"/>
      <c r="E1016" s="159"/>
      <c r="F1016" s="159"/>
      <c r="G1016" s="159"/>
      <c r="H1016" s="159"/>
      <c r="I1016" s="157"/>
      <c r="J1016" s="157"/>
      <c r="K1016" s="157"/>
      <c r="L1016" s="157"/>
      <c r="M1016" s="157"/>
      <c r="N1016" s="157"/>
      <c r="O1016" s="157"/>
      <c r="P1016" s="753"/>
      <c r="AK1016" s="40">
        <v>1013.0</v>
      </c>
      <c r="AL1016" s="738" t="s">
        <v>2984</v>
      </c>
      <c r="AM1016" s="738" t="s">
        <v>2241</v>
      </c>
      <c r="AN1016" s="738" t="s">
        <v>2242</v>
      </c>
      <c r="AO1016" s="739">
        <v>0.225</v>
      </c>
      <c r="AP1016" s="739" t="s">
        <v>2243</v>
      </c>
    </row>
    <row r="1017">
      <c r="A1017" s="159"/>
      <c r="B1017" s="159"/>
      <c r="C1017" s="159"/>
      <c r="D1017" s="159"/>
      <c r="E1017" s="159"/>
      <c r="F1017" s="159"/>
      <c r="G1017" s="159"/>
      <c r="H1017" s="159"/>
      <c r="I1017" s="157"/>
      <c r="J1017" s="157"/>
      <c r="K1017" s="157"/>
      <c r="L1017" s="157"/>
      <c r="M1017" s="157"/>
      <c r="N1017" s="157"/>
      <c r="O1017" s="157"/>
      <c r="P1017" s="753"/>
      <c r="AK1017" s="40">
        <v>1014.0</v>
      </c>
      <c r="AL1017" s="719" t="s">
        <v>2985</v>
      </c>
      <c r="AM1017" s="720" t="s">
        <v>2245</v>
      </c>
      <c r="AN1017" s="720" t="s">
        <v>2246</v>
      </c>
      <c r="AO1017" s="722">
        <v>0.408</v>
      </c>
      <c r="AP1017" s="722" t="s">
        <v>2247</v>
      </c>
    </row>
    <row r="1018">
      <c r="A1018" s="159"/>
      <c r="B1018" s="159"/>
      <c r="C1018" s="159"/>
      <c r="D1018" s="159"/>
      <c r="E1018" s="159"/>
      <c r="F1018" s="159"/>
      <c r="G1018" s="159"/>
      <c r="H1018" s="159"/>
      <c r="I1018" s="157"/>
      <c r="J1018" s="157"/>
      <c r="K1018" s="157"/>
      <c r="L1018" s="157"/>
      <c r="M1018" s="157"/>
      <c r="N1018" s="157"/>
      <c r="O1018" s="157"/>
      <c r="P1018" s="753"/>
      <c r="AK1018" s="40">
        <v>1015.0</v>
      </c>
      <c r="AL1018" s="738" t="s">
        <v>2986</v>
      </c>
      <c r="AM1018" s="738" t="s">
        <v>2156</v>
      </c>
      <c r="AN1018" s="745"/>
      <c r="AO1018" s="739">
        <v>0.0</v>
      </c>
      <c r="AP1018" s="739" t="s">
        <v>2157</v>
      </c>
    </row>
    <row r="1019">
      <c r="A1019" s="159"/>
      <c r="B1019" s="159"/>
      <c r="C1019" s="159"/>
      <c r="D1019" s="159"/>
      <c r="E1019" s="159"/>
      <c r="F1019" s="159"/>
      <c r="G1019" s="159"/>
      <c r="H1019" s="159"/>
      <c r="I1019" s="157"/>
      <c r="J1019" s="157"/>
      <c r="K1019" s="157"/>
      <c r="L1019" s="157"/>
      <c r="M1019" s="157"/>
      <c r="N1019" s="157"/>
      <c r="O1019" s="157"/>
      <c r="P1019" s="753"/>
      <c r="AK1019" s="40">
        <v>1016.0</v>
      </c>
      <c r="AL1019" s="719" t="s">
        <v>2987</v>
      </c>
      <c r="AM1019" s="720" t="s">
        <v>2156</v>
      </c>
      <c r="AN1019" s="721"/>
      <c r="AO1019" s="722">
        <v>0.0</v>
      </c>
      <c r="AP1019" s="722" t="s">
        <v>2157</v>
      </c>
    </row>
    <row r="1020">
      <c r="A1020" s="159"/>
      <c r="B1020" s="159"/>
      <c r="C1020" s="159"/>
      <c r="D1020" s="159"/>
      <c r="E1020" s="159"/>
      <c r="F1020" s="159"/>
      <c r="G1020" s="159"/>
      <c r="H1020" s="159"/>
      <c r="I1020" s="157"/>
      <c r="J1020" s="157"/>
      <c r="K1020" s="157"/>
      <c r="L1020" s="157"/>
      <c r="M1020" s="157"/>
      <c r="N1020" s="157"/>
      <c r="O1020" s="157"/>
      <c r="P1020" s="753"/>
      <c r="AK1020" s="40">
        <v>1017.0</v>
      </c>
      <c r="AL1020" s="738" t="s">
        <v>2988</v>
      </c>
      <c r="AM1020" s="738" t="s">
        <v>2989</v>
      </c>
      <c r="AN1020" s="738" t="s">
        <v>2990</v>
      </c>
      <c r="AO1020" s="739">
        <v>0.015</v>
      </c>
      <c r="AP1020" s="739" t="s">
        <v>2991</v>
      </c>
    </row>
    <row r="1021">
      <c r="A1021" s="159"/>
      <c r="B1021" s="159"/>
      <c r="C1021" s="159"/>
      <c r="D1021" s="159"/>
      <c r="E1021" s="159"/>
      <c r="F1021" s="159"/>
      <c r="G1021" s="159"/>
      <c r="H1021" s="159"/>
      <c r="I1021" s="157"/>
      <c r="J1021" s="157"/>
      <c r="K1021" s="157"/>
      <c r="L1021" s="157"/>
      <c r="M1021" s="157"/>
      <c r="N1021" s="157"/>
      <c r="O1021" s="157"/>
      <c r="P1021" s="753"/>
      <c r="AK1021" s="40">
        <v>1018.0</v>
      </c>
      <c r="AL1021" s="719" t="s">
        <v>2992</v>
      </c>
      <c r="AM1021" s="720" t="s">
        <v>2993</v>
      </c>
      <c r="AN1021" s="720" t="s">
        <v>2994</v>
      </c>
      <c r="AO1021" s="722">
        <v>0.036</v>
      </c>
      <c r="AP1021" s="722" t="s">
        <v>2995</v>
      </c>
    </row>
    <row r="1022">
      <c r="A1022" s="159"/>
      <c r="B1022" s="159"/>
      <c r="C1022" s="159"/>
      <c r="D1022" s="159"/>
      <c r="E1022" s="159"/>
      <c r="F1022" s="159"/>
      <c r="G1022" s="159"/>
      <c r="H1022" s="159"/>
      <c r="I1022" s="157"/>
      <c r="J1022" s="157"/>
      <c r="K1022" s="157"/>
      <c r="L1022" s="157"/>
      <c r="M1022" s="157"/>
      <c r="N1022" s="157"/>
      <c r="O1022" s="157"/>
      <c r="P1022" s="753"/>
      <c r="AK1022" s="40">
        <v>1019.0</v>
      </c>
      <c r="AL1022" s="738" t="s">
        <v>2996</v>
      </c>
      <c r="AM1022" s="738" t="s">
        <v>2997</v>
      </c>
      <c r="AN1022" s="738" t="s">
        <v>2998</v>
      </c>
      <c r="AO1022" s="739">
        <v>0.133</v>
      </c>
      <c r="AP1022" s="739" t="s">
        <v>2999</v>
      </c>
    </row>
    <row r="1023">
      <c r="A1023" s="159"/>
      <c r="B1023" s="159"/>
      <c r="C1023" s="159"/>
      <c r="D1023" s="159"/>
      <c r="E1023" s="159"/>
      <c r="F1023" s="159"/>
      <c r="G1023" s="159"/>
      <c r="H1023" s="159"/>
      <c r="I1023" s="157"/>
      <c r="J1023" s="157"/>
      <c r="K1023" s="157"/>
      <c r="L1023" s="157"/>
      <c r="M1023" s="157"/>
      <c r="N1023" s="157"/>
      <c r="O1023" s="157"/>
      <c r="P1023" s="753"/>
      <c r="AK1023" s="40">
        <v>1020.0</v>
      </c>
      <c r="AL1023" s="719" t="s">
        <v>3000</v>
      </c>
      <c r="AM1023" s="720" t="s">
        <v>2940</v>
      </c>
      <c r="AN1023" s="721"/>
      <c r="AO1023" s="722">
        <v>0.432</v>
      </c>
      <c r="AP1023" s="722" t="s">
        <v>2941</v>
      </c>
    </row>
    <row r="1024">
      <c r="A1024" s="159"/>
      <c r="B1024" s="159"/>
      <c r="C1024" s="159"/>
      <c r="D1024" s="159"/>
      <c r="E1024" s="159"/>
      <c r="F1024" s="159"/>
      <c r="G1024" s="159"/>
      <c r="H1024" s="159"/>
      <c r="I1024" s="157"/>
      <c r="J1024" s="157"/>
      <c r="K1024" s="157"/>
      <c r="L1024" s="157"/>
      <c r="M1024" s="157"/>
      <c r="N1024" s="157"/>
      <c r="O1024" s="157"/>
      <c r="P1024" s="753"/>
      <c r="AK1024" s="40">
        <v>1021.0</v>
      </c>
      <c r="AL1024" s="738" t="s">
        <v>3001</v>
      </c>
      <c r="AM1024" s="738" t="s">
        <v>2943</v>
      </c>
      <c r="AN1024" s="745"/>
      <c r="AO1024" s="739">
        <v>0.45</v>
      </c>
      <c r="AP1024" s="739" t="s">
        <v>2944</v>
      </c>
    </row>
    <row r="1025">
      <c r="A1025" s="159"/>
      <c r="B1025" s="159"/>
      <c r="C1025" s="159"/>
      <c r="D1025" s="159"/>
      <c r="E1025" s="159"/>
      <c r="F1025" s="159"/>
      <c r="G1025" s="159"/>
      <c r="H1025" s="159"/>
      <c r="I1025" s="157"/>
      <c r="J1025" s="157"/>
      <c r="K1025" s="157"/>
      <c r="L1025" s="157"/>
      <c r="M1025" s="157"/>
      <c r="N1025" s="157"/>
      <c r="O1025" s="157"/>
      <c r="P1025" s="753"/>
      <c r="AK1025" s="40">
        <v>1022.0</v>
      </c>
      <c r="AL1025" s="719" t="s">
        <v>3002</v>
      </c>
      <c r="AM1025" s="720" t="s">
        <v>2946</v>
      </c>
      <c r="AN1025" s="721"/>
      <c r="AO1025" s="722">
        <v>0.512</v>
      </c>
      <c r="AP1025" s="722" t="s">
        <v>2947</v>
      </c>
    </row>
    <row r="1026">
      <c r="A1026" s="159"/>
      <c r="B1026" s="159"/>
      <c r="C1026" s="159"/>
      <c r="D1026" s="159"/>
      <c r="E1026" s="159"/>
      <c r="F1026" s="159"/>
      <c r="G1026" s="159"/>
      <c r="H1026" s="159"/>
      <c r="I1026" s="157"/>
      <c r="J1026" s="157"/>
      <c r="K1026" s="157"/>
      <c r="L1026" s="157"/>
      <c r="M1026" s="157"/>
      <c r="N1026" s="157"/>
      <c r="O1026" s="157"/>
      <c r="P1026" s="753"/>
      <c r="AK1026" s="40">
        <v>1023.0</v>
      </c>
      <c r="AL1026" s="738" t="s">
        <v>3003</v>
      </c>
      <c r="AM1026" s="738" t="s">
        <v>2949</v>
      </c>
      <c r="AN1026" s="738" t="s">
        <v>1744</v>
      </c>
      <c r="AO1026" s="739">
        <v>0.437</v>
      </c>
      <c r="AP1026" s="739" t="s">
        <v>2950</v>
      </c>
    </row>
    <row r="1027">
      <c r="A1027" s="159"/>
      <c r="B1027" s="159"/>
      <c r="C1027" s="159"/>
      <c r="D1027" s="159"/>
      <c r="E1027" s="159"/>
      <c r="F1027" s="159"/>
      <c r="G1027" s="159"/>
      <c r="H1027" s="159"/>
      <c r="I1027" s="157"/>
      <c r="J1027" s="157"/>
      <c r="K1027" s="157"/>
      <c r="L1027" s="157"/>
      <c r="M1027" s="157"/>
      <c r="N1027" s="157"/>
      <c r="O1027" s="157"/>
      <c r="P1027" s="753"/>
      <c r="AK1027" s="40">
        <v>1024.0</v>
      </c>
      <c r="AL1027" s="719" t="s">
        <v>3004</v>
      </c>
      <c r="AM1027" s="720" t="s">
        <v>2088</v>
      </c>
      <c r="AN1027" s="720" t="s">
        <v>2089</v>
      </c>
      <c r="AO1027" s="722">
        <v>0.019</v>
      </c>
      <c r="AP1027" s="722" t="s">
        <v>2090</v>
      </c>
    </row>
    <row r="1028">
      <c r="A1028" s="159"/>
      <c r="B1028" s="159"/>
      <c r="C1028" s="159"/>
      <c r="D1028" s="159"/>
      <c r="E1028" s="159"/>
      <c r="F1028" s="159"/>
      <c r="G1028" s="159"/>
      <c r="H1028" s="159"/>
      <c r="I1028" s="157"/>
      <c r="J1028" s="157"/>
      <c r="K1028" s="157"/>
      <c r="L1028" s="157"/>
      <c r="M1028" s="157"/>
      <c r="N1028" s="157"/>
      <c r="O1028" s="157"/>
      <c r="P1028" s="753"/>
      <c r="AK1028" s="40">
        <v>1025.0</v>
      </c>
      <c r="AL1028" s="738" t="s">
        <v>3005</v>
      </c>
      <c r="AM1028" s="738" t="s">
        <v>2241</v>
      </c>
      <c r="AN1028" s="738" t="s">
        <v>2242</v>
      </c>
      <c r="AO1028" s="739">
        <v>0.225</v>
      </c>
      <c r="AP1028" s="739" t="s">
        <v>2243</v>
      </c>
    </row>
    <row r="1029">
      <c r="A1029" s="159"/>
      <c r="B1029" s="159"/>
      <c r="C1029" s="159"/>
      <c r="D1029" s="159"/>
      <c r="E1029" s="159"/>
      <c r="F1029" s="159"/>
      <c r="G1029" s="159"/>
      <c r="H1029" s="159"/>
      <c r="I1029" s="157"/>
      <c r="J1029" s="157"/>
      <c r="K1029" s="157"/>
      <c r="L1029" s="157"/>
      <c r="M1029" s="157"/>
      <c r="N1029" s="157"/>
      <c r="O1029" s="157"/>
      <c r="P1029" s="753"/>
      <c r="AK1029" s="40">
        <v>1026.0</v>
      </c>
      <c r="AL1029" s="719" t="s">
        <v>3006</v>
      </c>
      <c r="AM1029" s="720" t="s">
        <v>2245</v>
      </c>
      <c r="AN1029" s="720" t="s">
        <v>2246</v>
      </c>
      <c r="AO1029" s="722">
        <v>0.408</v>
      </c>
      <c r="AP1029" s="722" t="s">
        <v>2247</v>
      </c>
    </row>
    <row r="1030">
      <c r="A1030" s="159"/>
      <c r="B1030" s="159"/>
      <c r="C1030" s="159"/>
      <c r="D1030" s="159"/>
      <c r="E1030" s="159"/>
      <c r="F1030" s="159"/>
      <c r="G1030" s="159"/>
      <c r="H1030" s="159"/>
      <c r="I1030" s="157"/>
      <c r="J1030" s="157"/>
      <c r="K1030" s="157"/>
      <c r="L1030" s="157"/>
      <c r="M1030" s="157"/>
      <c r="N1030" s="157"/>
      <c r="O1030" s="157"/>
      <c r="P1030" s="753"/>
      <c r="AK1030" s="40">
        <v>1027.0</v>
      </c>
      <c r="AL1030" s="738" t="s">
        <v>3007</v>
      </c>
      <c r="AM1030" s="738" t="s">
        <v>2156</v>
      </c>
      <c r="AN1030" s="745"/>
      <c r="AO1030" s="739">
        <v>0.0</v>
      </c>
      <c r="AP1030" s="739" t="s">
        <v>2157</v>
      </c>
    </row>
    <row r="1031">
      <c r="A1031" s="159"/>
      <c r="B1031" s="159"/>
      <c r="C1031" s="159"/>
      <c r="D1031" s="159"/>
      <c r="E1031" s="159"/>
      <c r="F1031" s="159"/>
      <c r="G1031" s="159"/>
      <c r="H1031" s="159"/>
      <c r="I1031" s="157"/>
      <c r="J1031" s="157"/>
      <c r="K1031" s="157"/>
      <c r="L1031" s="157"/>
      <c r="M1031" s="157"/>
      <c r="N1031" s="157"/>
      <c r="O1031" s="157"/>
      <c r="P1031" s="753"/>
      <c r="AK1031" s="40">
        <v>1028.0</v>
      </c>
      <c r="AL1031" s="719" t="s">
        <v>3008</v>
      </c>
      <c r="AM1031" s="720" t="s">
        <v>1727</v>
      </c>
      <c r="AN1031" s="721"/>
      <c r="AO1031" s="722" t="s">
        <v>1728</v>
      </c>
      <c r="AP1031" s="723"/>
    </row>
    <row r="1032">
      <c r="A1032" s="159"/>
      <c r="B1032" s="159"/>
      <c r="C1032" s="159"/>
      <c r="D1032" s="159"/>
      <c r="E1032" s="159"/>
      <c r="F1032" s="159"/>
      <c r="G1032" s="159"/>
      <c r="H1032" s="159"/>
      <c r="I1032" s="157"/>
      <c r="J1032" s="157"/>
      <c r="K1032" s="157"/>
      <c r="L1032" s="157"/>
      <c r="M1032" s="157"/>
      <c r="N1032" s="157"/>
      <c r="O1032" s="157"/>
      <c r="P1032" s="753"/>
      <c r="AK1032" s="40">
        <v>1029.0</v>
      </c>
      <c r="AL1032" s="738" t="s">
        <v>3009</v>
      </c>
      <c r="AM1032" s="738" t="s">
        <v>3010</v>
      </c>
      <c r="AN1032" s="738" t="s">
        <v>3011</v>
      </c>
      <c r="AO1032" s="739">
        <v>0.178</v>
      </c>
      <c r="AP1032" s="739" t="s">
        <v>3012</v>
      </c>
    </row>
    <row r="1033">
      <c r="A1033" s="159"/>
      <c r="B1033" s="159"/>
      <c r="C1033" s="159"/>
      <c r="D1033" s="159"/>
      <c r="E1033" s="159"/>
      <c r="F1033" s="159"/>
      <c r="G1033" s="159"/>
      <c r="H1033" s="159"/>
      <c r="I1033" s="157"/>
      <c r="J1033" s="157"/>
      <c r="K1033" s="157"/>
      <c r="L1033" s="157"/>
      <c r="M1033" s="157"/>
      <c r="N1033" s="157"/>
      <c r="O1033" s="157"/>
      <c r="P1033" s="753"/>
      <c r="AK1033" s="40">
        <v>1030.0</v>
      </c>
      <c r="AL1033" s="719" t="s">
        <v>3013</v>
      </c>
      <c r="AM1033" s="720" t="s">
        <v>3014</v>
      </c>
      <c r="AN1033" s="720" t="s">
        <v>1744</v>
      </c>
      <c r="AO1033" s="722">
        <v>0.181</v>
      </c>
      <c r="AP1033" s="722" t="s">
        <v>3015</v>
      </c>
    </row>
    <row r="1034">
      <c r="A1034" s="159"/>
      <c r="B1034" s="159"/>
      <c r="C1034" s="159"/>
      <c r="D1034" s="159"/>
      <c r="E1034" s="159"/>
      <c r="F1034" s="159"/>
      <c r="G1034" s="159"/>
      <c r="H1034" s="159"/>
      <c r="I1034" s="157"/>
      <c r="J1034" s="157"/>
      <c r="K1034" s="157"/>
      <c r="L1034" s="157"/>
      <c r="M1034" s="157"/>
      <c r="N1034" s="157"/>
      <c r="O1034" s="157"/>
      <c r="P1034" s="753"/>
      <c r="AK1034" s="40">
        <v>1031.0</v>
      </c>
      <c r="AL1034" s="738" t="s">
        <v>3016</v>
      </c>
      <c r="AM1034" s="738" t="s">
        <v>3017</v>
      </c>
      <c r="AN1034" s="738" t="s">
        <v>1744</v>
      </c>
      <c r="AO1034" s="739">
        <v>0.22</v>
      </c>
      <c r="AP1034" s="739" t="s">
        <v>3018</v>
      </c>
    </row>
    <row r="1035">
      <c r="A1035" s="159"/>
      <c r="B1035" s="159"/>
      <c r="C1035" s="159"/>
      <c r="D1035" s="159"/>
      <c r="E1035" s="159"/>
      <c r="F1035" s="159"/>
      <c r="G1035" s="159"/>
      <c r="H1035" s="159"/>
      <c r="I1035" s="157"/>
      <c r="J1035" s="157"/>
      <c r="K1035" s="157"/>
      <c r="L1035" s="157"/>
      <c r="M1035" s="157"/>
      <c r="N1035" s="157"/>
      <c r="O1035" s="157"/>
      <c r="P1035" s="753"/>
      <c r="AK1035" s="40">
        <v>1032.0</v>
      </c>
      <c r="AL1035" s="719" t="s">
        <v>3019</v>
      </c>
      <c r="AM1035" s="720" t="s">
        <v>3020</v>
      </c>
      <c r="AN1035" s="720" t="s">
        <v>1744</v>
      </c>
      <c r="AO1035" s="722">
        <v>0.3</v>
      </c>
      <c r="AP1035" s="722" t="s">
        <v>3021</v>
      </c>
    </row>
    <row r="1036">
      <c r="A1036" s="159"/>
      <c r="B1036" s="159"/>
      <c r="C1036" s="159"/>
      <c r="D1036" s="159"/>
      <c r="E1036" s="159"/>
      <c r="F1036" s="159"/>
      <c r="G1036" s="159"/>
      <c r="H1036" s="159"/>
      <c r="I1036" s="157"/>
      <c r="J1036" s="157"/>
      <c r="K1036" s="157"/>
      <c r="L1036" s="157"/>
      <c r="M1036" s="157"/>
      <c r="N1036" s="157"/>
      <c r="O1036" s="157"/>
      <c r="P1036" s="753"/>
      <c r="AK1036" s="40">
        <v>1033.0</v>
      </c>
      <c r="AL1036" s="738" t="s">
        <v>3022</v>
      </c>
      <c r="AM1036" s="738" t="s">
        <v>2156</v>
      </c>
      <c r="AN1036" s="745"/>
      <c r="AO1036" s="739">
        <v>0.0</v>
      </c>
      <c r="AP1036" s="739" t="s">
        <v>2157</v>
      </c>
    </row>
    <row r="1037">
      <c r="A1037" s="159"/>
      <c r="B1037" s="159"/>
      <c r="C1037" s="159"/>
      <c r="D1037" s="159"/>
      <c r="E1037" s="159"/>
      <c r="F1037" s="159"/>
      <c r="G1037" s="159"/>
      <c r="H1037" s="159"/>
      <c r="I1037" s="157"/>
      <c r="J1037" s="157"/>
      <c r="K1037" s="157"/>
      <c r="L1037" s="157"/>
      <c r="M1037" s="157"/>
      <c r="N1037" s="157"/>
      <c r="O1037" s="157"/>
      <c r="P1037" s="753"/>
      <c r="AK1037" s="40">
        <v>1034.0</v>
      </c>
      <c r="AL1037" s="719" t="s">
        <v>3023</v>
      </c>
      <c r="AM1037" s="720" t="s">
        <v>2156</v>
      </c>
      <c r="AN1037" s="721"/>
      <c r="AO1037" s="722">
        <v>0.0</v>
      </c>
      <c r="AP1037" s="722" t="s">
        <v>2157</v>
      </c>
    </row>
    <row r="1038">
      <c r="A1038" s="159"/>
      <c r="B1038" s="159"/>
      <c r="C1038" s="159"/>
      <c r="D1038" s="159"/>
      <c r="E1038" s="159"/>
      <c r="F1038" s="159"/>
      <c r="G1038" s="159"/>
      <c r="H1038" s="159"/>
      <c r="I1038" s="157"/>
      <c r="J1038" s="157"/>
      <c r="K1038" s="157"/>
      <c r="L1038" s="157"/>
      <c r="M1038" s="157"/>
      <c r="N1038" s="157"/>
      <c r="O1038" s="157"/>
      <c r="P1038" s="753"/>
      <c r="AK1038" s="40">
        <v>1035.0</v>
      </c>
      <c r="AL1038" s="738" t="s">
        <v>3024</v>
      </c>
      <c r="AM1038" s="738" t="s">
        <v>3010</v>
      </c>
      <c r="AN1038" s="738" t="s">
        <v>3011</v>
      </c>
      <c r="AO1038" s="739">
        <v>0.178</v>
      </c>
      <c r="AP1038" s="739" t="s">
        <v>3012</v>
      </c>
    </row>
    <row r="1039">
      <c r="A1039" s="159"/>
      <c r="B1039" s="159"/>
      <c r="C1039" s="159"/>
      <c r="D1039" s="159"/>
      <c r="E1039" s="159"/>
      <c r="F1039" s="159"/>
      <c r="G1039" s="159"/>
      <c r="H1039" s="159"/>
      <c r="I1039" s="157"/>
      <c r="J1039" s="157"/>
      <c r="K1039" s="157"/>
      <c r="L1039" s="157"/>
      <c r="M1039" s="157"/>
      <c r="N1039" s="157"/>
      <c r="O1039" s="157"/>
      <c r="P1039" s="753"/>
      <c r="AK1039" s="40">
        <v>1036.0</v>
      </c>
      <c r="AL1039" s="719" t="s">
        <v>3025</v>
      </c>
      <c r="AM1039" s="720" t="s">
        <v>3014</v>
      </c>
      <c r="AN1039" s="720" t="s">
        <v>1744</v>
      </c>
      <c r="AO1039" s="722">
        <v>0.181</v>
      </c>
      <c r="AP1039" s="722" t="s">
        <v>3015</v>
      </c>
    </row>
    <row r="1040">
      <c r="A1040" s="159"/>
      <c r="B1040" s="159"/>
      <c r="C1040" s="159"/>
      <c r="D1040" s="159"/>
      <c r="E1040" s="159"/>
      <c r="F1040" s="159"/>
      <c r="G1040" s="159"/>
      <c r="H1040" s="159"/>
      <c r="I1040" s="157"/>
      <c r="J1040" s="157"/>
      <c r="K1040" s="157"/>
      <c r="L1040" s="157"/>
      <c r="M1040" s="157"/>
      <c r="N1040" s="157"/>
      <c r="O1040" s="157"/>
      <c r="P1040" s="753"/>
      <c r="AK1040" s="40">
        <v>1037.0</v>
      </c>
      <c r="AL1040" s="738" t="s">
        <v>3026</v>
      </c>
      <c r="AM1040" s="738" t="s">
        <v>3017</v>
      </c>
      <c r="AN1040" s="738" t="s">
        <v>1744</v>
      </c>
      <c r="AO1040" s="739">
        <v>0.22</v>
      </c>
      <c r="AP1040" s="739" t="s">
        <v>3018</v>
      </c>
    </row>
    <row r="1041">
      <c r="A1041" s="159"/>
      <c r="B1041" s="159"/>
      <c r="C1041" s="159"/>
      <c r="D1041" s="159"/>
      <c r="E1041" s="159"/>
      <c r="F1041" s="159"/>
      <c r="G1041" s="159"/>
      <c r="H1041" s="159"/>
      <c r="I1041" s="157"/>
      <c r="J1041" s="157"/>
      <c r="K1041" s="157"/>
      <c r="L1041" s="157"/>
      <c r="M1041" s="157"/>
      <c r="N1041" s="157"/>
      <c r="O1041" s="157"/>
      <c r="P1041" s="753"/>
      <c r="AK1041" s="40">
        <v>1038.0</v>
      </c>
      <c r="AL1041" s="719" t="s">
        <v>3027</v>
      </c>
      <c r="AM1041" s="720" t="s">
        <v>3020</v>
      </c>
      <c r="AN1041" s="720" t="s">
        <v>1744</v>
      </c>
      <c r="AO1041" s="722">
        <v>0.3</v>
      </c>
      <c r="AP1041" s="722" t="s">
        <v>3021</v>
      </c>
    </row>
    <row r="1042">
      <c r="A1042" s="159"/>
      <c r="B1042" s="159"/>
      <c r="C1042" s="159"/>
      <c r="D1042" s="159"/>
      <c r="E1042" s="159"/>
      <c r="F1042" s="159"/>
      <c r="G1042" s="159"/>
      <c r="H1042" s="159"/>
      <c r="I1042" s="157"/>
      <c r="J1042" s="157"/>
      <c r="K1042" s="157"/>
      <c r="L1042" s="157"/>
      <c r="M1042" s="157"/>
      <c r="N1042" s="157"/>
      <c r="O1042" s="157"/>
      <c r="P1042" s="753"/>
      <c r="AK1042" s="40">
        <v>1039.0</v>
      </c>
      <c r="AL1042" s="738" t="s">
        <v>3028</v>
      </c>
      <c r="AM1042" s="738" t="s">
        <v>2156</v>
      </c>
      <c r="AN1042" s="745"/>
      <c r="AO1042" s="739">
        <v>0.0</v>
      </c>
      <c r="AP1042" s="739" t="s">
        <v>2157</v>
      </c>
    </row>
    <row r="1043">
      <c r="A1043" s="159"/>
      <c r="B1043" s="159"/>
      <c r="C1043" s="159"/>
      <c r="D1043" s="159"/>
      <c r="E1043" s="159"/>
      <c r="F1043" s="159"/>
      <c r="G1043" s="159"/>
      <c r="H1043" s="159"/>
      <c r="I1043" s="157"/>
      <c r="J1043" s="157"/>
      <c r="K1043" s="157"/>
      <c r="L1043" s="157"/>
      <c r="M1043" s="157"/>
      <c r="N1043" s="157"/>
      <c r="O1043" s="157"/>
      <c r="P1043" s="753"/>
      <c r="AK1043" s="40">
        <v>1040.0</v>
      </c>
      <c r="AL1043" s="719" t="s">
        <v>3029</v>
      </c>
      <c r="AM1043" s="720" t="s">
        <v>2156</v>
      </c>
      <c r="AN1043" s="721"/>
      <c r="AO1043" s="722">
        <v>0.0</v>
      </c>
      <c r="AP1043" s="722" t="s">
        <v>2157</v>
      </c>
    </row>
    <row r="1044">
      <c r="A1044" s="159"/>
      <c r="B1044" s="159"/>
      <c r="C1044" s="159"/>
      <c r="D1044" s="159"/>
      <c r="E1044" s="159"/>
      <c r="F1044" s="159"/>
      <c r="G1044" s="159"/>
      <c r="H1044" s="159"/>
      <c r="I1044" s="157"/>
      <c r="J1044" s="157"/>
      <c r="K1044" s="157"/>
      <c r="L1044" s="157"/>
      <c r="M1044" s="157"/>
      <c r="N1044" s="157"/>
      <c r="O1044" s="157"/>
      <c r="P1044" s="753"/>
      <c r="AK1044" s="40">
        <v>1041.0</v>
      </c>
      <c r="AL1044" s="738" t="s">
        <v>3030</v>
      </c>
      <c r="AM1044" s="738" t="s">
        <v>3010</v>
      </c>
      <c r="AN1044" s="738" t="s">
        <v>3011</v>
      </c>
      <c r="AO1044" s="739">
        <v>0.178</v>
      </c>
      <c r="AP1044" s="739" t="s">
        <v>3012</v>
      </c>
    </row>
    <row r="1045">
      <c r="A1045" s="159"/>
      <c r="B1045" s="159"/>
      <c r="C1045" s="159"/>
      <c r="D1045" s="159"/>
      <c r="E1045" s="159"/>
      <c r="F1045" s="159"/>
      <c r="G1045" s="159"/>
      <c r="H1045" s="159"/>
      <c r="I1045" s="157"/>
      <c r="J1045" s="157"/>
      <c r="K1045" s="157"/>
      <c r="L1045" s="157"/>
      <c r="M1045" s="157"/>
      <c r="N1045" s="157"/>
      <c r="O1045" s="157"/>
      <c r="P1045" s="753"/>
      <c r="AK1045" s="40">
        <v>1042.0</v>
      </c>
      <c r="AL1045" s="719" t="s">
        <v>3031</v>
      </c>
      <c r="AM1045" s="720" t="s">
        <v>3014</v>
      </c>
      <c r="AN1045" s="720" t="s">
        <v>1744</v>
      </c>
      <c r="AO1045" s="722">
        <v>0.181</v>
      </c>
      <c r="AP1045" s="722" t="s">
        <v>3015</v>
      </c>
    </row>
    <row r="1046">
      <c r="A1046" s="159"/>
      <c r="B1046" s="159"/>
      <c r="C1046" s="159"/>
      <c r="D1046" s="159"/>
      <c r="E1046" s="159"/>
      <c r="F1046" s="159"/>
      <c r="G1046" s="159"/>
      <c r="H1046" s="159"/>
      <c r="I1046" s="157"/>
      <c r="J1046" s="157"/>
      <c r="K1046" s="157"/>
      <c r="L1046" s="157"/>
      <c r="M1046" s="157"/>
      <c r="N1046" s="157"/>
      <c r="O1046" s="157"/>
      <c r="P1046" s="753"/>
      <c r="AK1046" s="40">
        <v>1043.0</v>
      </c>
      <c r="AL1046" s="738" t="s">
        <v>3032</v>
      </c>
      <c r="AM1046" s="738" t="s">
        <v>3017</v>
      </c>
      <c r="AN1046" s="738" t="s">
        <v>1744</v>
      </c>
      <c r="AO1046" s="739">
        <v>0.22</v>
      </c>
      <c r="AP1046" s="739" t="s">
        <v>3018</v>
      </c>
    </row>
    <row r="1047">
      <c r="A1047" s="159"/>
      <c r="B1047" s="159"/>
      <c r="C1047" s="159"/>
      <c r="D1047" s="159"/>
      <c r="E1047" s="159"/>
      <c r="F1047" s="159"/>
      <c r="G1047" s="159"/>
      <c r="H1047" s="159"/>
      <c r="I1047" s="157"/>
      <c r="J1047" s="157"/>
      <c r="K1047" s="157"/>
      <c r="L1047" s="157"/>
      <c r="M1047" s="157"/>
      <c r="N1047" s="157"/>
      <c r="O1047" s="157"/>
      <c r="P1047" s="753"/>
      <c r="AK1047" s="40">
        <v>1044.0</v>
      </c>
      <c r="AL1047" s="719" t="s">
        <v>3033</v>
      </c>
      <c r="AM1047" s="720" t="s">
        <v>3020</v>
      </c>
      <c r="AN1047" s="720" t="s">
        <v>1744</v>
      </c>
      <c r="AO1047" s="722">
        <v>0.3</v>
      </c>
      <c r="AP1047" s="722" t="s">
        <v>3021</v>
      </c>
    </row>
    <row r="1048">
      <c r="A1048" s="159"/>
      <c r="B1048" s="159"/>
      <c r="C1048" s="159"/>
      <c r="D1048" s="159"/>
      <c r="E1048" s="159"/>
      <c r="F1048" s="159"/>
      <c r="G1048" s="159"/>
      <c r="H1048" s="159"/>
      <c r="I1048" s="157"/>
      <c r="J1048" s="157"/>
      <c r="K1048" s="157"/>
      <c r="L1048" s="157"/>
      <c r="M1048" s="157"/>
      <c r="N1048" s="157"/>
      <c r="O1048" s="157"/>
      <c r="P1048" s="753"/>
      <c r="AK1048" s="40">
        <v>1045.0</v>
      </c>
      <c r="AL1048" s="738" t="s">
        <v>3034</v>
      </c>
      <c r="AM1048" s="738" t="s">
        <v>2156</v>
      </c>
      <c r="AN1048" s="745"/>
      <c r="AO1048" s="739">
        <v>0.0</v>
      </c>
      <c r="AP1048" s="739" t="s">
        <v>2157</v>
      </c>
    </row>
    <row r="1049">
      <c r="A1049" s="159"/>
      <c r="B1049" s="159"/>
      <c r="C1049" s="159"/>
      <c r="D1049" s="159"/>
      <c r="E1049" s="159"/>
      <c r="F1049" s="159"/>
      <c r="G1049" s="159"/>
      <c r="H1049" s="159"/>
      <c r="I1049" s="157"/>
      <c r="J1049" s="157"/>
      <c r="K1049" s="157"/>
      <c r="L1049" s="157"/>
      <c r="M1049" s="157"/>
      <c r="N1049" s="157"/>
      <c r="O1049" s="157"/>
      <c r="P1049" s="753"/>
      <c r="AK1049" s="40">
        <v>1046.0</v>
      </c>
      <c r="AL1049" s="719" t="s">
        <v>3035</v>
      </c>
      <c r="AM1049" s="720" t="s">
        <v>2156</v>
      </c>
      <c r="AN1049" s="721"/>
      <c r="AO1049" s="722">
        <v>0.0</v>
      </c>
      <c r="AP1049" s="722" t="s">
        <v>2157</v>
      </c>
    </row>
    <row r="1050">
      <c r="A1050" s="159"/>
      <c r="B1050" s="159"/>
      <c r="C1050" s="159"/>
      <c r="D1050" s="159"/>
      <c r="E1050" s="159"/>
      <c r="F1050" s="159"/>
      <c r="G1050" s="159"/>
      <c r="H1050" s="159"/>
      <c r="I1050" s="157"/>
      <c r="J1050" s="157"/>
      <c r="K1050" s="157"/>
      <c r="L1050" s="157"/>
      <c r="M1050" s="157"/>
      <c r="N1050" s="157"/>
      <c r="O1050" s="157"/>
      <c r="P1050" s="753"/>
      <c r="AK1050" s="40">
        <v>1047.0</v>
      </c>
      <c r="AL1050" s="738" t="s">
        <v>3036</v>
      </c>
      <c r="AM1050" s="738" t="s">
        <v>3010</v>
      </c>
      <c r="AN1050" s="738" t="s">
        <v>3011</v>
      </c>
      <c r="AO1050" s="739">
        <v>0.178</v>
      </c>
      <c r="AP1050" s="739" t="s">
        <v>3012</v>
      </c>
    </row>
    <row r="1051">
      <c r="A1051" s="159"/>
      <c r="B1051" s="159"/>
      <c r="C1051" s="159"/>
      <c r="D1051" s="159"/>
      <c r="E1051" s="159"/>
      <c r="F1051" s="159"/>
      <c r="G1051" s="159"/>
      <c r="H1051" s="159"/>
      <c r="I1051" s="157"/>
      <c r="J1051" s="157"/>
      <c r="K1051" s="157"/>
      <c r="L1051" s="157"/>
      <c r="M1051" s="157"/>
      <c r="N1051" s="157"/>
      <c r="O1051" s="157"/>
      <c r="P1051" s="753"/>
      <c r="AK1051" s="40">
        <v>1048.0</v>
      </c>
      <c r="AL1051" s="719" t="s">
        <v>3037</v>
      </c>
      <c r="AM1051" s="720" t="s">
        <v>3014</v>
      </c>
      <c r="AN1051" s="720" t="s">
        <v>1744</v>
      </c>
      <c r="AO1051" s="722">
        <v>0.181</v>
      </c>
      <c r="AP1051" s="722" t="s">
        <v>3015</v>
      </c>
    </row>
    <row r="1052">
      <c r="A1052" s="159"/>
      <c r="B1052" s="159"/>
      <c r="C1052" s="159"/>
      <c r="D1052" s="159"/>
      <c r="E1052" s="159"/>
      <c r="F1052" s="159"/>
      <c r="G1052" s="159"/>
      <c r="H1052" s="159"/>
      <c r="I1052" s="157"/>
      <c r="J1052" s="157"/>
      <c r="K1052" s="157"/>
      <c r="L1052" s="157"/>
      <c r="M1052" s="157"/>
      <c r="N1052" s="157"/>
      <c r="O1052" s="157"/>
      <c r="P1052" s="753"/>
      <c r="AK1052" s="40">
        <v>1049.0</v>
      </c>
      <c r="AL1052" s="738" t="s">
        <v>3038</v>
      </c>
      <c r="AM1052" s="738" t="s">
        <v>3017</v>
      </c>
      <c r="AN1052" s="738" t="s">
        <v>1744</v>
      </c>
      <c r="AO1052" s="739">
        <v>0.22</v>
      </c>
      <c r="AP1052" s="739" t="s">
        <v>3018</v>
      </c>
    </row>
    <row r="1053">
      <c r="A1053" s="159"/>
      <c r="B1053" s="159"/>
      <c r="C1053" s="159"/>
      <c r="D1053" s="159"/>
      <c r="E1053" s="159"/>
      <c r="F1053" s="159"/>
      <c r="G1053" s="159"/>
      <c r="H1053" s="159"/>
      <c r="I1053" s="157"/>
      <c r="J1053" s="157"/>
      <c r="K1053" s="157"/>
      <c r="L1053" s="157"/>
      <c r="M1053" s="157"/>
      <c r="N1053" s="157"/>
      <c r="O1053" s="157"/>
      <c r="P1053" s="753"/>
      <c r="AK1053" s="40">
        <v>1050.0</v>
      </c>
      <c r="AL1053" s="719" t="s">
        <v>3039</v>
      </c>
      <c r="AM1053" s="720" t="s">
        <v>3020</v>
      </c>
      <c r="AN1053" s="720" t="s">
        <v>1744</v>
      </c>
      <c r="AO1053" s="722">
        <v>0.3</v>
      </c>
      <c r="AP1053" s="722" t="s">
        <v>3021</v>
      </c>
    </row>
    <row r="1054">
      <c r="A1054" s="159"/>
      <c r="B1054" s="159"/>
      <c r="C1054" s="159"/>
      <c r="D1054" s="159"/>
      <c r="E1054" s="159"/>
      <c r="F1054" s="159"/>
      <c r="G1054" s="159"/>
      <c r="H1054" s="159"/>
      <c r="I1054" s="157"/>
      <c r="J1054" s="157"/>
      <c r="K1054" s="157"/>
      <c r="L1054" s="157"/>
      <c r="M1054" s="157"/>
      <c r="N1054" s="157"/>
      <c r="O1054" s="157"/>
      <c r="P1054" s="753"/>
      <c r="AK1054" s="40">
        <v>1051.0</v>
      </c>
      <c r="AL1054" s="738" t="s">
        <v>3040</v>
      </c>
      <c r="AM1054" s="738" t="s">
        <v>2156</v>
      </c>
      <c r="AN1054" s="745"/>
      <c r="AO1054" s="739">
        <v>0.0</v>
      </c>
      <c r="AP1054" s="739" t="s">
        <v>2157</v>
      </c>
    </row>
    <row r="1055">
      <c r="A1055" s="159"/>
      <c r="B1055" s="159"/>
      <c r="C1055" s="159"/>
      <c r="D1055" s="159"/>
      <c r="E1055" s="159"/>
      <c r="F1055" s="159"/>
      <c r="G1055" s="159"/>
      <c r="H1055" s="159"/>
      <c r="I1055" s="157"/>
      <c r="J1055" s="157"/>
      <c r="K1055" s="157"/>
      <c r="L1055" s="157"/>
      <c r="M1055" s="157"/>
      <c r="N1055" s="157"/>
      <c r="O1055" s="157"/>
      <c r="P1055" s="753"/>
      <c r="AK1055" s="40">
        <v>1052.0</v>
      </c>
      <c r="AL1055" s="719" t="s">
        <v>3041</v>
      </c>
      <c r="AM1055" s="720" t="s">
        <v>3010</v>
      </c>
      <c r="AN1055" s="720" t="s">
        <v>3011</v>
      </c>
      <c r="AO1055" s="722">
        <v>0.178</v>
      </c>
      <c r="AP1055" s="722" t="s">
        <v>3012</v>
      </c>
    </row>
    <row r="1056">
      <c r="A1056" s="159"/>
      <c r="B1056" s="159"/>
      <c r="C1056" s="159"/>
      <c r="D1056" s="159"/>
      <c r="E1056" s="159"/>
      <c r="F1056" s="159"/>
      <c r="G1056" s="159"/>
      <c r="H1056" s="159"/>
      <c r="I1056" s="157"/>
      <c r="J1056" s="157"/>
      <c r="K1056" s="157"/>
      <c r="L1056" s="157"/>
      <c r="M1056" s="157"/>
      <c r="N1056" s="157"/>
      <c r="O1056" s="157"/>
      <c r="P1056" s="753"/>
      <c r="AK1056" s="40">
        <v>1053.0</v>
      </c>
      <c r="AL1056" s="738" t="s">
        <v>3042</v>
      </c>
      <c r="AM1056" s="738" t="s">
        <v>3014</v>
      </c>
      <c r="AN1056" s="738" t="s">
        <v>1744</v>
      </c>
      <c r="AO1056" s="739">
        <v>0.181</v>
      </c>
      <c r="AP1056" s="739" t="s">
        <v>3015</v>
      </c>
    </row>
    <row r="1057">
      <c r="A1057" s="159"/>
      <c r="B1057" s="159"/>
      <c r="C1057" s="159"/>
      <c r="D1057" s="159"/>
      <c r="E1057" s="159"/>
      <c r="F1057" s="159"/>
      <c r="G1057" s="159"/>
      <c r="H1057" s="159"/>
      <c r="I1057" s="157"/>
      <c r="J1057" s="157"/>
      <c r="K1057" s="157"/>
      <c r="L1057" s="157"/>
      <c r="M1057" s="157"/>
      <c r="N1057" s="157"/>
      <c r="O1057" s="157"/>
      <c r="P1057" s="753"/>
      <c r="AK1057" s="40">
        <v>1054.0</v>
      </c>
      <c r="AL1057" s="719" t="s">
        <v>3043</v>
      </c>
      <c r="AM1057" s="720" t="s">
        <v>3017</v>
      </c>
      <c r="AN1057" s="720" t="s">
        <v>1744</v>
      </c>
      <c r="AO1057" s="722">
        <v>0.22</v>
      </c>
      <c r="AP1057" s="722" t="s">
        <v>3018</v>
      </c>
    </row>
    <row r="1058">
      <c r="A1058" s="159"/>
      <c r="B1058" s="159"/>
      <c r="C1058" s="159"/>
      <c r="D1058" s="159"/>
      <c r="E1058" s="159"/>
      <c r="F1058" s="159"/>
      <c r="G1058" s="159"/>
      <c r="H1058" s="159"/>
      <c r="I1058" s="157"/>
      <c r="J1058" s="157"/>
      <c r="K1058" s="157"/>
      <c r="L1058" s="157"/>
      <c r="M1058" s="157"/>
      <c r="N1058" s="157"/>
      <c r="O1058" s="157"/>
      <c r="P1058" s="753"/>
      <c r="AK1058" s="40">
        <v>1055.0</v>
      </c>
      <c r="AL1058" s="738" t="s">
        <v>3044</v>
      </c>
      <c r="AM1058" s="738" t="s">
        <v>3020</v>
      </c>
      <c r="AN1058" s="738" t="s">
        <v>1744</v>
      </c>
      <c r="AO1058" s="739">
        <v>0.3</v>
      </c>
      <c r="AP1058" s="739" t="s">
        <v>3021</v>
      </c>
    </row>
    <row r="1059">
      <c r="A1059" s="159"/>
      <c r="B1059" s="159"/>
      <c r="C1059" s="159"/>
      <c r="D1059" s="159"/>
      <c r="E1059" s="159"/>
      <c r="F1059" s="159"/>
      <c r="G1059" s="159"/>
      <c r="H1059" s="159"/>
      <c r="I1059" s="157"/>
      <c r="J1059" s="157"/>
      <c r="K1059" s="157"/>
      <c r="L1059" s="157"/>
      <c r="M1059" s="157"/>
      <c r="N1059" s="157"/>
      <c r="O1059" s="157"/>
      <c r="P1059" s="753"/>
      <c r="AK1059" s="40">
        <v>1056.0</v>
      </c>
      <c r="AL1059" s="719" t="s">
        <v>3045</v>
      </c>
      <c r="AM1059" s="720" t="s">
        <v>2156</v>
      </c>
      <c r="AN1059" s="721"/>
      <c r="AO1059" s="722">
        <v>0.0</v>
      </c>
      <c r="AP1059" s="722" t="s">
        <v>2157</v>
      </c>
    </row>
    <row r="1060">
      <c r="A1060" s="159"/>
      <c r="B1060" s="159"/>
      <c r="C1060" s="159"/>
      <c r="D1060" s="159"/>
      <c r="E1060" s="159"/>
      <c r="F1060" s="159"/>
      <c r="G1060" s="159"/>
      <c r="H1060" s="159"/>
      <c r="I1060" s="157"/>
      <c r="J1060" s="157"/>
      <c r="K1060" s="157"/>
      <c r="L1060" s="157"/>
      <c r="M1060" s="157"/>
      <c r="N1060" s="157"/>
      <c r="O1060" s="157"/>
      <c r="P1060" s="753"/>
      <c r="AK1060" s="40">
        <v>1057.0</v>
      </c>
      <c r="AL1060" s="738" t="s">
        <v>3046</v>
      </c>
      <c r="AM1060" s="738" t="s">
        <v>1860</v>
      </c>
      <c r="AN1060" s="738" t="s">
        <v>1861</v>
      </c>
      <c r="AO1060" s="739">
        <v>0.324</v>
      </c>
      <c r="AP1060" s="739" t="s">
        <v>1862</v>
      </c>
    </row>
    <row r="1061">
      <c r="A1061" s="159"/>
      <c r="B1061" s="159"/>
      <c r="C1061" s="159"/>
      <c r="D1061" s="159"/>
      <c r="E1061" s="159"/>
      <c r="F1061" s="159"/>
      <c r="G1061" s="159"/>
      <c r="H1061" s="159"/>
      <c r="I1061" s="157"/>
      <c r="J1061" s="157"/>
      <c r="K1061" s="157"/>
      <c r="L1061" s="157"/>
      <c r="M1061" s="157"/>
      <c r="N1061" s="157"/>
      <c r="O1061" s="157"/>
      <c r="P1061" s="753"/>
      <c r="AK1061" s="40">
        <v>1058.0</v>
      </c>
      <c r="AL1061" s="719" t="s">
        <v>3047</v>
      </c>
      <c r="AM1061" s="720" t="s">
        <v>3048</v>
      </c>
      <c r="AN1061" s="720" t="s">
        <v>1744</v>
      </c>
      <c r="AO1061" s="722">
        <v>0.327</v>
      </c>
      <c r="AP1061" s="722" t="s">
        <v>3049</v>
      </c>
    </row>
    <row r="1062">
      <c r="A1062" s="159"/>
      <c r="B1062" s="159"/>
      <c r="C1062" s="159"/>
      <c r="D1062" s="159"/>
      <c r="E1062" s="159"/>
      <c r="F1062" s="159"/>
      <c r="G1062" s="159"/>
      <c r="H1062" s="159"/>
      <c r="I1062" s="157"/>
      <c r="J1062" s="157"/>
      <c r="K1062" s="157"/>
      <c r="L1062" s="157"/>
      <c r="M1062" s="157"/>
      <c r="N1062" s="157"/>
      <c r="O1062" s="157"/>
      <c r="P1062" s="753"/>
      <c r="AK1062" s="40">
        <v>1059.0</v>
      </c>
      <c r="AL1062" s="738" t="s">
        <v>3050</v>
      </c>
      <c r="AM1062" s="738" t="s">
        <v>3051</v>
      </c>
      <c r="AN1062" s="738" t="s">
        <v>1744</v>
      </c>
      <c r="AO1062" s="739">
        <v>0.359</v>
      </c>
      <c r="AP1062" s="739" t="s">
        <v>3052</v>
      </c>
    </row>
    <row r="1063">
      <c r="A1063" s="159"/>
      <c r="B1063" s="159"/>
      <c r="C1063" s="159"/>
      <c r="D1063" s="159"/>
      <c r="E1063" s="159"/>
      <c r="F1063" s="159"/>
      <c r="G1063" s="159"/>
      <c r="H1063" s="159"/>
      <c r="I1063" s="157"/>
      <c r="J1063" s="157"/>
      <c r="K1063" s="157"/>
      <c r="L1063" s="157"/>
      <c r="M1063" s="157"/>
      <c r="N1063" s="157"/>
      <c r="O1063" s="157"/>
      <c r="P1063" s="753"/>
      <c r="AK1063" s="40">
        <v>1060.0</v>
      </c>
      <c r="AL1063" s="719" t="s">
        <v>3053</v>
      </c>
      <c r="AM1063" s="720" t="s">
        <v>3054</v>
      </c>
      <c r="AN1063" s="720" t="s">
        <v>1744</v>
      </c>
      <c r="AO1063" s="722">
        <v>0.423</v>
      </c>
      <c r="AP1063" s="722" t="s">
        <v>3055</v>
      </c>
    </row>
    <row r="1064">
      <c r="A1064" s="159"/>
      <c r="B1064" s="159"/>
      <c r="C1064" s="159"/>
      <c r="D1064" s="159"/>
      <c r="E1064" s="159"/>
      <c r="F1064" s="159"/>
      <c r="G1064" s="159"/>
      <c r="H1064" s="159"/>
      <c r="I1064" s="157"/>
      <c r="J1064" s="157"/>
      <c r="K1064" s="157"/>
      <c r="L1064" s="157"/>
      <c r="M1064" s="157"/>
      <c r="N1064" s="157"/>
      <c r="O1064" s="157"/>
      <c r="P1064" s="753"/>
      <c r="AK1064" s="40">
        <v>1061.0</v>
      </c>
      <c r="AL1064" s="738" t="s">
        <v>3056</v>
      </c>
      <c r="AM1064" s="738" t="s">
        <v>1854</v>
      </c>
      <c r="AN1064" s="738" t="s">
        <v>1855</v>
      </c>
      <c r="AO1064" s="739">
        <v>0.325</v>
      </c>
      <c r="AP1064" s="739" t="s">
        <v>1856</v>
      </c>
    </row>
    <row r="1065">
      <c r="A1065" s="159"/>
      <c r="B1065" s="159"/>
      <c r="C1065" s="159"/>
      <c r="D1065" s="159"/>
      <c r="E1065" s="159"/>
      <c r="F1065" s="159"/>
      <c r="G1065" s="159"/>
      <c r="H1065" s="159"/>
      <c r="I1065" s="157"/>
      <c r="J1065" s="157"/>
      <c r="K1065" s="157"/>
      <c r="L1065" s="157"/>
      <c r="M1065" s="157"/>
      <c r="N1065" s="157"/>
      <c r="O1065" s="157"/>
      <c r="P1065" s="753"/>
      <c r="AK1065" s="40">
        <v>1062.0</v>
      </c>
      <c r="AL1065" s="719" t="s">
        <v>3057</v>
      </c>
      <c r="AM1065" s="720" t="s">
        <v>2105</v>
      </c>
      <c r="AN1065" s="720" t="s">
        <v>2106</v>
      </c>
      <c r="AO1065" s="722">
        <v>0.011</v>
      </c>
      <c r="AP1065" s="722" t="s">
        <v>2107</v>
      </c>
    </row>
    <row r="1066">
      <c r="A1066" s="159"/>
      <c r="B1066" s="159"/>
      <c r="C1066" s="159"/>
      <c r="D1066" s="159"/>
      <c r="E1066" s="159"/>
      <c r="F1066" s="159"/>
      <c r="G1066" s="159"/>
      <c r="H1066" s="159"/>
      <c r="I1066" s="157"/>
      <c r="J1066" s="157"/>
      <c r="K1066" s="157"/>
      <c r="L1066" s="157"/>
      <c r="M1066" s="157"/>
      <c r="N1066" s="157"/>
      <c r="O1066" s="157"/>
      <c r="P1066" s="753"/>
      <c r="AK1066" s="40">
        <v>1063.0</v>
      </c>
      <c r="AL1066" s="738" t="s">
        <v>3058</v>
      </c>
      <c r="AM1066" s="738" t="s">
        <v>1980</v>
      </c>
      <c r="AN1066" s="738" t="s">
        <v>1981</v>
      </c>
      <c r="AO1066" s="739">
        <v>0.114</v>
      </c>
      <c r="AP1066" s="739" t="s">
        <v>1982</v>
      </c>
    </row>
    <row r="1067">
      <c r="A1067" s="159"/>
      <c r="B1067" s="159"/>
      <c r="C1067" s="159"/>
      <c r="D1067" s="159"/>
      <c r="E1067" s="159"/>
      <c r="F1067" s="159"/>
      <c r="G1067" s="159"/>
      <c r="H1067" s="159"/>
      <c r="I1067" s="157"/>
      <c r="J1067" s="157"/>
      <c r="K1067" s="157"/>
      <c r="L1067" s="157"/>
      <c r="M1067" s="157"/>
      <c r="N1067" s="157"/>
      <c r="O1067" s="157"/>
      <c r="P1067" s="753"/>
      <c r="AK1067" s="40">
        <v>1064.0</v>
      </c>
      <c r="AL1067" s="719" t="s">
        <v>3059</v>
      </c>
      <c r="AM1067" s="720" t="s">
        <v>2150</v>
      </c>
      <c r="AN1067" s="720" t="s">
        <v>2151</v>
      </c>
      <c r="AO1067" s="722">
        <v>0.004</v>
      </c>
      <c r="AP1067" s="722" t="s">
        <v>2152</v>
      </c>
    </row>
    <row r="1068">
      <c r="A1068" s="159"/>
      <c r="B1068" s="159"/>
      <c r="C1068" s="159"/>
      <c r="D1068" s="159"/>
      <c r="E1068" s="159"/>
      <c r="F1068" s="159"/>
      <c r="G1068" s="159"/>
      <c r="H1068" s="159"/>
      <c r="I1068" s="157"/>
      <c r="J1068" s="157"/>
      <c r="K1068" s="157"/>
      <c r="L1068" s="157"/>
      <c r="M1068" s="157"/>
      <c r="N1068" s="157"/>
      <c r="O1068" s="157"/>
      <c r="P1068" s="753"/>
      <c r="AK1068" s="40">
        <v>1065.0</v>
      </c>
      <c r="AL1068" s="738" t="s">
        <v>3060</v>
      </c>
      <c r="AM1068" s="738" t="s">
        <v>2044</v>
      </c>
      <c r="AN1068" s="738" t="s">
        <v>2045</v>
      </c>
      <c r="AO1068" s="739">
        <v>0.052</v>
      </c>
      <c r="AP1068" s="739" t="s">
        <v>2046</v>
      </c>
    </row>
    <row r="1069">
      <c r="A1069" s="159"/>
      <c r="B1069" s="159"/>
      <c r="C1069" s="159"/>
      <c r="D1069" s="159"/>
      <c r="E1069" s="159"/>
      <c r="F1069" s="159"/>
      <c r="G1069" s="159"/>
      <c r="H1069" s="159"/>
      <c r="I1069" s="157"/>
      <c r="J1069" s="157"/>
      <c r="K1069" s="157"/>
      <c r="L1069" s="157"/>
      <c r="M1069" s="157"/>
      <c r="N1069" s="157"/>
      <c r="O1069" s="157"/>
      <c r="P1069" s="753"/>
      <c r="AK1069" s="40">
        <v>1066.0</v>
      </c>
      <c r="AL1069" s="719" t="s">
        <v>3061</v>
      </c>
      <c r="AM1069" s="720" t="s">
        <v>1940</v>
      </c>
      <c r="AN1069" s="720" t="s">
        <v>1941</v>
      </c>
      <c r="AO1069" s="722">
        <v>0.149</v>
      </c>
      <c r="AP1069" s="722" t="s">
        <v>1942</v>
      </c>
    </row>
    <row r="1070">
      <c r="A1070" s="159"/>
      <c r="B1070" s="159"/>
      <c r="C1070" s="159"/>
      <c r="D1070" s="159"/>
      <c r="E1070" s="159"/>
      <c r="F1070" s="159"/>
      <c r="G1070" s="159"/>
      <c r="H1070" s="159"/>
      <c r="I1070" s="157"/>
      <c r="J1070" s="157"/>
      <c r="K1070" s="157"/>
      <c r="L1070" s="157"/>
      <c r="M1070" s="157"/>
      <c r="N1070" s="157"/>
      <c r="O1070" s="157"/>
      <c r="P1070" s="753"/>
      <c r="AK1070" s="40">
        <v>1067.0</v>
      </c>
      <c r="AL1070" s="738" t="s">
        <v>3062</v>
      </c>
      <c r="AM1070" s="738" t="s">
        <v>2156</v>
      </c>
      <c r="AN1070" s="745"/>
      <c r="AO1070" s="739">
        <v>0.0</v>
      </c>
      <c r="AP1070" s="739" t="s">
        <v>2157</v>
      </c>
    </row>
    <row r="1071">
      <c r="A1071" s="159"/>
      <c r="B1071" s="159"/>
      <c r="C1071" s="159"/>
      <c r="D1071" s="159"/>
      <c r="E1071" s="159"/>
      <c r="F1071" s="159"/>
      <c r="G1071" s="159"/>
      <c r="H1071" s="159"/>
      <c r="I1071" s="157"/>
      <c r="J1071" s="157"/>
      <c r="K1071" s="157"/>
      <c r="L1071" s="157"/>
      <c r="M1071" s="157"/>
      <c r="N1071" s="157"/>
      <c r="O1071" s="157"/>
      <c r="P1071" s="753"/>
      <c r="AK1071" s="40">
        <v>1068.0</v>
      </c>
      <c r="AL1071" s="719" t="s">
        <v>3063</v>
      </c>
      <c r="AM1071" s="720" t="s">
        <v>3064</v>
      </c>
      <c r="AN1071" s="720" t="s">
        <v>1744</v>
      </c>
      <c r="AO1071" s="722">
        <v>0.015</v>
      </c>
      <c r="AP1071" s="722" t="s">
        <v>3065</v>
      </c>
    </row>
    <row r="1072">
      <c r="A1072" s="159"/>
      <c r="B1072" s="159"/>
      <c r="C1072" s="159"/>
      <c r="D1072" s="159"/>
      <c r="E1072" s="159"/>
      <c r="F1072" s="159"/>
      <c r="G1072" s="159"/>
      <c r="H1072" s="159"/>
      <c r="I1072" s="157"/>
      <c r="J1072" s="157"/>
      <c r="K1072" s="157"/>
      <c r="L1072" s="157"/>
      <c r="M1072" s="157"/>
      <c r="N1072" s="157"/>
      <c r="O1072" s="157"/>
      <c r="P1072" s="753"/>
      <c r="AK1072" s="40">
        <v>1069.0</v>
      </c>
      <c r="AL1072" s="738" t="s">
        <v>3066</v>
      </c>
      <c r="AM1072" s="738" t="s">
        <v>3067</v>
      </c>
      <c r="AN1072" s="738" t="s">
        <v>1744</v>
      </c>
      <c r="AO1072" s="739">
        <v>0.062</v>
      </c>
      <c r="AP1072" s="739" t="s">
        <v>3068</v>
      </c>
    </row>
    <row r="1073">
      <c r="A1073" s="159"/>
      <c r="B1073" s="159"/>
      <c r="C1073" s="159"/>
      <c r="D1073" s="159"/>
      <c r="E1073" s="159"/>
      <c r="F1073" s="159"/>
      <c r="G1073" s="159"/>
      <c r="H1073" s="159"/>
      <c r="I1073" s="157"/>
      <c r="J1073" s="157"/>
      <c r="K1073" s="157"/>
      <c r="L1073" s="157"/>
      <c r="M1073" s="157"/>
      <c r="N1073" s="157"/>
      <c r="O1073" s="157"/>
      <c r="P1073" s="753"/>
      <c r="AK1073" s="40">
        <v>1070.0</v>
      </c>
      <c r="AL1073" s="719" t="s">
        <v>3069</v>
      </c>
      <c r="AM1073" s="720" t="s">
        <v>3070</v>
      </c>
      <c r="AN1073" s="720" t="s">
        <v>1744</v>
      </c>
      <c r="AO1073" s="722">
        <v>0.158</v>
      </c>
      <c r="AP1073" s="722" t="s">
        <v>3071</v>
      </c>
    </row>
    <row r="1074">
      <c r="A1074" s="159"/>
      <c r="B1074" s="159"/>
      <c r="C1074" s="159"/>
      <c r="D1074" s="159"/>
      <c r="E1074" s="159"/>
      <c r="F1074" s="159"/>
      <c r="G1074" s="159"/>
      <c r="H1074" s="159"/>
      <c r="I1074" s="157"/>
      <c r="J1074" s="157"/>
      <c r="K1074" s="157"/>
      <c r="L1074" s="157"/>
      <c r="M1074" s="157"/>
      <c r="N1074" s="157"/>
      <c r="O1074" s="157"/>
      <c r="P1074" s="753"/>
      <c r="AK1074" s="40">
        <v>1071.0</v>
      </c>
      <c r="AL1074" s="738" t="s">
        <v>3072</v>
      </c>
      <c r="AM1074" s="738" t="s">
        <v>3070</v>
      </c>
      <c r="AN1074" s="738" t="s">
        <v>1744</v>
      </c>
      <c r="AO1074" s="739">
        <v>0.158</v>
      </c>
      <c r="AP1074" s="739" t="s">
        <v>3071</v>
      </c>
    </row>
    <row r="1075">
      <c r="A1075" s="159"/>
      <c r="B1075" s="159"/>
      <c r="C1075" s="159"/>
      <c r="D1075" s="159"/>
      <c r="E1075" s="159"/>
      <c r="F1075" s="159"/>
      <c r="G1075" s="159"/>
      <c r="H1075" s="159"/>
      <c r="I1075" s="157"/>
      <c r="J1075" s="157"/>
      <c r="K1075" s="157"/>
      <c r="L1075" s="157"/>
      <c r="M1075" s="157"/>
      <c r="N1075" s="157"/>
      <c r="O1075" s="157"/>
      <c r="P1075" s="753"/>
      <c r="AK1075" s="40">
        <v>1072.0</v>
      </c>
      <c r="AL1075" s="719" t="s">
        <v>3073</v>
      </c>
      <c r="AM1075" s="720" t="s">
        <v>3074</v>
      </c>
      <c r="AN1075" s="720" t="s">
        <v>1744</v>
      </c>
      <c r="AO1075" s="722">
        <v>0.118</v>
      </c>
      <c r="AP1075" s="722" t="s">
        <v>3075</v>
      </c>
    </row>
    <row r="1076">
      <c r="A1076" s="159"/>
      <c r="B1076" s="159"/>
      <c r="C1076" s="159"/>
      <c r="D1076" s="159"/>
      <c r="E1076" s="159"/>
      <c r="F1076" s="159"/>
      <c r="G1076" s="159"/>
      <c r="H1076" s="159"/>
      <c r="I1076" s="157"/>
      <c r="J1076" s="157"/>
      <c r="K1076" s="157"/>
      <c r="L1076" s="157"/>
      <c r="M1076" s="157"/>
      <c r="N1076" s="157"/>
      <c r="O1076" s="157"/>
      <c r="P1076" s="753"/>
      <c r="AK1076" s="40">
        <v>1073.0</v>
      </c>
      <c r="AL1076" s="738" t="s">
        <v>3076</v>
      </c>
      <c r="AM1076" s="738" t="s">
        <v>3077</v>
      </c>
      <c r="AN1076" s="738" t="s">
        <v>1744</v>
      </c>
      <c r="AO1076" s="739">
        <v>0.16</v>
      </c>
      <c r="AP1076" s="739" t="s">
        <v>1934</v>
      </c>
    </row>
    <row r="1077">
      <c r="A1077" s="159"/>
      <c r="B1077" s="159"/>
      <c r="C1077" s="159"/>
      <c r="D1077" s="159"/>
      <c r="E1077" s="159"/>
      <c r="F1077" s="159"/>
      <c r="G1077" s="159"/>
      <c r="H1077" s="159"/>
      <c r="I1077" s="157"/>
      <c r="J1077" s="157"/>
      <c r="K1077" s="157"/>
      <c r="L1077" s="157"/>
      <c r="M1077" s="157"/>
      <c r="N1077" s="157"/>
      <c r="O1077" s="157"/>
      <c r="P1077" s="753"/>
      <c r="AK1077" s="40">
        <v>1074.0</v>
      </c>
      <c r="AL1077" s="719" t="s">
        <v>3078</v>
      </c>
      <c r="AM1077" s="720" t="s">
        <v>3079</v>
      </c>
      <c r="AN1077" s="720" t="s">
        <v>1744</v>
      </c>
      <c r="AO1077" s="722">
        <v>0.327</v>
      </c>
      <c r="AP1077" s="722" t="s">
        <v>3080</v>
      </c>
    </row>
    <row r="1078">
      <c r="A1078" s="159"/>
      <c r="B1078" s="159"/>
      <c r="C1078" s="159"/>
      <c r="D1078" s="159"/>
      <c r="E1078" s="159"/>
      <c r="F1078" s="159"/>
      <c r="G1078" s="159"/>
      <c r="H1078" s="159"/>
      <c r="I1078" s="157"/>
      <c r="J1078" s="157"/>
      <c r="K1078" s="157"/>
      <c r="L1078" s="157"/>
      <c r="M1078" s="157"/>
      <c r="N1078" s="157"/>
      <c r="O1078" s="157"/>
      <c r="P1078" s="753"/>
      <c r="AK1078" s="40">
        <v>1075.0</v>
      </c>
      <c r="AL1078" s="738" t="s">
        <v>3081</v>
      </c>
      <c r="AM1078" s="738" t="s">
        <v>3082</v>
      </c>
      <c r="AN1078" s="738" t="s">
        <v>1744</v>
      </c>
      <c r="AO1078" s="739">
        <v>0.359</v>
      </c>
      <c r="AP1078" s="739" t="s">
        <v>3083</v>
      </c>
    </row>
    <row r="1079">
      <c r="A1079" s="159"/>
      <c r="B1079" s="159"/>
      <c r="C1079" s="159"/>
      <c r="D1079" s="159"/>
      <c r="E1079" s="159"/>
      <c r="F1079" s="159"/>
      <c r="G1079" s="159"/>
      <c r="H1079" s="159"/>
      <c r="I1079" s="157"/>
      <c r="J1079" s="157"/>
      <c r="K1079" s="157"/>
      <c r="L1079" s="157"/>
      <c r="M1079" s="157"/>
      <c r="N1079" s="157"/>
      <c r="O1079" s="157"/>
      <c r="P1079" s="753"/>
      <c r="AK1079" s="40">
        <v>1076.0</v>
      </c>
      <c r="AL1079" s="719" t="s">
        <v>3084</v>
      </c>
      <c r="AM1079" s="720" t="s">
        <v>3085</v>
      </c>
      <c r="AN1079" s="720" t="s">
        <v>1744</v>
      </c>
      <c r="AO1079" s="722">
        <v>0.424</v>
      </c>
      <c r="AP1079" s="722" t="s">
        <v>3086</v>
      </c>
    </row>
    <row r="1080">
      <c r="A1080" s="159"/>
      <c r="B1080" s="159"/>
      <c r="C1080" s="159"/>
      <c r="D1080" s="159"/>
      <c r="E1080" s="159"/>
      <c r="F1080" s="159"/>
      <c r="G1080" s="159"/>
      <c r="H1080" s="159"/>
      <c r="I1080" s="157"/>
      <c r="J1080" s="157"/>
      <c r="K1080" s="157"/>
      <c r="L1080" s="157"/>
      <c r="M1080" s="157"/>
      <c r="N1080" s="157"/>
      <c r="O1080" s="157"/>
      <c r="P1080" s="753"/>
      <c r="AK1080" s="40">
        <v>1077.0</v>
      </c>
      <c r="AL1080" s="738" t="s">
        <v>3087</v>
      </c>
      <c r="AM1080" s="738" t="s">
        <v>1860</v>
      </c>
      <c r="AN1080" s="738" t="s">
        <v>1861</v>
      </c>
      <c r="AO1080" s="739">
        <v>0.324</v>
      </c>
      <c r="AP1080" s="739" t="s">
        <v>1862</v>
      </c>
    </row>
    <row r="1081">
      <c r="A1081" s="159"/>
      <c r="B1081" s="159"/>
      <c r="C1081" s="159"/>
      <c r="D1081" s="159"/>
      <c r="E1081" s="159"/>
      <c r="F1081" s="159"/>
      <c r="G1081" s="159"/>
      <c r="H1081" s="159"/>
      <c r="I1081" s="157"/>
      <c r="J1081" s="157"/>
      <c r="K1081" s="157"/>
      <c r="L1081" s="157"/>
      <c r="M1081" s="157"/>
      <c r="N1081" s="157"/>
      <c r="O1081" s="157"/>
      <c r="P1081" s="753"/>
      <c r="AK1081" s="40">
        <v>1078.0</v>
      </c>
      <c r="AL1081" s="719" t="s">
        <v>3088</v>
      </c>
      <c r="AM1081" s="720" t="s">
        <v>3048</v>
      </c>
      <c r="AN1081" s="720" t="s">
        <v>1744</v>
      </c>
      <c r="AO1081" s="722">
        <v>0.327</v>
      </c>
      <c r="AP1081" s="722" t="s">
        <v>3049</v>
      </c>
    </row>
    <row r="1082">
      <c r="A1082" s="159"/>
      <c r="B1082" s="159"/>
      <c r="C1082" s="159"/>
      <c r="D1082" s="159"/>
      <c r="E1082" s="159"/>
      <c r="F1082" s="159"/>
      <c r="G1082" s="159"/>
      <c r="H1082" s="159"/>
      <c r="I1082" s="157"/>
      <c r="J1082" s="157"/>
      <c r="K1082" s="157"/>
      <c r="L1082" s="157"/>
      <c r="M1082" s="157"/>
      <c r="N1082" s="157"/>
      <c r="O1082" s="157"/>
      <c r="P1082" s="753"/>
      <c r="AK1082" s="40">
        <v>1079.0</v>
      </c>
      <c r="AL1082" s="738" t="s">
        <v>3089</v>
      </c>
      <c r="AM1082" s="738" t="s">
        <v>3051</v>
      </c>
      <c r="AN1082" s="738" t="s">
        <v>1744</v>
      </c>
      <c r="AO1082" s="739">
        <v>0.359</v>
      </c>
      <c r="AP1082" s="739" t="s">
        <v>3052</v>
      </c>
    </row>
    <row r="1083">
      <c r="A1083" s="159"/>
      <c r="B1083" s="159"/>
      <c r="C1083" s="159"/>
      <c r="D1083" s="159"/>
      <c r="E1083" s="159"/>
      <c r="F1083" s="159"/>
      <c r="G1083" s="159"/>
      <c r="H1083" s="159"/>
      <c r="I1083" s="157"/>
      <c r="J1083" s="157"/>
      <c r="K1083" s="157"/>
      <c r="L1083" s="157"/>
      <c r="M1083" s="157"/>
      <c r="N1083" s="157"/>
      <c r="O1083" s="157"/>
      <c r="P1083" s="753"/>
      <c r="AK1083" s="40">
        <v>1080.0</v>
      </c>
      <c r="AL1083" s="719" t="s">
        <v>3090</v>
      </c>
      <c r="AM1083" s="720" t="s">
        <v>3054</v>
      </c>
      <c r="AN1083" s="720" t="s">
        <v>1744</v>
      </c>
      <c r="AO1083" s="722">
        <v>0.423</v>
      </c>
      <c r="AP1083" s="722" t="s">
        <v>3055</v>
      </c>
    </row>
    <row r="1084">
      <c r="A1084" s="159"/>
      <c r="B1084" s="159"/>
      <c r="C1084" s="159"/>
      <c r="D1084" s="159"/>
      <c r="E1084" s="159"/>
      <c r="F1084" s="159"/>
      <c r="G1084" s="159"/>
      <c r="H1084" s="159"/>
      <c r="I1084" s="157"/>
      <c r="J1084" s="157"/>
      <c r="K1084" s="157"/>
      <c r="L1084" s="157"/>
      <c r="M1084" s="157"/>
      <c r="N1084" s="157"/>
      <c r="O1084" s="157"/>
      <c r="P1084" s="753"/>
      <c r="AK1084" s="40">
        <v>1081.0</v>
      </c>
      <c r="AL1084" s="738" t="s">
        <v>3091</v>
      </c>
      <c r="AM1084" s="738" t="s">
        <v>1854</v>
      </c>
      <c r="AN1084" s="738" t="s">
        <v>1855</v>
      </c>
      <c r="AO1084" s="739">
        <v>0.325</v>
      </c>
      <c r="AP1084" s="739" t="s">
        <v>1856</v>
      </c>
    </row>
    <row r="1085">
      <c r="A1085" s="159"/>
      <c r="B1085" s="159"/>
      <c r="C1085" s="159"/>
      <c r="D1085" s="159"/>
      <c r="E1085" s="159"/>
      <c r="F1085" s="159"/>
      <c r="G1085" s="159"/>
      <c r="H1085" s="159"/>
      <c r="I1085" s="157"/>
      <c r="J1085" s="157"/>
      <c r="K1085" s="157"/>
      <c r="L1085" s="157"/>
      <c r="M1085" s="157"/>
      <c r="N1085" s="157"/>
      <c r="O1085" s="157"/>
      <c r="P1085" s="753"/>
      <c r="AK1085" s="40">
        <v>1082.0</v>
      </c>
      <c r="AL1085" s="719" t="s">
        <v>3092</v>
      </c>
      <c r="AM1085" s="720" t="s">
        <v>2105</v>
      </c>
      <c r="AN1085" s="720" t="s">
        <v>2106</v>
      </c>
      <c r="AO1085" s="722">
        <v>0.011</v>
      </c>
      <c r="AP1085" s="722" t="s">
        <v>2107</v>
      </c>
    </row>
    <row r="1086">
      <c r="A1086" s="159"/>
      <c r="B1086" s="159"/>
      <c r="C1086" s="159"/>
      <c r="D1086" s="159"/>
      <c r="E1086" s="159"/>
      <c r="F1086" s="159"/>
      <c r="G1086" s="159"/>
      <c r="H1086" s="159"/>
      <c r="I1086" s="157"/>
      <c r="J1086" s="157"/>
      <c r="K1086" s="157"/>
      <c r="L1086" s="157"/>
      <c r="M1086" s="157"/>
      <c r="N1086" s="157"/>
      <c r="O1086" s="157"/>
      <c r="P1086" s="753"/>
      <c r="AK1086" s="40">
        <v>1083.0</v>
      </c>
      <c r="AL1086" s="738" t="s">
        <v>3093</v>
      </c>
      <c r="AM1086" s="738" t="s">
        <v>1980</v>
      </c>
      <c r="AN1086" s="738" t="s">
        <v>1981</v>
      </c>
      <c r="AO1086" s="739">
        <v>0.114</v>
      </c>
      <c r="AP1086" s="739" t="s">
        <v>1982</v>
      </c>
    </row>
    <row r="1087">
      <c r="A1087" s="159"/>
      <c r="B1087" s="159"/>
      <c r="C1087" s="159"/>
      <c r="D1087" s="159"/>
      <c r="E1087" s="159"/>
      <c r="F1087" s="159"/>
      <c r="G1087" s="159"/>
      <c r="H1087" s="159"/>
      <c r="I1087" s="157"/>
      <c r="J1087" s="157"/>
      <c r="K1087" s="157"/>
      <c r="L1087" s="157"/>
      <c r="M1087" s="157"/>
      <c r="N1087" s="157"/>
      <c r="O1087" s="157"/>
      <c r="P1087" s="753"/>
      <c r="AK1087" s="40">
        <v>1084.0</v>
      </c>
      <c r="AL1087" s="719" t="s">
        <v>3094</v>
      </c>
      <c r="AM1087" s="720" t="s">
        <v>2150</v>
      </c>
      <c r="AN1087" s="720" t="s">
        <v>2151</v>
      </c>
      <c r="AO1087" s="722">
        <v>0.004</v>
      </c>
      <c r="AP1087" s="722" t="s">
        <v>2152</v>
      </c>
    </row>
    <row r="1088">
      <c r="A1088" s="159"/>
      <c r="B1088" s="159"/>
      <c r="C1088" s="159"/>
      <c r="D1088" s="159"/>
      <c r="E1088" s="159"/>
      <c r="F1088" s="159"/>
      <c r="G1088" s="159"/>
      <c r="H1088" s="159"/>
      <c r="I1088" s="157"/>
      <c r="J1088" s="157"/>
      <c r="K1088" s="157"/>
      <c r="L1088" s="157"/>
      <c r="M1088" s="157"/>
      <c r="N1088" s="157"/>
      <c r="O1088" s="157"/>
      <c r="P1088" s="753"/>
      <c r="AK1088" s="40">
        <v>1085.0</v>
      </c>
      <c r="AL1088" s="738" t="s">
        <v>3095</v>
      </c>
      <c r="AM1088" s="738" t="s">
        <v>2044</v>
      </c>
      <c r="AN1088" s="738" t="s">
        <v>2045</v>
      </c>
      <c r="AO1088" s="739">
        <v>0.052</v>
      </c>
      <c r="AP1088" s="739" t="s">
        <v>2046</v>
      </c>
    </row>
    <row r="1089">
      <c r="A1089" s="159"/>
      <c r="B1089" s="159"/>
      <c r="C1089" s="159"/>
      <c r="D1089" s="159"/>
      <c r="E1089" s="159"/>
      <c r="F1089" s="159"/>
      <c r="G1089" s="159"/>
      <c r="H1089" s="159"/>
      <c r="I1089" s="157"/>
      <c r="J1089" s="157"/>
      <c r="K1089" s="157"/>
      <c r="L1089" s="157"/>
      <c r="M1089" s="157"/>
      <c r="N1089" s="157"/>
      <c r="O1089" s="157"/>
      <c r="P1089" s="753"/>
      <c r="AK1089" s="40">
        <v>1086.0</v>
      </c>
      <c r="AL1089" s="719" t="s">
        <v>3096</v>
      </c>
      <c r="AM1089" s="720" t="s">
        <v>1940</v>
      </c>
      <c r="AN1089" s="720" t="s">
        <v>1941</v>
      </c>
      <c r="AO1089" s="722">
        <v>0.149</v>
      </c>
      <c r="AP1089" s="722" t="s">
        <v>1942</v>
      </c>
    </row>
    <row r="1090">
      <c r="A1090" s="159"/>
      <c r="B1090" s="159"/>
      <c r="C1090" s="159"/>
      <c r="D1090" s="159"/>
      <c r="E1090" s="159"/>
      <c r="F1090" s="159"/>
      <c r="G1090" s="159"/>
      <c r="H1090" s="159"/>
      <c r="I1090" s="157"/>
      <c r="J1090" s="157"/>
      <c r="K1090" s="157"/>
      <c r="L1090" s="157"/>
      <c r="M1090" s="157"/>
      <c r="N1090" s="157"/>
      <c r="O1090" s="157"/>
      <c r="P1090" s="753"/>
      <c r="AK1090" s="40">
        <v>1087.0</v>
      </c>
      <c r="AL1090" s="738" t="s">
        <v>3097</v>
      </c>
      <c r="AM1090" s="738" t="s">
        <v>2156</v>
      </c>
      <c r="AN1090" s="745"/>
      <c r="AO1090" s="739">
        <v>0.0</v>
      </c>
      <c r="AP1090" s="739" t="s">
        <v>2157</v>
      </c>
    </row>
    <row r="1091">
      <c r="A1091" s="159"/>
      <c r="B1091" s="159"/>
      <c r="C1091" s="159"/>
      <c r="D1091" s="159"/>
      <c r="E1091" s="159"/>
      <c r="F1091" s="159"/>
      <c r="G1091" s="159"/>
      <c r="H1091" s="159"/>
      <c r="I1091" s="157"/>
      <c r="J1091" s="157"/>
      <c r="K1091" s="157"/>
      <c r="L1091" s="157"/>
      <c r="M1091" s="157"/>
      <c r="N1091" s="157"/>
      <c r="O1091" s="157"/>
      <c r="P1091" s="753"/>
      <c r="AK1091" s="40">
        <v>1088.0</v>
      </c>
      <c r="AL1091" s="719" t="s">
        <v>3098</v>
      </c>
      <c r="AM1091" s="720" t="s">
        <v>3064</v>
      </c>
      <c r="AN1091" s="720" t="s">
        <v>1744</v>
      </c>
      <c r="AO1091" s="722">
        <v>0.015</v>
      </c>
      <c r="AP1091" s="722" t="s">
        <v>3065</v>
      </c>
    </row>
    <row r="1092">
      <c r="A1092" s="159"/>
      <c r="B1092" s="159"/>
      <c r="C1092" s="159"/>
      <c r="D1092" s="159"/>
      <c r="E1092" s="159"/>
      <c r="F1092" s="159"/>
      <c r="G1092" s="159"/>
      <c r="H1092" s="159"/>
      <c r="I1092" s="157"/>
      <c r="J1092" s="157"/>
      <c r="K1092" s="157"/>
      <c r="L1092" s="157"/>
      <c r="M1092" s="157"/>
      <c r="N1092" s="157"/>
      <c r="O1092" s="157"/>
      <c r="P1092" s="753"/>
      <c r="AK1092" s="40">
        <v>1089.0</v>
      </c>
      <c r="AL1092" s="738" t="s">
        <v>3099</v>
      </c>
      <c r="AM1092" s="738" t="s">
        <v>3067</v>
      </c>
      <c r="AN1092" s="738" t="s">
        <v>1744</v>
      </c>
      <c r="AO1092" s="739">
        <v>0.062</v>
      </c>
      <c r="AP1092" s="739" t="s">
        <v>3068</v>
      </c>
    </row>
    <row r="1093">
      <c r="A1093" s="159"/>
      <c r="B1093" s="159"/>
      <c r="C1093" s="159"/>
      <c r="D1093" s="159"/>
      <c r="E1093" s="159"/>
      <c r="F1093" s="159"/>
      <c r="G1093" s="159"/>
      <c r="H1093" s="159"/>
      <c r="I1093" s="157"/>
      <c r="J1093" s="157"/>
      <c r="K1093" s="157"/>
      <c r="L1093" s="157"/>
      <c r="M1093" s="157"/>
      <c r="N1093" s="157"/>
      <c r="O1093" s="157"/>
      <c r="P1093" s="753"/>
      <c r="AK1093" s="40">
        <v>1090.0</v>
      </c>
      <c r="AL1093" s="719" t="s">
        <v>3100</v>
      </c>
      <c r="AM1093" s="720" t="s">
        <v>3070</v>
      </c>
      <c r="AN1093" s="720" t="s">
        <v>1744</v>
      </c>
      <c r="AO1093" s="722">
        <v>0.158</v>
      </c>
      <c r="AP1093" s="722" t="s">
        <v>3071</v>
      </c>
    </row>
    <row r="1094">
      <c r="A1094" s="159"/>
      <c r="B1094" s="159"/>
      <c r="C1094" s="159"/>
      <c r="D1094" s="159"/>
      <c r="E1094" s="159"/>
      <c r="F1094" s="159"/>
      <c r="G1094" s="159"/>
      <c r="H1094" s="159"/>
      <c r="I1094" s="157"/>
      <c r="J1094" s="157"/>
      <c r="K1094" s="157"/>
      <c r="L1094" s="157"/>
      <c r="M1094" s="157"/>
      <c r="N1094" s="157"/>
      <c r="O1094" s="157"/>
      <c r="P1094" s="753"/>
      <c r="AK1094" s="40">
        <v>1091.0</v>
      </c>
      <c r="AL1094" s="738" t="s">
        <v>3101</v>
      </c>
      <c r="AM1094" s="738" t="s">
        <v>3074</v>
      </c>
      <c r="AN1094" s="738" t="s">
        <v>1744</v>
      </c>
      <c r="AO1094" s="739">
        <v>0.118</v>
      </c>
      <c r="AP1094" s="739" t="s">
        <v>3075</v>
      </c>
    </row>
    <row r="1095">
      <c r="A1095" s="159"/>
      <c r="B1095" s="159"/>
      <c r="C1095" s="159"/>
      <c r="D1095" s="159"/>
      <c r="E1095" s="159"/>
      <c r="F1095" s="159"/>
      <c r="G1095" s="159"/>
      <c r="H1095" s="159"/>
      <c r="I1095" s="157"/>
      <c r="J1095" s="157"/>
      <c r="K1095" s="157"/>
      <c r="L1095" s="157"/>
      <c r="M1095" s="157"/>
      <c r="N1095" s="157"/>
      <c r="O1095" s="157"/>
      <c r="P1095" s="753"/>
      <c r="AK1095" s="40">
        <v>1092.0</v>
      </c>
      <c r="AL1095" s="719" t="s">
        <v>3102</v>
      </c>
      <c r="AM1095" s="720" t="s">
        <v>3077</v>
      </c>
      <c r="AN1095" s="720" t="s">
        <v>1744</v>
      </c>
      <c r="AO1095" s="722">
        <v>0.16</v>
      </c>
      <c r="AP1095" s="722" t="s">
        <v>1934</v>
      </c>
    </row>
    <row r="1096">
      <c r="A1096" s="159"/>
      <c r="B1096" s="159"/>
      <c r="C1096" s="159"/>
      <c r="D1096" s="159"/>
      <c r="E1096" s="159"/>
      <c r="F1096" s="159"/>
      <c r="G1096" s="159"/>
      <c r="H1096" s="159"/>
      <c r="I1096" s="157"/>
      <c r="J1096" s="157"/>
      <c r="K1096" s="157"/>
      <c r="L1096" s="157"/>
      <c r="M1096" s="157"/>
      <c r="N1096" s="157"/>
      <c r="O1096" s="157"/>
      <c r="P1096" s="753"/>
      <c r="AK1096" s="40">
        <v>1093.0</v>
      </c>
      <c r="AL1096" s="738" t="s">
        <v>3103</v>
      </c>
      <c r="AM1096" s="738" t="s">
        <v>3104</v>
      </c>
      <c r="AN1096" s="738" t="s">
        <v>1744</v>
      </c>
      <c r="AO1096" s="739">
        <v>0.246</v>
      </c>
      <c r="AP1096" s="739" t="s">
        <v>3105</v>
      </c>
    </row>
    <row r="1097">
      <c r="A1097" s="159"/>
      <c r="B1097" s="159"/>
      <c r="C1097" s="159"/>
      <c r="D1097" s="159"/>
      <c r="E1097" s="159"/>
      <c r="F1097" s="159"/>
      <c r="G1097" s="159"/>
      <c r="H1097" s="159"/>
      <c r="I1097" s="157"/>
      <c r="J1097" s="157"/>
      <c r="K1097" s="157"/>
      <c r="L1097" s="157"/>
      <c r="M1097" s="157"/>
      <c r="N1097" s="157"/>
      <c r="O1097" s="157"/>
      <c r="P1097" s="753"/>
      <c r="AK1097" s="40">
        <v>1094.0</v>
      </c>
      <c r="AL1097" s="719" t="s">
        <v>3106</v>
      </c>
      <c r="AM1097" s="720" t="s">
        <v>3079</v>
      </c>
      <c r="AN1097" s="720" t="s">
        <v>1744</v>
      </c>
      <c r="AO1097" s="722">
        <v>0.327</v>
      </c>
      <c r="AP1097" s="722" t="s">
        <v>3080</v>
      </c>
    </row>
    <row r="1098">
      <c r="A1098" s="159"/>
      <c r="B1098" s="159"/>
      <c r="C1098" s="159"/>
      <c r="D1098" s="159"/>
      <c r="E1098" s="159"/>
      <c r="F1098" s="159"/>
      <c r="G1098" s="159"/>
      <c r="H1098" s="159"/>
      <c r="I1098" s="157"/>
      <c r="J1098" s="157"/>
      <c r="K1098" s="157"/>
      <c r="L1098" s="157"/>
      <c r="M1098" s="157"/>
      <c r="N1098" s="157"/>
      <c r="O1098" s="157"/>
      <c r="P1098" s="753"/>
      <c r="AK1098" s="40">
        <v>1095.0</v>
      </c>
      <c r="AL1098" s="738" t="s">
        <v>3107</v>
      </c>
      <c r="AM1098" s="738" t="s">
        <v>3082</v>
      </c>
      <c r="AN1098" s="738" t="s">
        <v>1744</v>
      </c>
      <c r="AO1098" s="739">
        <v>0.359</v>
      </c>
      <c r="AP1098" s="739" t="s">
        <v>3083</v>
      </c>
    </row>
    <row r="1099">
      <c r="A1099" s="159"/>
      <c r="B1099" s="159"/>
      <c r="C1099" s="159"/>
      <c r="D1099" s="159"/>
      <c r="E1099" s="159"/>
      <c r="F1099" s="159"/>
      <c r="G1099" s="159"/>
      <c r="H1099" s="159"/>
      <c r="I1099" s="157"/>
      <c r="J1099" s="157"/>
      <c r="K1099" s="157"/>
      <c r="L1099" s="157"/>
      <c r="M1099" s="157"/>
      <c r="N1099" s="157"/>
      <c r="O1099" s="157"/>
      <c r="P1099" s="753"/>
      <c r="AK1099" s="40">
        <v>1096.0</v>
      </c>
      <c r="AL1099" s="719" t="s">
        <v>3108</v>
      </c>
      <c r="AM1099" s="720" t="s">
        <v>3085</v>
      </c>
      <c r="AN1099" s="720" t="s">
        <v>1744</v>
      </c>
      <c r="AO1099" s="722">
        <v>0.424</v>
      </c>
      <c r="AP1099" s="722" t="s">
        <v>3086</v>
      </c>
    </row>
    <row r="1100">
      <c r="A1100" s="159"/>
      <c r="B1100" s="159"/>
      <c r="C1100" s="159"/>
      <c r="D1100" s="159"/>
      <c r="E1100" s="159"/>
      <c r="F1100" s="159"/>
      <c r="G1100" s="159"/>
      <c r="H1100" s="159"/>
      <c r="I1100" s="157"/>
      <c r="J1100" s="157"/>
      <c r="K1100" s="157"/>
      <c r="L1100" s="157"/>
      <c r="M1100" s="157"/>
      <c r="N1100" s="157"/>
      <c r="O1100" s="157"/>
      <c r="P1100" s="753"/>
      <c r="AK1100" s="40">
        <v>1097.0</v>
      </c>
      <c r="AL1100" s="738" t="s">
        <v>3109</v>
      </c>
      <c r="AM1100" s="738" t="s">
        <v>2105</v>
      </c>
      <c r="AN1100" s="738" t="s">
        <v>2106</v>
      </c>
      <c r="AO1100" s="739">
        <v>0.011</v>
      </c>
      <c r="AP1100" s="739" t="s">
        <v>2107</v>
      </c>
    </row>
    <row r="1101">
      <c r="A1101" s="159"/>
      <c r="B1101" s="159"/>
      <c r="C1101" s="159"/>
      <c r="D1101" s="159"/>
      <c r="E1101" s="159"/>
      <c r="F1101" s="159"/>
      <c r="G1101" s="159"/>
      <c r="H1101" s="159"/>
      <c r="I1101" s="157"/>
      <c r="J1101" s="157"/>
      <c r="K1101" s="157"/>
      <c r="L1101" s="157"/>
      <c r="M1101" s="157"/>
      <c r="N1101" s="157"/>
      <c r="O1101" s="157"/>
      <c r="P1101" s="753"/>
      <c r="AK1101" s="40">
        <v>1098.0</v>
      </c>
      <c r="AL1101" s="719" t="s">
        <v>3110</v>
      </c>
      <c r="AM1101" s="720" t="s">
        <v>2156</v>
      </c>
      <c r="AN1101" s="721"/>
      <c r="AO1101" s="722">
        <v>0.0</v>
      </c>
      <c r="AP1101" s="722" t="s">
        <v>2157</v>
      </c>
    </row>
    <row r="1102">
      <c r="A1102" s="159"/>
      <c r="B1102" s="159"/>
      <c r="C1102" s="159"/>
      <c r="D1102" s="159"/>
      <c r="E1102" s="159"/>
      <c r="F1102" s="159"/>
      <c r="G1102" s="159"/>
      <c r="H1102" s="159"/>
      <c r="I1102" s="157"/>
      <c r="J1102" s="157"/>
      <c r="K1102" s="157"/>
      <c r="L1102" s="157"/>
      <c r="M1102" s="157"/>
      <c r="N1102" s="157"/>
      <c r="O1102" s="157"/>
      <c r="P1102" s="753"/>
      <c r="AK1102" s="40">
        <v>1099.0</v>
      </c>
      <c r="AL1102" s="738" t="s">
        <v>3111</v>
      </c>
      <c r="AM1102" s="738" t="s">
        <v>2156</v>
      </c>
      <c r="AN1102" s="745"/>
      <c r="AO1102" s="739">
        <v>0.0</v>
      </c>
      <c r="AP1102" s="739" t="s">
        <v>2157</v>
      </c>
    </row>
    <row r="1103">
      <c r="A1103" s="159"/>
      <c r="B1103" s="159"/>
      <c r="C1103" s="159"/>
      <c r="D1103" s="159"/>
      <c r="E1103" s="159"/>
      <c r="F1103" s="159"/>
      <c r="G1103" s="159"/>
      <c r="H1103" s="159"/>
      <c r="I1103" s="157"/>
      <c r="J1103" s="157"/>
      <c r="K1103" s="157"/>
      <c r="L1103" s="157"/>
      <c r="M1103" s="157"/>
      <c r="N1103" s="157"/>
      <c r="O1103" s="157"/>
      <c r="P1103" s="753"/>
      <c r="AK1103" s="40">
        <v>1100.0</v>
      </c>
      <c r="AL1103" s="719" t="s">
        <v>3112</v>
      </c>
      <c r="AM1103" s="720" t="s">
        <v>3113</v>
      </c>
      <c r="AN1103" s="720" t="s">
        <v>3114</v>
      </c>
      <c r="AO1103" s="722">
        <v>0.026</v>
      </c>
      <c r="AP1103" s="722" t="s">
        <v>2075</v>
      </c>
    </row>
    <row r="1104">
      <c r="A1104" s="159"/>
      <c r="B1104" s="159"/>
      <c r="C1104" s="159"/>
      <c r="D1104" s="159"/>
      <c r="E1104" s="159"/>
      <c r="F1104" s="159"/>
      <c r="G1104" s="159"/>
      <c r="H1104" s="159"/>
      <c r="I1104" s="157"/>
      <c r="J1104" s="157"/>
      <c r="K1104" s="157"/>
      <c r="L1104" s="157"/>
      <c r="M1104" s="157"/>
      <c r="N1104" s="157"/>
      <c r="O1104" s="157"/>
      <c r="P1104" s="753"/>
      <c r="AK1104" s="40">
        <v>1101.0</v>
      </c>
      <c r="AL1104" s="738" t="s">
        <v>3115</v>
      </c>
      <c r="AM1104" s="738" t="s">
        <v>1860</v>
      </c>
      <c r="AN1104" s="738" t="s">
        <v>1861</v>
      </c>
      <c r="AO1104" s="739">
        <v>0.324</v>
      </c>
      <c r="AP1104" s="739" t="s">
        <v>1862</v>
      </c>
    </row>
    <row r="1105">
      <c r="A1105" s="159"/>
      <c r="B1105" s="159"/>
      <c r="C1105" s="159"/>
      <c r="D1105" s="159"/>
      <c r="E1105" s="159"/>
      <c r="F1105" s="159"/>
      <c r="G1105" s="159"/>
      <c r="H1105" s="159"/>
      <c r="I1105" s="157"/>
      <c r="J1105" s="157"/>
      <c r="K1105" s="157"/>
      <c r="L1105" s="157"/>
      <c r="M1105" s="157"/>
      <c r="N1105" s="157"/>
      <c r="O1105" s="157"/>
      <c r="P1105" s="753"/>
      <c r="AK1105" s="40">
        <v>1102.0</v>
      </c>
      <c r="AL1105" s="719" t="s">
        <v>3116</v>
      </c>
      <c r="AM1105" s="720" t="s">
        <v>1860</v>
      </c>
      <c r="AN1105" s="720" t="s">
        <v>1861</v>
      </c>
      <c r="AO1105" s="722">
        <v>0.324</v>
      </c>
      <c r="AP1105" s="722" t="s">
        <v>1862</v>
      </c>
    </row>
    <row r="1106">
      <c r="A1106" s="159"/>
      <c r="B1106" s="159"/>
      <c r="C1106" s="159"/>
      <c r="D1106" s="159"/>
      <c r="E1106" s="159"/>
      <c r="F1106" s="159"/>
      <c r="G1106" s="159"/>
      <c r="H1106" s="159"/>
      <c r="I1106" s="157"/>
      <c r="J1106" s="157"/>
      <c r="K1106" s="157"/>
      <c r="L1106" s="157"/>
      <c r="M1106" s="157"/>
      <c r="N1106" s="157"/>
      <c r="O1106" s="157"/>
      <c r="P1106" s="753"/>
      <c r="AK1106" s="40">
        <v>1103.0</v>
      </c>
      <c r="AL1106" s="738" t="s">
        <v>3117</v>
      </c>
      <c r="AM1106" s="738" t="s">
        <v>2105</v>
      </c>
      <c r="AN1106" s="738" t="s">
        <v>2106</v>
      </c>
      <c r="AO1106" s="739">
        <v>0.011</v>
      </c>
      <c r="AP1106" s="739" t="s">
        <v>2107</v>
      </c>
    </row>
    <row r="1107">
      <c r="A1107" s="159"/>
      <c r="B1107" s="159"/>
      <c r="C1107" s="159"/>
      <c r="D1107" s="159"/>
      <c r="E1107" s="159"/>
      <c r="F1107" s="159"/>
      <c r="G1107" s="159"/>
      <c r="H1107" s="159"/>
      <c r="I1107" s="157"/>
      <c r="J1107" s="157"/>
      <c r="K1107" s="157"/>
      <c r="L1107" s="157"/>
      <c r="M1107" s="157"/>
      <c r="N1107" s="157"/>
      <c r="O1107" s="157"/>
      <c r="P1107" s="753"/>
      <c r="AK1107" s="40">
        <v>1104.0</v>
      </c>
      <c r="AL1107" s="719" t="s">
        <v>3118</v>
      </c>
      <c r="AM1107" s="720" t="s">
        <v>1980</v>
      </c>
      <c r="AN1107" s="720" t="s">
        <v>1981</v>
      </c>
      <c r="AO1107" s="722">
        <v>0.114</v>
      </c>
      <c r="AP1107" s="722" t="s">
        <v>1982</v>
      </c>
    </row>
    <row r="1108">
      <c r="A1108" s="159"/>
      <c r="B1108" s="159"/>
      <c r="C1108" s="159"/>
      <c r="D1108" s="159"/>
      <c r="E1108" s="159"/>
      <c r="F1108" s="159"/>
      <c r="G1108" s="159"/>
      <c r="H1108" s="159"/>
      <c r="I1108" s="157"/>
      <c r="J1108" s="157"/>
      <c r="K1108" s="157"/>
      <c r="L1108" s="157"/>
      <c r="M1108" s="157"/>
      <c r="N1108" s="157"/>
      <c r="O1108" s="157"/>
      <c r="P1108" s="753"/>
      <c r="AK1108" s="40">
        <v>1105.0</v>
      </c>
      <c r="AL1108" s="738" t="s">
        <v>3119</v>
      </c>
      <c r="AM1108" s="738" t="s">
        <v>1860</v>
      </c>
      <c r="AN1108" s="738" t="s">
        <v>1861</v>
      </c>
      <c r="AO1108" s="739">
        <v>0.324</v>
      </c>
      <c r="AP1108" s="739" t="s">
        <v>1862</v>
      </c>
    </row>
    <row r="1109">
      <c r="A1109" s="159"/>
      <c r="B1109" s="159"/>
      <c r="C1109" s="159"/>
      <c r="D1109" s="159"/>
      <c r="E1109" s="159"/>
      <c r="F1109" s="159"/>
      <c r="G1109" s="159"/>
      <c r="H1109" s="159"/>
      <c r="I1109" s="157"/>
      <c r="J1109" s="157"/>
      <c r="K1109" s="157"/>
      <c r="L1109" s="157"/>
      <c r="M1109" s="157"/>
      <c r="N1109" s="157"/>
      <c r="O1109" s="157"/>
      <c r="P1109" s="753"/>
      <c r="AK1109" s="40">
        <v>1106.0</v>
      </c>
      <c r="AL1109" s="719" t="s">
        <v>3120</v>
      </c>
      <c r="AM1109" s="720" t="s">
        <v>2156</v>
      </c>
      <c r="AN1109" s="721"/>
      <c r="AO1109" s="722">
        <v>0.0</v>
      </c>
      <c r="AP1109" s="722" t="s">
        <v>2157</v>
      </c>
    </row>
    <row r="1110">
      <c r="A1110" s="159"/>
      <c r="B1110" s="159"/>
      <c r="C1110" s="159"/>
      <c r="D1110" s="159"/>
      <c r="E1110" s="159"/>
      <c r="F1110" s="159"/>
      <c r="G1110" s="159"/>
      <c r="H1110" s="159"/>
      <c r="I1110" s="157"/>
      <c r="J1110" s="157"/>
      <c r="K1110" s="157"/>
      <c r="L1110" s="157"/>
      <c r="M1110" s="157"/>
      <c r="N1110" s="157"/>
      <c r="O1110" s="157"/>
      <c r="P1110" s="753"/>
      <c r="AK1110" s="40">
        <v>1107.0</v>
      </c>
      <c r="AL1110" s="738" t="s">
        <v>3121</v>
      </c>
      <c r="AM1110" s="738" t="s">
        <v>3122</v>
      </c>
      <c r="AN1110" s="738" t="s">
        <v>3123</v>
      </c>
      <c r="AO1110" s="739">
        <v>0.231</v>
      </c>
      <c r="AP1110" s="739" t="s">
        <v>3124</v>
      </c>
    </row>
    <row r="1111">
      <c r="A1111" s="159"/>
      <c r="B1111" s="159"/>
      <c r="C1111" s="159"/>
      <c r="D1111" s="159"/>
      <c r="E1111" s="159"/>
      <c r="F1111" s="159"/>
      <c r="G1111" s="159"/>
      <c r="H1111" s="159"/>
      <c r="I1111" s="157"/>
      <c r="J1111" s="157"/>
      <c r="K1111" s="157"/>
      <c r="L1111" s="157"/>
      <c r="M1111" s="157"/>
      <c r="N1111" s="157"/>
      <c r="O1111" s="157"/>
      <c r="P1111" s="753"/>
      <c r="AK1111" s="40">
        <v>1108.0</v>
      </c>
      <c r="AL1111" s="719" t="s">
        <v>3125</v>
      </c>
      <c r="AM1111" s="720" t="s">
        <v>3122</v>
      </c>
      <c r="AN1111" s="720" t="s">
        <v>3123</v>
      </c>
      <c r="AO1111" s="722">
        <v>0.231</v>
      </c>
      <c r="AP1111" s="722" t="s">
        <v>3124</v>
      </c>
    </row>
    <row r="1112">
      <c r="A1112" s="159"/>
      <c r="B1112" s="159"/>
      <c r="C1112" s="159"/>
      <c r="D1112" s="159"/>
      <c r="E1112" s="159"/>
      <c r="F1112" s="159"/>
      <c r="G1112" s="159"/>
      <c r="H1112" s="159"/>
      <c r="I1112" s="157"/>
      <c r="J1112" s="157"/>
      <c r="K1112" s="157"/>
      <c r="L1112" s="157"/>
      <c r="M1112" s="157"/>
      <c r="N1112" s="157"/>
      <c r="O1112" s="157"/>
      <c r="P1112" s="753"/>
      <c r="AK1112" s="40">
        <v>1109.0</v>
      </c>
      <c r="AL1112" s="738" t="s">
        <v>3126</v>
      </c>
      <c r="AM1112" s="738" t="s">
        <v>3122</v>
      </c>
      <c r="AN1112" s="738" t="s">
        <v>3123</v>
      </c>
      <c r="AO1112" s="739">
        <v>0.231</v>
      </c>
      <c r="AP1112" s="739" t="s">
        <v>3124</v>
      </c>
    </row>
    <row r="1113">
      <c r="A1113" s="159"/>
      <c r="B1113" s="159"/>
      <c r="C1113" s="159"/>
      <c r="D1113" s="159"/>
      <c r="E1113" s="159"/>
      <c r="F1113" s="159"/>
      <c r="G1113" s="159"/>
      <c r="H1113" s="159"/>
      <c r="I1113" s="157"/>
      <c r="J1113" s="157"/>
      <c r="K1113" s="157"/>
      <c r="L1113" s="157"/>
      <c r="M1113" s="157"/>
      <c r="N1113" s="157"/>
      <c r="O1113" s="157"/>
      <c r="P1113" s="753"/>
      <c r="AK1113" s="40">
        <v>1110.0</v>
      </c>
      <c r="AL1113" s="719" t="s">
        <v>3127</v>
      </c>
      <c r="AM1113" s="720" t="s">
        <v>3122</v>
      </c>
      <c r="AN1113" s="720" t="s">
        <v>3123</v>
      </c>
      <c r="AO1113" s="722">
        <v>0.231</v>
      </c>
      <c r="AP1113" s="722" t="s">
        <v>3124</v>
      </c>
    </row>
    <row r="1114">
      <c r="A1114" s="159"/>
      <c r="B1114" s="159"/>
      <c r="C1114" s="159"/>
      <c r="D1114" s="159"/>
      <c r="E1114" s="159"/>
      <c r="F1114" s="159"/>
      <c r="G1114" s="159"/>
      <c r="H1114" s="159"/>
      <c r="I1114" s="157"/>
      <c r="J1114" s="157"/>
      <c r="K1114" s="157"/>
      <c r="L1114" s="157"/>
      <c r="M1114" s="157"/>
      <c r="N1114" s="157"/>
      <c r="O1114" s="157"/>
      <c r="P1114" s="753"/>
      <c r="AK1114" s="40">
        <v>1111.0</v>
      </c>
      <c r="AL1114" s="738" t="s">
        <v>3128</v>
      </c>
      <c r="AM1114" s="738" t="s">
        <v>2156</v>
      </c>
      <c r="AN1114" s="745"/>
      <c r="AO1114" s="739">
        <v>0.0</v>
      </c>
      <c r="AP1114" s="739" t="s">
        <v>2157</v>
      </c>
    </row>
    <row r="1115">
      <c r="A1115" s="159"/>
      <c r="B1115" s="159"/>
      <c r="C1115" s="159"/>
      <c r="D1115" s="159"/>
      <c r="E1115" s="159"/>
      <c r="F1115" s="159"/>
      <c r="G1115" s="159"/>
      <c r="H1115" s="159"/>
      <c r="I1115" s="157"/>
      <c r="J1115" s="157"/>
      <c r="K1115" s="157"/>
      <c r="L1115" s="157"/>
      <c r="M1115" s="157"/>
      <c r="N1115" s="157"/>
      <c r="O1115" s="157"/>
      <c r="P1115" s="753"/>
      <c r="AK1115" s="40">
        <v>1112.0</v>
      </c>
      <c r="AL1115" s="719" t="s">
        <v>3129</v>
      </c>
      <c r="AM1115" s="720" t="s">
        <v>3122</v>
      </c>
      <c r="AN1115" s="720" t="s">
        <v>3123</v>
      </c>
      <c r="AO1115" s="722">
        <v>0.231</v>
      </c>
      <c r="AP1115" s="722" t="s">
        <v>3124</v>
      </c>
    </row>
    <row r="1116">
      <c r="A1116" s="159"/>
      <c r="B1116" s="159"/>
      <c r="C1116" s="159"/>
      <c r="D1116" s="159"/>
      <c r="E1116" s="159"/>
      <c r="F1116" s="159"/>
      <c r="G1116" s="159"/>
      <c r="H1116" s="159"/>
      <c r="I1116" s="157"/>
      <c r="J1116" s="157"/>
      <c r="K1116" s="157"/>
      <c r="L1116" s="157"/>
      <c r="M1116" s="157"/>
      <c r="N1116" s="157"/>
      <c r="O1116" s="157"/>
      <c r="P1116" s="753"/>
      <c r="AK1116" s="40">
        <v>1113.0</v>
      </c>
      <c r="AL1116" s="738" t="s">
        <v>3130</v>
      </c>
      <c r="AM1116" s="738" t="s">
        <v>3122</v>
      </c>
      <c r="AN1116" s="738" t="s">
        <v>3123</v>
      </c>
      <c r="AO1116" s="739">
        <v>0.231</v>
      </c>
      <c r="AP1116" s="739" t="s">
        <v>3124</v>
      </c>
    </row>
    <row r="1117">
      <c r="A1117" s="159"/>
      <c r="B1117" s="159"/>
      <c r="C1117" s="159"/>
      <c r="D1117" s="159"/>
      <c r="E1117" s="159"/>
      <c r="F1117" s="159"/>
      <c r="G1117" s="159"/>
      <c r="H1117" s="159"/>
      <c r="I1117" s="157"/>
      <c r="J1117" s="157"/>
      <c r="K1117" s="157"/>
      <c r="L1117" s="157"/>
      <c r="M1117" s="157"/>
      <c r="N1117" s="157"/>
      <c r="O1117" s="157"/>
      <c r="P1117" s="753"/>
      <c r="AK1117" s="40">
        <v>1114.0</v>
      </c>
      <c r="AL1117" s="719" t="s">
        <v>3131</v>
      </c>
      <c r="AM1117" s="720" t="s">
        <v>3122</v>
      </c>
      <c r="AN1117" s="720" t="s">
        <v>3123</v>
      </c>
      <c r="AO1117" s="722">
        <v>0.231</v>
      </c>
      <c r="AP1117" s="722" t="s">
        <v>3124</v>
      </c>
    </row>
    <row r="1118">
      <c r="A1118" s="159"/>
      <c r="B1118" s="159"/>
      <c r="C1118" s="159"/>
      <c r="D1118" s="159"/>
      <c r="E1118" s="159"/>
      <c r="F1118" s="159"/>
      <c r="G1118" s="159"/>
      <c r="H1118" s="159"/>
      <c r="I1118" s="157"/>
      <c r="J1118" s="157"/>
      <c r="K1118" s="157"/>
      <c r="L1118" s="157"/>
      <c r="M1118" s="157"/>
      <c r="N1118" s="157"/>
      <c r="O1118" s="157"/>
      <c r="P1118" s="753"/>
      <c r="AK1118" s="40">
        <v>1115.0</v>
      </c>
      <c r="AL1118" s="738" t="s">
        <v>3132</v>
      </c>
      <c r="AM1118" s="738" t="s">
        <v>3122</v>
      </c>
      <c r="AN1118" s="738" t="s">
        <v>3123</v>
      </c>
      <c r="AO1118" s="739">
        <v>0.231</v>
      </c>
      <c r="AP1118" s="739" t="s">
        <v>3124</v>
      </c>
    </row>
    <row r="1119">
      <c r="A1119" s="159"/>
      <c r="B1119" s="159"/>
      <c r="C1119" s="159"/>
      <c r="D1119" s="159"/>
      <c r="E1119" s="159"/>
      <c r="F1119" s="159"/>
      <c r="G1119" s="159"/>
      <c r="H1119" s="159"/>
      <c r="I1119" s="157"/>
      <c r="J1119" s="157"/>
      <c r="K1119" s="157"/>
      <c r="L1119" s="157"/>
      <c r="M1119" s="157"/>
      <c r="N1119" s="157"/>
      <c r="O1119" s="157"/>
      <c r="P1119" s="753"/>
      <c r="AK1119" s="40">
        <v>1116.0</v>
      </c>
      <c r="AL1119" s="719" t="s">
        <v>3133</v>
      </c>
      <c r="AM1119" s="720" t="s">
        <v>2156</v>
      </c>
      <c r="AN1119" s="721"/>
      <c r="AO1119" s="722">
        <v>0.0</v>
      </c>
      <c r="AP1119" s="722" t="s">
        <v>2157</v>
      </c>
    </row>
    <row r="1120">
      <c r="A1120" s="159"/>
      <c r="B1120" s="159"/>
      <c r="C1120" s="159"/>
      <c r="D1120" s="159"/>
      <c r="E1120" s="159"/>
      <c r="F1120" s="159"/>
      <c r="G1120" s="159"/>
      <c r="H1120" s="159"/>
      <c r="I1120" s="157"/>
      <c r="J1120" s="157"/>
      <c r="K1120" s="157"/>
      <c r="L1120" s="157"/>
      <c r="M1120" s="157"/>
      <c r="N1120" s="157"/>
      <c r="O1120" s="157"/>
      <c r="P1120" s="753"/>
      <c r="AK1120" s="40">
        <v>1117.0</v>
      </c>
      <c r="AL1120" s="738" t="s">
        <v>3134</v>
      </c>
      <c r="AM1120" s="738" t="s">
        <v>1860</v>
      </c>
      <c r="AN1120" s="738" t="s">
        <v>1861</v>
      </c>
      <c r="AO1120" s="739">
        <v>0.324</v>
      </c>
      <c r="AP1120" s="739" t="s">
        <v>1862</v>
      </c>
    </row>
    <row r="1121">
      <c r="A1121" s="159"/>
      <c r="B1121" s="159"/>
      <c r="C1121" s="159"/>
      <c r="D1121" s="159"/>
      <c r="E1121" s="159"/>
      <c r="F1121" s="159"/>
      <c r="G1121" s="159"/>
      <c r="H1121" s="159"/>
      <c r="I1121" s="157"/>
      <c r="J1121" s="157"/>
      <c r="K1121" s="157"/>
      <c r="L1121" s="157"/>
      <c r="M1121" s="157"/>
      <c r="N1121" s="157"/>
      <c r="O1121" s="157"/>
      <c r="P1121" s="753"/>
      <c r="AK1121" s="40">
        <v>1118.0</v>
      </c>
      <c r="AL1121" s="719" t="s">
        <v>3135</v>
      </c>
      <c r="AM1121" s="720" t="s">
        <v>2105</v>
      </c>
      <c r="AN1121" s="720" t="s">
        <v>2106</v>
      </c>
      <c r="AO1121" s="722">
        <v>0.011</v>
      </c>
      <c r="AP1121" s="722" t="s">
        <v>2107</v>
      </c>
    </row>
    <row r="1122">
      <c r="A1122" s="159"/>
      <c r="B1122" s="159"/>
      <c r="C1122" s="159"/>
      <c r="D1122" s="159"/>
      <c r="E1122" s="159"/>
      <c r="F1122" s="159"/>
      <c r="G1122" s="159"/>
      <c r="H1122" s="159"/>
      <c r="I1122" s="157"/>
      <c r="J1122" s="157"/>
      <c r="K1122" s="157"/>
      <c r="L1122" s="157"/>
      <c r="M1122" s="157"/>
      <c r="N1122" s="157"/>
      <c r="O1122" s="157"/>
      <c r="P1122" s="753"/>
      <c r="AK1122" s="40">
        <v>1119.0</v>
      </c>
      <c r="AL1122" s="738" t="s">
        <v>3136</v>
      </c>
      <c r="AM1122" s="738" t="s">
        <v>1980</v>
      </c>
      <c r="AN1122" s="738" t="s">
        <v>1981</v>
      </c>
      <c r="AO1122" s="739">
        <v>0.114</v>
      </c>
      <c r="AP1122" s="739" t="s">
        <v>1982</v>
      </c>
    </row>
    <row r="1123">
      <c r="A1123" s="159"/>
      <c r="B1123" s="159"/>
      <c r="C1123" s="159"/>
      <c r="D1123" s="159"/>
      <c r="E1123" s="159"/>
      <c r="F1123" s="159"/>
      <c r="G1123" s="159"/>
      <c r="H1123" s="159"/>
      <c r="I1123" s="157"/>
      <c r="J1123" s="157"/>
      <c r="K1123" s="157"/>
      <c r="L1123" s="157"/>
      <c r="M1123" s="157"/>
      <c r="N1123" s="157"/>
      <c r="O1123" s="157"/>
      <c r="P1123" s="753"/>
      <c r="AK1123" s="40">
        <v>1120.0</v>
      </c>
      <c r="AL1123" s="719" t="s">
        <v>3137</v>
      </c>
      <c r="AM1123" s="720" t="s">
        <v>1860</v>
      </c>
      <c r="AN1123" s="720" t="s">
        <v>1861</v>
      </c>
      <c r="AO1123" s="722">
        <v>0.324</v>
      </c>
      <c r="AP1123" s="722" t="s">
        <v>1862</v>
      </c>
    </row>
    <row r="1124">
      <c r="A1124" s="159"/>
      <c r="B1124" s="159"/>
      <c r="C1124" s="159"/>
      <c r="D1124" s="159"/>
      <c r="E1124" s="159"/>
      <c r="F1124" s="159"/>
      <c r="G1124" s="159"/>
      <c r="H1124" s="159"/>
      <c r="I1124" s="157"/>
      <c r="J1124" s="157"/>
      <c r="K1124" s="157"/>
      <c r="L1124" s="157"/>
      <c r="M1124" s="157"/>
      <c r="N1124" s="157"/>
      <c r="O1124" s="157"/>
      <c r="P1124" s="753"/>
      <c r="AK1124" s="40">
        <v>1121.0</v>
      </c>
      <c r="AL1124" s="738" t="s">
        <v>3138</v>
      </c>
      <c r="AM1124" s="738" t="s">
        <v>2156</v>
      </c>
      <c r="AN1124" s="745"/>
      <c r="AO1124" s="739">
        <v>0.0</v>
      </c>
      <c r="AP1124" s="739" t="s">
        <v>2157</v>
      </c>
    </row>
    <row r="1125">
      <c r="A1125" s="159"/>
      <c r="B1125" s="159"/>
      <c r="C1125" s="159"/>
      <c r="D1125" s="159"/>
      <c r="E1125" s="159"/>
      <c r="F1125" s="159"/>
      <c r="G1125" s="159"/>
      <c r="H1125" s="159"/>
      <c r="I1125" s="157"/>
      <c r="J1125" s="157"/>
      <c r="K1125" s="157"/>
      <c r="L1125" s="157"/>
      <c r="M1125" s="157"/>
      <c r="N1125" s="157"/>
      <c r="O1125" s="157"/>
      <c r="P1125" s="753"/>
      <c r="AK1125" s="40">
        <v>1122.0</v>
      </c>
      <c r="AL1125" s="719" t="s">
        <v>3139</v>
      </c>
      <c r="AM1125" s="720" t="s">
        <v>3140</v>
      </c>
      <c r="AN1125" s="720" t="s">
        <v>1744</v>
      </c>
      <c r="AO1125" s="722">
        <v>0.413</v>
      </c>
      <c r="AP1125" s="722" t="s">
        <v>3141</v>
      </c>
    </row>
    <row r="1126">
      <c r="A1126" s="159"/>
      <c r="B1126" s="159"/>
      <c r="C1126" s="159"/>
      <c r="D1126" s="159"/>
      <c r="E1126" s="159"/>
      <c r="F1126" s="159"/>
      <c r="G1126" s="159"/>
      <c r="H1126" s="159"/>
      <c r="I1126" s="157"/>
      <c r="J1126" s="157"/>
      <c r="K1126" s="157"/>
      <c r="L1126" s="157"/>
      <c r="M1126" s="157"/>
      <c r="N1126" s="157"/>
      <c r="O1126" s="157"/>
      <c r="P1126" s="753"/>
      <c r="AK1126" s="40">
        <v>1123.0</v>
      </c>
      <c r="AL1126" s="738" t="s">
        <v>3142</v>
      </c>
      <c r="AM1126" s="738" t="s">
        <v>2105</v>
      </c>
      <c r="AN1126" s="738" t="s">
        <v>2106</v>
      </c>
      <c r="AO1126" s="739">
        <v>0.011</v>
      </c>
      <c r="AP1126" s="739" t="s">
        <v>2107</v>
      </c>
    </row>
    <row r="1127">
      <c r="A1127" s="159"/>
      <c r="B1127" s="159"/>
      <c r="C1127" s="159"/>
      <c r="D1127" s="159"/>
      <c r="E1127" s="159"/>
      <c r="F1127" s="159"/>
      <c r="G1127" s="159"/>
      <c r="H1127" s="159"/>
      <c r="I1127" s="157"/>
      <c r="J1127" s="157"/>
      <c r="K1127" s="157"/>
      <c r="L1127" s="157"/>
      <c r="M1127" s="157"/>
      <c r="N1127" s="157"/>
      <c r="O1127" s="157"/>
      <c r="P1127" s="753"/>
      <c r="AK1127" s="40">
        <v>1124.0</v>
      </c>
      <c r="AL1127" s="719" t="s">
        <v>3143</v>
      </c>
      <c r="AM1127" s="720" t="s">
        <v>1980</v>
      </c>
      <c r="AN1127" s="720" t="s">
        <v>1981</v>
      </c>
      <c r="AO1127" s="722">
        <v>0.114</v>
      </c>
      <c r="AP1127" s="722" t="s">
        <v>1982</v>
      </c>
    </row>
    <row r="1128">
      <c r="A1128" s="159"/>
      <c r="B1128" s="159"/>
      <c r="C1128" s="159"/>
      <c r="D1128" s="159"/>
      <c r="E1128" s="159"/>
      <c r="F1128" s="159"/>
      <c r="G1128" s="159"/>
      <c r="H1128" s="159"/>
      <c r="I1128" s="157"/>
      <c r="J1128" s="157"/>
      <c r="K1128" s="157"/>
      <c r="L1128" s="157"/>
      <c r="M1128" s="157"/>
      <c r="N1128" s="157"/>
      <c r="O1128" s="157"/>
      <c r="P1128" s="753"/>
      <c r="AK1128" s="40">
        <v>1125.0</v>
      </c>
      <c r="AL1128" s="738" t="s">
        <v>3144</v>
      </c>
      <c r="AM1128" s="738" t="s">
        <v>1860</v>
      </c>
      <c r="AN1128" s="738" t="s">
        <v>1861</v>
      </c>
      <c r="AO1128" s="739">
        <v>0.324</v>
      </c>
      <c r="AP1128" s="739" t="s">
        <v>1862</v>
      </c>
    </row>
    <row r="1129">
      <c r="A1129" s="159"/>
      <c r="B1129" s="159"/>
      <c r="C1129" s="159"/>
      <c r="D1129" s="159"/>
      <c r="E1129" s="159"/>
      <c r="F1129" s="159"/>
      <c r="G1129" s="159"/>
      <c r="H1129" s="159"/>
      <c r="I1129" s="157"/>
      <c r="J1129" s="157"/>
      <c r="K1129" s="157"/>
      <c r="L1129" s="157"/>
      <c r="M1129" s="157"/>
      <c r="N1129" s="157"/>
      <c r="O1129" s="157"/>
      <c r="P1129" s="753"/>
      <c r="AK1129" s="40">
        <v>1126.0</v>
      </c>
      <c r="AL1129" s="719" t="s">
        <v>3145</v>
      </c>
      <c r="AM1129" s="720" t="s">
        <v>2156</v>
      </c>
      <c r="AN1129" s="721"/>
      <c r="AO1129" s="722">
        <v>0.0</v>
      </c>
      <c r="AP1129" s="722" t="s">
        <v>2157</v>
      </c>
    </row>
    <row r="1130">
      <c r="A1130" s="159"/>
      <c r="B1130" s="159"/>
      <c r="C1130" s="159"/>
      <c r="D1130" s="159"/>
      <c r="E1130" s="159"/>
      <c r="F1130" s="159"/>
      <c r="G1130" s="159"/>
      <c r="H1130" s="159"/>
      <c r="I1130" s="157"/>
      <c r="J1130" s="157"/>
      <c r="K1130" s="157"/>
      <c r="L1130" s="157"/>
      <c r="M1130" s="157"/>
      <c r="N1130" s="157"/>
      <c r="O1130" s="157"/>
      <c r="P1130" s="753"/>
      <c r="AK1130" s="40">
        <v>1127.0</v>
      </c>
      <c r="AL1130" s="738" t="s">
        <v>3146</v>
      </c>
      <c r="AM1130" s="738" t="s">
        <v>1727</v>
      </c>
      <c r="AN1130" s="745"/>
      <c r="AO1130" s="739" t="s">
        <v>1728</v>
      </c>
      <c r="AP1130" s="740"/>
    </row>
    <row r="1131">
      <c r="A1131" s="159"/>
      <c r="B1131" s="159"/>
      <c r="C1131" s="159"/>
      <c r="D1131" s="159"/>
      <c r="E1131" s="159"/>
      <c r="F1131" s="159"/>
      <c r="G1131" s="159"/>
      <c r="H1131" s="159"/>
      <c r="I1131" s="157"/>
      <c r="J1131" s="157"/>
      <c r="K1131" s="157"/>
      <c r="L1131" s="157"/>
      <c r="M1131" s="157"/>
      <c r="N1131" s="157"/>
      <c r="O1131" s="157"/>
      <c r="P1131" s="753"/>
      <c r="AK1131" s="40">
        <v>1128.0</v>
      </c>
      <c r="AL1131" s="719" t="s">
        <v>3147</v>
      </c>
      <c r="AM1131" s="720" t="s">
        <v>3148</v>
      </c>
      <c r="AN1131" s="720" t="s">
        <v>3149</v>
      </c>
      <c r="AO1131" s="722">
        <v>0.069</v>
      </c>
      <c r="AP1131" s="722" t="s">
        <v>2840</v>
      </c>
    </row>
    <row r="1132">
      <c r="A1132" s="159"/>
      <c r="B1132" s="159"/>
      <c r="C1132" s="159"/>
      <c r="D1132" s="159"/>
      <c r="E1132" s="159"/>
      <c r="F1132" s="159"/>
      <c r="G1132" s="159"/>
      <c r="H1132" s="159"/>
      <c r="I1132" s="157"/>
      <c r="J1132" s="157"/>
      <c r="K1132" s="157"/>
      <c r="L1132" s="157"/>
      <c r="M1132" s="157"/>
      <c r="N1132" s="157"/>
      <c r="O1132" s="157"/>
      <c r="P1132" s="753"/>
      <c r="AK1132" s="40">
        <v>1129.0</v>
      </c>
      <c r="AL1132" s="738" t="s">
        <v>3150</v>
      </c>
      <c r="AM1132" s="738" t="s">
        <v>3151</v>
      </c>
      <c r="AN1132" s="738" t="s">
        <v>3152</v>
      </c>
      <c r="AO1132" s="739">
        <v>0.377</v>
      </c>
      <c r="AP1132" s="739" t="s">
        <v>3153</v>
      </c>
    </row>
    <row r="1133">
      <c r="A1133" s="159"/>
      <c r="B1133" s="159"/>
      <c r="C1133" s="159"/>
      <c r="D1133" s="159"/>
      <c r="E1133" s="159"/>
      <c r="F1133" s="159"/>
      <c r="G1133" s="159"/>
      <c r="H1133" s="159"/>
      <c r="I1133" s="157"/>
      <c r="J1133" s="157"/>
      <c r="K1133" s="157"/>
      <c r="L1133" s="157"/>
      <c r="M1133" s="157"/>
      <c r="N1133" s="157"/>
      <c r="O1133" s="157"/>
      <c r="P1133" s="753"/>
      <c r="AK1133" s="40">
        <v>1130.0</v>
      </c>
      <c r="AL1133" s="719" t="s">
        <v>3154</v>
      </c>
      <c r="AM1133" s="720" t="s">
        <v>3155</v>
      </c>
      <c r="AN1133" s="720" t="s">
        <v>3156</v>
      </c>
      <c r="AO1133" s="722">
        <v>0.449</v>
      </c>
      <c r="AP1133" s="722" t="s">
        <v>3157</v>
      </c>
    </row>
    <row r="1134">
      <c r="A1134" s="159"/>
      <c r="B1134" s="159"/>
      <c r="C1134" s="159"/>
      <c r="D1134" s="159"/>
      <c r="E1134" s="159"/>
      <c r="F1134" s="159"/>
      <c r="G1134" s="159"/>
      <c r="H1134" s="159"/>
      <c r="I1134" s="157"/>
      <c r="J1134" s="157"/>
      <c r="K1134" s="157"/>
      <c r="L1134" s="157"/>
      <c r="M1134" s="157"/>
      <c r="N1134" s="157"/>
      <c r="O1134" s="157"/>
      <c r="P1134" s="753"/>
      <c r="AK1134" s="40">
        <v>1131.0</v>
      </c>
      <c r="AL1134" s="738" t="s">
        <v>3158</v>
      </c>
      <c r="AM1134" s="738" t="s">
        <v>3159</v>
      </c>
      <c r="AN1134" s="738" t="s">
        <v>3160</v>
      </c>
      <c r="AO1134" s="739">
        <v>0.01</v>
      </c>
      <c r="AP1134" s="739" t="s">
        <v>2325</v>
      </c>
    </row>
    <row r="1135">
      <c r="A1135" s="159"/>
      <c r="B1135" s="159"/>
      <c r="C1135" s="159"/>
      <c r="D1135" s="159"/>
      <c r="E1135" s="159"/>
      <c r="F1135" s="159"/>
      <c r="G1135" s="159"/>
      <c r="H1135" s="159"/>
      <c r="I1135" s="157"/>
      <c r="J1135" s="157"/>
      <c r="K1135" s="157"/>
      <c r="L1135" s="157"/>
      <c r="M1135" s="157"/>
      <c r="N1135" s="157"/>
      <c r="O1135" s="157"/>
      <c r="P1135" s="753"/>
      <c r="AK1135" s="40">
        <v>1132.0</v>
      </c>
      <c r="AL1135" s="719" t="s">
        <v>3161</v>
      </c>
      <c r="AM1135" s="720" t="s">
        <v>3162</v>
      </c>
      <c r="AN1135" s="720" t="s">
        <v>3163</v>
      </c>
      <c r="AO1135" s="722">
        <v>0.267</v>
      </c>
      <c r="AP1135" s="722" t="s">
        <v>3164</v>
      </c>
    </row>
    <row r="1136">
      <c r="A1136" s="159"/>
      <c r="B1136" s="159"/>
      <c r="C1136" s="159"/>
      <c r="D1136" s="159"/>
      <c r="E1136" s="159"/>
      <c r="F1136" s="159"/>
      <c r="G1136" s="159"/>
      <c r="H1136" s="159"/>
      <c r="I1136" s="157"/>
      <c r="J1136" s="157"/>
      <c r="K1136" s="157"/>
      <c r="L1136" s="157"/>
      <c r="M1136" s="157"/>
      <c r="N1136" s="157"/>
      <c r="O1136" s="157"/>
      <c r="P1136" s="753"/>
      <c r="AK1136" s="40">
        <v>1133.0</v>
      </c>
      <c r="AL1136" s="738" t="s">
        <v>3165</v>
      </c>
      <c r="AM1136" s="738" t="s">
        <v>3166</v>
      </c>
      <c r="AN1136" s="738" t="s">
        <v>3167</v>
      </c>
      <c r="AO1136" s="739">
        <v>0.575</v>
      </c>
      <c r="AP1136" s="739" t="s">
        <v>3168</v>
      </c>
    </row>
    <row r="1137">
      <c r="A1137" s="159"/>
      <c r="B1137" s="159"/>
      <c r="C1137" s="159"/>
      <c r="D1137" s="159"/>
      <c r="E1137" s="159"/>
      <c r="F1137" s="159"/>
      <c r="G1137" s="159"/>
      <c r="H1137" s="159"/>
      <c r="I1137" s="157"/>
      <c r="J1137" s="157"/>
      <c r="K1137" s="157"/>
      <c r="L1137" s="157"/>
      <c r="M1137" s="157"/>
      <c r="N1137" s="157"/>
      <c r="O1137" s="157"/>
      <c r="P1137" s="753"/>
      <c r="AK1137" s="40">
        <v>1134.0</v>
      </c>
      <c r="AL1137" s="719" t="s">
        <v>3169</v>
      </c>
      <c r="AM1137" s="720" t="s">
        <v>2065</v>
      </c>
      <c r="AN1137" s="720" t="s">
        <v>2066</v>
      </c>
      <c r="AO1137" s="722">
        <v>0.049</v>
      </c>
      <c r="AP1137" s="722" t="s">
        <v>2067</v>
      </c>
    </row>
    <row r="1138">
      <c r="A1138" s="159"/>
      <c r="B1138" s="159"/>
      <c r="C1138" s="159"/>
      <c r="D1138" s="159"/>
      <c r="E1138" s="159"/>
      <c r="F1138" s="159"/>
      <c r="G1138" s="159"/>
      <c r="H1138" s="159"/>
      <c r="I1138" s="157"/>
      <c r="J1138" s="157"/>
      <c r="K1138" s="157"/>
      <c r="L1138" s="157"/>
      <c r="M1138" s="157"/>
      <c r="N1138" s="157"/>
      <c r="O1138" s="157"/>
      <c r="P1138" s="753"/>
      <c r="AK1138" s="40">
        <v>1135.0</v>
      </c>
      <c r="AL1138" s="738" t="s">
        <v>3170</v>
      </c>
      <c r="AM1138" s="738" t="s">
        <v>3171</v>
      </c>
      <c r="AN1138" s="738" t="s">
        <v>3172</v>
      </c>
      <c r="AO1138" s="739">
        <v>0.552</v>
      </c>
      <c r="AP1138" s="739" t="s">
        <v>3173</v>
      </c>
    </row>
    <row r="1139">
      <c r="A1139" s="159"/>
      <c r="B1139" s="159"/>
      <c r="C1139" s="159"/>
      <c r="D1139" s="159"/>
      <c r="E1139" s="159"/>
      <c r="F1139" s="159"/>
      <c r="G1139" s="159"/>
      <c r="H1139" s="159"/>
      <c r="I1139" s="157"/>
      <c r="J1139" s="157"/>
      <c r="K1139" s="157"/>
      <c r="L1139" s="157"/>
      <c r="M1139" s="157"/>
      <c r="N1139" s="157"/>
      <c r="O1139" s="157"/>
      <c r="P1139" s="753"/>
      <c r="AK1139" s="40">
        <v>1136.0</v>
      </c>
      <c r="AL1139" s="719" t="s">
        <v>3174</v>
      </c>
      <c r="AM1139" s="720" t="s">
        <v>3175</v>
      </c>
      <c r="AN1139" s="720" t="s">
        <v>3176</v>
      </c>
      <c r="AO1139" s="722">
        <v>0.263</v>
      </c>
      <c r="AP1139" s="722" t="s">
        <v>3177</v>
      </c>
    </row>
    <row r="1140">
      <c r="A1140" s="159"/>
      <c r="B1140" s="159"/>
      <c r="C1140" s="159"/>
      <c r="D1140" s="159"/>
      <c r="E1140" s="159"/>
      <c r="F1140" s="159"/>
      <c r="G1140" s="159"/>
      <c r="H1140" s="159"/>
      <c r="I1140" s="157"/>
      <c r="J1140" s="157"/>
      <c r="K1140" s="157"/>
      <c r="L1140" s="157"/>
      <c r="M1140" s="157"/>
      <c r="N1140" s="157"/>
      <c r="O1140" s="157"/>
      <c r="P1140" s="753"/>
      <c r="AK1140" s="40">
        <v>1137.0</v>
      </c>
      <c r="AL1140" s="738" t="s">
        <v>3178</v>
      </c>
      <c r="AM1140" s="738" t="s">
        <v>3179</v>
      </c>
      <c r="AN1140" s="738" t="s">
        <v>3180</v>
      </c>
      <c r="AO1140" s="739">
        <v>0.183</v>
      </c>
      <c r="AP1140" s="739" t="s">
        <v>3181</v>
      </c>
    </row>
    <row r="1141">
      <c r="A1141" s="159"/>
      <c r="B1141" s="159"/>
      <c r="C1141" s="159"/>
      <c r="D1141" s="159"/>
      <c r="E1141" s="159"/>
      <c r="F1141" s="159"/>
      <c r="G1141" s="159"/>
      <c r="H1141" s="159"/>
      <c r="I1141" s="157"/>
      <c r="J1141" s="157"/>
      <c r="K1141" s="157"/>
      <c r="L1141" s="157"/>
      <c r="M1141" s="157"/>
      <c r="N1141" s="157"/>
      <c r="O1141" s="157"/>
      <c r="P1141" s="753"/>
      <c r="AK1141" s="40">
        <v>1138.0</v>
      </c>
      <c r="AL1141" s="719" t="s">
        <v>3182</v>
      </c>
      <c r="AM1141" s="720" t="s">
        <v>3183</v>
      </c>
      <c r="AN1141" s="720" t="s">
        <v>3184</v>
      </c>
      <c r="AO1141" s="722">
        <v>0.463</v>
      </c>
      <c r="AP1141" s="722" t="s">
        <v>3185</v>
      </c>
    </row>
    <row r="1142">
      <c r="A1142" s="159"/>
      <c r="B1142" s="159"/>
      <c r="C1142" s="159"/>
      <c r="D1142" s="159"/>
      <c r="E1142" s="159"/>
      <c r="F1142" s="159"/>
      <c r="G1142" s="159"/>
      <c r="H1142" s="159"/>
      <c r="I1142" s="157"/>
      <c r="J1142" s="157"/>
      <c r="K1142" s="157"/>
      <c r="L1142" s="157"/>
      <c r="M1142" s="157"/>
      <c r="N1142" s="157"/>
      <c r="O1142" s="157"/>
      <c r="P1142" s="753"/>
      <c r="AK1142" s="40">
        <v>1139.0</v>
      </c>
      <c r="AL1142" s="738" t="s">
        <v>3186</v>
      </c>
      <c r="AM1142" s="738" t="s">
        <v>3187</v>
      </c>
      <c r="AN1142" s="738" t="s">
        <v>3188</v>
      </c>
      <c r="AO1142" s="739">
        <v>0.719</v>
      </c>
      <c r="AP1142" s="739" t="s">
        <v>3189</v>
      </c>
    </row>
    <row r="1143">
      <c r="A1143" s="159"/>
      <c r="B1143" s="159"/>
      <c r="C1143" s="159"/>
      <c r="D1143" s="159"/>
      <c r="E1143" s="159"/>
      <c r="F1143" s="159"/>
      <c r="G1143" s="159"/>
      <c r="H1143" s="159"/>
      <c r="I1143" s="157"/>
      <c r="J1143" s="157"/>
      <c r="K1143" s="157"/>
      <c r="L1143" s="157"/>
      <c r="M1143" s="157"/>
      <c r="N1143" s="157"/>
      <c r="O1143" s="157"/>
      <c r="P1143" s="753"/>
      <c r="AK1143" s="40">
        <v>1140.0</v>
      </c>
      <c r="AL1143" s="719" t="s">
        <v>3190</v>
      </c>
      <c r="AM1143" s="720" t="s">
        <v>2156</v>
      </c>
      <c r="AN1143" s="721"/>
      <c r="AO1143" s="722">
        <v>0.0</v>
      </c>
      <c r="AP1143" s="722" t="s">
        <v>2157</v>
      </c>
    </row>
    <row r="1144">
      <c r="A1144" s="159"/>
      <c r="B1144" s="159"/>
      <c r="C1144" s="159"/>
      <c r="D1144" s="159"/>
      <c r="E1144" s="159"/>
      <c r="F1144" s="159"/>
      <c r="G1144" s="159"/>
      <c r="H1144" s="159"/>
      <c r="I1144" s="157"/>
      <c r="J1144" s="157"/>
      <c r="K1144" s="157"/>
      <c r="L1144" s="157"/>
      <c r="M1144" s="157"/>
      <c r="N1144" s="157"/>
      <c r="O1144" s="157"/>
      <c r="P1144" s="753"/>
      <c r="AK1144" s="40">
        <v>1141.0</v>
      </c>
      <c r="AL1144" s="738" t="s">
        <v>3191</v>
      </c>
      <c r="AM1144" s="738" t="s">
        <v>2088</v>
      </c>
      <c r="AN1144" s="738" t="s">
        <v>2089</v>
      </c>
      <c r="AO1144" s="739">
        <v>0.019</v>
      </c>
      <c r="AP1144" s="739" t="s">
        <v>2090</v>
      </c>
    </row>
    <row r="1145">
      <c r="A1145" s="159"/>
      <c r="B1145" s="159"/>
      <c r="C1145" s="159"/>
      <c r="D1145" s="159"/>
      <c r="E1145" s="159"/>
      <c r="F1145" s="159"/>
      <c r="G1145" s="159"/>
      <c r="H1145" s="159"/>
      <c r="I1145" s="157"/>
      <c r="J1145" s="157"/>
      <c r="K1145" s="157"/>
      <c r="L1145" s="157"/>
      <c r="M1145" s="157"/>
      <c r="N1145" s="157"/>
      <c r="O1145" s="157"/>
      <c r="P1145" s="753"/>
      <c r="AK1145" s="40">
        <v>1142.0</v>
      </c>
      <c r="AL1145" s="719" t="s">
        <v>3192</v>
      </c>
      <c r="AM1145" s="720" t="s">
        <v>2241</v>
      </c>
      <c r="AN1145" s="720" t="s">
        <v>2242</v>
      </c>
      <c r="AO1145" s="722">
        <v>0.225</v>
      </c>
      <c r="AP1145" s="722" t="s">
        <v>2243</v>
      </c>
    </row>
    <row r="1146">
      <c r="A1146" s="159"/>
      <c r="B1146" s="159"/>
      <c r="C1146" s="159"/>
      <c r="D1146" s="159"/>
      <c r="E1146" s="159"/>
      <c r="F1146" s="159"/>
      <c r="G1146" s="159"/>
      <c r="H1146" s="159"/>
      <c r="I1146" s="157"/>
      <c r="J1146" s="157"/>
      <c r="K1146" s="157"/>
      <c r="L1146" s="157"/>
      <c r="M1146" s="157"/>
      <c r="N1146" s="157"/>
      <c r="O1146" s="157"/>
      <c r="P1146" s="753"/>
      <c r="AK1146" s="40">
        <v>1143.0</v>
      </c>
      <c r="AL1146" s="738" t="s">
        <v>3193</v>
      </c>
      <c r="AM1146" s="738" t="s">
        <v>2245</v>
      </c>
      <c r="AN1146" s="738" t="s">
        <v>2246</v>
      </c>
      <c r="AO1146" s="739">
        <v>0.408</v>
      </c>
      <c r="AP1146" s="739" t="s">
        <v>2247</v>
      </c>
    </row>
    <row r="1147">
      <c r="A1147" s="159"/>
      <c r="B1147" s="159"/>
      <c r="C1147" s="159"/>
      <c r="D1147" s="159"/>
      <c r="E1147" s="159"/>
      <c r="F1147" s="159"/>
      <c r="G1147" s="159"/>
      <c r="H1147" s="159"/>
      <c r="I1147" s="157"/>
      <c r="J1147" s="157"/>
      <c r="K1147" s="157"/>
      <c r="L1147" s="157"/>
      <c r="M1147" s="157"/>
      <c r="N1147" s="157"/>
      <c r="O1147" s="157"/>
      <c r="P1147" s="753"/>
      <c r="AK1147" s="40">
        <v>1144.0</v>
      </c>
      <c r="AL1147" s="719" t="s">
        <v>3194</v>
      </c>
      <c r="AM1147" s="720" t="s">
        <v>2100</v>
      </c>
      <c r="AN1147" s="720" t="s">
        <v>2101</v>
      </c>
      <c r="AO1147" s="722">
        <v>0.012</v>
      </c>
      <c r="AP1147" s="722" t="s">
        <v>2102</v>
      </c>
    </row>
    <row r="1148">
      <c r="A1148" s="159"/>
      <c r="B1148" s="159"/>
      <c r="C1148" s="159"/>
      <c r="D1148" s="159"/>
      <c r="E1148" s="159"/>
      <c r="F1148" s="159"/>
      <c r="G1148" s="159"/>
      <c r="H1148" s="159"/>
      <c r="I1148" s="157"/>
      <c r="J1148" s="157"/>
      <c r="K1148" s="157"/>
      <c r="L1148" s="157"/>
      <c r="M1148" s="157"/>
      <c r="N1148" s="157"/>
      <c r="O1148" s="157"/>
      <c r="P1148" s="753"/>
      <c r="AK1148" s="40">
        <v>1145.0</v>
      </c>
      <c r="AL1148" s="738" t="s">
        <v>3195</v>
      </c>
      <c r="AM1148" s="738" t="s">
        <v>2648</v>
      </c>
      <c r="AN1148" s="738" t="s">
        <v>2649</v>
      </c>
      <c r="AO1148" s="739">
        <v>0.051</v>
      </c>
      <c r="AP1148" s="739" t="s">
        <v>2650</v>
      </c>
    </row>
    <row r="1149">
      <c r="A1149" s="159"/>
      <c r="B1149" s="159"/>
      <c r="C1149" s="159"/>
      <c r="D1149" s="159"/>
      <c r="E1149" s="159"/>
      <c r="F1149" s="159"/>
      <c r="G1149" s="159"/>
      <c r="H1149" s="159"/>
      <c r="I1149" s="157"/>
      <c r="J1149" s="157"/>
      <c r="K1149" s="157"/>
      <c r="L1149" s="157"/>
      <c r="M1149" s="157"/>
      <c r="N1149" s="157"/>
      <c r="O1149" s="157"/>
      <c r="P1149" s="753"/>
      <c r="AK1149" s="40">
        <v>1146.0</v>
      </c>
      <c r="AL1149" s="719" t="s">
        <v>3196</v>
      </c>
      <c r="AM1149" s="720" t="s">
        <v>2323</v>
      </c>
      <c r="AN1149" s="720" t="s">
        <v>2324</v>
      </c>
      <c r="AO1149" s="722">
        <v>0.01</v>
      </c>
      <c r="AP1149" s="722" t="s">
        <v>2325</v>
      </c>
    </row>
    <row r="1150">
      <c r="A1150" s="159"/>
      <c r="B1150" s="159"/>
      <c r="C1150" s="159"/>
      <c r="D1150" s="159"/>
      <c r="E1150" s="159"/>
      <c r="F1150" s="159"/>
      <c r="G1150" s="159"/>
      <c r="H1150" s="159"/>
      <c r="I1150" s="157"/>
      <c r="J1150" s="157"/>
      <c r="K1150" s="157"/>
      <c r="L1150" s="157"/>
      <c r="M1150" s="157"/>
      <c r="N1150" s="157"/>
      <c r="O1150" s="157"/>
      <c r="P1150" s="753"/>
      <c r="AK1150" s="40">
        <v>1147.0</v>
      </c>
      <c r="AL1150" s="738" t="s">
        <v>3197</v>
      </c>
      <c r="AM1150" s="738" t="s">
        <v>2033</v>
      </c>
      <c r="AN1150" s="738" t="s">
        <v>2034</v>
      </c>
      <c r="AO1150" s="739">
        <v>0.061</v>
      </c>
      <c r="AP1150" s="739" t="s">
        <v>2035</v>
      </c>
    </row>
    <row r="1151">
      <c r="A1151" s="159"/>
      <c r="B1151" s="159"/>
      <c r="C1151" s="159"/>
      <c r="D1151" s="159"/>
      <c r="E1151" s="159"/>
      <c r="F1151" s="159"/>
      <c r="G1151" s="159"/>
      <c r="H1151" s="159"/>
      <c r="I1151" s="157"/>
      <c r="J1151" s="157"/>
      <c r="K1151" s="157"/>
      <c r="L1151" s="157"/>
      <c r="M1151" s="157"/>
      <c r="N1151" s="157"/>
      <c r="O1151" s="157"/>
      <c r="P1151" s="753"/>
      <c r="AK1151" s="40">
        <v>1148.0</v>
      </c>
      <c r="AL1151" s="719" t="s">
        <v>3198</v>
      </c>
      <c r="AM1151" s="720" t="s">
        <v>1835</v>
      </c>
      <c r="AN1151" s="720" t="s">
        <v>1836</v>
      </c>
      <c r="AO1151" s="722">
        <v>0.402</v>
      </c>
      <c r="AP1151" s="722" t="s">
        <v>1837</v>
      </c>
    </row>
    <row r="1152">
      <c r="A1152" s="159"/>
      <c r="B1152" s="159"/>
      <c r="C1152" s="159"/>
      <c r="D1152" s="159"/>
      <c r="E1152" s="159"/>
      <c r="F1152" s="159"/>
      <c r="G1152" s="159"/>
      <c r="H1152" s="159"/>
      <c r="I1152" s="157"/>
      <c r="J1152" s="157"/>
      <c r="K1152" s="157"/>
      <c r="L1152" s="157"/>
      <c r="M1152" s="157"/>
      <c r="N1152" s="157"/>
      <c r="O1152" s="157"/>
      <c r="P1152" s="753"/>
      <c r="AK1152" s="40">
        <v>1149.0</v>
      </c>
      <c r="AL1152" s="738" t="s">
        <v>3199</v>
      </c>
      <c r="AM1152" s="738" t="s">
        <v>3200</v>
      </c>
      <c r="AN1152" s="738" t="s">
        <v>3201</v>
      </c>
      <c r="AO1152" s="739">
        <v>0.079</v>
      </c>
      <c r="AP1152" s="739" t="s">
        <v>3202</v>
      </c>
    </row>
    <row r="1153">
      <c r="A1153" s="159"/>
      <c r="B1153" s="159"/>
      <c r="C1153" s="159"/>
      <c r="D1153" s="159"/>
      <c r="E1153" s="159"/>
      <c r="F1153" s="159"/>
      <c r="G1153" s="159"/>
      <c r="H1153" s="159"/>
      <c r="I1153" s="157"/>
      <c r="J1153" s="157"/>
      <c r="K1153" s="157"/>
      <c r="L1153" s="157"/>
      <c r="M1153" s="157"/>
      <c r="N1153" s="157"/>
      <c r="O1153" s="157"/>
      <c r="P1153" s="753"/>
      <c r="AK1153" s="40">
        <v>1150.0</v>
      </c>
      <c r="AL1153" s="719" t="s">
        <v>3203</v>
      </c>
      <c r="AM1153" s="720" t="s">
        <v>3204</v>
      </c>
      <c r="AN1153" s="720" t="s">
        <v>3201</v>
      </c>
      <c r="AO1153" s="722">
        <v>0.272</v>
      </c>
      <c r="AP1153" s="722" t="s">
        <v>3205</v>
      </c>
    </row>
    <row r="1154">
      <c r="A1154" s="159"/>
      <c r="B1154" s="159"/>
      <c r="C1154" s="159"/>
      <c r="D1154" s="159"/>
      <c r="E1154" s="159"/>
      <c r="F1154" s="159"/>
      <c r="G1154" s="159"/>
      <c r="H1154" s="159"/>
      <c r="I1154" s="157"/>
      <c r="J1154" s="157"/>
      <c r="K1154" s="157"/>
      <c r="L1154" s="157"/>
      <c r="M1154" s="157"/>
      <c r="N1154" s="157"/>
      <c r="O1154" s="157"/>
      <c r="P1154" s="753"/>
      <c r="AK1154" s="40">
        <v>1151.0</v>
      </c>
      <c r="AL1154" s="738" t="s">
        <v>3206</v>
      </c>
      <c r="AM1154" s="738" t="s">
        <v>3207</v>
      </c>
      <c r="AN1154" s="738" t="s">
        <v>1744</v>
      </c>
      <c r="AO1154" s="739">
        <v>0.444</v>
      </c>
      <c r="AP1154" s="739" t="s">
        <v>3208</v>
      </c>
    </row>
    <row r="1155">
      <c r="A1155" s="159"/>
      <c r="B1155" s="159"/>
      <c r="C1155" s="159"/>
      <c r="D1155" s="159"/>
      <c r="E1155" s="159"/>
      <c r="F1155" s="159"/>
      <c r="G1155" s="159"/>
      <c r="H1155" s="159"/>
      <c r="I1155" s="157"/>
      <c r="J1155" s="157"/>
      <c r="K1155" s="157"/>
      <c r="L1155" s="157"/>
      <c r="M1155" s="157"/>
      <c r="N1155" s="157"/>
      <c r="O1155" s="157"/>
      <c r="P1155" s="753"/>
      <c r="AK1155" s="40">
        <v>1152.0</v>
      </c>
      <c r="AL1155" s="719" t="s">
        <v>3209</v>
      </c>
      <c r="AM1155" s="720" t="s">
        <v>3210</v>
      </c>
      <c r="AN1155" s="720" t="s">
        <v>1744</v>
      </c>
      <c r="AO1155" s="722">
        <v>0.126</v>
      </c>
      <c r="AP1155" s="722" t="s">
        <v>3211</v>
      </c>
    </row>
    <row r="1156">
      <c r="A1156" s="159"/>
      <c r="B1156" s="159"/>
      <c r="C1156" s="159"/>
      <c r="D1156" s="159"/>
      <c r="E1156" s="159"/>
      <c r="F1156" s="159"/>
      <c r="G1156" s="159"/>
      <c r="H1156" s="159"/>
      <c r="I1156" s="157"/>
      <c r="J1156" s="157"/>
      <c r="K1156" s="157"/>
      <c r="L1156" s="157"/>
      <c r="M1156" s="157"/>
      <c r="N1156" s="157"/>
      <c r="O1156" s="157"/>
      <c r="P1156" s="753"/>
      <c r="AK1156" s="40">
        <v>1153.0</v>
      </c>
      <c r="AL1156" s="738" t="s">
        <v>3212</v>
      </c>
      <c r="AM1156" s="738" t="s">
        <v>3213</v>
      </c>
      <c r="AN1156" s="738" t="s">
        <v>1744</v>
      </c>
      <c r="AO1156" s="739">
        <v>0.309</v>
      </c>
      <c r="AP1156" s="739" t="s">
        <v>3214</v>
      </c>
    </row>
    <row r="1157">
      <c r="A1157" s="159"/>
      <c r="B1157" s="159"/>
      <c r="C1157" s="159"/>
      <c r="D1157" s="159"/>
      <c r="E1157" s="159"/>
      <c r="F1157" s="159"/>
      <c r="G1157" s="159"/>
      <c r="H1157" s="159"/>
      <c r="I1157" s="157"/>
      <c r="J1157" s="157"/>
      <c r="K1157" s="157"/>
      <c r="L1157" s="157"/>
      <c r="M1157" s="157"/>
      <c r="N1157" s="157"/>
      <c r="O1157" s="157"/>
      <c r="P1157" s="753"/>
      <c r="AK1157" s="40">
        <v>1154.0</v>
      </c>
      <c r="AL1157" s="719" t="s">
        <v>3215</v>
      </c>
      <c r="AM1157" s="720" t="s">
        <v>3216</v>
      </c>
      <c r="AN1157" s="720" t="s">
        <v>1744</v>
      </c>
      <c r="AO1157" s="722">
        <v>0.472</v>
      </c>
      <c r="AP1157" s="722" t="s">
        <v>3217</v>
      </c>
    </row>
    <row r="1158">
      <c r="A1158" s="159"/>
      <c r="B1158" s="159"/>
      <c r="C1158" s="159"/>
      <c r="D1158" s="159"/>
      <c r="E1158" s="159"/>
      <c r="F1158" s="159"/>
      <c r="G1158" s="159"/>
      <c r="H1158" s="159"/>
      <c r="I1158" s="157"/>
      <c r="J1158" s="157"/>
      <c r="K1158" s="157"/>
      <c r="L1158" s="157"/>
      <c r="M1158" s="157"/>
      <c r="N1158" s="157"/>
      <c r="O1158" s="157"/>
      <c r="P1158" s="753"/>
      <c r="AK1158" s="40">
        <v>1155.0</v>
      </c>
      <c r="AL1158" s="738" t="s">
        <v>3218</v>
      </c>
      <c r="AM1158" s="738" t="s">
        <v>3219</v>
      </c>
      <c r="AN1158" s="738" t="s">
        <v>1744</v>
      </c>
      <c r="AO1158" s="739">
        <v>0.443</v>
      </c>
      <c r="AP1158" s="739" t="s">
        <v>3220</v>
      </c>
    </row>
    <row r="1159">
      <c r="A1159" s="159"/>
      <c r="B1159" s="159"/>
      <c r="C1159" s="159"/>
      <c r="D1159" s="159"/>
      <c r="E1159" s="159"/>
      <c r="F1159" s="159"/>
      <c r="G1159" s="159"/>
      <c r="H1159" s="159"/>
      <c r="I1159" s="157"/>
      <c r="J1159" s="157"/>
      <c r="K1159" s="157"/>
      <c r="L1159" s="157"/>
      <c r="M1159" s="157"/>
      <c r="N1159" s="157"/>
      <c r="O1159" s="157"/>
      <c r="P1159" s="753"/>
      <c r="AK1159" s="40">
        <v>1156.0</v>
      </c>
      <c r="AL1159" s="719" t="s">
        <v>3221</v>
      </c>
      <c r="AM1159" s="720" t="s">
        <v>3222</v>
      </c>
      <c r="AN1159" s="720" t="s">
        <v>1744</v>
      </c>
      <c r="AO1159" s="722">
        <v>0.557</v>
      </c>
      <c r="AP1159" s="722" t="s">
        <v>3223</v>
      </c>
    </row>
    <row r="1160">
      <c r="A1160" s="159"/>
      <c r="B1160" s="159"/>
      <c r="C1160" s="159"/>
      <c r="D1160" s="159"/>
      <c r="E1160" s="159"/>
      <c r="F1160" s="159"/>
      <c r="G1160" s="159"/>
      <c r="H1160" s="159"/>
      <c r="I1160" s="157"/>
      <c r="J1160" s="157"/>
      <c r="K1160" s="157"/>
      <c r="L1160" s="157"/>
      <c r="M1160" s="157"/>
      <c r="N1160" s="157"/>
      <c r="O1160" s="157"/>
      <c r="P1160" s="753"/>
      <c r="AK1160" s="40">
        <v>1157.0</v>
      </c>
      <c r="AL1160" s="738" t="s">
        <v>3224</v>
      </c>
      <c r="AM1160" s="738" t="s">
        <v>3225</v>
      </c>
      <c r="AN1160" s="738" t="s">
        <v>1744</v>
      </c>
      <c r="AO1160" s="739">
        <v>0.659</v>
      </c>
      <c r="AP1160" s="739" t="s">
        <v>3226</v>
      </c>
    </row>
    <row r="1161">
      <c r="A1161" s="159"/>
      <c r="B1161" s="159"/>
      <c r="C1161" s="159"/>
      <c r="D1161" s="159"/>
      <c r="E1161" s="159"/>
      <c r="F1161" s="159"/>
      <c r="G1161" s="159"/>
      <c r="H1161" s="159"/>
      <c r="I1161" s="157"/>
      <c r="J1161" s="157"/>
      <c r="K1161" s="157"/>
      <c r="L1161" s="157"/>
      <c r="M1161" s="157"/>
      <c r="N1161" s="157"/>
      <c r="O1161" s="157"/>
      <c r="P1161" s="753"/>
      <c r="AK1161" s="40">
        <v>1158.0</v>
      </c>
      <c r="AL1161" s="719" t="s">
        <v>3227</v>
      </c>
      <c r="AM1161" s="720" t="s">
        <v>3228</v>
      </c>
      <c r="AN1161" s="720" t="s">
        <v>1744</v>
      </c>
      <c r="AO1161" s="722">
        <v>0.079</v>
      </c>
      <c r="AP1161" s="722" t="s">
        <v>3229</v>
      </c>
    </row>
    <row r="1162">
      <c r="A1162" s="159"/>
      <c r="B1162" s="159"/>
      <c r="C1162" s="159"/>
      <c r="D1162" s="159"/>
      <c r="E1162" s="159"/>
      <c r="F1162" s="159"/>
      <c r="G1162" s="159"/>
      <c r="H1162" s="159"/>
      <c r="I1162" s="157"/>
      <c r="J1162" s="157"/>
      <c r="K1162" s="157"/>
      <c r="L1162" s="157"/>
      <c r="M1162" s="157"/>
      <c r="N1162" s="157"/>
      <c r="O1162" s="157"/>
      <c r="P1162" s="753"/>
      <c r="AK1162" s="40">
        <v>1159.0</v>
      </c>
      <c r="AL1162" s="738" t="s">
        <v>3230</v>
      </c>
      <c r="AM1162" s="738" t="s">
        <v>3231</v>
      </c>
      <c r="AN1162" s="738" t="s">
        <v>1744</v>
      </c>
      <c r="AO1162" s="739">
        <v>0.272</v>
      </c>
      <c r="AP1162" s="739" t="s">
        <v>3232</v>
      </c>
    </row>
    <row r="1163">
      <c r="A1163" s="159"/>
      <c r="B1163" s="159"/>
      <c r="C1163" s="159"/>
      <c r="D1163" s="159"/>
      <c r="E1163" s="159"/>
      <c r="F1163" s="159"/>
      <c r="G1163" s="159"/>
      <c r="H1163" s="159"/>
      <c r="I1163" s="157"/>
      <c r="J1163" s="157"/>
      <c r="K1163" s="157"/>
      <c r="L1163" s="157"/>
      <c r="M1163" s="157"/>
      <c r="N1163" s="157"/>
      <c r="O1163" s="157"/>
      <c r="P1163" s="753"/>
      <c r="AK1163" s="40">
        <v>1160.0</v>
      </c>
      <c r="AL1163" s="719" t="s">
        <v>3233</v>
      </c>
      <c r="AM1163" s="720" t="s">
        <v>3234</v>
      </c>
      <c r="AN1163" s="720" t="s">
        <v>1744</v>
      </c>
      <c r="AO1163" s="722">
        <v>0.443</v>
      </c>
      <c r="AP1163" s="722" t="s">
        <v>3235</v>
      </c>
    </row>
    <row r="1164">
      <c r="A1164" s="159"/>
      <c r="B1164" s="159"/>
      <c r="C1164" s="159"/>
      <c r="D1164" s="159"/>
      <c r="E1164" s="159"/>
      <c r="F1164" s="159"/>
      <c r="G1164" s="159"/>
      <c r="H1164" s="159"/>
      <c r="I1164" s="157"/>
      <c r="J1164" s="157"/>
      <c r="K1164" s="157"/>
      <c r="L1164" s="157"/>
      <c r="M1164" s="157"/>
      <c r="N1164" s="157"/>
      <c r="O1164" s="157"/>
      <c r="P1164" s="753"/>
      <c r="AK1164" s="40">
        <v>1161.0</v>
      </c>
      <c r="AL1164" s="738" t="s">
        <v>3236</v>
      </c>
      <c r="AM1164" s="738" t="s">
        <v>3237</v>
      </c>
      <c r="AN1164" s="738" t="s">
        <v>1744</v>
      </c>
      <c r="AO1164" s="739">
        <v>0.029</v>
      </c>
      <c r="AP1164" s="739" t="s">
        <v>3238</v>
      </c>
    </row>
    <row r="1165">
      <c r="A1165" s="159"/>
      <c r="B1165" s="159"/>
      <c r="C1165" s="159"/>
      <c r="D1165" s="159"/>
      <c r="E1165" s="159"/>
      <c r="F1165" s="159"/>
      <c r="G1165" s="159"/>
      <c r="H1165" s="159"/>
      <c r="I1165" s="157"/>
      <c r="J1165" s="157"/>
      <c r="K1165" s="157"/>
      <c r="L1165" s="157"/>
      <c r="M1165" s="157"/>
      <c r="N1165" s="157"/>
      <c r="O1165" s="157"/>
      <c r="P1165" s="753"/>
      <c r="AK1165" s="40">
        <v>1162.0</v>
      </c>
      <c r="AL1165" s="719" t="s">
        <v>3239</v>
      </c>
      <c r="AM1165" s="720" t="s">
        <v>3240</v>
      </c>
      <c r="AN1165" s="720" t="s">
        <v>1744</v>
      </c>
      <c r="AO1165" s="722">
        <v>0.233</v>
      </c>
      <c r="AP1165" s="722" t="s">
        <v>3241</v>
      </c>
    </row>
    <row r="1166">
      <c r="A1166" s="159"/>
      <c r="B1166" s="159"/>
      <c r="C1166" s="159"/>
      <c r="D1166" s="159"/>
      <c r="E1166" s="159"/>
      <c r="F1166" s="159"/>
      <c r="G1166" s="159"/>
      <c r="H1166" s="159"/>
      <c r="I1166" s="157"/>
      <c r="J1166" s="157"/>
      <c r="K1166" s="157"/>
      <c r="L1166" s="157"/>
      <c r="M1166" s="157"/>
      <c r="N1166" s="157"/>
      <c r="O1166" s="157"/>
      <c r="P1166" s="753"/>
      <c r="AK1166" s="40">
        <v>1163.0</v>
      </c>
      <c r="AL1166" s="738" t="s">
        <v>3242</v>
      </c>
      <c r="AM1166" s="738" t="s">
        <v>3243</v>
      </c>
      <c r="AN1166" s="738" t="s">
        <v>1744</v>
      </c>
      <c r="AO1166" s="739">
        <v>0.414</v>
      </c>
      <c r="AP1166" s="739" t="s">
        <v>3244</v>
      </c>
    </row>
    <row r="1167">
      <c r="A1167" s="159"/>
      <c r="B1167" s="159"/>
      <c r="C1167" s="159"/>
      <c r="D1167" s="159"/>
      <c r="E1167" s="159"/>
      <c r="F1167" s="159"/>
      <c r="G1167" s="159"/>
      <c r="H1167" s="159"/>
      <c r="I1167" s="157"/>
      <c r="J1167" s="157"/>
      <c r="K1167" s="157"/>
      <c r="L1167" s="157"/>
      <c r="M1167" s="157"/>
      <c r="N1167" s="157"/>
      <c r="O1167" s="157"/>
      <c r="P1167" s="753"/>
      <c r="AK1167" s="40">
        <v>1164.0</v>
      </c>
      <c r="AL1167" s="719" t="s">
        <v>3245</v>
      </c>
      <c r="AM1167" s="720" t="s">
        <v>3246</v>
      </c>
      <c r="AN1167" s="720" t="s">
        <v>1744</v>
      </c>
      <c r="AO1167" s="722">
        <v>0.413</v>
      </c>
      <c r="AP1167" s="722" t="s">
        <v>3247</v>
      </c>
    </row>
    <row r="1168">
      <c r="A1168" s="159"/>
      <c r="B1168" s="159"/>
      <c r="C1168" s="159"/>
      <c r="D1168" s="159"/>
      <c r="E1168" s="159"/>
      <c r="F1168" s="159"/>
      <c r="G1168" s="159"/>
      <c r="H1168" s="159"/>
      <c r="I1168" s="157"/>
      <c r="J1168" s="157"/>
      <c r="K1168" s="157"/>
      <c r="L1168" s="157"/>
      <c r="M1168" s="157"/>
      <c r="N1168" s="157"/>
      <c r="O1168" s="157"/>
      <c r="P1168" s="753"/>
      <c r="AK1168" s="40">
        <v>1165.0</v>
      </c>
      <c r="AL1168" s="738" t="s">
        <v>3248</v>
      </c>
      <c r="AM1168" s="738" t="s">
        <v>3249</v>
      </c>
      <c r="AN1168" s="738" t="s">
        <v>1744</v>
      </c>
      <c r="AO1168" s="739">
        <v>0.534</v>
      </c>
      <c r="AP1168" s="739" t="s">
        <v>3250</v>
      </c>
    </row>
    <row r="1169">
      <c r="A1169" s="159"/>
      <c r="B1169" s="159"/>
      <c r="C1169" s="159"/>
      <c r="D1169" s="159"/>
      <c r="E1169" s="159"/>
      <c r="F1169" s="159"/>
      <c r="G1169" s="159"/>
      <c r="H1169" s="159"/>
      <c r="I1169" s="157"/>
      <c r="J1169" s="157"/>
      <c r="K1169" s="157"/>
      <c r="L1169" s="157"/>
      <c r="M1169" s="157"/>
      <c r="N1169" s="157"/>
      <c r="O1169" s="157"/>
      <c r="P1169" s="753"/>
      <c r="AK1169" s="40">
        <v>1166.0</v>
      </c>
      <c r="AL1169" s="719" t="s">
        <v>3251</v>
      </c>
      <c r="AM1169" s="720" t="s">
        <v>3252</v>
      </c>
      <c r="AN1169" s="720" t="s">
        <v>1744</v>
      </c>
      <c r="AO1169" s="722">
        <v>0.641</v>
      </c>
      <c r="AP1169" s="722" t="s">
        <v>3253</v>
      </c>
    </row>
    <row r="1170">
      <c r="A1170" s="159"/>
      <c r="B1170" s="159"/>
      <c r="C1170" s="159"/>
      <c r="D1170" s="159"/>
      <c r="E1170" s="159"/>
      <c r="F1170" s="159"/>
      <c r="G1170" s="159"/>
      <c r="H1170" s="159"/>
      <c r="I1170" s="157"/>
      <c r="J1170" s="157"/>
      <c r="K1170" s="157"/>
      <c r="L1170" s="157"/>
      <c r="M1170" s="157"/>
      <c r="N1170" s="157"/>
      <c r="O1170" s="157"/>
      <c r="P1170" s="753"/>
      <c r="AK1170" s="40">
        <v>1167.0</v>
      </c>
      <c r="AL1170" s="738" t="s">
        <v>3254</v>
      </c>
      <c r="AM1170" s="738" t="s">
        <v>3255</v>
      </c>
      <c r="AN1170" s="738" t="s">
        <v>1744</v>
      </c>
      <c r="AO1170" s="739">
        <v>0.061</v>
      </c>
      <c r="AP1170" s="739" t="s">
        <v>3256</v>
      </c>
    </row>
    <row r="1171">
      <c r="A1171" s="159"/>
      <c r="B1171" s="159"/>
      <c r="C1171" s="159"/>
      <c r="D1171" s="159"/>
      <c r="E1171" s="159"/>
      <c r="F1171" s="159"/>
      <c r="G1171" s="159"/>
      <c r="H1171" s="159"/>
      <c r="I1171" s="157"/>
      <c r="J1171" s="157"/>
      <c r="K1171" s="157"/>
      <c r="L1171" s="157"/>
      <c r="M1171" s="157"/>
      <c r="N1171" s="157"/>
      <c r="O1171" s="157"/>
      <c r="P1171" s="753"/>
      <c r="AK1171" s="40">
        <v>1168.0</v>
      </c>
      <c r="AL1171" s="719" t="s">
        <v>3257</v>
      </c>
      <c r="AM1171" s="720" t="s">
        <v>3258</v>
      </c>
      <c r="AN1171" s="720" t="s">
        <v>1744</v>
      </c>
      <c r="AO1171" s="722">
        <v>0.109</v>
      </c>
      <c r="AP1171" s="722" t="s">
        <v>3259</v>
      </c>
    </row>
    <row r="1172">
      <c r="A1172" s="159"/>
      <c r="B1172" s="159"/>
      <c r="C1172" s="159"/>
      <c r="D1172" s="159"/>
      <c r="E1172" s="159"/>
      <c r="F1172" s="159"/>
      <c r="G1172" s="159"/>
      <c r="H1172" s="159"/>
      <c r="I1172" s="157"/>
      <c r="J1172" s="157"/>
      <c r="K1172" s="157"/>
      <c r="L1172" s="157"/>
      <c r="M1172" s="157"/>
      <c r="N1172" s="157"/>
      <c r="O1172" s="157"/>
      <c r="P1172" s="753"/>
      <c r="AK1172" s="40">
        <v>1169.0</v>
      </c>
      <c r="AL1172" s="738" t="s">
        <v>3260</v>
      </c>
      <c r="AM1172" s="738" t="s">
        <v>3261</v>
      </c>
      <c r="AN1172" s="738" t="s">
        <v>1744</v>
      </c>
      <c r="AO1172" s="739">
        <v>0.432</v>
      </c>
      <c r="AP1172" s="739" t="s">
        <v>3262</v>
      </c>
    </row>
    <row r="1173">
      <c r="A1173" s="159"/>
      <c r="B1173" s="159"/>
      <c r="C1173" s="159"/>
      <c r="D1173" s="159"/>
      <c r="E1173" s="159"/>
      <c r="F1173" s="159"/>
      <c r="G1173" s="159"/>
      <c r="H1173" s="159"/>
      <c r="I1173" s="157"/>
      <c r="J1173" s="157"/>
      <c r="K1173" s="157"/>
      <c r="L1173" s="157"/>
      <c r="M1173" s="157"/>
      <c r="N1173" s="157"/>
      <c r="O1173" s="157"/>
      <c r="P1173" s="753"/>
      <c r="AK1173" s="40">
        <v>1170.0</v>
      </c>
      <c r="AL1173" s="719" t="s">
        <v>3263</v>
      </c>
      <c r="AM1173" s="720" t="s">
        <v>3264</v>
      </c>
      <c r="AN1173" s="720" t="s">
        <v>1744</v>
      </c>
      <c r="AO1173" s="722">
        <v>0.069</v>
      </c>
      <c r="AP1173" s="722" t="s">
        <v>3265</v>
      </c>
    </row>
    <row r="1174">
      <c r="A1174" s="159"/>
      <c r="B1174" s="159"/>
      <c r="C1174" s="159"/>
      <c r="D1174" s="159"/>
      <c r="E1174" s="159"/>
      <c r="F1174" s="159"/>
      <c r="G1174" s="159"/>
      <c r="H1174" s="159"/>
      <c r="I1174" s="157"/>
      <c r="J1174" s="157"/>
      <c r="K1174" s="157"/>
      <c r="L1174" s="157"/>
      <c r="M1174" s="157"/>
      <c r="N1174" s="157"/>
      <c r="O1174" s="157"/>
      <c r="P1174" s="753"/>
      <c r="AK1174" s="40">
        <v>1171.0</v>
      </c>
      <c r="AL1174" s="738" t="s">
        <v>3266</v>
      </c>
      <c r="AM1174" s="738" t="s">
        <v>3267</v>
      </c>
      <c r="AN1174" s="738" t="s">
        <v>1744</v>
      </c>
      <c r="AO1174" s="739">
        <v>0.265</v>
      </c>
      <c r="AP1174" s="739" t="s">
        <v>3268</v>
      </c>
    </row>
    <row r="1175">
      <c r="A1175" s="159"/>
      <c r="B1175" s="159"/>
      <c r="C1175" s="159"/>
      <c r="D1175" s="159"/>
      <c r="E1175" s="159"/>
      <c r="F1175" s="159"/>
      <c r="G1175" s="159"/>
      <c r="H1175" s="159"/>
      <c r="I1175" s="157"/>
      <c r="J1175" s="157"/>
      <c r="K1175" s="157"/>
      <c r="L1175" s="157"/>
      <c r="M1175" s="157"/>
      <c r="N1175" s="157"/>
      <c r="O1175" s="157"/>
      <c r="P1175" s="753"/>
      <c r="AK1175" s="40">
        <v>1172.0</v>
      </c>
      <c r="AL1175" s="719" t="s">
        <v>3269</v>
      </c>
      <c r="AM1175" s="720" t="s">
        <v>3270</v>
      </c>
      <c r="AN1175" s="720" t="s">
        <v>1744</v>
      </c>
      <c r="AO1175" s="722">
        <v>0.438</v>
      </c>
      <c r="AP1175" s="722" t="s">
        <v>3271</v>
      </c>
    </row>
    <row r="1176">
      <c r="A1176" s="159"/>
      <c r="B1176" s="159"/>
      <c r="C1176" s="159"/>
      <c r="D1176" s="159"/>
      <c r="E1176" s="159"/>
      <c r="F1176" s="159"/>
      <c r="G1176" s="159"/>
      <c r="H1176" s="159"/>
      <c r="I1176" s="157"/>
      <c r="J1176" s="157"/>
      <c r="K1176" s="157"/>
      <c r="L1176" s="157"/>
      <c r="M1176" s="157"/>
      <c r="N1176" s="157"/>
      <c r="O1176" s="157"/>
      <c r="P1176" s="753"/>
      <c r="AK1176" s="40">
        <v>1173.0</v>
      </c>
      <c r="AL1176" s="738" t="s">
        <v>3272</v>
      </c>
      <c r="AM1176" s="738" t="s">
        <v>3273</v>
      </c>
      <c r="AN1176" s="738" t="s">
        <v>3274</v>
      </c>
      <c r="AO1176" s="739">
        <v>0.223</v>
      </c>
      <c r="AP1176" s="739" t="s">
        <v>3275</v>
      </c>
    </row>
    <row r="1177">
      <c r="A1177" s="159"/>
      <c r="B1177" s="159"/>
      <c r="C1177" s="159"/>
      <c r="D1177" s="159"/>
      <c r="E1177" s="159"/>
      <c r="F1177" s="159"/>
      <c r="G1177" s="159"/>
      <c r="H1177" s="159"/>
      <c r="I1177" s="157"/>
      <c r="J1177" s="157"/>
      <c r="K1177" s="157"/>
      <c r="L1177" s="157"/>
      <c r="M1177" s="157"/>
      <c r="N1177" s="157"/>
      <c r="O1177" s="157"/>
      <c r="P1177" s="753"/>
      <c r="AK1177" s="40">
        <v>1174.0</v>
      </c>
      <c r="AL1177" s="719" t="s">
        <v>3276</v>
      </c>
      <c r="AM1177" s="720" t="s">
        <v>2156</v>
      </c>
      <c r="AN1177" s="721"/>
      <c r="AO1177" s="722">
        <v>0.0</v>
      </c>
      <c r="AP1177" s="722" t="s">
        <v>2157</v>
      </c>
    </row>
    <row r="1178">
      <c r="A1178" s="159"/>
      <c r="B1178" s="159"/>
      <c r="C1178" s="159"/>
      <c r="D1178" s="159"/>
      <c r="E1178" s="159"/>
      <c r="F1178" s="159"/>
      <c r="G1178" s="159"/>
      <c r="H1178" s="159"/>
      <c r="I1178" s="157"/>
      <c r="J1178" s="157"/>
      <c r="K1178" s="157"/>
      <c r="L1178" s="157"/>
      <c r="M1178" s="157"/>
      <c r="N1178" s="157"/>
      <c r="O1178" s="157"/>
      <c r="P1178" s="753"/>
      <c r="AK1178" s="40">
        <v>1175.0</v>
      </c>
      <c r="AL1178" s="738" t="s">
        <v>3277</v>
      </c>
      <c r="AM1178" s="738" t="s">
        <v>3278</v>
      </c>
      <c r="AN1178" s="738" t="s">
        <v>3279</v>
      </c>
      <c r="AO1178" s="739">
        <v>0.441</v>
      </c>
      <c r="AP1178" s="739" t="s">
        <v>3280</v>
      </c>
    </row>
    <row r="1179">
      <c r="A1179" s="159"/>
      <c r="B1179" s="159"/>
      <c r="C1179" s="159"/>
      <c r="D1179" s="159"/>
      <c r="E1179" s="159"/>
      <c r="F1179" s="159"/>
      <c r="G1179" s="159"/>
      <c r="H1179" s="159"/>
      <c r="I1179" s="157"/>
      <c r="J1179" s="157"/>
      <c r="K1179" s="157"/>
      <c r="L1179" s="157"/>
      <c r="M1179" s="157"/>
      <c r="N1179" s="157"/>
      <c r="O1179" s="157"/>
      <c r="P1179" s="753"/>
      <c r="AK1179" s="40">
        <v>1176.0</v>
      </c>
      <c r="AL1179" s="719" t="s">
        <v>3281</v>
      </c>
      <c r="AM1179" s="720" t="s">
        <v>3278</v>
      </c>
      <c r="AN1179" s="720" t="s">
        <v>3279</v>
      </c>
      <c r="AO1179" s="722">
        <v>0.441</v>
      </c>
      <c r="AP1179" s="722" t="s">
        <v>3280</v>
      </c>
    </row>
    <row r="1180">
      <c r="A1180" s="159"/>
      <c r="B1180" s="159"/>
      <c r="C1180" s="159"/>
      <c r="D1180" s="159"/>
      <c r="E1180" s="159"/>
      <c r="F1180" s="159"/>
      <c r="G1180" s="159"/>
      <c r="H1180" s="159"/>
      <c r="I1180" s="157"/>
      <c r="J1180" s="157"/>
      <c r="K1180" s="157"/>
      <c r="L1180" s="157"/>
      <c r="M1180" s="157"/>
      <c r="N1180" s="157"/>
      <c r="O1180" s="157"/>
      <c r="P1180" s="753"/>
      <c r="AK1180" s="40">
        <v>1177.0</v>
      </c>
      <c r="AL1180" s="738" t="s">
        <v>3282</v>
      </c>
      <c r="AM1180" s="738" t="s">
        <v>2156</v>
      </c>
      <c r="AN1180" s="745"/>
      <c r="AO1180" s="739">
        <v>0.0</v>
      </c>
      <c r="AP1180" s="739" t="s">
        <v>2157</v>
      </c>
    </row>
    <row r="1181">
      <c r="A1181" s="159"/>
      <c r="B1181" s="159"/>
      <c r="C1181" s="159"/>
      <c r="D1181" s="159"/>
      <c r="E1181" s="159"/>
      <c r="F1181" s="159"/>
      <c r="G1181" s="159"/>
      <c r="H1181" s="159"/>
      <c r="I1181" s="157"/>
      <c r="J1181" s="157"/>
      <c r="K1181" s="157"/>
      <c r="L1181" s="157"/>
      <c r="M1181" s="157"/>
      <c r="N1181" s="157"/>
      <c r="O1181" s="157"/>
      <c r="P1181" s="753"/>
      <c r="AK1181" s="40">
        <v>1178.0</v>
      </c>
      <c r="AL1181" s="719" t="s">
        <v>3283</v>
      </c>
      <c r="AM1181" s="720" t="s">
        <v>2156</v>
      </c>
      <c r="AN1181" s="721"/>
      <c r="AO1181" s="722">
        <v>0.0</v>
      </c>
      <c r="AP1181" s="722" t="s">
        <v>2157</v>
      </c>
    </row>
    <row r="1182">
      <c r="A1182" s="159"/>
      <c r="B1182" s="159"/>
      <c r="C1182" s="159"/>
      <c r="D1182" s="159"/>
      <c r="E1182" s="159"/>
      <c r="F1182" s="159"/>
      <c r="G1182" s="159"/>
      <c r="H1182" s="159"/>
      <c r="I1182" s="157"/>
      <c r="J1182" s="157"/>
      <c r="K1182" s="157"/>
      <c r="L1182" s="157"/>
      <c r="M1182" s="157"/>
      <c r="N1182" s="157"/>
      <c r="O1182" s="157"/>
      <c r="P1182" s="753"/>
      <c r="AK1182" s="40">
        <v>1179.0</v>
      </c>
      <c r="AL1182" s="738" t="s">
        <v>3284</v>
      </c>
      <c r="AM1182" s="738" t="s">
        <v>3273</v>
      </c>
      <c r="AN1182" s="738" t="s">
        <v>3274</v>
      </c>
      <c r="AO1182" s="739">
        <v>0.223</v>
      </c>
      <c r="AP1182" s="739" t="s">
        <v>3275</v>
      </c>
    </row>
    <row r="1183">
      <c r="A1183" s="159"/>
      <c r="B1183" s="159"/>
      <c r="C1183" s="159"/>
      <c r="D1183" s="159"/>
      <c r="E1183" s="159"/>
      <c r="F1183" s="159"/>
      <c r="G1183" s="159"/>
      <c r="H1183" s="159"/>
      <c r="I1183" s="157"/>
      <c r="J1183" s="157"/>
      <c r="K1183" s="157"/>
      <c r="L1183" s="157"/>
      <c r="M1183" s="157"/>
      <c r="N1183" s="157"/>
      <c r="O1183" s="157"/>
      <c r="P1183" s="753"/>
      <c r="AK1183" s="40">
        <v>1180.0</v>
      </c>
      <c r="AL1183" s="719" t="s">
        <v>3285</v>
      </c>
      <c r="AM1183" s="720" t="s">
        <v>2156</v>
      </c>
      <c r="AN1183" s="721"/>
      <c r="AO1183" s="722">
        <v>0.0</v>
      </c>
      <c r="AP1183" s="722" t="s">
        <v>2157</v>
      </c>
    </row>
    <row r="1184">
      <c r="A1184" s="159"/>
      <c r="B1184" s="159"/>
      <c r="C1184" s="159"/>
      <c r="D1184" s="159"/>
      <c r="E1184" s="159"/>
      <c r="F1184" s="159"/>
      <c r="G1184" s="159"/>
      <c r="H1184" s="159"/>
      <c r="I1184" s="157"/>
      <c r="J1184" s="157"/>
      <c r="K1184" s="157"/>
      <c r="L1184" s="157"/>
      <c r="M1184" s="157"/>
      <c r="N1184" s="157"/>
      <c r="O1184" s="157"/>
      <c r="P1184" s="753"/>
      <c r="AK1184" s="40">
        <v>1181.0</v>
      </c>
      <c r="AL1184" s="738" t="s">
        <v>3286</v>
      </c>
      <c r="AM1184" s="738" t="s">
        <v>3287</v>
      </c>
      <c r="AN1184" s="738" t="s">
        <v>3288</v>
      </c>
      <c r="AO1184" s="739">
        <v>0.037</v>
      </c>
      <c r="AP1184" s="739" t="s">
        <v>3289</v>
      </c>
    </row>
    <row r="1185">
      <c r="A1185" s="159"/>
      <c r="B1185" s="159"/>
      <c r="C1185" s="159"/>
      <c r="D1185" s="159"/>
      <c r="E1185" s="159"/>
      <c r="F1185" s="159"/>
      <c r="G1185" s="159"/>
      <c r="H1185" s="159"/>
      <c r="I1185" s="157"/>
      <c r="J1185" s="157"/>
      <c r="K1185" s="157"/>
      <c r="L1185" s="157"/>
      <c r="M1185" s="157"/>
      <c r="N1185" s="157"/>
      <c r="O1185" s="157"/>
      <c r="P1185" s="753"/>
      <c r="AK1185" s="40">
        <v>1182.0</v>
      </c>
      <c r="AL1185" s="719" t="s">
        <v>3290</v>
      </c>
      <c r="AM1185" s="720" t="s">
        <v>3287</v>
      </c>
      <c r="AN1185" s="720" t="s">
        <v>3288</v>
      </c>
      <c r="AO1185" s="722">
        <v>0.037</v>
      </c>
      <c r="AP1185" s="722" t="s">
        <v>3289</v>
      </c>
    </row>
    <row r="1186">
      <c r="A1186" s="159"/>
      <c r="B1186" s="159"/>
      <c r="C1186" s="159"/>
      <c r="D1186" s="159"/>
      <c r="E1186" s="159"/>
      <c r="F1186" s="159"/>
      <c r="G1186" s="159"/>
      <c r="H1186" s="159"/>
      <c r="I1186" s="157"/>
      <c r="J1186" s="157"/>
      <c r="K1186" s="157"/>
      <c r="L1186" s="157"/>
      <c r="M1186" s="157"/>
      <c r="N1186" s="157"/>
      <c r="O1186" s="157"/>
      <c r="P1186" s="753"/>
      <c r="AK1186" s="40">
        <v>1183.0</v>
      </c>
      <c r="AL1186" s="738" t="s">
        <v>3291</v>
      </c>
      <c r="AM1186" s="738" t="s">
        <v>2156</v>
      </c>
      <c r="AN1186" s="745"/>
      <c r="AO1186" s="739">
        <v>0.0</v>
      </c>
      <c r="AP1186" s="739" t="s">
        <v>2157</v>
      </c>
    </row>
    <row r="1187">
      <c r="A1187" s="159"/>
      <c r="B1187" s="159"/>
      <c r="C1187" s="159"/>
      <c r="D1187" s="159"/>
      <c r="E1187" s="159"/>
      <c r="F1187" s="159"/>
      <c r="G1187" s="159"/>
      <c r="H1187" s="159"/>
      <c r="I1187" s="157"/>
      <c r="J1187" s="157"/>
      <c r="K1187" s="157"/>
      <c r="L1187" s="157"/>
      <c r="M1187" s="157"/>
      <c r="N1187" s="157"/>
      <c r="O1187" s="157"/>
      <c r="P1187" s="753"/>
      <c r="AK1187" s="40">
        <v>1184.0</v>
      </c>
      <c r="AL1187" s="719" t="s">
        <v>3292</v>
      </c>
      <c r="AM1187" s="720" t="s">
        <v>2156</v>
      </c>
      <c r="AN1187" s="721"/>
      <c r="AO1187" s="722">
        <v>0.0</v>
      </c>
      <c r="AP1187" s="722" t="s">
        <v>2157</v>
      </c>
    </row>
    <row r="1188">
      <c r="A1188" s="159"/>
      <c r="B1188" s="159"/>
      <c r="C1188" s="159"/>
      <c r="D1188" s="159"/>
      <c r="E1188" s="159"/>
      <c r="F1188" s="159"/>
      <c r="G1188" s="159"/>
      <c r="H1188" s="159"/>
      <c r="I1188" s="157"/>
      <c r="J1188" s="157"/>
      <c r="K1188" s="157"/>
      <c r="L1188" s="157"/>
      <c r="M1188" s="157"/>
      <c r="N1188" s="157"/>
      <c r="O1188" s="157"/>
      <c r="P1188" s="753"/>
      <c r="AK1188" s="40">
        <v>1185.0</v>
      </c>
      <c r="AL1188" s="738" t="s">
        <v>3293</v>
      </c>
      <c r="AM1188" s="738" t="s">
        <v>1873</v>
      </c>
      <c r="AN1188" s="738" t="s">
        <v>1874</v>
      </c>
      <c r="AO1188" s="739">
        <v>0.296</v>
      </c>
      <c r="AP1188" s="739" t="s">
        <v>1875</v>
      </c>
    </row>
    <row r="1189">
      <c r="A1189" s="159"/>
      <c r="B1189" s="159"/>
      <c r="C1189" s="159"/>
      <c r="D1189" s="159"/>
      <c r="E1189" s="159"/>
      <c r="F1189" s="159"/>
      <c r="G1189" s="159"/>
      <c r="H1189" s="159"/>
      <c r="I1189" s="157"/>
      <c r="J1189" s="157"/>
      <c r="K1189" s="157"/>
      <c r="L1189" s="157"/>
      <c r="M1189" s="157"/>
      <c r="N1189" s="157"/>
      <c r="O1189" s="157"/>
      <c r="P1189" s="753"/>
      <c r="AK1189" s="40">
        <v>1186.0</v>
      </c>
      <c r="AL1189" s="719" t="s">
        <v>3294</v>
      </c>
      <c r="AM1189" s="720" t="s">
        <v>1727</v>
      </c>
      <c r="AN1189" s="721"/>
      <c r="AO1189" s="722" t="s">
        <v>1728</v>
      </c>
      <c r="AP1189" s="723"/>
    </row>
    <row r="1190">
      <c r="A1190" s="159"/>
      <c r="B1190" s="159"/>
      <c r="C1190" s="159"/>
      <c r="D1190" s="159"/>
      <c r="E1190" s="159"/>
      <c r="F1190" s="159"/>
      <c r="G1190" s="159"/>
      <c r="H1190" s="159"/>
      <c r="I1190" s="157"/>
      <c r="J1190" s="157"/>
      <c r="K1190" s="157"/>
      <c r="L1190" s="157"/>
      <c r="M1190" s="157"/>
      <c r="N1190" s="157"/>
      <c r="O1190" s="157"/>
      <c r="P1190" s="753"/>
      <c r="AK1190" s="40">
        <v>1187.0</v>
      </c>
      <c r="AL1190" s="738" t="s">
        <v>3295</v>
      </c>
      <c r="AM1190" s="738" t="s">
        <v>3296</v>
      </c>
      <c r="AN1190" s="738" t="s">
        <v>3297</v>
      </c>
      <c r="AO1190" s="739">
        <v>0.778</v>
      </c>
      <c r="AP1190" s="739" t="s">
        <v>3298</v>
      </c>
    </row>
    <row r="1191">
      <c r="A1191" s="159"/>
      <c r="B1191" s="159"/>
      <c r="C1191" s="159"/>
      <c r="D1191" s="159"/>
      <c r="E1191" s="159"/>
      <c r="F1191" s="159"/>
      <c r="G1191" s="159"/>
      <c r="H1191" s="159"/>
      <c r="I1191" s="157"/>
      <c r="J1191" s="157"/>
      <c r="K1191" s="157"/>
      <c r="L1191" s="157"/>
      <c r="M1191" s="157"/>
      <c r="N1191" s="157"/>
      <c r="O1191" s="157"/>
      <c r="P1191" s="753"/>
      <c r="AK1191" s="40">
        <v>1188.0</v>
      </c>
      <c r="AL1191" s="719" t="s">
        <v>3299</v>
      </c>
      <c r="AM1191" s="720" t="s">
        <v>3300</v>
      </c>
      <c r="AN1191" s="720" t="s">
        <v>3301</v>
      </c>
      <c r="AO1191" s="722">
        <v>0.588</v>
      </c>
      <c r="AP1191" s="722" t="s">
        <v>3302</v>
      </c>
    </row>
    <row r="1192">
      <c r="A1192" s="159"/>
      <c r="B1192" s="159"/>
      <c r="C1192" s="159"/>
      <c r="D1192" s="159"/>
      <c r="E1192" s="159"/>
      <c r="F1192" s="159"/>
      <c r="G1192" s="159"/>
      <c r="H1192" s="159"/>
      <c r="I1192" s="157"/>
      <c r="J1192" s="157"/>
      <c r="K1192" s="157"/>
      <c r="L1192" s="157"/>
      <c r="M1192" s="157"/>
      <c r="N1192" s="157"/>
      <c r="O1192" s="157"/>
      <c r="P1192" s="753"/>
      <c r="AK1192" s="40">
        <v>1189.0</v>
      </c>
      <c r="AL1192" s="738" t="s">
        <v>3303</v>
      </c>
      <c r="AM1192" s="738" t="s">
        <v>3304</v>
      </c>
      <c r="AN1192" s="738" t="s">
        <v>3305</v>
      </c>
      <c r="AO1192" s="739">
        <v>0.145</v>
      </c>
      <c r="AP1192" s="739" t="s">
        <v>3306</v>
      </c>
    </row>
    <row r="1193">
      <c r="A1193" s="159"/>
      <c r="B1193" s="159"/>
      <c r="C1193" s="159"/>
      <c r="D1193" s="159"/>
      <c r="E1193" s="159"/>
      <c r="F1193" s="159"/>
      <c r="G1193" s="159"/>
      <c r="H1193" s="159"/>
      <c r="I1193" s="157"/>
      <c r="J1193" s="157"/>
      <c r="K1193" s="157"/>
      <c r="L1193" s="157"/>
      <c r="M1193" s="157"/>
      <c r="N1193" s="157"/>
      <c r="O1193" s="157"/>
      <c r="P1193" s="753"/>
      <c r="AK1193" s="40">
        <v>1190.0</v>
      </c>
      <c r="AL1193" s="719" t="s">
        <v>3307</v>
      </c>
      <c r="AM1193" s="720" t="s">
        <v>3308</v>
      </c>
      <c r="AN1193" s="720" t="s">
        <v>3309</v>
      </c>
      <c r="AO1193" s="722">
        <v>0.396</v>
      </c>
      <c r="AP1193" s="722" t="s">
        <v>3310</v>
      </c>
    </row>
    <row r="1194">
      <c r="A1194" s="159"/>
      <c r="B1194" s="159"/>
      <c r="C1194" s="159"/>
      <c r="D1194" s="159"/>
      <c r="E1194" s="159"/>
      <c r="F1194" s="159"/>
      <c r="G1194" s="159"/>
      <c r="H1194" s="159"/>
      <c r="I1194" s="157"/>
      <c r="J1194" s="157"/>
      <c r="K1194" s="157"/>
      <c r="L1194" s="157"/>
      <c r="M1194" s="157"/>
      <c r="N1194" s="157"/>
      <c r="O1194" s="157"/>
      <c r="P1194" s="753"/>
      <c r="AK1194" s="40">
        <v>1191.0</v>
      </c>
      <c r="AL1194" s="738" t="s">
        <v>3311</v>
      </c>
      <c r="AM1194" s="738" t="s">
        <v>3312</v>
      </c>
      <c r="AN1194" s="738" t="s">
        <v>3313</v>
      </c>
      <c r="AO1194" s="739">
        <v>0.658</v>
      </c>
      <c r="AP1194" s="739" t="s">
        <v>3314</v>
      </c>
    </row>
    <row r="1195">
      <c r="A1195" s="159"/>
      <c r="B1195" s="159"/>
      <c r="C1195" s="159"/>
      <c r="D1195" s="159"/>
      <c r="E1195" s="159"/>
      <c r="F1195" s="159"/>
      <c r="G1195" s="159"/>
      <c r="H1195" s="159"/>
      <c r="I1195" s="157"/>
      <c r="J1195" s="157"/>
      <c r="K1195" s="157"/>
      <c r="L1195" s="157"/>
      <c r="M1195" s="157"/>
      <c r="N1195" s="157"/>
      <c r="O1195" s="157"/>
      <c r="P1195" s="753"/>
      <c r="AK1195" s="40">
        <v>1192.0</v>
      </c>
      <c r="AL1195" s="719" t="s">
        <v>3315</v>
      </c>
      <c r="AM1195" s="720" t="s">
        <v>2156</v>
      </c>
      <c r="AN1195" s="721"/>
      <c r="AO1195" s="722">
        <v>0.0</v>
      </c>
      <c r="AP1195" s="722" t="s">
        <v>2157</v>
      </c>
    </row>
    <row r="1196">
      <c r="A1196" s="159"/>
      <c r="B1196" s="159"/>
      <c r="C1196" s="159"/>
      <c r="D1196" s="159"/>
      <c r="E1196" s="159"/>
      <c r="F1196" s="159"/>
      <c r="G1196" s="159"/>
      <c r="H1196" s="159"/>
      <c r="I1196" s="157"/>
      <c r="J1196" s="157"/>
      <c r="K1196" s="157"/>
      <c r="L1196" s="157"/>
      <c r="M1196" s="157"/>
      <c r="N1196" s="157"/>
      <c r="O1196" s="157"/>
      <c r="P1196" s="753"/>
      <c r="AK1196" s="40">
        <v>1193.0</v>
      </c>
      <c r="AL1196" s="738" t="s">
        <v>3316</v>
      </c>
      <c r="AM1196" s="738" t="s">
        <v>3304</v>
      </c>
      <c r="AN1196" s="738" t="s">
        <v>3305</v>
      </c>
      <c r="AO1196" s="739">
        <v>0.145</v>
      </c>
      <c r="AP1196" s="739" t="s">
        <v>3306</v>
      </c>
    </row>
    <row r="1197">
      <c r="A1197" s="159"/>
      <c r="B1197" s="159"/>
      <c r="C1197" s="159"/>
      <c r="D1197" s="159"/>
      <c r="E1197" s="159"/>
      <c r="F1197" s="159"/>
      <c r="G1197" s="159"/>
      <c r="H1197" s="159"/>
      <c r="I1197" s="157"/>
      <c r="J1197" s="157"/>
      <c r="K1197" s="157"/>
      <c r="L1197" s="157"/>
      <c r="M1197" s="157"/>
      <c r="N1197" s="157"/>
      <c r="O1197" s="157"/>
      <c r="P1197" s="753"/>
      <c r="AK1197" s="40">
        <v>1194.0</v>
      </c>
      <c r="AL1197" s="719" t="s">
        <v>3317</v>
      </c>
      <c r="AM1197" s="720" t="s">
        <v>2156</v>
      </c>
      <c r="AN1197" s="721"/>
      <c r="AO1197" s="722">
        <v>0.0</v>
      </c>
      <c r="AP1197" s="722" t="s">
        <v>2157</v>
      </c>
    </row>
    <row r="1198">
      <c r="A1198" s="159"/>
      <c r="B1198" s="159"/>
      <c r="C1198" s="159"/>
      <c r="D1198" s="159"/>
      <c r="E1198" s="159"/>
      <c r="F1198" s="159"/>
      <c r="G1198" s="159"/>
      <c r="H1198" s="159"/>
      <c r="I1198" s="157"/>
      <c r="J1198" s="157"/>
      <c r="K1198" s="157"/>
      <c r="L1198" s="157"/>
      <c r="M1198" s="157"/>
      <c r="N1198" s="157"/>
      <c r="O1198" s="157"/>
      <c r="P1198" s="753"/>
      <c r="AK1198" s="40">
        <v>1195.0</v>
      </c>
      <c r="AL1198" s="738" t="s">
        <v>3318</v>
      </c>
      <c r="AM1198" s="738" t="s">
        <v>3308</v>
      </c>
      <c r="AN1198" s="738" t="s">
        <v>3309</v>
      </c>
      <c r="AO1198" s="739">
        <v>0.396</v>
      </c>
      <c r="AP1198" s="739" t="s">
        <v>3310</v>
      </c>
    </row>
    <row r="1199">
      <c r="A1199" s="159"/>
      <c r="B1199" s="159"/>
      <c r="C1199" s="159"/>
      <c r="D1199" s="159"/>
      <c r="E1199" s="159"/>
      <c r="F1199" s="159"/>
      <c r="G1199" s="159"/>
      <c r="H1199" s="159"/>
      <c r="I1199" s="157"/>
      <c r="J1199" s="157"/>
      <c r="K1199" s="157"/>
      <c r="L1199" s="157"/>
      <c r="M1199" s="157"/>
      <c r="N1199" s="157"/>
      <c r="O1199" s="157"/>
      <c r="P1199" s="753"/>
      <c r="AK1199" s="40">
        <v>1196.0</v>
      </c>
      <c r="AL1199" s="719" t="s">
        <v>3319</v>
      </c>
      <c r="AM1199" s="720" t="s">
        <v>3320</v>
      </c>
      <c r="AN1199" s="720" t="s">
        <v>3321</v>
      </c>
      <c r="AO1199" s="722">
        <v>0.492</v>
      </c>
      <c r="AP1199" s="722" t="s">
        <v>3322</v>
      </c>
    </row>
    <row r="1200">
      <c r="A1200" s="159"/>
      <c r="B1200" s="159"/>
      <c r="C1200" s="159"/>
      <c r="D1200" s="159"/>
      <c r="E1200" s="159"/>
      <c r="F1200" s="159"/>
      <c r="G1200" s="159"/>
      <c r="H1200" s="159"/>
      <c r="I1200" s="157"/>
      <c r="J1200" s="157"/>
      <c r="K1200" s="157"/>
      <c r="L1200" s="157"/>
      <c r="M1200" s="157"/>
      <c r="N1200" s="157"/>
      <c r="O1200" s="157"/>
      <c r="P1200" s="753"/>
      <c r="AK1200" s="40">
        <v>1197.0</v>
      </c>
      <c r="AL1200" s="738" t="s">
        <v>3323</v>
      </c>
      <c r="AM1200" s="738" t="s">
        <v>3324</v>
      </c>
      <c r="AN1200" s="738" t="s">
        <v>3325</v>
      </c>
      <c r="AO1200" s="739">
        <v>0.032</v>
      </c>
      <c r="AP1200" s="739" t="s">
        <v>3326</v>
      </c>
    </row>
    <row r="1201">
      <c r="A1201" s="159"/>
      <c r="B1201" s="159"/>
      <c r="C1201" s="159"/>
      <c r="D1201" s="159"/>
      <c r="E1201" s="159"/>
      <c r="F1201" s="159"/>
      <c r="G1201" s="159"/>
      <c r="H1201" s="159"/>
      <c r="I1201" s="157"/>
      <c r="J1201" s="157"/>
      <c r="K1201" s="157"/>
      <c r="L1201" s="157"/>
      <c r="M1201" s="157"/>
      <c r="N1201" s="157"/>
      <c r="O1201" s="157"/>
      <c r="P1201" s="753"/>
      <c r="AK1201" s="40">
        <v>1198.0</v>
      </c>
      <c r="AL1201" s="719" t="s">
        <v>3327</v>
      </c>
      <c r="AM1201" s="720" t="s">
        <v>3328</v>
      </c>
      <c r="AN1201" s="720" t="s">
        <v>3329</v>
      </c>
      <c r="AO1201" s="722">
        <v>0.03</v>
      </c>
      <c r="AP1201" s="722" t="s">
        <v>3330</v>
      </c>
    </row>
    <row r="1202">
      <c r="A1202" s="159"/>
      <c r="B1202" s="159"/>
      <c r="C1202" s="159"/>
      <c r="D1202" s="159"/>
      <c r="E1202" s="159"/>
      <c r="F1202" s="159"/>
      <c r="G1202" s="159"/>
      <c r="H1202" s="159"/>
      <c r="I1202" s="157"/>
      <c r="J1202" s="157"/>
      <c r="K1202" s="157"/>
      <c r="L1202" s="157"/>
      <c r="M1202" s="157"/>
      <c r="N1202" s="157"/>
      <c r="O1202" s="157"/>
      <c r="P1202" s="753"/>
      <c r="AK1202" s="40">
        <v>1199.0</v>
      </c>
      <c r="AL1202" s="738" t="s">
        <v>3331</v>
      </c>
      <c r="AM1202" s="738" t="s">
        <v>3332</v>
      </c>
      <c r="AN1202" s="738" t="s">
        <v>3333</v>
      </c>
      <c r="AO1202" s="739">
        <v>0.133</v>
      </c>
      <c r="AP1202" s="739" t="s">
        <v>3334</v>
      </c>
    </row>
    <row r="1203">
      <c r="A1203" s="159"/>
      <c r="B1203" s="159"/>
      <c r="C1203" s="159"/>
      <c r="D1203" s="159"/>
      <c r="E1203" s="159"/>
      <c r="F1203" s="159"/>
      <c r="G1203" s="159"/>
      <c r="H1203" s="159"/>
      <c r="I1203" s="157"/>
      <c r="J1203" s="157"/>
      <c r="K1203" s="157"/>
      <c r="L1203" s="157"/>
      <c r="M1203" s="157"/>
      <c r="N1203" s="157"/>
      <c r="O1203" s="157"/>
      <c r="P1203" s="753"/>
      <c r="AK1203" s="40">
        <v>1200.0</v>
      </c>
      <c r="AL1203" s="719" t="s">
        <v>3335</v>
      </c>
      <c r="AM1203" s="720" t="s">
        <v>3336</v>
      </c>
      <c r="AN1203" s="720" t="s">
        <v>3337</v>
      </c>
      <c r="AO1203" s="722">
        <v>0.523</v>
      </c>
      <c r="AP1203" s="722" t="s">
        <v>3338</v>
      </c>
    </row>
    <row r="1204">
      <c r="A1204" s="159"/>
      <c r="B1204" s="159"/>
      <c r="C1204" s="159"/>
      <c r="D1204" s="159"/>
      <c r="E1204" s="159"/>
      <c r="F1204" s="159"/>
      <c r="G1204" s="159"/>
      <c r="H1204" s="159"/>
      <c r="I1204" s="157"/>
      <c r="J1204" s="157"/>
      <c r="K1204" s="157"/>
      <c r="L1204" s="157"/>
      <c r="M1204" s="157"/>
      <c r="N1204" s="157"/>
      <c r="O1204" s="157"/>
      <c r="P1204" s="753"/>
      <c r="AK1204" s="40">
        <v>1201.0</v>
      </c>
      <c r="AL1204" s="738" t="s">
        <v>3339</v>
      </c>
      <c r="AM1204" s="738" t="s">
        <v>2156</v>
      </c>
      <c r="AN1204" s="745"/>
      <c r="AO1204" s="739">
        <v>0.0</v>
      </c>
      <c r="AP1204" s="739" t="s">
        <v>2157</v>
      </c>
    </row>
    <row r="1205">
      <c r="A1205" s="159"/>
      <c r="B1205" s="159"/>
      <c r="C1205" s="159"/>
      <c r="D1205" s="159"/>
      <c r="E1205" s="159"/>
      <c r="F1205" s="159"/>
      <c r="G1205" s="159"/>
      <c r="H1205" s="159"/>
      <c r="I1205" s="157"/>
      <c r="J1205" s="157"/>
      <c r="K1205" s="157"/>
      <c r="L1205" s="157"/>
      <c r="M1205" s="157"/>
      <c r="N1205" s="157"/>
      <c r="O1205" s="157"/>
      <c r="P1205" s="753"/>
      <c r="AK1205" s="40">
        <v>1202.0</v>
      </c>
      <c r="AL1205" s="719" t="s">
        <v>3340</v>
      </c>
      <c r="AM1205" s="720" t="s">
        <v>3340</v>
      </c>
      <c r="AN1205" s="720" t="s">
        <v>3341</v>
      </c>
      <c r="AO1205" s="722">
        <v>0.224</v>
      </c>
      <c r="AP1205" s="722" t="s">
        <v>3342</v>
      </c>
    </row>
    <row r="1206">
      <c r="A1206" s="159"/>
      <c r="B1206" s="159"/>
      <c r="C1206" s="159"/>
      <c r="D1206" s="159"/>
      <c r="E1206" s="159"/>
      <c r="F1206" s="159"/>
      <c r="G1206" s="159"/>
      <c r="H1206" s="159"/>
      <c r="I1206" s="157"/>
      <c r="J1206" s="157"/>
      <c r="K1206" s="157"/>
      <c r="L1206" s="157"/>
      <c r="M1206" s="157"/>
      <c r="N1206" s="157"/>
      <c r="O1206" s="157"/>
      <c r="P1206" s="753"/>
      <c r="AK1206" s="40">
        <v>1203.0</v>
      </c>
      <c r="AL1206" s="738" t="s">
        <v>3343</v>
      </c>
      <c r="AM1206" s="738" t="s">
        <v>3343</v>
      </c>
      <c r="AN1206" s="738" t="s">
        <v>3344</v>
      </c>
      <c r="AO1206" s="739">
        <v>0.223</v>
      </c>
      <c r="AP1206" s="739" t="s">
        <v>3345</v>
      </c>
    </row>
    <row r="1207">
      <c r="A1207" s="159"/>
      <c r="B1207" s="159"/>
      <c r="C1207" s="159"/>
      <c r="D1207" s="159"/>
      <c r="E1207" s="159"/>
      <c r="F1207" s="159"/>
      <c r="G1207" s="159"/>
      <c r="H1207" s="159"/>
      <c r="I1207" s="157"/>
      <c r="J1207" s="157"/>
      <c r="K1207" s="157"/>
      <c r="L1207" s="157"/>
      <c r="M1207" s="157"/>
      <c r="N1207" s="157"/>
      <c r="O1207" s="157"/>
      <c r="P1207" s="753"/>
      <c r="AK1207" s="40">
        <v>1204.0</v>
      </c>
      <c r="AL1207" s="719" t="s">
        <v>3346</v>
      </c>
      <c r="AM1207" s="720" t="s">
        <v>3347</v>
      </c>
      <c r="AN1207" s="720" t="s">
        <v>1744</v>
      </c>
      <c r="AO1207" s="722">
        <v>0.13</v>
      </c>
      <c r="AP1207" s="722" t="s">
        <v>3348</v>
      </c>
    </row>
    <row r="1208">
      <c r="A1208" s="159"/>
      <c r="B1208" s="159"/>
      <c r="C1208" s="159"/>
      <c r="D1208" s="159"/>
      <c r="E1208" s="159"/>
      <c r="F1208" s="159"/>
      <c r="G1208" s="159"/>
      <c r="H1208" s="159"/>
      <c r="I1208" s="157"/>
      <c r="J1208" s="157"/>
      <c r="K1208" s="157"/>
      <c r="L1208" s="157"/>
      <c r="M1208" s="157"/>
      <c r="N1208" s="157"/>
      <c r="O1208" s="157"/>
      <c r="P1208" s="753"/>
      <c r="AK1208" s="40">
        <v>1205.0</v>
      </c>
      <c r="AL1208" s="738" t="s">
        <v>3349</v>
      </c>
      <c r="AM1208" s="738" t="s">
        <v>3350</v>
      </c>
      <c r="AN1208" s="738" t="s">
        <v>1744</v>
      </c>
      <c r="AO1208" s="739">
        <v>0.139</v>
      </c>
      <c r="AP1208" s="739" t="s">
        <v>3351</v>
      </c>
    </row>
    <row r="1209">
      <c r="A1209" s="159"/>
      <c r="B1209" s="159"/>
      <c r="C1209" s="159"/>
      <c r="D1209" s="159"/>
      <c r="E1209" s="159"/>
      <c r="F1209" s="159"/>
      <c r="G1209" s="159"/>
      <c r="H1209" s="159"/>
      <c r="I1209" s="157"/>
      <c r="J1209" s="157"/>
      <c r="K1209" s="157"/>
      <c r="L1209" s="157"/>
      <c r="M1209" s="157"/>
      <c r="N1209" s="157"/>
      <c r="O1209" s="157"/>
      <c r="P1209" s="753"/>
      <c r="AK1209" s="40">
        <v>1206.0</v>
      </c>
      <c r="AL1209" s="719" t="s">
        <v>3352</v>
      </c>
      <c r="AM1209" s="720" t="s">
        <v>3353</v>
      </c>
      <c r="AN1209" s="720" t="s">
        <v>1744</v>
      </c>
      <c r="AO1209" s="722">
        <v>0.166</v>
      </c>
      <c r="AP1209" s="722" t="s">
        <v>3354</v>
      </c>
    </row>
    <row r="1210">
      <c r="A1210" s="159"/>
      <c r="B1210" s="159"/>
      <c r="C1210" s="159"/>
      <c r="D1210" s="159"/>
      <c r="E1210" s="159"/>
      <c r="F1210" s="159"/>
      <c r="G1210" s="159"/>
      <c r="H1210" s="159"/>
      <c r="I1210" s="157"/>
      <c r="J1210" s="157"/>
      <c r="K1210" s="157"/>
      <c r="L1210" s="157"/>
      <c r="M1210" s="157"/>
      <c r="N1210" s="157"/>
      <c r="O1210" s="157"/>
      <c r="P1210" s="753"/>
      <c r="AK1210" s="40">
        <v>1207.0</v>
      </c>
      <c r="AL1210" s="738" t="s">
        <v>3355</v>
      </c>
      <c r="AM1210" s="738" t="s">
        <v>3356</v>
      </c>
      <c r="AN1210" s="738" t="s">
        <v>1744</v>
      </c>
      <c r="AO1210" s="739">
        <v>0.216</v>
      </c>
      <c r="AP1210" s="739" t="s">
        <v>3357</v>
      </c>
    </row>
    <row r="1211">
      <c r="A1211" s="159"/>
      <c r="B1211" s="159"/>
      <c r="C1211" s="159"/>
      <c r="D1211" s="159"/>
      <c r="E1211" s="159"/>
      <c r="F1211" s="159"/>
      <c r="G1211" s="159"/>
      <c r="H1211" s="159"/>
      <c r="I1211" s="157"/>
      <c r="J1211" s="157"/>
      <c r="K1211" s="157"/>
      <c r="L1211" s="157"/>
      <c r="M1211" s="157"/>
      <c r="N1211" s="157"/>
      <c r="O1211" s="157"/>
      <c r="P1211" s="753"/>
      <c r="AK1211" s="40">
        <v>1208.0</v>
      </c>
      <c r="AL1211" s="719" t="s">
        <v>3358</v>
      </c>
      <c r="AM1211" s="720" t="s">
        <v>3359</v>
      </c>
      <c r="AN1211" s="720" t="s">
        <v>1744</v>
      </c>
      <c r="AO1211" s="722">
        <v>0.268</v>
      </c>
      <c r="AP1211" s="722" t="s">
        <v>3360</v>
      </c>
    </row>
    <row r="1212">
      <c r="A1212" s="159"/>
      <c r="B1212" s="159"/>
      <c r="C1212" s="159"/>
      <c r="D1212" s="159"/>
      <c r="E1212" s="159"/>
      <c r="F1212" s="159"/>
      <c r="G1212" s="159"/>
      <c r="H1212" s="159"/>
      <c r="I1212" s="157"/>
      <c r="J1212" s="157"/>
      <c r="K1212" s="157"/>
      <c r="L1212" s="157"/>
      <c r="M1212" s="157"/>
      <c r="N1212" s="157"/>
      <c r="O1212" s="157"/>
      <c r="P1212" s="753"/>
      <c r="AK1212" s="40">
        <v>1209.0</v>
      </c>
      <c r="AL1212" s="738" t="s">
        <v>3361</v>
      </c>
      <c r="AM1212" s="738" t="s">
        <v>3362</v>
      </c>
      <c r="AN1212" s="738" t="s">
        <v>1744</v>
      </c>
      <c r="AO1212" s="739">
        <v>0.303</v>
      </c>
      <c r="AP1212" s="739" t="s">
        <v>3363</v>
      </c>
    </row>
    <row r="1213">
      <c r="A1213" s="159"/>
      <c r="B1213" s="159"/>
      <c r="C1213" s="159"/>
      <c r="D1213" s="159"/>
      <c r="E1213" s="159"/>
      <c r="F1213" s="159"/>
      <c r="G1213" s="159"/>
      <c r="H1213" s="159"/>
      <c r="I1213" s="157"/>
      <c r="J1213" s="157"/>
      <c r="K1213" s="157"/>
      <c r="L1213" s="157"/>
      <c r="M1213" s="157"/>
      <c r="N1213" s="157"/>
      <c r="O1213" s="157"/>
      <c r="P1213" s="753"/>
      <c r="AK1213" s="40">
        <v>1210.0</v>
      </c>
      <c r="AL1213" s="719" t="s">
        <v>3364</v>
      </c>
      <c r="AM1213" s="720" t="s">
        <v>2280</v>
      </c>
      <c r="AN1213" s="720" t="s">
        <v>2281</v>
      </c>
      <c r="AO1213" s="722">
        <v>0.045</v>
      </c>
      <c r="AP1213" s="722" t="s">
        <v>2282</v>
      </c>
    </row>
    <row r="1214">
      <c r="A1214" s="159"/>
      <c r="B1214" s="159"/>
      <c r="C1214" s="159"/>
      <c r="D1214" s="159"/>
      <c r="E1214" s="159"/>
      <c r="F1214" s="159"/>
      <c r="G1214" s="159"/>
      <c r="H1214" s="159"/>
      <c r="I1214" s="157"/>
      <c r="J1214" s="157"/>
      <c r="K1214" s="157"/>
      <c r="L1214" s="157"/>
      <c r="M1214" s="157"/>
      <c r="N1214" s="157"/>
      <c r="O1214" s="157"/>
      <c r="P1214" s="753"/>
      <c r="AK1214" s="40">
        <v>1211.0</v>
      </c>
      <c r="AL1214" s="738" t="s">
        <v>3365</v>
      </c>
      <c r="AM1214" s="738" t="s">
        <v>2156</v>
      </c>
      <c r="AN1214" s="745"/>
      <c r="AO1214" s="739">
        <v>0.0</v>
      </c>
      <c r="AP1214" s="739" t="s">
        <v>2157</v>
      </c>
    </row>
    <row r="1215">
      <c r="A1215" s="159"/>
      <c r="B1215" s="159"/>
      <c r="C1215" s="159"/>
      <c r="D1215" s="159"/>
      <c r="E1215" s="159"/>
      <c r="F1215" s="159"/>
      <c r="G1215" s="159"/>
      <c r="H1215" s="159"/>
      <c r="I1215" s="157"/>
      <c r="J1215" s="157"/>
      <c r="K1215" s="157"/>
      <c r="L1215" s="157"/>
      <c r="M1215" s="157"/>
      <c r="N1215" s="157"/>
      <c r="O1215" s="157"/>
      <c r="P1215" s="753"/>
      <c r="AK1215" s="40">
        <v>1212.0</v>
      </c>
      <c r="AL1215" s="719" t="s">
        <v>3366</v>
      </c>
      <c r="AM1215" s="720" t="s">
        <v>3367</v>
      </c>
      <c r="AN1215" s="720" t="s">
        <v>3368</v>
      </c>
      <c r="AO1215" s="722">
        <v>0.241</v>
      </c>
      <c r="AP1215" s="722" t="s">
        <v>3369</v>
      </c>
    </row>
    <row r="1216">
      <c r="A1216" s="159"/>
      <c r="B1216" s="159"/>
      <c r="C1216" s="159"/>
      <c r="D1216" s="159"/>
      <c r="E1216" s="159"/>
      <c r="F1216" s="159"/>
      <c r="G1216" s="159"/>
      <c r="H1216" s="159"/>
      <c r="I1216" s="157"/>
      <c r="J1216" s="157"/>
      <c r="K1216" s="157"/>
      <c r="L1216" s="157"/>
      <c r="M1216" s="157"/>
      <c r="N1216" s="157"/>
      <c r="O1216" s="157"/>
      <c r="P1216" s="753"/>
      <c r="AK1216" s="40">
        <v>1213.0</v>
      </c>
      <c r="AL1216" s="738" t="s">
        <v>3370</v>
      </c>
      <c r="AM1216" s="738" t="s">
        <v>2156</v>
      </c>
      <c r="AN1216" s="745"/>
      <c r="AO1216" s="739">
        <v>0.0</v>
      </c>
      <c r="AP1216" s="739" t="s">
        <v>2157</v>
      </c>
    </row>
    <row r="1217">
      <c r="A1217" s="159"/>
      <c r="B1217" s="159"/>
      <c r="C1217" s="159"/>
      <c r="D1217" s="159"/>
      <c r="E1217" s="159"/>
      <c r="F1217" s="159"/>
      <c r="G1217" s="159"/>
      <c r="H1217" s="159"/>
      <c r="I1217" s="157"/>
      <c r="J1217" s="157"/>
      <c r="K1217" s="157"/>
      <c r="L1217" s="157"/>
      <c r="M1217" s="157"/>
      <c r="N1217" s="157"/>
      <c r="O1217" s="157"/>
      <c r="P1217" s="753"/>
      <c r="AK1217" s="40">
        <v>1214.0</v>
      </c>
      <c r="AL1217" s="719" t="s">
        <v>3371</v>
      </c>
      <c r="AM1217" s="720" t="s">
        <v>2284</v>
      </c>
      <c r="AN1217" s="720" t="s">
        <v>2285</v>
      </c>
      <c r="AO1217" s="722">
        <v>0.011</v>
      </c>
      <c r="AP1217" s="722" t="s">
        <v>2286</v>
      </c>
    </row>
    <row r="1218">
      <c r="A1218" s="159"/>
      <c r="B1218" s="159"/>
      <c r="C1218" s="159"/>
      <c r="D1218" s="159"/>
      <c r="E1218" s="159"/>
      <c r="F1218" s="159"/>
      <c r="G1218" s="159"/>
      <c r="H1218" s="159"/>
      <c r="I1218" s="157"/>
      <c r="J1218" s="157"/>
      <c r="K1218" s="157"/>
      <c r="L1218" s="157"/>
      <c r="M1218" s="157"/>
      <c r="N1218" s="157"/>
      <c r="O1218" s="157"/>
      <c r="P1218" s="753"/>
      <c r="AK1218" s="40">
        <v>1215.0</v>
      </c>
      <c r="AL1218" s="738" t="s">
        <v>3372</v>
      </c>
      <c r="AM1218" s="738" t="s">
        <v>2288</v>
      </c>
      <c r="AN1218" s="738" t="s">
        <v>2289</v>
      </c>
      <c r="AO1218" s="739">
        <v>0.043</v>
      </c>
      <c r="AP1218" s="739" t="s">
        <v>2290</v>
      </c>
    </row>
    <row r="1219">
      <c r="A1219" s="159"/>
      <c r="B1219" s="159"/>
      <c r="C1219" s="159"/>
      <c r="D1219" s="159"/>
      <c r="E1219" s="159"/>
      <c r="F1219" s="159"/>
      <c r="G1219" s="159"/>
      <c r="H1219" s="159"/>
      <c r="I1219" s="157"/>
      <c r="J1219" s="157"/>
      <c r="K1219" s="157"/>
      <c r="L1219" s="157"/>
      <c r="M1219" s="157"/>
      <c r="N1219" s="157"/>
      <c r="O1219" s="157"/>
      <c r="P1219" s="753"/>
      <c r="AK1219" s="40">
        <v>1216.0</v>
      </c>
      <c r="AL1219" s="719" t="s">
        <v>3373</v>
      </c>
      <c r="AM1219" s="720" t="s">
        <v>3374</v>
      </c>
      <c r="AN1219" s="720" t="s">
        <v>3375</v>
      </c>
      <c r="AO1219" s="722">
        <v>0.1</v>
      </c>
      <c r="AP1219" s="722" t="s">
        <v>3376</v>
      </c>
    </row>
    <row r="1220">
      <c r="A1220" s="159"/>
      <c r="B1220" s="159"/>
      <c r="C1220" s="159"/>
      <c r="D1220" s="159"/>
      <c r="E1220" s="159"/>
      <c r="F1220" s="159"/>
      <c r="G1220" s="159"/>
      <c r="H1220" s="159"/>
      <c r="I1220" s="157"/>
      <c r="J1220" s="157"/>
      <c r="K1220" s="157"/>
      <c r="L1220" s="157"/>
      <c r="M1220" s="157"/>
      <c r="N1220" s="157"/>
      <c r="O1220" s="157"/>
      <c r="P1220" s="753"/>
      <c r="AK1220" s="40">
        <v>1217.0</v>
      </c>
      <c r="AL1220" s="738" t="s">
        <v>3377</v>
      </c>
      <c r="AM1220" s="738" t="s">
        <v>3378</v>
      </c>
      <c r="AN1220" s="738" t="s">
        <v>3379</v>
      </c>
      <c r="AO1220" s="739">
        <v>0.16</v>
      </c>
      <c r="AP1220" s="739" t="s">
        <v>3380</v>
      </c>
    </row>
    <row r="1221">
      <c r="A1221" s="159"/>
      <c r="B1221" s="159"/>
      <c r="C1221" s="159"/>
      <c r="D1221" s="159"/>
      <c r="E1221" s="159"/>
      <c r="F1221" s="159"/>
      <c r="G1221" s="159"/>
      <c r="H1221" s="159"/>
      <c r="I1221" s="157"/>
      <c r="J1221" s="157"/>
      <c r="K1221" s="157"/>
      <c r="L1221" s="157"/>
      <c r="M1221" s="157"/>
      <c r="N1221" s="157"/>
      <c r="O1221" s="157"/>
      <c r="P1221" s="753"/>
      <c r="AK1221" s="40">
        <v>1218.0</v>
      </c>
      <c r="AL1221" s="719" t="s">
        <v>3381</v>
      </c>
      <c r="AM1221" s="720" t="s">
        <v>3382</v>
      </c>
      <c r="AN1221" s="720" t="s">
        <v>3383</v>
      </c>
      <c r="AO1221" s="722">
        <v>0.2</v>
      </c>
      <c r="AP1221" s="722" t="s">
        <v>3384</v>
      </c>
    </row>
    <row r="1222">
      <c r="A1222" s="159"/>
      <c r="B1222" s="159"/>
      <c r="C1222" s="159"/>
      <c r="D1222" s="159"/>
      <c r="E1222" s="159"/>
      <c r="F1222" s="159"/>
      <c r="G1222" s="159"/>
      <c r="H1222" s="159"/>
      <c r="I1222" s="157"/>
      <c r="J1222" s="157"/>
      <c r="K1222" s="157"/>
      <c r="L1222" s="157"/>
      <c r="M1222" s="157"/>
      <c r="N1222" s="157"/>
      <c r="O1222" s="157"/>
      <c r="P1222" s="753"/>
      <c r="AK1222" s="40">
        <v>1219.0</v>
      </c>
      <c r="AL1222" s="738" t="s">
        <v>3385</v>
      </c>
      <c r="AM1222" s="738" t="s">
        <v>3328</v>
      </c>
      <c r="AN1222" s="738" t="s">
        <v>3329</v>
      </c>
      <c r="AO1222" s="739">
        <v>0.03</v>
      </c>
      <c r="AP1222" s="739" t="s">
        <v>3330</v>
      </c>
    </row>
    <row r="1223">
      <c r="A1223" s="159"/>
      <c r="B1223" s="159"/>
      <c r="C1223" s="159"/>
      <c r="D1223" s="159"/>
      <c r="E1223" s="159"/>
      <c r="F1223" s="159"/>
      <c r="G1223" s="159"/>
      <c r="H1223" s="159"/>
      <c r="I1223" s="157"/>
      <c r="J1223" s="157"/>
      <c r="K1223" s="157"/>
      <c r="L1223" s="157"/>
      <c r="M1223" s="157"/>
      <c r="N1223" s="157"/>
      <c r="O1223" s="157"/>
      <c r="P1223" s="753"/>
      <c r="AK1223" s="40">
        <v>1220.0</v>
      </c>
      <c r="AL1223" s="719" t="s">
        <v>3386</v>
      </c>
      <c r="AM1223" s="720" t="s">
        <v>3332</v>
      </c>
      <c r="AN1223" s="720" t="s">
        <v>3333</v>
      </c>
      <c r="AO1223" s="722">
        <v>0.133</v>
      </c>
      <c r="AP1223" s="722" t="s">
        <v>3334</v>
      </c>
    </row>
    <row r="1224">
      <c r="A1224" s="159"/>
      <c r="B1224" s="159"/>
      <c r="C1224" s="159"/>
      <c r="D1224" s="159"/>
      <c r="E1224" s="159"/>
      <c r="F1224" s="159"/>
      <c r="G1224" s="159"/>
      <c r="H1224" s="159"/>
      <c r="I1224" s="157"/>
      <c r="J1224" s="157"/>
      <c r="K1224" s="157"/>
      <c r="L1224" s="157"/>
      <c r="M1224" s="157"/>
      <c r="N1224" s="157"/>
      <c r="O1224" s="157"/>
      <c r="P1224" s="753"/>
      <c r="AK1224" s="40">
        <v>1221.0</v>
      </c>
      <c r="AL1224" s="738" t="s">
        <v>3387</v>
      </c>
      <c r="AM1224" s="738" t="s">
        <v>3336</v>
      </c>
      <c r="AN1224" s="738" t="s">
        <v>3337</v>
      </c>
      <c r="AO1224" s="739">
        <v>0.523</v>
      </c>
      <c r="AP1224" s="739" t="s">
        <v>3338</v>
      </c>
    </row>
    <row r="1225">
      <c r="A1225" s="159"/>
      <c r="B1225" s="159"/>
      <c r="C1225" s="159"/>
      <c r="D1225" s="159"/>
      <c r="E1225" s="159"/>
      <c r="F1225" s="159"/>
      <c r="G1225" s="159"/>
      <c r="H1225" s="159"/>
      <c r="I1225" s="157"/>
      <c r="J1225" s="157"/>
      <c r="K1225" s="157"/>
      <c r="L1225" s="157"/>
      <c r="M1225" s="157"/>
      <c r="N1225" s="157"/>
      <c r="O1225" s="157"/>
      <c r="P1225" s="753"/>
      <c r="AK1225" s="40">
        <v>1222.0</v>
      </c>
      <c r="AL1225" s="719" t="s">
        <v>3388</v>
      </c>
      <c r="AM1225" s="720" t="s">
        <v>2156</v>
      </c>
      <c r="AN1225" s="721"/>
      <c r="AO1225" s="722">
        <v>0.0</v>
      </c>
      <c r="AP1225" s="722" t="s">
        <v>2157</v>
      </c>
    </row>
    <row r="1226">
      <c r="A1226" s="159"/>
      <c r="B1226" s="159"/>
      <c r="C1226" s="159"/>
      <c r="D1226" s="159"/>
      <c r="E1226" s="159"/>
      <c r="F1226" s="159"/>
      <c r="G1226" s="159"/>
      <c r="H1226" s="159"/>
      <c r="I1226" s="157"/>
      <c r="J1226" s="157"/>
      <c r="K1226" s="157"/>
      <c r="L1226" s="157"/>
      <c r="M1226" s="157"/>
      <c r="N1226" s="157"/>
      <c r="O1226" s="157"/>
      <c r="P1226" s="753"/>
      <c r="AK1226" s="40">
        <v>1223.0</v>
      </c>
      <c r="AL1226" s="738" t="s">
        <v>3389</v>
      </c>
      <c r="AM1226" s="738" t="s">
        <v>3390</v>
      </c>
      <c r="AN1226" s="738" t="s">
        <v>3391</v>
      </c>
      <c r="AO1226" s="739">
        <v>0.235</v>
      </c>
      <c r="AP1226" s="739" t="s">
        <v>3392</v>
      </c>
    </row>
    <row r="1227">
      <c r="A1227" s="159"/>
      <c r="B1227" s="159"/>
      <c r="C1227" s="159"/>
      <c r="D1227" s="159"/>
      <c r="E1227" s="159"/>
      <c r="F1227" s="159"/>
      <c r="G1227" s="159"/>
      <c r="H1227" s="159"/>
      <c r="I1227" s="157"/>
      <c r="J1227" s="157"/>
      <c r="K1227" s="157"/>
      <c r="L1227" s="157"/>
      <c r="M1227" s="157"/>
      <c r="N1227" s="157"/>
      <c r="O1227" s="157"/>
      <c r="P1227" s="753"/>
      <c r="AK1227" s="40">
        <v>1224.0</v>
      </c>
      <c r="AL1227" s="719" t="s">
        <v>3393</v>
      </c>
      <c r="AM1227" s="720" t="s">
        <v>3394</v>
      </c>
      <c r="AN1227" s="720" t="s">
        <v>3395</v>
      </c>
      <c r="AO1227" s="722">
        <v>0.373</v>
      </c>
      <c r="AP1227" s="722" t="s">
        <v>3396</v>
      </c>
    </row>
    <row r="1228">
      <c r="A1228" s="159"/>
      <c r="B1228" s="159"/>
      <c r="C1228" s="159"/>
      <c r="D1228" s="159"/>
      <c r="E1228" s="159"/>
      <c r="F1228" s="159"/>
      <c r="G1228" s="159"/>
      <c r="H1228" s="159"/>
      <c r="I1228" s="157"/>
      <c r="J1228" s="157"/>
      <c r="K1228" s="157"/>
      <c r="L1228" s="157"/>
      <c r="M1228" s="157"/>
      <c r="N1228" s="157"/>
      <c r="O1228" s="157"/>
      <c r="P1228" s="753"/>
      <c r="AK1228" s="40">
        <v>1225.0</v>
      </c>
      <c r="AL1228" s="738" t="s">
        <v>3397</v>
      </c>
      <c r="AM1228" s="738" t="s">
        <v>3398</v>
      </c>
      <c r="AN1228" s="738" t="s">
        <v>3399</v>
      </c>
      <c r="AO1228" s="739">
        <v>0.57</v>
      </c>
      <c r="AP1228" s="739" t="s">
        <v>3400</v>
      </c>
    </row>
    <row r="1229">
      <c r="A1229" s="159"/>
      <c r="B1229" s="159"/>
      <c r="C1229" s="159"/>
      <c r="D1229" s="159"/>
      <c r="E1229" s="159"/>
      <c r="F1229" s="159"/>
      <c r="G1229" s="159"/>
      <c r="H1229" s="159"/>
      <c r="I1229" s="157"/>
      <c r="J1229" s="157"/>
      <c r="K1229" s="157"/>
      <c r="L1229" s="157"/>
      <c r="M1229" s="157"/>
      <c r="N1229" s="157"/>
      <c r="O1229" s="157"/>
      <c r="P1229" s="753"/>
      <c r="AK1229" s="40">
        <v>1226.0</v>
      </c>
      <c r="AL1229" s="719" t="s">
        <v>3401</v>
      </c>
      <c r="AM1229" s="720" t="s">
        <v>3402</v>
      </c>
      <c r="AN1229" s="720" t="s">
        <v>3403</v>
      </c>
      <c r="AO1229" s="722">
        <v>0.123</v>
      </c>
      <c r="AP1229" s="722" t="s">
        <v>3404</v>
      </c>
    </row>
    <row r="1230">
      <c r="A1230" s="159"/>
      <c r="B1230" s="159"/>
      <c r="C1230" s="159"/>
      <c r="D1230" s="159"/>
      <c r="E1230" s="159"/>
      <c r="F1230" s="159"/>
      <c r="G1230" s="159"/>
      <c r="H1230" s="159"/>
      <c r="I1230" s="157"/>
      <c r="J1230" s="157"/>
      <c r="K1230" s="157"/>
      <c r="L1230" s="157"/>
      <c r="M1230" s="157"/>
      <c r="N1230" s="157"/>
      <c r="O1230" s="157"/>
      <c r="P1230" s="753"/>
      <c r="AK1230" s="40">
        <v>1227.0</v>
      </c>
      <c r="AL1230" s="738" t="s">
        <v>3405</v>
      </c>
      <c r="AM1230" s="738" t="s">
        <v>2156</v>
      </c>
      <c r="AN1230" s="745"/>
      <c r="AO1230" s="739">
        <v>0.0</v>
      </c>
      <c r="AP1230" s="739" t="s">
        <v>2157</v>
      </c>
    </row>
    <row r="1231">
      <c r="A1231" s="159"/>
      <c r="B1231" s="159"/>
      <c r="C1231" s="159"/>
      <c r="D1231" s="159"/>
      <c r="E1231" s="159"/>
      <c r="F1231" s="159"/>
      <c r="G1231" s="159"/>
      <c r="H1231" s="159"/>
      <c r="I1231" s="157"/>
      <c r="J1231" s="157"/>
      <c r="K1231" s="157"/>
      <c r="L1231" s="157"/>
      <c r="M1231" s="157"/>
      <c r="N1231" s="157"/>
      <c r="O1231" s="157"/>
      <c r="P1231" s="753"/>
      <c r="AK1231" s="40">
        <v>1228.0</v>
      </c>
      <c r="AL1231" s="719" t="s">
        <v>3406</v>
      </c>
      <c r="AM1231" s="720" t="s">
        <v>3407</v>
      </c>
      <c r="AN1231" s="720" t="s">
        <v>3408</v>
      </c>
      <c r="AO1231" s="722">
        <v>0.016</v>
      </c>
      <c r="AP1231" s="722" t="s">
        <v>3409</v>
      </c>
    </row>
    <row r="1232">
      <c r="A1232" s="159"/>
      <c r="B1232" s="159"/>
      <c r="C1232" s="159"/>
      <c r="D1232" s="159"/>
      <c r="E1232" s="159"/>
      <c r="F1232" s="159"/>
      <c r="G1232" s="159"/>
      <c r="H1232" s="159"/>
      <c r="I1232" s="157"/>
      <c r="J1232" s="157"/>
      <c r="K1232" s="157"/>
      <c r="L1232" s="157"/>
      <c r="M1232" s="157"/>
      <c r="N1232" s="157"/>
      <c r="O1232" s="157"/>
      <c r="P1232" s="753"/>
      <c r="AK1232" s="40">
        <v>1229.0</v>
      </c>
      <c r="AL1232" s="738" t="s">
        <v>3410</v>
      </c>
      <c r="AM1232" s="738" t="s">
        <v>3411</v>
      </c>
      <c r="AN1232" s="738" t="s">
        <v>3412</v>
      </c>
      <c r="AO1232" s="739">
        <v>0.056</v>
      </c>
      <c r="AP1232" s="739" t="s">
        <v>3413</v>
      </c>
    </row>
    <row r="1233">
      <c r="A1233" s="159"/>
      <c r="B1233" s="159"/>
      <c r="C1233" s="159"/>
      <c r="D1233" s="159"/>
      <c r="E1233" s="159"/>
      <c r="F1233" s="159"/>
      <c r="G1233" s="159"/>
      <c r="H1233" s="159"/>
      <c r="I1233" s="157"/>
      <c r="J1233" s="157"/>
      <c r="K1233" s="157"/>
      <c r="L1233" s="157"/>
      <c r="M1233" s="157"/>
      <c r="N1233" s="157"/>
      <c r="O1233" s="157"/>
      <c r="P1233" s="753"/>
      <c r="AK1233" s="40">
        <v>1230.0</v>
      </c>
      <c r="AL1233" s="719" t="s">
        <v>3414</v>
      </c>
      <c r="AM1233" s="720" t="s">
        <v>3415</v>
      </c>
      <c r="AN1233" s="720" t="s">
        <v>3416</v>
      </c>
      <c r="AO1233" s="722">
        <v>0.179</v>
      </c>
      <c r="AP1233" s="722" t="s">
        <v>3417</v>
      </c>
    </row>
    <row r="1234">
      <c r="A1234" s="159"/>
      <c r="B1234" s="159"/>
      <c r="C1234" s="159"/>
      <c r="D1234" s="159"/>
      <c r="E1234" s="159"/>
      <c r="F1234" s="159"/>
      <c r="G1234" s="159"/>
      <c r="H1234" s="159"/>
      <c r="I1234" s="157"/>
      <c r="J1234" s="157"/>
      <c r="K1234" s="157"/>
      <c r="L1234" s="157"/>
      <c r="M1234" s="157"/>
      <c r="N1234" s="157"/>
      <c r="O1234" s="157"/>
      <c r="P1234" s="753"/>
      <c r="AK1234" s="40">
        <v>1231.0</v>
      </c>
      <c r="AL1234" s="738" t="s">
        <v>3418</v>
      </c>
      <c r="AM1234" s="738" t="s">
        <v>2156</v>
      </c>
      <c r="AN1234" s="745"/>
      <c r="AO1234" s="739">
        <v>0.0</v>
      </c>
      <c r="AP1234" s="739" t="s">
        <v>2157</v>
      </c>
    </row>
    <row r="1235">
      <c r="A1235" s="159"/>
      <c r="B1235" s="159"/>
      <c r="C1235" s="159"/>
      <c r="D1235" s="159"/>
      <c r="E1235" s="159"/>
      <c r="F1235" s="159"/>
      <c r="G1235" s="159"/>
      <c r="H1235" s="159"/>
      <c r="I1235" s="157"/>
      <c r="J1235" s="157"/>
      <c r="K1235" s="157"/>
      <c r="L1235" s="157"/>
      <c r="M1235" s="157"/>
      <c r="N1235" s="157"/>
      <c r="O1235" s="157"/>
      <c r="P1235" s="753"/>
      <c r="AK1235" s="40">
        <v>1232.0</v>
      </c>
      <c r="AL1235" s="719" t="s">
        <v>3419</v>
      </c>
      <c r="AM1235" s="720" t="s">
        <v>3420</v>
      </c>
      <c r="AN1235" s="720" t="s">
        <v>3421</v>
      </c>
      <c r="AO1235" s="722">
        <v>0.697</v>
      </c>
      <c r="AP1235" s="722" t="s">
        <v>3422</v>
      </c>
    </row>
    <row r="1236">
      <c r="A1236" s="159"/>
      <c r="B1236" s="159"/>
      <c r="C1236" s="159"/>
      <c r="D1236" s="159"/>
      <c r="E1236" s="159"/>
      <c r="F1236" s="159"/>
      <c r="G1236" s="159"/>
      <c r="H1236" s="159"/>
      <c r="I1236" s="157"/>
      <c r="J1236" s="157"/>
      <c r="K1236" s="157"/>
      <c r="L1236" s="157"/>
      <c r="M1236" s="157"/>
      <c r="N1236" s="157"/>
      <c r="O1236" s="157"/>
      <c r="P1236" s="753"/>
      <c r="AK1236" s="40">
        <v>1233.0</v>
      </c>
      <c r="AL1236" s="738" t="s">
        <v>3423</v>
      </c>
      <c r="AM1236" s="738" t="s">
        <v>3424</v>
      </c>
      <c r="AN1236" s="738" t="s">
        <v>3425</v>
      </c>
      <c r="AO1236" s="739">
        <v>0.335</v>
      </c>
      <c r="AP1236" s="739" t="s">
        <v>3426</v>
      </c>
    </row>
    <row r="1237">
      <c r="A1237" s="159"/>
      <c r="B1237" s="159"/>
      <c r="C1237" s="159"/>
      <c r="D1237" s="159"/>
      <c r="E1237" s="159"/>
      <c r="F1237" s="159"/>
      <c r="G1237" s="159"/>
      <c r="H1237" s="159"/>
      <c r="I1237" s="157"/>
      <c r="J1237" s="157"/>
      <c r="K1237" s="157"/>
      <c r="L1237" s="157"/>
      <c r="M1237" s="157"/>
      <c r="N1237" s="157"/>
      <c r="O1237" s="157"/>
      <c r="P1237" s="753"/>
      <c r="AK1237" s="40">
        <v>1234.0</v>
      </c>
      <c r="AL1237" s="719" t="s">
        <v>3427</v>
      </c>
      <c r="AM1237" s="720" t="s">
        <v>2156</v>
      </c>
      <c r="AN1237" s="721"/>
      <c r="AO1237" s="722">
        <v>0.0</v>
      </c>
      <c r="AP1237" s="722" t="s">
        <v>2157</v>
      </c>
    </row>
    <row r="1238">
      <c r="A1238" s="159"/>
      <c r="B1238" s="159"/>
      <c r="C1238" s="159"/>
      <c r="D1238" s="159"/>
      <c r="E1238" s="159"/>
      <c r="F1238" s="159"/>
      <c r="G1238" s="159"/>
      <c r="H1238" s="159"/>
      <c r="I1238" s="157"/>
      <c r="J1238" s="157"/>
      <c r="K1238" s="157"/>
      <c r="L1238" s="157"/>
      <c r="M1238" s="157"/>
      <c r="N1238" s="157"/>
      <c r="O1238" s="157"/>
      <c r="P1238" s="753"/>
      <c r="AK1238" s="40">
        <v>1235.0</v>
      </c>
      <c r="AL1238" s="738" t="s">
        <v>3428</v>
      </c>
      <c r="AM1238" s="738" t="s">
        <v>3429</v>
      </c>
      <c r="AN1238" s="738" t="s">
        <v>3430</v>
      </c>
      <c r="AO1238" s="739">
        <v>0.479</v>
      </c>
      <c r="AP1238" s="739" t="s">
        <v>3431</v>
      </c>
    </row>
    <row r="1239">
      <c r="A1239" s="159"/>
      <c r="B1239" s="159"/>
      <c r="C1239" s="159"/>
      <c r="D1239" s="159"/>
      <c r="E1239" s="159"/>
      <c r="F1239" s="159"/>
      <c r="G1239" s="159"/>
      <c r="H1239" s="159"/>
      <c r="I1239" s="157"/>
      <c r="J1239" s="157"/>
      <c r="K1239" s="157"/>
      <c r="L1239" s="157"/>
      <c r="M1239" s="157"/>
      <c r="N1239" s="157"/>
      <c r="O1239" s="157"/>
      <c r="P1239" s="753"/>
      <c r="AK1239" s="40">
        <v>1236.0</v>
      </c>
      <c r="AL1239" s="719" t="s">
        <v>3432</v>
      </c>
      <c r="AM1239" s="720" t="s">
        <v>3433</v>
      </c>
      <c r="AN1239" s="720" t="s">
        <v>3434</v>
      </c>
      <c r="AO1239" s="722">
        <v>0.116</v>
      </c>
      <c r="AP1239" s="722" t="s">
        <v>3435</v>
      </c>
    </row>
    <row r="1240">
      <c r="A1240" s="159"/>
      <c r="B1240" s="159"/>
      <c r="C1240" s="159"/>
      <c r="D1240" s="159"/>
      <c r="E1240" s="159"/>
      <c r="F1240" s="159"/>
      <c r="G1240" s="159"/>
      <c r="H1240" s="159"/>
      <c r="I1240" s="157"/>
      <c r="J1240" s="157"/>
      <c r="K1240" s="157"/>
      <c r="L1240" s="157"/>
      <c r="M1240" s="157"/>
      <c r="N1240" s="157"/>
      <c r="O1240" s="157"/>
      <c r="P1240" s="753"/>
      <c r="AK1240" s="40">
        <v>1237.0</v>
      </c>
      <c r="AL1240" s="738" t="s">
        <v>3436</v>
      </c>
      <c r="AM1240" s="738" t="s">
        <v>2156</v>
      </c>
      <c r="AN1240" s="745"/>
      <c r="AO1240" s="739">
        <v>0.0</v>
      </c>
      <c r="AP1240" s="739" t="s">
        <v>2157</v>
      </c>
    </row>
    <row r="1241">
      <c r="A1241" s="159"/>
      <c r="B1241" s="159"/>
      <c r="C1241" s="159"/>
      <c r="D1241" s="159"/>
      <c r="E1241" s="159"/>
      <c r="F1241" s="159"/>
      <c r="G1241" s="159"/>
      <c r="H1241" s="159"/>
      <c r="I1241" s="157"/>
      <c r="J1241" s="157"/>
      <c r="K1241" s="157"/>
      <c r="L1241" s="157"/>
      <c r="M1241" s="157"/>
      <c r="N1241" s="157"/>
      <c r="O1241" s="157"/>
      <c r="P1241" s="753"/>
      <c r="AK1241" s="40">
        <v>1238.0</v>
      </c>
      <c r="AL1241" s="719" t="s">
        <v>3437</v>
      </c>
      <c r="AM1241" s="720" t="s">
        <v>3438</v>
      </c>
      <c r="AN1241" s="720" t="s">
        <v>3439</v>
      </c>
      <c r="AO1241" s="722">
        <v>0.486</v>
      </c>
      <c r="AP1241" s="722" t="s">
        <v>3440</v>
      </c>
    </row>
    <row r="1242">
      <c r="A1242" s="159"/>
      <c r="B1242" s="159"/>
      <c r="C1242" s="159"/>
      <c r="D1242" s="159"/>
      <c r="E1242" s="159"/>
      <c r="F1242" s="159"/>
      <c r="G1242" s="159"/>
      <c r="H1242" s="159"/>
      <c r="I1242" s="157"/>
      <c r="J1242" s="157"/>
      <c r="K1242" s="157"/>
      <c r="L1242" s="157"/>
      <c r="M1242" s="157"/>
      <c r="N1242" s="157"/>
      <c r="O1242" s="157"/>
      <c r="P1242" s="753"/>
      <c r="AK1242" s="40">
        <v>1239.0</v>
      </c>
      <c r="AL1242" s="738" t="s">
        <v>3441</v>
      </c>
      <c r="AM1242" s="738" t="s">
        <v>3442</v>
      </c>
      <c r="AN1242" s="738" t="s">
        <v>3443</v>
      </c>
      <c r="AO1242" s="739">
        <v>0.079</v>
      </c>
      <c r="AP1242" s="739" t="s">
        <v>3444</v>
      </c>
    </row>
    <row r="1243">
      <c r="A1243" s="159"/>
      <c r="B1243" s="159"/>
      <c r="C1243" s="159"/>
      <c r="D1243" s="159"/>
      <c r="E1243" s="159"/>
      <c r="F1243" s="159"/>
      <c r="G1243" s="159"/>
      <c r="H1243" s="159"/>
      <c r="I1243" s="157"/>
      <c r="J1243" s="157"/>
      <c r="K1243" s="157"/>
      <c r="L1243" s="157"/>
      <c r="M1243" s="157"/>
      <c r="N1243" s="157"/>
      <c r="O1243" s="157"/>
      <c r="P1243" s="753"/>
      <c r="AK1243" s="40">
        <v>1240.0</v>
      </c>
      <c r="AL1243" s="719" t="s">
        <v>3445</v>
      </c>
      <c r="AM1243" s="720" t="s">
        <v>2156</v>
      </c>
      <c r="AN1243" s="721"/>
      <c r="AO1243" s="722">
        <v>0.0</v>
      </c>
      <c r="AP1243" s="722" t="s">
        <v>2157</v>
      </c>
    </row>
    <row r="1244">
      <c r="A1244" s="159"/>
      <c r="B1244" s="159"/>
      <c r="C1244" s="159"/>
      <c r="D1244" s="159"/>
      <c r="E1244" s="159"/>
      <c r="F1244" s="159"/>
      <c r="G1244" s="159"/>
      <c r="H1244" s="159"/>
      <c r="I1244" s="157"/>
      <c r="J1244" s="157"/>
      <c r="K1244" s="157"/>
      <c r="L1244" s="157"/>
      <c r="M1244" s="157"/>
      <c r="N1244" s="157"/>
      <c r="O1244" s="157"/>
      <c r="P1244" s="753"/>
      <c r="AK1244" s="40">
        <v>1241.0</v>
      </c>
      <c r="AL1244" s="738" t="s">
        <v>3446</v>
      </c>
      <c r="AM1244" s="738" t="s">
        <v>3447</v>
      </c>
      <c r="AN1244" s="738" t="s">
        <v>3448</v>
      </c>
      <c r="AO1244" s="739">
        <v>0.266</v>
      </c>
      <c r="AP1244" s="739" t="s">
        <v>3449</v>
      </c>
    </row>
    <row r="1245">
      <c r="A1245" s="159"/>
      <c r="B1245" s="159"/>
      <c r="C1245" s="159"/>
      <c r="D1245" s="159"/>
      <c r="E1245" s="159"/>
      <c r="F1245" s="159"/>
      <c r="G1245" s="159"/>
      <c r="H1245" s="159"/>
      <c r="I1245" s="157"/>
      <c r="J1245" s="157"/>
      <c r="K1245" s="157"/>
      <c r="L1245" s="157"/>
      <c r="M1245" s="157"/>
      <c r="N1245" s="157"/>
      <c r="O1245" s="157"/>
      <c r="P1245" s="753"/>
      <c r="AK1245" s="40">
        <v>1242.0</v>
      </c>
      <c r="AL1245" s="719" t="s">
        <v>3450</v>
      </c>
      <c r="AM1245" s="720" t="s">
        <v>3451</v>
      </c>
      <c r="AN1245" s="720" t="s">
        <v>3452</v>
      </c>
      <c r="AO1245" s="722">
        <v>0.039</v>
      </c>
      <c r="AP1245" s="722" t="s">
        <v>3453</v>
      </c>
    </row>
    <row r="1246">
      <c r="A1246" s="159"/>
      <c r="B1246" s="159"/>
      <c r="C1246" s="159"/>
      <c r="D1246" s="159"/>
      <c r="E1246" s="159"/>
      <c r="F1246" s="159"/>
      <c r="G1246" s="159"/>
      <c r="H1246" s="159"/>
      <c r="I1246" s="157"/>
      <c r="J1246" s="157"/>
      <c r="K1246" s="157"/>
      <c r="L1246" s="157"/>
      <c r="M1246" s="157"/>
      <c r="N1246" s="157"/>
      <c r="O1246" s="157"/>
      <c r="P1246" s="753"/>
      <c r="AK1246" s="40">
        <v>1243.0</v>
      </c>
      <c r="AL1246" s="738" t="s">
        <v>3454</v>
      </c>
      <c r="AM1246" s="738" t="s">
        <v>2156</v>
      </c>
      <c r="AN1246" s="745"/>
      <c r="AO1246" s="739">
        <v>0.0</v>
      </c>
      <c r="AP1246" s="739" t="s">
        <v>2157</v>
      </c>
    </row>
    <row r="1247">
      <c r="A1247" s="159"/>
      <c r="B1247" s="159"/>
      <c r="C1247" s="159"/>
      <c r="D1247" s="159"/>
      <c r="E1247" s="159"/>
      <c r="F1247" s="159"/>
      <c r="G1247" s="159"/>
      <c r="H1247" s="159"/>
      <c r="I1247" s="157"/>
      <c r="J1247" s="157"/>
      <c r="K1247" s="157"/>
      <c r="L1247" s="157"/>
      <c r="M1247" s="157"/>
      <c r="N1247" s="157"/>
      <c r="O1247" s="157"/>
      <c r="P1247" s="753"/>
      <c r="AK1247" s="40">
        <v>1244.0</v>
      </c>
      <c r="AL1247" s="719" t="s">
        <v>3455</v>
      </c>
      <c r="AM1247" s="720" t="s">
        <v>3433</v>
      </c>
      <c r="AN1247" s="720" t="s">
        <v>3434</v>
      </c>
      <c r="AO1247" s="722">
        <v>0.116</v>
      </c>
      <c r="AP1247" s="722" t="s">
        <v>3435</v>
      </c>
    </row>
    <row r="1248">
      <c r="A1248" s="159"/>
      <c r="B1248" s="159"/>
      <c r="C1248" s="159"/>
      <c r="D1248" s="159"/>
      <c r="E1248" s="159"/>
      <c r="F1248" s="159"/>
      <c r="G1248" s="159"/>
      <c r="H1248" s="159"/>
      <c r="I1248" s="157"/>
      <c r="J1248" s="157"/>
      <c r="K1248" s="157"/>
      <c r="L1248" s="157"/>
      <c r="M1248" s="157"/>
      <c r="N1248" s="157"/>
      <c r="O1248" s="157"/>
      <c r="P1248" s="753"/>
      <c r="AK1248" s="40">
        <v>1245.0</v>
      </c>
      <c r="AL1248" s="738" t="s">
        <v>3456</v>
      </c>
      <c r="AM1248" s="738" t="s">
        <v>2065</v>
      </c>
      <c r="AN1248" s="738" t="s">
        <v>2066</v>
      </c>
      <c r="AO1248" s="739">
        <v>0.049</v>
      </c>
      <c r="AP1248" s="739" t="s">
        <v>2067</v>
      </c>
    </row>
    <row r="1249">
      <c r="A1249" s="159"/>
      <c r="B1249" s="159"/>
      <c r="C1249" s="159"/>
      <c r="D1249" s="159"/>
      <c r="E1249" s="159"/>
      <c r="F1249" s="159"/>
      <c r="G1249" s="159"/>
      <c r="H1249" s="159"/>
      <c r="I1249" s="157"/>
      <c r="J1249" s="157"/>
      <c r="K1249" s="157"/>
      <c r="L1249" s="157"/>
      <c r="M1249" s="157"/>
      <c r="N1249" s="157"/>
      <c r="O1249" s="157"/>
      <c r="P1249" s="753"/>
      <c r="AK1249" s="40">
        <v>1246.0</v>
      </c>
      <c r="AL1249" s="719" t="s">
        <v>3457</v>
      </c>
      <c r="AM1249" s="720" t="s">
        <v>2184</v>
      </c>
      <c r="AN1249" s="720" t="s">
        <v>2185</v>
      </c>
      <c r="AO1249" s="722">
        <v>0.031</v>
      </c>
      <c r="AP1249" s="722" t="s">
        <v>2186</v>
      </c>
    </row>
    <row r="1250">
      <c r="A1250" s="159"/>
      <c r="B1250" s="159"/>
      <c r="C1250" s="159"/>
      <c r="D1250" s="159"/>
      <c r="E1250" s="159"/>
      <c r="F1250" s="159"/>
      <c r="G1250" s="159"/>
      <c r="H1250" s="159"/>
      <c r="I1250" s="157"/>
      <c r="J1250" s="157"/>
      <c r="K1250" s="157"/>
      <c r="L1250" s="157"/>
      <c r="M1250" s="157"/>
      <c r="N1250" s="157"/>
      <c r="O1250" s="157"/>
      <c r="P1250" s="753"/>
      <c r="AK1250" s="40">
        <v>1247.0</v>
      </c>
      <c r="AL1250" s="738" t="s">
        <v>3458</v>
      </c>
      <c r="AM1250" s="738" t="s">
        <v>2188</v>
      </c>
      <c r="AN1250" s="738" t="s">
        <v>2189</v>
      </c>
      <c r="AO1250" s="739">
        <v>0.184</v>
      </c>
      <c r="AP1250" s="739" t="s">
        <v>2190</v>
      </c>
    </row>
    <row r="1251">
      <c r="A1251" s="159"/>
      <c r="B1251" s="159"/>
      <c r="C1251" s="159"/>
      <c r="D1251" s="159"/>
      <c r="E1251" s="159"/>
      <c r="F1251" s="159"/>
      <c r="G1251" s="159"/>
      <c r="H1251" s="159"/>
      <c r="I1251" s="157"/>
      <c r="J1251" s="157"/>
      <c r="K1251" s="157"/>
      <c r="L1251" s="157"/>
      <c r="M1251" s="157"/>
      <c r="N1251" s="157"/>
      <c r="O1251" s="157"/>
      <c r="P1251" s="753"/>
      <c r="AK1251" s="40">
        <v>1248.0</v>
      </c>
      <c r="AL1251" s="719" t="s">
        <v>3459</v>
      </c>
      <c r="AM1251" s="720" t="s">
        <v>2192</v>
      </c>
      <c r="AN1251" s="720" t="s">
        <v>2193</v>
      </c>
      <c r="AO1251" s="722">
        <v>0.187</v>
      </c>
      <c r="AP1251" s="722" t="s">
        <v>2194</v>
      </c>
    </row>
    <row r="1252">
      <c r="A1252" s="159"/>
      <c r="B1252" s="159"/>
      <c r="C1252" s="159"/>
      <c r="D1252" s="159"/>
      <c r="E1252" s="159"/>
      <c r="F1252" s="159"/>
      <c r="G1252" s="159"/>
      <c r="H1252" s="159"/>
      <c r="I1252" s="157"/>
      <c r="J1252" s="157"/>
      <c r="K1252" s="157"/>
      <c r="L1252" s="157"/>
      <c r="M1252" s="157"/>
      <c r="N1252" s="157"/>
      <c r="O1252" s="157"/>
      <c r="P1252" s="753"/>
      <c r="AK1252" s="40">
        <v>1249.0</v>
      </c>
      <c r="AL1252" s="738" t="s">
        <v>3460</v>
      </c>
      <c r="AM1252" s="738" t="s">
        <v>3461</v>
      </c>
      <c r="AN1252" s="738" t="s">
        <v>3462</v>
      </c>
      <c r="AO1252" s="739">
        <v>0.133</v>
      </c>
      <c r="AP1252" s="739" t="s">
        <v>3463</v>
      </c>
    </row>
    <row r="1253">
      <c r="A1253" s="159"/>
      <c r="B1253" s="159"/>
      <c r="C1253" s="159"/>
      <c r="D1253" s="159"/>
      <c r="E1253" s="159"/>
      <c r="F1253" s="159"/>
      <c r="G1253" s="159"/>
      <c r="H1253" s="159"/>
      <c r="I1253" s="157"/>
      <c r="J1253" s="157"/>
      <c r="K1253" s="157"/>
      <c r="L1253" s="157"/>
      <c r="M1253" s="157"/>
      <c r="N1253" s="157"/>
      <c r="O1253" s="157"/>
      <c r="P1253" s="753"/>
      <c r="AK1253" s="40">
        <v>1250.0</v>
      </c>
      <c r="AL1253" s="719" t="s">
        <v>3464</v>
      </c>
      <c r="AM1253" s="720" t="s">
        <v>3465</v>
      </c>
      <c r="AN1253" s="721"/>
      <c r="AO1253" s="722">
        <v>0.15</v>
      </c>
      <c r="AP1253" s="722" t="s">
        <v>3466</v>
      </c>
    </row>
    <row r="1254">
      <c r="A1254" s="159"/>
      <c r="B1254" s="159"/>
      <c r="C1254" s="159"/>
      <c r="D1254" s="159"/>
      <c r="E1254" s="159"/>
      <c r="F1254" s="159"/>
      <c r="G1254" s="159"/>
      <c r="H1254" s="159"/>
      <c r="I1254" s="157"/>
      <c r="J1254" s="157"/>
      <c r="K1254" s="157"/>
      <c r="L1254" s="157"/>
      <c r="M1254" s="157"/>
      <c r="N1254" s="157"/>
      <c r="O1254" s="157"/>
      <c r="P1254" s="753"/>
      <c r="AK1254" s="40">
        <v>1251.0</v>
      </c>
      <c r="AL1254" s="738" t="s">
        <v>3467</v>
      </c>
      <c r="AM1254" s="738" t="s">
        <v>3468</v>
      </c>
      <c r="AN1254" s="745"/>
      <c r="AO1254" s="739">
        <v>0.167</v>
      </c>
      <c r="AP1254" s="739" t="s">
        <v>3469</v>
      </c>
    </row>
    <row r="1255">
      <c r="A1255" s="159"/>
      <c r="B1255" s="159"/>
      <c r="C1255" s="159"/>
      <c r="D1255" s="159"/>
      <c r="E1255" s="159"/>
      <c r="F1255" s="159"/>
      <c r="G1255" s="159"/>
      <c r="H1255" s="159"/>
      <c r="I1255" s="157"/>
      <c r="J1255" s="157"/>
      <c r="K1255" s="157"/>
      <c r="L1255" s="157"/>
      <c r="M1255" s="157"/>
      <c r="N1255" s="157"/>
      <c r="O1255" s="157"/>
      <c r="P1255" s="753"/>
      <c r="AK1255" s="40">
        <v>1252.0</v>
      </c>
      <c r="AL1255" s="719" t="s">
        <v>3470</v>
      </c>
      <c r="AM1255" s="720" t="s">
        <v>3471</v>
      </c>
      <c r="AN1255" s="721"/>
      <c r="AO1255" s="722">
        <v>0.282</v>
      </c>
      <c r="AP1255" s="722" t="s">
        <v>3472</v>
      </c>
    </row>
    <row r="1256">
      <c r="A1256" s="159"/>
      <c r="B1256" s="159"/>
      <c r="C1256" s="159"/>
      <c r="D1256" s="159"/>
      <c r="E1256" s="159"/>
      <c r="F1256" s="159"/>
      <c r="G1256" s="159"/>
      <c r="H1256" s="159"/>
      <c r="I1256" s="157"/>
      <c r="J1256" s="157"/>
      <c r="K1256" s="157"/>
      <c r="L1256" s="157"/>
      <c r="M1256" s="157"/>
      <c r="N1256" s="157"/>
      <c r="O1256" s="157"/>
      <c r="P1256" s="753"/>
      <c r="AK1256" s="40">
        <v>1253.0</v>
      </c>
      <c r="AL1256" s="738" t="s">
        <v>3473</v>
      </c>
      <c r="AM1256" s="738" t="s">
        <v>2065</v>
      </c>
      <c r="AN1256" s="738" t="s">
        <v>2066</v>
      </c>
      <c r="AO1256" s="739">
        <v>0.049</v>
      </c>
      <c r="AP1256" s="739" t="s">
        <v>2067</v>
      </c>
    </row>
    <row r="1257">
      <c r="A1257" s="159"/>
      <c r="B1257" s="159"/>
      <c r="C1257" s="159"/>
      <c r="D1257" s="159"/>
      <c r="E1257" s="159"/>
      <c r="F1257" s="159"/>
      <c r="G1257" s="159"/>
      <c r="H1257" s="159"/>
      <c r="I1257" s="157"/>
      <c r="J1257" s="157"/>
      <c r="K1257" s="157"/>
      <c r="L1257" s="157"/>
      <c r="M1257" s="157"/>
      <c r="N1257" s="157"/>
      <c r="O1257" s="157"/>
      <c r="P1257" s="753"/>
      <c r="AK1257" s="40">
        <v>1254.0</v>
      </c>
      <c r="AL1257" s="719" t="s">
        <v>3474</v>
      </c>
      <c r="AM1257" s="720" t="s">
        <v>2184</v>
      </c>
      <c r="AN1257" s="720" t="s">
        <v>2185</v>
      </c>
      <c r="AO1257" s="722">
        <v>0.031</v>
      </c>
      <c r="AP1257" s="722" t="s">
        <v>2186</v>
      </c>
    </row>
    <row r="1258">
      <c r="A1258" s="159"/>
      <c r="B1258" s="159"/>
      <c r="C1258" s="159"/>
      <c r="D1258" s="159"/>
      <c r="E1258" s="159"/>
      <c r="F1258" s="159"/>
      <c r="G1258" s="159"/>
      <c r="H1258" s="159"/>
      <c r="I1258" s="157"/>
      <c r="J1258" s="157"/>
      <c r="K1258" s="157"/>
      <c r="L1258" s="157"/>
      <c r="M1258" s="157"/>
      <c r="N1258" s="157"/>
      <c r="O1258" s="157"/>
      <c r="P1258" s="753"/>
      <c r="AK1258" s="40">
        <v>1255.0</v>
      </c>
      <c r="AL1258" s="738" t="s">
        <v>3475</v>
      </c>
      <c r="AM1258" s="738" t="s">
        <v>2188</v>
      </c>
      <c r="AN1258" s="738" t="s">
        <v>2189</v>
      </c>
      <c r="AO1258" s="739">
        <v>0.184</v>
      </c>
      <c r="AP1258" s="739" t="s">
        <v>2190</v>
      </c>
    </row>
    <row r="1259">
      <c r="A1259" s="159"/>
      <c r="B1259" s="159"/>
      <c r="C1259" s="159"/>
      <c r="D1259" s="159"/>
      <c r="E1259" s="159"/>
      <c r="F1259" s="159"/>
      <c r="G1259" s="159"/>
      <c r="H1259" s="159"/>
      <c r="I1259" s="157"/>
      <c r="J1259" s="157"/>
      <c r="K1259" s="157"/>
      <c r="L1259" s="157"/>
      <c r="M1259" s="157"/>
      <c r="N1259" s="157"/>
      <c r="O1259" s="157"/>
      <c r="P1259" s="753"/>
      <c r="AK1259" s="40">
        <v>1256.0</v>
      </c>
      <c r="AL1259" s="719" t="s">
        <v>3476</v>
      </c>
      <c r="AM1259" s="720" t="s">
        <v>2192</v>
      </c>
      <c r="AN1259" s="720" t="s">
        <v>2193</v>
      </c>
      <c r="AO1259" s="722">
        <v>0.187</v>
      </c>
      <c r="AP1259" s="722" t="s">
        <v>2194</v>
      </c>
    </row>
    <row r="1260">
      <c r="A1260" s="159"/>
      <c r="B1260" s="159"/>
      <c r="C1260" s="159"/>
      <c r="D1260" s="159"/>
      <c r="E1260" s="159"/>
      <c r="F1260" s="159"/>
      <c r="G1260" s="159"/>
      <c r="H1260" s="159"/>
      <c r="I1260" s="157"/>
      <c r="J1260" s="157"/>
      <c r="K1260" s="157"/>
      <c r="L1260" s="157"/>
      <c r="M1260" s="157"/>
      <c r="N1260" s="157"/>
      <c r="O1260" s="157"/>
      <c r="P1260" s="753"/>
      <c r="AK1260" s="40">
        <v>1257.0</v>
      </c>
      <c r="AL1260" s="738" t="s">
        <v>3477</v>
      </c>
      <c r="AM1260" s="738" t="s">
        <v>3461</v>
      </c>
      <c r="AN1260" s="738" t="s">
        <v>3462</v>
      </c>
      <c r="AO1260" s="739">
        <v>0.133</v>
      </c>
      <c r="AP1260" s="739" t="s">
        <v>3463</v>
      </c>
    </row>
    <row r="1261">
      <c r="A1261" s="159"/>
      <c r="B1261" s="159"/>
      <c r="C1261" s="159"/>
      <c r="D1261" s="159"/>
      <c r="E1261" s="159"/>
      <c r="F1261" s="159"/>
      <c r="G1261" s="159"/>
      <c r="H1261" s="159"/>
      <c r="I1261" s="157"/>
      <c r="J1261" s="157"/>
      <c r="K1261" s="157"/>
      <c r="L1261" s="157"/>
      <c r="M1261" s="157"/>
      <c r="N1261" s="157"/>
      <c r="O1261" s="157"/>
      <c r="P1261" s="753"/>
      <c r="AK1261" s="40">
        <v>1258.0</v>
      </c>
      <c r="AL1261" s="719" t="s">
        <v>3478</v>
      </c>
      <c r="AM1261" s="720" t="s">
        <v>3465</v>
      </c>
      <c r="AN1261" s="721"/>
      <c r="AO1261" s="722">
        <v>0.15</v>
      </c>
      <c r="AP1261" s="722" t="s">
        <v>3466</v>
      </c>
    </row>
    <row r="1262">
      <c r="A1262" s="159"/>
      <c r="B1262" s="159"/>
      <c r="C1262" s="159"/>
      <c r="D1262" s="159"/>
      <c r="E1262" s="159"/>
      <c r="F1262" s="159"/>
      <c r="G1262" s="159"/>
      <c r="H1262" s="159"/>
      <c r="I1262" s="157"/>
      <c r="J1262" s="157"/>
      <c r="K1262" s="157"/>
      <c r="L1262" s="157"/>
      <c r="M1262" s="157"/>
      <c r="N1262" s="157"/>
      <c r="O1262" s="157"/>
      <c r="P1262" s="753"/>
      <c r="AK1262" s="40">
        <v>1259.0</v>
      </c>
      <c r="AL1262" s="738" t="s">
        <v>3479</v>
      </c>
      <c r="AM1262" s="738" t="s">
        <v>3468</v>
      </c>
      <c r="AN1262" s="745"/>
      <c r="AO1262" s="739">
        <v>0.167</v>
      </c>
      <c r="AP1262" s="739" t="s">
        <v>3469</v>
      </c>
    </row>
    <row r="1263">
      <c r="A1263" s="159"/>
      <c r="B1263" s="159"/>
      <c r="C1263" s="159"/>
      <c r="D1263" s="159"/>
      <c r="E1263" s="159"/>
      <c r="F1263" s="159"/>
      <c r="G1263" s="159"/>
      <c r="H1263" s="159"/>
      <c r="I1263" s="157"/>
      <c r="J1263" s="157"/>
      <c r="K1263" s="157"/>
      <c r="L1263" s="157"/>
      <c r="M1263" s="157"/>
      <c r="N1263" s="157"/>
      <c r="O1263" s="157"/>
      <c r="P1263" s="753"/>
      <c r="AK1263" s="40">
        <v>1260.0</v>
      </c>
      <c r="AL1263" s="719" t="s">
        <v>3480</v>
      </c>
      <c r="AM1263" s="720" t="s">
        <v>3471</v>
      </c>
      <c r="AN1263" s="721"/>
      <c r="AO1263" s="722">
        <v>0.282</v>
      </c>
      <c r="AP1263" s="722" t="s">
        <v>3472</v>
      </c>
    </row>
    <row r="1264">
      <c r="A1264" s="159"/>
      <c r="B1264" s="159"/>
      <c r="C1264" s="159"/>
      <c r="D1264" s="159"/>
      <c r="E1264" s="159"/>
      <c r="F1264" s="159"/>
      <c r="G1264" s="159"/>
      <c r="H1264" s="159"/>
      <c r="I1264" s="157"/>
      <c r="J1264" s="157"/>
      <c r="K1264" s="157"/>
      <c r="L1264" s="157"/>
      <c r="M1264" s="157"/>
      <c r="N1264" s="157"/>
      <c r="O1264" s="157"/>
      <c r="P1264" s="753"/>
      <c r="AK1264" s="40">
        <v>1261.0</v>
      </c>
      <c r="AL1264" s="738" t="s">
        <v>3481</v>
      </c>
      <c r="AM1264" s="738" t="s">
        <v>2156</v>
      </c>
      <c r="AN1264" s="745"/>
      <c r="AO1264" s="739">
        <v>0.0</v>
      </c>
      <c r="AP1264" s="739" t="s">
        <v>2157</v>
      </c>
    </row>
    <row r="1265">
      <c r="A1265" s="159"/>
      <c r="B1265" s="159"/>
      <c r="C1265" s="159"/>
      <c r="D1265" s="159"/>
      <c r="E1265" s="159"/>
      <c r="F1265" s="159"/>
      <c r="G1265" s="159"/>
      <c r="H1265" s="159"/>
      <c r="I1265" s="157"/>
      <c r="J1265" s="157"/>
      <c r="K1265" s="157"/>
      <c r="L1265" s="157"/>
      <c r="M1265" s="157"/>
      <c r="N1265" s="157"/>
      <c r="O1265" s="157"/>
      <c r="P1265" s="753"/>
      <c r="AK1265" s="40">
        <v>1262.0</v>
      </c>
      <c r="AL1265" s="719" t="s">
        <v>3482</v>
      </c>
      <c r="AM1265" s="720" t="s">
        <v>3483</v>
      </c>
      <c r="AN1265" s="720" t="s">
        <v>3484</v>
      </c>
      <c r="AO1265" s="722">
        <v>0.024</v>
      </c>
      <c r="AP1265" s="722" t="s">
        <v>3485</v>
      </c>
    </row>
    <row r="1266">
      <c r="A1266" s="159"/>
      <c r="B1266" s="159"/>
      <c r="C1266" s="159"/>
      <c r="D1266" s="159"/>
      <c r="E1266" s="159"/>
      <c r="F1266" s="159"/>
      <c r="G1266" s="159"/>
      <c r="H1266" s="159"/>
      <c r="I1266" s="157"/>
      <c r="J1266" s="157"/>
      <c r="K1266" s="157"/>
      <c r="L1266" s="157"/>
      <c r="M1266" s="157"/>
      <c r="N1266" s="157"/>
      <c r="O1266" s="157"/>
      <c r="P1266" s="753"/>
      <c r="AK1266" s="40">
        <v>1263.0</v>
      </c>
      <c r="AL1266" s="738" t="s">
        <v>3486</v>
      </c>
      <c r="AM1266" s="738" t="s">
        <v>3487</v>
      </c>
      <c r="AN1266" s="738" t="s">
        <v>3488</v>
      </c>
      <c r="AO1266" s="739">
        <v>0.571</v>
      </c>
      <c r="AP1266" s="739" t="s">
        <v>3489</v>
      </c>
    </row>
    <row r="1267">
      <c r="A1267" s="159"/>
      <c r="B1267" s="159"/>
      <c r="C1267" s="159"/>
      <c r="D1267" s="159"/>
      <c r="E1267" s="159"/>
      <c r="F1267" s="159"/>
      <c r="G1267" s="159"/>
      <c r="H1267" s="159"/>
      <c r="I1267" s="157"/>
      <c r="J1267" s="157"/>
      <c r="K1267" s="157"/>
      <c r="L1267" s="157"/>
      <c r="M1267" s="157"/>
      <c r="N1267" s="157"/>
      <c r="O1267" s="157"/>
      <c r="P1267" s="753"/>
      <c r="AK1267" s="40">
        <v>1264.0</v>
      </c>
      <c r="AL1267" s="719" t="s">
        <v>3490</v>
      </c>
      <c r="AM1267" s="720" t="s">
        <v>3491</v>
      </c>
      <c r="AN1267" s="720" t="s">
        <v>1744</v>
      </c>
      <c r="AO1267" s="722">
        <v>0.573</v>
      </c>
      <c r="AP1267" s="722" t="s">
        <v>3492</v>
      </c>
    </row>
    <row r="1268">
      <c r="A1268" s="159"/>
      <c r="B1268" s="159"/>
      <c r="C1268" s="159"/>
      <c r="D1268" s="159"/>
      <c r="E1268" s="159"/>
      <c r="F1268" s="159"/>
      <c r="G1268" s="159"/>
      <c r="H1268" s="159"/>
      <c r="I1268" s="157"/>
      <c r="J1268" s="157"/>
      <c r="K1268" s="157"/>
      <c r="L1268" s="157"/>
      <c r="M1268" s="157"/>
      <c r="N1268" s="157"/>
      <c r="O1268" s="157"/>
      <c r="P1268" s="753"/>
      <c r="AK1268" s="40">
        <v>1265.0</v>
      </c>
      <c r="AL1268" s="738" t="s">
        <v>3493</v>
      </c>
      <c r="AM1268" s="738" t="s">
        <v>3494</v>
      </c>
      <c r="AN1268" s="738" t="s">
        <v>1744</v>
      </c>
      <c r="AO1268" s="739">
        <v>0.593</v>
      </c>
      <c r="AP1268" s="739" t="s">
        <v>3495</v>
      </c>
    </row>
    <row r="1269">
      <c r="A1269" s="159"/>
      <c r="B1269" s="159"/>
      <c r="C1269" s="159"/>
      <c r="D1269" s="159"/>
      <c r="E1269" s="159"/>
      <c r="F1269" s="159"/>
      <c r="G1269" s="159"/>
      <c r="H1269" s="159"/>
      <c r="I1269" s="157"/>
      <c r="J1269" s="157"/>
      <c r="K1269" s="157"/>
      <c r="L1269" s="157"/>
      <c r="M1269" s="157"/>
      <c r="N1269" s="157"/>
      <c r="O1269" s="157"/>
      <c r="P1269" s="753"/>
      <c r="AK1269" s="40">
        <v>1266.0</v>
      </c>
      <c r="AL1269" s="719" t="s">
        <v>3496</v>
      </c>
      <c r="AM1269" s="720" t="s">
        <v>3497</v>
      </c>
      <c r="AN1269" s="720" t="s">
        <v>1744</v>
      </c>
      <c r="AO1269" s="722">
        <v>0.633</v>
      </c>
      <c r="AP1269" s="722" t="s">
        <v>3498</v>
      </c>
    </row>
    <row r="1270">
      <c r="A1270" s="159"/>
      <c r="B1270" s="159"/>
      <c r="C1270" s="159"/>
      <c r="D1270" s="159"/>
      <c r="E1270" s="159"/>
      <c r="F1270" s="159"/>
      <c r="G1270" s="159"/>
      <c r="H1270" s="159"/>
      <c r="I1270" s="157"/>
      <c r="J1270" s="157"/>
      <c r="K1270" s="157"/>
      <c r="L1270" s="157"/>
      <c r="M1270" s="157"/>
      <c r="N1270" s="157"/>
      <c r="O1270" s="157"/>
      <c r="P1270" s="753"/>
      <c r="AK1270" s="40">
        <v>1267.0</v>
      </c>
      <c r="AL1270" s="738" t="s">
        <v>3499</v>
      </c>
      <c r="AM1270" s="738" t="s">
        <v>2150</v>
      </c>
      <c r="AN1270" s="738" t="s">
        <v>2151</v>
      </c>
      <c r="AO1270" s="739">
        <v>0.004</v>
      </c>
      <c r="AP1270" s="739" t="s">
        <v>2152</v>
      </c>
    </row>
    <row r="1271">
      <c r="A1271" s="159"/>
      <c r="B1271" s="159"/>
      <c r="C1271" s="159"/>
      <c r="D1271" s="159"/>
      <c r="E1271" s="159"/>
      <c r="F1271" s="159"/>
      <c r="G1271" s="159"/>
      <c r="H1271" s="159"/>
      <c r="I1271" s="157"/>
      <c r="J1271" s="157"/>
      <c r="K1271" s="157"/>
      <c r="L1271" s="157"/>
      <c r="M1271" s="157"/>
      <c r="N1271" s="157"/>
      <c r="O1271" s="157"/>
      <c r="P1271" s="753"/>
      <c r="AK1271" s="40">
        <v>1268.0</v>
      </c>
      <c r="AL1271" s="719" t="s">
        <v>3500</v>
      </c>
      <c r="AM1271" s="720" t="s">
        <v>2044</v>
      </c>
      <c r="AN1271" s="720" t="s">
        <v>2045</v>
      </c>
      <c r="AO1271" s="722">
        <v>0.052</v>
      </c>
      <c r="AP1271" s="722" t="s">
        <v>2046</v>
      </c>
    </row>
    <row r="1272">
      <c r="A1272" s="159"/>
      <c r="B1272" s="159"/>
      <c r="C1272" s="159"/>
      <c r="D1272" s="159"/>
      <c r="E1272" s="159"/>
      <c r="F1272" s="159"/>
      <c r="G1272" s="159"/>
      <c r="H1272" s="159"/>
      <c r="I1272" s="157"/>
      <c r="J1272" s="157"/>
      <c r="K1272" s="157"/>
      <c r="L1272" s="157"/>
      <c r="M1272" s="157"/>
      <c r="N1272" s="157"/>
      <c r="O1272" s="157"/>
      <c r="P1272" s="753"/>
      <c r="AK1272" s="40">
        <v>1269.0</v>
      </c>
      <c r="AL1272" s="738" t="s">
        <v>3501</v>
      </c>
      <c r="AM1272" s="738" t="s">
        <v>1940</v>
      </c>
      <c r="AN1272" s="738" t="s">
        <v>1941</v>
      </c>
      <c r="AO1272" s="739">
        <v>0.149</v>
      </c>
      <c r="AP1272" s="739" t="s">
        <v>1942</v>
      </c>
    </row>
    <row r="1273">
      <c r="A1273" s="159"/>
      <c r="B1273" s="159"/>
      <c r="C1273" s="159"/>
      <c r="D1273" s="159"/>
      <c r="E1273" s="159"/>
      <c r="F1273" s="159"/>
      <c r="G1273" s="159"/>
      <c r="H1273" s="159"/>
      <c r="I1273" s="157"/>
      <c r="J1273" s="157"/>
      <c r="K1273" s="157"/>
      <c r="L1273" s="157"/>
      <c r="M1273" s="157"/>
      <c r="N1273" s="157"/>
      <c r="O1273" s="157"/>
      <c r="P1273" s="753"/>
      <c r="AK1273" s="40">
        <v>1270.0</v>
      </c>
      <c r="AL1273" s="719" t="s">
        <v>3502</v>
      </c>
      <c r="AM1273" s="720" t="s">
        <v>2156</v>
      </c>
      <c r="AN1273" s="721"/>
      <c r="AO1273" s="722">
        <v>0.0</v>
      </c>
      <c r="AP1273" s="722" t="s">
        <v>2157</v>
      </c>
    </row>
    <row r="1274">
      <c r="A1274" s="159"/>
      <c r="B1274" s="159"/>
      <c r="C1274" s="159"/>
      <c r="D1274" s="159"/>
      <c r="E1274" s="159"/>
      <c r="F1274" s="159"/>
      <c r="G1274" s="159"/>
      <c r="H1274" s="159"/>
      <c r="I1274" s="157"/>
      <c r="J1274" s="157"/>
      <c r="K1274" s="157"/>
      <c r="L1274" s="157"/>
      <c r="M1274" s="157"/>
      <c r="N1274" s="157"/>
      <c r="O1274" s="157"/>
      <c r="P1274" s="753"/>
      <c r="AK1274" s="40">
        <v>1271.0</v>
      </c>
      <c r="AL1274" s="738" t="s">
        <v>3503</v>
      </c>
      <c r="AM1274" s="738" t="s">
        <v>3504</v>
      </c>
      <c r="AN1274" s="738" t="s">
        <v>3505</v>
      </c>
      <c r="AO1274" s="739">
        <v>0.104</v>
      </c>
      <c r="AP1274" s="739" t="s">
        <v>3506</v>
      </c>
    </row>
    <row r="1275">
      <c r="A1275" s="159"/>
      <c r="B1275" s="159"/>
      <c r="C1275" s="159"/>
      <c r="D1275" s="159"/>
      <c r="E1275" s="159"/>
      <c r="F1275" s="159"/>
      <c r="G1275" s="159"/>
      <c r="H1275" s="159"/>
      <c r="I1275" s="157"/>
      <c r="J1275" s="157"/>
      <c r="K1275" s="157"/>
      <c r="L1275" s="157"/>
      <c r="M1275" s="157"/>
      <c r="N1275" s="157"/>
      <c r="O1275" s="157"/>
      <c r="P1275" s="753"/>
      <c r="AK1275" s="40">
        <v>1272.0</v>
      </c>
      <c r="AL1275" s="719" t="s">
        <v>3507</v>
      </c>
      <c r="AM1275" s="720" t="s">
        <v>3508</v>
      </c>
      <c r="AN1275" s="721"/>
      <c r="AO1275" s="722">
        <v>0.108</v>
      </c>
      <c r="AP1275" s="722" t="s">
        <v>3509</v>
      </c>
    </row>
    <row r="1276">
      <c r="A1276" s="159"/>
      <c r="B1276" s="159"/>
      <c r="C1276" s="159"/>
      <c r="D1276" s="159"/>
      <c r="E1276" s="159"/>
      <c r="F1276" s="159"/>
      <c r="G1276" s="159"/>
      <c r="H1276" s="159"/>
      <c r="I1276" s="157"/>
      <c r="J1276" s="157"/>
      <c r="K1276" s="157"/>
      <c r="L1276" s="157"/>
      <c r="M1276" s="157"/>
      <c r="N1276" s="157"/>
      <c r="O1276" s="157"/>
      <c r="P1276" s="753"/>
      <c r="AK1276" s="40">
        <v>1273.0</v>
      </c>
      <c r="AL1276" s="738" t="s">
        <v>3510</v>
      </c>
      <c r="AM1276" s="738" t="s">
        <v>3511</v>
      </c>
      <c r="AN1276" s="745"/>
      <c r="AO1276" s="739">
        <v>0.15</v>
      </c>
      <c r="AP1276" s="739" t="s">
        <v>3512</v>
      </c>
    </row>
    <row r="1277">
      <c r="A1277" s="159"/>
      <c r="B1277" s="159"/>
      <c r="C1277" s="159"/>
      <c r="D1277" s="159"/>
      <c r="E1277" s="159"/>
      <c r="F1277" s="159"/>
      <c r="G1277" s="159"/>
      <c r="H1277" s="159"/>
      <c r="I1277" s="157"/>
      <c r="J1277" s="157"/>
      <c r="K1277" s="157"/>
      <c r="L1277" s="157"/>
      <c r="M1277" s="157"/>
      <c r="N1277" s="157"/>
      <c r="O1277" s="157"/>
      <c r="P1277" s="753"/>
      <c r="AK1277" s="40">
        <v>1274.0</v>
      </c>
      <c r="AL1277" s="719" t="s">
        <v>3513</v>
      </c>
      <c r="AM1277" s="720" t="s">
        <v>3514</v>
      </c>
      <c r="AN1277" s="721"/>
      <c r="AO1277" s="722">
        <v>0.237</v>
      </c>
      <c r="AP1277" s="722" t="s">
        <v>3515</v>
      </c>
    </row>
    <row r="1278">
      <c r="A1278" s="159"/>
      <c r="B1278" s="159"/>
      <c r="C1278" s="159"/>
      <c r="D1278" s="159"/>
      <c r="E1278" s="159"/>
      <c r="F1278" s="159"/>
      <c r="G1278" s="159"/>
      <c r="H1278" s="159"/>
      <c r="I1278" s="157"/>
      <c r="J1278" s="157"/>
      <c r="K1278" s="157"/>
      <c r="L1278" s="157"/>
      <c r="M1278" s="157"/>
      <c r="N1278" s="157"/>
      <c r="O1278" s="157"/>
      <c r="P1278" s="753"/>
      <c r="AK1278" s="40">
        <v>1275.0</v>
      </c>
      <c r="AL1278" s="738" t="s">
        <v>3516</v>
      </c>
      <c r="AM1278" s="738" t="s">
        <v>2624</v>
      </c>
      <c r="AN1278" s="738" t="s">
        <v>2625</v>
      </c>
      <c r="AO1278" s="739">
        <v>0.569</v>
      </c>
      <c r="AP1278" s="739" t="s">
        <v>2626</v>
      </c>
    </row>
    <row r="1279">
      <c r="A1279" s="159"/>
      <c r="B1279" s="159"/>
      <c r="C1279" s="159"/>
      <c r="D1279" s="159"/>
      <c r="E1279" s="159"/>
      <c r="F1279" s="159"/>
      <c r="G1279" s="159"/>
      <c r="H1279" s="159"/>
      <c r="I1279" s="157"/>
      <c r="J1279" s="157"/>
      <c r="K1279" s="157"/>
      <c r="L1279" s="157"/>
      <c r="M1279" s="157"/>
      <c r="N1279" s="157"/>
      <c r="O1279" s="157"/>
      <c r="P1279" s="753"/>
      <c r="AK1279" s="40">
        <v>1276.0</v>
      </c>
      <c r="AL1279" s="719" t="s">
        <v>3517</v>
      </c>
      <c r="AM1279" s="720" t="s">
        <v>3518</v>
      </c>
      <c r="AN1279" s="720" t="s">
        <v>1744</v>
      </c>
      <c r="AO1279" s="722">
        <v>0.57</v>
      </c>
      <c r="AP1279" s="722" t="s">
        <v>3519</v>
      </c>
    </row>
    <row r="1280">
      <c r="A1280" s="159"/>
      <c r="B1280" s="159"/>
      <c r="C1280" s="159"/>
      <c r="D1280" s="159"/>
      <c r="E1280" s="159"/>
      <c r="F1280" s="159"/>
      <c r="G1280" s="159"/>
      <c r="H1280" s="159"/>
      <c r="I1280" s="157"/>
      <c r="J1280" s="157"/>
      <c r="K1280" s="157"/>
      <c r="L1280" s="157"/>
      <c r="M1280" s="157"/>
      <c r="N1280" s="157"/>
      <c r="O1280" s="157"/>
      <c r="P1280" s="753"/>
      <c r="AK1280" s="40">
        <v>1277.0</v>
      </c>
      <c r="AL1280" s="738" t="s">
        <v>3520</v>
      </c>
      <c r="AM1280" s="738" t="s">
        <v>3521</v>
      </c>
      <c r="AN1280" s="738" t="s">
        <v>1744</v>
      </c>
      <c r="AO1280" s="739">
        <v>0.591</v>
      </c>
      <c r="AP1280" s="739" t="s">
        <v>3522</v>
      </c>
    </row>
    <row r="1281">
      <c r="A1281" s="159"/>
      <c r="B1281" s="159"/>
      <c r="C1281" s="159"/>
      <c r="D1281" s="159"/>
      <c r="E1281" s="159"/>
      <c r="F1281" s="159"/>
      <c r="G1281" s="159"/>
      <c r="H1281" s="159"/>
      <c r="I1281" s="157"/>
      <c r="J1281" s="157"/>
      <c r="K1281" s="157"/>
      <c r="L1281" s="157"/>
      <c r="M1281" s="157"/>
      <c r="N1281" s="157"/>
      <c r="O1281" s="157"/>
      <c r="P1281" s="753"/>
      <c r="AK1281" s="40">
        <v>1278.0</v>
      </c>
      <c r="AL1281" s="719" t="s">
        <v>3523</v>
      </c>
      <c r="AM1281" s="720" t="s">
        <v>3524</v>
      </c>
      <c r="AN1281" s="720" t="s">
        <v>1744</v>
      </c>
      <c r="AO1281" s="722">
        <v>0.631</v>
      </c>
      <c r="AP1281" s="722" t="s">
        <v>3525</v>
      </c>
    </row>
    <row r="1282">
      <c r="A1282" s="159"/>
      <c r="B1282" s="159"/>
      <c r="C1282" s="159"/>
      <c r="D1282" s="159"/>
      <c r="E1282" s="159"/>
      <c r="F1282" s="159"/>
      <c r="G1282" s="159"/>
      <c r="H1282" s="159"/>
      <c r="I1282" s="157"/>
      <c r="J1282" s="157"/>
      <c r="K1282" s="157"/>
      <c r="L1282" s="157"/>
      <c r="M1282" s="157"/>
      <c r="N1282" s="157"/>
      <c r="O1282" s="157"/>
      <c r="P1282" s="753"/>
      <c r="AK1282" s="40">
        <v>1279.0</v>
      </c>
      <c r="AL1282" s="738" t="s">
        <v>3526</v>
      </c>
      <c r="AM1282" s="738" t="s">
        <v>2156</v>
      </c>
      <c r="AN1282" s="745"/>
      <c r="AO1282" s="739">
        <v>0.0</v>
      </c>
      <c r="AP1282" s="739" t="s">
        <v>2157</v>
      </c>
    </row>
    <row r="1283">
      <c r="A1283" s="159"/>
      <c r="B1283" s="159"/>
      <c r="C1283" s="159"/>
      <c r="D1283" s="159"/>
      <c r="E1283" s="159"/>
      <c r="F1283" s="159"/>
      <c r="G1283" s="159"/>
      <c r="H1283" s="159"/>
      <c r="I1283" s="157"/>
      <c r="J1283" s="157"/>
      <c r="K1283" s="157"/>
      <c r="L1283" s="157"/>
      <c r="M1283" s="157"/>
      <c r="N1283" s="157"/>
      <c r="O1283" s="157"/>
      <c r="P1283" s="753"/>
      <c r="AK1283" s="40">
        <v>1280.0</v>
      </c>
      <c r="AL1283" s="719" t="s">
        <v>3527</v>
      </c>
      <c r="AM1283" s="720" t="s">
        <v>3483</v>
      </c>
      <c r="AN1283" s="720" t="s">
        <v>3484</v>
      </c>
      <c r="AO1283" s="722">
        <v>0.024</v>
      </c>
      <c r="AP1283" s="722" t="s">
        <v>3485</v>
      </c>
    </row>
    <row r="1284">
      <c r="A1284" s="159"/>
      <c r="B1284" s="159"/>
      <c r="C1284" s="159"/>
      <c r="D1284" s="159"/>
      <c r="E1284" s="159"/>
      <c r="F1284" s="159"/>
      <c r="G1284" s="159"/>
      <c r="H1284" s="159"/>
      <c r="I1284" s="157"/>
      <c r="J1284" s="157"/>
      <c r="K1284" s="157"/>
      <c r="L1284" s="157"/>
      <c r="M1284" s="157"/>
      <c r="N1284" s="157"/>
      <c r="O1284" s="157"/>
      <c r="P1284" s="753"/>
      <c r="AK1284" s="40">
        <v>1281.0</v>
      </c>
      <c r="AL1284" s="738" t="s">
        <v>3528</v>
      </c>
      <c r="AM1284" s="738" t="s">
        <v>3487</v>
      </c>
      <c r="AN1284" s="738" t="s">
        <v>3488</v>
      </c>
      <c r="AO1284" s="739">
        <v>0.571</v>
      </c>
      <c r="AP1284" s="739" t="s">
        <v>3489</v>
      </c>
    </row>
    <row r="1285">
      <c r="A1285" s="159"/>
      <c r="B1285" s="159"/>
      <c r="C1285" s="159"/>
      <c r="D1285" s="159"/>
      <c r="E1285" s="159"/>
      <c r="F1285" s="159"/>
      <c r="G1285" s="159"/>
      <c r="H1285" s="159"/>
      <c r="I1285" s="157"/>
      <c r="J1285" s="157"/>
      <c r="K1285" s="157"/>
      <c r="L1285" s="157"/>
      <c r="M1285" s="157"/>
      <c r="N1285" s="157"/>
      <c r="O1285" s="157"/>
      <c r="P1285" s="753"/>
      <c r="AK1285" s="40">
        <v>1282.0</v>
      </c>
      <c r="AL1285" s="719" t="s">
        <v>3529</v>
      </c>
      <c r="AM1285" s="720" t="s">
        <v>3491</v>
      </c>
      <c r="AN1285" s="720" t="s">
        <v>1744</v>
      </c>
      <c r="AO1285" s="722">
        <v>0.573</v>
      </c>
      <c r="AP1285" s="722" t="s">
        <v>3492</v>
      </c>
    </row>
    <row r="1286">
      <c r="A1286" s="159"/>
      <c r="B1286" s="159"/>
      <c r="C1286" s="159"/>
      <c r="D1286" s="159"/>
      <c r="E1286" s="159"/>
      <c r="F1286" s="159"/>
      <c r="G1286" s="159"/>
      <c r="H1286" s="159"/>
      <c r="I1286" s="157"/>
      <c r="J1286" s="157"/>
      <c r="K1286" s="157"/>
      <c r="L1286" s="157"/>
      <c r="M1286" s="157"/>
      <c r="N1286" s="157"/>
      <c r="O1286" s="157"/>
      <c r="P1286" s="753"/>
      <c r="AK1286" s="40">
        <v>1283.0</v>
      </c>
      <c r="AL1286" s="738" t="s">
        <v>3530</v>
      </c>
      <c r="AM1286" s="738" t="s">
        <v>3494</v>
      </c>
      <c r="AN1286" s="738" t="s">
        <v>1744</v>
      </c>
      <c r="AO1286" s="739">
        <v>0.593</v>
      </c>
      <c r="AP1286" s="739" t="s">
        <v>3495</v>
      </c>
    </row>
    <row r="1287">
      <c r="A1287" s="159"/>
      <c r="B1287" s="159"/>
      <c r="C1287" s="159"/>
      <c r="D1287" s="159"/>
      <c r="E1287" s="159"/>
      <c r="F1287" s="159"/>
      <c r="G1287" s="159"/>
      <c r="H1287" s="159"/>
      <c r="I1287" s="157"/>
      <c r="J1287" s="157"/>
      <c r="K1287" s="157"/>
      <c r="L1287" s="157"/>
      <c r="M1287" s="157"/>
      <c r="N1287" s="157"/>
      <c r="O1287" s="157"/>
      <c r="P1287" s="753"/>
      <c r="AK1287" s="40">
        <v>1284.0</v>
      </c>
      <c r="AL1287" s="719" t="s">
        <v>3531</v>
      </c>
      <c r="AM1287" s="720" t="s">
        <v>3497</v>
      </c>
      <c r="AN1287" s="720" t="s">
        <v>1744</v>
      </c>
      <c r="AO1287" s="722">
        <v>0.633</v>
      </c>
      <c r="AP1287" s="722" t="s">
        <v>3498</v>
      </c>
    </row>
    <row r="1288">
      <c r="A1288" s="159"/>
      <c r="B1288" s="159"/>
      <c r="C1288" s="159"/>
      <c r="D1288" s="159"/>
      <c r="E1288" s="159"/>
      <c r="F1288" s="159"/>
      <c r="G1288" s="159"/>
      <c r="H1288" s="159"/>
      <c r="I1288" s="157"/>
      <c r="J1288" s="157"/>
      <c r="K1288" s="157"/>
      <c r="L1288" s="157"/>
      <c r="M1288" s="157"/>
      <c r="N1288" s="157"/>
      <c r="O1288" s="157"/>
      <c r="P1288" s="753"/>
      <c r="AK1288" s="40">
        <v>1285.0</v>
      </c>
      <c r="AL1288" s="738" t="s">
        <v>3532</v>
      </c>
      <c r="AM1288" s="738" t="s">
        <v>2150</v>
      </c>
      <c r="AN1288" s="738" t="s">
        <v>2151</v>
      </c>
      <c r="AO1288" s="739">
        <v>0.004</v>
      </c>
      <c r="AP1288" s="739" t="s">
        <v>2152</v>
      </c>
    </row>
    <row r="1289">
      <c r="A1289" s="159"/>
      <c r="B1289" s="159"/>
      <c r="C1289" s="159"/>
      <c r="D1289" s="159"/>
      <c r="E1289" s="159"/>
      <c r="F1289" s="159"/>
      <c r="G1289" s="159"/>
      <c r="H1289" s="159"/>
      <c r="I1289" s="157"/>
      <c r="J1289" s="157"/>
      <c r="K1289" s="157"/>
      <c r="L1289" s="157"/>
      <c r="M1289" s="157"/>
      <c r="N1289" s="157"/>
      <c r="O1289" s="157"/>
      <c r="P1289" s="753"/>
      <c r="AK1289" s="40">
        <v>1286.0</v>
      </c>
      <c r="AL1289" s="719" t="s">
        <v>3533</v>
      </c>
      <c r="AM1289" s="720" t="s">
        <v>2044</v>
      </c>
      <c r="AN1289" s="720" t="s">
        <v>2045</v>
      </c>
      <c r="AO1289" s="722">
        <v>0.052</v>
      </c>
      <c r="AP1289" s="722" t="s">
        <v>2046</v>
      </c>
    </row>
    <row r="1290">
      <c r="A1290" s="159"/>
      <c r="B1290" s="159"/>
      <c r="C1290" s="159"/>
      <c r="D1290" s="159"/>
      <c r="E1290" s="159"/>
      <c r="F1290" s="159"/>
      <c r="G1290" s="159"/>
      <c r="H1290" s="159"/>
      <c r="I1290" s="157"/>
      <c r="J1290" s="157"/>
      <c r="K1290" s="157"/>
      <c r="L1290" s="157"/>
      <c r="M1290" s="157"/>
      <c r="N1290" s="157"/>
      <c r="O1290" s="157"/>
      <c r="P1290" s="753"/>
      <c r="AK1290" s="40">
        <v>1287.0</v>
      </c>
      <c r="AL1290" s="738" t="s">
        <v>3534</v>
      </c>
      <c r="AM1290" s="738" t="s">
        <v>1940</v>
      </c>
      <c r="AN1290" s="738" t="s">
        <v>1941</v>
      </c>
      <c r="AO1290" s="739">
        <v>0.149</v>
      </c>
      <c r="AP1290" s="739" t="s">
        <v>1942</v>
      </c>
    </row>
    <row r="1291">
      <c r="A1291" s="159"/>
      <c r="B1291" s="159"/>
      <c r="C1291" s="159"/>
      <c r="D1291" s="159"/>
      <c r="E1291" s="159"/>
      <c r="F1291" s="159"/>
      <c r="G1291" s="159"/>
      <c r="H1291" s="159"/>
      <c r="I1291" s="157"/>
      <c r="J1291" s="157"/>
      <c r="K1291" s="157"/>
      <c r="L1291" s="157"/>
      <c r="M1291" s="157"/>
      <c r="N1291" s="157"/>
      <c r="O1291" s="157"/>
      <c r="P1291" s="753"/>
      <c r="AK1291" s="40">
        <v>1288.0</v>
      </c>
      <c r="AL1291" s="719" t="s">
        <v>3535</v>
      </c>
      <c r="AM1291" s="720" t="s">
        <v>2156</v>
      </c>
      <c r="AN1291" s="721"/>
      <c r="AO1291" s="722">
        <v>0.0</v>
      </c>
      <c r="AP1291" s="722" t="s">
        <v>2157</v>
      </c>
    </row>
    <row r="1292">
      <c r="A1292" s="159"/>
      <c r="B1292" s="159"/>
      <c r="C1292" s="159"/>
      <c r="D1292" s="159"/>
      <c r="E1292" s="159"/>
      <c r="F1292" s="159"/>
      <c r="G1292" s="159"/>
      <c r="H1292" s="159"/>
      <c r="I1292" s="157"/>
      <c r="J1292" s="157"/>
      <c r="K1292" s="157"/>
      <c r="L1292" s="157"/>
      <c r="M1292" s="157"/>
      <c r="N1292" s="157"/>
      <c r="O1292" s="157"/>
      <c r="P1292" s="753"/>
      <c r="AK1292" s="40">
        <v>1289.0</v>
      </c>
      <c r="AL1292" s="738" t="s">
        <v>3536</v>
      </c>
      <c r="AM1292" s="738" t="s">
        <v>3504</v>
      </c>
      <c r="AN1292" s="738" t="s">
        <v>3505</v>
      </c>
      <c r="AO1292" s="739">
        <v>0.104</v>
      </c>
      <c r="AP1292" s="739" t="s">
        <v>3506</v>
      </c>
    </row>
    <row r="1293">
      <c r="A1293" s="159"/>
      <c r="B1293" s="159"/>
      <c r="C1293" s="159"/>
      <c r="D1293" s="159"/>
      <c r="E1293" s="159"/>
      <c r="F1293" s="159"/>
      <c r="G1293" s="159"/>
      <c r="H1293" s="159"/>
      <c r="I1293" s="157"/>
      <c r="J1293" s="157"/>
      <c r="K1293" s="157"/>
      <c r="L1293" s="157"/>
      <c r="M1293" s="157"/>
      <c r="N1293" s="157"/>
      <c r="O1293" s="157"/>
      <c r="P1293" s="753"/>
      <c r="AK1293" s="40">
        <v>1290.0</v>
      </c>
      <c r="AL1293" s="719" t="s">
        <v>3537</v>
      </c>
      <c r="AM1293" s="720" t="s">
        <v>3508</v>
      </c>
      <c r="AN1293" s="721"/>
      <c r="AO1293" s="722">
        <v>0.108</v>
      </c>
      <c r="AP1293" s="722" t="s">
        <v>3509</v>
      </c>
    </row>
    <row r="1294">
      <c r="A1294" s="159"/>
      <c r="B1294" s="159"/>
      <c r="C1294" s="159"/>
      <c r="D1294" s="159"/>
      <c r="E1294" s="159"/>
      <c r="F1294" s="159"/>
      <c r="G1294" s="159"/>
      <c r="H1294" s="159"/>
      <c r="I1294" s="157"/>
      <c r="J1294" s="157"/>
      <c r="K1294" s="157"/>
      <c r="L1294" s="157"/>
      <c r="M1294" s="157"/>
      <c r="N1294" s="157"/>
      <c r="O1294" s="157"/>
      <c r="P1294" s="753"/>
      <c r="AK1294" s="40">
        <v>1291.0</v>
      </c>
      <c r="AL1294" s="738" t="s">
        <v>3538</v>
      </c>
      <c r="AM1294" s="738" t="s">
        <v>3511</v>
      </c>
      <c r="AN1294" s="745"/>
      <c r="AO1294" s="739">
        <v>0.15</v>
      </c>
      <c r="AP1294" s="739" t="s">
        <v>3512</v>
      </c>
    </row>
    <row r="1295">
      <c r="A1295" s="159"/>
      <c r="B1295" s="159"/>
      <c r="C1295" s="159"/>
      <c r="D1295" s="159"/>
      <c r="E1295" s="159"/>
      <c r="F1295" s="159"/>
      <c r="G1295" s="159"/>
      <c r="H1295" s="159"/>
      <c r="I1295" s="157"/>
      <c r="J1295" s="157"/>
      <c r="K1295" s="157"/>
      <c r="L1295" s="157"/>
      <c r="M1295" s="157"/>
      <c r="N1295" s="157"/>
      <c r="O1295" s="157"/>
      <c r="P1295" s="753"/>
      <c r="AK1295" s="40">
        <v>1292.0</v>
      </c>
      <c r="AL1295" s="719" t="s">
        <v>3539</v>
      </c>
      <c r="AM1295" s="720" t="s">
        <v>3514</v>
      </c>
      <c r="AN1295" s="721"/>
      <c r="AO1295" s="722">
        <v>0.237</v>
      </c>
      <c r="AP1295" s="722" t="s">
        <v>3515</v>
      </c>
    </row>
    <row r="1296">
      <c r="A1296" s="159"/>
      <c r="B1296" s="159"/>
      <c r="C1296" s="159"/>
      <c r="D1296" s="159"/>
      <c r="E1296" s="159"/>
      <c r="F1296" s="159"/>
      <c r="G1296" s="159"/>
      <c r="H1296" s="159"/>
      <c r="I1296" s="157"/>
      <c r="J1296" s="157"/>
      <c r="K1296" s="157"/>
      <c r="L1296" s="157"/>
      <c r="M1296" s="157"/>
      <c r="N1296" s="157"/>
      <c r="O1296" s="157"/>
      <c r="P1296" s="753"/>
      <c r="AK1296" s="40">
        <v>1293.0</v>
      </c>
      <c r="AL1296" s="738" t="s">
        <v>3540</v>
      </c>
      <c r="AM1296" s="738" t="s">
        <v>2624</v>
      </c>
      <c r="AN1296" s="738" t="s">
        <v>2625</v>
      </c>
      <c r="AO1296" s="739">
        <v>0.569</v>
      </c>
      <c r="AP1296" s="739" t="s">
        <v>2626</v>
      </c>
    </row>
    <row r="1297">
      <c r="A1297" s="159"/>
      <c r="B1297" s="159"/>
      <c r="C1297" s="159"/>
      <c r="D1297" s="159"/>
      <c r="E1297" s="159"/>
      <c r="F1297" s="159"/>
      <c r="G1297" s="159"/>
      <c r="H1297" s="159"/>
      <c r="I1297" s="157"/>
      <c r="J1297" s="157"/>
      <c r="K1297" s="157"/>
      <c r="L1297" s="157"/>
      <c r="M1297" s="157"/>
      <c r="N1297" s="157"/>
      <c r="O1297" s="157"/>
      <c r="P1297" s="753"/>
      <c r="AK1297" s="40">
        <v>1294.0</v>
      </c>
      <c r="AL1297" s="719" t="s">
        <v>3541</v>
      </c>
      <c r="AM1297" s="720" t="s">
        <v>3518</v>
      </c>
      <c r="AN1297" s="720" t="s">
        <v>1744</v>
      </c>
      <c r="AO1297" s="722">
        <v>0.57</v>
      </c>
      <c r="AP1297" s="722" t="s">
        <v>3519</v>
      </c>
    </row>
    <row r="1298">
      <c r="A1298" s="159"/>
      <c r="B1298" s="159"/>
      <c r="C1298" s="159"/>
      <c r="D1298" s="159"/>
      <c r="E1298" s="159"/>
      <c r="F1298" s="159"/>
      <c r="G1298" s="159"/>
      <c r="H1298" s="159"/>
      <c r="I1298" s="157"/>
      <c r="J1298" s="157"/>
      <c r="K1298" s="157"/>
      <c r="L1298" s="157"/>
      <c r="M1298" s="157"/>
      <c r="N1298" s="157"/>
      <c r="O1298" s="157"/>
      <c r="P1298" s="753"/>
      <c r="AK1298" s="40">
        <v>1295.0</v>
      </c>
      <c r="AL1298" s="738" t="s">
        <v>3542</v>
      </c>
      <c r="AM1298" s="738" t="s">
        <v>3521</v>
      </c>
      <c r="AN1298" s="738" t="s">
        <v>1744</v>
      </c>
      <c r="AO1298" s="739">
        <v>0.591</v>
      </c>
      <c r="AP1298" s="739" t="s">
        <v>3522</v>
      </c>
    </row>
    <row r="1299">
      <c r="A1299" s="159"/>
      <c r="B1299" s="159"/>
      <c r="C1299" s="159"/>
      <c r="D1299" s="159"/>
      <c r="E1299" s="159"/>
      <c r="F1299" s="159"/>
      <c r="G1299" s="159"/>
      <c r="H1299" s="159"/>
      <c r="I1299" s="157"/>
      <c r="J1299" s="157"/>
      <c r="K1299" s="157"/>
      <c r="L1299" s="157"/>
      <c r="M1299" s="157"/>
      <c r="N1299" s="157"/>
      <c r="O1299" s="157"/>
      <c r="P1299" s="753"/>
      <c r="AK1299" s="40">
        <v>1296.0</v>
      </c>
      <c r="AL1299" s="719" t="s">
        <v>3543</v>
      </c>
      <c r="AM1299" s="720" t="s">
        <v>3524</v>
      </c>
      <c r="AN1299" s="720" t="s">
        <v>1744</v>
      </c>
      <c r="AO1299" s="722">
        <v>0.631</v>
      </c>
      <c r="AP1299" s="722" t="s">
        <v>3525</v>
      </c>
    </row>
    <row r="1300">
      <c r="A1300" s="159"/>
      <c r="B1300" s="159"/>
      <c r="C1300" s="159"/>
      <c r="D1300" s="159"/>
      <c r="E1300" s="159"/>
      <c r="F1300" s="159"/>
      <c r="G1300" s="159"/>
      <c r="H1300" s="159"/>
      <c r="I1300" s="157"/>
      <c r="J1300" s="157"/>
      <c r="K1300" s="157"/>
      <c r="L1300" s="157"/>
      <c r="M1300" s="157"/>
      <c r="N1300" s="157"/>
      <c r="O1300" s="157"/>
      <c r="P1300" s="753"/>
      <c r="AK1300" s="40">
        <v>1297.0</v>
      </c>
      <c r="AL1300" s="738" t="s">
        <v>3544</v>
      </c>
      <c r="AM1300" s="738" t="s">
        <v>2156</v>
      </c>
      <c r="AN1300" s="745"/>
      <c r="AO1300" s="739">
        <v>0.0</v>
      </c>
      <c r="AP1300" s="739" t="s">
        <v>2157</v>
      </c>
    </row>
    <row r="1301">
      <c r="A1301" s="159"/>
      <c r="B1301" s="159"/>
      <c r="C1301" s="159"/>
      <c r="D1301" s="159"/>
      <c r="E1301" s="159"/>
      <c r="F1301" s="159"/>
      <c r="G1301" s="159"/>
      <c r="H1301" s="159"/>
      <c r="I1301" s="157"/>
      <c r="J1301" s="157"/>
      <c r="K1301" s="157"/>
      <c r="L1301" s="157"/>
      <c r="M1301" s="157"/>
      <c r="N1301" s="157"/>
      <c r="O1301" s="157"/>
      <c r="P1301" s="753"/>
      <c r="AK1301" s="40">
        <v>1298.0</v>
      </c>
      <c r="AL1301" s="719" t="s">
        <v>3545</v>
      </c>
      <c r="AM1301" s="720" t="s">
        <v>3483</v>
      </c>
      <c r="AN1301" s="720" t="s">
        <v>3484</v>
      </c>
      <c r="AO1301" s="722">
        <v>0.024</v>
      </c>
      <c r="AP1301" s="722" t="s">
        <v>3485</v>
      </c>
    </row>
    <row r="1302">
      <c r="A1302" s="159"/>
      <c r="B1302" s="159"/>
      <c r="C1302" s="159"/>
      <c r="D1302" s="159"/>
      <c r="E1302" s="159"/>
      <c r="F1302" s="159"/>
      <c r="G1302" s="159"/>
      <c r="H1302" s="159"/>
      <c r="I1302" s="157"/>
      <c r="J1302" s="157"/>
      <c r="K1302" s="157"/>
      <c r="L1302" s="157"/>
      <c r="M1302" s="157"/>
      <c r="N1302" s="157"/>
      <c r="O1302" s="157"/>
      <c r="P1302" s="753"/>
      <c r="AK1302" s="40">
        <v>1299.0</v>
      </c>
      <c r="AL1302" s="738" t="s">
        <v>3546</v>
      </c>
      <c r="AM1302" s="738" t="s">
        <v>3487</v>
      </c>
      <c r="AN1302" s="738" t="s">
        <v>3488</v>
      </c>
      <c r="AO1302" s="739">
        <v>0.571</v>
      </c>
      <c r="AP1302" s="739" t="s">
        <v>3489</v>
      </c>
    </row>
    <row r="1303">
      <c r="A1303" s="159"/>
      <c r="B1303" s="159"/>
      <c r="C1303" s="159"/>
      <c r="D1303" s="159"/>
      <c r="E1303" s="159"/>
      <c r="F1303" s="159"/>
      <c r="G1303" s="159"/>
      <c r="H1303" s="159"/>
      <c r="I1303" s="157"/>
      <c r="J1303" s="157"/>
      <c r="K1303" s="157"/>
      <c r="L1303" s="157"/>
      <c r="M1303" s="157"/>
      <c r="N1303" s="157"/>
      <c r="O1303" s="157"/>
      <c r="P1303" s="753"/>
      <c r="AK1303" s="40">
        <v>1300.0</v>
      </c>
      <c r="AL1303" s="719" t="s">
        <v>3547</v>
      </c>
      <c r="AM1303" s="720" t="s">
        <v>3491</v>
      </c>
      <c r="AN1303" s="720" t="s">
        <v>1744</v>
      </c>
      <c r="AO1303" s="722">
        <v>0.573</v>
      </c>
      <c r="AP1303" s="722" t="s">
        <v>3492</v>
      </c>
    </row>
    <row r="1304">
      <c r="A1304" s="159"/>
      <c r="B1304" s="159"/>
      <c r="C1304" s="159"/>
      <c r="D1304" s="159"/>
      <c r="E1304" s="159"/>
      <c r="F1304" s="159"/>
      <c r="G1304" s="159"/>
      <c r="H1304" s="159"/>
      <c r="I1304" s="157"/>
      <c r="J1304" s="157"/>
      <c r="K1304" s="157"/>
      <c r="L1304" s="157"/>
      <c r="M1304" s="157"/>
      <c r="N1304" s="157"/>
      <c r="O1304" s="157"/>
      <c r="P1304" s="753"/>
      <c r="AK1304" s="40">
        <v>1301.0</v>
      </c>
      <c r="AL1304" s="738" t="s">
        <v>3548</v>
      </c>
      <c r="AM1304" s="738" t="s">
        <v>3494</v>
      </c>
      <c r="AN1304" s="738" t="s">
        <v>1744</v>
      </c>
      <c r="AO1304" s="739">
        <v>0.593</v>
      </c>
      <c r="AP1304" s="739" t="s">
        <v>3495</v>
      </c>
    </row>
    <row r="1305">
      <c r="A1305" s="159"/>
      <c r="B1305" s="159"/>
      <c r="C1305" s="159"/>
      <c r="D1305" s="159"/>
      <c r="E1305" s="159"/>
      <c r="F1305" s="159"/>
      <c r="G1305" s="159"/>
      <c r="H1305" s="159"/>
      <c r="I1305" s="157"/>
      <c r="J1305" s="157"/>
      <c r="K1305" s="157"/>
      <c r="L1305" s="157"/>
      <c r="M1305" s="157"/>
      <c r="N1305" s="157"/>
      <c r="O1305" s="157"/>
      <c r="P1305" s="753"/>
      <c r="AK1305" s="40">
        <v>1302.0</v>
      </c>
      <c r="AL1305" s="719" t="s">
        <v>3549</v>
      </c>
      <c r="AM1305" s="720" t="s">
        <v>3497</v>
      </c>
      <c r="AN1305" s="720" t="s">
        <v>1744</v>
      </c>
      <c r="AO1305" s="722">
        <v>0.633</v>
      </c>
      <c r="AP1305" s="722" t="s">
        <v>3498</v>
      </c>
    </row>
    <row r="1306">
      <c r="A1306" s="159"/>
      <c r="B1306" s="159"/>
      <c r="C1306" s="159"/>
      <c r="D1306" s="159"/>
      <c r="E1306" s="159"/>
      <c r="F1306" s="159"/>
      <c r="G1306" s="159"/>
      <c r="H1306" s="159"/>
      <c r="I1306" s="157"/>
      <c r="J1306" s="157"/>
      <c r="K1306" s="157"/>
      <c r="L1306" s="157"/>
      <c r="M1306" s="157"/>
      <c r="N1306" s="157"/>
      <c r="O1306" s="157"/>
      <c r="P1306" s="753"/>
      <c r="AK1306" s="40">
        <v>1303.0</v>
      </c>
      <c r="AL1306" s="738" t="s">
        <v>3550</v>
      </c>
      <c r="AM1306" s="738" t="s">
        <v>2150</v>
      </c>
      <c r="AN1306" s="738" t="s">
        <v>2151</v>
      </c>
      <c r="AO1306" s="739">
        <v>0.004</v>
      </c>
      <c r="AP1306" s="739" t="s">
        <v>2152</v>
      </c>
    </row>
    <row r="1307">
      <c r="A1307" s="159"/>
      <c r="B1307" s="159"/>
      <c r="C1307" s="159"/>
      <c r="D1307" s="159"/>
      <c r="E1307" s="159"/>
      <c r="F1307" s="159"/>
      <c r="G1307" s="159"/>
      <c r="H1307" s="159"/>
      <c r="I1307" s="157"/>
      <c r="J1307" s="157"/>
      <c r="K1307" s="157"/>
      <c r="L1307" s="157"/>
      <c r="M1307" s="157"/>
      <c r="N1307" s="157"/>
      <c r="O1307" s="157"/>
      <c r="P1307" s="753"/>
      <c r="AK1307" s="40">
        <v>1304.0</v>
      </c>
      <c r="AL1307" s="719" t="s">
        <v>3551</v>
      </c>
      <c r="AM1307" s="720" t="s">
        <v>2044</v>
      </c>
      <c r="AN1307" s="720" t="s">
        <v>2045</v>
      </c>
      <c r="AO1307" s="722">
        <v>0.052</v>
      </c>
      <c r="AP1307" s="722" t="s">
        <v>2046</v>
      </c>
    </row>
    <row r="1308">
      <c r="A1308" s="159"/>
      <c r="B1308" s="159"/>
      <c r="C1308" s="159"/>
      <c r="D1308" s="159"/>
      <c r="E1308" s="159"/>
      <c r="F1308" s="159"/>
      <c r="G1308" s="159"/>
      <c r="H1308" s="159"/>
      <c r="I1308" s="157"/>
      <c r="J1308" s="157"/>
      <c r="K1308" s="157"/>
      <c r="L1308" s="157"/>
      <c r="M1308" s="157"/>
      <c r="N1308" s="157"/>
      <c r="O1308" s="157"/>
      <c r="P1308" s="753"/>
      <c r="AK1308" s="40">
        <v>1305.0</v>
      </c>
      <c r="AL1308" s="738" t="s">
        <v>3552</v>
      </c>
      <c r="AM1308" s="738" t="s">
        <v>1940</v>
      </c>
      <c r="AN1308" s="738" t="s">
        <v>1941</v>
      </c>
      <c r="AO1308" s="739">
        <v>0.149</v>
      </c>
      <c r="AP1308" s="739" t="s">
        <v>1942</v>
      </c>
    </row>
    <row r="1309">
      <c r="A1309" s="159"/>
      <c r="B1309" s="159"/>
      <c r="C1309" s="159"/>
      <c r="D1309" s="159"/>
      <c r="E1309" s="159"/>
      <c r="F1309" s="159"/>
      <c r="G1309" s="159"/>
      <c r="H1309" s="159"/>
      <c r="I1309" s="157"/>
      <c r="J1309" s="157"/>
      <c r="K1309" s="157"/>
      <c r="L1309" s="157"/>
      <c r="M1309" s="157"/>
      <c r="N1309" s="157"/>
      <c r="O1309" s="157"/>
      <c r="P1309" s="753"/>
      <c r="AK1309" s="40">
        <v>1306.0</v>
      </c>
      <c r="AL1309" s="719" t="s">
        <v>3553</v>
      </c>
      <c r="AM1309" s="720" t="s">
        <v>2156</v>
      </c>
      <c r="AN1309" s="721"/>
      <c r="AO1309" s="722">
        <v>0.0</v>
      </c>
      <c r="AP1309" s="722" t="s">
        <v>2157</v>
      </c>
    </row>
    <row r="1310">
      <c r="A1310" s="159"/>
      <c r="B1310" s="159"/>
      <c r="C1310" s="159"/>
      <c r="D1310" s="159"/>
      <c r="E1310" s="159"/>
      <c r="F1310" s="159"/>
      <c r="G1310" s="159"/>
      <c r="H1310" s="159"/>
      <c r="I1310" s="157"/>
      <c r="J1310" s="157"/>
      <c r="K1310" s="157"/>
      <c r="L1310" s="157"/>
      <c r="M1310" s="157"/>
      <c r="N1310" s="157"/>
      <c r="O1310" s="157"/>
      <c r="P1310" s="753"/>
      <c r="AK1310" s="40">
        <v>1307.0</v>
      </c>
      <c r="AL1310" s="738" t="s">
        <v>3554</v>
      </c>
      <c r="AM1310" s="738" t="s">
        <v>3504</v>
      </c>
      <c r="AN1310" s="738" t="s">
        <v>3505</v>
      </c>
      <c r="AO1310" s="739">
        <v>0.104</v>
      </c>
      <c r="AP1310" s="739" t="s">
        <v>3506</v>
      </c>
    </row>
    <row r="1311">
      <c r="A1311" s="159"/>
      <c r="B1311" s="159"/>
      <c r="C1311" s="159"/>
      <c r="D1311" s="159"/>
      <c r="E1311" s="159"/>
      <c r="F1311" s="159"/>
      <c r="G1311" s="159"/>
      <c r="H1311" s="159"/>
      <c r="I1311" s="157"/>
      <c r="J1311" s="157"/>
      <c r="K1311" s="157"/>
      <c r="L1311" s="157"/>
      <c r="M1311" s="157"/>
      <c r="N1311" s="157"/>
      <c r="O1311" s="157"/>
      <c r="P1311" s="753"/>
      <c r="AK1311" s="40">
        <v>1308.0</v>
      </c>
      <c r="AL1311" s="719" t="s">
        <v>3555</v>
      </c>
      <c r="AM1311" s="720" t="s">
        <v>3508</v>
      </c>
      <c r="AN1311" s="721"/>
      <c r="AO1311" s="722">
        <v>0.108</v>
      </c>
      <c r="AP1311" s="722" t="s">
        <v>3509</v>
      </c>
    </row>
    <row r="1312">
      <c r="A1312" s="159"/>
      <c r="B1312" s="159"/>
      <c r="C1312" s="159"/>
      <c r="D1312" s="159"/>
      <c r="E1312" s="159"/>
      <c r="F1312" s="159"/>
      <c r="G1312" s="159"/>
      <c r="H1312" s="159"/>
      <c r="I1312" s="157"/>
      <c r="J1312" s="157"/>
      <c r="K1312" s="157"/>
      <c r="L1312" s="157"/>
      <c r="M1312" s="157"/>
      <c r="N1312" s="157"/>
      <c r="O1312" s="157"/>
      <c r="P1312" s="753"/>
      <c r="AK1312" s="40">
        <v>1309.0</v>
      </c>
      <c r="AL1312" s="738" t="s">
        <v>3556</v>
      </c>
      <c r="AM1312" s="738" t="s">
        <v>3511</v>
      </c>
      <c r="AN1312" s="745"/>
      <c r="AO1312" s="739">
        <v>0.15</v>
      </c>
      <c r="AP1312" s="739" t="s">
        <v>3512</v>
      </c>
    </row>
    <row r="1313">
      <c r="A1313" s="159"/>
      <c r="B1313" s="159"/>
      <c r="C1313" s="159"/>
      <c r="D1313" s="159"/>
      <c r="E1313" s="159"/>
      <c r="F1313" s="159"/>
      <c r="G1313" s="159"/>
      <c r="H1313" s="159"/>
      <c r="I1313" s="157"/>
      <c r="J1313" s="157"/>
      <c r="K1313" s="157"/>
      <c r="L1313" s="157"/>
      <c r="M1313" s="157"/>
      <c r="N1313" s="157"/>
      <c r="O1313" s="157"/>
      <c r="P1313" s="753"/>
      <c r="AK1313" s="40">
        <v>1310.0</v>
      </c>
      <c r="AL1313" s="719" t="s">
        <v>3557</v>
      </c>
      <c r="AM1313" s="720" t="s">
        <v>3514</v>
      </c>
      <c r="AN1313" s="721"/>
      <c r="AO1313" s="722">
        <v>0.237</v>
      </c>
      <c r="AP1313" s="722" t="s">
        <v>3515</v>
      </c>
    </row>
    <row r="1314">
      <c r="A1314" s="159"/>
      <c r="B1314" s="159"/>
      <c r="C1314" s="159"/>
      <c r="D1314" s="159"/>
      <c r="E1314" s="159"/>
      <c r="F1314" s="159"/>
      <c r="G1314" s="159"/>
      <c r="H1314" s="159"/>
      <c r="I1314" s="157"/>
      <c r="J1314" s="157"/>
      <c r="K1314" s="157"/>
      <c r="L1314" s="157"/>
      <c r="M1314" s="157"/>
      <c r="N1314" s="157"/>
      <c r="O1314" s="157"/>
      <c r="P1314" s="753"/>
      <c r="AK1314" s="40">
        <v>1311.0</v>
      </c>
      <c r="AL1314" s="738" t="s">
        <v>3558</v>
      </c>
      <c r="AM1314" s="738" t="s">
        <v>2624</v>
      </c>
      <c r="AN1314" s="738" t="s">
        <v>2625</v>
      </c>
      <c r="AO1314" s="739">
        <v>0.569</v>
      </c>
      <c r="AP1314" s="739" t="s">
        <v>2626</v>
      </c>
    </row>
    <row r="1315">
      <c r="A1315" s="159"/>
      <c r="B1315" s="159"/>
      <c r="C1315" s="159"/>
      <c r="D1315" s="159"/>
      <c r="E1315" s="159"/>
      <c r="F1315" s="159"/>
      <c r="G1315" s="159"/>
      <c r="H1315" s="159"/>
      <c r="I1315" s="157"/>
      <c r="J1315" s="157"/>
      <c r="K1315" s="157"/>
      <c r="L1315" s="157"/>
      <c r="M1315" s="157"/>
      <c r="N1315" s="157"/>
      <c r="O1315" s="157"/>
      <c r="P1315" s="753"/>
      <c r="AK1315" s="40">
        <v>1312.0</v>
      </c>
      <c r="AL1315" s="719" t="s">
        <v>3559</v>
      </c>
      <c r="AM1315" s="720" t="s">
        <v>3518</v>
      </c>
      <c r="AN1315" s="720" t="s">
        <v>1744</v>
      </c>
      <c r="AO1315" s="722">
        <v>0.57</v>
      </c>
      <c r="AP1315" s="722" t="s">
        <v>3519</v>
      </c>
    </row>
    <row r="1316">
      <c r="A1316" s="159"/>
      <c r="B1316" s="159"/>
      <c r="C1316" s="159"/>
      <c r="D1316" s="159"/>
      <c r="E1316" s="159"/>
      <c r="F1316" s="159"/>
      <c r="G1316" s="159"/>
      <c r="H1316" s="159"/>
      <c r="I1316" s="157"/>
      <c r="J1316" s="157"/>
      <c r="K1316" s="157"/>
      <c r="L1316" s="157"/>
      <c r="M1316" s="157"/>
      <c r="N1316" s="157"/>
      <c r="O1316" s="157"/>
      <c r="P1316" s="753"/>
      <c r="AK1316" s="40">
        <v>1313.0</v>
      </c>
      <c r="AL1316" s="738" t="s">
        <v>3560</v>
      </c>
      <c r="AM1316" s="738" t="s">
        <v>3521</v>
      </c>
      <c r="AN1316" s="738" t="s">
        <v>1744</v>
      </c>
      <c r="AO1316" s="739">
        <v>0.591</v>
      </c>
      <c r="AP1316" s="739" t="s">
        <v>3522</v>
      </c>
    </row>
    <row r="1317">
      <c r="A1317" s="159"/>
      <c r="B1317" s="159"/>
      <c r="C1317" s="159"/>
      <c r="D1317" s="159"/>
      <c r="E1317" s="159"/>
      <c r="F1317" s="159"/>
      <c r="G1317" s="159"/>
      <c r="H1317" s="159"/>
      <c r="I1317" s="157"/>
      <c r="J1317" s="157"/>
      <c r="K1317" s="157"/>
      <c r="L1317" s="157"/>
      <c r="M1317" s="157"/>
      <c r="N1317" s="157"/>
      <c r="O1317" s="157"/>
      <c r="P1317" s="753"/>
      <c r="AK1317" s="40">
        <v>1314.0</v>
      </c>
      <c r="AL1317" s="719" t="s">
        <v>3561</v>
      </c>
      <c r="AM1317" s="720" t="s">
        <v>3524</v>
      </c>
      <c r="AN1317" s="720" t="s">
        <v>1744</v>
      </c>
      <c r="AO1317" s="722">
        <v>0.631</v>
      </c>
      <c r="AP1317" s="722" t="s">
        <v>3525</v>
      </c>
    </row>
    <row r="1318">
      <c r="A1318" s="159"/>
      <c r="B1318" s="159"/>
      <c r="C1318" s="159"/>
      <c r="D1318" s="159"/>
      <c r="E1318" s="159"/>
      <c r="F1318" s="159"/>
      <c r="G1318" s="159"/>
      <c r="H1318" s="159"/>
      <c r="I1318" s="157"/>
      <c r="J1318" s="157"/>
      <c r="K1318" s="157"/>
      <c r="L1318" s="157"/>
      <c r="M1318" s="157"/>
      <c r="N1318" s="157"/>
      <c r="O1318" s="157"/>
      <c r="P1318" s="753"/>
      <c r="AK1318" s="40">
        <v>1315.0</v>
      </c>
      <c r="AL1318" s="738" t="s">
        <v>3562</v>
      </c>
      <c r="AM1318" s="738" t="s">
        <v>2156</v>
      </c>
      <c r="AN1318" s="745"/>
      <c r="AO1318" s="739">
        <v>0.0</v>
      </c>
      <c r="AP1318" s="739" t="s">
        <v>2157</v>
      </c>
    </row>
    <row r="1319">
      <c r="A1319" s="159"/>
      <c r="B1319" s="159"/>
      <c r="C1319" s="159"/>
      <c r="D1319" s="159"/>
      <c r="E1319" s="159"/>
      <c r="F1319" s="159"/>
      <c r="G1319" s="159"/>
      <c r="H1319" s="159"/>
      <c r="I1319" s="157"/>
      <c r="J1319" s="157"/>
      <c r="K1319" s="157"/>
      <c r="L1319" s="157"/>
      <c r="M1319" s="157"/>
      <c r="N1319" s="157"/>
      <c r="O1319" s="157"/>
      <c r="P1319" s="753"/>
      <c r="AK1319" s="40">
        <v>1316.0</v>
      </c>
      <c r="AL1319" s="719" t="s">
        <v>3563</v>
      </c>
      <c r="AM1319" s="720" t="s">
        <v>3483</v>
      </c>
      <c r="AN1319" s="720" t="s">
        <v>3484</v>
      </c>
      <c r="AO1319" s="722">
        <v>0.024</v>
      </c>
      <c r="AP1319" s="722" t="s">
        <v>3485</v>
      </c>
    </row>
    <row r="1320">
      <c r="A1320" s="159"/>
      <c r="B1320" s="159"/>
      <c r="C1320" s="159"/>
      <c r="D1320" s="159"/>
      <c r="E1320" s="159"/>
      <c r="F1320" s="159"/>
      <c r="G1320" s="159"/>
      <c r="H1320" s="159"/>
      <c r="I1320" s="157"/>
      <c r="J1320" s="157"/>
      <c r="K1320" s="157"/>
      <c r="L1320" s="157"/>
      <c r="M1320" s="157"/>
      <c r="N1320" s="157"/>
      <c r="O1320" s="157"/>
      <c r="P1320" s="753"/>
      <c r="AK1320" s="40">
        <v>1317.0</v>
      </c>
      <c r="AL1320" s="738" t="s">
        <v>3564</v>
      </c>
      <c r="AM1320" s="738" t="s">
        <v>3487</v>
      </c>
      <c r="AN1320" s="738" t="s">
        <v>3488</v>
      </c>
      <c r="AO1320" s="739">
        <v>0.571</v>
      </c>
      <c r="AP1320" s="739" t="s">
        <v>3489</v>
      </c>
    </row>
    <row r="1321">
      <c r="A1321" s="159"/>
      <c r="B1321" s="159"/>
      <c r="C1321" s="159"/>
      <c r="D1321" s="159"/>
      <c r="E1321" s="159"/>
      <c r="F1321" s="159"/>
      <c r="G1321" s="159"/>
      <c r="H1321" s="159"/>
      <c r="I1321" s="157"/>
      <c r="J1321" s="157"/>
      <c r="K1321" s="157"/>
      <c r="L1321" s="157"/>
      <c r="M1321" s="157"/>
      <c r="N1321" s="157"/>
      <c r="O1321" s="157"/>
      <c r="P1321" s="753"/>
      <c r="AK1321" s="40">
        <v>1318.0</v>
      </c>
      <c r="AL1321" s="719" t="s">
        <v>3565</v>
      </c>
      <c r="AM1321" s="720" t="s">
        <v>3491</v>
      </c>
      <c r="AN1321" s="720" t="s">
        <v>1744</v>
      </c>
      <c r="AO1321" s="722">
        <v>0.573</v>
      </c>
      <c r="AP1321" s="722" t="s">
        <v>3492</v>
      </c>
    </row>
    <row r="1322">
      <c r="A1322" s="159"/>
      <c r="B1322" s="159"/>
      <c r="C1322" s="159"/>
      <c r="D1322" s="159"/>
      <c r="E1322" s="159"/>
      <c r="F1322" s="159"/>
      <c r="G1322" s="159"/>
      <c r="H1322" s="159"/>
      <c r="I1322" s="157"/>
      <c r="J1322" s="157"/>
      <c r="K1322" s="157"/>
      <c r="L1322" s="157"/>
      <c r="M1322" s="157"/>
      <c r="N1322" s="157"/>
      <c r="O1322" s="157"/>
      <c r="P1322" s="753"/>
      <c r="AK1322" s="40">
        <v>1319.0</v>
      </c>
      <c r="AL1322" s="738" t="s">
        <v>3566</v>
      </c>
      <c r="AM1322" s="738" t="s">
        <v>3494</v>
      </c>
      <c r="AN1322" s="738" t="s">
        <v>1744</v>
      </c>
      <c r="AO1322" s="739">
        <v>0.593</v>
      </c>
      <c r="AP1322" s="739" t="s">
        <v>3495</v>
      </c>
    </row>
    <row r="1323">
      <c r="A1323" s="159"/>
      <c r="B1323" s="159"/>
      <c r="C1323" s="159"/>
      <c r="D1323" s="159"/>
      <c r="E1323" s="159"/>
      <c r="F1323" s="159"/>
      <c r="G1323" s="159"/>
      <c r="H1323" s="159"/>
      <c r="I1323" s="157"/>
      <c r="J1323" s="157"/>
      <c r="K1323" s="157"/>
      <c r="L1323" s="157"/>
      <c r="M1323" s="157"/>
      <c r="N1323" s="157"/>
      <c r="O1323" s="157"/>
      <c r="P1323" s="753"/>
      <c r="AK1323" s="40">
        <v>1320.0</v>
      </c>
      <c r="AL1323" s="719" t="s">
        <v>3567</v>
      </c>
      <c r="AM1323" s="720" t="s">
        <v>3497</v>
      </c>
      <c r="AN1323" s="720" t="s">
        <v>1744</v>
      </c>
      <c r="AO1323" s="722">
        <v>0.633</v>
      </c>
      <c r="AP1323" s="722" t="s">
        <v>3498</v>
      </c>
    </row>
    <row r="1324">
      <c r="A1324" s="159"/>
      <c r="B1324" s="159"/>
      <c r="C1324" s="159"/>
      <c r="D1324" s="159"/>
      <c r="E1324" s="159"/>
      <c r="F1324" s="159"/>
      <c r="G1324" s="159"/>
      <c r="H1324" s="159"/>
      <c r="I1324" s="157"/>
      <c r="J1324" s="157"/>
      <c r="K1324" s="157"/>
      <c r="L1324" s="157"/>
      <c r="M1324" s="157"/>
      <c r="N1324" s="157"/>
      <c r="O1324" s="157"/>
      <c r="P1324" s="753"/>
      <c r="AK1324" s="40">
        <v>1321.0</v>
      </c>
      <c r="AL1324" s="738" t="s">
        <v>3568</v>
      </c>
      <c r="AM1324" s="738" t="s">
        <v>2150</v>
      </c>
      <c r="AN1324" s="738" t="s">
        <v>2151</v>
      </c>
      <c r="AO1324" s="739">
        <v>0.004</v>
      </c>
      <c r="AP1324" s="739" t="s">
        <v>2152</v>
      </c>
    </row>
    <row r="1325">
      <c r="A1325" s="159"/>
      <c r="B1325" s="159"/>
      <c r="C1325" s="159"/>
      <c r="D1325" s="159"/>
      <c r="E1325" s="159"/>
      <c r="F1325" s="159"/>
      <c r="G1325" s="159"/>
      <c r="H1325" s="159"/>
      <c r="I1325" s="157"/>
      <c r="J1325" s="157"/>
      <c r="K1325" s="157"/>
      <c r="L1325" s="157"/>
      <c r="M1325" s="157"/>
      <c r="N1325" s="157"/>
      <c r="O1325" s="157"/>
      <c r="P1325" s="753"/>
      <c r="AK1325" s="40">
        <v>1322.0</v>
      </c>
      <c r="AL1325" s="719" t="s">
        <v>3569</v>
      </c>
      <c r="AM1325" s="720" t="s">
        <v>2044</v>
      </c>
      <c r="AN1325" s="720" t="s">
        <v>2045</v>
      </c>
      <c r="AO1325" s="722">
        <v>0.052</v>
      </c>
      <c r="AP1325" s="722" t="s">
        <v>2046</v>
      </c>
    </row>
    <row r="1326">
      <c r="A1326" s="159"/>
      <c r="B1326" s="159"/>
      <c r="C1326" s="159"/>
      <c r="D1326" s="159"/>
      <c r="E1326" s="159"/>
      <c r="F1326" s="159"/>
      <c r="G1326" s="159"/>
      <c r="H1326" s="159"/>
      <c r="I1326" s="157"/>
      <c r="J1326" s="157"/>
      <c r="K1326" s="157"/>
      <c r="L1326" s="157"/>
      <c r="M1326" s="157"/>
      <c r="N1326" s="157"/>
      <c r="O1326" s="157"/>
      <c r="P1326" s="753"/>
      <c r="AK1326" s="40">
        <v>1323.0</v>
      </c>
      <c r="AL1326" s="738" t="s">
        <v>3570</v>
      </c>
      <c r="AM1326" s="738" t="s">
        <v>1940</v>
      </c>
      <c r="AN1326" s="738" t="s">
        <v>1941</v>
      </c>
      <c r="AO1326" s="739">
        <v>0.149</v>
      </c>
      <c r="AP1326" s="739" t="s">
        <v>1942</v>
      </c>
    </row>
    <row r="1327">
      <c r="A1327" s="159"/>
      <c r="B1327" s="159"/>
      <c r="C1327" s="159"/>
      <c r="D1327" s="159"/>
      <c r="E1327" s="159"/>
      <c r="F1327" s="159"/>
      <c r="G1327" s="159"/>
      <c r="H1327" s="159"/>
      <c r="I1327" s="157"/>
      <c r="J1327" s="157"/>
      <c r="K1327" s="157"/>
      <c r="L1327" s="157"/>
      <c r="M1327" s="157"/>
      <c r="N1327" s="157"/>
      <c r="O1327" s="157"/>
      <c r="P1327" s="753"/>
      <c r="AK1327" s="40">
        <v>1324.0</v>
      </c>
      <c r="AL1327" s="719" t="s">
        <v>3571</v>
      </c>
      <c r="AM1327" s="720" t="s">
        <v>2156</v>
      </c>
      <c r="AN1327" s="721"/>
      <c r="AO1327" s="722">
        <v>0.0</v>
      </c>
      <c r="AP1327" s="722" t="s">
        <v>2157</v>
      </c>
    </row>
    <row r="1328">
      <c r="A1328" s="159"/>
      <c r="B1328" s="159"/>
      <c r="C1328" s="159"/>
      <c r="D1328" s="159"/>
      <c r="E1328" s="159"/>
      <c r="F1328" s="159"/>
      <c r="G1328" s="159"/>
      <c r="H1328" s="159"/>
      <c r="I1328" s="157"/>
      <c r="J1328" s="157"/>
      <c r="K1328" s="157"/>
      <c r="L1328" s="157"/>
      <c r="M1328" s="157"/>
      <c r="N1328" s="157"/>
      <c r="O1328" s="157"/>
      <c r="P1328" s="753"/>
      <c r="AK1328" s="40">
        <v>1325.0</v>
      </c>
      <c r="AL1328" s="738" t="s">
        <v>3572</v>
      </c>
      <c r="AM1328" s="738" t="s">
        <v>3504</v>
      </c>
      <c r="AN1328" s="738" t="s">
        <v>3505</v>
      </c>
      <c r="AO1328" s="739">
        <v>0.104</v>
      </c>
      <c r="AP1328" s="739" t="s">
        <v>3506</v>
      </c>
    </row>
    <row r="1329">
      <c r="A1329" s="159"/>
      <c r="B1329" s="159"/>
      <c r="C1329" s="159"/>
      <c r="D1329" s="159"/>
      <c r="E1329" s="159"/>
      <c r="F1329" s="159"/>
      <c r="G1329" s="159"/>
      <c r="H1329" s="159"/>
      <c r="I1329" s="157"/>
      <c r="J1329" s="157"/>
      <c r="K1329" s="157"/>
      <c r="L1329" s="157"/>
      <c r="M1329" s="157"/>
      <c r="N1329" s="157"/>
      <c r="O1329" s="157"/>
      <c r="P1329" s="753"/>
      <c r="AK1329" s="40">
        <v>1326.0</v>
      </c>
      <c r="AL1329" s="719" t="s">
        <v>3573</v>
      </c>
      <c r="AM1329" s="720" t="s">
        <v>3508</v>
      </c>
      <c r="AN1329" s="721"/>
      <c r="AO1329" s="722">
        <v>0.108</v>
      </c>
      <c r="AP1329" s="722" t="s">
        <v>3509</v>
      </c>
    </row>
    <row r="1330">
      <c r="A1330" s="159"/>
      <c r="B1330" s="159"/>
      <c r="C1330" s="159"/>
      <c r="D1330" s="159"/>
      <c r="E1330" s="159"/>
      <c r="F1330" s="159"/>
      <c r="G1330" s="159"/>
      <c r="H1330" s="159"/>
      <c r="I1330" s="157"/>
      <c r="J1330" s="157"/>
      <c r="K1330" s="157"/>
      <c r="L1330" s="157"/>
      <c r="M1330" s="157"/>
      <c r="N1330" s="157"/>
      <c r="O1330" s="157"/>
      <c r="P1330" s="753"/>
      <c r="AK1330" s="40">
        <v>1327.0</v>
      </c>
      <c r="AL1330" s="738" t="s">
        <v>3574</v>
      </c>
      <c r="AM1330" s="738" t="s">
        <v>3511</v>
      </c>
      <c r="AN1330" s="745"/>
      <c r="AO1330" s="739">
        <v>0.15</v>
      </c>
      <c r="AP1330" s="739" t="s">
        <v>3512</v>
      </c>
    </row>
    <row r="1331">
      <c r="A1331" s="159"/>
      <c r="B1331" s="159"/>
      <c r="C1331" s="159"/>
      <c r="D1331" s="159"/>
      <c r="E1331" s="159"/>
      <c r="F1331" s="159"/>
      <c r="G1331" s="159"/>
      <c r="H1331" s="159"/>
      <c r="I1331" s="157"/>
      <c r="J1331" s="157"/>
      <c r="K1331" s="157"/>
      <c r="L1331" s="157"/>
      <c r="M1331" s="157"/>
      <c r="N1331" s="157"/>
      <c r="O1331" s="157"/>
      <c r="P1331" s="753"/>
      <c r="AK1331" s="40">
        <v>1328.0</v>
      </c>
      <c r="AL1331" s="719" t="s">
        <v>3575</v>
      </c>
      <c r="AM1331" s="720" t="s">
        <v>3514</v>
      </c>
      <c r="AN1331" s="721"/>
      <c r="AO1331" s="722">
        <v>0.237</v>
      </c>
      <c r="AP1331" s="722" t="s">
        <v>3515</v>
      </c>
    </row>
    <row r="1332">
      <c r="A1332" s="159"/>
      <c r="B1332" s="159"/>
      <c r="C1332" s="159"/>
      <c r="D1332" s="159"/>
      <c r="E1332" s="159"/>
      <c r="F1332" s="159"/>
      <c r="G1332" s="159"/>
      <c r="H1332" s="159"/>
      <c r="I1332" s="157"/>
      <c r="J1332" s="157"/>
      <c r="K1332" s="157"/>
      <c r="L1332" s="157"/>
      <c r="M1332" s="157"/>
      <c r="N1332" s="157"/>
      <c r="O1332" s="157"/>
      <c r="P1332" s="753"/>
      <c r="AK1332" s="40">
        <v>1329.0</v>
      </c>
      <c r="AL1332" s="738" t="s">
        <v>3576</v>
      </c>
      <c r="AM1332" s="738" t="s">
        <v>2624</v>
      </c>
      <c r="AN1332" s="738" t="s">
        <v>2625</v>
      </c>
      <c r="AO1332" s="739">
        <v>0.569</v>
      </c>
      <c r="AP1332" s="739" t="s">
        <v>2626</v>
      </c>
    </row>
    <row r="1333">
      <c r="A1333" s="159"/>
      <c r="B1333" s="159"/>
      <c r="C1333" s="159"/>
      <c r="D1333" s="159"/>
      <c r="E1333" s="159"/>
      <c r="F1333" s="159"/>
      <c r="G1333" s="159"/>
      <c r="H1333" s="159"/>
      <c r="I1333" s="157"/>
      <c r="J1333" s="157"/>
      <c r="K1333" s="157"/>
      <c r="L1333" s="157"/>
      <c r="M1333" s="157"/>
      <c r="N1333" s="157"/>
      <c r="O1333" s="157"/>
      <c r="P1333" s="753"/>
      <c r="AK1333" s="40">
        <v>1330.0</v>
      </c>
      <c r="AL1333" s="719" t="s">
        <v>3577</v>
      </c>
      <c r="AM1333" s="720" t="s">
        <v>3518</v>
      </c>
      <c r="AN1333" s="720" t="s">
        <v>1744</v>
      </c>
      <c r="AO1333" s="722">
        <v>0.57</v>
      </c>
      <c r="AP1333" s="722" t="s">
        <v>3519</v>
      </c>
    </row>
    <row r="1334">
      <c r="A1334" s="159"/>
      <c r="B1334" s="159"/>
      <c r="C1334" s="159"/>
      <c r="D1334" s="159"/>
      <c r="E1334" s="159"/>
      <c r="F1334" s="159"/>
      <c r="G1334" s="159"/>
      <c r="H1334" s="159"/>
      <c r="I1334" s="157"/>
      <c r="J1334" s="157"/>
      <c r="K1334" s="157"/>
      <c r="L1334" s="157"/>
      <c r="M1334" s="157"/>
      <c r="N1334" s="157"/>
      <c r="O1334" s="157"/>
      <c r="P1334" s="753"/>
      <c r="AK1334" s="40">
        <v>1331.0</v>
      </c>
      <c r="AL1334" s="738" t="s">
        <v>3578</v>
      </c>
      <c r="AM1334" s="738" t="s">
        <v>3521</v>
      </c>
      <c r="AN1334" s="738" t="s">
        <v>1744</v>
      </c>
      <c r="AO1334" s="739">
        <v>0.591</v>
      </c>
      <c r="AP1334" s="739" t="s">
        <v>3522</v>
      </c>
    </row>
    <row r="1335">
      <c r="A1335" s="159"/>
      <c r="B1335" s="159"/>
      <c r="C1335" s="159"/>
      <c r="D1335" s="159"/>
      <c r="E1335" s="159"/>
      <c r="F1335" s="159"/>
      <c r="G1335" s="159"/>
      <c r="H1335" s="159"/>
      <c r="I1335" s="157"/>
      <c r="J1335" s="157"/>
      <c r="K1335" s="157"/>
      <c r="L1335" s="157"/>
      <c r="M1335" s="157"/>
      <c r="N1335" s="157"/>
      <c r="O1335" s="157"/>
      <c r="P1335" s="753"/>
      <c r="AK1335" s="40">
        <v>1332.0</v>
      </c>
      <c r="AL1335" s="719" t="s">
        <v>3579</v>
      </c>
      <c r="AM1335" s="720" t="s">
        <v>3524</v>
      </c>
      <c r="AN1335" s="720" t="s">
        <v>1744</v>
      </c>
      <c r="AO1335" s="722">
        <v>0.631</v>
      </c>
      <c r="AP1335" s="722" t="s">
        <v>3525</v>
      </c>
    </row>
    <row r="1336">
      <c r="A1336" s="159"/>
      <c r="B1336" s="159"/>
      <c r="C1336" s="159"/>
      <c r="D1336" s="159"/>
      <c r="E1336" s="159"/>
      <c r="F1336" s="159"/>
      <c r="G1336" s="159"/>
      <c r="H1336" s="159"/>
      <c r="I1336" s="157"/>
      <c r="J1336" s="157"/>
      <c r="K1336" s="157"/>
      <c r="L1336" s="157"/>
      <c r="M1336" s="157"/>
      <c r="N1336" s="157"/>
      <c r="O1336" s="157"/>
      <c r="P1336" s="753"/>
      <c r="AK1336" s="40">
        <v>1333.0</v>
      </c>
      <c r="AL1336" s="738" t="s">
        <v>3580</v>
      </c>
      <c r="AM1336" s="738" t="s">
        <v>2156</v>
      </c>
      <c r="AN1336" s="745"/>
      <c r="AO1336" s="739">
        <v>0.0</v>
      </c>
      <c r="AP1336" s="739" t="s">
        <v>2157</v>
      </c>
    </row>
    <row r="1337">
      <c r="A1337" s="159"/>
      <c r="B1337" s="159"/>
      <c r="C1337" s="159"/>
      <c r="D1337" s="159"/>
      <c r="E1337" s="159"/>
      <c r="F1337" s="159"/>
      <c r="G1337" s="159"/>
      <c r="H1337" s="159"/>
      <c r="I1337" s="157"/>
      <c r="J1337" s="157"/>
      <c r="K1337" s="157"/>
      <c r="L1337" s="157"/>
      <c r="M1337" s="157"/>
      <c r="N1337" s="157"/>
      <c r="O1337" s="157"/>
      <c r="P1337" s="753"/>
      <c r="AK1337" s="40">
        <v>1334.0</v>
      </c>
      <c r="AL1337" s="719" t="s">
        <v>3581</v>
      </c>
      <c r="AM1337" s="720" t="s">
        <v>3483</v>
      </c>
      <c r="AN1337" s="720" t="s">
        <v>3484</v>
      </c>
      <c r="AO1337" s="722">
        <v>0.024</v>
      </c>
      <c r="AP1337" s="722" t="s">
        <v>3485</v>
      </c>
    </row>
    <row r="1338">
      <c r="A1338" s="159"/>
      <c r="B1338" s="159"/>
      <c r="C1338" s="159"/>
      <c r="D1338" s="159"/>
      <c r="E1338" s="159"/>
      <c r="F1338" s="159"/>
      <c r="G1338" s="159"/>
      <c r="H1338" s="159"/>
      <c r="I1338" s="157"/>
      <c r="J1338" s="157"/>
      <c r="K1338" s="157"/>
      <c r="L1338" s="157"/>
      <c r="M1338" s="157"/>
      <c r="N1338" s="157"/>
      <c r="O1338" s="157"/>
      <c r="P1338" s="753"/>
      <c r="AK1338" s="40">
        <v>1335.0</v>
      </c>
      <c r="AL1338" s="738" t="s">
        <v>3582</v>
      </c>
      <c r="AM1338" s="738" t="s">
        <v>3487</v>
      </c>
      <c r="AN1338" s="738" t="s">
        <v>3488</v>
      </c>
      <c r="AO1338" s="739">
        <v>0.571</v>
      </c>
      <c r="AP1338" s="739" t="s">
        <v>3489</v>
      </c>
    </row>
    <row r="1339">
      <c r="A1339" s="159"/>
      <c r="B1339" s="159"/>
      <c r="C1339" s="159"/>
      <c r="D1339" s="159"/>
      <c r="E1339" s="159"/>
      <c r="F1339" s="159"/>
      <c r="G1339" s="159"/>
      <c r="H1339" s="159"/>
      <c r="I1339" s="157"/>
      <c r="J1339" s="157"/>
      <c r="K1339" s="157"/>
      <c r="L1339" s="157"/>
      <c r="M1339" s="157"/>
      <c r="N1339" s="157"/>
      <c r="O1339" s="157"/>
      <c r="P1339" s="753"/>
      <c r="AK1339" s="40">
        <v>1336.0</v>
      </c>
      <c r="AL1339" s="719" t="s">
        <v>3583</v>
      </c>
      <c r="AM1339" s="720" t="s">
        <v>3491</v>
      </c>
      <c r="AN1339" s="720" t="s">
        <v>1744</v>
      </c>
      <c r="AO1339" s="722">
        <v>0.573</v>
      </c>
      <c r="AP1339" s="722" t="s">
        <v>3492</v>
      </c>
    </row>
    <row r="1340">
      <c r="A1340" s="159"/>
      <c r="B1340" s="159"/>
      <c r="C1340" s="159"/>
      <c r="D1340" s="159"/>
      <c r="E1340" s="159"/>
      <c r="F1340" s="159"/>
      <c r="G1340" s="159"/>
      <c r="H1340" s="159"/>
      <c r="I1340" s="157"/>
      <c r="J1340" s="157"/>
      <c r="K1340" s="157"/>
      <c r="L1340" s="157"/>
      <c r="M1340" s="157"/>
      <c r="N1340" s="157"/>
      <c r="O1340" s="157"/>
      <c r="P1340" s="753"/>
      <c r="AK1340" s="40">
        <v>1337.0</v>
      </c>
      <c r="AL1340" s="738" t="s">
        <v>3584</v>
      </c>
      <c r="AM1340" s="738" t="s">
        <v>3494</v>
      </c>
      <c r="AN1340" s="738" t="s">
        <v>1744</v>
      </c>
      <c r="AO1340" s="739">
        <v>0.593</v>
      </c>
      <c r="AP1340" s="739" t="s">
        <v>3495</v>
      </c>
    </row>
    <row r="1341">
      <c r="A1341" s="159"/>
      <c r="B1341" s="159"/>
      <c r="C1341" s="159"/>
      <c r="D1341" s="159"/>
      <c r="E1341" s="159"/>
      <c r="F1341" s="159"/>
      <c r="G1341" s="159"/>
      <c r="H1341" s="159"/>
      <c r="I1341" s="157"/>
      <c r="J1341" s="157"/>
      <c r="K1341" s="157"/>
      <c r="L1341" s="157"/>
      <c r="M1341" s="157"/>
      <c r="N1341" s="157"/>
      <c r="O1341" s="157"/>
      <c r="P1341" s="753"/>
      <c r="AK1341" s="40">
        <v>1338.0</v>
      </c>
      <c r="AL1341" s="719" t="s">
        <v>3585</v>
      </c>
      <c r="AM1341" s="720" t="s">
        <v>3497</v>
      </c>
      <c r="AN1341" s="720" t="s">
        <v>1744</v>
      </c>
      <c r="AO1341" s="722">
        <v>0.633</v>
      </c>
      <c r="AP1341" s="722" t="s">
        <v>3498</v>
      </c>
    </row>
    <row r="1342">
      <c r="A1342" s="159"/>
      <c r="B1342" s="159"/>
      <c r="C1342" s="159"/>
      <c r="D1342" s="159"/>
      <c r="E1342" s="159"/>
      <c r="F1342" s="159"/>
      <c r="G1342" s="159"/>
      <c r="H1342" s="159"/>
      <c r="I1342" s="157"/>
      <c r="J1342" s="157"/>
      <c r="K1342" s="157"/>
      <c r="L1342" s="157"/>
      <c r="M1342" s="157"/>
      <c r="N1342" s="157"/>
      <c r="O1342" s="157"/>
      <c r="P1342" s="753"/>
      <c r="AK1342" s="40">
        <v>1339.0</v>
      </c>
      <c r="AL1342" s="738" t="s">
        <v>3586</v>
      </c>
      <c r="AM1342" s="738" t="s">
        <v>2150</v>
      </c>
      <c r="AN1342" s="738" t="s">
        <v>2151</v>
      </c>
      <c r="AO1342" s="739">
        <v>0.004</v>
      </c>
      <c r="AP1342" s="739" t="s">
        <v>2152</v>
      </c>
    </row>
    <row r="1343">
      <c r="A1343" s="159"/>
      <c r="B1343" s="159"/>
      <c r="C1343" s="159"/>
      <c r="D1343" s="159"/>
      <c r="E1343" s="159"/>
      <c r="F1343" s="159"/>
      <c r="G1343" s="159"/>
      <c r="H1343" s="159"/>
      <c r="I1343" s="157"/>
      <c r="J1343" s="157"/>
      <c r="K1343" s="157"/>
      <c r="L1343" s="157"/>
      <c r="M1343" s="157"/>
      <c r="N1343" s="157"/>
      <c r="O1343" s="157"/>
      <c r="P1343" s="753"/>
      <c r="AK1343" s="40">
        <v>1340.0</v>
      </c>
      <c r="AL1343" s="719" t="s">
        <v>3587</v>
      </c>
      <c r="AM1343" s="720" t="s">
        <v>2044</v>
      </c>
      <c r="AN1343" s="720" t="s">
        <v>2045</v>
      </c>
      <c r="AO1343" s="722">
        <v>0.052</v>
      </c>
      <c r="AP1343" s="722" t="s">
        <v>2046</v>
      </c>
    </row>
    <row r="1344">
      <c r="A1344" s="159"/>
      <c r="B1344" s="159"/>
      <c r="C1344" s="159"/>
      <c r="D1344" s="159"/>
      <c r="E1344" s="159"/>
      <c r="F1344" s="159"/>
      <c r="G1344" s="159"/>
      <c r="H1344" s="159"/>
      <c r="I1344" s="157"/>
      <c r="J1344" s="157"/>
      <c r="K1344" s="157"/>
      <c r="L1344" s="157"/>
      <c r="M1344" s="157"/>
      <c r="N1344" s="157"/>
      <c r="O1344" s="157"/>
      <c r="P1344" s="753"/>
      <c r="AK1344" s="40">
        <v>1341.0</v>
      </c>
      <c r="AL1344" s="738" t="s">
        <v>3588</v>
      </c>
      <c r="AM1344" s="738" t="s">
        <v>1940</v>
      </c>
      <c r="AN1344" s="738" t="s">
        <v>1941</v>
      </c>
      <c r="AO1344" s="739">
        <v>0.149</v>
      </c>
      <c r="AP1344" s="739" t="s">
        <v>1942</v>
      </c>
    </row>
    <row r="1345">
      <c r="A1345" s="159"/>
      <c r="B1345" s="159"/>
      <c r="C1345" s="159"/>
      <c r="D1345" s="159"/>
      <c r="E1345" s="159"/>
      <c r="F1345" s="159"/>
      <c r="G1345" s="159"/>
      <c r="H1345" s="159"/>
      <c r="I1345" s="157"/>
      <c r="J1345" s="157"/>
      <c r="K1345" s="157"/>
      <c r="L1345" s="157"/>
      <c r="M1345" s="157"/>
      <c r="N1345" s="157"/>
      <c r="O1345" s="157"/>
      <c r="P1345" s="753"/>
      <c r="AK1345" s="40">
        <v>1342.0</v>
      </c>
      <c r="AL1345" s="719" t="s">
        <v>3589</v>
      </c>
      <c r="AM1345" s="720" t="s">
        <v>2156</v>
      </c>
      <c r="AN1345" s="721"/>
      <c r="AO1345" s="722">
        <v>0.0</v>
      </c>
      <c r="AP1345" s="722" t="s">
        <v>2157</v>
      </c>
    </row>
    <row r="1346">
      <c r="A1346" s="159"/>
      <c r="B1346" s="159"/>
      <c r="C1346" s="159"/>
      <c r="D1346" s="159"/>
      <c r="E1346" s="159"/>
      <c r="F1346" s="159"/>
      <c r="G1346" s="159"/>
      <c r="H1346" s="159"/>
      <c r="I1346" s="157"/>
      <c r="J1346" s="157"/>
      <c r="K1346" s="157"/>
      <c r="L1346" s="157"/>
      <c r="M1346" s="157"/>
      <c r="N1346" s="157"/>
      <c r="O1346" s="157"/>
      <c r="P1346" s="753"/>
      <c r="AK1346" s="40">
        <v>1343.0</v>
      </c>
      <c r="AL1346" s="738" t="s">
        <v>3590</v>
      </c>
      <c r="AM1346" s="738" t="s">
        <v>3504</v>
      </c>
      <c r="AN1346" s="738" t="s">
        <v>3505</v>
      </c>
      <c r="AO1346" s="739">
        <v>0.104</v>
      </c>
      <c r="AP1346" s="739" t="s">
        <v>3506</v>
      </c>
    </row>
    <row r="1347">
      <c r="A1347" s="159"/>
      <c r="B1347" s="159"/>
      <c r="C1347" s="159"/>
      <c r="D1347" s="159"/>
      <c r="E1347" s="159"/>
      <c r="F1347" s="159"/>
      <c r="G1347" s="159"/>
      <c r="H1347" s="159"/>
      <c r="I1347" s="157"/>
      <c r="J1347" s="157"/>
      <c r="K1347" s="157"/>
      <c r="L1347" s="157"/>
      <c r="M1347" s="157"/>
      <c r="N1347" s="157"/>
      <c r="O1347" s="157"/>
      <c r="P1347" s="753"/>
      <c r="AK1347" s="40">
        <v>1344.0</v>
      </c>
      <c r="AL1347" s="719" t="s">
        <v>3591</v>
      </c>
      <c r="AM1347" s="720" t="s">
        <v>3508</v>
      </c>
      <c r="AN1347" s="721"/>
      <c r="AO1347" s="722">
        <v>0.108</v>
      </c>
      <c r="AP1347" s="722" t="s">
        <v>3509</v>
      </c>
    </row>
    <row r="1348">
      <c r="A1348" s="159"/>
      <c r="B1348" s="159"/>
      <c r="C1348" s="159"/>
      <c r="D1348" s="159"/>
      <c r="E1348" s="159"/>
      <c r="F1348" s="159"/>
      <c r="G1348" s="159"/>
      <c r="H1348" s="159"/>
      <c r="I1348" s="157"/>
      <c r="J1348" s="157"/>
      <c r="K1348" s="157"/>
      <c r="L1348" s="157"/>
      <c r="M1348" s="157"/>
      <c r="N1348" s="157"/>
      <c r="O1348" s="157"/>
      <c r="P1348" s="753"/>
      <c r="AK1348" s="40">
        <v>1345.0</v>
      </c>
      <c r="AL1348" s="738" t="s">
        <v>3592</v>
      </c>
      <c r="AM1348" s="738" t="s">
        <v>3511</v>
      </c>
      <c r="AN1348" s="745"/>
      <c r="AO1348" s="739">
        <v>0.15</v>
      </c>
      <c r="AP1348" s="739" t="s">
        <v>3512</v>
      </c>
    </row>
    <row r="1349">
      <c r="A1349" s="159"/>
      <c r="B1349" s="159"/>
      <c r="C1349" s="159"/>
      <c r="D1349" s="159"/>
      <c r="E1349" s="159"/>
      <c r="F1349" s="159"/>
      <c r="G1349" s="159"/>
      <c r="H1349" s="159"/>
      <c r="I1349" s="157"/>
      <c r="J1349" s="157"/>
      <c r="K1349" s="157"/>
      <c r="L1349" s="157"/>
      <c r="M1349" s="157"/>
      <c r="N1349" s="157"/>
      <c r="O1349" s="157"/>
      <c r="P1349" s="753"/>
      <c r="AK1349" s="40">
        <v>1346.0</v>
      </c>
      <c r="AL1349" s="719" t="s">
        <v>3593</v>
      </c>
      <c r="AM1349" s="720" t="s">
        <v>3514</v>
      </c>
      <c r="AN1349" s="721"/>
      <c r="AO1349" s="722">
        <v>0.237</v>
      </c>
      <c r="AP1349" s="722" t="s">
        <v>3515</v>
      </c>
    </row>
    <row r="1350">
      <c r="A1350" s="159"/>
      <c r="B1350" s="159"/>
      <c r="C1350" s="159"/>
      <c r="D1350" s="159"/>
      <c r="E1350" s="159"/>
      <c r="F1350" s="159"/>
      <c r="G1350" s="159"/>
      <c r="H1350" s="159"/>
      <c r="I1350" s="157"/>
      <c r="J1350" s="157"/>
      <c r="K1350" s="157"/>
      <c r="L1350" s="157"/>
      <c r="M1350" s="157"/>
      <c r="N1350" s="157"/>
      <c r="O1350" s="157"/>
      <c r="P1350" s="753"/>
      <c r="AK1350" s="40">
        <v>1347.0</v>
      </c>
      <c r="AL1350" s="738" t="s">
        <v>3594</v>
      </c>
      <c r="AM1350" s="738" t="s">
        <v>2624</v>
      </c>
      <c r="AN1350" s="738" t="s">
        <v>2625</v>
      </c>
      <c r="AO1350" s="739">
        <v>0.569</v>
      </c>
      <c r="AP1350" s="739" t="s">
        <v>2626</v>
      </c>
    </row>
    <row r="1351">
      <c r="A1351" s="159"/>
      <c r="B1351" s="159"/>
      <c r="C1351" s="159"/>
      <c r="D1351" s="159"/>
      <c r="E1351" s="159"/>
      <c r="F1351" s="159"/>
      <c r="G1351" s="159"/>
      <c r="H1351" s="159"/>
      <c r="I1351" s="157"/>
      <c r="J1351" s="157"/>
      <c r="K1351" s="157"/>
      <c r="L1351" s="157"/>
      <c r="M1351" s="157"/>
      <c r="N1351" s="157"/>
      <c r="O1351" s="157"/>
      <c r="P1351" s="753"/>
      <c r="AK1351" s="40">
        <v>1348.0</v>
      </c>
      <c r="AL1351" s="719" t="s">
        <v>3595</v>
      </c>
      <c r="AM1351" s="720" t="s">
        <v>3518</v>
      </c>
      <c r="AN1351" s="720" t="s">
        <v>1744</v>
      </c>
      <c r="AO1351" s="722">
        <v>0.57</v>
      </c>
      <c r="AP1351" s="722" t="s">
        <v>3519</v>
      </c>
    </row>
    <row r="1352">
      <c r="A1352" s="159"/>
      <c r="B1352" s="159"/>
      <c r="C1352" s="159"/>
      <c r="D1352" s="159"/>
      <c r="E1352" s="159"/>
      <c r="F1352" s="159"/>
      <c r="G1352" s="159"/>
      <c r="H1352" s="159"/>
      <c r="I1352" s="157"/>
      <c r="J1352" s="157"/>
      <c r="K1352" s="157"/>
      <c r="L1352" s="157"/>
      <c r="M1352" s="157"/>
      <c r="N1352" s="157"/>
      <c r="O1352" s="157"/>
      <c r="P1352" s="753"/>
      <c r="AK1352" s="40">
        <v>1349.0</v>
      </c>
      <c r="AL1352" s="738" t="s">
        <v>3596</v>
      </c>
      <c r="AM1352" s="738" t="s">
        <v>3521</v>
      </c>
      <c r="AN1352" s="738" t="s">
        <v>1744</v>
      </c>
      <c r="AO1352" s="739">
        <v>0.591</v>
      </c>
      <c r="AP1352" s="739" t="s">
        <v>3522</v>
      </c>
    </row>
    <row r="1353">
      <c r="A1353" s="159"/>
      <c r="B1353" s="159"/>
      <c r="C1353" s="159"/>
      <c r="D1353" s="159"/>
      <c r="E1353" s="159"/>
      <c r="F1353" s="159"/>
      <c r="G1353" s="159"/>
      <c r="H1353" s="159"/>
      <c r="I1353" s="157"/>
      <c r="J1353" s="157"/>
      <c r="K1353" s="157"/>
      <c r="L1353" s="157"/>
      <c r="M1353" s="157"/>
      <c r="N1353" s="157"/>
      <c r="O1353" s="157"/>
      <c r="P1353" s="753"/>
      <c r="AK1353" s="40">
        <v>1350.0</v>
      </c>
      <c r="AL1353" s="719" t="s">
        <v>3597</v>
      </c>
      <c r="AM1353" s="720" t="s">
        <v>3524</v>
      </c>
      <c r="AN1353" s="720" t="s">
        <v>1744</v>
      </c>
      <c r="AO1353" s="722">
        <v>0.631</v>
      </c>
      <c r="AP1353" s="722" t="s">
        <v>3525</v>
      </c>
    </row>
    <row r="1354">
      <c r="A1354" s="159"/>
      <c r="B1354" s="159"/>
      <c r="C1354" s="159"/>
      <c r="D1354" s="159"/>
      <c r="E1354" s="159"/>
      <c r="F1354" s="159"/>
      <c r="G1354" s="159"/>
      <c r="H1354" s="159"/>
      <c r="I1354" s="157"/>
      <c r="J1354" s="157"/>
      <c r="K1354" s="157"/>
      <c r="L1354" s="157"/>
      <c r="M1354" s="157"/>
      <c r="N1354" s="157"/>
      <c r="O1354" s="157"/>
      <c r="P1354" s="753"/>
      <c r="AK1354" s="40">
        <v>1351.0</v>
      </c>
      <c r="AL1354" s="738" t="s">
        <v>3598</v>
      </c>
      <c r="AM1354" s="738" t="s">
        <v>2050</v>
      </c>
      <c r="AN1354" s="738" t="s">
        <v>2051</v>
      </c>
      <c r="AO1354" s="739">
        <v>0.051</v>
      </c>
      <c r="AP1354" s="739" t="s">
        <v>2052</v>
      </c>
    </row>
    <row r="1355">
      <c r="A1355" s="159"/>
      <c r="B1355" s="159"/>
      <c r="C1355" s="159"/>
      <c r="D1355" s="159"/>
      <c r="E1355" s="159"/>
      <c r="F1355" s="159"/>
      <c r="G1355" s="159"/>
      <c r="H1355" s="159"/>
      <c r="I1355" s="157"/>
      <c r="J1355" s="157"/>
      <c r="K1355" s="157"/>
      <c r="L1355" s="157"/>
      <c r="M1355" s="157"/>
      <c r="N1355" s="157"/>
      <c r="O1355" s="157"/>
      <c r="P1355" s="753"/>
      <c r="AK1355" s="40">
        <v>1352.0</v>
      </c>
      <c r="AL1355" s="719" t="s">
        <v>3599</v>
      </c>
      <c r="AM1355" s="720" t="s">
        <v>2077</v>
      </c>
      <c r="AN1355" s="720" t="s">
        <v>2078</v>
      </c>
      <c r="AO1355" s="722">
        <v>0.027</v>
      </c>
      <c r="AP1355" s="722" t="s">
        <v>2075</v>
      </c>
    </row>
    <row r="1356">
      <c r="A1356" s="159"/>
      <c r="B1356" s="159"/>
      <c r="C1356" s="159"/>
      <c r="D1356" s="159"/>
      <c r="E1356" s="159"/>
      <c r="F1356" s="159"/>
      <c r="G1356" s="159"/>
      <c r="H1356" s="159"/>
      <c r="I1356" s="157"/>
      <c r="J1356" s="157"/>
      <c r="K1356" s="157"/>
      <c r="L1356" s="157"/>
      <c r="M1356" s="157"/>
      <c r="N1356" s="157"/>
      <c r="O1356" s="157"/>
      <c r="P1356" s="753"/>
      <c r="AK1356" s="40">
        <v>1353.0</v>
      </c>
      <c r="AL1356" s="738" t="s">
        <v>3600</v>
      </c>
      <c r="AM1356" s="738" t="s">
        <v>2179</v>
      </c>
      <c r="AN1356" s="738" t="s">
        <v>2180</v>
      </c>
      <c r="AO1356" s="739">
        <v>0.188</v>
      </c>
      <c r="AP1356" s="739" t="s">
        <v>2181</v>
      </c>
    </row>
    <row r="1357">
      <c r="A1357" s="159"/>
      <c r="B1357" s="159"/>
      <c r="C1357" s="159"/>
      <c r="D1357" s="159"/>
      <c r="E1357" s="159"/>
      <c r="F1357" s="159"/>
      <c r="G1357" s="159"/>
      <c r="H1357" s="159"/>
      <c r="I1357" s="157"/>
      <c r="J1357" s="157"/>
      <c r="K1357" s="157"/>
      <c r="L1357" s="157"/>
      <c r="M1357" s="157"/>
      <c r="N1357" s="157"/>
      <c r="O1357" s="157"/>
      <c r="P1357" s="753"/>
      <c r="AK1357" s="40">
        <v>1354.0</v>
      </c>
      <c r="AL1357" s="719" t="s">
        <v>3601</v>
      </c>
      <c r="AM1357" s="720" t="s">
        <v>2666</v>
      </c>
      <c r="AN1357" s="720" t="s">
        <v>2667</v>
      </c>
      <c r="AO1357" s="722">
        <v>0.576</v>
      </c>
      <c r="AP1357" s="722" t="s">
        <v>2668</v>
      </c>
    </row>
    <row r="1358">
      <c r="A1358" s="159"/>
      <c r="B1358" s="159"/>
      <c r="C1358" s="159"/>
      <c r="D1358" s="159"/>
      <c r="E1358" s="159"/>
      <c r="F1358" s="159"/>
      <c r="G1358" s="159"/>
      <c r="H1358" s="159"/>
      <c r="I1358" s="157"/>
      <c r="J1358" s="157"/>
      <c r="K1358" s="157"/>
      <c r="L1358" s="157"/>
      <c r="M1358" s="157"/>
      <c r="N1358" s="157"/>
      <c r="O1358" s="157"/>
      <c r="P1358" s="753"/>
      <c r="AK1358" s="40">
        <v>1355.0</v>
      </c>
      <c r="AL1358" s="738" t="s">
        <v>3602</v>
      </c>
      <c r="AM1358" s="738" t="s">
        <v>2077</v>
      </c>
      <c r="AN1358" s="738" t="s">
        <v>2078</v>
      </c>
      <c r="AO1358" s="739">
        <v>0.027</v>
      </c>
      <c r="AP1358" s="739" t="s">
        <v>2075</v>
      </c>
    </row>
    <row r="1359">
      <c r="A1359" s="159"/>
      <c r="B1359" s="159"/>
      <c r="C1359" s="159"/>
      <c r="D1359" s="159"/>
      <c r="E1359" s="159"/>
      <c r="F1359" s="159"/>
      <c r="G1359" s="159"/>
      <c r="H1359" s="159"/>
      <c r="I1359" s="157"/>
      <c r="J1359" s="157"/>
      <c r="K1359" s="157"/>
      <c r="L1359" s="157"/>
      <c r="M1359" s="157"/>
      <c r="N1359" s="157"/>
      <c r="O1359" s="157"/>
      <c r="P1359" s="753"/>
      <c r="AK1359" s="40">
        <v>1356.0</v>
      </c>
      <c r="AL1359" s="719" t="s">
        <v>3603</v>
      </c>
      <c r="AM1359" s="720" t="s">
        <v>2179</v>
      </c>
      <c r="AN1359" s="720" t="s">
        <v>2180</v>
      </c>
      <c r="AO1359" s="722">
        <v>0.188</v>
      </c>
      <c r="AP1359" s="722" t="s">
        <v>2181</v>
      </c>
    </row>
    <row r="1360">
      <c r="A1360" s="159"/>
      <c r="B1360" s="159"/>
      <c r="C1360" s="159"/>
      <c r="D1360" s="159"/>
      <c r="E1360" s="159"/>
      <c r="F1360" s="159"/>
      <c r="G1360" s="159"/>
      <c r="H1360" s="159"/>
      <c r="I1360" s="157"/>
      <c r="J1360" s="157"/>
      <c r="K1360" s="157"/>
      <c r="L1360" s="157"/>
      <c r="M1360" s="157"/>
      <c r="N1360" s="157"/>
      <c r="O1360" s="157"/>
      <c r="P1360" s="753"/>
      <c r="AK1360" s="40">
        <v>1357.0</v>
      </c>
      <c r="AL1360" s="738" t="s">
        <v>3604</v>
      </c>
      <c r="AM1360" s="738" t="s">
        <v>2156</v>
      </c>
      <c r="AN1360" s="745"/>
      <c r="AO1360" s="739">
        <v>0.0</v>
      </c>
      <c r="AP1360" s="739" t="s">
        <v>2157</v>
      </c>
    </row>
    <row r="1361">
      <c r="A1361" s="159"/>
      <c r="B1361" s="159"/>
      <c r="C1361" s="159"/>
      <c r="D1361" s="159"/>
      <c r="E1361" s="159"/>
      <c r="F1361" s="159"/>
      <c r="G1361" s="159"/>
      <c r="H1361" s="159"/>
      <c r="I1361" s="157"/>
      <c r="J1361" s="157"/>
      <c r="K1361" s="157"/>
      <c r="L1361" s="157"/>
      <c r="M1361" s="157"/>
      <c r="N1361" s="157"/>
      <c r="O1361" s="157"/>
      <c r="P1361" s="753"/>
      <c r="AK1361" s="40">
        <v>1358.0</v>
      </c>
      <c r="AL1361" s="719" t="s">
        <v>3605</v>
      </c>
      <c r="AM1361" s="720" t="s">
        <v>2077</v>
      </c>
      <c r="AN1361" s="720" t="s">
        <v>2078</v>
      </c>
      <c r="AO1361" s="722">
        <v>0.027</v>
      </c>
      <c r="AP1361" s="722" t="s">
        <v>2075</v>
      </c>
    </row>
    <row r="1362">
      <c r="A1362" s="159"/>
      <c r="B1362" s="159"/>
      <c r="C1362" s="159"/>
      <c r="D1362" s="159"/>
      <c r="E1362" s="159"/>
      <c r="F1362" s="159"/>
      <c r="G1362" s="159"/>
      <c r="H1362" s="159"/>
      <c r="I1362" s="157"/>
      <c r="J1362" s="157"/>
      <c r="K1362" s="157"/>
      <c r="L1362" s="157"/>
      <c r="M1362" s="157"/>
      <c r="N1362" s="157"/>
      <c r="O1362" s="157"/>
      <c r="P1362" s="753"/>
      <c r="AK1362" s="40">
        <v>1359.0</v>
      </c>
      <c r="AL1362" s="738" t="s">
        <v>3606</v>
      </c>
      <c r="AM1362" s="738" t="s">
        <v>2156</v>
      </c>
      <c r="AN1362" s="745"/>
      <c r="AO1362" s="739">
        <v>0.0</v>
      </c>
      <c r="AP1362" s="739" t="s">
        <v>2157</v>
      </c>
    </row>
    <row r="1363">
      <c r="A1363" s="159"/>
      <c r="B1363" s="159"/>
      <c r="C1363" s="159"/>
      <c r="D1363" s="159"/>
      <c r="E1363" s="159"/>
      <c r="F1363" s="159"/>
      <c r="G1363" s="159"/>
      <c r="H1363" s="159"/>
      <c r="I1363" s="157"/>
      <c r="J1363" s="157"/>
      <c r="K1363" s="157"/>
      <c r="L1363" s="157"/>
      <c r="M1363" s="157"/>
      <c r="N1363" s="157"/>
      <c r="O1363" s="157"/>
      <c r="P1363" s="753"/>
      <c r="AK1363" s="40">
        <v>1360.0</v>
      </c>
      <c r="AL1363" s="719" t="s">
        <v>3607</v>
      </c>
      <c r="AM1363" s="720" t="s">
        <v>2077</v>
      </c>
      <c r="AN1363" s="720" t="s">
        <v>2078</v>
      </c>
      <c r="AO1363" s="722">
        <v>0.027</v>
      </c>
      <c r="AP1363" s="722" t="s">
        <v>2075</v>
      </c>
    </row>
    <row r="1364">
      <c r="A1364" s="159"/>
      <c r="B1364" s="159"/>
      <c r="C1364" s="159"/>
      <c r="D1364" s="159"/>
      <c r="E1364" s="159"/>
      <c r="F1364" s="159"/>
      <c r="G1364" s="159"/>
      <c r="H1364" s="159"/>
      <c r="I1364" s="157"/>
      <c r="J1364" s="157"/>
      <c r="K1364" s="157"/>
      <c r="L1364" s="157"/>
      <c r="M1364" s="157"/>
      <c r="N1364" s="157"/>
      <c r="O1364" s="157"/>
      <c r="P1364" s="753"/>
      <c r="AK1364" s="40">
        <v>1361.0</v>
      </c>
      <c r="AL1364" s="738" t="s">
        <v>3608</v>
      </c>
      <c r="AM1364" s="738" t="s">
        <v>2179</v>
      </c>
      <c r="AN1364" s="738" t="s">
        <v>2180</v>
      </c>
      <c r="AO1364" s="739">
        <v>0.188</v>
      </c>
      <c r="AP1364" s="739" t="s">
        <v>2181</v>
      </c>
    </row>
    <row r="1365">
      <c r="A1365" s="159"/>
      <c r="B1365" s="159"/>
      <c r="C1365" s="159"/>
      <c r="D1365" s="159"/>
      <c r="E1365" s="159"/>
      <c r="F1365" s="159"/>
      <c r="G1365" s="159"/>
      <c r="H1365" s="159"/>
      <c r="I1365" s="157"/>
      <c r="J1365" s="157"/>
      <c r="K1365" s="157"/>
      <c r="L1365" s="157"/>
      <c r="M1365" s="157"/>
      <c r="N1365" s="157"/>
      <c r="O1365" s="157"/>
      <c r="P1365" s="753"/>
      <c r="AK1365" s="40">
        <v>1362.0</v>
      </c>
      <c r="AL1365" s="719" t="s">
        <v>3609</v>
      </c>
      <c r="AM1365" s="720" t="s">
        <v>2666</v>
      </c>
      <c r="AN1365" s="720" t="s">
        <v>2667</v>
      </c>
      <c r="AO1365" s="722">
        <v>0.576</v>
      </c>
      <c r="AP1365" s="722" t="s">
        <v>2668</v>
      </c>
    </row>
    <row r="1366">
      <c r="A1366" s="159"/>
      <c r="B1366" s="159"/>
      <c r="C1366" s="159"/>
      <c r="D1366" s="159"/>
      <c r="E1366" s="159"/>
      <c r="F1366" s="159"/>
      <c r="G1366" s="159"/>
      <c r="H1366" s="159"/>
      <c r="I1366" s="157"/>
      <c r="J1366" s="157"/>
      <c r="K1366" s="157"/>
      <c r="L1366" s="157"/>
      <c r="M1366" s="157"/>
      <c r="N1366" s="157"/>
      <c r="O1366" s="157"/>
      <c r="P1366" s="753"/>
      <c r="AK1366" s="40">
        <v>1363.0</v>
      </c>
      <c r="AL1366" s="738" t="s">
        <v>3610</v>
      </c>
      <c r="AM1366" s="738" t="s">
        <v>2131</v>
      </c>
      <c r="AN1366" s="738" t="s">
        <v>2132</v>
      </c>
      <c r="AO1366" s="739">
        <v>0.006</v>
      </c>
      <c r="AP1366" s="739" t="s">
        <v>2133</v>
      </c>
    </row>
    <row r="1367">
      <c r="A1367" s="159"/>
      <c r="B1367" s="159"/>
      <c r="C1367" s="159"/>
      <c r="D1367" s="159"/>
      <c r="E1367" s="159"/>
      <c r="F1367" s="159"/>
      <c r="G1367" s="159"/>
      <c r="H1367" s="159"/>
      <c r="I1367" s="157"/>
      <c r="J1367" s="157"/>
      <c r="K1367" s="157"/>
      <c r="L1367" s="157"/>
      <c r="M1367" s="157"/>
      <c r="N1367" s="157"/>
      <c r="O1367" s="157"/>
      <c r="P1367" s="753"/>
      <c r="AK1367" s="40">
        <v>1364.0</v>
      </c>
      <c r="AL1367" s="719" t="s">
        <v>3611</v>
      </c>
      <c r="AM1367" s="720" t="s">
        <v>2050</v>
      </c>
      <c r="AN1367" s="720" t="s">
        <v>2051</v>
      </c>
      <c r="AO1367" s="722">
        <v>0.051</v>
      </c>
      <c r="AP1367" s="722" t="s">
        <v>2052</v>
      </c>
    </row>
    <row r="1368">
      <c r="A1368" s="159"/>
      <c r="B1368" s="159"/>
      <c r="C1368" s="159"/>
      <c r="D1368" s="159"/>
      <c r="E1368" s="159"/>
      <c r="F1368" s="159"/>
      <c r="G1368" s="159"/>
      <c r="H1368" s="159"/>
      <c r="I1368" s="157"/>
      <c r="J1368" s="157"/>
      <c r="K1368" s="157"/>
      <c r="L1368" s="157"/>
      <c r="M1368" s="157"/>
      <c r="N1368" s="157"/>
      <c r="O1368" s="157"/>
      <c r="P1368" s="753"/>
      <c r="AK1368" s="40">
        <v>1365.0</v>
      </c>
      <c r="AL1368" s="738" t="s">
        <v>3612</v>
      </c>
      <c r="AM1368" s="738" t="s">
        <v>1952</v>
      </c>
      <c r="AN1368" s="738" t="s">
        <v>1953</v>
      </c>
      <c r="AO1368" s="739">
        <v>0.133</v>
      </c>
      <c r="AP1368" s="739" t="s">
        <v>1954</v>
      </c>
    </row>
    <row r="1369">
      <c r="A1369" s="159"/>
      <c r="B1369" s="159"/>
      <c r="C1369" s="159"/>
      <c r="D1369" s="159"/>
      <c r="E1369" s="159"/>
      <c r="F1369" s="159"/>
      <c r="G1369" s="159"/>
      <c r="H1369" s="159"/>
      <c r="I1369" s="157"/>
      <c r="J1369" s="157"/>
      <c r="K1369" s="157"/>
      <c r="L1369" s="157"/>
      <c r="M1369" s="157"/>
      <c r="N1369" s="157"/>
      <c r="O1369" s="157"/>
      <c r="P1369" s="753"/>
      <c r="AK1369" s="40">
        <v>1366.0</v>
      </c>
      <c r="AL1369" s="719" t="s">
        <v>3613</v>
      </c>
      <c r="AM1369" s="720" t="s">
        <v>2131</v>
      </c>
      <c r="AN1369" s="720" t="s">
        <v>2132</v>
      </c>
      <c r="AO1369" s="722">
        <v>0.006</v>
      </c>
      <c r="AP1369" s="722" t="s">
        <v>2133</v>
      </c>
    </row>
    <row r="1370">
      <c r="A1370" s="159"/>
      <c r="B1370" s="159"/>
      <c r="C1370" s="159"/>
      <c r="D1370" s="159"/>
      <c r="E1370" s="159"/>
      <c r="F1370" s="159"/>
      <c r="G1370" s="159"/>
      <c r="H1370" s="159"/>
      <c r="I1370" s="157"/>
      <c r="J1370" s="157"/>
      <c r="K1370" s="157"/>
      <c r="L1370" s="157"/>
      <c r="M1370" s="157"/>
      <c r="N1370" s="157"/>
      <c r="O1370" s="157"/>
      <c r="P1370" s="753"/>
      <c r="AK1370" s="40">
        <v>1367.0</v>
      </c>
      <c r="AL1370" s="738" t="s">
        <v>3614</v>
      </c>
      <c r="AM1370" s="738" t="s">
        <v>2131</v>
      </c>
      <c r="AN1370" s="738" t="s">
        <v>2132</v>
      </c>
      <c r="AO1370" s="739">
        <v>0.006</v>
      </c>
      <c r="AP1370" s="739" t="s">
        <v>2133</v>
      </c>
    </row>
    <row r="1371">
      <c r="A1371" s="159"/>
      <c r="B1371" s="159"/>
      <c r="C1371" s="159"/>
      <c r="D1371" s="159"/>
      <c r="E1371" s="159"/>
      <c r="F1371" s="159"/>
      <c r="G1371" s="159"/>
      <c r="H1371" s="159"/>
      <c r="I1371" s="157"/>
      <c r="J1371" s="157"/>
      <c r="K1371" s="157"/>
      <c r="L1371" s="157"/>
      <c r="M1371" s="157"/>
      <c r="N1371" s="157"/>
      <c r="O1371" s="157"/>
      <c r="P1371" s="753"/>
      <c r="AK1371" s="40">
        <v>1368.0</v>
      </c>
      <c r="AL1371" s="719" t="s">
        <v>3615</v>
      </c>
      <c r="AM1371" s="720" t="s">
        <v>2077</v>
      </c>
      <c r="AN1371" s="720" t="s">
        <v>2078</v>
      </c>
      <c r="AO1371" s="722">
        <v>0.027</v>
      </c>
      <c r="AP1371" s="722" t="s">
        <v>2075</v>
      </c>
    </row>
    <row r="1372">
      <c r="A1372" s="159"/>
      <c r="B1372" s="159"/>
      <c r="C1372" s="159"/>
      <c r="D1372" s="159"/>
      <c r="E1372" s="159"/>
      <c r="F1372" s="159"/>
      <c r="G1372" s="159"/>
      <c r="H1372" s="159"/>
      <c r="I1372" s="157"/>
      <c r="J1372" s="157"/>
      <c r="K1372" s="157"/>
      <c r="L1372" s="157"/>
      <c r="M1372" s="157"/>
      <c r="N1372" s="157"/>
      <c r="O1372" s="157"/>
      <c r="P1372" s="753"/>
      <c r="AK1372" s="40">
        <v>1369.0</v>
      </c>
      <c r="AL1372" s="738" t="s">
        <v>3616</v>
      </c>
      <c r="AM1372" s="738" t="s">
        <v>2131</v>
      </c>
      <c r="AN1372" s="738" t="s">
        <v>2132</v>
      </c>
      <c r="AO1372" s="739">
        <v>0.006</v>
      </c>
      <c r="AP1372" s="739" t="s">
        <v>2133</v>
      </c>
    </row>
    <row r="1373">
      <c r="A1373" s="159"/>
      <c r="B1373" s="159"/>
      <c r="C1373" s="159"/>
      <c r="D1373" s="159"/>
      <c r="E1373" s="159"/>
      <c r="F1373" s="159"/>
      <c r="G1373" s="159"/>
      <c r="H1373" s="159"/>
      <c r="I1373" s="157"/>
      <c r="J1373" s="157"/>
      <c r="K1373" s="157"/>
      <c r="L1373" s="157"/>
      <c r="M1373" s="157"/>
      <c r="N1373" s="157"/>
      <c r="O1373" s="157"/>
      <c r="P1373" s="753"/>
      <c r="AK1373" s="40">
        <v>1370.0</v>
      </c>
      <c r="AL1373" s="719" t="s">
        <v>3617</v>
      </c>
      <c r="AM1373" s="720" t="s">
        <v>2131</v>
      </c>
      <c r="AN1373" s="720" t="s">
        <v>2132</v>
      </c>
      <c r="AO1373" s="722">
        <v>0.006</v>
      </c>
      <c r="AP1373" s="722" t="s">
        <v>2133</v>
      </c>
    </row>
    <row r="1374">
      <c r="A1374" s="159"/>
      <c r="B1374" s="159"/>
      <c r="C1374" s="159"/>
      <c r="D1374" s="159"/>
      <c r="E1374" s="159"/>
      <c r="F1374" s="159"/>
      <c r="G1374" s="159"/>
      <c r="H1374" s="159"/>
      <c r="I1374" s="157"/>
      <c r="J1374" s="157"/>
      <c r="K1374" s="157"/>
      <c r="L1374" s="157"/>
      <c r="M1374" s="157"/>
      <c r="N1374" s="157"/>
      <c r="O1374" s="157"/>
      <c r="P1374" s="753"/>
      <c r="AK1374" s="40">
        <v>1371.0</v>
      </c>
      <c r="AL1374" s="738" t="s">
        <v>3618</v>
      </c>
      <c r="AM1374" s="738" t="s">
        <v>2131</v>
      </c>
      <c r="AN1374" s="738" t="s">
        <v>2132</v>
      </c>
      <c r="AO1374" s="739">
        <v>0.006</v>
      </c>
      <c r="AP1374" s="739" t="s">
        <v>2133</v>
      </c>
    </row>
    <row r="1375">
      <c r="A1375" s="159"/>
      <c r="B1375" s="159"/>
      <c r="C1375" s="159"/>
      <c r="D1375" s="159"/>
      <c r="E1375" s="159"/>
      <c r="F1375" s="159"/>
      <c r="G1375" s="159"/>
      <c r="H1375" s="159"/>
      <c r="I1375" s="157"/>
      <c r="J1375" s="157"/>
      <c r="K1375" s="157"/>
      <c r="L1375" s="157"/>
      <c r="M1375" s="157"/>
      <c r="N1375" s="157"/>
      <c r="O1375" s="157"/>
      <c r="P1375" s="753"/>
      <c r="AK1375" s="40">
        <v>1372.0</v>
      </c>
      <c r="AL1375" s="719" t="s">
        <v>3619</v>
      </c>
      <c r="AM1375" s="720" t="s">
        <v>2024</v>
      </c>
      <c r="AN1375" s="720" t="s">
        <v>2025</v>
      </c>
      <c r="AO1375" s="722">
        <v>0.067</v>
      </c>
      <c r="AP1375" s="722" t="s">
        <v>2026</v>
      </c>
    </row>
    <row r="1376">
      <c r="A1376" s="159"/>
      <c r="B1376" s="159"/>
      <c r="C1376" s="159"/>
      <c r="D1376" s="159"/>
      <c r="E1376" s="159"/>
      <c r="F1376" s="159"/>
      <c r="G1376" s="159"/>
      <c r="H1376" s="159"/>
      <c r="I1376" s="157"/>
      <c r="J1376" s="157"/>
      <c r="K1376" s="157"/>
      <c r="L1376" s="157"/>
      <c r="M1376" s="157"/>
      <c r="N1376" s="157"/>
      <c r="O1376" s="157"/>
      <c r="P1376" s="753"/>
      <c r="AK1376" s="40">
        <v>1373.0</v>
      </c>
      <c r="AL1376" s="738" t="s">
        <v>3620</v>
      </c>
      <c r="AM1376" s="738" t="s">
        <v>2131</v>
      </c>
      <c r="AN1376" s="738" t="s">
        <v>2132</v>
      </c>
      <c r="AO1376" s="739">
        <v>0.006</v>
      </c>
      <c r="AP1376" s="739" t="s">
        <v>2133</v>
      </c>
    </row>
    <row r="1377">
      <c r="A1377" s="159"/>
      <c r="B1377" s="159"/>
      <c r="C1377" s="159"/>
      <c r="D1377" s="159"/>
      <c r="E1377" s="159"/>
      <c r="F1377" s="159"/>
      <c r="G1377" s="159"/>
      <c r="H1377" s="159"/>
      <c r="I1377" s="157"/>
      <c r="J1377" s="157"/>
      <c r="K1377" s="157"/>
      <c r="L1377" s="157"/>
      <c r="M1377" s="157"/>
      <c r="N1377" s="157"/>
      <c r="O1377" s="157"/>
      <c r="P1377" s="753"/>
      <c r="AK1377" s="40">
        <v>1374.0</v>
      </c>
      <c r="AL1377" s="719" t="s">
        <v>3621</v>
      </c>
      <c r="AM1377" s="720" t="s">
        <v>2024</v>
      </c>
      <c r="AN1377" s="720" t="s">
        <v>2025</v>
      </c>
      <c r="AO1377" s="722">
        <v>0.067</v>
      </c>
      <c r="AP1377" s="722" t="s">
        <v>2026</v>
      </c>
    </row>
    <row r="1378">
      <c r="A1378" s="159"/>
      <c r="B1378" s="159"/>
      <c r="C1378" s="159"/>
      <c r="D1378" s="159"/>
      <c r="E1378" s="159"/>
      <c r="F1378" s="159"/>
      <c r="G1378" s="159"/>
      <c r="H1378" s="159"/>
      <c r="I1378" s="157"/>
      <c r="J1378" s="157"/>
      <c r="K1378" s="157"/>
      <c r="L1378" s="157"/>
      <c r="M1378" s="157"/>
      <c r="N1378" s="157"/>
      <c r="O1378" s="157"/>
      <c r="P1378" s="753"/>
      <c r="AK1378" s="40">
        <v>1375.0</v>
      </c>
      <c r="AL1378" s="738" t="s">
        <v>3622</v>
      </c>
      <c r="AM1378" s="738" t="s">
        <v>2113</v>
      </c>
      <c r="AN1378" s="738" t="s">
        <v>2114</v>
      </c>
      <c r="AO1378" s="739">
        <v>0.011</v>
      </c>
      <c r="AP1378" s="739" t="s">
        <v>2107</v>
      </c>
    </row>
    <row r="1379">
      <c r="A1379" s="159"/>
      <c r="B1379" s="159"/>
      <c r="C1379" s="159"/>
      <c r="D1379" s="159"/>
      <c r="E1379" s="159"/>
      <c r="F1379" s="159"/>
      <c r="G1379" s="159"/>
      <c r="H1379" s="159"/>
      <c r="I1379" s="157"/>
      <c r="J1379" s="157"/>
      <c r="K1379" s="157"/>
      <c r="L1379" s="157"/>
      <c r="M1379" s="157"/>
      <c r="N1379" s="157"/>
      <c r="O1379" s="157"/>
      <c r="P1379" s="753"/>
      <c r="AK1379" s="40">
        <v>1376.0</v>
      </c>
      <c r="AL1379" s="719" t="s">
        <v>3623</v>
      </c>
      <c r="AM1379" s="720" t="s">
        <v>2113</v>
      </c>
      <c r="AN1379" s="720" t="s">
        <v>2114</v>
      </c>
      <c r="AO1379" s="722">
        <v>0.011</v>
      </c>
      <c r="AP1379" s="722" t="s">
        <v>2107</v>
      </c>
    </row>
    <row r="1380">
      <c r="A1380" s="159"/>
      <c r="B1380" s="159"/>
      <c r="C1380" s="159"/>
      <c r="D1380" s="159"/>
      <c r="E1380" s="159"/>
      <c r="F1380" s="159"/>
      <c r="G1380" s="159"/>
      <c r="H1380" s="159"/>
      <c r="I1380" s="157"/>
      <c r="J1380" s="157"/>
      <c r="K1380" s="157"/>
      <c r="L1380" s="157"/>
      <c r="M1380" s="157"/>
      <c r="N1380" s="157"/>
      <c r="O1380" s="157"/>
      <c r="P1380" s="753"/>
      <c r="AK1380" s="40">
        <v>1377.0</v>
      </c>
      <c r="AL1380" s="738" t="s">
        <v>3624</v>
      </c>
      <c r="AM1380" s="738" t="s">
        <v>2024</v>
      </c>
      <c r="AN1380" s="738" t="s">
        <v>2025</v>
      </c>
      <c r="AO1380" s="739">
        <v>0.067</v>
      </c>
      <c r="AP1380" s="739" t="s">
        <v>2026</v>
      </c>
    </row>
    <row r="1381">
      <c r="A1381" s="159"/>
      <c r="B1381" s="159"/>
      <c r="C1381" s="159"/>
      <c r="D1381" s="159"/>
      <c r="E1381" s="159"/>
      <c r="F1381" s="159"/>
      <c r="G1381" s="159"/>
      <c r="H1381" s="159"/>
      <c r="I1381" s="157"/>
      <c r="J1381" s="157"/>
      <c r="K1381" s="157"/>
      <c r="L1381" s="157"/>
      <c r="M1381" s="157"/>
      <c r="N1381" s="157"/>
      <c r="O1381" s="157"/>
      <c r="P1381" s="753"/>
      <c r="AK1381" s="40">
        <v>1378.0</v>
      </c>
      <c r="AL1381" s="719" t="s">
        <v>3625</v>
      </c>
      <c r="AM1381" s="720" t="s">
        <v>1830</v>
      </c>
      <c r="AN1381" s="720" t="s">
        <v>1831</v>
      </c>
      <c r="AO1381" s="722">
        <v>0.405</v>
      </c>
      <c r="AP1381" s="722" t="s">
        <v>1832</v>
      </c>
    </row>
    <row r="1382">
      <c r="A1382" s="159"/>
      <c r="B1382" s="159"/>
      <c r="C1382" s="159"/>
      <c r="D1382" s="159"/>
      <c r="E1382" s="159"/>
      <c r="F1382" s="159"/>
      <c r="G1382" s="159"/>
      <c r="H1382" s="159"/>
      <c r="I1382" s="157"/>
      <c r="J1382" s="157"/>
      <c r="K1382" s="157"/>
      <c r="L1382" s="157"/>
      <c r="M1382" s="157"/>
      <c r="N1382" s="157"/>
      <c r="O1382" s="157"/>
      <c r="P1382" s="753"/>
      <c r="AK1382" s="40">
        <v>1379.0</v>
      </c>
      <c r="AL1382" s="738" t="s">
        <v>3626</v>
      </c>
      <c r="AM1382" s="738" t="s">
        <v>2113</v>
      </c>
      <c r="AN1382" s="738" t="s">
        <v>2114</v>
      </c>
      <c r="AO1382" s="739">
        <v>0.011</v>
      </c>
      <c r="AP1382" s="739" t="s">
        <v>2107</v>
      </c>
    </row>
    <row r="1383">
      <c r="A1383" s="159"/>
      <c r="B1383" s="159"/>
      <c r="C1383" s="159"/>
      <c r="D1383" s="159"/>
      <c r="E1383" s="159"/>
      <c r="F1383" s="159"/>
      <c r="G1383" s="159"/>
      <c r="H1383" s="159"/>
      <c r="I1383" s="157"/>
      <c r="J1383" s="157"/>
      <c r="K1383" s="157"/>
      <c r="L1383" s="157"/>
      <c r="M1383" s="157"/>
      <c r="N1383" s="157"/>
      <c r="O1383" s="157"/>
      <c r="P1383" s="753"/>
      <c r="AK1383" s="40">
        <v>1380.0</v>
      </c>
      <c r="AL1383" s="719" t="s">
        <v>3627</v>
      </c>
      <c r="AM1383" s="720" t="s">
        <v>2024</v>
      </c>
      <c r="AN1383" s="720" t="s">
        <v>2025</v>
      </c>
      <c r="AO1383" s="722">
        <v>0.067</v>
      </c>
      <c r="AP1383" s="722" t="s">
        <v>2026</v>
      </c>
    </row>
    <row r="1384">
      <c r="A1384" s="159"/>
      <c r="B1384" s="159"/>
      <c r="C1384" s="159"/>
      <c r="D1384" s="159"/>
      <c r="E1384" s="159"/>
      <c r="F1384" s="159"/>
      <c r="G1384" s="159"/>
      <c r="H1384" s="159"/>
      <c r="I1384" s="157"/>
      <c r="J1384" s="157"/>
      <c r="K1384" s="157"/>
      <c r="L1384" s="157"/>
      <c r="M1384" s="157"/>
      <c r="N1384" s="157"/>
      <c r="O1384" s="157"/>
      <c r="P1384" s="753"/>
      <c r="AK1384" s="40">
        <v>1381.0</v>
      </c>
      <c r="AL1384" s="738" t="s">
        <v>3628</v>
      </c>
      <c r="AM1384" s="738" t="s">
        <v>2113</v>
      </c>
      <c r="AN1384" s="738" t="s">
        <v>2114</v>
      </c>
      <c r="AO1384" s="739">
        <v>0.011</v>
      </c>
      <c r="AP1384" s="739" t="s">
        <v>2107</v>
      </c>
    </row>
    <row r="1385">
      <c r="A1385" s="159"/>
      <c r="B1385" s="159"/>
      <c r="C1385" s="159"/>
      <c r="D1385" s="159"/>
      <c r="E1385" s="159"/>
      <c r="F1385" s="159"/>
      <c r="G1385" s="159"/>
      <c r="H1385" s="159"/>
      <c r="I1385" s="157"/>
      <c r="J1385" s="157"/>
      <c r="K1385" s="157"/>
      <c r="L1385" s="157"/>
      <c r="M1385" s="157"/>
      <c r="N1385" s="157"/>
      <c r="O1385" s="157"/>
      <c r="P1385" s="753"/>
      <c r="AK1385" s="40">
        <v>1382.0</v>
      </c>
      <c r="AL1385" s="719" t="s">
        <v>3629</v>
      </c>
      <c r="AM1385" s="720" t="s">
        <v>2077</v>
      </c>
      <c r="AN1385" s="720" t="s">
        <v>2078</v>
      </c>
      <c r="AO1385" s="722">
        <v>0.027</v>
      </c>
      <c r="AP1385" s="722" t="s">
        <v>2075</v>
      </c>
    </row>
    <row r="1386">
      <c r="A1386" s="159"/>
      <c r="B1386" s="159"/>
      <c r="C1386" s="159"/>
      <c r="D1386" s="159"/>
      <c r="E1386" s="159"/>
      <c r="F1386" s="159"/>
      <c r="G1386" s="159"/>
      <c r="H1386" s="159"/>
      <c r="I1386" s="157"/>
      <c r="J1386" s="157"/>
      <c r="K1386" s="157"/>
      <c r="L1386" s="157"/>
      <c r="M1386" s="157"/>
      <c r="N1386" s="157"/>
      <c r="O1386" s="157"/>
      <c r="P1386" s="753"/>
      <c r="AK1386" s="40">
        <v>1383.0</v>
      </c>
      <c r="AL1386" s="738" t="s">
        <v>3630</v>
      </c>
      <c r="AM1386" s="738" t="s">
        <v>2179</v>
      </c>
      <c r="AN1386" s="738" t="s">
        <v>2180</v>
      </c>
      <c r="AO1386" s="739">
        <v>0.188</v>
      </c>
      <c r="AP1386" s="739" t="s">
        <v>2181</v>
      </c>
    </row>
    <row r="1387">
      <c r="A1387" s="159"/>
      <c r="B1387" s="159"/>
      <c r="C1387" s="159"/>
      <c r="D1387" s="159"/>
      <c r="E1387" s="159"/>
      <c r="F1387" s="159"/>
      <c r="G1387" s="159"/>
      <c r="H1387" s="159"/>
      <c r="I1387" s="157"/>
      <c r="J1387" s="157"/>
      <c r="K1387" s="157"/>
      <c r="L1387" s="157"/>
      <c r="M1387" s="157"/>
      <c r="N1387" s="157"/>
      <c r="O1387" s="157"/>
      <c r="P1387" s="753"/>
      <c r="AK1387" s="40">
        <v>1384.0</v>
      </c>
      <c r="AL1387" s="719" t="s">
        <v>3631</v>
      </c>
      <c r="AM1387" s="720" t="s">
        <v>2077</v>
      </c>
      <c r="AN1387" s="720" t="s">
        <v>2078</v>
      </c>
      <c r="AO1387" s="722">
        <v>0.027</v>
      </c>
      <c r="AP1387" s="722" t="s">
        <v>2075</v>
      </c>
    </row>
    <row r="1388">
      <c r="A1388" s="159"/>
      <c r="B1388" s="159"/>
      <c r="C1388" s="159"/>
      <c r="D1388" s="159"/>
      <c r="E1388" s="159"/>
      <c r="F1388" s="159"/>
      <c r="G1388" s="159"/>
      <c r="H1388" s="159"/>
      <c r="I1388" s="157"/>
      <c r="J1388" s="157"/>
      <c r="K1388" s="157"/>
      <c r="L1388" s="157"/>
      <c r="M1388" s="157"/>
      <c r="N1388" s="157"/>
      <c r="O1388" s="157"/>
      <c r="P1388" s="753"/>
      <c r="AK1388" s="40">
        <v>1385.0</v>
      </c>
      <c r="AL1388" s="738" t="s">
        <v>3632</v>
      </c>
      <c r="AM1388" s="738" t="s">
        <v>2179</v>
      </c>
      <c r="AN1388" s="738" t="s">
        <v>2180</v>
      </c>
      <c r="AO1388" s="739">
        <v>0.188</v>
      </c>
      <c r="AP1388" s="739" t="s">
        <v>2181</v>
      </c>
    </row>
    <row r="1389">
      <c r="A1389" s="159"/>
      <c r="B1389" s="159"/>
      <c r="C1389" s="159"/>
      <c r="D1389" s="159"/>
      <c r="E1389" s="159"/>
      <c r="F1389" s="159"/>
      <c r="G1389" s="159"/>
      <c r="H1389" s="159"/>
      <c r="I1389" s="157"/>
      <c r="J1389" s="157"/>
      <c r="K1389" s="157"/>
      <c r="L1389" s="157"/>
      <c r="M1389" s="157"/>
      <c r="N1389" s="157"/>
      <c r="O1389" s="157"/>
      <c r="P1389" s="753"/>
      <c r="AK1389" s="40">
        <v>1386.0</v>
      </c>
      <c r="AL1389" s="719" t="s">
        <v>3633</v>
      </c>
      <c r="AM1389" s="720" t="s">
        <v>2666</v>
      </c>
      <c r="AN1389" s="720" t="s">
        <v>2667</v>
      </c>
      <c r="AO1389" s="722">
        <v>0.576</v>
      </c>
      <c r="AP1389" s="722" t="s">
        <v>2668</v>
      </c>
    </row>
    <row r="1390">
      <c r="A1390" s="159"/>
      <c r="B1390" s="159"/>
      <c r="C1390" s="159"/>
      <c r="D1390" s="159"/>
      <c r="E1390" s="159"/>
      <c r="F1390" s="159"/>
      <c r="G1390" s="159"/>
      <c r="H1390" s="159"/>
      <c r="I1390" s="157"/>
      <c r="J1390" s="157"/>
      <c r="K1390" s="157"/>
      <c r="L1390" s="157"/>
      <c r="M1390" s="157"/>
      <c r="N1390" s="157"/>
      <c r="O1390" s="157"/>
      <c r="P1390" s="753"/>
      <c r="AK1390" s="40">
        <v>1387.0</v>
      </c>
      <c r="AL1390" s="738" t="s">
        <v>3634</v>
      </c>
      <c r="AM1390" s="738" t="s">
        <v>2113</v>
      </c>
      <c r="AN1390" s="738" t="s">
        <v>2114</v>
      </c>
      <c r="AO1390" s="739">
        <v>0.011</v>
      </c>
      <c r="AP1390" s="739" t="s">
        <v>2107</v>
      </c>
    </row>
    <row r="1391">
      <c r="A1391" s="159"/>
      <c r="B1391" s="159"/>
      <c r="C1391" s="159"/>
      <c r="D1391" s="159"/>
      <c r="E1391" s="159"/>
      <c r="F1391" s="159"/>
      <c r="G1391" s="159"/>
      <c r="H1391" s="159"/>
      <c r="I1391" s="157"/>
      <c r="J1391" s="157"/>
      <c r="K1391" s="157"/>
      <c r="L1391" s="157"/>
      <c r="M1391" s="157"/>
      <c r="N1391" s="157"/>
      <c r="O1391" s="157"/>
      <c r="P1391" s="753"/>
      <c r="AK1391" s="40">
        <v>1388.0</v>
      </c>
      <c r="AL1391" s="719" t="s">
        <v>3635</v>
      </c>
      <c r="AM1391" s="720" t="s">
        <v>2156</v>
      </c>
      <c r="AN1391" s="721"/>
      <c r="AO1391" s="722">
        <v>0.0</v>
      </c>
      <c r="AP1391" s="722" t="s">
        <v>2157</v>
      </c>
    </row>
    <row r="1392">
      <c r="A1392" s="159"/>
      <c r="B1392" s="159"/>
      <c r="C1392" s="159"/>
      <c r="D1392" s="159"/>
      <c r="E1392" s="159"/>
      <c r="F1392" s="159"/>
      <c r="G1392" s="159"/>
      <c r="H1392" s="159"/>
      <c r="I1392" s="157"/>
      <c r="J1392" s="157"/>
      <c r="K1392" s="157"/>
      <c r="L1392" s="157"/>
      <c r="M1392" s="157"/>
      <c r="N1392" s="157"/>
      <c r="O1392" s="157"/>
      <c r="P1392" s="753"/>
      <c r="AK1392" s="40">
        <v>1389.0</v>
      </c>
      <c r="AL1392" s="738" t="s">
        <v>3636</v>
      </c>
      <c r="AM1392" s="738" t="s">
        <v>2184</v>
      </c>
      <c r="AN1392" s="738" t="s">
        <v>2185</v>
      </c>
      <c r="AO1392" s="739">
        <v>0.031</v>
      </c>
      <c r="AP1392" s="739" t="s">
        <v>2186</v>
      </c>
    </row>
    <row r="1393">
      <c r="A1393" s="159"/>
      <c r="B1393" s="159"/>
      <c r="C1393" s="159"/>
      <c r="D1393" s="159"/>
      <c r="E1393" s="159"/>
      <c r="F1393" s="159"/>
      <c r="G1393" s="159"/>
      <c r="H1393" s="159"/>
      <c r="I1393" s="157"/>
      <c r="J1393" s="157"/>
      <c r="K1393" s="157"/>
      <c r="L1393" s="157"/>
      <c r="M1393" s="157"/>
      <c r="N1393" s="157"/>
      <c r="O1393" s="157"/>
      <c r="P1393" s="753"/>
      <c r="AK1393" s="40">
        <v>1390.0</v>
      </c>
      <c r="AL1393" s="719" t="s">
        <v>3637</v>
      </c>
      <c r="AM1393" s="720" t="s">
        <v>2188</v>
      </c>
      <c r="AN1393" s="720" t="s">
        <v>2189</v>
      </c>
      <c r="AO1393" s="722">
        <v>0.184</v>
      </c>
      <c r="AP1393" s="722" t="s">
        <v>2190</v>
      </c>
    </row>
    <row r="1394">
      <c r="A1394" s="159"/>
      <c r="B1394" s="159"/>
      <c r="C1394" s="159"/>
      <c r="D1394" s="159"/>
      <c r="E1394" s="159"/>
      <c r="F1394" s="159"/>
      <c r="G1394" s="159"/>
      <c r="H1394" s="159"/>
      <c r="I1394" s="157"/>
      <c r="J1394" s="157"/>
      <c r="K1394" s="157"/>
      <c r="L1394" s="157"/>
      <c r="M1394" s="157"/>
      <c r="N1394" s="157"/>
      <c r="O1394" s="157"/>
      <c r="P1394" s="753"/>
      <c r="AK1394" s="40">
        <v>1391.0</v>
      </c>
      <c r="AL1394" s="738" t="s">
        <v>3638</v>
      </c>
      <c r="AM1394" s="738" t="s">
        <v>2192</v>
      </c>
      <c r="AN1394" s="738" t="s">
        <v>2193</v>
      </c>
      <c r="AO1394" s="739">
        <v>0.187</v>
      </c>
      <c r="AP1394" s="739" t="s">
        <v>2194</v>
      </c>
    </row>
    <row r="1395">
      <c r="A1395" s="159"/>
      <c r="B1395" s="159"/>
      <c r="C1395" s="159"/>
      <c r="D1395" s="159"/>
      <c r="E1395" s="159"/>
      <c r="F1395" s="159"/>
      <c r="G1395" s="159"/>
      <c r="H1395" s="159"/>
      <c r="I1395" s="157"/>
      <c r="J1395" s="157"/>
      <c r="K1395" s="157"/>
      <c r="L1395" s="157"/>
      <c r="M1395" s="157"/>
      <c r="N1395" s="157"/>
      <c r="O1395" s="157"/>
      <c r="P1395" s="753"/>
      <c r="AK1395" s="40">
        <v>1392.0</v>
      </c>
      <c r="AL1395" s="719" t="s">
        <v>3639</v>
      </c>
      <c r="AM1395" s="720" t="s">
        <v>2184</v>
      </c>
      <c r="AN1395" s="720" t="s">
        <v>2185</v>
      </c>
      <c r="AO1395" s="722">
        <v>0.031</v>
      </c>
      <c r="AP1395" s="722" t="s">
        <v>2186</v>
      </c>
    </row>
    <row r="1396">
      <c r="A1396" s="159"/>
      <c r="B1396" s="159"/>
      <c r="C1396" s="159"/>
      <c r="D1396" s="159"/>
      <c r="E1396" s="159"/>
      <c r="F1396" s="159"/>
      <c r="G1396" s="159"/>
      <c r="H1396" s="159"/>
      <c r="I1396" s="157"/>
      <c r="J1396" s="157"/>
      <c r="K1396" s="157"/>
      <c r="L1396" s="157"/>
      <c r="M1396" s="157"/>
      <c r="N1396" s="157"/>
      <c r="O1396" s="157"/>
      <c r="P1396" s="753"/>
      <c r="AK1396" s="40">
        <v>1393.0</v>
      </c>
      <c r="AL1396" s="738" t="s">
        <v>3640</v>
      </c>
      <c r="AM1396" s="738" t="s">
        <v>2188</v>
      </c>
      <c r="AN1396" s="738" t="s">
        <v>2189</v>
      </c>
      <c r="AO1396" s="739">
        <v>0.184</v>
      </c>
      <c r="AP1396" s="739" t="s">
        <v>2190</v>
      </c>
    </row>
    <row r="1397">
      <c r="A1397" s="159"/>
      <c r="B1397" s="159"/>
      <c r="C1397" s="159"/>
      <c r="D1397" s="159"/>
      <c r="E1397" s="159"/>
      <c r="F1397" s="159"/>
      <c r="G1397" s="159"/>
      <c r="H1397" s="159"/>
      <c r="I1397" s="157"/>
      <c r="J1397" s="157"/>
      <c r="K1397" s="157"/>
      <c r="L1397" s="157"/>
      <c r="M1397" s="157"/>
      <c r="N1397" s="157"/>
      <c r="O1397" s="157"/>
      <c r="P1397" s="753"/>
      <c r="AK1397" s="40">
        <v>1394.0</v>
      </c>
      <c r="AL1397" s="719" t="s">
        <v>3641</v>
      </c>
      <c r="AM1397" s="720" t="s">
        <v>2192</v>
      </c>
      <c r="AN1397" s="720" t="s">
        <v>2193</v>
      </c>
      <c r="AO1397" s="722">
        <v>0.187</v>
      </c>
      <c r="AP1397" s="722" t="s">
        <v>2194</v>
      </c>
    </row>
    <row r="1398">
      <c r="A1398" s="159"/>
      <c r="B1398" s="159"/>
      <c r="C1398" s="159"/>
      <c r="D1398" s="159"/>
      <c r="E1398" s="159"/>
      <c r="F1398" s="159"/>
      <c r="G1398" s="159"/>
      <c r="H1398" s="159"/>
      <c r="I1398" s="157"/>
      <c r="J1398" s="157"/>
      <c r="K1398" s="157"/>
      <c r="L1398" s="157"/>
      <c r="M1398" s="157"/>
      <c r="N1398" s="157"/>
      <c r="O1398" s="157"/>
      <c r="P1398" s="753"/>
      <c r="AK1398" s="40">
        <v>1395.0</v>
      </c>
      <c r="AL1398" s="738" t="s">
        <v>3642</v>
      </c>
      <c r="AM1398" s="738" t="s">
        <v>2184</v>
      </c>
      <c r="AN1398" s="738" t="s">
        <v>2185</v>
      </c>
      <c r="AO1398" s="739">
        <v>0.031</v>
      </c>
      <c r="AP1398" s="739" t="s">
        <v>2186</v>
      </c>
    </row>
    <row r="1399">
      <c r="A1399" s="159"/>
      <c r="B1399" s="159"/>
      <c r="C1399" s="159"/>
      <c r="D1399" s="159"/>
      <c r="E1399" s="159"/>
      <c r="F1399" s="159"/>
      <c r="G1399" s="159"/>
      <c r="H1399" s="159"/>
      <c r="I1399" s="157"/>
      <c r="J1399" s="157"/>
      <c r="K1399" s="157"/>
      <c r="L1399" s="157"/>
      <c r="M1399" s="157"/>
      <c r="N1399" s="157"/>
      <c r="O1399" s="157"/>
      <c r="P1399" s="753"/>
      <c r="AK1399" s="40">
        <v>1396.0</v>
      </c>
      <c r="AL1399" s="719" t="s">
        <v>3643</v>
      </c>
      <c r="AM1399" s="720" t="s">
        <v>2188</v>
      </c>
      <c r="AN1399" s="720" t="s">
        <v>2189</v>
      </c>
      <c r="AO1399" s="722">
        <v>0.184</v>
      </c>
      <c r="AP1399" s="722" t="s">
        <v>2190</v>
      </c>
    </row>
    <row r="1400">
      <c r="A1400" s="159"/>
      <c r="B1400" s="159"/>
      <c r="C1400" s="159"/>
      <c r="D1400" s="159"/>
      <c r="E1400" s="159"/>
      <c r="F1400" s="159"/>
      <c r="G1400" s="159"/>
      <c r="H1400" s="159"/>
      <c r="I1400" s="157"/>
      <c r="J1400" s="157"/>
      <c r="K1400" s="157"/>
      <c r="L1400" s="157"/>
      <c r="M1400" s="157"/>
      <c r="N1400" s="157"/>
      <c r="O1400" s="157"/>
      <c r="P1400" s="753"/>
      <c r="AK1400" s="40">
        <v>1397.0</v>
      </c>
      <c r="AL1400" s="738" t="s">
        <v>3644</v>
      </c>
      <c r="AM1400" s="738" t="s">
        <v>2192</v>
      </c>
      <c r="AN1400" s="738" t="s">
        <v>2193</v>
      </c>
      <c r="AO1400" s="739">
        <v>0.187</v>
      </c>
      <c r="AP1400" s="739" t="s">
        <v>2194</v>
      </c>
    </row>
    <row r="1401">
      <c r="A1401" s="159"/>
      <c r="B1401" s="159"/>
      <c r="C1401" s="159"/>
      <c r="D1401" s="159"/>
      <c r="E1401" s="159"/>
      <c r="F1401" s="159"/>
      <c r="G1401" s="159"/>
      <c r="H1401" s="159"/>
      <c r="I1401" s="157"/>
      <c r="J1401" s="157"/>
      <c r="K1401" s="157"/>
      <c r="L1401" s="157"/>
      <c r="M1401" s="157"/>
      <c r="N1401" s="157"/>
      <c r="O1401" s="157"/>
      <c r="P1401" s="753"/>
      <c r="AK1401" s="40">
        <v>1398.0</v>
      </c>
      <c r="AL1401" s="719" t="s">
        <v>3645</v>
      </c>
      <c r="AM1401" s="720" t="s">
        <v>2184</v>
      </c>
      <c r="AN1401" s="720" t="s">
        <v>2185</v>
      </c>
      <c r="AO1401" s="722">
        <v>0.031</v>
      </c>
      <c r="AP1401" s="722" t="s">
        <v>2186</v>
      </c>
    </row>
    <row r="1402">
      <c r="A1402" s="159"/>
      <c r="B1402" s="159"/>
      <c r="C1402" s="159"/>
      <c r="D1402" s="159"/>
      <c r="E1402" s="159"/>
      <c r="F1402" s="159"/>
      <c r="G1402" s="159"/>
      <c r="H1402" s="159"/>
      <c r="I1402" s="157"/>
      <c r="J1402" s="157"/>
      <c r="K1402" s="157"/>
      <c r="L1402" s="157"/>
      <c r="M1402" s="157"/>
      <c r="N1402" s="157"/>
      <c r="O1402" s="157"/>
      <c r="P1402" s="753"/>
      <c r="AK1402" s="40">
        <v>1399.0</v>
      </c>
      <c r="AL1402" s="738" t="s">
        <v>3646</v>
      </c>
      <c r="AM1402" s="738" t="s">
        <v>2188</v>
      </c>
      <c r="AN1402" s="738" t="s">
        <v>2189</v>
      </c>
      <c r="AO1402" s="739">
        <v>0.184</v>
      </c>
      <c r="AP1402" s="739" t="s">
        <v>2190</v>
      </c>
    </row>
    <row r="1403">
      <c r="A1403" s="159"/>
      <c r="B1403" s="159"/>
      <c r="C1403" s="159"/>
      <c r="D1403" s="159"/>
      <c r="E1403" s="159"/>
      <c r="F1403" s="159"/>
      <c r="G1403" s="159"/>
      <c r="H1403" s="159"/>
      <c r="I1403" s="157"/>
      <c r="J1403" s="157"/>
      <c r="K1403" s="157"/>
      <c r="L1403" s="157"/>
      <c r="M1403" s="157"/>
      <c r="N1403" s="157"/>
      <c r="O1403" s="157"/>
      <c r="P1403" s="753"/>
      <c r="AK1403" s="40">
        <v>1400.0</v>
      </c>
      <c r="AL1403" s="719" t="s">
        <v>3647</v>
      </c>
      <c r="AM1403" s="720" t="s">
        <v>2192</v>
      </c>
      <c r="AN1403" s="720" t="s">
        <v>2193</v>
      </c>
      <c r="AO1403" s="722">
        <v>0.187</v>
      </c>
      <c r="AP1403" s="722" t="s">
        <v>2194</v>
      </c>
    </row>
    <row r="1404">
      <c r="A1404" s="159"/>
      <c r="B1404" s="159"/>
      <c r="C1404" s="159"/>
      <c r="D1404" s="159"/>
      <c r="E1404" s="159"/>
      <c r="F1404" s="159"/>
      <c r="G1404" s="159"/>
      <c r="H1404" s="159"/>
      <c r="I1404" s="157"/>
      <c r="J1404" s="157"/>
      <c r="K1404" s="157"/>
      <c r="L1404" s="157"/>
      <c r="M1404" s="157"/>
      <c r="N1404" s="157"/>
      <c r="O1404" s="157"/>
      <c r="P1404" s="753"/>
      <c r="AK1404" s="40">
        <v>1401.0</v>
      </c>
      <c r="AL1404" s="738" t="s">
        <v>3648</v>
      </c>
      <c r="AM1404" s="738" t="s">
        <v>3649</v>
      </c>
      <c r="AN1404" s="738" t="s">
        <v>3650</v>
      </c>
      <c r="AO1404" s="739">
        <v>0.011</v>
      </c>
      <c r="AP1404" s="739" t="s">
        <v>2286</v>
      </c>
    </row>
    <row r="1405">
      <c r="A1405" s="159"/>
      <c r="B1405" s="159"/>
      <c r="C1405" s="159"/>
      <c r="D1405" s="159"/>
      <c r="E1405" s="159"/>
      <c r="F1405" s="159"/>
      <c r="G1405" s="159"/>
      <c r="H1405" s="159"/>
      <c r="I1405" s="157"/>
      <c r="J1405" s="157"/>
      <c r="K1405" s="157"/>
      <c r="L1405" s="157"/>
      <c r="M1405" s="157"/>
      <c r="N1405" s="157"/>
      <c r="O1405" s="157"/>
      <c r="P1405" s="753"/>
      <c r="AK1405" s="40">
        <v>1402.0</v>
      </c>
      <c r="AL1405" s="719" t="s">
        <v>3651</v>
      </c>
      <c r="AM1405" s="720" t="s">
        <v>2184</v>
      </c>
      <c r="AN1405" s="720" t="s">
        <v>2185</v>
      </c>
      <c r="AO1405" s="722">
        <v>0.031</v>
      </c>
      <c r="AP1405" s="722" t="s">
        <v>2186</v>
      </c>
    </row>
    <row r="1406">
      <c r="A1406" s="159"/>
      <c r="B1406" s="159"/>
      <c r="C1406" s="159"/>
      <c r="D1406" s="159"/>
      <c r="E1406" s="159"/>
      <c r="F1406" s="159"/>
      <c r="G1406" s="159"/>
      <c r="H1406" s="159"/>
      <c r="I1406" s="157"/>
      <c r="J1406" s="157"/>
      <c r="K1406" s="157"/>
      <c r="L1406" s="157"/>
      <c r="M1406" s="157"/>
      <c r="N1406" s="157"/>
      <c r="O1406" s="157"/>
      <c r="P1406" s="753"/>
      <c r="AK1406" s="40">
        <v>1403.0</v>
      </c>
      <c r="AL1406" s="738" t="s">
        <v>3652</v>
      </c>
      <c r="AM1406" s="738" t="s">
        <v>2188</v>
      </c>
      <c r="AN1406" s="738" t="s">
        <v>2189</v>
      </c>
      <c r="AO1406" s="739">
        <v>0.184</v>
      </c>
      <c r="AP1406" s="739" t="s">
        <v>2190</v>
      </c>
    </row>
    <row r="1407">
      <c r="A1407" s="159"/>
      <c r="B1407" s="159"/>
      <c r="C1407" s="159"/>
      <c r="D1407" s="159"/>
      <c r="E1407" s="159"/>
      <c r="F1407" s="159"/>
      <c r="G1407" s="159"/>
      <c r="H1407" s="159"/>
      <c r="I1407" s="157"/>
      <c r="J1407" s="157"/>
      <c r="K1407" s="157"/>
      <c r="L1407" s="157"/>
      <c r="M1407" s="157"/>
      <c r="N1407" s="157"/>
      <c r="O1407" s="157"/>
      <c r="P1407" s="753"/>
      <c r="AK1407" s="40">
        <v>1404.0</v>
      </c>
      <c r="AL1407" s="719" t="s">
        <v>3653</v>
      </c>
      <c r="AM1407" s="720" t="s">
        <v>2192</v>
      </c>
      <c r="AN1407" s="720" t="s">
        <v>2193</v>
      </c>
      <c r="AO1407" s="722">
        <v>0.187</v>
      </c>
      <c r="AP1407" s="722" t="s">
        <v>2194</v>
      </c>
    </row>
    <row r="1408">
      <c r="A1408" s="159"/>
      <c r="B1408" s="159"/>
      <c r="C1408" s="159"/>
      <c r="D1408" s="159"/>
      <c r="E1408" s="159"/>
      <c r="F1408" s="159"/>
      <c r="G1408" s="159"/>
      <c r="H1408" s="159"/>
      <c r="I1408" s="157"/>
      <c r="J1408" s="157"/>
      <c r="K1408" s="157"/>
      <c r="L1408" s="157"/>
      <c r="M1408" s="157"/>
      <c r="N1408" s="157"/>
      <c r="O1408" s="157"/>
      <c r="P1408" s="753"/>
      <c r="AK1408" s="40">
        <v>1405.0</v>
      </c>
      <c r="AL1408" s="738" t="s">
        <v>3654</v>
      </c>
      <c r="AM1408" s="738" t="s">
        <v>2116</v>
      </c>
      <c r="AN1408" s="738" t="s">
        <v>2117</v>
      </c>
      <c r="AO1408" s="739">
        <v>0.01</v>
      </c>
      <c r="AP1408" s="739" t="s">
        <v>2118</v>
      </c>
    </row>
    <row r="1409">
      <c r="A1409" s="159"/>
      <c r="B1409" s="159"/>
      <c r="C1409" s="159"/>
      <c r="D1409" s="159"/>
      <c r="E1409" s="159"/>
      <c r="F1409" s="159"/>
      <c r="G1409" s="159"/>
      <c r="H1409" s="159"/>
      <c r="I1409" s="157"/>
      <c r="J1409" s="157"/>
      <c r="K1409" s="157"/>
      <c r="L1409" s="157"/>
      <c r="M1409" s="157"/>
      <c r="N1409" s="157"/>
      <c r="O1409" s="157"/>
      <c r="P1409" s="753"/>
      <c r="AK1409" s="40">
        <v>1406.0</v>
      </c>
      <c r="AL1409" s="719" t="s">
        <v>3655</v>
      </c>
      <c r="AM1409" s="720" t="s">
        <v>2073</v>
      </c>
      <c r="AN1409" s="720" t="s">
        <v>2074</v>
      </c>
      <c r="AO1409" s="722">
        <v>0.027</v>
      </c>
      <c r="AP1409" s="722" t="s">
        <v>2075</v>
      </c>
    </row>
    <row r="1410">
      <c r="A1410" s="159"/>
      <c r="B1410" s="159"/>
      <c r="C1410" s="159"/>
      <c r="D1410" s="159"/>
      <c r="E1410" s="159"/>
      <c r="F1410" s="159"/>
      <c r="G1410" s="159"/>
      <c r="H1410" s="159"/>
      <c r="I1410" s="157"/>
      <c r="J1410" s="157"/>
      <c r="K1410" s="157"/>
      <c r="L1410" s="157"/>
      <c r="M1410" s="157"/>
      <c r="N1410" s="157"/>
      <c r="O1410" s="157"/>
      <c r="P1410" s="753"/>
      <c r="AK1410" s="40">
        <v>1407.0</v>
      </c>
      <c r="AL1410" s="738" t="s">
        <v>3656</v>
      </c>
      <c r="AM1410" s="738" t="s">
        <v>2294</v>
      </c>
      <c r="AN1410" s="738" t="s">
        <v>2295</v>
      </c>
      <c r="AO1410" s="739">
        <v>0.158</v>
      </c>
      <c r="AP1410" s="739" t="s">
        <v>2296</v>
      </c>
    </row>
    <row r="1411">
      <c r="A1411" s="159"/>
      <c r="B1411" s="159"/>
      <c r="C1411" s="159"/>
      <c r="D1411" s="159"/>
      <c r="E1411" s="159"/>
      <c r="F1411" s="159"/>
      <c r="G1411" s="159"/>
      <c r="H1411" s="159"/>
      <c r="I1411" s="157"/>
      <c r="J1411" s="157"/>
      <c r="K1411" s="157"/>
      <c r="L1411" s="157"/>
      <c r="M1411" s="157"/>
      <c r="N1411" s="157"/>
      <c r="O1411" s="157"/>
      <c r="P1411" s="753"/>
      <c r="AK1411" s="40">
        <v>1408.0</v>
      </c>
      <c r="AL1411" s="719" t="s">
        <v>3657</v>
      </c>
      <c r="AM1411" s="720" t="s">
        <v>2298</v>
      </c>
      <c r="AN1411" s="720" t="s">
        <v>2299</v>
      </c>
      <c r="AO1411" s="722">
        <v>0.204</v>
      </c>
      <c r="AP1411" s="722" t="s">
        <v>2300</v>
      </c>
    </row>
    <row r="1412">
      <c r="A1412" s="159"/>
      <c r="B1412" s="159"/>
      <c r="C1412" s="159"/>
      <c r="D1412" s="159"/>
      <c r="E1412" s="159"/>
      <c r="F1412" s="159"/>
      <c r="G1412" s="159"/>
      <c r="H1412" s="159"/>
      <c r="I1412" s="157"/>
      <c r="J1412" s="157"/>
      <c r="K1412" s="157"/>
      <c r="L1412" s="157"/>
      <c r="M1412" s="157"/>
      <c r="N1412" s="157"/>
      <c r="O1412" s="157"/>
      <c r="P1412" s="753"/>
      <c r="AK1412" s="40">
        <v>1409.0</v>
      </c>
      <c r="AL1412" s="738" t="s">
        <v>3658</v>
      </c>
      <c r="AM1412" s="738" t="s">
        <v>2302</v>
      </c>
      <c r="AN1412" s="738" t="s">
        <v>2303</v>
      </c>
      <c r="AO1412" s="739">
        <v>0.215</v>
      </c>
      <c r="AP1412" s="739" t="s">
        <v>2304</v>
      </c>
    </row>
    <row r="1413">
      <c r="A1413" s="159"/>
      <c r="B1413" s="159"/>
      <c r="C1413" s="159"/>
      <c r="D1413" s="159"/>
      <c r="E1413" s="159"/>
      <c r="F1413" s="159"/>
      <c r="G1413" s="159"/>
      <c r="H1413" s="159"/>
      <c r="I1413" s="157"/>
      <c r="J1413" s="157"/>
      <c r="K1413" s="157"/>
      <c r="L1413" s="157"/>
      <c r="M1413" s="157"/>
      <c r="N1413" s="157"/>
      <c r="O1413" s="157"/>
      <c r="P1413" s="753"/>
      <c r="AK1413" s="40">
        <v>1410.0</v>
      </c>
      <c r="AL1413" s="719" t="s">
        <v>3659</v>
      </c>
      <c r="AM1413" s="720" t="s">
        <v>2084</v>
      </c>
      <c r="AN1413" s="720" t="s">
        <v>2085</v>
      </c>
      <c r="AO1413" s="722">
        <v>0.021</v>
      </c>
      <c r="AP1413" s="722" t="s">
        <v>2086</v>
      </c>
    </row>
    <row r="1414">
      <c r="A1414" s="159"/>
      <c r="B1414" s="159"/>
      <c r="C1414" s="159"/>
      <c r="D1414" s="159"/>
      <c r="E1414" s="159"/>
      <c r="F1414" s="159"/>
      <c r="G1414" s="159"/>
      <c r="H1414" s="159"/>
      <c r="I1414" s="157"/>
      <c r="J1414" s="157"/>
      <c r="K1414" s="157"/>
      <c r="L1414" s="157"/>
      <c r="M1414" s="157"/>
      <c r="N1414" s="157"/>
      <c r="O1414" s="157"/>
      <c r="P1414" s="753"/>
      <c r="AK1414" s="40">
        <v>1411.0</v>
      </c>
      <c r="AL1414" s="738" t="s">
        <v>3660</v>
      </c>
      <c r="AM1414" s="738" t="s">
        <v>2010</v>
      </c>
      <c r="AN1414" s="738" t="s">
        <v>2011</v>
      </c>
      <c r="AO1414" s="739">
        <v>0.074</v>
      </c>
      <c r="AP1414" s="739" t="s">
        <v>2012</v>
      </c>
    </row>
    <row r="1415">
      <c r="A1415" s="159"/>
      <c r="B1415" s="159"/>
      <c r="C1415" s="159"/>
      <c r="D1415" s="159"/>
      <c r="E1415" s="159"/>
      <c r="F1415" s="159"/>
      <c r="G1415" s="159"/>
      <c r="H1415" s="159"/>
      <c r="I1415" s="157"/>
      <c r="J1415" s="157"/>
      <c r="K1415" s="157"/>
      <c r="L1415" s="157"/>
      <c r="M1415" s="157"/>
      <c r="N1415" s="157"/>
      <c r="O1415" s="157"/>
      <c r="P1415" s="753"/>
      <c r="AK1415" s="40">
        <v>1412.0</v>
      </c>
      <c r="AL1415" s="719" t="s">
        <v>3661</v>
      </c>
      <c r="AM1415" s="720" t="s">
        <v>2308</v>
      </c>
      <c r="AN1415" s="720" t="s">
        <v>2309</v>
      </c>
      <c r="AO1415" s="722">
        <v>0.261</v>
      </c>
      <c r="AP1415" s="722" t="s">
        <v>2310</v>
      </c>
    </row>
    <row r="1416">
      <c r="A1416" s="159"/>
      <c r="B1416" s="159"/>
      <c r="C1416" s="159"/>
      <c r="D1416" s="159"/>
      <c r="E1416" s="159"/>
      <c r="F1416" s="159"/>
      <c r="G1416" s="159"/>
      <c r="H1416" s="159"/>
      <c r="I1416" s="157"/>
      <c r="J1416" s="157"/>
      <c r="K1416" s="157"/>
      <c r="L1416" s="157"/>
      <c r="M1416" s="157"/>
      <c r="N1416" s="157"/>
      <c r="O1416" s="157"/>
      <c r="P1416" s="753"/>
      <c r="AK1416" s="40">
        <v>1413.0</v>
      </c>
      <c r="AL1416" s="738" t="s">
        <v>3662</v>
      </c>
      <c r="AM1416" s="738" t="s">
        <v>2312</v>
      </c>
      <c r="AN1416" s="738" t="s">
        <v>2313</v>
      </c>
      <c r="AO1416" s="739">
        <v>0.277</v>
      </c>
      <c r="AP1416" s="739" t="s">
        <v>2314</v>
      </c>
    </row>
    <row r="1417">
      <c r="A1417" s="159"/>
      <c r="B1417" s="159"/>
      <c r="C1417" s="159"/>
      <c r="D1417" s="159"/>
      <c r="E1417" s="159"/>
      <c r="F1417" s="159"/>
      <c r="G1417" s="159"/>
      <c r="H1417" s="159"/>
      <c r="I1417" s="157"/>
      <c r="J1417" s="157"/>
      <c r="K1417" s="157"/>
      <c r="L1417" s="157"/>
      <c r="M1417" s="157"/>
      <c r="N1417" s="157"/>
      <c r="O1417" s="157"/>
      <c r="P1417" s="753"/>
      <c r="AK1417" s="40">
        <v>1414.0</v>
      </c>
      <c r="AL1417" s="719" t="s">
        <v>3663</v>
      </c>
      <c r="AM1417" s="720" t="s">
        <v>2316</v>
      </c>
      <c r="AN1417" s="720" t="s">
        <v>2317</v>
      </c>
      <c r="AO1417" s="722">
        <v>0.316</v>
      </c>
      <c r="AP1417" s="722" t="s">
        <v>2318</v>
      </c>
    </row>
    <row r="1418">
      <c r="A1418" s="159"/>
      <c r="B1418" s="159"/>
      <c r="C1418" s="159"/>
      <c r="D1418" s="159"/>
      <c r="E1418" s="159"/>
      <c r="F1418" s="159"/>
      <c r="G1418" s="159"/>
      <c r="H1418" s="159"/>
      <c r="I1418" s="157"/>
      <c r="J1418" s="157"/>
      <c r="K1418" s="157"/>
      <c r="L1418" s="157"/>
      <c r="M1418" s="157"/>
      <c r="N1418" s="157"/>
      <c r="O1418" s="157"/>
      <c r="P1418" s="753"/>
      <c r="AK1418" s="40">
        <v>1415.0</v>
      </c>
      <c r="AL1418" s="738" t="s">
        <v>3664</v>
      </c>
      <c r="AM1418" s="738" t="s">
        <v>2335</v>
      </c>
      <c r="AN1418" s="738" t="s">
        <v>2336</v>
      </c>
      <c r="AO1418" s="739">
        <v>0.092</v>
      </c>
      <c r="AP1418" s="739" t="s">
        <v>2337</v>
      </c>
    </row>
    <row r="1419">
      <c r="A1419" s="159"/>
      <c r="B1419" s="159"/>
      <c r="C1419" s="159"/>
      <c r="D1419" s="159"/>
      <c r="E1419" s="159"/>
      <c r="F1419" s="159"/>
      <c r="G1419" s="159"/>
      <c r="H1419" s="159"/>
      <c r="I1419" s="157"/>
      <c r="J1419" s="157"/>
      <c r="K1419" s="157"/>
      <c r="L1419" s="157"/>
      <c r="M1419" s="157"/>
      <c r="N1419" s="157"/>
      <c r="O1419" s="157"/>
      <c r="P1419" s="753"/>
      <c r="AK1419" s="40">
        <v>1416.0</v>
      </c>
      <c r="AL1419" s="719" t="s">
        <v>3665</v>
      </c>
      <c r="AM1419" s="720" t="s">
        <v>2339</v>
      </c>
      <c r="AN1419" s="720" t="s">
        <v>2336</v>
      </c>
      <c r="AO1419" s="722">
        <v>0.167</v>
      </c>
      <c r="AP1419" s="722" t="s">
        <v>2340</v>
      </c>
    </row>
    <row r="1420">
      <c r="A1420" s="159"/>
      <c r="B1420" s="159"/>
      <c r="C1420" s="159"/>
      <c r="D1420" s="159"/>
      <c r="E1420" s="159"/>
      <c r="F1420" s="159"/>
      <c r="G1420" s="159"/>
      <c r="H1420" s="159"/>
      <c r="I1420" s="157"/>
      <c r="J1420" s="157"/>
      <c r="K1420" s="157"/>
      <c r="L1420" s="157"/>
      <c r="M1420" s="157"/>
      <c r="N1420" s="157"/>
      <c r="O1420" s="157"/>
      <c r="P1420" s="753"/>
      <c r="AK1420" s="40">
        <v>1417.0</v>
      </c>
      <c r="AL1420" s="738" t="s">
        <v>3666</v>
      </c>
      <c r="AM1420" s="738" t="s">
        <v>2113</v>
      </c>
      <c r="AN1420" s="738" t="s">
        <v>2114</v>
      </c>
      <c r="AO1420" s="739">
        <v>0.011</v>
      </c>
      <c r="AP1420" s="739" t="s">
        <v>2107</v>
      </c>
    </row>
    <row r="1421">
      <c r="A1421" s="159"/>
      <c r="B1421" s="159"/>
      <c r="C1421" s="159"/>
      <c r="D1421" s="159"/>
      <c r="E1421" s="159"/>
      <c r="F1421" s="159"/>
      <c r="G1421" s="159"/>
      <c r="H1421" s="159"/>
      <c r="I1421" s="157"/>
      <c r="J1421" s="157"/>
      <c r="K1421" s="157"/>
      <c r="L1421" s="157"/>
      <c r="M1421" s="157"/>
      <c r="N1421" s="157"/>
      <c r="O1421" s="157"/>
      <c r="P1421" s="753"/>
      <c r="AK1421" s="40">
        <v>1418.0</v>
      </c>
      <c r="AL1421" s="719" t="s">
        <v>3667</v>
      </c>
      <c r="AM1421" s="720" t="s">
        <v>2156</v>
      </c>
      <c r="AN1421" s="721"/>
      <c r="AO1421" s="722">
        <v>0.0</v>
      </c>
      <c r="AP1421" s="722" t="s">
        <v>2157</v>
      </c>
    </row>
    <row r="1422">
      <c r="A1422" s="159"/>
      <c r="B1422" s="159"/>
      <c r="C1422" s="159"/>
      <c r="D1422" s="159"/>
      <c r="E1422" s="159"/>
      <c r="F1422" s="159"/>
      <c r="G1422" s="159"/>
      <c r="H1422" s="159"/>
      <c r="I1422" s="157"/>
      <c r="J1422" s="157"/>
      <c r="K1422" s="157"/>
      <c r="L1422" s="157"/>
      <c r="M1422" s="157"/>
      <c r="N1422" s="157"/>
      <c r="O1422" s="157"/>
      <c r="P1422" s="753"/>
      <c r="AK1422" s="40">
        <v>1419.0</v>
      </c>
      <c r="AL1422" s="738" t="s">
        <v>3668</v>
      </c>
      <c r="AM1422" s="738" t="s">
        <v>3669</v>
      </c>
      <c r="AN1422" s="745"/>
      <c r="AO1422" s="739">
        <v>0.113</v>
      </c>
      <c r="AP1422" s="739" t="s">
        <v>3670</v>
      </c>
    </row>
    <row r="1423">
      <c r="A1423" s="159"/>
      <c r="B1423" s="159"/>
      <c r="C1423" s="159"/>
      <c r="D1423" s="159"/>
      <c r="E1423" s="159"/>
      <c r="F1423" s="159"/>
      <c r="G1423" s="159"/>
      <c r="H1423" s="159"/>
      <c r="I1423" s="157"/>
      <c r="J1423" s="157"/>
      <c r="K1423" s="157"/>
      <c r="L1423" s="157"/>
      <c r="M1423" s="157"/>
      <c r="N1423" s="157"/>
      <c r="O1423" s="157"/>
      <c r="P1423" s="753"/>
      <c r="AK1423" s="40">
        <v>1420.0</v>
      </c>
      <c r="AL1423" s="719" t="s">
        <v>3671</v>
      </c>
      <c r="AM1423" s="720" t="s">
        <v>2131</v>
      </c>
      <c r="AN1423" s="720" t="s">
        <v>2132</v>
      </c>
      <c r="AO1423" s="722">
        <v>0.006</v>
      </c>
      <c r="AP1423" s="722" t="s">
        <v>2133</v>
      </c>
    </row>
    <row r="1424">
      <c r="A1424" s="159"/>
      <c r="B1424" s="159"/>
      <c r="C1424" s="159"/>
      <c r="D1424" s="159"/>
      <c r="E1424" s="159"/>
      <c r="F1424" s="159"/>
      <c r="G1424" s="159"/>
      <c r="H1424" s="159"/>
      <c r="I1424" s="157"/>
      <c r="J1424" s="157"/>
      <c r="K1424" s="157"/>
      <c r="L1424" s="157"/>
      <c r="M1424" s="157"/>
      <c r="N1424" s="157"/>
      <c r="O1424" s="157"/>
      <c r="P1424" s="753"/>
      <c r="AK1424" s="40">
        <v>1421.0</v>
      </c>
      <c r="AL1424" s="738" t="s">
        <v>3672</v>
      </c>
      <c r="AM1424" s="738" t="s">
        <v>2050</v>
      </c>
      <c r="AN1424" s="738" t="s">
        <v>2051</v>
      </c>
      <c r="AO1424" s="739">
        <v>0.051</v>
      </c>
      <c r="AP1424" s="739" t="s">
        <v>2052</v>
      </c>
    </row>
    <row r="1425">
      <c r="A1425" s="159"/>
      <c r="B1425" s="159"/>
      <c r="C1425" s="159"/>
      <c r="D1425" s="159"/>
      <c r="E1425" s="159"/>
      <c r="F1425" s="159"/>
      <c r="G1425" s="159"/>
      <c r="H1425" s="159"/>
      <c r="I1425" s="157"/>
      <c r="J1425" s="157"/>
      <c r="K1425" s="157"/>
      <c r="L1425" s="157"/>
      <c r="M1425" s="157"/>
      <c r="N1425" s="157"/>
      <c r="O1425" s="157"/>
      <c r="P1425" s="753"/>
      <c r="AK1425" s="40">
        <v>1422.0</v>
      </c>
      <c r="AL1425" s="719" t="s">
        <v>3673</v>
      </c>
      <c r="AM1425" s="720" t="s">
        <v>2156</v>
      </c>
      <c r="AN1425" s="721"/>
      <c r="AO1425" s="722">
        <v>0.0</v>
      </c>
      <c r="AP1425" s="722" t="s">
        <v>2157</v>
      </c>
    </row>
    <row r="1426">
      <c r="A1426" s="159"/>
      <c r="B1426" s="159"/>
      <c r="C1426" s="159"/>
      <c r="D1426" s="159"/>
      <c r="E1426" s="159"/>
      <c r="F1426" s="159"/>
      <c r="G1426" s="159"/>
      <c r="H1426" s="159"/>
      <c r="I1426" s="157"/>
      <c r="J1426" s="157"/>
      <c r="K1426" s="157"/>
      <c r="L1426" s="157"/>
      <c r="M1426" s="157"/>
      <c r="N1426" s="157"/>
      <c r="O1426" s="157"/>
      <c r="P1426" s="753"/>
      <c r="AK1426" s="40">
        <v>1423.0</v>
      </c>
      <c r="AL1426" s="738" t="s">
        <v>3674</v>
      </c>
      <c r="AM1426" s="738" t="s">
        <v>3675</v>
      </c>
      <c r="AN1426" s="738" t="s">
        <v>3676</v>
      </c>
      <c r="AO1426" s="739">
        <v>0.117</v>
      </c>
      <c r="AP1426" s="739" t="s">
        <v>3677</v>
      </c>
    </row>
    <row r="1427">
      <c r="A1427" s="159"/>
      <c r="B1427" s="159"/>
      <c r="C1427" s="159"/>
      <c r="D1427" s="159"/>
      <c r="E1427" s="159"/>
      <c r="F1427" s="159"/>
      <c r="G1427" s="159"/>
      <c r="H1427" s="159"/>
      <c r="I1427" s="157"/>
      <c r="J1427" s="157"/>
      <c r="K1427" s="157"/>
      <c r="L1427" s="157"/>
      <c r="M1427" s="157"/>
      <c r="N1427" s="157"/>
      <c r="O1427" s="157"/>
      <c r="P1427" s="753"/>
      <c r="AK1427" s="40">
        <v>1424.0</v>
      </c>
      <c r="AL1427" s="719" t="s">
        <v>3678</v>
      </c>
      <c r="AM1427" s="720" t="s">
        <v>3679</v>
      </c>
      <c r="AN1427" s="720" t="s">
        <v>3680</v>
      </c>
      <c r="AO1427" s="722">
        <v>0.317</v>
      </c>
      <c r="AP1427" s="722" t="s">
        <v>3681</v>
      </c>
    </row>
    <row r="1428">
      <c r="A1428" s="159"/>
      <c r="B1428" s="159"/>
      <c r="C1428" s="159"/>
      <c r="D1428" s="159"/>
      <c r="E1428" s="159"/>
      <c r="F1428" s="159"/>
      <c r="G1428" s="159"/>
      <c r="H1428" s="159"/>
      <c r="I1428" s="157"/>
      <c r="J1428" s="157"/>
      <c r="K1428" s="157"/>
      <c r="L1428" s="157"/>
      <c r="M1428" s="157"/>
      <c r="N1428" s="157"/>
      <c r="O1428" s="157"/>
      <c r="P1428" s="753"/>
      <c r="AK1428" s="40">
        <v>1425.0</v>
      </c>
      <c r="AL1428" s="738" t="s">
        <v>3682</v>
      </c>
      <c r="AM1428" s="738" t="s">
        <v>3683</v>
      </c>
      <c r="AN1428" s="738" t="s">
        <v>3684</v>
      </c>
      <c r="AO1428" s="739">
        <v>0.581</v>
      </c>
      <c r="AP1428" s="739" t="s">
        <v>3685</v>
      </c>
    </row>
    <row r="1429">
      <c r="A1429" s="159"/>
      <c r="B1429" s="159"/>
      <c r="C1429" s="159"/>
      <c r="D1429" s="159"/>
      <c r="E1429" s="159"/>
      <c r="F1429" s="159"/>
      <c r="G1429" s="159"/>
      <c r="H1429" s="159"/>
      <c r="I1429" s="157"/>
      <c r="J1429" s="157"/>
      <c r="K1429" s="157"/>
      <c r="L1429" s="157"/>
      <c r="M1429" s="157"/>
      <c r="N1429" s="157"/>
      <c r="O1429" s="157"/>
      <c r="P1429" s="753"/>
      <c r="AK1429" s="40">
        <v>1426.0</v>
      </c>
      <c r="AL1429" s="719" t="s">
        <v>3686</v>
      </c>
      <c r="AM1429" s="720" t="s">
        <v>2156</v>
      </c>
      <c r="AN1429" s="721"/>
      <c r="AO1429" s="722">
        <v>0.0</v>
      </c>
      <c r="AP1429" s="722" t="s">
        <v>2157</v>
      </c>
    </row>
    <row r="1430">
      <c r="A1430" s="159"/>
      <c r="B1430" s="159"/>
      <c r="C1430" s="159"/>
      <c r="D1430" s="159"/>
      <c r="E1430" s="159"/>
      <c r="F1430" s="159"/>
      <c r="G1430" s="159"/>
      <c r="H1430" s="159"/>
      <c r="I1430" s="157"/>
      <c r="J1430" s="157"/>
      <c r="K1430" s="157"/>
      <c r="L1430" s="157"/>
      <c r="M1430" s="157"/>
      <c r="N1430" s="157"/>
      <c r="O1430" s="157"/>
      <c r="P1430" s="753"/>
      <c r="AK1430" s="40">
        <v>1427.0</v>
      </c>
      <c r="AL1430" s="738" t="s">
        <v>3687</v>
      </c>
      <c r="AM1430" s="738" t="s">
        <v>3688</v>
      </c>
      <c r="AN1430" s="738" t="s">
        <v>3689</v>
      </c>
      <c r="AO1430" s="739">
        <v>0.023</v>
      </c>
      <c r="AP1430" s="739" t="s">
        <v>3690</v>
      </c>
    </row>
    <row r="1431">
      <c r="A1431" s="159"/>
      <c r="B1431" s="159"/>
      <c r="C1431" s="159"/>
      <c r="D1431" s="159"/>
      <c r="E1431" s="159"/>
      <c r="F1431" s="159"/>
      <c r="G1431" s="159"/>
      <c r="H1431" s="159"/>
      <c r="I1431" s="157"/>
      <c r="J1431" s="157"/>
      <c r="K1431" s="157"/>
      <c r="L1431" s="157"/>
      <c r="M1431" s="157"/>
      <c r="N1431" s="157"/>
      <c r="O1431" s="157"/>
      <c r="P1431" s="753"/>
      <c r="AK1431" s="40">
        <v>1428.0</v>
      </c>
      <c r="AL1431" s="719" t="s">
        <v>3691</v>
      </c>
      <c r="AM1431" s="720" t="s">
        <v>2269</v>
      </c>
      <c r="AN1431" s="720" t="s">
        <v>2270</v>
      </c>
      <c r="AO1431" s="722">
        <v>0.079</v>
      </c>
      <c r="AP1431" s="722" t="s">
        <v>2271</v>
      </c>
    </row>
    <row r="1432">
      <c r="A1432" s="159"/>
      <c r="B1432" s="159"/>
      <c r="C1432" s="159"/>
      <c r="D1432" s="159"/>
      <c r="E1432" s="159"/>
      <c r="F1432" s="159"/>
      <c r="G1432" s="159"/>
      <c r="H1432" s="159"/>
      <c r="I1432" s="157"/>
      <c r="J1432" s="157"/>
      <c r="K1432" s="157"/>
      <c r="L1432" s="157"/>
      <c r="M1432" s="157"/>
      <c r="N1432" s="157"/>
      <c r="O1432" s="157"/>
      <c r="P1432" s="753"/>
      <c r="AK1432" s="40">
        <v>1429.0</v>
      </c>
      <c r="AL1432" s="738" t="s">
        <v>3692</v>
      </c>
      <c r="AM1432" s="738" t="s">
        <v>3693</v>
      </c>
      <c r="AN1432" s="738" t="s">
        <v>3694</v>
      </c>
      <c r="AO1432" s="739">
        <v>0.165</v>
      </c>
      <c r="AP1432" s="739" t="s">
        <v>3695</v>
      </c>
    </row>
    <row r="1433">
      <c r="A1433" s="159"/>
      <c r="B1433" s="159"/>
      <c r="C1433" s="159"/>
      <c r="D1433" s="159"/>
      <c r="E1433" s="159"/>
      <c r="F1433" s="159"/>
      <c r="G1433" s="159"/>
      <c r="H1433" s="159"/>
      <c r="I1433" s="157"/>
      <c r="J1433" s="157"/>
      <c r="K1433" s="157"/>
      <c r="L1433" s="157"/>
      <c r="M1433" s="157"/>
      <c r="N1433" s="157"/>
      <c r="O1433" s="157"/>
      <c r="P1433" s="753"/>
      <c r="AK1433" s="40">
        <v>1430.0</v>
      </c>
      <c r="AL1433" s="719" t="s">
        <v>3696</v>
      </c>
      <c r="AM1433" s="720" t="s">
        <v>2156</v>
      </c>
      <c r="AN1433" s="721"/>
      <c r="AO1433" s="722">
        <v>0.0</v>
      </c>
      <c r="AP1433" s="722" t="s">
        <v>2157</v>
      </c>
    </row>
    <row r="1434">
      <c r="A1434" s="159"/>
      <c r="B1434" s="159"/>
      <c r="C1434" s="159"/>
      <c r="D1434" s="159"/>
      <c r="E1434" s="159"/>
      <c r="F1434" s="159"/>
      <c r="G1434" s="159"/>
      <c r="H1434" s="159"/>
      <c r="I1434" s="157"/>
      <c r="J1434" s="157"/>
      <c r="K1434" s="157"/>
      <c r="L1434" s="157"/>
      <c r="M1434" s="157"/>
      <c r="N1434" s="157"/>
      <c r="O1434" s="157"/>
      <c r="P1434" s="753"/>
      <c r="AK1434" s="40">
        <v>1431.0</v>
      </c>
      <c r="AL1434" s="738" t="s">
        <v>3697</v>
      </c>
      <c r="AM1434" s="738" t="s">
        <v>3688</v>
      </c>
      <c r="AN1434" s="738" t="s">
        <v>3689</v>
      </c>
      <c r="AO1434" s="739">
        <v>0.023</v>
      </c>
      <c r="AP1434" s="739" t="s">
        <v>3690</v>
      </c>
    </row>
    <row r="1435">
      <c r="A1435" s="159"/>
      <c r="B1435" s="159"/>
      <c r="C1435" s="159"/>
      <c r="D1435" s="159"/>
      <c r="E1435" s="159"/>
      <c r="F1435" s="159"/>
      <c r="G1435" s="159"/>
      <c r="H1435" s="159"/>
      <c r="I1435" s="157"/>
      <c r="J1435" s="157"/>
      <c r="K1435" s="157"/>
      <c r="L1435" s="157"/>
      <c r="M1435" s="157"/>
      <c r="N1435" s="157"/>
      <c r="O1435" s="157"/>
      <c r="P1435" s="753"/>
      <c r="AK1435" s="40">
        <v>1432.0</v>
      </c>
      <c r="AL1435" s="719" t="s">
        <v>3698</v>
      </c>
      <c r="AM1435" s="720" t="s">
        <v>2269</v>
      </c>
      <c r="AN1435" s="720" t="s">
        <v>2270</v>
      </c>
      <c r="AO1435" s="722">
        <v>0.079</v>
      </c>
      <c r="AP1435" s="722" t="s">
        <v>2271</v>
      </c>
    </row>
    <row r="1436">
      <c r="A1436" s="159"/>
      <c r="B1436" s="159"/>
      <c r="C1436" s="159"/>
      <c r="D1436" s="159"/>
      <c r="E1436" s="159"/>
      <c r="F1436" s="159"/>
      <c r="G1436" s="159"/>
      <c r="H1436" s="159"/>
      <c r="I1436" s="157"/>
      <c r="J1436" s="157"/>
      <c r="K1436" s="157"/>
      <c r="L1436" s="157"/>
      <c r="M1436" s="157"/>
      <c r="N1436" s="157"/>
      <c r="O1436" s="157"/>
      <c r="P1436" s="753"/>
      <c r="AK1436" s="40">
        <v>1433.0</v>
      </c>
      <c r="AL1436" s="738" t="s">
        <v>3699</v>
      </c>
      <c r="AM1436" s="738" t="s">
        <v>3693</v>
      </c>
      <c r="AN1436" s="738" t="s">
        <v>3694</v>
      </c>
      <c r="AO1436" s="739">
        <v>0.165</v>
      </c>
      <c r="AP1436" s="739" t="s">
        <v>3695</v>
      </c>
    </row>
    <row r="1437">
      <c r="A1437" s="159"/>
      <c r="B1437" s="159"/>
      <c r="C1437" s="159"/>
      <c r="D1437" s="159"/>
      <c r="E1437" s="159"/>
      <c r="F1437" s="159"/>
      <c r="G1437" s="159"/>
      <c r="H1437" s="159"/>
      <c r="I1437" s="157"/>
      <c r="J1437" s="157"/>
      <c r="K1437" s="157"/>
      <c r="L1437" s="157"/>
      <c r="M1437" s="157"/>
      <c r="N1437" s="157"/>
      <c r="O1437" s="157"/>
      <c r="P1437" s="753"/>
      <c r="AK1437" s="40">
        <v>1434.0</v>
      </c>
      <c r="AL1437" s="719" t="s">
        <v>3700</v>
      </c>
      <c r="AM1437" s="720" t="s">
        <v>2156</v>
      </c>
      <c r="AN1437" s="721"/>
      <c r="AO1437" s="722">
        <v>0.0</v>
      </c>
      <c r="AP1437" s="722" t="s">
        <v>2157</v>
      </c>
    </row>
    <row r="1438">
      <c r="A1438" s="159"/>
      <c r="B1438" s="159"/>
      <c r="C1438" s="159"/>
      <c r="D1438" s="159"/>
      <c r="E1438" s="159"/>
      <c r="F1438" s="159"/>
      <c r="G1438" s="159"/>
      <c r="H1438" s="159"/>
      <c r="I1438" s="157"/>
      <c r="J1438" s="157"/>
      <c r="K1438" s="157"/>
      <c r="L1438" s="157"/>
      <c r="M1438" s="157"/>
      <c r="N1438" s="157"/>
      <c r="O1438" s="157"/>
      <c r="P1438" s="753"/>
      <c r="AK1438" s="40">
        <v>1435.0</v>
      </c>
      <c r="AL1438" s="738" t="s">
        <v>3701</v>
      </c>
      <c r="AM1438" s="738" t="s">
        <v>3688</v>
      </c>
      <c r="AN1438" s="738" t="s">
        <v>3689</v>
      </c>
      <c r="AO1438" s="739">
        <v>0.023</v>
      </c>
      <c r="AP1438" s="739" t="s">
        <v>3690</v>
      </c>
    </row>
    <row r="1439">
      <c r="A1439" s="159"/>
      <c r="B1439" s="159"/>
      <c r="C1439" s="159"/>
      <c r="D1439" s="159"/>
      <c r="E1439" s="159"/>
      <c r="F1439" s="159"/>
      <c r="G1439" s="159"/>
      <c r="H1439" s="159"/>
      <c r="I1439" s="157"/>
      <c r="J1439" s="157"/>
      <c r="K1439" s="157"/>
      <c r="L1439" s="157"/>
      <c r="M1439" s="157"/>
      <c r="N1439" s="157"/>
      <c r="O1439" s="157"/>
      <c r="P1439" s="753"/>
      <c r="AK1439" s="40">
        <v>1436.0</v>
      </c>
      <c r="AL1439" s="719" t="s">
        <v>3702</v>
      </c>
      <c r="AM1439" s="720" t="s">
        <v>2269</v>
      </c>
      <c r="AN1439" s="720" t="s">
        <v>2270</v>
      </c>
      <c r="AO1439" s="722">
        <v>0.079</v>
      </c>
      <c r="AP1439" s="722" t="s">
        <v>2271</v>
      </c>
    </row>
    <row r="1440">
      <c r="A1440" s="159"/>
      <c r="B1440" s="159"/>
      <c r="C1440" s="159"/>
      <c r="D1440" s="159"/>
      <c r="E1440" s="159"/>
      <c r="F1440" s="159"/>
      <c r="G1440" s="159"/>
      <c r="H1440" s="159"/>
      <c r="I1440" s="157"/>
      <c r="J1440" s="157"/>
      <c r="K1440" s="157"/>
      <c r="L1440" s="157"/>
      <c r="M1440" s="157"/>
      <c r="N1440" s="157"/>
      <c r="O1440" s="157"/>
      <c r="P1440" s="753"/>
      <c r="AK1440" s="40">
        <v>1437.0</v>
      </c>
      <c r="AL1440" s="738" t="s">
        <v>3703</v>
      </c>
      <c r="AM1440" s="738" t="s">
        <v>3693</v>
      </c>
      <c r="AN1440" s="738" t="s">
        <v>3694</v>
      </c>
      <c r="AO1440" s="739">
        <v>0.165</v>
      </c>
      <c r="AP1440" s="739" t="s">
        <v>3695</v>
      </c>
    </row>
    <row r="1441">
      <c r="A1441" s="159"/>
      <c r="B1441" s="159"/>
      <c r="C1441" s="159"/>
      <c r="D1441" s="159"/>
      <c r="E1441" s="159"/>
      <c r="F1441" s="159"/>
      <c r="G1441" s="159"/>
      <c r="H1441" s="159"/>
      <c r="I1441" s="157"/>
      <c r="J1441" s="157"/>
      <c r="K1441" s="157"/>
      <c r="L1441" s="157"/>
      <c r="M1441" s="157"/>
      <c r="N1441" s="157"/>
      <c r="O1441" s="157"/>
      <c r="P1441" s="753"/>
      <c r="AK1441" s="40">
        <v>1438.0</v>
      </c>
      <c r="AL1441" s="719" t="s">
        <v>3704</v>
      </c>
      <c r="AM1441" s="720" t="s">
        <v>2156</v>
      </c>
      <c r="AN1441" s="721"/>
      <c r="AO1441" s="722">
        <v>0.0</v>
      </c>
      <c r="AP1441" s="722" t="s">
        <v>2157</v>
      </c>
    </row>
    <row r="1442">
      <c r="A1442" s="159"/>
      <c r="B1442" s="159"/>
      <c r="C1442" s="159"/>
      <c r="D1442" s="159"/>
      <c r="E1442" s="159"/>
      <c r="F1442" s="159"/>
      <c r="G1442" s="159"/>
      <c r="H1442" s="159"/>
      <c r="I1442" s="157"/>
      <c r="J1442" s="157"/>
      <c r="K1442" s="157"/>
      <c r="L1442" s="157"/>
      <c r="M1442" s="157"/>
      <c r="N1442" s="157"/>
      <c r="O1442" s="157"/>
      <c r="P1442" s="753"/>
      <c r="AK1442" s="40">
        <v>1439.0</v>
      </c>
      <c r="AL1442" s="738" t="s">
        <v>3705</v>
      </c>
      <c r="AM1442" s="738" t="s">
        <v>3688</v>
      </c>
      <c r="AN1442" s="738" t="s">
        <v>3689</v>
      </c>
      <c r="AO1442" s="739">
        <v>0.023</v>
      </c>
      <c r="AP1442" s="739" t="s">
        <v>3690</v>
      </c>
    </row>
    <row r="1443">
      <c r="A1443" s="159"/>
      <c r="B1443" s="159"/>
      <c r="C1443" s="159"/>
      <c r="D1443" s="159"/>
      <c r="E1443" s="159"/>
      <c r="F1443" s="159"/>
      <c r="G1443" s="159"/>
      <c r="H1443" s="159"/>
      <c r="I1443" s="157"/>
      <c r="J1443" s="157"/>
      <c r="K1443" s="157"/>
      <c r="L1443" s="157"/>
      <c r="M1443" s="157"/>
      <c r="N1443" s="157"/>
      <c r="O1443" s="157"/>
      <c r="P1443" s="753"/>
      <c r="AK1443" s="40">
        <v>1440.0</v>
      </c>
      <c r="AL1443" s="719" t="s">
        <v>3706</v>
      </c>
      <c r="AM1443" s="720" t="s">
        <v>2269</v>
      </c>
      <c r="AN1443" s="720" t="s">
        <v>2270</v>
      </c>
      <c r="AO1443" s="722">
        <v>0.079</v>
      </c>
      <c r="AP1443" s="722" t="s">
        <v>2271</v>
      </c>
    </row>
    <row r="1444">
      <c r="A1444" s="159"/>
      <c r="B1444" s="159"/>
      <c r="C1444" s="159"/>
      <c r="D1444" s="159"/>
      <c r="E1444" s="159"/>
      <c r="F1444" s="159"/>
      <c r="G1444" s="159"/>
      <c r="H1444" s="159"/>
      <c r="I1444" s="157"/>
      <c r="J1444" s="157"/>
      <c r="K1444" s="157"/>
      <c r="L1444" s="157"/>
      <c r="M1444" s="157"/>
      <c r="N1444" s="157"/>
      <c r="O1444" s="157"/>
      <c r="P1444" s="753"/>
      <c r="AK1444" s="40">
        <v>1441.0</v>
      </c>
      <c r="AL1444" s="738" t="s">
        <v>3707</v>
      </c>
      <c r="AM1444" s="738" t="s">
        <v>3693</v>
      </c>
      <c r="AN1444" s="738" t="s">
        <v>3694</v>
      </c>
      <c r="AO1444" s="739">
        <v>0.165</v>
      </c>
      <c r="AP1444" s="739" t="s">
        <v>3695</v>
      </c>
    </row>
    <row r="1445">
      <c r="A1445" s="159"/>
      <c r="B1445" s="159"/>
      <c r="C1445" s="159"/>
      <c r="D1445" s="159"/>
      <c r="E1445" s="159"/>
      <c r="F1445" s="159"/>
      <c r="G1445" s="159"/>
      <c r="H1445" s="159"/>
      <c r="I1445" s="157"/>
      <c r="J1445" s="157"/>
      <c r="K1445" s="157"/>
      <c r="L1445" s="157"/>
      <c r="M1445" s="157"/>
      <c r="N1445" s="157"/>
      <c r="O1445" s="157"/>
      <c r="P1445" s="753"/>
      <c r="AK1445" s="40">
        <v>1442.0</v>
      </c>
      <c r="AL1445" s="719" t="s">
        <v>3708</v>
      </c>
      <c r="AM1445" s="720" t="s">
        <v>2156</v>
      </c>
      <c r="AN1445" s="721"/>
      <c r="AO1445" s="722">
        <v>0.0</v>
      </c>
      <c r="AP1445" s="722" t="s">
        <v>2157</v>
      </c>
    </row>
    <row r="1446">
      <c r="A1446" s="159"/>
      <c r="B1446" s="159"/>
      <c r="C1446" s="159"/>
      <c r="D1446" s="159"/>
      <c r="E1446" s="159"/>
      <c r="F1446" s="159"/>
      <c r="G1446" s="159"/>
      <c r="H1446" s="159"/>
      <c r="I1446" s="157"/>
      <c r="J1446" s="157"/>
      <c r="K1446" s="157"/>
      <c r="L1446" s="157"/>
      <c r="M1446" s="157"/>
      <c r="N1446" s="157"/>
      <c r="O1446" s="157"/>
      <c r="P1446" s="753"/>
      <c r="AK1446" s="40">
        <v>1443.0</v>
      </c>
      <c r="AL1446" s="738" t="s">
        <v>3709</v>
      </c>
      <c r="AM1446" s="738" t="s">
        <v>3710</v>
      </c>
      <c r="AN1446" s="738" t="s">
        <v>3711</v>
      </c>
      <c r="AO1446" s="739">
        <v>0.325</v>
      </c>
      <c r="AP1446" s="739" t="s">
        <v>3712</v>
      </c>
    </row>
    <row r="1447">
      <c r="A1447" s="159"/>
      <c r="B1447" s="159"/>
      <c r="C1447" s="159"/>
      <c r="D1447" s="159"/>
      <c r="E1447" s="159"/>
      <c r="F1447" s="159"/>
      <c r="G1447" s="159"/>
      <c r="H1447" s="159"/>
      <c r="I1447" s="157"/>
      <c r="J1447" s="157"/>
      <c r="K1447" s="157"/>
      <c r="L1447" s="157"/>
      <c r="M1447" s="157"/>
      <c r="N1447" s="157"/>
      <c r="O1447" s="157"/>
      <c r="P1447" s="753"/>
      <c r="AK1447" s="40">
        <v>1444.0</v>
      </c>
      <c r="AL1447" s="719" t="s">
        <v>3713</v>
      </c>
      <c r="AM1447" s="720" t="s">
        <v>3714</v>
      </c>
      <c r="AN1447" s="720" t="s">
        <v>3715</v>
      </c>
      <c r="AO1447" s="722">
        <v>0.384</v>
      </c>
      <c r="AP1447" s="722" t="s">
        <v>3716</v>
      </c>
    </row>
    <row r="1448">
      <c r="A1448" s="159"/>
      <c r="B1448" s="159"/>
      <c r="C1448" s="159"/>
      <c r="D1448" s="159"/>
      <c r="E1448" s="159"/>
      <c r="F1448" s="159"/>
      <c r="G1448" s="159"/>
      <c r="H1448" s="159"/>
      <c r="I1448" s="157"/>
      <c r="J1448" s="157"/>
      <c r="K1448" s="157"/>
      <c r="L1448" s="157"/>
      <c r="M1448" s="157"/>
      <c r="N1448" s="157"/>
      <c r="O1448" s="157"/>
      <c r="P1448" s="753"/>
      <c r="AK1448" s="40">
        <v>1445.0</v>
      </c>
      <c r="AL1448" s="738" t="s">
        <v>3717</v>
      </c>
      <c r="AM1448" s="738" t="s">
        <v>3717</v>
      </c>
      <c r="AN1448" s="738" t="s">
        <v>1744</v>
      </c>
      <c r="AO1448" s="739">
        <v>0.02</v>
      </c>
      <c r="AP1448" s="739" t="s">
        <v>3718</v>
      </c>
    </row>
    <row r="1449">
      <c r="A1449" s="159"/>
      <c r="B1449" s="159"/>
      <c r="C1449" s="159"/>
      <c r="D1449" s="159"/>
      <c r="E1449" s="159"/>
      <c r="F1449" s="159"/>
      <c r="G1449" s="159"/>
      <c r="H1449" s="159"/>
      <c r="I1449" s="157"/>
      <c r="J1449" s="157"/>
      <c r="K1449" s="157"/>
      <c r="L1449" s="157"/>
      <c r="M1449" s="157"/>
      <c r="N1449" s="157"/>
      <c r="O1449" s="157"/>
      <c r="P1449" s="753"/>
      <c r="AK1449" s="40">
        <v>1446.0</v>
      </c>
      <c r="AL1449" s="719" t="s">
        <v>3719</v>
      </c>
      <c r="AM1449" s="720" t="s">
        <v>3719</v>
      </c>
      <c r="AN1449" s="720" t="s">
        <v>1744</v>
      </c>
      <c r="AO1449" s="722">
        <v>0.054</v>
      </c>
      <c r="AP1449" s="722" t="s">
        <v>3720</v>
      </c>
    </row>
    <row r="1450">
      <c r="A1450" s="159"/>
      <c r="B1450" s="159"/>
      <c r="C1450" s="159"/>
      <c r="D1450" s="159"/>
      <c r="E1450" s="159"/>
      <c r="F1450" s="159"/>
      <c r="G1450" s="159"/>
      <c r="H1450" s="159"/>
      <c r="I1450" s="157"/>
      <c r="J1450" s="157"/>
      <c r="K1450" s="157"/>
      <c r="L1450" s="157"/>
      <c r="M1450" s="157"/>
      <c r="N1450" s="157"/>
      <c r="O1450" s="157"/>
      <c r="P1450" s="753"/>
      <c r="AK1450" s="40">
        <v>1447.0</v>
      </c>
      <c r="AL1450" s="738" t="s">
        <v>3721</v>
      </c>
      <c r="AM1450" s="738" t="s">
        <v>3722</v>
      </c>
      <c r="AN1450" s="738" t="s">
        <v>3723</v>
      </c>
      <c r="AO1450" s="739">
        <v>0.272</v>
      </c>
      <c r="AP1450" s="739" t="s">
        <v>3724</v>
      </c>
    </row>
    <row r="1451">
      <c r="A1451" s="159"/>
      <c r="B1451" s="159"/>
      <c r="C1451" s="159"/>
      <c r="D1451" s="159"/>
      <c r="E1451" s="159"/>
      <c r="F1451" s="159"/>
      <c r="G1451" s="159"/>
      <c r="H1451" s="159"/>
      <c r="I1451" s="157"/>
      <c r="J1451" s="157"/>
      <c r="K1451" s="157"/>
      <c r="L1451" s="157"/>
      <c r="M1451" s="157"/>
      <c r="N1451" s="157"/>
      <c r="O1451" s="157"/>
      <c r="P1451" s="753"/>
      <c r="AK1451" s="40">
        <v>1448.0</v>
      </c>
      <c r="AL1451" s="719" t="s">
        <v>3725</v>
      </c>
      <c r="AM1451" s="720" t="s">
        <v>3726</v>
      </c>
      <c r="AN1451" s="720" t="s">
        <v>3727</v>
      </c>
      <c r="AO1451" s="722">
        <v>0.372</v>
      </c>
      <c r="AP1451" s="722" t="s">
        <v>3728</v>
      </c>
    </row>
    <row r="1452">
      <c r="A1452" s="159"/>
      <c r="B1452" s="159"/>
      <c r="C1452" s="159"/>
      <c r="D1452" s="159"/>
      <c r="E1452" s="159"/>
      <c r="F1452" s="159"/>
      <c r="G1452" s="159"/>
      <c r="H1452" s="159"/>
      <c r="I1452" s="157"/>
      <c r="J1452" s="157"/>
      <c r="K1452" s="157"/>
      <c r="L1452" s="157"/>
      <c r="M1452" s="157"/>
      <c r="N1452" s="157"/>
      <c r="O1452" s="157"/>
      <c r="P1452" s="753"/>
      <c r="AK1452" s="40">
        <v>1449.0</v>
      </c>
      <c r="AL1452" s="738" t="s">
        <v>3729</v>
      </c>
      <c r="AM1452" s="738" t="s">
        <v>3730</v>
      </c>
      <c r="AN1452" s="738" t="s">
        <v>3731</v>
      </c>
      <c r="AO1452" s="739">
        <v>0.02</v>
      </c>
      <c r="AP1452" s="739" t="s">
        <v>3718</v>
      </c>
    </row>
    <row r="1453">
      <c r="A1453" s="159"/>
      <c r="B1453" s="159"/>
      <c r="C1453" s="159"/>
      <c r="D1453" s="159"/>
      <c r="E1453" s="159"/>
      <c r="F1453" s="159"/>
      <c r="G1453" s="159"/>
      <c r="H1453" s="159"/>
      <c r="I1453" s="157"/>
      <c r="J1453" s="157"/>
      <c r="K1453" s="157"/>
      <c r="L1453" s="157"/>
      <c r="M1453" s="157"/>
      <c r="N1453" s="157"/>
      <c r="O1453" s="157"/>
      <c r="P1453" s="753"/>
      <c r="AK1453" s="40">
        <v>1450.0</v>
      </c>
      <c r="AL1453" s="719" t="s">
        <v>3732</v>
      </c>
      <c r="AM1453" s="720" t="s">
        <v>3733</v>
      </c>
      <c r="AN1453" s="720" t="s">
        <v>3734</v>
      </c>
      <c r="AO1453" s="722">
        <v>0.054</v>
      </c>
      <c r="AP1453" s="722" t="s">
        <v>3720</v>
      </c>
    </row>
    <row r="1454">
      <c r="A1454" s="159"/>
      <c r="B1454" s="159"/>
      <c r="C1454" s="159"/>
      <c r="D1454" s="159"/>
      <c r="E1454" s="159"/>
      <c r="F1454" s="159"/>
      <c r="G1454" s="159"/>
      <c r="H1454" s="159"/>
      <c r="I1454" s="157"/>
      <c r="J1454" s="157"/>
      <c r="K1454" s="157"/>
      <c r="L1454" s="157"/>
      <c r="M1454" s="157"/>
      <c r="N1454" s="157"/>
      <c r="O1454" s="157"/>
      <c r="P1454" s="753"/>
      <c r="AK1454" s="40">
        <v>1451.0</v>
      </c>
      <c r="AL1454" s="738" t="s">
        <v>3735</v>
      </c>
      <c r="AM1454" s="738" t="s">
        <v>3736</v>
      </c>
      <c r="AN1454" s="738" t="s">
        <v>3737</v>
      </c>
      <c r="AO1454" s="739">
        <v>0.053</v>
      </c>
      <c r="AP1454" s="739" t="s">
        <v>3738</v>
      </c>
    </row>
    <row r="1455">
      <c r="A1455" s="159"/>
      <c r="B1455" s="159"/>
      <c r="C1455" s="159"/>
      <c r="D1455" s="159"/>
      <c r="E1455" s="159"/>
      <c r="F1455" s="159"/>
      <c r="G1455" s="159"/>
      <c r="H1455" s="159"/>
      <c r="I1455" s="157"/>
      <c r="J1455" s="157"/>
      <c r="K1455" s="157"/>
      <c r="L1455" s="157"/>
      <c r="M1455" s="157"/>
      <c r="N1455" s="157"/>
      <c r="O1455" s="157"/>
      <c r="P1455" s="753"/>
      <c r="AK1455" s="40">
        <v>1452.0</v>
      </c>
      <c r="AL1455" s="719" t="s">
        <v>3739</v>
      </c>
      <c r="AM1455" s="720" t="s">
        <v>3740</v>
      </c>
      <c r="AN1455" s="720" t="s">
        <v>3741</v>
      </c>
      <c r="AO1455" s="722">
        <v>0.229</v>
      </c>
      <c r="AP1455" s="722" t="s">
        <v>3742</v>
      </c>
    </row>
    <row r="1456">
      <c r="A1456" s="159"/>
      <c r="B1456" s="159"/>
      <c r="C1456" s="159"/>
      <c r="D1456" s="159"/>
      <c r="E1456" s="159"/>
      <c r="F1456" s="159"/>
      <c r="G1456" s="159"/>
      <c r="H1456" s="159"/>
      <c r="I1456" s="157"/>
      <c r="J1456" s="157"/>
      <c r="K1456" s="157"/>
      <c r="L1456" s="157"/>
      <c r="M1456" s="157"/>
      <c r="N1456" s="157"/>
      <c r="O1456" s="157"/>
      <c r="P1456" s="753"/>
      <c r="AK1456" s="40">
        <v>1453.0</v>
      </c>
      <c r="AL1456" s="738" t="s">
        <v>3743</v>
      </c>
      <c r="AM1456" s="738" t="s">
        <v>3744</v>
      </c>
      <c r="AN1456" s="738" t="s">
        <v>3745</v>
      </c>
      <c r="AO1456" s="739">
        <v>0.114</v>
      </c>
      <c r="AP1456" s="739" t="s">
        <v>3746</v>
      </c>
    </row>
    <row r="1457">
      <c r="A1457" s="159"/>
      <c r="B1457" s="159"/>
      <c r="C1457" s="159"/>
      <c r="D1457" s="159"/>
      <c r="E1457" s="159"/>
      <c r="F1457" s="159"/>
      <c r="G1457" s="159"/>
      <c r="H1457" s="159"/>
      <c r="I1457" s="157"/>
      <c r="J1457" s="157"/>
      <c r="K1457" s="157"/>
      <c r="L1457" s="157"/>
      <c r="M1457" s="157"/>
      <c r="N1457" s="157"/>
      <c r="O1457" s="157"/>
      <c r="P1457" s="753"/>
      <c r="AK1457" s="40">
        <v>1454.0</v>
      </c>
      <c r="AL1457" s="719" t="s">
        <v>3747</v>
      </c>
      <c r="AM1457" s="720" t="s">
        <v>3748</v>
      </c>
      <c r="AN1457" s="720" t="s">
        <v>3749</v>
      </c>
      <c r="AO1457" s="722">
        <v>0.304</v>
      </c>
      <c r="AP1457" s="722" t="s">
        <v>3750</v>
      </c>
    </row>
    <row r="1458">
      <c r="A1458" s="159"/>
      <c r="B1458" s="159"/>
      <c r="C1458" s="159"/>
      <c r="D1458" s="159"/>
      <c r="E1458" s="159"/>
      <c r="F1458" s="159"/>
      <c r="G1458" s="159"/>
      <c r="H1458" s="159"/>
      <c r="I1458" s="157"/>
      <c r="J1458" s="157"/>
      <c r="K1458" s="157"/>
      <c r="L1458" s="157"/>
      <c r="M1458" s="157"/>
      <c r="N1458" s="157"/>
      <c r="O1458" s="157"/>
      <c r="P1458" s="753"/>
      <c r="AK1458" s="40">
        <v>1455.0</v>
      </c>
      <c r="AL1458" s="738" t="s">
        <v>3751</v>
      </c>
      <c r="AM1458" s="738" t="s">
        <v>3683</v>
      </c>
      <c r="AN1458" s="738" t="s">
        <v>3684</v>
      </c>
      <c r="AO1458" s="739">
        <v>0.581</v>
      </c>
      <c r="AP1458" s="739" t="s">
        <v>3685</v>
      </c>
    </row>
    <row r="1459">
      <c r="A1459" s="159"/>
      <c r="B1459" s="159"/>
      <c r="C1459" s="159"/>
      <c r="D1459" s="159"/>
      <c r="E1459" s="159"/>
      <c r="F1459" s="159"/>
      <c r="G1459" s="159"/>
      <c r="H1459" s="159"/>
      <c r="I1459" s="157"/>
      <c r="J1459" s="157"/>
      <c r="K1459" s="157"/>
      <c r="L1459" s="157"/>
      <c r="M1459" s="157"/>
      <c r="N1459" s="157"/>
      <c r="O1459" s="157"/>
      <c r="P1459" s="753"/>
      <c r="AK1459" s="40">
        <v>1456.0</v>
      </c>
      <c r="AL1459" s="719" t="s">
        <v>3752</v>
      </c>
      <c r="AM1459" s="720" t="s">
        <v>3753</v>
      </c>
      <c r="AN1459" s="720" t="s">
        <v>3754</v>
      </c>
      <c r="AO1459" s="722">
        <v>0.295</v>
      </c>
      <c r="AP1459" s="722" t="s">
        <v>3755</v>
      </c>
    </row>
    <row r="1460">
      <c r="A1460" s="159"/>
      <c r="B1460" s="159"/>
      <c r="C1460" s="159"/>
      <c r="D1460" s="159"/>
      <c r="E1460" s="159"/>
      <c r="F1460" s="159"/>
      <c r="G1460" s="159"/>
      <c r="H1460" s="159"/>
      <c r="I1460" s="157"/>
      <c r="J1460" s="157"/>
      <c r="K1460" s="157"/>
      <c r="L1460" s="157"/>
      <c r="M1460" s="157"/>
      <c r="N1460" s="157"/>
      <c r="O1460" s="157"/>
      <c r="P1460" s="753"/>
      <c r="AK1460" s="40">
        <v>1457.0</v>
      </c>
      <c r="AL1460" s="738" t="s">
        <v>3756</v>
      </c>
      <c r="AM1460" s="738" t="s">
        <v>2156</v>
      </c>
      <c r="AN1460" s="745"/>
      <c r="AO1460" s="739">
        <v>0.0</v>
      </c>
      <c r="AP1460" s="739" t="s">
        <v>2157</v>
      </c>
    </row>
    <row r="1461">
      <c r="A1461" s="159"/>
      <c r="B1461" s="159"/>
      <c r="C1461" s="159"/>
      <c r="D1461" s="159"/>
      <c r="E1461" s="159"/>
      <c r="F1461" s="159"/>
      <c r="G1461" s="159"/>
      <c r="H1461" s="159"/>
      <c r="I1461" s="157"/>
      <c r="J1461" s="157"/>
      <c r="K1461" s="157"/>
      <c r="L1461" s="157"/>
      <c r="M1461" s="157"/>
      <c r="N1461" s="157"/>
      <c r="O1461" s="157"/>
      <c r="P1461" s="753"/>
      <c r="AK1461" s="40">
        <v>1458.0</v>
      </c>
      <c r="AL1461" s="719" t="s">
        <v>3757</v>
      </c>
      <c r="AM1461" s="720" t="s">
        <v>3688</v>
      </c>
      <c r="AN1461" s="720" t="s">
        <v>3689</v>
      </c>
      <c r="AO1461" s="722">
        <v>0.023</v>
      </c>
      <c r="AP1461" s="722" t="s">
        <v>3690</v>
      </c>
    </row>
    <row r="1462">
      <c r="A1462" s="159"/>
      <c r="B1462" s="159"/>
      <c r="C1462" s="159"/>
      <c r="D1462" s="159"/>
      <c r="E1462" s="159"/>
      <c r="F1462" s="159"/>
      <c r="G1462" s="159"/>
      <c r="H1462" s="159"/>
      <c r="I1462" s="157"/>
      <c r="J1462" s="157"/>
      <c r="K1462" s="157"/>
      <c r="L1462" s="157"/>
      <c r="M1462" s="157"/>
      <c r="N1462" s="157"/>
      <c r="O1462" s="157"/>
      <c r="P1462" s="753"/>
      <c r="AK1462" s="40">
        <v>1459.0</v>
      </c>
      <c r="AL1462" s="738" t="s">
        <v>3758</v>
      </c>
      <c r="AM1462" s="738" t="s">
        <v>3693</v>
      </c>
      <c r="AN1462" s="738" t="s">
        <v>3694</v>
      </c>
      <c r="AO1462" s="739">
        <v>0.165</v>
      </c>
      <c r="AP1462" s="739" t="s">
        <v>3695</v>
      </c>
    </row>
    <row r="1463">
      <c r="A1463" s="159"/>
      <c r="B1463" s="159"/>
      <c r="C1463" s="159"/>
      <c r="D1463" s="159"/>
      <c r="E1463" s="159"/>
      <c r="F1463" s="159"/>
      <c r="G1463" s="159"/>
      <c r="H1463" s="159"/>
      <c r="I1463" s="157"/>
      <c r="J1463" s="157"/>
      <c r="K1463" s="157"/>
      <c r="L1463" s="157"/>
      <c r="M1463" s="157"/>
      <c r="N1463" s="157"/>
      <c r="O1463" s="157"/>
      <c r="P1463" s="753"/>
      <c r="AK1463" s="40">
        <v>1460.0</v>
      </c>
      <c r="AL1463" s="719" t="s">
        <v>3759</v>
      </c>
      <c r="AM1463" s="720" t="s">
        <v>3760</v>
      </c>
      <c r="AN1463" s="720" t="s">
        <v>3761</v>
      </c>
      <c r="AO1463" s="722">
        <v>0.028</v>
      </c>
      <c r="AP1463" s="722" t="s">
        <v>3762</v>
      </c>
    </row>
    <row r="1464">
      <c r="A1464" s="159"/>
      <c r="B1464" s="159"/>
      <c r="C1464" s="159"/>
      <c r="D1464" s="159"/>
      <c r="E1464" s="159"/>
      <c r="F1464" s="159"/>
      <c r="G1464" s="159"/>
      <c r="H1464" s="159"/>
      <c r="I1464" s="157"/>
      <c r="J1464" s="157"/>
      <c r="K1464" s="157"/>
      <c r="L1464" s="157"/>
      <c r="M1464" s="157"/>
      <c r="N1464" s="157"/>
      <c r="O1464" s="157"/>
      <c r="P1464" s="753"/>
      <c r="AK1464" s="40">
        <v>1461.0</v>
      </c>
      <c r="AL1464" s="738" t="s">
        <v>3763</v>
      </c>
      <c r="AM1464" s="738" t="s">
        <v>3675</v>
      </c>
      <c r="AN1464" s="738" t="s">
        <v>3676</v>
      </c>
      <c r="AO1464" s="739">
        <v>0.117</v>
      </c>
      <c r="AP1464" s="739" t="s">
        <v>3677</v>
      </c>
    </row>
    <row r="1465">
      <c r="A1465" s="159"/>
      <c r="B1465" s="159"/>
      <c r="C1465" s="159"/>
      <c r="D1465" s="159"/>
      <c r="E1465" s="159"/>
      <c r="F1465" s="159"/>
      <c r="G1465" s="159"/>
      <c r="H1465" s="159"/>
      <c r="I1465" s="157"/>
      <c r="J1465" s="157"/>
      <c r="K1465" s="157"/>
      <c r="L1465" s="157"/>
      <c r="M1465" s="157"/>
      <c r="N1465" s="157"/>
      <c r="O1465" s="157"/>
      <c r="P1465" s="753"/>
      <c r="AK1465" s="40">
        <v>1462.0</v>
      </c>
      <c r="AL1465" s="719" t="s">
        <v>3764</v>
      </c>
      <c r="AM1465" s="720" t="s">
        <v>3679</v>
      </c>
      <c r="AN1465" s="720" t="s">
        <v>3680</v>
      </c>
      <c r="AO1465" s="722">
        <v>0.317</v>
      </c>
      <c r="AP1465" s="722" t="s">
        <v>3681</v>
      </c>
    </row>
    <row r="1466">
      <c r="A1466" s="159"/>
      <c r="B1466" s="159"/>
      <c r="C1466" s="159"/>
      <c r="D1466" s="159"/>
      <c r="E1466" s="159"/>
      <c r="F1466" s="159"/>
      <c r="G1466" s="159"/>
      <c r="H1466" s="159"/>
      <c r="I1466" s="157"/>
      <c r="J1466" s="157"/>
      <c r="K1466" s="157"/>
      <c r="L1466" s="157"/>
      <c r="M1466" s="157"/>
      <c r="N1466" s="157"/>
      <c r="O1466" s="157"/>
      <c r="P1466" s="753"/>
      <c r="AK1466" s="40">
        <v>1463.0</v>
      </c>
      <c r="AL1466" s="738" t="s">
        <v>3765</v>
      </c>
      <c r="AM1466" s="738" t="s">
        <v>3683</v>
      </c>
      <c r="AN1466" s="738" t="s">
        <v>3684</v>
      </c>
      <c r="AO1466" s="739">
        <v>0.581</v>
      </c>
      <c r="AP1466" s="739" t="s">
        <v>3685</v>
      </c>
    </row>
    <row r="1467">
      <c r="A1467" s="159"/>
      <c r="B1467" s="159"/>
      <c r="C1467" s="159"/>
      <c r="D1467" s="159"/>
      <c r="E1467" s="159"/>
      <c r="F1467" s="159"/>
      <c r="G1467" s="159"/>
      <c r="H1467" s="159"/>
      <c r="I1467" s="157"/>
      <c r="J1467" s="157"/>
      <c r="K1467" s="157"/>
      <c r="L1467" s="157"/>
      <c r="M1467" s="157"/>
      <c r="N1467" s="157"/>
      <c r="O1467" s="157"/>
      <c r="P1467" s="753"/>
      <c r="AK1467" s="40">
        <v>1464.0</v>
      </c>
      <c r="AL1467" s="719" t="s">
        <v>3766</v>
      </c>
      <c r="AM1467" s="720" t="s">
        <v>2156</v>
      </c>
      <c r="AN1467" s="721"/>
      <c r="AO1467" s="722">
        <v>0.0</v>
      </c>
      <c r="AP1467" s="722" t="s">
        <v>2157</v>
      </c>
    </row>
    <row r="1468">
      <c r="A1468" s="159"/>
      <c r="B1468" s="159"/>
      <c r="C1468" s="159"/>
      <c r="D1468" s="159"/>
      <c r="E1468" s="159"/>
      <c r="F1468" s="159"/>
      <c r="G1468" s="159"/>
      <c r="H1468" s="159"/>
      <c r="I1468" s="157"/>
      <c r="J1468" s="157"/>
      <c r="K1468" s="157"/>
      <c r="L1468" s="157"/>
      <c r="M1468" s="157"/>
      <c r="N1468" s="157"/>
      <c r="O1468" s="157"/>
      <c r="P1468" s="753"/>
      <c r="AK1468" s="40">
        <v>1465.0</v>
      </c>
      <c r="AL1468" s="738" t="s">
        <v>3767</v>
      </c>
      <c r="AM1468" s="738" t="s">
        <v>1793</v>
      </c>
      <c r="AN1468" s="738" t="s">
        <v>1794</v>
      </c>
      <c r="AO1468" s="739">
        <v>0.542</v>
      </c>
      <c r="AP1468" s="739" t="s">
        <v>1795</v>
      </c>
    </row>
    <row r="1469">
      <c r="A1469" s="159"/>
      <c r="B1469" s="159"/>
      <c r="C1469" s="159"/>
      <c r="D1469" s="159"/>
      <c r="E1469" s="159"/>
      <c r="F1469" s="159"/>
      <c r="G1469" s="159"/>
      <c r="H1469" s="159"/>
      <c r="I1469" s="157"/>
      <c r="J1469" s="157"/>
      <c r="K1469" s="157"/>
      <c r="L1469" s="157"/>
      <c r="M1469" s="157"/>
      <c r="N1469" s="157"/>
      <c r="O1469" s="157"/>
      <c r="P1469" s="753"/>
      <c r="AK1469" s="40">
        <v>1466.0</v>
      </c>
      <c r="AL1469" s="719" t="s">
        <v>3768</v>
      </c>
      <c r="AM1469" s="720" t="s">
        <v>2713</v>
      </c>
      <c r="AN1469" s="720" t="s">
        <v>2714</v>
      </c>
      <c r="AO1469" s="722">
        <v>0.139</v>
      </c>
      <c r="AP1469" s="722" t="s">
        <v>2715</v>
      </c>
    </row>
    <row r="1470">
      <c r="A1470" s="159"/>
      <c r="B1470" s="159"/>
      <c r="C1470" s="159"/>
      <c r="D1470" s="159"/>
      <c r="E1470" s="159"/>
      <c r="F1470" s="159"/>
      <c r="G1470" s="159"/>
      <c r="H1470" s="159"/>
      <c r="I1470" s="157"/>
      <c r="J1470" s="157"/>
      <c r="K1470" s="157"/>
      <c r="L1470" s="157"/>
      <c r="M1470" s="157"/>
      <c r="N1470" s="157"/>
      <c r="O1470" s="157"/>
      <c r="P1470" s="753"/>
      <c r="AK1470" s="40">
        <v>1467.0</v>
      </c>
      <c r="AL1470" s="738" t="s">
        <v>3769</v>
      </c>
      <c r="AM1470" s="738" t="s">
        <v>2284</v>
      </c>
      <c r="AN1470" s="738" t="s">
        <v>2285</v>
      </c>
      <c r="AO1470" s="739">
        <v>0.011</v>
      </c>
      <c r="AP1470" s="739" t="s">
        <v>2286</v>
      </c>
    </row>
    <row r="1471">
      <c r="A1471" s="159"/>
      <c r="B1471" s="159"/>
      <c r="C1471" s="159"/>
      <c r="D1471" s="159"/>
      <c r="E1471" s="159"/>
      <c r="F1471" s="159"/>
      <c r="G1471" s="159"/>
      <c r="H1471" s="159"/>
      <c r="I1471" s="157"/>
      <c r="J1471" s="157"/>
      <c r="K1471" s="157"/>
      <c r="L1471" s="157"/>
      <c r="M1471" s="157"/>
      <c r="N1471" s="157"/>
      <c r="O1471" s="157"/>
      <c r="P1471" s="753"/>
      <c r="AK1471" s="40">
        <v>1468.0</v>
      </c>
      <c r="AL1471" s="719" t="s">
        <v>3770</v>
      </c>
      <c r="AM1471" s="720" t="s">
        <v>2288</v>
      </c>
      <c r="AN1471" s="720" t="s">
        <v>2289</v>
      </c>
      <c r="AO1471" s="722">
        <v>0.043</v>
      </c>
      <c r="AP1471" s="722" t="s">
        <v>2290</v>
      </c>
    </row>
    <row r="1472">
      <c r="A1472" s="159"/>
      <c r="B1472" s="159"/>
      <c r="C1472" s="159"/>
      <c r="D1472" s="159"/>
      <c r="E1472" s="159"/>
      <c r="F1472" s="159"/>
      <c r="G1472" s="159"/>
      <c r="H1472" s="159"/>
      <c r="I1472" s="157"/>
      <c r="J1472" s="157"/>
      <c r="K1472" s="157"/>
      <c r="L1472" s="157"/>
      <c r="M1472" s="157"/>
      <c r="N1472" s="157"/>
      <c r="O1472" s="157"/>
      <c r="P1472" s="753"/>
      <c r="AK1472" s="40">
        <v>1469.0</v>
      </c>
      <c r="AL1472" s="738" t="s">
        <v>3771</v>
      </c>
      <c r="AM1472" s="738" t="s">
        <v>3374</v>
      </c>
      <c r="AN1472" s="738" t="s">
        <v>3375</v>
      </c>
      <c r="AO1472" s="739">
        <v>0.1</v>
      </c>
      <c r="AP1472" s="739" t="s">
        <v>3376</v>
      </c>
    </row>
    <row r="1473">
      <c r="A1473" s="159"/>
      <c r="B1473" s="159"/>
      <c r="C1473" s="159"/>
      <c r="D1473" s="159"/>
      <c r="E1473" s="159"/>
      <c r="F1473" s="159"/>
      <c r="G1473" s="159"/>
      <c r="H1473" s="159"/>
      <c r="I1473" s="157"/>
      <c r="J1473" s="157"/>
      <c r="K1473" s="157"/>
      <c r="L1473" s="157"/>
      <c r="M1473" s="157"/>
      <c r="N1473" s="157"/>
      <c r="O1473" s="157"/>
      <c r="P1473" s="753"/>
      <c r="AK1473" s="40">
        <v>1470.0</v>
      </c>
      <c r="AL1473" s="719" t="s">
        <v>3772</v>
      </c>
      <c r="AM1473" s="720" t="s">
        <v>3378</v>
      </c>
      <c r="AN1473" s="720" t="s">
        <v>3379</v>
      </c>
      <c r="AO1473" s="722">
        <v>0.16</v>
      </c>
      <c r="AP1473" s="722" t="s">
        <v>3380</v>
      </c>
    </row>
    <row r="1474">
      <c r="A1474" s="159"/>
      <c r="B1474" s="159"/>
      <c r="C1474" s="159"/>
      <c r="D1474" s="159"/>
      <c r="E1474" s="159"/>
      <c r="F1474" s="159"/>
      <c r="G1474" s="159"/>
      <c r="H1474" s="159"/>
      <c r="I1474" s="157"/>
      <c r="J1474" s="157"/>
      <c r="K1474" s="157"/>
      <c r="L1474" s="157"/>
      <c r="M1474" s="157"/>
      <c r="N1474" s="157"/>
      <c r="O1474" s="157"/>
      <c r="P1474" s="753"/>
      <c r="AK1474" s="40">
        <v>1471.0</v>
      </c>
      <c r="AL1474" s="738" t="s">
        <v>3773</v>
      </c>
      <c r="AM1474" s="738" t="s">
        <v>3382</v>
      </c>
      <c r="AN1474" s="738" t="s">
        <v>3383</v>
      </c>
      <c r="AO1474" s="739">
        <v>0.2</v>
      </c>
      <c r="AP1474" s="739" t="s">
        <v>3384</v>
      </c>
    </row>
    <row r="1475">
      <c r="A1475" s="159"/>
      <c r="B1475" s="159"/>
      <c r="C1475" s="159"/>
      <c r="D1475" s="159"/>
      <c r="E1475" s="159"/>
      <c r="F1475" s="159"/>
      <c r="G1475" s="159"/>
      <c r="H1475" s="159"/>
      <c r="I1475" s="157"/>
      <c r="J1475" s="157"/>
      <c r="K1475" s="157"/>
      <c r="L1475" s="157"/>
      <c r="M1475" s="157"/>
      <c r="N1475" s="157"/>
      <c r="O1475" s="157"/>
      <c r="P1475" s="753"/>
      <c r="AK1475" s="40">
        <v>1472.0</v>
      </c>
      <c r="AL1475" s="719" t="s">
        <v>3774</v>
      </c>
      <c r="AM1475" s="720" t="s">
        <v>2323</v>
      </c>
      <c r="AN1475" s="720" t="s">
        <v>2324</v>
      </c>
      <c r="AO1475" s="722">
        <v>0.01</v>
      </c>
      <c r="AP1475" s="722" t="s">
        <v>2325</v>
      </c>
    </row>
    <row r="1476">
      <c r="A1476" s="159"/>
      <c r="B1476" s="159"/>
      <c r="C1476" s="159"/>
      <c r="D1476" s="159"/>
      <c r="E1476" s="159"/>
      <c r="F1476" s="159"/>
      <c r="G1476" s="159"/>
      <c r="H1476" s="159"/>
      <c r="I1476" s="157"/>
      <c r="J1476" s="157"/>
      <c r="K1476" s="157"/>
      <c r="L1476" s="157"/>
      <c r="M1476" s="157"/>
      <c r="N1476" s="157"/>
      <c r="O1476" s="157"/>
      <c r="P1476" s="753"/>
      <c r="AK1476" s="40">
        <v>1473.0</v>
      </c>
      <c r="AL1476" s="738" t="s">
        <v>3775</v>
      </c>
      <c r="AM1476" s="738" t="s">
        <v>2033</v>
      </c>
      <c r="AN1476" s="738" t="s">
        <v>2034</v>
      </c>
      <c r="AO1476" s="739">
        <v>0.061</v>
      </c>
      <c r="AP1476" s="739" t="s">
        <v>2035</v>
      </c>
    </row>
    <row r="1477">
      <c r="A1477" s="159"/>
      <c r="B1477" s="159"/>
      <c r="C1477" s="159"/>
      <c r="D1477" s="159"/>
      <c r="E1477" s="159"/>
      <c r="F1477" s="159"/>
      <c r="G1477" s="159"/>
      <c r="H1477" s="159"/>
      <c r="I1477" s="157"/>
      <c r="J1477" s="157"/>
      <c r="K1477" s="157"/>
      <c r="L1477" s="157"/>
      <c r="M1477" s="157"/>
      <c r="N1477" s="157"/>
      <c r="O1477" s="157"/>
      <c r="P1477" s="753"/>
      <c r="AK1477" s="40">
        <v>1474.0</v>
      </c>
      <c r="AL1477" s="719" t="s">
        <v>3776</v>
      </c>
      <c r="AM1477" s="720" t="s">
        <v>1835</v>
      </c>
      <c r="AN1477" s="720" t="s">
        <v>1836</v>
      </c>
      <c r="AO1477" s="722">
        <v>0.402</v>
      </c>
      <c r="AP1477" s="722" t="s">
        <v>1837</v>
      </c>
    </row>
    <row r="1478">
      <c r="A1478" s="159"/>
      <c r="B1478" s="159"/>
      <c r="C1478" s="159"/>
      <c r="D1478" s="159"/>
      <c r="E1478" s="159"/>
      <c r="F1478" s="159"/>
      <c r="G1478" s="159"/>
      <c r="H1478" s="159"/>
      <c r="I1478" s="157"/>
      <c r="J1478" s="157"/>
      <c r="K1478" s="157"/>
      <c r="L1478" s="157"/>
      <c r="M1478" s="157"/>
      <c r="N1478" s="157"/>
      <c r="O1478" s="157"/>
      <c r="P1478" s="753"/>
      <c r="AK1478" s="40">
        <v>1475.0</v>
      </c>
      <c r="AL1478" s="738" t="s">
        <v>3777</v>
      </c>
      <c r="AM1478" s="738" t="s">
        <v>2329</v>
      </c>
      <c r="AN1478" s="738" t="s">
        <v>2330</v>
      </c>
      <c r="AO1478" s="739">
        <v>0.031</v>
      </c>
      <c r="AP1478" s="739" t="s">
        <v>2331</v>
      </c>
    </row>
    <row r="1479">
      <c r="A1479" s="159"/>
      <c r="B1479" s="159"/>
      <c r="C1479" s="159"/>
      <c r="D1479" s="159"/>
      <c r="E1479" s="159"/>
      <c r="F1479" s="159"/>
      <c r="G1479" s="159"/>
      <c r="H1479" s="159"/>
      <c r="I1479" s="157"/>
      <c r="J1479" s="157"/>
      <c r="K1479" s="157"/>
      <c r="L1479" s="157"/>
      <c r="M1479" s="157"/>
      <c r="N1479" s="157"/>
      <c r="O1479" s="157"/>
      <c r="P1479" s="753"/>
      <c r="AK1479" s="40">
        <v>1476.0</v>
      </c>
      <c r="AL1479" s="719" t="s">
        <v>3778</v>
      </c>
      <c r="AM1479" s="720" t="s">
        <v>1911</v>
      </c>
      <c r="AN1479" s="720" t="s">
        <v>1912</v>
      </c>
      <c r="AO1479" s="722">
        <v>0.203</v>
      </c>
      <c r="AP1479" s="722" t="s">
        <v>1913</v>
      </c>
    </row>
    <row r="1480">
      <c r="A1480" s="159"/>
      <c r="B1480" s="159"/>
      <c r="C1480" s="159"/>
      <c r="D1480" s="159"/>
      <c r="E1480" s="159"/>
      <c r="F1480" s="159"/>
      <c r="G1480" s="159"/>
      <c r="H1480" s="159"/>
      <c r="I1480" s="157"/>
      <c r="J1480" s="157"/>
      <c r="K1480" s="157"/>
      <c r="L1480" s="157"/>
      <c r="M1480" s="157"/>
      <c r="N1480" s="157"/>
      <c r="O1480" s="157"/>
      <c r="P1480" s="753"/>
      <c r="AK1480" s="40">
        <v>1477.0</v>
      </c>
      <c r="AL1480" s="738" t="s">
        <v>3779</v>
      </c>
      <c r="AM1480" s="738" t="s">
        <v>3780</v>
      </c>
      <c r="AN1480" s="738" t="s">
        <v>1744</v>
      </c>
      <c r="AO1480" s="739">
        <v>0.483</v>
      </c>
      <c r="AP1480" s="739" t="s">
        <v>3781</v>
      </c>
    </row>
    <row r="1481">
      <c r="A1481" s="159"/>
      <c r="B1481" s="159"/>
      <c r="C1481" s="159"/>
      <c r="D1481" s="159"/>
      <c r="E1481" s="159"/>
      <c r="F1481" s="159"/>
      <c r="G1481" s="159"/>
      <c r="H1481" s="159"/>
      <c r="I1481" s="157"/>
      <c r="J1481" s="157"/>
      <c r="K1481" s="157"/>
      <c r="L1481" s="157"/>
      <c r="M1481" s="157"/>
      <c r="N1481" s="157"/>
      <c r="O1481" s="157"/>
      <c r="P1481" s="753"/>
      <c r="AK1481" s="40">
        <v>1478.0</v>
      </c>
      <c r="AL1481" s="719" t="s">
        <v>3782</v>
      </c>
      <c r="AM1481" s="720" t="s">
        <v>3780</v>
      </c>
      <c r="AN1481" s="720" t="s">
        <v>1744</v>
      </c>
      <c r="AO1481" s="722">
        <v>0.483</v>
      </c>
      <c r="AP1481" s="722" t="s">
        <v>3781</v>
      </c>
    </row>
    <row r="1482">
      <c r="A1482" s="159"/>
      <c r="B1482" s="159"/>
      <c r="C1482" s="159"/>
      <c r="D1482" s="159"/>
      <c r="E1482" s="159"/>
      <c r="F1482" s="159"/>
      <c r="G1482" s="159"/>
      <c r="H1482" s="159"/>
      <c r="I1482" s="157"/>
      <c r="J1482" s="157"/>
      <c r="K1482" s="157"/>
      <c r="L1482" s="157"/>
      <c r="M1482" s="157"/>
      <c r="N1482" s="157"/>
      <c r="O1482" s="157"/>
      <c r="P1482" s="753"/>
      <c r="AK1482" s="40">
        <v>1479.0</v>
      </c>
      <c r="AL1482" s="738" t="s">
        <v>3783</v>
      </c>
      <c r="AM1482" s="738" t="s">
        <v>3780</v>
      </c>
      <c r="AN1482" s="738" t="s">
        <v>1744</v>
      </c>
      <c r="AO1482" s="739">
        <v>0.483</v>
      </c>
      <c r="AP1482" s="739" t="s">
        <v>3781</v>
      </c>
    </row>
    <row r="1483">
      <c r="A1483" s="159"/>
      <c r="B1483" s="159"/>
      <c r="C1483" s="159"/>
      <c r="D1483" s="159"/>
      <c r="E1483" s="159"/>
      <c r="F1483" s="159"/>
      <c r="G1483" s="159"/>
      <c r="H1483" s="159"/>
      <c r="I1483" s="157"/>
      <c r="J1483" s="157"/>
      <c r="K1483" s="157"/>
      <c r="L1483" s="157"/>
      <c r="M1483" s="157"/>
      <c r="N1483" s="157"/>
      <c r="O1483" s="157"/>
      <c r="P1483" s="753"/>
      <c r="AK1483" s="40">
        <v>1480.0</v>
      </c>
      <c r="AL1483" s="719" t="s">
        <v>3784</v>
      </c>
      <c r="AM1483" s="720" t="s">
        <v>3780</v>
      </c>
      <c r="AN1483" s="720" t="s">
        <v>1744</v>
      </c>
      <c r="AO1483" s="722">
        <v>0.483</v>
      </c>
      <c r="AP1483" s="722" t="s">
        <v>3781</v>
      </c>
    </row>
    <row r="1484">
      <c r="A1484" s="159"/>
      <c r="B1484" s="159"/>
      <c r="C1484" s="159"/>
      <c r="D1484" s="159"/>
      <c r="E1484" s="159"/>
      <c r="F1484" s="159"/>
      <c r="G1484" s="159"/>
      <c r="H1484" s="159"/>
      <c r="I1484" s="157"/>
      <c r="J1484" s="157"/>
      <c r="K1484" s="157"/>
      <c r="L1484" s="157"/>
      <c r="M1484" s="157"/>
      <c r="N1484" s="157"/>
      <c r="O1484" s="157"/>
      <c r="P1484" s="753"/>
      <c r="AK1484" s="40">
        <v>1481.0</v>
      </c>
      <c r="AL1484" s="738" t="s">
        <v>3785</v>
      </c>
      <c r="AM1484" s="738" t="s">
        <v>3780</v>
      </c>
      <c r="AN1484" s="738" t="s">
        <v>1744</v>
      </c>
      <c r="AO1484" s="739">
        <v>0.483</v>
      </c>
      <c r="AP1484" s="739" t="s">
        <v>3781</v>
      </c>
    </row>
    <row r="1485">
      <c r="A1485" s="159"/>
      <c r="B1485" s="159"/>
      <c r="C1485" s="159"/>
      <c r="D1485" s="159"/>
      <c r="E1485" s="159"/>
      <c r="F1485" s="159"/>
      <c r="G1485" s="159"/>
      <c r="H1485" s="159"/>
      <c r="I1485" s="157"/>
      <c r="J1485" s="157"/>
      <c r="K1485" s="157"/>
      <c r="L1485" s="157"/>
      <c r="M1485" s="157"/>
      <c r="N1485" s="157"/>
      <c r="O1485" s="157"/>
      <c r="P1485" s="753"/>
      <c r="AK1485" s="40">
        <v>1482.0</v>
      </c>
      <c r="AL1485" s="719" t="s">
        <v>3786</v>
      </c>
      <c r="AM1485" s="720" t="s">
        <v>2156</v>
      </c>
      <c r="AN1485" s="721"/>
      <c r="AO1485" s="722">
        <v>0.0</v>
      </c>
      <c r="AP1485" s="722" t="s">
        <v>2157</v>
      </c>
    </row>
    <row r="1486">
      <c r="A1486" s="159"/>
      <c r="B1486" s="159"/>
      <c r="C1486" s="159"/>
      <c r="D1486" s="159"/>
      <c r="E1486" s="159"/>
      <c r="F1486" s="159"/>
      <c r="G1486" s="159"/>
      <c r="H1486" s="159"/>
      <c r="I1486" s="157"/>
      <c r="J1486" s="157"/>
      <c r="K1486" s="157"/>
      <c r="L1486" s="157"/>
      <c r="M1486" s="157"/>
      <c r="N1486" s="157"/>
      <c r="O1486" s="157"/>
      <c r="P1486" s="753"/>
      <c r="AK1486" s="40">
        <v>1483.0</v>
      </c>
      <c r="AL1486" s="738" t="s">
        <v>3787</v>
      </c>
      <c r="AM1486" s="738" t="s">
        <v>3788</v>
      </c>
      <c r="AN1486" s="738" t="s">
        <v>1744</v>
      </c>
      <c r="AO1486" s="739">
        <v>0.505</v>
      </c>
      <c r="AP1486" s="739" t="s">
        <v>3789</v>
      </c>
    </row>
    <row r="1487">
      <c r="A1487" s="159"/>
      <c r="B1487" s="159"/>
      <c r="C1487" s="159"/>
      <c r="D1487" s="159"/>
      <c r="E1487" s="159"/>
      <c r="F1487" s="159"/>
      <c r="G1487" s="159"/>
      <c r="H1487" s="159"/>
      <c r="I1487" s="157"/>
      <c r="J1487" s="157"/>
      <c r="K1487" s="157"/>
      <c r="L1487" s="157"/>
      <c r="M1487" s="157"/>
      <c r="N1487" s="157"/>
      <c r="O1487" s="157"/>
      <c r="P1487" s="753"/>
      <c r="AK1487" s="40">
        <v>1484.0</v>
      </c>
      <c r="AL1487" s="719" t="s">
        <v>3790</v>
      </c>
      <c r="AM1487" s="720" t="s">
        <v>3791</v>
      </c>
      <c r="AN1487" s="720" t="s">
        <v>1744</v>
      </c>
      <c r="AO1487" s="722">
        <v>0.534</v>
      </c>
      <c r="AP1487" s="722" t="s">
        <v>3792</v>
      </c>
    </row>
    <row r="1488">
      <c r="A1488" s="159"/>
      <c r="B1488" s="159"/>
      <c r="C1488" s="159"/>
      <c r="D1488" s="159"/>
      <c r="E1488" s="159"/>
      <c r="F1488" s="159"/>
      <c r="G1488" s="159"/>
      <c r="H1488" s="159"/>
      <c r="I1488" s="157"/>
      <c r="J1488" s="157"/>
      <c r="K1488" s="157"/>
      <c r="L1488" s="157"/>
      <c r="M1488" s="157"/>
      <c r="N1488" s="157"/>
      <c r="O1488" s="157"/>
      <c r="P1488" s="753"/>
      <c r="AK1488" s="40">
        <v>1485.0</v>
      </c>
      <c r="AL1488" s="738" t="s">
        <v>3793</v>
      </c>
      <c r="AM1488" s="738" t="s">
        <v>3794</v>
      </c>
      <c r="AN1488" s="738" t="s">
        <v>1744</v>
      </c>
      <c r="AO1488" s="739">
        <v>0.564</v>
      </c>
      <c r="AP1488" s="739" t="s">
        <v>3795</v>
      </c>
    </row>
    <row r="1489">
      <c r="A1489" s="159"/>
      <c r="B1489" s="159"/>
      <c r="C1489" s="159"/>
      <c r="D1489" s="159"/>
      <c r="E1489" s="159"/>
      <c r="F1489" s="159"/>
      <c r="G1489" s="159"/>
      <c r="H1489" s="159"/>
      <c r="I1489" s="157"/>
      <c r="J1489" s="157"/>
      <c r="K1489" s="157"/>
      <c r="L1489" s="157"/>
      <c r="M1489" s="157"/>
      <c r="N1489" s="157"/>
      <c r="O1489" s="157"/>
      <c r="P1489" s="753"/>
      <c r="AK1489" s="40">
        <v>1486.0</v>
      </c>
      <c r="AL1489" s="719" t="s">
        <v>3796</v>
      </c>
      <c r="AM1489" s="720" t="s">
        <v>3794</v>
      </c>
      <c r="AN1489" s="720" t="s">
        <v>1744</v>
      </c>
      <c r="AO1489" s="722">
        <v>0.564</v>
      </c>
      <c r="AP1489" s="722" t="s">
        <v>3795</v>
      </c>
    </row>
    <row r="1490">
      <c r="A1490" s="159"/>
      <c r="B1490" s="159"/>
      <c r="C1490" s="159"/>
      <c r="D1490" s="159"/>
      <c r="E1490" s="159"/>
      <c r="F1490" s="159"/>
      <c r="G1490" s="159"/>
      <c r="H1490" s="159"/>
      <c r="I1490" s="157"/>
      <c r="J1490" s="157"/>
      <c r="K1490" s="157"/>
      <c r="L1490" s="157"/>
      <c r="M1490" s="157"/>
      <c r="N1490" s="157"/>
      <c r="O1490" s="157"/>
      <c r="P1490" s="753"/>
      <c r="AK1490" s="40">
        <v>1487.0</v>
      </c>
      <c r="AL1490" s="738" t="s">
        <v>3797</v>
      </c>
      <c r="AM1490" s="738" t="s">
        <v>3798</v>
      </c>
      <c r="AN1490" s="738" t="s">
        <v>1744</v>
      </c>
      <c r="AO1490" s="739">
        <v>0.427</v>
      </c>
      <c r="AP1490" s="739" t="s">
        <v>3799</v>
      </c>
    </row>
    <row r="1491">
      <c r="A1491" s="159"/>
      <c r="B1491" s="159"/>
      <c r="C1491" s="159"/>
      <c r="D1491" s="159"/>
      <c r="E1491" s="159"/>
      <c r="F1491" s="159"/>
      <c r="G1491" s="159"/>
      <c r="H1491" s="159"/>
      <c r="I1491" s="157"/>
      <c r="J1491" s="157"/>
      <c r="K1491" s="157"/>
      <c r="L1491" s="157"/>
      <c r="M1491" s="157"/>
      <c r="N1491" s="157"/>
      <c r="O1491" s="157"/>
      <c r="P1491" s="753"/>
      <c r="AK1491" s="40">
        <v>1488.0</v>
      </c>
      <c r="AL1491" s="719" t="s">
        <v>3800</v>
      </c>
      <c r="AM1491" s="720" t="s">
        <v>3801</v>
      </c>
      <c r="AN1491" s="720" t="s">
        <v>1744</v>
      </c>
      <c r="AO1491" s="722">
        <v>0.461</v>
      </c>
      <c r="AP1491" s="722" t="s">
        <v>3802</v>
      </c>
    </row>
    <row r="1492">
      <c r="A1492" s="159"/>
      <c r="B1492" s="159"/>
      <c r="C1492" s="159"/>
      <c r="D1492" s="159"/>
      <c r="E1492" s="159"/>
      <c r="F1492" s="159"/>
      <c r="G1492" s="159"/>
      <c r="H1492" s="159"/>
      <c r="I1492" s="157"/>
      <c r="J1492" s="157"/>
      <c r="K1492" s="157"/>
      <c r="L1492" s="157"/>
      <c r="M1492" s="157"/>
      <c r="N1492" s="157"/>
      <c r="O1492" s="157"/>
      <c r="P1492" s="753"/>
      <c r="AK1492" s="40">
        <v>1489.0</v>
      </c>
      <c r="AL1492" s="738" t="s">
        <v>3803</v>
      </c>
      <c r="AM1492" s="738" t="s">
        <v>3804</v>
      </c>
      <c r="AN1492" s="738" t="s">
        <v>1744</v>
      </c>
      <c r="AO1492" s="739">
        <v>0.496</v>
      </c>
      <c r="AP1492" s="739" t="s">
        <v>3805</v>
      </c>
    </row>
    <row r="1493">
      <c r="A1493" s="159"/>
      <c r="B1493" s="159"/>
      <c r="C1493" s="159"/>
      <c r="D1493" s="159"/>
      <c r="E1493" s="159"/>
      <c r="F1493" s="159"/>
      <c r="G1493" s="159"/>
      <c r="H1493" s="159"/>
      <c r="I1493" s="157"/>
      <c r="J1493" s="157"/>
      <c r="K1493" s="157"/>
      <c r="L1493" s="157"/>
      <c r="M1493" s="157"/>
      <c r="N1493" s="157"/>
      <c r="O1493" s="157"/>
      <c r="P1493" s="753"/>
      <c r="AK1493" s="40">
        <v>1490.0</v>
      </c>
      <c r="AL1493" s="719" t="s">
        <v>3806</v>
      </c>
      <c r="AM1493" s="720" t="s">
        <v>3807</v>
      </c>
      <c r="AN1493" s="720" t="s">
        <v>1744</v>
      </c>
      <c r="AO1493" s="722">
        <v>0.148</v>
      </c>
      <c r="AP1493" s="722" t="s">
        <v>3808</v>
      </c>
    </row>
    <row r="1494">
      <c r="A1494" s="159"/>
      <c r="B1494" s="159"/>
      <c r="C1494" s="159"/>
      <c r="D1494" s="159"/>
      <c r="E1494" s="159"/>
      <c r="F1494" s="159"/>
      <c r="G1494" s="159"/>
      <c r="H1494" s="159"/>
      <c r="I1494" s="157"/>
      <c r="J1494" s="157"/>
      <c r="K1494" s="157"/>
      <c r="L1494" s="157"/>
      <c r="M1494" s="157"/>
      <c r="N1494" s="157"/>
      <c r="O1494" s="157"/>
      <c r="P1494" s="753"/>
      <c r="AK1494" s="40">
        <v>1491.0</v>
      </c>
      <c r="AL1494" s="738" t="s">
        <v>3809</v>
      </c>
      <c r="AM1494" s="738" t="s">
        <v>3810</v>
      </c>
      <c r="AN1494" s="738" t="s">
        <v>1744</v>
      </c>
      <c r="AO1494" s="739">
        <v>0.176</v>
      </c>
      <c r="AP1494" s="739" t="s">
        <v>3811</v>
      </c>
    </row>
    <row r="1495">
      <c r="A1495" s="159"/>
      <c r="B1495" s="159"/>
      <c r="C1495" s="159"/>
      <c r="D1495" s="159"/>
      <c r="E1495" s="159"/>
      <c r="F1495" s="159"/>
      <c r="G1495" s="159"/>
      <c r="H1495" s="159"/>
      <c r="I1495" s="157"/>
      <c r="J1495" s="157"/>
      <c r="K1495" s="157"/>
      <c r="L1495" s="157"/>
      <c r="M1495" s="157"/>
      <c r="N1495" s="157"/>
      <c r="O1495" s="157"/>
      <c r="P1495" s="753"/>
      <c r="AK1495" s="40">
        <v>1492.0</v>
      </c>
      <c r="AL1495" s="719" t="s">
        <v>3812</v>
      </c>
      <c r="AM1495" s="720" t="s">
        <v>3813</v>
      </c>
      <c r="AN1495" s="720" t="s">
        <v>1744</v>
      </c>
      <c r="AO1495" s="722">
        <v>0.225</v>
      </c>
      <c r="AP1495" s="722" t="s">
        <v>3814</v>
      </c>
    </row>
    <row r="1496">
      <c r="A1496" s="159"/>
      <c r="B1496" s="159"/>
      <c r="C1496" s="159"/>
      <c r="D1496" s="159"/>
      <c r="E1496" s="159"/>
      <c r="F1496" s="159"/>
      <c r="G1496" s="159"/>
      <c r="H1496" s="159"/>
      <c r="I1496" s="157"/>
      <c r="J1496" s="157"/>
      <c r="K1496" s="157"/>
      <c r="L1496" s="157"/>
      <c r="M1496" s="157"/>
      <c r="N1496" s="157"/>
      <c r="O1496" s="157"/>
      <c r="P1496" s="753"/>
      <c r="AK1496" s="40">
        <v>1493.0</v>
      </c>
      <c r="AL1496" s="738" t="s">
        <v>3815</v>
      </c>
      <c r="AM1496" s="738" t="s">
        <v>3816</v>
      </c>
      <c r="AN1496" s="738" t="s">
        <v>1744</v>
      </c>
      <c r="AO1496" s="739">
        <v>0.276</v>
      </c>
      <c r="AP1496" s="739" t="s">
        <v>3817</v>
      </c>
    </row>
    <row r="1497">
      <c r="A1497" s="159"/>
      <c r="B1497" s="159"/>
      <c r="C1497" s="159"/>
      <c r="D1497" s="159"/>
      <c r="E1497" s="159"/>
      <c r="F1497" s="159"/>
      <c r="G1497" s="159"/>
      <c r="H1497" s="159"/>
      <c r="I1497" s="157"/>
      <c r="J1497" s="157"/>
      <c r="K1497" s="157"/>
      <c r="L1497" s="157"/>
      <c r="M1497" s="157"/>
      <c r="N1497" s="157"/>
      <c r="O1497" s="157"/>
      <c r="P1497" s="753"/>
      <c r="AK1497" s="40">
        <v>1494.0</v>
      </c>
      <c r="AL1497" s="719" t="s">
        <v>3818</v>
      </c>
      <c r="AM1497" s="720" t="s">
        <v>3819</v>
      </c>
      <c r="AN1497" s="720" t="s">
        <v>1744</v>
      </c>
      <c r="AO1497" s="722">
        <v>0.311</v>
      </c>
      <c r="AP1497" s="722" t="s">
        <v>1871</v>
      </c>
    </row>
    <row r="1498">
      <c r="A1498" s="159"/>
      <c r="B1498" s="159"/>
      <c r="C1498" s="159"/>
      <c r="D1498" s="159"/>
      <c r="E1498" s="159"/>
      <c r="F1498" s="159"/>
      <c r="G1498" s="159"/>
      <c r="H1498" s="159"/>
      <c r="I1498" s="157"/>
      <c r="J1498" s="157"/>
      <c r="K1498" s="157"/>
      <c r="L1498" s="157"/>
      <c r="M1498" s="157"/>
      <c r="N1498" s="157"/>
      <c r="O1498" s="157"/>
      <c r="P1498" s="753"/>
      <c r="AK1498" s="40">
        <v>1495.0</v>
      </c>
      <c r="AL1498" s="738" t="s">
        <v>3820</v>
      </c>
      <c r="AM1498" s="738" t="s">
        <v>3821</v>
      </c>
      <c r="AN1498" s="738" t="s">
        <v>1744</v>
      </c>
      <c r="AO1498" s="739">
        <v>0.021</v>
      </c>
      <c r="AP1498" s="739" t="s">
        <v>3822</v>
      </c>
    </row>
    <row r="1499">
      <c r="A1499" s="159"/>
      <c r="B1499" s="159"/>
      <c r="C1499" s="159"/>
      <c r="D1499" s="159"/>
      <c r="E1499" s="159"/>
      <c r="F1499" s="159"/>
      <c r="G1499" s="159"/>
      <c r="H1499" s="159"/>
      <c r="I1499" s="157"/>
      <c r="J1499" s="157"/>
      <c r="K1499" s="157"/>
      <c r="L1499" s="157"/>
      <c r="M1499" s="157"/>
      <c r="N1499" s="157"/>
      <c r="O1499" s="157"/>
      <c r="P1499" s="753"/>
      <c r="AK1499" s="40">
        <v>1496.0</v>
      </c>
      <c r="AL1499" s="719" t="s">
        <v>3823</v>
      </c>
      <c r="AM1499" s="720" t="s">
        <v>3824</v>
      </c>
      <c r="AN1499" s="720" t="s">
        <v>1744</v>
      </c>
      <c r="AO1499" s="722">
        <v>0.071</v>
      </c>
      <c r="AP1499" s="722" t="s">
        <v>3825</v>
      </c>
    </row>
    <row r="1500">
      <c r="A1500" s="159"/>
      <c r="B1500" s="159"/>
      <c r="C1500" s="159"/>
      <c r="D1500" s="159"/>
      <c r="E1500" s="159"/>
      <c r="F1500" s="159"/>
      <c r="G1500" s="159"/>
      <c r="H1500" s="159"/>
      <c r="I1500" s="157"/>
      <c r="J1500" s="157"/>
      <c r="K1500" s="157"/>
      <c r="L1500" s="157"/>
      <c r="M1500" s="157"/>
      <c r="N1500" s="157"/>
      <c r="O1500" s="157"/>
      <c r="P1500" s="753"/>
      <c r="AK1500" s="40">
        <v>1497.0</v>
      </c>
      <c r="AL1500" s="738" t="s">
        <v>3826</v>
      </c>
      <c r="AM1500" s="738" t="s">
        <v>3827</v>
      </c>
      <c r="AN1500" s="738" t="s">
        <v>1744</v>
      </c>
      <c r="AO1500" s="739">
        <v>0.408</v>
      </c>
      <c r="AP1500" s="739" t="s">
        <v>3828</v>
      </c>
    </row>
    <row r="1501">
      <c r="A1501" s="159"/>
      <c r="B1501" s="159"/>
      <c r="C1501" s="159"/>
      <c r="D1501" s="159"/>
      <c r="E1501" s="159"/>
      <c r="F1501" s="159"/>
      <c r="G1501" s="159"/>
      <c r="H1501" s="159"/>
      <c r="I1501" s="157"/>
      <c r="J1501" s="157"/>
      <c r="K1501" s="157"/>
      <c r="L1501" s="157"/>
      <c r="M1501" s="157"/>
      <c r="N1501" s="157"/>
      <c r="O1501" s="157"/>
      <c r="P1501" s="753"/>
      <c r="AK1501" s="40">
        <v>1498.0</v>
      </c>
      <c r="AL1501" s="719" t="s">
        <v>3829</v>
      </c>
      <c r="AM1501" s="720" t="s">
        <v>3830</v>
      </c>
      <c r="AN1501" s="720" t="s">
        <v>1744</v>
      </c>
      <c r="AO1501" s="722">
        <v>0.101</v>
      </c>
      <c r="AP1501" s="722" t="s">
        <v>3831</v>
      </c>
    </row>
    <row r="1502">
      <c r="A1502" s="159"/>
      <c r="B1502" s="159"/>
      <c r="C1502" s="159"/>
      <c r="D1502" s="159"/>
      <c r="E1502" s="159"/>
      <c r="F1502" s="159"/>
      <c r="G1502" s="159"/>
      <c r="H1502" s="159"/>
      <c r="I1502" s="157"/>
      <c r="J1502" s="157"/>
      <c r="K1502" s="157"/>
      <c r="L1502" s="157"/>
      <c r="M1502" s="157"/>
      <c r="N1502" s="157"/>
      <c r="O1502" s="157"/>
      <c r="P1502" s="753"/>
      <c r="AK1502" s="40">
        <v>1499.0</v>
      </c>
      <c r="AL1502" s="738" t="s">
        <v>3832</v>
      </c>
      <c r="AM1502" s="738" t="s">
        <v>3833</v>
      </c>
      <c r="AN1502" s="738" t="s">
        <v>1744</v>
      </c>
      <c r="AO1502" s="739">
        <v>0.109</v>
      </c>
      <c r="AP1502" s="739" t="s">
        <v>1996</v>
      </c>
    </row>
    <row r="1503">
      <c r="A1503" s="159"/>
      <c r="B1503" s="159"/>
      <c r="C1503" s="159"/>
      <c r="D1503" s="159"/>
      <c r="E1503" s="159"/>
      <c r="F1503" s="159"/>
      <c r="G1503" s="159"/>
      <c r="H1503" s="159"/>
      <c r="I1503" s="157"/>
      <c r="J1503" s="157"/>
      <c r="K1503" s="157"/>
      <c r="L1503" s="157"/>
      <c r="M1503" s="157"/>
      <c r="N1503" s="157"/>
      <c r="O1503" s="157"/>
      <c r="P1503" s="753"/>
      <c r="AK1503" s="40">
        <v>1500.0</v>
      </c>
      <c r="AL1503" s="719" t="s">
        <v>3834</v>
      </c>
      <c r="AM1503" s="720" t="s">
        <v>3835</v>
      </c>
      <c r="AN1503" s="720" t="s">
        <v>1744</v>
      </c>
      <c r="AO1503" s="722">
        <v>0.169</v>
      </c>
      <c r="AP1503" s="722" t="s">
        <v>3836</v>
      </c>
    </row>
    <row r="1504">
      <c r="A1504" s="159"/>
      <c r="B1504" s="159"/>
      <c r="C1504" s="159"/>
      <c r="D1504" s="159"/>
      <c r="E1504" s="159"/>
      <c r="F1504" s="159"/>
      <c r="G1504" s="159"/>
      <c r="H1504" s="159"/>
      <c r="I1504" s="157"/>
      <c r="J1504" s="157"/>
      <c r="K1504" s="157"/>
      <c r="L1504" s="157"/>
      <c r="M1504" s="157"/>
      <c r="N1504" s="157"/>
      <c r="O1504" s="157"/>
      <c r="P1504" s="753"/>
      <c r="AK1504" s="40">
        <v>1501.0</v>
      </c>
      <c r="AL1504" s="738" t="s">
        <v>3837</v>
      </c>
      <c r="AM1504" s="738" t="s">
        <v>3838</v>
      </c>
      <c r="AN1504" s="738" t="s">
        <v>1744</v>
      </c>
      <c r="AO1504" s="739">
        <v>0.211</v>
      </c>
      <c r="AP1504" s="739" t="s">
        <v>3839</v>
      </c>
    </row>
    <row r="1505">
      <c r="A1505" s="159"/>
      <c r="B1505" s="159"/>
      <c r="C1505" s="159"/>
      <c r="D1505" s="159"/>
      <c r="E1505" s="159"/>
      <c r="F1505" s="159"/>
      <c r="G1505" s="159"/>
      <c r="H1505" s="159"/>
      <c r="I1505" s="157"/>
      <c r="J1505" s="157"/>
      <c r="K1505" s="157"/>
      <c r="L1505" s="157"/>
      <c r="M1505" s="157"/>
      <c r="N1505" s="157"/>
      <c r="O1505" s="157"/>
      <c r="P1505" s="753"/>
      <c r="AK1505" s="40">
        <v>1502.0</v>
      </c>
      <c r="AL1505" s="719" t="s">
        <v>3840</v>
      </c>
      <c r="AM1505" s="720" t="s">
        <v>3841</v>
      </c>
      <c r="AN1505" s="720" t="s">
        <v>1744</v>
      </c>
      <c r="AO1505" s="722">
        <v>0.157</v>
      </c>
      <c r="AP1505" s="722" t="s">
        <v>3842</v>
      </c>
    </row>
    <row r="1506">
      <c r="A1506" s="159"/>
      <c r="B1506" s="159"/>
      <c r="C1506" s="159"/>
      <c r="D1506" s="159"/>
      <c r="E1506" s="159"/>
      <c r="F1506" s="159"/>
      <c r="G1506" s="159"/>
      <c r="H1506" s="159"/>
      <c r="I1506" s="157"/>
      <c r="J1506" s="157"/>
      <c r="K1506" s="157"/>
      <c r="L1506" s="157"/>
      <c r="M1506" s="157"/>
      <c r="N1506" s="157"/>
      <c r="O1506" s="157"/>
      <c r="P1506" s="753"/>
      <c r="AK1506" s="40">
        <v>1503.0</v>
      </c>
      <c r="AL1506" s="738" t="s">
        <v>3843</v>
      </c>
      <c r="AM1506" s="738" t="s">
        <v>3844</v>
      </c>
      <c r="AN1506" s="738" t="s">
        <v>1744</v>
      </c>
      <c r="AO1506" s="739">
        <v>0.2</v>
      </c>
      <c r="AP1506" s="739" t="s">
        <v>3845</v>
      </c>
    </row>
    <row r="1507">
      <c r="A1507" s="159"/>
      <c r="B1507" s="159"/>
      <c r="C1507" s="159"/>
      <c r="D1507" s="159"/>
      <c r="E1507" s="159"/>
      <c r="F1507" s="159"/>
      <c r="G1507" s="159"/>
      <c r="H1507" s="159"/>
      <c r="I1507" s="157"/>
      <c r="J1507" s="157"/>
      <c r="K1507" s="157"/>
      <c r="L1507" s="157"/>
      <c r="M1507" s="157"/>
      <c r="N1507" s="157"/>
      <c r="O1507" s="157"/>
      <c r="P1507" s="753"/>
      <c r="AK1507" s="40">
        <v>1504.0</v>
      </c>
      <c r="AL1507" s="719" t="s">
        <v>3846</v>
      </c>
      <c r="AM1507" s="720" t="s">
        <v>3847</v>
      </c>
      <c r="AN1507" s="720" t="s">
        <v>1744</v>
      </c>
      <c r="AO1507" s="722">
        <v>0.489</v>
      </c>
      <c r="AP1507" s="722" t="s">
        <v>3848</v>
      </c>
    </row>
    <row r="1508">
      <c r="A1508" s="159"/>
      <c r="B1508" s="159"/>
      <c r="C1508" s="159"/>
      <c r="D1508" s="159"/>
      <c r="E1508" s="159"/>
      <c r="F1508" s="159"/>
      <c r="G1508" s="159"/>
      <c r="H1508" s="159"/>
      <c r="I1508" s="157"/>
      <c r="J1508" s="157"/>
      <c r="K1508" s="157"/>
      <c r="L1508" s="157"/>
      <c r="M1508" s="157"/>
      <c r="N1508" s="157"/>
      <c r="O1508" s="157"/>
      <c r="P1508" s="753"/>
      <c r="AK1508" s="40">
        <v>1505.0</v>
      </c>
      <c r="AL1508" s="738" t="s">
        <v>3849</v>
      </c>
      <c r="AM1508" s="738" t="s">
        <v>3850</v>
      </c>
      <c r="AN1508" s="738" t="s">
        <v>1744</v>
      </c>
      <c r="AO1508" s="739">
        <v>0.184</v>
      </c>
      <c r="AP1508" s="739" t="s">
        <v>3851</v>
      </c>
    </row>
    <row r="1509">
      <c r="A1509" s="159"/>
      <c r="B1509" s="159"/>
      <c r="C1509" s="159"/>
      <c r="D1509" s="159"/>
      <c r="E1509" s="159"/>
      <c r="F1509" s="159"/>
      <c r="G1509" s="159"/>
      <c r="H1509" s="159"/>
      <c r="I1509" s="157"/>
      <c r="J1509" s="157"/>
      <c r="K1509" s="157"/>
      <c r="L1509" s="157"/>
      <c r="M1509" s="157"/>
      <c r="N1509" s="157"/>
      <c r="O1509" s="157"/>
      <c r="P1509" s="753"/>
      <c r="AK1509" s="40">
        <v>1506.0</v>
      </c>
      <c r="AL1509" s="719" t="s">
        <v>3852</v>
      </c>
      <c r="AM1509" s="720" t="s">
        <v>3853</v>
      </c>
      <c r="AN1509" s="720" t="s">
        <v>1744</v>
      </c>
      <c r="AO1509" s="722">
        <v>0.272</v>
      </c>
      <c r="AP1509" s="722" t="s">
        <v>3854</v>
      </c>
    </row>
    <row r="1510">
      <c r="A1510" s="159"/>
      <c r="B1510" s="159"/>
      <c r="C1510" s="159"/>
      <c r="D1510" s="159"/>
      <c r="E1510" s="159"/>
      <c r="F1510" s="159"/>
      <c r="G1510" s="159"/>
      <c r="H1510" s="159"/>
      <c r="I1510" s="157"/>
      <c r="J1510" s="157"/>
      <c r="K1510" s="157"/>
      <c r="L1510" s="157"/>
      <c r="M1510" s="157"/>
      <c r="N1510" s="157"/>
      <c r="O1510" s="157"/>
      <c r="P1510" s="753"/>
      <c r="AK1510" s="40">
        <v>1507.0</v>
      </c>
      <c r="AL1510" s="738" t="s">
        <v>3855</v>
      </c>
      <c r="AM1510" s="738" t="s">
        <v>3856</v>
      </c>
      <c r="AN1510" s="738" t="s">
        <v>1744</v>
      </c>
      <c r="AO1510" s="739">
        <v>0.233</v>
      </c>
      <c r="AP1510" s="739" t="s">
        <v>3857</v>
      </c>
    </row>
    <row r="1511">
      <c r="A1511" s="159"/>
      <c r="B1511" s="159"/>
      <c r="C1511" s="159"/>
      <c r="D1511" s="159"/>
      <c r="E1511" s="159"/>
      <c r="F1511" s="159"/>
      <c r="G1511" s="159"/>
      <c r="H1511" s="159"/>
      <c r="I1511" s="157"/>
      <c r="J1511" s="157"/>
      <c r="K1511" s="157"/>
      <c r="L1511" s="157"/>
      <c r="M1511" s="157"/>
      <c r="N1511" s="157"/>
      <c r="O1511" s="157"/>
      <c r="P1511" s="753"/>
      <c r="AK1511" s="40">
        <v>1508.0</v>
      </c>
      <c r="AL1511" s="719" t="s">
        <v>3858</v>
      </c>
      <c r="AM1511" s="720" t="s">
        <v>3859</v>
      </c>
      <c r="AN1511" s="720" t="s">
        <v>1744</v>
      </c>
      <c r="AO1511" s="722">
        <v>0.272</v>
      </c>
      <c r="AP1511" s="722" t="s">
        <v>3854</v>
      </c>
    </row>
    <row r="1512">
      <c r="A1512" s="159"/>
      <c r="B1512" s="159"/>
      <c r="C1512" s="159"/>
      <c r="D1512" s="159"/>
      <c r="E1512" s="159"/>
      <c r="F1512" s="159"/>
      <c r="G1512" s="159"/>
      <c r="H1512" s="159"/>
      <c r="I1512" s="157"/>
      <c r="J1512" s="157"/>
      <c r="K1512" s="157"/>
      <c r="L1512" s="157"/>
      <c r="M1512" s="157"/>
      <c r="N1512" s="157"/>
      <c r="O1512" s="157"/>
      <c r="P1512" s="753"/>
      <c r="AK1512" s="40">
        <v>1509.0</v>
      </c>
      <c r="AL1512" s="738" t="s">
        <v>3860</v>
      </c>
      <c r="AM1512" s="738" t="s">
        <v>3861</v>
      </c>
      <c r="AN1512" s="738" t="s">
        <v>1744</v>
      </c>
      <c r="AO1512" s="739">
        <v>0.284</v>
      </c>
      <c r="AP1512" s="739" t="s">
        <v>3862</v>
      </c>
    </row>
    <row r="1513">
      <c r="A1513" s="159"/>
      <c r="B1513" s="159"/>
      <c r="C1513" s="159"/>
      <c r="D1513" s="159"/>
      <c r="E1513" s="159"/>
      <c r="F1513" s="159"/>
      <c r="G1513" s="159"/>
      <c r="H1513" s="159"/>
      <c r="I1513" s="157"/>
      <c r="J1513" s="157"/>
      <c r="K1513" s="157"/>
      <c r="L1513" s="157"/>
      <c r="M1513" s="157"/>
      <c r="N1513" s="157"/>
      <c r="O1513" s="157"/>
      <c r="P1513" s="753"/>
      <c r="AK1513" s="40">
        <v>1510.0</v>
      </c>
      <c r="AL1513" s="719" t="s">
        <v>3863</v>
      </c>
      <c r="AM1513" s="720" t="s">
        <v>3864</v>
      </c>
      <c r="AN1513" s="720" t="s">
        <v>1744</v>
      </c>
      <c r="AO1513" s="722">
        <v>0.32</v>
      </c>
      <c r="AP1513" s="722" t="s">
        <v>3865</v>
      </c>
    </row>
    <row r="1514">
      <c r="A1514" s="159"/>
      <c r="B1514" s="159"/>
      <c r="C1514" s="159"/>
      <c r="D1514" s="159"/>
      <c r="E1514" s="159"/>
      <c r="F1514" s="159"/>
      <c r="G1514" s="159"/>
      <c r="H1514" s="159"/>
      <c r="I1514" s="157"/>
      <c r="J1514" s="157"/>
      <c r="K1514" s="157"/>
      <c r="L1514" s="157"/>
      <c r="M1514" s="157"/>
      <c r="N1514" s="157"/>
      <c r="O1514" s="157"/>
      <c r="P1514" s="753"/>
      <c r="AK1514" s="40">
        <v>1511.0</v>
      </c>
      <c r="AL1514" s="738" t="s">
        <v>3866</v>
      </c>
      <c r="AM1514" s="738" t="s">
        <v>3867</v>
      </c>
      <c r="AN1514" s="738" t="s">
        <v>1744</v>
      </c>
      <c r="AO1514" s="739">
        <v>0.148</v>
      </c>
      <c r="AP1514" s="739" t="s">
        <v>3868</v>
      </c>
    </row>
    <row r="1515">
      <c r="A1515" s="159"/>
      <c r="B1515" s="159"/>
      <c r="C1515" s="159"/>
      <c r="D1515" s="159"/>
      <c r="E1515" s="159"/>
      <c r="F1515" s="159"/>
      <c r="G1515" s="159"/>
      <c r="H1515" s="159"/>
      <c r="I1515" s="157"/>
      <c r="J1515" s="157"/>
      <c r="K1515" s="157"/>
      <c r="L1515" s="157"/>
      <c r="M1515" s="157"/>
      <c r="N1515" s="157"/>
      <c r="O1515" s="157"/>
      <c r="P1515" s="753"/>
      <c r="AK1515" s="40">
        <v>1512.0</v>
      </c>
      <c r="AL1515" s="719" t="s">
        <v>3869</v>
      </c>
      <c r="AM1515" s="720" t="s">
        <v>3870</v>
      </c>
      <c r="AN1515" s="720" t="s">
        <v>1744</v>
      </c>
      <c r="AO1515" s="722">
        <v>0.191</v>
      </c>
      <c r="AP1515" s="722" t="s">
        <v>3871</v>
      </c>
    </row>
    <row r="1516">
      <c r="A1516" s="159"/>
      <c r="B1516" s="159"/>
      <c r="C1516" s="159"/>
      <c r="D1516" s="159"/>
      <c r="E1516" s="159"/>
      <c r="F1516" s="159"/>
      <c r="G1516" s="159"/>
      <c r="H1516" s="159"/>
      <c r="I1516" s="157"/>
      <c r="J1516" s="157"/>
      <c r="K1516" s="157"/>
      <c r="L1516" s="157"/>
      <c r="M1516" s="157"/>
      <c r="N1516" s="157"/>
      <c r="O1516" s="157"/>
      <c r="P1516" s="753"/>
      <c r="AK1516" s="40">
        <v>1513.0</v>
      </c>
      <c r="AL1516" s="738" t="s">
        <v>3872</v>
      </c>
      <c r="AM1516" s="738" t="s">
        <v>3873</v>
      </c>
      <c r="AN1516" s="738" t="s">
        <v>1744</v>
      </c>
      <c r="AO1516" s="739">
        <v>0.318</v>
      </c>
      <c r="AP1516" s="739" t="s">
        <v>3874</v>
      </c>
    </row>
    <row r="1517">
      <c r="A1517" s="159"/>
      <c r="B1517" s="159"/>
      <c r="C1517" s="159"/>
      <c r="D1517" s="159"/>
      <c r="E1517" s="159"/>
      <c r="F1517" s="159"/>
      <c r="G1517" s="159"/>
      <c r="H1517" s="159"/>
      <c r="I1517" s="157"/>
      <c r="J1517" s="157"/>
      <c r="K1517" s="157"/>
      <c r="L1517" s="157"/>
      <c r="M1517" s="157"/>
      <c r="N1517" s="157"/>
      <c r="O1517" s="157"/>
      <c r="P1517" s="753"/>
      <c r="AK1517" s="40">
        <v>1514.0</v>
      </c>
      <c r="AL1517" s="719" t="s">
        <v>3875</v>
      </c>
      <c r="AM1517" s="720" t="s">
        <v>2323</v>
      </c>
      <c r="AN1517" s="720" t="s">
        <v>2324</v>
      </c>
      <c r="AO1517" s="722">
        <v>0.01</v>
      </c>
      <c r="AP1517" s="722" t="s">
        <v>2325</v>
      </c>
    </row>
    <row r="1518">
      <c r="A1518" s="159"/>
      <c r="B1518" s="159"/>
      <c r="C1518" s="159"/>
      <c r="D1518" s="159"/>
      <c r="E1518" s="159"/>
      <c r="F1518" s="159"/>
      <c r="G1518" s="159"/>
      <c r="H1518" s="159"/>
      <c r="I1518" s="157"/>
      <c r="J1518" s="157"/>
      <c r="K1518" s="157"/>
      <c r="L1518" s="157"/>
      <c r="M1518" s="157"/>
      <c r="N1518" s="157"/>
      <c r="O1518" s="157"/>
      <c r="P1518" s="753"/>
      <c r="AK1518" s="40">
        <v>1515.0</v>
      </c>
      <c r="AL1518" s="738" t="s">
        <v>3876</v>
      </c>
      <c r="AM1518" s="738" t="s">
        <v>2033</v>
      </c>
      <c r="AN1518" s="738" t="s">
        <v>2034</v>
      </c>
      <c r="AO1518" s="739">
        <v>0.061</v>
      </c>
      <c r="AP1518" s="739" t="s">
        <v>2035</v>
      </c>
    </row>
    <row r="1519">
      <c r="A1519" s="159"/>
      <c r="B1519" s="159"/>
      <c r="C1519" s="159"/>
      <c r="D1519" s="159"/>
      <c r="E1519" s="159"/>
      <c r="F1519" s="159"/>
      <c r="G1519" s="159"/>
      <c r="H1519" s="159"/>
      <c r="I1519" s="157"/>
      <c r="J1519" s="157"/>
      <c r="K1519" s="157"/>
      <c r="L1519" s="157"/>
      <c r="M1519" s="157"/>
      <c r="N1519" s="157"/>
      <c r="O1519" s="157"/>
      <c r="P1519" s="753"/>
      <c r="AK1519" s="40">
        <v>1516.0</v>
      </c>
      <c r="AL1519" s="719" t="s">
        <v>3877</v>
      </c>
      <c r="AM1519" s="720" t="s">
        <v>1835</v>
      </c>
      <c r="AN1519" s="720" t="s">
        <v>1836</v>
      </c>
      <c r="AO1519" s="722">
        <v>0.402</v>
      </c>
      <c r="AP1519" s="722" t="s">
        <v>1837</v>
      </c>
    </row>
    <row r="1520">
      <c r="A1520" s="159"/>
      <c r="B1520" s="159"/>
      <c r="C1520" s="159"/>
      <c r="D1520" s="159"/>
      <c r="E1520" s="159"/>
      <c r="F1520" s="159"/>
      <c r="G1520" s="159"/>
      <c r="H1520" s="159"/>
      <c r="I1520" s="157"/>
      <c r="J1520" s="157"/>
      <c r="K1520" s="157"/>
      <c r="L1520" s="157"/>
      <c r="M1520" s="157"/>
      <c r="N1520" s="157"/>
      <c r="O1520" s="157"/>
      <c r="P1520" s="753"/>
      <c r="AK1520" s="40">
        <v>1517.0</v>
      </c>
      <c r="AL1520" s="738" t="s">
        <v>3878</v>
      </c>
      <c r="AM1520" s="738" t="s">
        <v>2329</v>
      </c>
      <c r="AN1520" s="738" t="s">
        <v>2330</v>
      </c>
      <c r="AO1520" s="739">
        <v>0.031</v>
      </c>
      <c r="AP1520" s="739" t="s">
        <v>2331</v>
      </c>
    </row>
    <row r="1521">
      <c r="A1521" s="159"/>
      <c r="B1521" s="159"/>
      <c r="C1521" s="159"/>
      <c r="D1521" s="159"/>
      <c r="E1521" s="159"/>
      <c r="F1521" s="159"/>
      <c r="G1521" s="159"/>
      <c r="H1521" s="159"/>
      <c r="I1521" s="157"/>
      <c r="J1521" s="157"/>
      <c r="K1521" s="157"/>
      <c r="L1521" s="157"/>
      <c r="M1521" s="157"/>
      <c r="N1521" s="157"/>
      <c r="O1521" s="157"/>
      <c r="P1521" s="753"/>
      <c r="AK1521" s="40">
        <v>1518.0</v>
      </c>
      <c r="AL1521" s="719" t="s">
        <v>3879</v>
      </c>
      <c r="AM1521" s="720" t="s">
        <v>1911</v>
      </c>
      <c r="AN1521" s="720" t="s">
        <v>1912</v>
      </c>
      <c r="AO1521" s="722">
        <v>0.203</v>
      </c>
      <c r="AP1521" s="722" t="s">
        <v>1913</v>
      </c>
    </row>
    <row r="1522">
      <c r="A1522" s="159"/>
      <c r="B1522" s="159"/>
      <c r="C1522" s="159"/>
      <c r="D1522" s="159"/>
      <c r="E1522" s="159"/>
      <c r="F1522" s="159"/>
      <c r="G1522" s="159"/>
      <c r="H1522" s="159"/>
      <c r="I1522" s="157"/>
      <c r="J1522" s="157"/>
      <c r="K1522" s="157"/>
      <c r="L1522" s="157"/>
      <c r="M1522" s="157"/>
      <c r="N1522" s="157"/>
      <c r="O1522" s="157"/>
      <c r="P1522" s="753"/>
      <c r="AK1522" s="40">
        <v>1519.0</v>
      </c>
      <c r="AL1522" s="738" t="s">
        <v>3880</v>
      </c>
      <c r="AM1522" s="738" t="s">
        <v>3780</v>
      </c>
      <c r="AN1522" s="738" t="s">
        <v>1744</v>
      </c>
      <c r="AO1522" s="739">
        <v>0.483</v>
      </c>
      <c r="AP1522" s="739" t="s">
        <v>3781</v>
      </c>
    </row>
    <row r="1523">
      <c r="A1523" s="159"/>
      <c r="B1523" s="159"/>
      <c r="C1523" s="159"/>
      <c r="D1523" s="159"/>
      <c r="E1523" s="159"/>
      <c r="F1523" s="159"/>
      <c r="G1523" s="159"/>
      <c r="H1523" s="159"/>
      <c r="I1523" s="157"/>
      <c r="J1523" s="157"/>
      <c r="K1523" s="157"/>
      <c r="L1523" s="157"/>
      <c r="M1523" s="157"/>
      <c r="N1523" s="157"/>
      <c r="O1523" s="157"/>
      <c r="P1523" s="753"/>
      <c r="AK1523" s="40">
        <v>1520.0</v>
      </c>
      <c r="AL1523" s="719" t="s">
        <v>3881</v>
      </c>
      <c r="AM1523" s="720" t="s">
        <v>3788</v>
      </c>
      <c r="AN1523" s="720" t="s">
        <v>1744</v>
      </c>
      <c r="AO1523" s="722">
        <v>0.505</v>
      </c>
      <c r="AP1523" s="722" t="s">
        <v>3789</v>
      </c>
    </row>
    <row r="1524">
      <c r="A1524" s="159"/>
      <c r="B1524" s="159"/>
      <c r="C1524" s="159"/>
      <c r="D1524" s="159"/>
      <c r="E1524" s="159"/>
      <c r="F1524" s="159"/>
      <c r="G1524" s="159"/>
      <c r="H1524" s="159"/>
      <c r="I1524" s="157"/>
      <c r="J1524" s="157"/>
      <c r="K1524" s="157"/>
      <c r="L1524" s="157"/>
      <c r="M1524" s="157"/>
      <c r="N1524" s="157"/>
      <c r="O1524" s="157"/>
      <c r="P1524" s="753"/>
      <c r="AK1524" s="40">
        <v>1521.0</v>
      </c>
      <c r="AL1524" s="738" t="s">
        <v>3882</v>
      </c>
      <c r="AM1524" s="738" t="s">
        <v>3791</v>
      </c>
      <c r="AN1524" s="738" t="s">
        <v>1744</v>
      </c>
      <c r="AO1524" s="739">
        <v>0.534</v>
      </c>
      <c r="AP1524" s="739" t="s">
        <v>3792</v>
      </c>
    </row>
    <row r="1525">
      <c r="A1525" s="159"/>
      <c r="B1525" s="159"/>
      <c r="C1525" s="159"/>
      <c r="D1525" s="159"/>
      <c r="E1525" s="159"/>
      <c r="F1525" s="159"/>
      <c r="G1525" s="159"/>
      <c r="H1525" s="159"/>
      <c r="I1525" s="157"/>
      <c r="J1525" s="157"/>
      <c r="K1525" s="157"/>
      <c r="L1525" s="157"/>
      <c r="M1525" s="157"/>
      <c r="N1525" s="157"/>
      <c r="O1525" s="157"/>
      <c r="P1525" s="753"/>
      <c r="AK1525" s="40">
        <v>1522.0</v>
      </c>
      <c r="AL1525" s="719" t="s">
        <v>3883</v>
      </c>
      <c r="AM1525" s="720" t="s">
        <v>3794</v>
      </c>
      <c r="AN1525" s="720" t="s">
        <v>1744</v>
      </c>
      <c r="AO1525" s="722">
        <v>0.564</v>
      </c>
      <c r="AP1525" s="722" t="s">
        <v>3795</v>
      </c>
    </row>
    <row r="1526">
      <c r="A1526" s="159"/>
      <c r="B1526" s="159"/>
      <c r="C1526" s="159"/>
      <c r="D1526" s="159"/>
      <c r="E1526" s="159"/>
      <c r="F1526" s="159"/>
      <c r="G1526" s="159"/>
      <c r="H1526" s="159"/>
      <c r="I1526" s="157"/>
      <c r="J1526" s="157"/>
      <c r="K1526" s="157"/>
      <c r="L1526" s="157"/>
      <c r="M1526" s="157"/>
      <c r="N1526" s="157"/>
      <c r="O1526" s="157"/>
      <c r="P1526" s="753"/>
      <c r="AK1526" s="40">
        <v>1523.0</v>
      </c>
      <c r="AL1526" s="738" t="s">
        <v>3884</v>
      </c>
      <c r="AM1526" s="738" t="s">
        <v>3885</v>
      </c>
      <c r="AN1526" s="738" t="s">
        <v>1744</v>
      </c>
      <c r="AO1526" s="739">
        <v>0.584</v>
      </c>
      <c r="AP1526" s="739" t="s">
        <v>3886</v>
      </c>
    </row>
    <row r="1527">
      <c r="A1527" s="159"/>
      <c r="B1527" s="159"/>
      <c r="C1527" s="159"/>
      <c r="D1527" s="159"/>
      <c r="E1527" s="159"/>
      <c r="F1527" s="159"/>
      <c r="G1527" s="159"/>
      <c r="H1527" s="159"/>
      <c r="I1527" s="157"/>
      <c r="J1527" s="157"/>
      <c r="K1527" s="157"/>
      <c r="L1527" s="157"/>
      <c r="M1527" s="157"/>
      <c r="N1527" s="157"/>
      <c r="O1527" s="157"/>
      <c r="P1527" s="753"/>
      <c r="AK1527" s="40">
        <v>1524.0</v>
      </c>
      <c r="AL1527" s="719" t="s">
        <v>3887</v>
      </c>
      <c r="AM1527" s="720" t="s">
        <v>3798</v>
      </c>
      <c r="AN1527" s="720" t="s">
        <v>1744</v>
      </c>
      <c r="AO1527" s="722">
        <v>0.427</v>
      </c>
      <c r="AP1527" s="722" t="s">
        <v>3799</v>
      </c>
    </row>
    <row r="1528">
      <c r="A1528" s="159"/>
      <c r="B1528" s="159"/>
      <c r="C1528" s="159"/>
      <c r="D1528" s="159"/>
      <c r="E1528" s="159"/>
      <c r="F1528" s="159"/>
      <c r="G1528" s="159"/>
      <c r="H1528" s="159"/>
      <c r="I1528" s="157"/>
      <c r="J1528" s="157"/>
      <c r="K1528" s="157"/>
      <c r="L1528" s="157"/>
      <c r="M1528" s="157"/>
      <c r="N1528" s="157"/>
      <c r="O1528" s="157"/>
      <c r="P1528" s="753"/>
      <c r="AK1528" s="40">
        <v>1525.0</v>
      </c>
      <c r="AL1528" s="738" t="s">
        <v>3888</v>
      </c>
      <c r="AM1528" s="738" t="s">
        <v>3801</v>
      </c>
      <c r="AN1528" s="738" t="s">
        <v>1744</v>
      </c>
      <c r="AO1528" s="739">
        <v>0.461</v>
      </c>
      <c r="AP1528" s="739" t="s">
        <v>3802</v>
      </c>
    </row>
    <row r="1529">
      <c r="A1529" s="159"/>
      <c r="B1529" s="159"/>
      <c r="C1529" s="159"/>
      <c r="D1529" s="159"/>
      <c r="E1529" s="159"/>
      <c r="F1529" s="159"/>
      <c r="G1529" s="159"/>
      <c r="H1529" s="159"/>
      <c r="I1529" s="157"/>
      <c r="J1529" s="157"/>
      <c r="K1529" s="157"/>
      <c r="L1529" s="157"/>
      <c r="M1529" s="157"/>
      <c r="N1529" s="157"/>
      <c r="O1529" s="157"/>
      <c r="P1529" s="753"/>
      <c r="AK1529" s="40">
        <v>1526.0</v>
      </c>
      <c r="AL1529" s="719" t="s">
        <v>3889</v>
      </c>
      <c r="AM1529" s="720" t="s">
        <v>3804</v>
      </c>
      <c r="AN1529" s="720" t="s">
        <v>1744</v>
      </c>
      <c r="AO1529" s="722">
        <v>0.496</v>
      </c>
      <c r="AP1529" s="722" t="s">
        <v>3805</v>
      </c>
    </row>
    <row r="1530">
      <c r="A1530" s="159"/>
      <c r="B1530" s="159"/>
      <c r="C1530" s="159"/>
      <c r="D1530" s="159"/>
      <c r="E1530" s="159"/>
      <c r="F1530" s="159"/>
      <c r="G1530" s="159"/>
      <c r="H1530" s="159"/>
      <c r="I1530" s="157"/>
      <c r="J1530" s="157"/>
      <c r="K1530" s="157"/>
      <c r="L1530" s="157"/>
      <c r="M1530" s="157"/>
      <c r="N1530" s="157"/>
      <c r="O1530" s="157"/>
      <c r="P1530" s="753"/>
      <c r="AK1530" s="40">
        <v>1527.0</v>
      </c>
      <c r="AL1530" s="738" t="s">
        <v>3890</v>
      </c>
      <c r="AM1530" s="738" t="s">
        <v>3891</v>
      </c>
      <c r="AN1530" s="738" t="s">
        <v>1744</v>
      </c>
      <c r="AO1530" s="739">
        <v>0.519</v>
      </c>
      <c r="AP1530" s="739" t="s">
        <v>3892</v>
      </c>
    </row>
    <row r="1531">
      <c r="A1531" s="159"/>
      <c r="B1531" s="159"/>
      <c r="C1531" s="159"/>
      <c r="D1531" s="159"/>
      <c r="E1531" s="159"/>
      <c r="F1531" s="159"/>
      <c r="G1531" s="159"/>
      <c r="H1531" s="159"/>
      <c r="I1531" s="157"/>
      <c r="J1531" s="157"/>
      <c r="K1531" s="157"/>
      <c r="L1531" s="157"/>
      <c r="M1531" s="157"/>
      <c r="N1531" s="157"/>
      <c r="O1531" s="157"/>
      <c r="P1531" s="753"/>
      <c r="AK1531" s="40">
        <v>1528.0</v>
      </c>
      <c r="AL1531" s="719" t="s">
        <v>3893</v>
      </c>
      <c r="AM1531" s="720" t="s">
        <v>3821</v>
      </c>
      <c r="AN1531" s="720" t="s">
        <v>1744</v>
      </c>
      <c r="AO1531" s="722">
        <v>0.021</v>
      </c>
      <c r="AP1531" s="722" t="s">
        <v>3822</v>
      </c>
    </row>
    <row r="1532">
      <c r="A1532" s="159"/>
      <c r="B1532" s="159"/>
      <c r="C1532" s="159"/>
      <c r="D1532" s="159"/>
      <c r="E1532" s="159"/>
      <c r="F1532" s="159"/>
      <c r="G1532" s="159"/>
      <c r="H1532" s="159"/>
      <c r="I1532" s="157"/>
      <c r="J1532" s="157"/>
      <c r="K1532" s="157"/>
      <c r="L1532" s="157"/>
      <c r="M1532" s="157"/>
      <c r="N1532" s="157"/>
      <c r="O1532" s="157"/>
      <c r="P1532" s="753"/>
      <c r="AK1532" s="40">
        <v>1529.0</v>
      </c>
      <c r="AL1532" s="738" t="s">
        <v>3894</v>
      </c>
      <c r="AM1532" s="738" t="s">
        <v>3824</v>
      </c>
      <c r="AN1532" s="738" t="s">
        <v>1744</v>
      </c>
      <c r="AO1532" s="739">
        <v>0.071</v>
      </c>
      <c r="AP1532" s="739" t="s">
        <v>3825</v>
      </c>
    </row>
    <row r="1533">
      <c r="A1533" s="159"/>
      <c r="B1533" s="159"/>
      <c r="C1533" s="159"/>
      <c r="D1533" s="159"/>
      <c r="E1533" s="159"/>
      <c r="F1533" s="159"/>
      <c r="G1533" s="159"/>
      <c r="H1533" s="159"/>
      <c r="I1533" s="157"/>
      <c r="J1533" s="157"/>
      <c r="K1533" s="157"/>
      <c r="L1533" s="157"/>
      <c r="M1533" s="157"/>
      <c r="N1533" s="157"/>
      <c r="O1533" s="157"/>
      <c r="P1533" s="753"/>
      <c r="AK1533" s="40">
        <v>1530.0</v>
      </c>
      <c r="AL1533" s="719" t="s">
        <v>3895</v>
      </c>
      <c r="AM1533" s="720" t="s">
        <v>3827</v>
      </c>
      <c r="AN1533" s="720" t="s">
        <v>1744</v>
      </c>
      <c r="AO1533" s="722">
        <v>0.408</v>
      </c>
      <c r="AP1533" s="722" t="s">
        <v>3828</v>
      </c>
    </row>
    <row r="1534">
      <c r="A1534" s="159"/>
      <c r="B1534" s="159"/>
      <c r="C1534" s="159"/>
      <c r="D1534" s="159"/>
      <c r="E1534" s="159"/>
      <c r="F1534" s="159"/>
      <c r="G1534" s="159"/>
      <c r="H1534" s="159"/>
      <c r="I1534" s="157"/>
      <c r="J1534" s="157"/>
      <c r="K1534" s="157"/>
      <c r="L1534" s="157"/>
      <c r="M1534" s="157"/>
      <c r="N1534" s="157"/>
      <c r="O1534" s="157"/>
      <c r="P1534" s="753"/>
      <c r="AK1534" s="40">
        <v>1531.0</v>
      </c>
      <c r="AL1534" s="738" t="s">
        <v>3896</v>
      </c>
      <c r="AM1534" s="738" t="s">
        <v>3830</v>
      </c>
      <c r="AN1534" s="738" t="s">
        <v>1744</v>
      </c>
      <c r="AO1534" s="739">
        <v>0.101</v>
      </c>
      <c r="AP1534" s="739" t="s">
        <v>3831</v>
      </c>
    </row>
    <row r="1535">
      <c r="A1535" s="159"/>
      <c r="B1535" s="159"/>
      <c r="C1535" s="159"/>
      <c r="D1535" s="159"/>
      <c r="E1535" s="159"/>
      <c r="F1535" s="159"/>
      <c r="G1535" s="159"/>
      <c r="H1535" s="159"/>
      <c r="I1535" s="157"/>
      <c r="J1535" s="157"/>
      <c r="K1535" s="157"/>
      <c r="L1535" s="157"/>
      <c r="M1535" s="157"/>
      <c r="N1535" s="157"/>
      <c r="O1535" s="157"/>
      <c r="P1535" s="753"/>
      <c r="AK1535" s="40">
        <v>1532.0</v>
      </c>
      <c r="AL1535" s="719" t="s">
        <v>3897</v>
      </c>
      <c r="AM1535" s="720" t="s">
        <v>3833</v>
      </c>
      <c r="AN1535" s="720" t="s">
        <v>1744</v>
      </c>
      <c r="AO1535" s="722">
        <v>0.109</v>
      </c>
      <c r="AP1535" s="722" t="s">
        <v>1996</v>
      </c>
    </row>
    <row r="1536">
      <c r="A1536" s="159"/>
      <c r="B1536" s="159"/>
      <c r="C1536" s="159"/>
      <c r="D1536" s="159"/>
      <c r="E1536" s="159"/>
      <c r="F1536" s="159"/>
      <c r="G1536" s="159"/>
      <c r="H1536" s="159"/>
      <c r="I1536" s="157"/>
      <c r="J1536" s="157"/>
      <c r="K1536" s="157"/>
      <c r="L1536" s="157"/>
      <c r="M1536" s="157"/>
      <c r="N1536" s="157"/>
      <c r="O1536" s="157"/>
      <c r="P1536" s="753"/>
      <c r="AK1536" s="40">
        <v>1533.0</v>
      </c>
      <c r="AL1536" s="738" t="s">
        <v>3898</v>
      </c>
      <c r="AM1536" s="738" t="s">
        <v>3835</v>
      </c>
      <c r="AN1536" s="738" t="s">
        <v>1744</v>
      </c>
      <c r="AO1536" s="739">
        <v>0.169</v>
      </c>
      <c r="AP1536" s="739" t="s">
        <v>3836</v>
      </c>
    </row>
    <row r="1537">
      <c r="A1537" s="159"/>
      <c r="B1537" s="159"/>
      <c r="C1537" s="159"/>
      <c r="D1537" s="159"/>
      <c r="E1537" s="159"/>
      <c r="F1537" s="159"/>
      <c r="G1537" s="159"/>
      <c r="H1537" s="159"/>
      <c r="I1537" s="157"/>
      <c r="J1537" s="157"/>
      <c r="K1537" s="157"/>
      <c r="L1537" s="157"/>
      <c r="M1537" s="157"/>
      <c r="N1537" s="157"/>
      <c r="O1537" s="157"/>
      <c r="P1537" s="753"/>
      <c r="AK1537" s="40">
        <v>1534.0</v>
      </c>
      <c r="AL1537" s="719" t="s">
        <v>3899</v>
      </c>
      <c r="AM1537" s="720" t="s">
        <v>3838</v>
      </c>
      <c r="AN1537" s="720" t="s">
        <v>1744</v>
      </c>
      <c r="AO1537" s="722">
        <v>0.211</v>
      </c>
      <c r="AP1537" s="722" t="s">
        <v>3839</v>
      </c>
    </row>
    <row r="1538">
      <c r="A1538" s="159"/>
      <c r="B1538" s="159"/>
      <c r="C1538" s="159"/>
      <c r="D1538" s="159"/>
      <c r="E1538" s="159"/>
      <c r="F1538" s="159"/>
      <c r="G1538" s="159"/>
      <c r="H1538" s="159"/>
      <c r="I1538" s="157"/>
      <c r="J1538" s="157"/>
      <c r="K1538" s="157"/>
      <c r="L1538" s="157"/>
      <c r="M1538" s="157"/>
      <c r="N1538" s="157"/>
      <c r="O1538" s="157"/>
      <c r="P1538" s="753"/>
      <c r="AK1538" s="40">
        <v>1535.0</v>
      </c>
      <c r="AL1538" s="738" t="s">
        <v>3900</v>
      </c>
      <c r="AM1538" s="738" t="s">
        <v>3841</v>
      </c>
      <c r="AN1538" s="738" t="s">
        <v>1744</v>
      </c>
      <c r="AO1538" s="739">
        <v>0.157</v>
      </c>
      <c r="AP1538" s="739" t="s">
        <v>3842</v>
      </c>
    </row>
    <row r="1539">
      <c r="A1539" s="159"/>
      <c r="B1539" s="159"/>
      <c r="C1539" s="159"/>
      <c r="D1539" s="159"/>
      <c r="E1539" s="159"/>
      <c r="F1539" s="159"/>
      <c r="G1539" s="159"/>
      <c r="H1539" s="159"/>
      <c r="I1539" s="157"/>
      <c r="J1539" s="157"/>
      <c r="K1539" s="157"/>
      <c r="L1539" s="157"/>
      <c r="M1539" s="157"/>
      <c r="N1539" s="157"/>
      <c r="O1539" s="157"/>
      <c r="P1539" s="753"/>
      <c r="AK1539" s="40">
        <v>1536.0</v>
      </c>
      <c r="AL1539" s="719" t="s">
        <v>3901</v>
      </c>
      <c r="AM1539" s="720" t="s">
        <v>3844</v>
      </c>
      <c r="AN1539" s="720" t="s">
        <v>1744</v>
      </c>
      <c r="AO1539" s="722">
        <v>0.2</v>
      </c>
      <c r="AP1539" s="722" t="s">
        <v>3845</v>
      </c>
    </row>
    <row r="1540">
      <c r="A1540" s="159"/>
      <c r="B1540" s="159"/>
      <c r="C1540" s="159"/>
      <c r="D1540" s="159"/>
      <c r="E1540" s="159"/>
      <c r="F1540" s="159"/>
      <c r="G1540" s="159"/>
      <c r="H1540" s="159"/>
      <c r="I1540" s="157"/>
      <c r="J1540" s="157"/>
      <c r="K1540" s="157"/>
      <c r="L1540" s="157"/>
      <c r="M1540" s="157"/>
      <c r="N1540" s="157"/>
      <c r="O1540" s="157"/>
      <c r="P1540" s="753"/>
      <c r="AK1540" s="40">
        <v>1537.0</v>
      </c>
      <c r="AL1540" s="738" t="s">
        <v>3902</v>
      </c>
      <c r="AM1540" s="738" t="s">
        <v>3847</v>
      </c>
      <c r="AN1540" s="738" t="s">
        <v>1744</v>
      </c>
      <c r="AO1540" s="739">
        <v>0.489</v>
      </c>
      <c r="AP1540" s="739" t="s">
        <v>3848</v>
      </c>
    </row>
    <row r="1541">
      <c r="A1541" s="159"/>
      <c r="B1541" s="159"/>
      <c r="C1541" s="159"/>
      <c r="D1541" s="159"/>
      <c r="E1541" s="159"/>
      <c r="F1541" s="159"/>
      <c r="G1541" s="159"/>
      <c r="H1541" s="159"/>
      <c r="I1541" s="157"/>
      <c r="J1541" s="157"/>
      <c r="K1541" s="157"/>
      <c r="L1541" s="157"/>
      <c r="M1541" s="157"/>
      <c r="N1541" s="157"/>
      <c r="O1541" s="157"/>
      <c r="P1541" s="753"/>
      <c r="AK1541" s="40">
        <v>1538.0</v>
      </c>
      <c r="AL1541" s="719" t="s">
        <v>3903</v>
      </c>
      <c r="AM1541" s="720" t="s">
        <v>3850</v>
      </c>
      <c r="AN1541" s="720" t="s">
        <v>1744</v>
      </c>
      <c r="AO1541" s="722">
        <v>0.184</v>
      </c>
      <c r="AP1541" s="722" t="s">
        <v>3851</v>
      </c>
    </row>
    <row r="1542">
      <c r="A1542" s="159"/>
      <c r="B1542" s="159"/>
      <c r="C1542" s="159"/>
      <c r="D1542" s="159"/>
      <c r="E1542" s="159"/>
      <c r="F1542" s="159"/>
      <c r="G1542" s="159"/>
      <c r="H1542" s="159"/>
      <c r="I1542" s="157"/>
      <c r="J1542" s="157"/>
      <c r="K1542" s="157"/>
      <c r="L1542" s="157"/>
      <c r="M1542" s="157"/>
      <c r="N1542" s="157"/>
      <c r="O1542" s="157"/>
      <c r="P1542" s="753"/>
      <c r="AK1542" s="40">
        <v>1539.0</v>
      </c>
      <c r="AL1542" s="738" t="s">
        <v>3904</v>
      </c>
      <c r="AM1542" s="738" t="s">
        <v>3853</v>
      </c>
      <c r="AN1542" s="738" t="s">
        <v>1744</v>
      </c>
      <c r="AO1542" s="739">
        <v>0.272</v>
      </c>
      <c r="AP1542" s="739" t="s">
        <v>3854</v>
      </c>
    </row>
    <row r="1543">
      <c r="A1543" s="159"/>
      <c r="B1543" s="159"/>
      <c r="C1543" s="159"/>
      <c r="D1543" s="159"/>
      <c r="E1543" s="159"/>
      <c r="F1543" s="159"/>
      <c r="G1543" s="159"/>
      <c r="H1543" s="159"/>
      <c r="I1543" s="157"/>
      <c r="J1543" s="157"/>
      <c r="K1543" s="157"/>
      <c r="L1543" s="157"/>
      <c r="M1543" s="157"/>
      <c r="N1543" s="157"/>
      <c r="O1543" s="157"/>
      <c r="P1543" s="753"/>
      <c r="AK1543" s="40">
        <v>1540.0</v>
      </c>
      <c r="AL1543" s="719" t="s">
        <v>3905</v>
      </c>
      <c r="AM1543" s="720" t="s">
        <v>3856</v>
      </c>
      <c r="AN1543" s="720" t="s">
        <v>1744</v>
      </c>
      <c r="AO1543" s="722">
        <v>0.233</v>
      </c>
      <c r="AP1543" s="722" t="s">
        <v>3857</v>
      </c>
    </row>
    <row r="1544">
      <c r="A1544" s="159"/>
      <c r="B1544" s="159"/>
      <c r="C1544" s="159"/>
      <c r="D1544" s="159"/>
      <c r="E1544" s="159"/>
      <c r="F1544" s="159"/>
      <c r="G1544" s="159"/>
      <c r="H1544" s="159"/>
      <c r="I1544" s="157"/>
      <c r="J1544" s="157"/>
      <c r="K1544" s="157"/>
      <c r="L1544" s="157"/>
      <c r="M1544" s="157"/>
      <c r="N1544" s="157"/>
      <c r="O1544" s="157"/>
      <c r="P1544" s="753"/>
      <c r="AK1544" s="40">
        <v>1541.0</v>
      </c>
      <c r="AL1544" s="738" t="s">
        <v>3906</v>
      </c>
      <c r="AM1544" s="738" t="s">
        <v>3859</v>
      </c>
      <c r="AN1544" s="738" t="s">
        <v>1744</v>
      </c>
      <c r="AO1544" s="739">
        <v>0.272</v>
      </c>
      <c r="AP1544" s="739" t="s">
        <v>3854</v>
      </c>
    </row>
    <row r="1545">
      <c r="A1545" s="159"/>
      <c r="B1545" s="159"/>
      <c r="C1545" s="159"/>
      <c r="D1545" s="159"/>
      <c r="E1545" s="159"/>
      <c r="F1545" s="159"/>
      <c r="G1545" s="159"/>
      <c r="H1545" s="159"/>
      <c r="I1545" s="157"/>
      <c r="J1545" s="157"/>
      <c r="K1545" s="157"/>
      <c r="L1545" s="157"/>
      <c r="M1545" s="157"/>
      <c r="N1545" s="157"/>
      <c r="O1545" s="157"/>
      <c r="P1545" s="753"/>
      <c r="AK1545" s="40">
        <v>1542.0</v>
      </c>
      <c r="AL1545" s="719" t="s">
        <v>3907</v>
      </c>
      <c r="AM1545" s="720" t="s">
        <v>3861</v>
      </c>
      <c r="AN1545" s="720" t="s">
        <v>1744</v>
      </c>
      <c r="AO1545" s="722">
        <v>0.284</v>
      </c>
      <c r="AP1545" s="722" t="s">
        <v>3862</v>
      </c>
    </row>
    <row r="1546">
      <c r="A1546" s="159"/>
      <c r="B1546" s="159"/>
      <c r="C1546" s="159"/>
      <c r="D1546" s="159"/>
      <c r="E1546" s="159"/>
      <c r="F1546" s="159"/>
      <c r="G1546" s="159"/>
      <c r="H1546" s="159"/>
      <c r="I1546" s="157"/>
      <c r="J1546" s="157"/>
      <c r="K1546" s="157"/>
      <c r="L1546" s="157"/>
      <c r="M1546" s="157"/>
      <c r="N1546" s="157"/>
      <c r="O1546" s="157"/>
      <c r="P1546" s="753"/>
      <c r="AK1546" s="40">
        <v>1543.0</v>
      </c>
      <c r="AL1546" s="738" t="s">
        <v>3908</v>
      </c>
      <c r="AM1546" s="738" t="s">
        <v>3864</v>
      </c>
      <c r="AN1546" s="738" t="s">
        <v>1744</v>
      </c>
      <c r="AO1546" s="739">
        <v>0.32</v>
      </c>
      <c r="AP1546" s="739" t="s">
        <v>3865</v>
      </c>
    </row>
    <row r="1547">
      <c r="A1547" s="159"/>
      <c r="B1547" s="159"/>
      <c r="C1547" s="159"/>
      <c r="D1547" s="159"/>
      <c r="E1547" s="159"/>
      <c r="F1547" s="159"/>
      <c r="G1547" s="159"/>
      <c r="H1547" s="159"/>
      <c r="I1547" s="157"/>
      <c r="J1547" s="157"/>
      <c r="K1547" s="157"/>
      <c r="L1547" s="157"/>
      <c r="M1547" s="157"/>
      <c r="N1547" s="157"/>
      <c r="O1547" s="157"/>
      <c r="P1547" s="753"/>
      <c r="AK1547" s="40">
        <v>1544.0</v>
      </c>
      <c r="AL1547" s="719" t="s">
        <v>3909</v>
      </c>
      <c r="AM1547" s="720" t="s">
        <v>3867</v>
      </c>
      <c r="AN1547" s="720" t="s">
        <v>1744</v>
      </c>
      <c r="AO1547" s="722">
        <v>0.148</v>
      </c>
      <c r="AP1547" s="722" t="s">
        <v>3868</v>
      </c>
    </row>
    <row r="1548">
      <c r="A1548" s="159"/>
      <c r="B1548" s="159"/>
      <c r="C1548" s="159"/>
      <c r="D1548" s="159"/>
      <c r="E1548" s="159"/>
      <c r="F1548" s="159"/>
      <c r="G1548" s="159"/>
      <c r="H1548" s="159"/>
      <c r="I1548" s="157"/>
      <c r="J1548" s="157"/>
      <c r="K1548" s="157"/>
      <c r="L1548" s="157"/>
      <c r="M1548" s="157"/>
      <c r="N1548" s="157"/>
      <c r="O1548" s="157"/>
      <c r="P1548" s="753"/>
      <c r="AK1548" s="40">
        <v>1545.0</v>
      </c>
      <c r="AL1548" s="738" t="s">
        <v>3910</v>
      </c>
      <c r="AM1548" s="738" t="s">
        <v>3870</v>
      </c>
      <c r="AN1548" s="738" t="s">
        <v>1744</v>
      </c>
      <c r="AO1548" s="739">
        <v>0.191</v>
      </c>
      <c r="AP1548" s="739" t="s">
        <v>3871</v>
      </c>
    </row>
    <row r="1549">
      <c r="A1549" s="159"/>
      <c r="B1549" s="159"/>
      <c r="C1549" s="159"/>
      <c r="D1549" s="159"/>
      <c r="E1549" s="159"/>
      <c r="F1549" s="159"/>
      <c r="G1549" s="159"/>
      <c r="H1549" s="159"/>
      <c r="I1549" s="157"/>
      <c r="J1549" s="157"/>
      <c r="K1549" s="157"/>
      <c r="L1549" s="157"/>
      <c r="M1549" s="157"/>
      <c r="N1549" s="157"/>
      <c r="O1549" s="157"/>
      <c r="P1549" s="753"/>
      <c r="AK1549" s="40">
        <v>1546.0</v>
      </c>
      <c r="AL1549" s="719" t="s">
        <v>3911</v>
      </c>
      <c r="AM1549" s="720" t="s">
        <v>3873</v>
      </c>
      <c r="AN1549" s="720" t="s">
        <v>1744</v>
      </c>
      <c r="AO1549" s="722">
        <v>0.318</v>
      </c>
      <c r="AP1549" s="722" t="s">
        <v>3874</v>
      </c>
    </row>
    <row r="1550">
      <c r="A1550" s="159"/>
      <c r="B1550" s="159"/>
      <c r="C1550" s="159"/>
      <c r="D1550" s="159"/>
      <c r="E1550" s="159"/>
      <c r="F1550" s="159"/>
      <c r="G1550" s="159"/>
      <c r="H1550" s="159"/>
      <c r="I1550" s="157"/>
      <c r="J1550" s="157"/>
      <c r="K1550" s="157"/>
      <c r="L1550" s="157"/>
      <c r="M1550" s="157"/>
      <c r="N1550" s="157"/>
      <c r="O1550" s="157"/>
      <c r="P1550" s="753"/>
      <c r="AK1550" s="40">
        <v>1547.0</v>
      </c>
      <c r="AL1550" s="738" t="s">
        <v>3912</v>
      </c>
      <c r="AM1550" s="738" t="s">
        <v>3913</v>
      </c>
      <c r="AN1550" s="738" t="s">
        <v>1744</v>
      </c>
      <c r="AO1550" s="739">
        <v>0.208</v>
      </c>
      <c r="AP1550" s="739" t="s">
        <v>3914</v>
      </c>
    </row>
    <row r="1551">
      <c r="A1551" s="159"/>
      <c r="B1551" s="159"/>
      <c r="C1551" s="159"/>
      <c r="D1551" s="159"/>
      <c r="E1551" s="159"/>
      <c r="F1551" s="159"/>
      <c r="G1551" s="159"/>
      <c r="H1551" s="159"/>
      <c r="I1551" s="157"/>
      <c r="J1551" s="157"/>
      <c r="K1551" s="157"/>
      <c r="L1551" s="157"/>
      <c r="M1551" s="157"/>
      <c r="N1551" s="157"/>
      <c r="O1551" s="157"/>
      <c r="P1551" s="753"/>
      <c r="AK1551" s="40">
        <v>1548.0</v>
      </c>
      <c r="AL1551" s="719" t="s">
        <v>3915</v>
      </c>
      <c r="AM1551" s="720" t="s">
        <v>3916</v>
      </c>
      <c r="AN1551" s="720" t="s">
        <v>1744</v>
      </c>
      <c r="AO1551" s="722">
        <v>0.249</v>
      </c>
      <c r="AP1551" s="722" t="s">
        <v>3917</v>
      </c>
    </row>
    <row r="1552">
      <c r="A1552" s="159"/>
      <c r="B1552" s="159"/>
      <c r="C1552" s="159"/>
      <c r="D1552" s="159"/>
      <c r="E1552" s="159"/>
      <c r="F1552" s="159"/>
      <c r="G1552" s="159"/>
      <c r="H1552" s="159"/>
      <c r="I1552" s="157"/>
      <c r="J1552" s="157"/>
      <c r="K1552" s="157"/>
      <c r="L1552" s="157"/>
      <c r="M1552" s="157"/>
      <c r="N1552" s="157"/>
      <c r="O1552" s="157"/>
      <c r="P1552" s="753"/>
      <c r="AK1552" s="40">
        <v>1549.0</v>
      </c>
      <c r="AL1552" s="738" t="s">
        <v>3918</v>
      </c>
      <c r="AM1552" s="738" t="s">
        <v>3919</v>
      </c>
      <c r="AN1552" s="738" t="s">
        <v>1744</v>
      </c>
      <c r="AO1552" s="739">
        <v>0.352</v>
      </c>
      <c r="AP1552" s="739" t="s">
        <v>3920</v>
      </c>
    </row>
    <row r="1553">
      <c r="A1553" s="159"/>
      <c r="B1553" s="159"/>
      <c r="C1553" s="159"/>
      <c r="D1553" s="159"/>
      <c r="E1553" s="159"/>
      <c r="F1553" s="159"/>
      <c r="G1553" s="159"/>
      <c r="H1553" s="159"/>
      <c r="I1553" s="157"/>
      <c r="J1553" s="157"/>
      <c r="K1553" s="157"/>
      <c r="L1553" s="157"/>
      <c r="M1553" s="157"/>
      <c r="N1553" s="157"/>
      <c r="O1553" s="157"/>
      <c r="P1553" s="753"/>
      <c r="AK1553" s="40">
        <v>1550.0</v>
      </c>
      <c r="AL1553" s="719" t="s">
        <v>3921</v>
      </c>
      <c r="AM1553" s="720" t="s">
        <v>3922</v>
      </c>
      <c r="AN1553" s="720" t="s">
        <v>3923</v>
      </c>
      <c r="AO1553" s="722">
        <v>0.061</v>
      </c>
      <c r="AP1553" s="722" t="s">
        <v>3924</v>
      </c>
    </row>
    <row r="1554">
      <c r="A1554" s="159"/>
      <c r="B1554" s="159"/>
      <c r="C1554" s="159"/>
      <c r="D1554" s="159"/>
      <c r="E1554" s="159"/>
      <c r="F1554" s="159"/>
      <c r="G1554" s="159"/>
      <c r="H1554" s="159"/>
      <c r="I1554" s="157"/>
      <c r="J1554" s="157"/>
      <c r="K1554" s="157"/>
      <c r="L1554" s="157"/>
      <c r="M1554" s="157"/>
      <c r="N1554" s="157"/>
      <c r="O1554" s="157"/>
      <c r="P1554" s="753"/>
      <c r="AK1554" s="40">
        <v>1551.0</v>
      </c>
      <c r="AL1554" s="738" t="s">
        <v>3925</v>
      </c>
      <c r="AM1554" s="738" t="s">
        <v>3926</v>
      </c>
      <c r="AN1554" s="738" t="s">
        <v>1744</v>
      </c>
      <c r="AO1554" s="739">
        <v>0.041</v>
      </c>
      <c r="AP1554" s="739" t="s">
        <v>2071</v>
      </c>
    </row>
    <row r="1555">
      <c r="A1555" s="159"/>
      <c r="B1555" s="159"/>
      <c r="C1555" s="159"/>
      <c r="D1555" s="159"/>
      <c r="E1555" s="159"/>
      <c r="F1555" s="159"/>
      <c r="G1555" s="159"/>
      <c r="H1555" s="159"/>
      <c r="I1555" s="157"/>
      <c r="J1555" s="157"/>
      <c r="K1555" s="157"/>
      <c r="L1555" s="157"/>
      <c r="M1555" s="157"/>
      <c r="N1555" s="157"/>
      <c r="O1555" s="157"/>
      <c r="P1555" s="753"/>
      <c r="AK1555" s="40">
        <v>1552.0</v>
      </c>
      <c r="AL1555" s="719" t="s">
        <v>3927</v>
      </c>
      <c r="AM1555" s="720" t="s">
        <v>3928</v>
      </c>
      <c r="AN1555" s="720" t="s">
        <v>1744</v>
      </c>
      <c r="AO1555" s="722">
        <v>0.072</v>
      </c>
      <c r="AP1555" s="722" t="s">
        <v>2022</v>
      </c>
    </row>
    <row r="1556">
      <c r="A1556" s="159"/>
      <c r="B1556" s="159"/>
      <c r="C1556" s="159"/>
      <c r="D1556" s="159"/>
      <c r="E1556" s="159"/>
      <c r="F1556" s="159"/>
      <c r="G1556" s="159"/>
      <c r="H1556" s="159"/>
      <c r="I1556" s="157"/>
      <c r="J1556" s="157"/>
      <c r="K1556" s="157"/>
      <c r="L1556" s="157"/>
      <c r="M1556" s="157"/>
      <c r="N1556" s="157"/>
      <c r="O1556" s="157"/>
      <c r="P1556" s="753"/>
      <c r="AK1556" s="40">
        <v>1553.0</v>
      </c>
      <c r="AL1556" s="738" t="s">
        <v>3929</v>
      </c>
      <c r="AM1556" s="738" t="s">
        <v>3930</v>
      </c>
      <c r="AN1556" s="738" t="s">
        <v>1744</v>
      </c>
      <c r="AO1556" s="739">
        <v>0.179</v>
      </c>
      <c r="AP1556" s="739" t="s">
        <v>1927</v>
      </c>
    </row>
    <row r="1557">
      <c r="A1557" s="159"/>
      <c r="B1557" s="159"/>
      <c r="C1557" s="159"/>
      <c r="D1557" s="159"/>
      <c r="E1557" s="159"/>
      <c r="F1557" s="159"/>
      <c r="G1557" s="159"/>
      <c r="H1557" s="159"/>
      <c r="I1557" s="157"/>
      <c r="J1557" s="157"/>
      <c r="K1557" s="157"/>
      <c r="L1557" s="157"/>
      <c r="M1557" s="157"/>
      <c r="N1557" s="157"/>
      <c r="O1557" s="157"/>
      <c r="P1557" s="753"/>
      <c r="AK1557" s="40">
        <v>1554.0</v>
      </c>
      <c r="AL1557" s="719" t="s">
        <v>3931</v>
      </c>
      <c r="AM1557" s="720" t="s">
        <v>3932</v>
      </c>
      <c r="AN1557" s="720" t="s">
        <v>1744</v>
      </c>
      <c r="AO1557" s="722">
        <v>0.052</v>
      </c>
      <c r="AP1557" s="722" t="s">
        <v>3933</v>
      </c>
    </row>
    <row r="1558">
      <c r="A1558" s="159"/>
      <c r="B1558" s="159"/>
      <c r="C1558" s="159"/>
      <c r="D1558" s="159"/>
      <c r="E1558" s="159"/>
      <c r="F1558" s="159"/>
      <c r="G1558" s="159"/>
      <c r="H1558" s="159"/>
      <c r="I1558" s="157"/>
      <c r="J1558" s="157"/>
      <c r="K1558" s="157"/>
      <c r="L1558" s="157"/>
      <c r="M1558" s="157"/>
      <c r="N1558" s="157"/>
      <c r="O1558" s="157"/>
      <c r="P1558" s="753"/>
      <c r="AK1558" s="40">
        <v>1555.0</v>
      </c>
      <c r="AL1558" s="738" t="s">
        <v>3931</v>
      </c>
      <c r="AM1558" s="738" t="s">
        <v>3932</v>
      </c>
      <c r="AN1558" s="738" t="s">
        <v>1744</v>
      </c>
      <c r="AO1558" s="739">
        <v>0.052</v>
      </c>
      <c r="AP1558" s="739" t="s">
        <v>3933</v>
      </c>
    </row>
    <row r="1559">
      <c r="A1559" s="159"/>
      <c r="B1559" s="159"/>
      <c r="C1559" s="159"/>
      <c r="D1559" s="159"/>
      <c r="E1559" s="159"/>
      <c r="F1559" s="159"/>
      <c r="G1559" s="159"/>
      <c r="H1559" s="159"/>
      <c r="I1559" s="157"/>
      <c r="J1559" s="157"/>
      <c r="K1559" s="157"/>
      <c r="L1559" s="157"/>
      <c r="M1559" s="157"/>
      <c r="N1559" s="157"/>
      <c r="O1559" s="157"/>
      <c r="P1559" s="753"/>
      <c r="AK1559" s="40">
        <v>1556.0</v>
      </c>
      <c r="AL1559" s="719" t="s">
        <v>3934</v>
      </c>
      <c r="AM1559" s="720" t="s">
        <v>3935</v>
      </c>
      <c r="AN1559" s="720" t="s">
        <v>1744</v>
      </c>
      <c r="AO1559" s="722">
        <v>0.082</v>
      </c>
      <c r="AP1559" s="722" t="s">
        <v>3936</v>
      </c>
    </row>
    <row r="1560">
      <c r="A1560" s="159"/>
      <c r="B1560" s="159"/>
      <c r="C1560" s="159"/>
      <c r="D1560" s="159"/>
      <c r="E1560" s="159"/>
      <c r="F1560" s="159"/>
      <c r="G1560" s="159"/>
      <c r="H1560" s="159"/>
      <c r="I1560" s="157"/>
      <c r="J1560" s="157"/>
      <c r="K1560" s="157"/>
      <c r="L1560" s="157"/>
      <c r="M1560" s="157"/>
      <c r="N1560" s="157"/>
      <c r="O1560" s="157"/>
      <c r="P1560" s="753"/>
      <c r="AK1560" s="40">
        <v>1557.0</v>
      </c>
      <c r="AL1560" s="738" t="s">
        <v>3934</v>
      </c>
      <c r="AM1560" s="738" t="s">
        <v>3935</v>
      </c>
      <c r="AN1560" s="738" t="s">
        <v>1744</v>
      </c>
      <c r="AO1560" s="739">
        <v>0.082</v>
      </c>
      <c r="AP1560" s="739" t="s">
        <v>3936</v>
      </c>
    </row>
    <row r="1561">
      <c r="A1561" s="159"/>
      <c r="B1561" s="159"/>
      <c r="C1561" s="159"/>
      <c r="D1561" s="159"/>
      <c r="E1561" s="159"/>
      <c r="F1561" s="159"/>
      <c r="G1561" s="159"/>
      <c r="H1561" s="159"/>
      <c r="I1561" s="157"/>
      <c r="J1561" s="157"/>
      <c r="K1561" s="157"/>
      <c r="L1561" s="157"/>
      <c r="M1561" s="157"/>
      <c r="N1561" s="157"/>
      <c r="O1561" s="157"/>
      <c r="P1561" s="753"/>
      <c r="AK1561" s="40">
        <v>1558.0</v>
      </c>
      <c r="AL1561" s="719" t="s">
        <v>3937</v>
      </c>
      <c r="AM1561" s="720" t="s">
        <v>3938</v>
      </c>
      <c r="AN1561" s="720" t="s">
        <v>1744</v>
      </c>
      <c r="AO1561" s="722">
        <v>0.188</v>
      </c>
      <c r="AP1561" s="722" t="s">
        <v>3939</v>
      </c>
    </row>
    <row r="1562">
      <c r="A1562" s="159"/>
      <c r="B1562" s="159"/>
      <c r="C1562" s="159"/>
      <c r="D1562" s="159"/>
      <c r="E1562" s="159"/>
      <c r="F1562" s="159"/>
      <c r="G1562" s="159"/>
      <c r="H1562" s="159"/>
      <c r="I1562" s="157"/>
      <c r="J1562" s="157"/>
      <c r="K1562" s="157"/>
      <c r="L1562" s="157"/>
      <c r="M1562" s="157"/>
      <c r="N1562" s="157"/>
      <c r="O1562" s="157"/>
      <c r="P1562" s="753"/>
      <c r="AK1562" s="40">
        <v>1559.0</v>
      </c>
      <c r="AL1562" s="738" t="s">
        <v>3937</v>
      </c>
      <c r="AM1562" s="738" t="s">
        <v>3938</v>
      </c>
      <c r="AN1562" s="738" t="s">
        <v>1744</v>
      </c>
      <c r="AO1562" s="739">
        <v>0.188</v>
      </c>
      <c r="AP1562" s="739" t="s">
        <v>3939</v>
      </c>
    </row>
    <row r="1563">
      <c r="A1563" s="159"/>
      <c r="B1563" s="159"/>
      <c r="C1563" s="159"/>
      <c r="D1563" s="159"/>
      <c r="E1563" s="159"/>
      <c r="F1563" s="159"/>
      <c r="G1563" s="159"/>
      <c r="H1563" s="159"/>
      <c r="I1563" s="157"/>
      <c r="J1563" s="157"/>
      <c r="K1563" s="157"/>
      <c r="L1563" s="157"/>
      <c r="M1563" s="157"/>
      <c r="N1563" s="157"/>
      <c r="O1563" s="157"/>
      <c r="P1563" s="753"/>
      <c r="AK1563" s="40">
        <v>1560.0</v>
      </c>
      <c r="AL1563" s="719" t="s">
        <v>3940</v>
      </c>
      <c r="AM1563" s="720" t="s">
        <v>3941</v>
      </c>
      <c r="AN1563" s="720" t="s">
        <v>1744</v>
      </c>
      <c r="AO1563" s="722">
        <v>0.082</v>
      </c>
      <c r="AP1563" s="722" t="s">
        <v>3942</v>
      </c>
    </row>
    <row r="1564">
      <c r="A1564" s="159"/>
      <c r="B1564" s="159"/>
      <c r="C1564" s="159"/>
      <c r="D1564" s="159"/>
      <c r="E1564" s="159"/>
      <c r="F1564" s="159"/>
      <c r="G1564" s="159"/>
      <c r="H1564" s="159"/>
      <c r="I1564" s="157"/>
      <c r="J1564" s="157"/>
      <c r="K1564" s="157"/>
      <c r="L1564" s="157"/>
      <c r="M1564" s="157"/>
      <c r="N1564" s="157"/>
      <c r="O1564" s="157"/>
      <c r="P1564" s="753"/>
      <c r="AK1564" s="40">
        <v>1561.0</v>
      </c>
      <c r="AL1564" s="738" t="s">
        <v>3940</v>
      </c>
      <c r="AM1564" s="738" t="s">
        <v>3941</v>
      </c>
      <c r="AN1564" s="738" t="s">
        <v>1744</v>
      </c>
      <c r="AO1564" s="739">
        <v>0.082</v>
      </c>
      <c r="AP1564" s="739" t="s">
        <v>3942</v>
      </c>
    </row>
    <row r="1565">
      <c r="A1565" s="159"/>
      <c r="B1565" s="159"/>
      <c r="C1565" s="159"/>
      <c r="D1565" s="159"/>
      <c r="E1565" s="159"/>
      <c r="F1565" s="159"/>
      <c r="G1565" s="159"/>
      <c r="H1565" s="159"/>
      <c r="I1565" s="157"/>
      <c r="J1565" s="157"/>
      <c r="K1565" s="157"/>
      <c r="L1565" s="157"/>
      <c r="M1565" s="157"/>
      <c r="N1565" s="157"/>
      <c r="O1565" s="157"/>
      <c r="P1565" s="753"/>
      <c r="AK1565" s="40">
        <v>1562.0</v>
      </c>
      <c r="AL1565" s="719" t="s">
        <v>3943</v>
      </c>
      <c r="AM1565" s="720" t="s">
        <v>3944</v>
      </c>
      <c r="AN1565" s="720" t="s">
        <v>1744</v>
      </c>
      <c r="AO1565" s="722">
        <v>0.111</v>
      </c>
      <c r="AP1565" s="722" t="s">
        <v>3945</v>
      </c>
    </row>
    <row r="1566">
      <c r="A1566" s="159"/>
      <c r="B1566" s="159"/>
      <c r="C1566" s="159"/>
      <c r="D1566" s="159"/>
      <c r="E1566" s="159"/>
      <c r="F1566" s="159"/>
      <c r="G1566" s="159"/>
      <c r="H1566" s="159"/>
      <c r="I1566" s="157"/>
      <c r="J1566" s="157"/>
      <c r="K1566" s="157"/>
      <c r="L1566" s="157"/>
      <c r="M1566" s="157"/>
      <c r="N1566" s="157"/>
      <c r="O1566" s="157"/>
      <c r="P1566" s="753"/>
      <c r="AK1566" s="40">
        <v>1563.0</v>
      </c>
      <c r="AL1566" s="738" t="s">
        <v>3943</v>
      </c>
      <c r="AM1566" s="738" t="s">
        <v>3944</v>
      </c>
      <c r="AN1566" s="738" t="s">
        <v>1744</v>
      </c>
      <c r="AO1566" s="739">
        <v>0.111</v>
      </c>
      <c r="AP1566" s="739" t="s">
        <v>3945</v>
      </c>
    </row>
    <row r="1567">
      <c r="A1567" s="159"/>
      <c r="B1567" s="159"/>
      <c r="C1567" s="159"/>
      <c r="D1567" s="159"/>
      <c r="E1567" s="159"/>
      <c r="F1567" s="159"/>
      <c r="G1567" s="159"/>
      <c r="H1567" s="159"/>
      <c r="I1567" s="157"/>
      <c r="J1567" s="157"/>
      <c r="K1567" s="157"/>
      <c r="L1567" s="157"/>
      <c r="M1567" s="157"/>
      <c r="N1567" s="157"/>
      <c r="O1567" s="157"/>
      <c r="P1567" s="753"/>
      <c r="AK1567" s="40">
        <v>1564.0</v>
      </c>
      <c r="AL1567" s="719" t="s">
        <v>3946</v>
      </c>
      <c r="AM1567" s="720" t="s">
        <v>3947</v>
      </c>
      <c r="AN1567" s="720" t="s">
        <v>1744</v>
      </c>
      <c r="AO1567" s="722">
        <v>0.214</v>
      </c>
      <c r="AP1567" s="722" t="s">
        <v>3948</v>
      </c>
    </row>
    <row r="1568">
      <c r="A1568" s="159"/>
      <c r="B1568" s="159"/>
      <c r="C1568" s="159"/>
      <c r="D1568" s="159"/>
      <c r="E1568" s="159"/>
      <c r="F1568" s="159"/>
      <c r="G1568" s="159"/>
      <c r="H1568" s="159"/>
      <c r="I1568" s="157"/>
      <c r="J1568" s="157"/>
      <c r="K1568" s="157"/>
      <c r="L1568" s="157"/>
      <c r="M1568" s="157"/>
      <c r="N1568" s="157"/>
      <c r="O1568" s="157"/>
      <c r="P1568" s="753"/>
      <c r="AK1568" s="40">
        <v>1565.0</v>
      </c>
      <c r="AL1568" s="738" t="s">
        <v>3946</v>
      </c>
      <c r="AM1568" s="738" t="s">
        <v>3947</v>
      </c>
      <c r="AN1568" s="738" t="s">
        <v>1744</v>
      </c>
      <c r="AO1568" s="739">
        <v>0.214</v>
      </c>
      <c r="AP1568" s="739" t="s">
        <v>3948</v>
      </c>
    </row>
    <row r="1569">
      <c r="A1569" s="159"/>
      <c r="B1569" s="159"/>
      <c r="C1569" s="159"/>
      <c r="D1569" s="159"/>
      <c r="E1569" s="159"/>
      <c r="F1569" s="159"/>
      <c r="G1569" s="159"/>
      <c r="H1569" s="159"/>
      <c r="I1569" s="157"/>
      <c r="J1569" s="157"/>
      <c r="K1569" s="157"/>
      <c r="L1569" s="157"/>
      <c r="M1569" s="157"/>
      <c r="N1569" s="157"/>
      <c r="O1569" s="157"/>
      <c r="P1569" s="753"/>
      <c r="AK1569" s="40">
        <v>1566.0</v>
      </c>
      <c r="AL1569" s="719" t="s">
        <v>3949</v>
      </c>
      <c r="AM1569" s="720" t="s">
        <v>3950</v>
      </c>
      <c r="AN1569" s="720" t="s">
        <v>1744</v>
      </c>
      <c r="AO1569" s="722">
        <v>0.137</v>
      </c>
      <c r="AP1569" s="722" t="s">
        <v>3951</v>
      </c>
    </row>
    <row r="1570">
      <c r="A1570" s="159"/>
      <c r="B1570" s="159"/>
      <c r="C1570" s="159"/>
      <c r="D1570" s="159"/>
      <c r="E1570" s="159"/>
      <c r="F1570" s="159"/>
      <c r="G1570" s="159"/>
      <c r="H1570" s="159"/>
      <c r="I1570" s="157"/>
      <c r="J1570" s="157"/>
      <c r="K1570" s="157"/>
      <c r="L1570" s="157"/>
      <c r="M1570" s="157"/>
      <c r="N1570" s="157"/>
      <c r="O1570" s="157"/>
      <c r="P1570" s="753"/>
      <c r="AK1570" s="40">
        <v>1567.0</v>
      </c>
      <c r="AL1570" s="738" t="s">
        <v>3949</v>
      </c>
      <c r="AM1570" s="738" t="s">
        <v>3950</v>
      </c>
      <c r="AN1570" s="738" t="s">
        <v>1744</v>
      </c>
      <c r="AO1570" s="739">
        <v>0.137</v>
      </c>
      <c r="AP1570" s="739" t="s">
        <v>3951</v>
      </c>
    </row>
    <row r="1571">
      <c r="A1571" s="159"/>
      <c r="B1571" s="159"/>
      <c r="C1571" s="159"/>
      <c r="D1571" s="159"/>
      <c r="E1571" s="159"/>
      <c r="F1571" s="159"/>
      <c r="G1571" s="159"/>
      <c r="H1571" s="159"/>
      <c r="I1571" s="157"/>
      <c r="J1571" s="157"/>
      <c r="K1571" s="157"/>
      <c r="L1571" s="157"/>
      <c r="M1571" s="157"/>
      <c r="N1571" s="157"/>
      <c r="O1571" s="157"/>
      <c r="P1571" s="753"/>
      <c r="AK1571" s="40">
        <v>1568.0</v>
      </c>
      <c r="AL1571" s="719" t="s">
        <v>3952</v>
      </c>
      <c r="AM1571" s="720" t="s">
        <v>3953</v>
      </c>
      <c r="AN1571" s="720" t="s">
        <v>1744</v>
      </c>
      <c r="AO1571" s="722">
        <v>0.164</v>
      </c>
      <c r="AP1571" s="722" t="s">
        <v>3954</v>
      </c>
    </row>
    <row r="1572">
      <c r="A1572" s="159"/>
      <c r="B1572" s="159"/>
      <c r="C1572" s="159"/>
      <c r="D1572" s="159"/>
      <c r="E1572" s="159"/>
      <c r="F1572" s="159"/>
      <c r="G1572" s="159"/>
      <c r="H1572" s="159"/>
      <c r="I1572" s="157"/>
      <c r="J1572" s="157"/>
      <c r="K1572" s="157"/>
      <c r="L1572" s="157"/>
      <c r="M1572" s="157"/>
      <c r="N1572" s="157"/>
      <c r="O1572" s="157"/>
      <c r="P1572" s="753"/>
      <c r="AK1572" s="40">
        <v>1569.0</v>
      </c>
      <c r="AL1572" s="738" t="s">
        <v>3952</v>
      </c>
      <c r="AM1572" s="738" t="s">
        <v>3953</v>
      </c>
      <c r="AN1572" s="738" t="s">
        <v>1744</v>
      </c>
      <c r="AO1572" s="739">
        <v>0.164</v>
      </c>
      <c r="AP1572" s="739" t="s">
        <v>3954</v>
      </c>
    </row>
    <row r="1573">
      <c r="A1573" s="159"/>
      <c r="B1573" s="159"/>
      <c r="C1573" s="159"/>
      <c r="D1573" s="159"/>
      <c r="E1573" s="159"/>
      <c r="F1573" s="159"/>
      <c r="G1573" s="159"/>
      <c r="H1573" s="159"/>
      <c r="I1573" s="157"/>
      <c r="J1573" s="157"/>
      <c r="K1573" s="157"/>
      <c r="L1573" s="157"/>
      <c r="M1573" s="157"/>
      <c r="N1573" s="157"/>
      <c r="O1573" s="157"/>
      <c r="P1573" s="753"/>
      <c r="AK1573" s="40">
        <v>1570.0</v>
      </c>
      <c r="AL1573" s="719" t="s">
        <v>3955</v>
      </c>
      <c r="AM1573" s="720" t="s">
        <v>3956</v>
      </c>
      <c r="AN1573" s="720" t="s">
        <v>1744</v>
      </c>
      <c r="AO1573" s="722">
        <v>0.261</v>
      </c>
      <c r="AP1573" s="722" t="s">
        <v>3957</v>
      </c>
    </row>
    <row r="1574">
      <c r="A1574" s="159"/>
      <c r="B1574" s="159"/>
      <c r="C1574" s="159"/>
      <c r="D1574" s="159"/>
      <c r="E1574" s="159"/>
      <c r="F1574" s="159"/>
      <c r="G1574" s="159"/>
      <c r="H1574" s="159"/>
      <c r="I1574" s="157"/>
      <c r="J1574" s="157"/>
      <c r="K1574" s="157"/>
      <c r="L1574" s="157"/>
      <c r="M1574" s="157"/>
      <c r="N1574" s="157"/>
      <c r="O1574" s="157"/>
      <c r="P1574" s="753"/>
      <c r="AK1574" s="40">
        <v>1571.0</v>
      </c>
      <c r="AL1574" s="738" t="s">
        <v>3955</v>
      </c>
      <c r="AM1574" s="738" t="s">
        <v>3956</v>
      </c>
      <c r="AN1574" s="738" t="s">
        <v>1744</v>
      </c>
      <c r="AO1574" s="739">
        <v>0.261</v>
      </c>
      <c r="AP1574" s="739" t="s">
        <v>3957</v>
      </c>
    </row>
    <row r="1575">
      <c r="A1575" s="159"/>
      <c r="B1575" s="159"/>
      <c r="C1575" s="159"/>
      <c r="D1575" s="159"/>
      <c r="E1575" s="159"/>
      <c r="F1575" s="159"/>
      <c r="G1575" s="159"/>
      <c r="H1575" s="159"/>
      <c r="I1575" s="157"/>
      <c r="J1575" s="157"/>
      <c r="K1575" s="157"/>
      <c r="L1575" s="157"/>
      <c r="M1575" s="157"/>
      <c r="N1575" s="157"/>
      <c r="O1575" s="157"/>
      <c r="P1575" s="753"/>
      <c r="AK1575" s="40">
        <v>1572.0</v>
      </c>
      <c r="AL1575" s="719" t="s">
        <v>3958</v>
      </c>
      <c r="AM1575" s="720" t="s">
        <v>3959</v>
      </c>
      <c r="AN1575" s="720" t="s">
        <v>1744</v>
      </c>
      <c r="AO1575" s="722">
        <v>0.195</v>
      </c>
      <c r="AP1575" s="722" t="s">
        <v>3960</v>
      </c>
    </row>
    <row r="1576">
      <c r="A1576" s="159"/>
      <c r="B1576" s="159"/>
      <c r="C1576" s="159"/>
      <c r="D1576" s="159"/>
      <c r="E1576" s="159"/>
      <c r="F1576" s="159"/>
      <c r="G1576" s="159"/>
      <c r="H1576" s="159"/>
      <c r="I1576" s="157"/>
      <c r="J1576" s="157"/>
      <c r="K1576" s="157"/>
      <c r="L1576" s="157"/>
      <c r="M1576" s="157"/>
      <c r="N1576" s="157"/>
      <c r="O1576" s="157"/>
      <c r="P1576" s="753"/>
      <c r="AK1576" s="40">
        <v>1573.0</v>
      </c>
      <c r="AL1576" s="738" t="s">
        <v>3958</v>
      </c>
      <c r="AM1576" s="738" t="s">
        <v>3959</v>
      </c>
      <c r="AN1576" s="738" t="s">
        <v>1744</v>
      </c>
      <c r="AO1576" s="739">
        <v>0.195</v>
      </c>
      <c r="AP1576" s="739" t="s">
        <v>3960</v>
      </c>
    </row>
    <row r="1577">
      <c r="A1577" s="159"/>
      <c r="B1577" s="159"/>
      <c r="C1577" s="159"/>
      <c r="D1577" s="159"/>
      <c r="E1577" s="159"/>
      <c r="F1577" s="159"/>
      <c r="G1577" s="159"/>
      <c r="H1577" s="159"/>
      <c r="I1577" s="157"/>
      <c r="J1577" s="157"/>
      <c r="K1577" s="157"/>
      <c r="L1577" s="157"/>
      <c r="M1577" s="157"/>
      <c r="N1577" s="157"/>
      <c r="O1577" s="157"/>
      <c r="P1577" s="753"/>
      <c r="AK1577" s="40">
        <v>1574.0</v>
      </c>
      <c r="AL1577" s="719" t="s">
        <v>3961</v>
      </c>
      <c r="AM1577" s="720" t="s">
        <v>3962</v>
      </c>
      <c r="AN1577" s="720" t="s">
        <v>1744</v>
      </c>
      <c r="AO1577" s="722">
        <v>0.22</v>
      </c>
      <c r="AP1577" s="722" t="s">
        <v>3963</v>
      </c>
    </row>
    <row r="1578">
      <c r="A1578" s="159"/>
      <c r="B1578" s="159"/>
      <c r="C1578" s="159"/>
      <c r="D1578" s="159"/>
      <c r="E1578" s="159"/>
      <c r="F1578" s="159"/>
      <c r="G1578" s="159"/>
      <c r="H1578" s="159"/>
      <c r="I1578" s="157"/>
      <c r="J1578" s="157"/>
      <c r="K1578" s="157"/>
      <c r="L1578" s="157"/>
      <c r="M1578" s="157"/>
      <c r="N1578" s="157"/>
      <c r="O1578" s="157"/>
      <c r="P1578" s="753"/>
      <c r="AK1578" s="40">
        <v>1575.0</v>
      </c>
      <c r="AL1578" s="738" t="s">
        <v>3961</v>
      </c>
      <c r="AM1578" s="738" t="s">
        <v>3962</v>
      </c>
      <c r="AN1578" s="738" t="s">
        <v>1744</v>
      </c>
      <c r="AO1578" s="739">
        <v>0.22</v>
      </c>
      <c r="AP1578" s="739" t="s">
        <v>3963</v>
      </c>
    </row>
    <row r="1579">
      <c r="A1579" s="159"/>
      <c r="B1579" s="159"/>
      <c r="C1579" s="159"/>
      <c r="D1579" s="159"/>
      <c r="E1579" s="159"/>
      <c r="F1579" s="159"/>
      <c r="G1579" s="159"/>
      <c r="H1579" s="159"/>
      <c r="I1579" s="157"/>
      <c r="J1579" s="157"/>
      <c r="K1579" s="157"/>
      <c r="L1579" s="157"/>
      <c r="M1579" s="157"/>
      <c r="N1579" s="157"/>
      <c r="O1579" s="157"/>
      <c r="P1579" s="753"/>
      <c r="AK1579" s="40">
        <v>1576.0</v>
      </c>
      <c r="AL1579" s="719" t="s">
        <v>3964</v>
      </c>
      <c r="AM1579" s="720" t="s">
        <v>3965</v>
      </c>
      <c r="AN1579" s="720" t="s">
        <v>1744</v>
      </c>
      <c r="AO1579" s="722">
        <v>0.31</v>
      </c>
      <c r="AP1579" s="722" t="s">
        <v>3966</v>
      </c>
    </row>
    <row r="1580">
      <c r="A1580" s="159"/>
      <c r="B1580" s="159"/>
      <c r="C1580" s="159"/>
      <c r="D1580" s="159"/>
      <c r="E1580" s="159"/>
      <c r="F1580" s="159"/>
      <c r="G1580" s="159"/>
      <c r="H1580" s="159"/>
      <c r="I1580" s="157"/>
      <c r="J1580" s="157"/>
      <c r="K1580" s="157"/>
      <c r="L1580" s="157"/>
      <c r="M1580" s="157"/>
      <c r="N1580" s="157"/>
      <c r="O1580" s="157"/>
      <c r="P1580" s="753"/>
      <c r="AK1580" s="40">
        <v>1577.0</v>
      </c>
      <c r="AL1580" s="738" t="s">
        <v>3964</v>
      </c>
      <c r="AM1580" s="738" t="s">
        <v>3965</v>
      </c>
      <c r="AN1580" s="738" t="s">
        <v>1744</v>
      </c>
      <c r="AO1580" s="739">
        <v>0.31</v>
      </c>
      <c r="AP1580" s="739" t="s">
        <v>3966</v>
      </c>
    </row>
    <row r="1581">
      <c r="A1581" s="159"/>
      <c r="B1581" s="159"/>
      <c r="C1581" s="159"/>
      <c r="D1581" s="159"/>
      <c r="E1581" s="159"/>
      <c r="F1581" s="159"/>
      <c r="G1581" s="159"/>
      <c r="H1581" s="159"/>
      <c r="I1581" s="157"/>
      <c r="J1581" s="157"/>
      <c r="K1581" s="157"/>
      <c r="L1581" s="157"/>
      <c r="M1581" s="157"/>
      <c r="N1581" s="157"/>
      <c r="O1581" s="157"/>
      <c r="P1581" s="753"/>
      <c r="AK1581" s="40">
        <v>1578.0</v>
      </c>
      <c r="AL1581" s="719" t="s">
        <v>3967</v>
      </c>
      <c r="AM1581" s="720" t="s">
        <v>3968</v>
      </c>
      <c r="AN1581" s="720" t="s">
        <v>1744</v>
      </c>
      <c r="AO1581" s="722">
        <v>0.233</v>
      </c>
      <c r="AP1581" s="722" t="s">
        <v>3969</v>
      </c>
    </row>
    <row r="1582">
      <c r="A1582" s="159"/>
      <c r="B1582" s="159"/>
      <c r="C1582" s="159"/>
      <c r="D1582" s="159"/>
      <c r="E1582" s="159"/>
      <c r="F1582" s="159"/>
      <c r="G1582" s="159"/>
      <c r="H1582" s="159"/>
      <c r="I1582" s="157"/>
      <c r="J1582" s="157"/>
      <c r="K1582" s="157"/>
      <c r="L1582" s="157"/>
      <c r="M1582" s="157"/>
      <c r="N1582" s="157"/>
      <c r="O1582" s="157"/>
      <c r="P1582" s="753"/>
      <c r="AK1582" s="40">
        <v>1579.0</v>
      </c>
      <c r="AL1582" s="738" t="s">
        <v>3967</v>
      </c>
      <c r="AM1582" s="738" t="s">
        <v>3968</v>
      </c>
      <c r="AN1582" s="738" t="s">
        <v>1744</v>
      </c>
      <c r="AO1582" s="739">
        <v>0.233</v>
      </c>
      <c r="AP1582" s="739" t="s">
        <v>3969</v>
      </c>
    </row>
    <row r="1583">
      <c r="A1583" s="159"/>
      <c r="B1583" s="159"/>
      <c r="C1583" s="159"/>
      <c r="D1583" s="159"/>
      <c r="E1583" s="159"/>
      <c r="F1583" s="159"/>
      <c r="G1583" s="159"/>
      <c r="H1583" s="159"/>
      <c r="I1583" s="157"/>
      <c r="J1583" s="157"/>
      <c r="K1583" s="157"/>
      <c r="L1583" s="157"/>
      <c r="M1583" s="157"/>
      <c r="N1583" s="157"/>
      <c r="O1583" s="157"/>
      <c r="P1583" s="753"/>
      <c r="AK1583" s="40">
        <v>1580.0</v>
      </c>
      <c r="AL1583" s="719" t="s">
        <v>3970</v>
      </c>
      <c r="AM1583" s="720" t="s">
        <v>3971</v>
      </c>
      <c r="AN1583" s="720" t="s">
        <v>1744</v>
      </c>
      <c r="AO1583" s="722">
        <v>0.257</v>
      </c>
      <c r="AP1583" s="722" t="s">
        <v>3972</v>
      </c>
    </row>
    <row r="1584">
      <c r="A1584" s="159"/>
      <c r="B1584" s="159"/>
      <c r="C1584" s="159"/>
      <c r="D1584" s="159"/>
      <c r="E1584" s="159"/>
      <c r="F1584" s="159"/>
      <c r="G1584" s="159"/>
      <c r="H1584" s="159"/>
      <c r="I1584" s="157"/>
      <c r="J1584" s="157"/>
      <c r="K1584" s="157"/>
      <c r="L1584" s="157"/>
      <c r="M1584" s="157"/>
      <c r="N1584" s="157"/>
      <c r="O1584" s="157"/>
      <c r="P1584" s="753"/>
      <c r="AK1584" s="40">
        <v>1581.0</v>
      </c>
      <c r="AL1584" s="738" t="s">
        <v>3970</v>
      </c>
      <c r="AM1584" s="738" t="s">
        <v>3971</v>
      </c>
      <c r="AN1584" s="738" t="s">
        <v>1744</v>
      </c>
      <c r="AO1584" s="739">
        <v>0.257</v>
      </c>
      <c r="AP1584" s="739" t="s">
        <v>3972</v>
      </c>
    </row>
    <row r="1585">
      <c r="A1585" s="159"/>
      <c r="B1585" s="159"/>
      <c r="C1585" s="159"/>
      <c r="D1585" s="159"/>
      <c r="E1585" s="159"/>
      <c r="F1585" s="159"/>
      <c r="G1585" s="159"/>
      <c r="H1585" s="159"/>
      <c r="I1585" s="157"/>
      <c r="J1585" s="157"/>
      <c r="K1585" s="157"/>
      <c r="L1585" s="157"/>
      <c r="M1585" s="157"/>
      <c r="N1585" s="157"/>
      <c r="O1585" s="157"/>
      <c r="P1585" s="753"/>
      <c r="AK1585" s="40">
        <v>1582.0</v>
      </c>
      <c r="AL1585" s="719" t="s">
        <v>3973</v>
      </c>
      <c r="AM1585" s="720" t="s">
        <v>3974</v>
      </c>
      <c r="AN1585" s="720" t="s">
        <v>1744</v>
      </c>
      <c r="AO1585" s="722">
        <v>0.342</v>
      </c>
      <c r="AP1585" s="722" t="s">
        <v>3975</v>
      </c>
    </row>
    <row r="1586">
      <c r="A1586" s="159"/>
      <c r="B1586" s="159"/>
      <c r="C1586" s="159"/>
      <c r="D1586" s="159"/>
      <c r="E1586" s="159"/>
      <c r="F1586" s="159"/>
      <c r="G1586" s="159"/>
      <c r="H1586" s="159"/>
      <c r="I1586" s="157"/>
      <c r="J1586" s="157"/>
      <c r="K1586" s="157"/>
      <c r="L1586" s="157"/>
      <c r="M1586" s="157"/>
      <c r="N1586" s="157"/>
      <c r="O1586" s="157"/>
      <c r="P1586" s="753"/>
      <c r="AK1586" s="40">
        <v>1583.0</v>
      </c>
      <c r="AL1586" s="738" t="s">
        <v>3973</v>
      </c>
      <c r="AM1586" s="738" t="s">
        <v>3974</v>
      </c>
      <c r="AN1586" s="738" t="s">
        <v>1744</v>
      </c>
      <c r="AO1586" s="739">
        <v>0.342</v>
      </c>
      <c r="AP1586" s="739" t="s">
        <v>3975</v>
      </c>
    </row>
    <row r="1587">
      <c r="A1587" s="159"/>
      <c r="B1587" s="159"/>
      <c r="C1587" s="159"/>
      <c r="D1587" s="159"/>
      <c r="E1587" s="159"/>
      <c r="F1587" s="159"/>
      <c r="G1587" s="159"/>
      <c r="H1587" s="159"/>
      <c r="I1587" s="157"/>
      <c r="J1587" s="157"/>
      <c r="K1587" s="157"/>
      <c r="L1587" s="157"/>
      <c r="M1587" s="157"/>
      <c r="N1587" s="157"/>
      <c r="O1587" s="157"/>
      <c r="P1587" s="753"/>
      <c r="AK1587" s="40">
        <v>1584.0</v>
      </c>
      <c r="AL1587" s="719" t="s">
        <v>3976</v>
      </c>
      <c r="AM1587" s="720" t="s">
        <v>3977</v>
      </c>
      <c r="AN1587" s="720" t="s">
        <v>1744</v>
      </c>
      <c r="AO1587" s="722">
        <v>0.011</v>
      </c>
      <c r="AP1587" s="722" t="s">
        <v>2286</v>
      </c>
    </row>
    <row r="1588">
      <c r="A1588" s="159"/>
      <c r="B1588" s="159"/>
      <c r="C1588" s="159"/>
      <c r="D1588" s="159"/>
      <c r="E1588" s="159"/>
      <c r="F1588" s="159"/>
      <c r="G1588" s="159"/>
      <c r="H1588" s="159"/>
      <c r="I1588" s="157"/>
      <c r="J1588" s="157"/>
      <c r="K1588" s="157"/>
      <c r="L1588" s="157"/>
      <c r="M1588" s="157"/>
      <c r="N1588" s="157"/>
      <c r="O1588" s="157"/>
      <c r="P1588" s="753"/>
      <c r="AK1588" s="40">
        <v>1585.0</v>
      </c>
      <c r="AL1588" s="738" t="s">
        <v>3978</v>
      </c>
      <c r="AM1588" s="738" t="s">
        <v>3979</v>
      </c>
      <c r="AN1588" s="738" t="s">
        <v>1744</v>
      </c>
      <c r="AO1588" s="739">
        <v>0.043</v>
      </c>
      <c r="AP1588" s="739" t="s">
        <v>2290</v>
      </c>
    </row>
    <row r="1589">
      <c r="A1589" s="159"/>
      <c r="B1589" s="159"/>
      <c r="C1589" s="159"/>
      <c r="D1589" s="159"/>
      <c r="E1589" s="159"/>
      <c r="F1589" s="159"/>
      <c r="G1589" s="159"/>
      <c r="H1589" s="159"/>
      <c r="I1589" s="157"/>
      <c r="J1589" s="157"/>
      <c r="K1589" s="157"/>
      <c r="L1589" s="157"/>
      <c r="M1589" s="157"/>
      <c r="N1589" s="157"/>
      <c r="O1589" s="157"/>
      <c r="P1589" s="753"/>
      <c r="AK1589" s="40">
        <v>1586.0</v>
      </c>
      <c r="AL1589" s="719" t="s">
        <v>3980</v>
      </c>
      <c r="AM1589" s="720" t="s">
        <v>3981</v>
      </c>
      <c r="AN1589" s="720" t="s">
        <v>1744</v>
      </c>
      <c r="AO1589" s="722">
        <v>0.1</v>
      </c>
      <c r="AP1589" s="722" t="s">
        <v>3376</v>
      </c>
    </row>
    <row r="1590">
      <c r="A1590" s="159"/>
      <c r="B1590" s="159"/>
      <c r="C1590" s="159"/>
      <c r="D1590" s="159"/>
      <c r="E1590" s="159"/>
      <c r="F1590" s="159"/>
      <c r="G1590" s="159"/>
      <c r="H1590" s="159"/>
      <c r="I1590" s="157"/>
      <c r="J1590" s="157"/>
      <c r="K1590" s="157"/>
      <c r="L1590" s="157"/>
      <c r="M1590" s="157"/>
      <c r="N1590" s="157"/>
      <c r="O1590" s="157"/>
      <c r="P1590" s="753"/>
      <c r="AK1590" s="40">
        <v>1587.0</v>
      </c>
      <c r="AL1590" s="738" t="s">
        <v>3982</v>
      </c>
      <c r="AM1590" s="738" t="s">
        <v>3983</v>
      </c>
      <c r="AN1590" s="738" t="s">
        <v>1744</v>
      </c>
      <c r="AO1590" s="739">
        <v>0.16</v>
      </c>
      <c r="AP1590" s="739" t="s">
        <v>3380</v>
      </c>
    </row>
    <row r="1591">
      <c r="A1591" s="159"/>
      <c r="B1591" s="159"/>
      <c r="C1591" s="159"/>
      <c r="D1591" s="159"/>
      <c r="E1591" s="159"/>
      <c r="F1591" s="159"/>
      <c r="G1591" s="159"/>
      <c r="H1591" s="159"/>
      <c r="I1591" s="157"/>
      <c r="J1591" s="157"/>
      <c r="K1591" s="157"/>
      <c r="L1591" s="157"/>
      <c r="M1591" s="157"/>
      <c r="N1591" s="157"/>
      <c r="O1591" s="157"/>
      <c r="P1591" s="753"/>
      <c r="AK1591" s="40">
        <v>1588.0</v>
      </c>
      <c r="AL1591" s="719" t="s">
        <v>3984</v>
      </c>
      <c r="AM1591" s="720" t="s">
        <v>3985</v>
      </c>
      <c r="AN1591" s="720" t="s">
        <v>1744</v>
      </c>
      <c r="AO1591" s="722">
        <v>0.2</v>
      </c>
      <c r="AP1591" s="722" t="s">
        <v>3384</v>
      </c>
    </row>
    <row r="1592">
      <c r="A1592" s="159"/>
      <c r="B1592" s="159"/>
      <c r="C1592" s="159"/>
      <c r="D1592" s="159"/>
      <c r="E1592" s="159"/>
      <c r="F1592" s="159"/>
      <c r="G1592" s="159"/>
      <c r="H1592" s="159"/>
      <c r="I1592" s="157"/>
      <c r="J1592" s="157"/>
      <c r="K1592" s="157"/>
      <c r="L1592" s="157"/>
      <c r="M1592" s="157"/>
      <c r="N1592" s="157"/>
      <c r="O1592" s="157"/>
      <c r="P1592" s="753"/>
      <c r="AK1592" s="40">
        <v>1589.0</v>
      </c>
      <c r="AL1592" s="738" t="s">
        <v>3986</v>
      </c>
      <c r="AM1592" s="738" t="s">
        <v>3987</v>
      </c>
      <c r="AN1592" s="738" t="s">
        <v>1744</v>
      </c>
      <c r="AO1592" s="739">
        <v>0.049</v>
      </c>
      <c r="AP1592" s="739" t="s">
        <v>2067</v>
      </c>
    </row>
    <row r="1593">
      <c r="A1593" s="159"/>
      <c r="B1593" s="159"/>
      <c r="C1593" s="159"/>
      <c r="D1593" s="159"/>
      <c r="E1593" s="159"/>
      <c r="F1593" s="159"/>
      <c r="G1593" s="159"/>
      <c r="H1593" s="159"/>
      <c r="I1593" s="157"/>
      <c r="J1593" s="157"/>
      <c r="K1593" s="157"/>
      <c r="L1593" s="157"/>
      <c r="M1593" s="157"/>
      <c r="N1593" s="157"/>
      <c r="O1593" s="157"/>
      <c r="P1593" s="753"/>
      <c r="AK1593" s="40">
        <v>1590.0</v>
      </c>
      <c r="AL1593" s="719" t="s">
        <v>3988</v>
      </c>
      <c r="AM1593" s="720" t="s">
        <v>3989</v>
      </c>
      <c r="AN1593" s="720" t="s">
        <v>1744</v>
      </c>
      <c r="AO1593" s="722">
        <v>0.059</v>
      </c>
      <c r="AP1593" s="722" t="s">
        <v>3990</v>
      </c>
    </row>
    <row r="1594">
      <c r="A1594" s="159"/>
      <c r="B1594" s="159"/>
      <c r="C1594" s="159"/>
      <c r="D1594" s="159"/>
      <c r="E1594" s="159"/>
      <c r="F1594" s="159"/>
      <c r="G1594" s="159"/>
      <c r="H1594" s="159"/>
      <c r="I1594" s="157"/>
      <c r="J1594" s="157"/>
      <c r="K1594" s="157"/>
      <c r="L1594" s="157"/>
      <c r="M1594" s="157"/>
      <c r="N1594" s="157"/>
      <c r="O1594" s="157"/>
      <c r="P1594" s="753"/>
      <c r="AK1594" s="40">
        <v>1591.0</v>
      </c>
      <c r="AL1594" s="738" t="s">
        <v>3988</v>
      </c>
      <c r="AM1594" s="738" t="s">
        <v>3989</v>
      </c>
      <c r="AN1594" s="738" t="s">
        <v>1744</v>
      </c>
      <c r="AO1594" s="739">
        <v>0.059</v>
      </c>
      <c r="AP1594" s="739" t="s">
        <v>3990</v>
      </c>
    </row>
    <row r="1595">
      <c r="A1595" s="159"/>
      <c r="B1595" s="159"/>
      <c r="C1595" s="159"/>
      <c r="D1595" s="159"/>
      <c r="E1595" s="159"/>
      <c r="F1595" s="159"/>
      <c r="G1595" s="159"/>
      <c r="H1595" s="159"/>
      <c r="I1595" s="157"/>
      <c r="J1595" s="157"/>
      <c r="K1595" s="157"/>
      <c r="L1595" s="157"/>
      <c r="M1595" s="157"/>
      <c r="N1595" s="157"/>
      <c r="O1595" s="157"/>
      <c r="P1595" s="753"/>
      <c r="AK1595" s="40">
        <v>1592.0</v>
      </c>
      <c r="AL1595" s="719" t="s">
        <v>3991</v>
      </c>
      <c r="AM1595" s="720" t="s">
        <v>3992</v>
      </c>
      <c r="AN1595" s="720" t="s">
        <v>1744</v>
      </c>
      <c r="AO1595" s="722">
        <v>0.089</v>
      </c>
      <c r="AP1595" s="722" t="s">
        <v>3993</v>
      </c>
    </row>
    <row r="1596">
      <c r="A1596" s="159"/>
      <c r="B1596" s="159"/>
      <c r="C1596" s="159"/>
      <c r="D1596" s="159"/>
      <c r="E1596" s="159"/>
      <c r="F1596" s="159"/>
      <c r="G1596" s="159"/>
      <c r="H1596" s="159"/>
      <c r="I1596" s="157"/>
      <c r="J1596" s="157"/>
      <c r="K1596" s="157"/>
      <c r="L1596" s="157"/>
      <c r="M1596" s="157"/>
      <c r="N1596" s="157"/>
      <c r="O1596" s="157"/>
      <c r="P1596" s="753"/>
      <c r="AK1596" s="40">
        <v>1593.0</v>
      </c>
      <c r="AL1596" s="738" t="s">
        <v>3991</v>
      </c>
      <c r="AM1596" s="738" t="s">
        <v>3992</v>
      </c>
      <c r="AN1596" s="738" t="s">
        <v>1744</v>
      </c>
      <c r="AO1596" s="739">
        <v>0.089</v>
      </c>
      <c r="AP1596" s="739" t="s">
        <v>3993</v>
      </c>
    </row>
    <row r="1597">
      <c r="A1597" s="159"/>
      <c r="B1597" s="159"/>
      <c r="C1597" s="159"/>
      <c r="D1597" s="159"/>
      <c r="E1597" s="159"/>
      <c r="F1597" s="159"/>
      <c r="G1597" s="159"/>
      <c r="H1597" s="159"/>
      <c r="I1597" s="157"/>
      <c r="J1597" s="157"/>
      <c r="K1597" s="157"/>
      <c r="L1597" s="157"/>
      <c r="M1597" s="157"/>
      <c r="N1597" s="157"/>
      <c r="O1597" s="157"/>
      <c r="P1597" s="753"/>
      <c r="AK1597" s="40">
        <v>1594.0</v>
      </c>
      <c r="AL1597" s="719" t="s">
        <v>3994</v>
      </c>
      <c r="AM1597" s="720" t="s">
        <v>3995</v>
      </c>
      <c r="AN1597" s="720" t="s">
        <v>1744</v>
      </c>
      <c r="AO1597" s="722">
        <v>0.144</v>
      </c>
      <c r="AP1597" s="722" t="s">
        <v>3996</v>
      </c>
    </row>
    <row r="1598">
      <c r="A1598" s="159"/>
      <c r="B1598" s="159"/>
      <c r="C1598" s="159"/>
      <c r="D1598" s="159"/>
      <c r="E1598" s="159"/>
      <c r="F1598" s="159"/>
      <c r="G1598" s="159"/>
      <c r="H1598" s="159"/>
      <c r="I1598" s="157"/>
      <c r="J1598" s="157"/>
      <c r="K1598" s="157"/>
      <c r="L1598" s="157"/>
      <c r="M1598" s="157"/>
      <c r="N1598" s="157"/>
      <c r="O1598" s="157"/>
      <c r="P1598" s="753"/>
      <c r="AK1598" s="40">
        <v>1595.0</v>
      </c>
      <c r="AL1598" s="738" t="s">
        <v>3994</v>
      </c>
      <c r="AM1598" s="738" t="s">
        <v>3995</v>
      </c>
      <c r="AN1598" s="738" t="s">
        <v>1744</v>
      </c>
      <c r="AO1598" s="739">
        <v>0.144</v>
      </c>
      <c r="AP1598" s="739" t="s">
        <v>3996</v>
      </c>
    </row>
    <row r="1599">
      <c r="A1599" s="159"/>
      <c r="B1599" s="159"/>
      <c r="C1599" s="159"/>
      <c r="D1599" s="159"/>
      <c r="E1599" s="159"/>
      <c r="F1599" s="159"/>
      <c r="G1599" s="159"/>
      <c r="H1599" s="159"/>
      <c r="I1599" s="157"/>
      <c r="J1599" s="157"/>
      <c r="K1599" s="157"/>
      <c r="L1599" s="157"/>
      <c r="M1599" s="157"/>
      <c r="N1599" s="157"/>
      <c r="O1599" s="157"/>
      <c r="P1599" s="753"/>
      <c r="AK1599" s="40">
        <v>1596.0</v>
      </c>
      <c r="AL1599" s="719" t="s">
        <v>3997</v>
      </c>
      <c r="AM1599" s="720" t="s">
        <v>3998</v>
      </c>
      <c r="AN1599" s="720" t="s">
        <v>1744</v>
      </c>
      <c r="AO1599" s="722">
        <v>0.201</v>
      </c>
      <c r="AP1599" s="722" t="s">
        <v>3999</v>
      </c>
    </row>
    <row r="1600">
      <c r="A1600" s="159"/>
      <c r="B1600" s="159"/>
      <c r="C1600" s="159"/>
      <c r="D1600" s="159"/>
      <c r="E1600" s="159"/>
      <c r="F1600" s="159"/>
      <c r="G1600" s="159"/>
      <c r="H1600" s="159"/>
      <c r="I1600" s="157"/>
      <c r="J1600" s="157"/>
      <c r="K1600" s="157"/>
      <c r="L1600" s="157"/>
      <c r="M1600" s="157"/>
      <c r="N1600" s="157"/>
      <c r="O1600" s="157"/>
      <c r="P1600" s="753"/>
      <c r="AK1600" s="40">
        <v>1597.0</v>
      </c>
      <c r="AL1600" s="738" t="s">
        <v>3997</v>
      </c>
      <c r="AM1600" s="738" t="s">
        <v>3998</v>
      </c>
      <c r="AN1600" s="738" t="s">
        <v>1744</v>
      </c>
      <c r="AO1600" s="739">
        <v>0.201</v>
      </c>
      <c r="AP1600" s="739" t="s">
        <v>3999</v>
      </c>
    </row>
    <row r="1601">
      <c r="A1601" s="159"/>
      <c r="B1601" s="159"/>
      <c r="C1601" s="159"/>
      <c r="D1601" s="159"/>
      <c r="E1601" s="159"/>
      <c r="F1601" s="159"/>
      <c r="G1601" s="159"/>
      <c r="H1601" s="159"/>
      <c r="I1601" s="157"/>
      <c r="J1601" s="157"/>
      <c r="K1601" s="157"/>
      <c r="L1601" s="157"/>
      <c r="M1601" s="157"/>
      <c r="N1601" s="157"/>
      <c r="O1601" s="157"/>
      <c r="P1601" s="753"/>
      <c r="AK1601" s="40">
        <v>1598.0</v>
      </c>
      <c r="AL1601" s="719" t="s">
        <v>4000</v>
      </c>
      <c r="AM1601" s="720" t="s">
        <v>4001</v>
      </c>
      <c r="AN1601" s="720" t="s">
        <v>1744</v>
      </c>
      <c r="AO1601" s="722">
        <v>0.239</v>
      </c>
      <c r="AP1601" s="722" t="s">
        <v>4002</v>
      </c>
    </row>
    <row r="1602">
      <c r="A1602" s="159"/>
      <c r="B1602" s="159"/>
      <c r="C1602" s="159"/>
      <c r="D1602" s="159"/>
      <c r="E1602" s="159"/>
      <c r="F1602" s="159"/>
      <c r="G1602" s="159"/>
      <c r="H1602" s="159"/>
      <c r="I1602" s="157"/>
      <c r="J1602" s="157"/>
      <c r="K1602" s="157"/>
      <c r="L1602" s="157"/>
      <c r="M1602" s="157"/>
      <c r="N1602" s="157"/>
      <c r="O1602" s="157"/>
      <c r="P1602" s="753"/>
      <c r="AK1602" s="40">
        <v>1599.0</v>
      </c>
      <c r="AL1602" s="738" t="s">
        <v>4000</v>
      </c>
      <c r="AM1602" s="738" t="s">
        <v>4001</v>
      </c>
      <c r="AN1602" s="738" t="s">
        <v>1744</v>
      </c>
      <c r="AO1602" s="739">
        <v>0.239</v>
      </c>
      <c r="AP1602" s="739" t="s">
        <v>4002</v>
      </c>
    </row>
    <row r="1603">
      <c r="A1603" s="159"/>
      <c r="B1603" s="159"/>
      <c r="C1603" s="159"/>
      <c r="D1603" s="159"/>
      <c r="E1603" s="159"/>
      <c r="F1603" s="159"/>
      <c r="G1603" s="159"/>
      <c r="H1603" s="159"/>
      <c r="I1603" s="157"/>
      <c r="J1603" s="157"/>
      <c r="K1603" s="157"/>
      <c r="L1603" s="157"/>
      <c r="M1603" s="157"/>
      <c r="N1603" s="157"/>
      <c r="O1603" s="157"/>
      <c r="P1603" s="753"/>
      <c r="AK1603" s="40">
        <v>1600.0</v>
      </c>
      <c r="AL1603" s="719" t="s">
        <v>4003</v>
      </c>
      <c r="AM1603" s="720" t="s">
        <v>3922</v>
      </c>
      <c r="AN1603" s="720" t="s">
        <v>3923</v>
      </c>
      <c r="AO1603" s="722">
        <v>0.061</v>
      </c>
      <c r="AP1603" s="722" t="s">
        <v>3924</v>
      </c>
    </row>
    <row r="1604">
      <c r="A1604" s="159"/>
      <c r="B1604" s="159"/>
      <c r="C1604" s="159"/>
      <c r="D1604" s="159"/>
      <c r="E1604" s="159"/>
      <c r="F1604" s="159"/>
      <c r="G1604" s="159"/>
      <c r="H1604" s="159"/>
      <c r="I1604" s="157"/>
      <c r="J1604" s="157"/>
      <c r="K1604" s="157"/>
      <c r="L1604" s="157"/>
      <c r="M1604" s="157"/>
      <c r="N1604" s="157"/>
      <c r="O1604" s="157"/>
      <c r="P1604" s="753"/>
      <c r="AK1604" s="40">
        <v>1601.0</v>
      </c>
      <c r="AL1604" s="738" t="s">
        <v>4004</v>
      </c>
      <c r="AM1604" s="738" t="s">
        <v>3977</v>
      </c>
      <c r="AN1604" s="738" t="s">
        <v>1744</v>
      </c>
      <c r="AO1604" s="739">
        <v>0.011</v>
      </c>
      <c r="AP1604" s="739" t="s">
        <v>2286</v>
      </c>
    </row>
    <row r="1605">
      <c r="A1605" s="159"/>
      <c r="B1605" s="159"/>
      <c r="C1605" s="159"/>
      <c r="D1605" s="159"/>
      <c r="E1605" s="159"/>
      <c r="F1605" s="159"/>
      <c r="G1605" s="159"/>
      <c r="H1605" s="159"/>
      <c r="I1605" s="157"/>
      <c r="J1605" s="157"/>
      <c r="K1605" s="157"/>
      <c r="L1605" s="157"/>
      <c r="M1605" s="157"/>
      <c r="N1605" s="157"/>
      <c r="O1605" s="157"/>
      <c r="P1605" s="753"/>
      <c r="AK1605" s="40">
        <v>1602.0</v>
      </c>
      <c r="AL1605" s="719" t="s">
        <v>4005</v>
      </c>
      <c r="AM1605" s="720" t="s">
        <v>3979</v>
      </c>
      <c r="AN1605" s="720" t="s">
        <v>1744</v>
      </c>
      <c r="AO1605" s="722">
        <v>0.043</v>
      </c>
      <c r="AP1605" s="722" t="s">
        <v>2290</v>
      </c>
    </row>
    <row r="1606">
      <c r="A1606" s="159"/>
      <c r="B1606" s="159"/>
      <c r="C1606" s="159"/>
      <c r="D1606" s="159"/>
      <c r="E1606" s="159"/>
      <c r="F1606" s="159"/>
      <c r="G1606" s="159"/>
      <c r="H1606" s="159"/>
      <c r="I1606" s="157"/>
      <c r="J1606" s="157"/>
      <c r="K1606" s="157"/>
      <c r="L1606" s="157"/>
      <c r="M1606" s="157"/>
      <c r="N1606" s="157"/>
      <c r="O1606" s="157"/>
      <c r="P1606" s="753"/>
      <c r="AK1606" s="40">
        <v>1603.0</v>
      </c>
      <c r="AL1606" s="738" t="s">
        <v>4006</v>
      </c>
      <c r="AM1606" s="738" t="s">
        <v>3981</v>
      </c>
      <c r="AN1606" s="738" t="s">
        <v>1744</v>
      </c>
      <c r="AO1606" s="739">
        <v>0.1</v>
      </c>
      <c r="AP1606" s="739" t="s">
        <v>3376</v>
      </c>
    </row>
    <row r="1607">
      <c r="A1607" s="159"/>
      <c r="B1607" s="159"/>
      <c r="C1607" s="159"/>
      <c r="D1607" s="159"/>
      <c r="E1607" s="159"/>
      <c r="F1607" s="159"/>
      <c r="G1607" s="159"/>
      <c r="H1607" s="159"/>
      <c r="I1607" s="157"/>
      <c r="J1607" s="157"/>
      <c r="K1607" s="157"/>
      <c r="L1607" s="157"/>
      <c r="M1607" s="157"/>
      <c r="N1607" s="157"/>
      <c r="O1607" s="157"/>
      <c r="P1607" s="753"/>
      <c r="AK1607" s="40">
        <v>1604.0</v>
      </c>
      <c r="AL1607" s="719" t="s">
        <v>4007</v>
      </c>
      <c r="AM1607" s="720" t="s">
        <v>3983</v>
      </c>
      <c r="AN1607" s="720" t="s">
        <v>1744</v>
      </c>
      <c r="AO1607" s="722">
        <v>0.16</v>
      </c>
      <c r="AP1607" s="722" t="s">
        <v>3380</v>
      </c>
    </row>
    <row r="1608">
      <c r="A1608" s="159"/>
      <c r="B1608" s="159"/>
      <c r="C1608" s="159"/>
      <c r="D1608" s="159"/>
      <c r="E1608" s="159"/>
      <c r="F1608" s="159"/>
      <c r="G1608" s="159"/>
      <c r="H1608" s="159"/>
      <c r="I1608" s="157"/>
      <c r="J1608" s="157"/>
      <c r="K1608" s="157"/>
      <c r="L1608" s="157"/>
      <c r="M1608" s="157"/>
      <c r="N1608" s="157"/>
      <c r="O1608" s="157"/>
      <c r="P1608" s="753"/>
      <c r="AK1608" s="40">
        <v>1605.0</v>
      </c>
      <c r="AL1608" s="738" t="s">
        <v>4008</v>
      </c>
      <c r="AM1608" s="738" t="s">
        <v>3985</v>
      </c>
      <c r="AN1608" s="738" t="s">
        <v>1744</v>
      </c>
      <c r="AO1608" s="739">
        <v>0.2</v>
      </c>
      <c r="AP1608" s="739" t="s">
        <v>3384</v>
      </c>
    </row>
    <row r="1609">
      <c r="A1609" s="159"/>
      <c r="B1609" s="159"/>
      <c r="C1609" s="159"/>
      <c r="D1609" s="159"/>
      <c r="E1609" s="159"/>
      <c r="F1609" s="159"/>
      <c r="G1609" s="159"/>
      <c r="H1609" s="159"/>
      <c r="I1609" s="157"/>
      <c r="J1609" s="157"/>
      <c r="K1609" s="157"/>
      <c r="L1609" s="157"/>
      <c r="M1609" s="157"/>
      <c r="N1609" s="157"/>
      <c r="O1609" s="157"/>
      <c r="P1609" s="753"/>
      <c r="AK1609" s="40">
        <v>1606.0</v>
      </c>
      <c r="AL1609" s="719" t="s">
        <v>4009</v>
      </c>
      <c r="AM1609" s="720" t="s">
        <v>3922</v>
      </c>
      <c r="AN1609" s="720" t="s">
        <v>3923</v>
      </c>
      <c r="AO1609" s="722">
        <v>0.061</v>
      </c>
      <c r="AP1609" s="722" t="s">
        <v>3924</v>
      </c>
    </row>
    <row r="1610">
      <c r="A1610" s="159"/>
      <c r="B1610" s="159"/>
      <c r="C1610" s="159"/>
      <c r="D1610" s="159"/>
      <c r="E1610" s="159"/>
      <c r="F1610" s="159"/>
      <c r="G1610" s="159"/>
      <c r="H1610" s="159"/>
      <c r="I1610" s="157"/>
      <c r="J1610" s="157"/>
      <c r="K1610" s="157"/>
      <c r="L1610" s="157"/>
      <c r="M1610" s="157"/>
      <c r="N1610" s="157"/>
      <c r="O1610" s="157"/>
      <c r="P1610" s="753"/>
      <c r="AK1610" s="40">
        <v>1607.0</v>
      </c>
      <c r="AL1610" s="738" t="s">
        <v>4010</v>
      </c>
      <c r="AM1610" s="738" t="s">
        <v>3926</v>
      </c>
      <c r="AN1610" s="738" t="s">
        <v>1744</v>
      </c>
      <c r="AO1610" s="739">
        <v>0.041</v>
      </c>
      <c r="AP1610" s="739" t="s">
        <v>2071</v>
      </c>
    </row>
    <row r="1611">
      <c r="A1611" s="159"/>
      <c r="B1611" s="159"/>
      <c r="C1611" s="159"/>
      <c r="D1611" s="159"/>
      <c r="E1611" s="159"/>
      <c r="F1611" s="159"/>
      <c r="G1611" s="159"/>
      <c r="H1611" s="159"/>
      <c r="I1611" s="157"/>
      <c r="J1611" s="157"/>
      <c r="K1611" s="157"/>
      <c r="L1611" s="157"/>
      <c r="M1611" s="157"/>
      <c r="N1611" s="157"/>
      <c r="O1611" s="157"/>
      <c r="P1611" s="753"/>
      <c r="AK1611" s="40">
        <v>1608.0</v>
      </c>
      <c r="AL1611" s="719" t="s">
        <v>4011</v>
      </c>
      <c r="AM1611" s="720" t="s">
        <v>3928</v>
      </c>
      <c r="AN1611" s="720" t="s">
        <v>1744</v>
      </c>
      <c r="AO1611" s="722">
        <v>0.072</v>
      </c>
      <c r="AP1611" s="722" t="s">
        <v>2022</v>
      </c>
    </row>
    <row r="1612">
      <c r="A1612" s="159"/>
      <c r="B1612" s="159"/>
      <c r="C1612" s="159"/>
      <c r="D1612" s="159"/>
      <c r="E1612" s="159"/>
      <c r="F1612" s="159"/>
      <c r="G1612" s="159"/>
      <c r="H1612" s="159"/>
      <c r="I1612" s="157"/>
      <c r="J1612" s="157"/>
      <c r="K1612" s="157"/>
      <c r="L1612" s="157"/>
      <c r="M1612" s="157"/>
      <c r="N1612" s="157"/>
      <c r="O1612" s="157"/>
      <c r="P1612" s="753"/>
      <c r="AK1612" s="40">
        <v>1609.0</v>
      </c>
      <c r="AL1612" s="738" t="s">
        <v>4012</v>
      </c>
      <c r="AM1612" s="738" t="s">
        <v>3930</v>
      </c>
      <c r="AN1612" s="738" t="s">
        <v>1744</v>
      </c>
      <c r="AO1612" s="739">
        <v>0.179</v>
      </c>
      <c r="AP1612" s="739" t="s">
        <v>1927</v>
      </c>
    </row>
    <row r="1613">
      <c r="A1613" s="159"/>
      <c r="B1613" s="159"/>
      <c r="C1613" s="159"/>
      <c r="D1613" s="159"/>
      <c r="E1613" s="159"/>
      <c r="F1613" s="159"/>
      <c r="G1613" s="159"/>
      <c r="H1613" s="159"/>
      <c r="I1613" s="157"/>
      <c r="J1613" s="157"/>
      <c r="K1613" s="157"/>
      <c r="L1613" s="157"/>
      <c r="M1613" s="157"/>
      <c r="N1613" s="157"/>
      <c r="O1613" s="157"/>
      <c r="P1613" s="753"/>
      <c r="AK1613" s="40">
        <v>1610.0</v>
      </c>
      <c r="AL1613" s="719" t="s">
        <v>4013</v>
      </c>
      <c r="AM1613" s="720" t="s">
        <v>3932</v>
      </c>
      <c r="AN1613" s="720" t="s">
        <v>1744</v>
      </c>
      <c r="AO1613" s="722">
        <v>0.052</v>
      </c>
      <c r="AP1613" s="722" t="s">
        <v>3933</v>
      </c>
    </row>
    <row r="1614">
      <c r="A1614" s="159"/>
      <c r="B1614" s="159"/>
      <c r="C1614" s="159"/>
      <c r="D1614" s="159"/>
      <c r="E1614" s="159"/>
      <c r="F1614" s="159"/>
      <c r="G1614" s="159"/>
      <c r="H1614" s="159"/>
      <c r="I1614" s="157"/>
      <c r="J1614" s="157"/>
      <c r="K1614" s="157"/>
      <c r="L1614" s="157"/>
      <c r="M1614" s="157"/>
      <c r="N1614" s="157"/>
      <c r="O1614" s="157"/>
      <c r="P1614" s="753"/>
      <c r="AK1614" s="40">
        <v>1611.0</v>
      </c>
      <c r="AL1614" s="738" t="s">
        <v>4013</v>
      </c>
      <c r="AM1614" s="738" t="s">
        <v>3932</v>
      </c>
      <c r="AN1614" s="738" t="s">
        <v>1744</v>
      </c>
      <c r="AO1614" s="739">
        <v>0.052</v>
      </c>
      <c r="AP1614" s="739" t="s">
        <v>3933</v>
      </c>
    </row>
    <row r="1615">
      <c r="A1615" s="159"/>
      <c r="B1615" s="159"/>
      <c r="C1615" s="159"/>
      <c r="D1615" s="159"/>
      <c r="E1615" s="159"/>
      <c r="F1615" s="159"/>
      <c r="G1615" s="159"/>
      <c r="H1615" s="159"/>
      <c r="I1615" s="157"/>
      <c r="J1615" s="157"/>
      <c r="K1615" s="157"/>
      <c r="L1615" s="157"/>
      <c r="M1615" s="157"/>
      <c r="N1615" s="157"/>
      <c r="O1615" s="157"/>
      <c r="P1615" s="753"/>
      <c r="AK1615" s="40">
        <v>1612.0</v>
      </c>
      <c r="AL1615" s="719" t="s">
        <v>4014</v>
      </c>
      <c r="AM1615" s="720" t="s">
        <v>3935</v>
      </c>
      <c r="AN1615" s="720" t="s">
        <v>1744</v>
      </c>
      <c r="AO1615" s="722">
        <v>0.082</v>
      </c>
      <c r="AP1615" s="722" t="s">
        <v>3936</v>
      </c>
    </row>
    <row r="1616">
      <c r="A1616" s="159"/>
      <c r="B1616" s="159"/>
      <c r="C1616" s="159"/>
      <c r="D1616" s="159"/>
      <c r="E1616" s="159"/>
      <c r="F1616" s="159"/>
      <c r="G1616" s="159"/>
      <c r="H1616" s="159"/>
      <c r="I1616" s="157"/>
      <c r="J1616" s="157"/>
      <c r="K1616" s="157"/>
      <c r="L1616" s="157"/>
      <c r="M1616" s="157"/>
      <c r="N1616" s="157"/>
      <c r="O1616" s="157"/>
      <c r="P1616" s="753"/>
      <c r="AK1616" s="40">
        <v>1613.0</v>
      </c>
      <c r="AL1616" s="738" t="s">
        <v>4014</v>
      </c>
      <c r="AM1616" s="738" t="s">
        <v>3935</v>
      </c>
      <c r="AN1616" s="738" t="s">
        <v>1744</v>
      </c>
      <c r="AO1616" s="739">
        <v>0.082</v>
      </c>
      <c r="AP1616" s="739" t="s">
        <v>3936</v>
      </c>
    </row>
    <row r="1617">
      <c r="A1617" s="159"/>
      <c r="B1617" s="159"/>
      <c r="C1617" s="159"/>
      <c r="D1617" s="159"/>
      <c r="E1617" s="159"/>
      <c r="F1617" s="159"/>
      <c r="G1617" s="159"/>
      <c r="H1617" s="159"/>
      <c r="I1617" s="157"/>
      <c r="J1617" s="157"/>
      <c r="K1617" s="157"/>
      <c r="L1617" s="157"/>
      <c r="M1617" s="157"/>
      <c r="N1617" s="157"/>
      <c r="O1617" s="157"/>
      <c r="P1617" s="753"/>
      <c r="AK1617" s="40">
        <v>1614.0</v>
      </c>
      <c r="AL1617" s="719" t="s">
        <v>4015</v>
      </c>
      <c r="AM1617" s="720" t="s">
        <v>3938</v>
      </c>
      <c r="AN1617" s="720" t="s">
        <v>1744</v>
      </c>
      <c r="AO1617" s="722">
        <v>0.188</v>
      </c>
      <c r="AP1617" s="722" t="s">
        <v>3939</v>
      </c>
    </row>
    <row r="1618">
      <c r="A1618" s="159"/>
      <c r="B1618" s="159"/>
      <c r="C1618" s="159"/>
      <c r="D1618" s="159"/>
      <c r="E1618" s="159"/>
      <c r="F1618" s="159"/>
      <c r="G1618" s="159"/>
      <c r="H1618" s="159"/>
      <c r="I1618" s="157"/>
      <c r="J1618" s="157"/>
      <c r="K1618" s="157"/>
      <c r="L1618" s="157"/>
      <c r="M1618" s="157"/>
      <c r="N1618" s="157"/>
      <c r="O1618" s="157"/>
      <c r="P1618" s="753"/>
      <c r="AK1618" s="40">
        <v>1615.0</v>
      </c>
      <c r="AL1618" s="738" t="s">
        <v>4015</v>
      </c>
      <c r="AM1618" s="738" t="s">
        <v>3938</v>
      </c>
      <c r="AN1618" s="738" t="s">
        <v>1744</v>
      </c>
      <c r="AO1618" s="739">
        <v>0.188</v>
      </c>
      <c r="AP1618" s="739" t="s">
        <v>3939</v>
      </c>
    </row>
    <row r="1619">
      <c r="A1619" s="159"/>
      <c r="B1619" s="159"/>
      <c r="C1619" s="159"/>
      <c r="D1619" s="159"/>
      <c r="E1619" s="159"/>
      <c r="F1619" s="159"/>
      <c r="G1619" s="159"/>
      <c r="H1619" s="159"/>
      <c r="I1619" s="157"/>
      <c r="J1619" s="157"/>
      <c r="K1619" s="157"/>
      <c r="L1619" s="157"/>
      <c r="M1619" s="157"/>
      <c r="N1619" s="157"/>
      <c r="O1619" s="157"/>
      <c r="P1619" s="753"/>
      <c r="AK1619" s="40">
        <v>1616.0</v>
      </c>
      <c r="AL1619" s="719" t="s">
        <v>4016</v>
      </c>
      <c r="AM1619" s="720" t="s">
        <v>3941</v>
      </c>
      <c r="AN1619" s="720" t="s">
        <v>1744</v>
      </c>
      <c r="AO1619" s="722">
        <v>0.082</v>
      </c>
      <c r="AP1619" s="722" t="s">
        <v>3942</v>
      </c>
    </row>
    <row r="1620">
      <c r="A1620" s="159"/>
      <c r="B1620" s="159"/>
      <c r="C1620" s="159"/>
      <c r="D1620" s="159"/>
      <c r="E1620" s="159"/>
      <c r="F1620" s="159"/>
      <c r="G1620" s="159"/>
      <c r="H1620" s="159"/>
      <c r="I1620" s="157"/>
      <c r="J1620" s="157"/>
      <c r="K1620" s="157"/>
      <c r="L1620" s="157"/>
      <c r="M1620" s="157"/>
      <c r="N1620" s="157"/>
      <c r="O1620" s="157"/>
      <c r="P1620" s="753"/>
      <c r="AK1620" s="40">
        <v>1617.0</v>
      </c>
      <c r="AL1620" s="738" t="s">
        <v>4016</v>
      </c>
      <c r="AM1620" s="738" t="s">
        <v>3941</v>
      </c>
      <c r="AN1620" s="738" t="s">
        <v>1744</v>
      </c>
      <c r="AO1620" s="739">
        <v>0.082</v>
      </c>
      <c r="AP1620" s="739" t="s">
        <v>3942</v>
      </c>
    </row>
    <row r="1621">
      <c r="A1621" s="159"/>
      <c r="B1621" s="159"/>
      <c r="C1621" s="159"/>
      <c r="D1621" s="159"/>
      <c r="E1621" s="159"/>
      <c r="F1621" s="159"/>
      <c r="G1621" s="159"/>
      <c r="H1621" s="159"/>
      <c r="I1621" s="157"/>
      <c r="J1621" s="157"/>
      <c r="K1621" s="157"/>
      <c r="L1621" s="157"/>
      <c r="M1621" s="157"/>
      <c r="N1621" s="157"/>
      <c r="O1621" s="157"/>
      <c r="P1621" s="753"/>
      <c r="AK1621" s="40">
        <v>1618.0</v>
      </c>
      <c r="AL1621" s="719" t="s">
        <v>4017</v>
      </c>
      <c r="AM1621" s="720" t="s">
        <v>3944</v>
      </c>
      <c r="AN1621" s="720" t="s">
        <v>1744</v>
      </c>
      <c r="AO1621" s="722">
        <v>0.111</v>
      </c>
      <c r="AP1621" s="722" t="s">
        <v>3945</v>
      </c>
    </row>
    <row r="1622">
      <c r="A1622" s="159"/>
      <c r="B1622" s="159"/>
      <c r="C1622" s="159"/>
      <c r="D1622" s="159"/>
      <c r="E1622" s="159"/>
      <c r="F1622" s="159"/>
      <c r="G1622" s="159"/>
      <c r="H1622" s="159"/>
      <c r="I1622" s="157"/>
      <c r="J1622" s="157"/>
      <c r="K1622" s="157"/>
      <c r="L1622" s="157"/>
      <c r="M1622" s="157"/>
      <c r="N1622" s="157"/>
      <c r="O1622" s="157"/>
      <c r="P1622" s="753"/>
      <c r="AK1622" s="40">
        <v>1619.0</v>
      </c>
      <c r="AL1622" s="738" t="s">
        <v>4017</v>
      </c>
      <c r="AM1622" s="738" t="s">
        <v>3944</v>
      </c>
      <c r="AN1622" s="738" t="s">
        <v>1744</v>
      </c>
      <c r="AO1622" s="739">
        <v>0.111</v>
      </c>
      <c r="AP1622" s="739" t="s">
        <v>3945</v>
      </c>
    </row>
    <row r="1623">
      <c r="A1623" s="159"/>
      <c r="B1623" s="159"/>
      <c r="C1623" s="159"/>
      <c r="D1623" s="159"/>
      <c r="E1623" s="159"/>
      <c r="F1623" s="159"/>
      <c r="G1623" s="159"/>
      <c r="H1623" s="159"/>
      <c r="I1623" s="157"/>
      <c r="J1623" s="157"/>
      <c r="K1623" s="157"/>
      <c r="L1623" s="157"/>
      <c r="M1623" s="157"/>
      <c r="N1623" s="157"/>
      <c r="O1623" s="157"/>
      <c r="P1623" s="753"/>
      <c r="AK1623" s="40">
        <v>1620.0</v>
      </c>
      <c r="AL1623" s="719" t="s">
        <v>4018</v>
      </c>
      <c r="AM1623" s="720" t="s">
        <v>3947</v>
      </c>
      <c r="AN1623" s="720" t="s">
        <v>1744</v>
      </c>
      <c r="AO1623" s="722">
        <v>0.214</v>
      </c>
      <c r="AP1623" s="722" t="s">
        <v>3948</v>
      </c>
    </row>
    <row r="1624">
      <c r="A1624" s="159"/>
      <c r="B1624" s="159"/>
      <c r="C1624" s="159"/>
      <c r="D1624" s="159"/>
      <c r="E1624" s="159"/>
      <c r="F1624" s="159"/>
      <c r="G1624" s="159"/>
      <c r="H1624" s="159"/>
      <c r="I1624" s="157"/>
      <c r="J1624" s="157"/>
      <c r="K1624" s="157"/>
      <c r="L1624" s="157"/>
      <c r="M1624" s="157"/>
      <c r="N1624" s="157"/>
      <c r="O1624" s="157"/>
      <c r="P1624" s="753"/>
      <c r="AK1624" s="40">
        <v>1621.0</v>
      </c>
      <c r="AL1624" s="738" t="s">
        <v>4018</v>
      </c>
      <c r="AM1624" s="738" t="s">
        <v>3947</v>
      </c>
      <c r="AN1624" s="738" t="s">
        <v>1744</v>
      </c>
      <c r="AO1624" s="739">
        <v>0.214</v>
      </c>
      <c r="AP1624" s="739" t="s">
        <v>3948</v>
      </c>
    </row>
    <row r="1625">
      <c r="A1625" s="159"/>
      <c r="B1625" s="159"/>
      <c r="C1625" s="159"/>
      <c r="D1625" s="159"/>
      <c r="E1625" s="159"/>
      <c r="F1625" s="159"/>
      <c r="G1625" s="159"/>
      <c r="H1625" s="159"/>
      <c r="I1625" s="157"/>
      <c r="J1625" s="157"/>
      <c r="K1625" s="157"/>
      <c r="L1625" s="157"/>
      <c r="M1625" s="157"/>
      <c r="N1625" s="157"/>
      <c r="O1625" s="157"/>
      <c r="P1625" s="753"/>
      <c r="AK1625" s="40">
        <v>1622.0</v>
      </c>
      <c r="AL1625" s="719" t="s">
        <v>4019</v>
      </c>
      <c r="AM1625" s="720" t="s">
        <v>3950</v>
      </c>
      <c r="AN1625" s="720" t="s">
        <v>1744</v>
      </c>
      <c r="AO1625" s="722">
        <v>0.137</v>
      </c>
      <c r="AP1625" s="722" t="s">
        <v>3951</v>
      </c>
    </row>
    <row r="1626">
      <c r="A1626" s="159"/>
      <c r="B1626" s="159"/>
      <c r="C1626" s="159"/>
      <c r="D1626" s="159"/>
      <c r="E1626" s="159"/>
      <c r="F1626" s="159"/>
      <c r="G1626" s="159"/>
      <c r="H1626" s="159"/>
      <c r="I1626" s="157"/>
      <c r="J1626" s="157"/>
      <c r="K1626" s="157"/>
      <c r="L1626" s="157"/>
      <c r="M1626" s="157"/>
      <c r="N1626" s="157"/>
      <c r="O1626" s="157"/>
      <c r="P1626" s="753"/>
      <c r="AK1626" s="40">
        <v>1623.0</v>
      </c>
      <c r="AL1626" s="738" t="s">
        <v>4019</v>
      </c>
      <c r="AM1626" s="738" t="s">
        <v>3950</v>
      </c>
      <c r="AN1626" s="738" t="s">
        <v>1744</v>
      </c>
      <c r="AO1626" s="739">
        <v>0.137</v>
      </c>
      <c r="AP1626" s="739" t="s">
        <v>3951</v>
      </c>
    </row>
    <row r="1627">
      <c r="A1627" s="159"/>
      <c r="B1627" s="159"/>
      <c r="C1627" s="159"/>
      <c r="D1627" s="159"/>
      <c r="E1627" s="159"/>
      <c r="F1627" s="159"/>
      <c r="G1627" s="159"/>
      <c r="H1627" s="159"/>
      <c r="I1627" s="157"/>
      <c r="J1627" s="157"/>
      <c r="K1627" s="157"/>
      <c r="L1627" s="157"/>
      <c r="M1627" s="157"/>
      <c r="N1627" s="157"/>
      <c r="O1627" s="157"/>
      <c r="P1627" s="753"/>
      <c r="AK1627" s="40">
        <v>1624.0</v>
      </c>
      <c r="AL1627" s="719" t="s">
        <v>4020</v>
      </c>
      <c r="AM1627" s="720" t="s">
        <v>3953</v>
      </c>
      <c r="AN1627" s="720" t="s">
        <v>1744</v>
      </c>
      <c r="AO1627" s="722">
        <v>0.164</v>
      </c>
      <c r="AP1627" s="722" t="s">
        <v>3954</v>
      </c>
    </row>
    <row r="1628">
      <c r="A1628" s="159"/>
      <c r="B1628" s="159"/>
      <c r="C1628" s="159"/>
      <c r="D1628" s="159"/>
      <c r="E1628" s="159"/>
      <c r="F1628" s="159"/>
      <c r="G1628" s="159"/>
      <c r="H1628" s="159"/>
      <c r="I1628" s="157"/>
      <c r="J1628" s="157"/>
      <c r="K1628" s="157"/>
      <c r="L1628" s="157"/>
      <c r="M1628" s="157"/>
      <c r="N1628" s="157"/>
      <c r="O1628" s="157"/>
      <c r="P1628" s="753"/>
      <c r="AK1628" s="40">
        <v>1625.0</v>
      </c>
      <c r="AL1628" s="738" t="s">
        <v>4020</v>
      </c>
      <c r="AM1628" s="738" t="s">
        <v>3953</v>
      </c>
      <c r="AN1628" s="738" t="s">
        <v>1744</v>
      </c>
      <c r="AO1628" s="739">
        <v>0.164</v>
      </c>
      <c r="AP1628" s="739" t="s">
        <v>3954</v>
      </c>
    </row>
    <row r="1629">
      <c r="A1629" s="159"/>
      <c r="B1629" s="159"/>
      <c r="C1629" s="159"/>
      <c r="D1629" s="159"/>
      <c r="E1629" s="159"/>
      <c r="F1629" s="159"/>
      <c r="G1629" s="159"/>
      <c r="H1629" s="159"/>
      <c r="I1629" s="157"/>
      <c r="J1629" s="157"/>
      <c r="K1629" s="157"/>
      <c r="L1629" s="157"/>
      <c r="M1629" s="157"/>
      <c r="N1629" s="157"/>
      <c r="O1629" s="157"/>
      <c r="P1629" s="753"/>
      <c r="AK1629" s="40">
        <v>1626.0</v>
      </c>
      <c r="AL1629" s="719" t="s">
        <v>4021</v>
      </c>
      <c r="AM1629" s="720" t="s">
        <v>3956</v>
      </c>
      <c r="AN1629" s="720" t="s">
        <v>1744</v>
      </c>
      <c r="AO1629" s="722">
        <v>0.261</v>
      </c>
      <c r="AP1629" s="722" t="s">
        <v>3957</v>
      </c>
    </row>
    <row r="1630">
      <c r="A1630" s="159"/>
      <c r="B1630" s="159"/>
      <c r="C1630" s="159"/>
      <c r="D1630" s="159"/>
      <c r="E1630" s="159"/>
      <c r="F1630" s="159"/>
      <c r="G1630" s="159"/>
      <c r="H1630" s="159"/>
      <c r="I1630" s="157"/>
      <c r="J1630" s="157"/>
      <c r="K1630" s="157"/>
      <c r="L1630" s="157"/>
      <c r="M1630" s="157"/>
      <c r="N1630" s="157"/>
      <c r="O1630" s="157"/>
      <c r="P1630" s="753"/>
      <c r="AK1630" s="40">
        <v>1627.0</v>
      </c>
      <c r="AL1630" s="738" t="s">
        <v>4021</v>
      </c>
      <c r="AM1630" s="738" t="s">
        <v>3956</v>
      </c>
      <c r="AN1630" s="738" t="s">
        <v>1744</v>
      </c>
      <c r="AO1630" s="739">
        <v>0.261</v>
      </c>
      <c r="AP1630" s="739" t="s">
        <v>3957</v>
      </c>
    </row>
    <row r="1631">
      <c r="A1631" s="159"/>
      <c r="B1631" s="159"/>
      <c r="C1631" s="159"/>
      <c r="D1631" s="159"/>
      <c r="E1631" s="159"/>
      <c r="F1631" s="159"/>
      <c r="G1631" s="159"/>
      <c r="H1631" s="159"/>
      <c r="I1631" s="157"/>
      <c r="J1631" s="157"/>
      <c r="K1631" s="157"/>
      <c r="L1631" s="157"/>
      <c r="M1631" s="157"/>
      <c r="N1631" s="157"/>
      <c r="O1631" s="157"/>
      <c r="P1631" s="753"/>
      <c r="AK1631" s="40">
        <v>1628.0</v>
      </c>
      <c r="AL1631" s="719" t="s">
        <v>4022</v>
      </c>
      <c r="AM1631" s="720" t="s">
        <v>3959</v>
      </c>
      <c r="AN1631" s="720" t="s">
        <v>1744</v>
      </c>
      <c r="AO1631" s="722">
        <v>0.195</v>
      </c>
      <c r="AP1631" s="722" t="s">
        <v>3960</v>
      </c>
    </row>
    <row r="1632">
      <c r="A1632" s="159"/>
      <c r="B1632" s="159"/>
      <c r="C1632" s="159"/>
      <c r="D1632" s="159"/>
      <c r="E1632" s="159"/>
      <c r="F1632" s="159"/>
      <c r="G1632" s="159"/>
      <c r="H1632" s="159"/>
      <c r="I1632" s="157"/>
      <c r="J1632" s="157"/>
      <c r="K1632" s="157"/>
      <c r="L1632" s="157"/>
      <c r="M1632" s="157"/>
      <c r="N1632" s="157"/>
      <c r="O1632" s="157"/>
      <c r="P1632" s="753"/>
      <c r="AK1632" s="40">
        <v>1629.0</v>
      </c>
      <c r="AL1632" s="738" t="s">
        <v>4022</v>
      </c>
      <c r="AM1632" s="738" t="s">
        <v>3959</v>
      </c>
      <c r="AN1632" s="738" t="s">
        <v>1744</v>
      </c>
      <c r="AO1632" s="739">
        <v>0.195</v>
      </c>
      <c r="AP1632" s="739" t="s">
        <v>3960</v>
      </c>
    </row>
    <row r="1633">
      <c r="A1633" s="159"/>
      <c r="B1633" s="159"/>
      <c r="C1633" s="159"/>
      <c r="D1633" s="159"/>
      <c r="E1633" s="159"/>
      <c r="F1633" s="159"/>
      <c r="G1633" s="159"/>
      <c r="H1633" s="159"/>
      <c r="I1633" s="157"/>
      <c r="J1633" s="157"/>
      <c r="K1633" s="157"/>
      <c r="L1633" s="157"/>
      <c r="M1633" s="157"/>
      <c r="N1633" s="157"/>
      <c r="O1633" s="157"/>
      <c r="P1633" s="753"/>
      <c r="AK1633" s="40">
        <v>1630.0</v>
      </c>
      <c r="AL1633" s="719" t="s">
        <v>4023</v>
      </c>
      <c r="AM1633" s="720" t="s">
        <v>3962</v>
      </c>
      <c r="AN1633" s="720" t="s">
        <v>1744</v>
      </c>
      <c r="AO1633" s="722">
        <v>0.22</v>
      </c>
      <c r="AP1633" s="722" t="s">
        <v>3963</v>
      </c>
    </row>
    <row r="1634">
      <c r="A1634" s="159"/>
      <c r="B1634" s="159"/>
      <c r="C1634" s="159"/>
      <c r="D1634" s="159"/>
      <c r="E1634" s="159"/>
      <c r="F1634" s="159"/>
      <c r="G1634" s="159"/>
      <c r="H1634" s="159"/>
      <c r="I1634" s="157"/>
      <c r="J1634" s="157"/>
      <c r="K1634" s="157"/>
      <c r="L1634" s="157"/>
      <c r="M1634" s="157"/>
      <c r="N1634" s="157"/>
      <c r="O1634" s="157"/>
      <c r="P1634" s="753"/>
      <c r="AK1634" s="40">
        <v>1631.0</v>
      </c>
      <c r="AL1634" s="738" t="s">
        <v>4023</v>
      </c>
      <c r="AM1634" s="738" t="s">
        <v>3962</v>
      </c>
      <c r="AN1634" s="738" t="s">
        <v>1744</v>
      </c>
      <c r="AO1634" s="739">
        <v>0.22</v>
      </c>
      <c r="AP1634" s="739" t="s">
        <v>3963</v>
      </c>
    </row>
    <row r="1635">
      <c r="A1635" s="159"/>
      <c r="B1635" s="159"/>
      <c r="C1635" s="159"/>
      <c r="D1635" s="159"/>
      <c r="E1635" s="159"/>
      <c r="F1635" s="159"/>
      <c r="G1635" s="159"/>
      <c r="H1635" s="159"/>
      <c r="I1635" s="157"/>
      <c r="J1635" s="157"/>
      <c r="K1635" s="157"/>
      <c r="L1635" s="157"/>
      <c r="M1635" s="157"/>
      <c r="N1635" s="157"/>
      <c r="O1635" s="157"/>
      <c r="P1635" s="753"/>
      <c r="AK1635" s="40">
        <v>1632.0</v>
      </c>
      <c r="AL1635" s="719" t="s">
        <v>4024</v>
      </c>
      <c r="AM1635" s="720" t="s">
        <v>3965</v>
      </c>
      <c r="AN1635" s="720" t="s">
        <v>1744</v>
      </c>
      <c r="AO1635" s="722">
        <v>0.31</v>
      </c>
      <c r="AP1635" s="722" t="s">
        <v>3966</v>
      </c>
    </row>
    <row r="1636">
      <c r="A1636" s="159"/>
      <c r="B1636" s="159"/>
      <c r="C1636" s="159"/>
      <c r="D1636" s="159"/>
      <c r="E1636" s="159"/>
      <c r="F1636" s="159"/>
      <c r="G1636" s="159"/>
      <c r="H1636" s="159"/>
      <c r="I1636" s="157"/>
      <c r="J1636" s="157"/>
      <c r="K1636" s="157"/>
      <c r="L1636" s="157"/>
      <c r="M1636" s="157"/>
      <c r="N1636" s="157"/>
      <c r="O1636" s="157"/>
      <c r="P1636" s="753"/>
      <c r="AK1636" s="40">
        <v>1633.0</v>
      </c>
      <c r="AL1636" s="738" t="s">
        <v>4024</v>
      </c>
      <c r="AM1636" s="738" t="s">
        <v>3965</v>
      </c>
      <c r="AN1636" s="738" t="s">
        <v>1744</v>
      </c>
      <c r="AO1636" s="739">
        <v>0.31</v>
      </c>
      <c r="AP1636" s="739" t="s">
        <v>3966</v>
      </c>
    </row>
    <row r="1637">
      <c r="A1637" s="159"/>
      <c r="B1637" s="159"/>
      <c r="C1637" s="159"/>
      <c r="D1637" s="159"/>
      <c r="E1637" s="159"/>
      <c r="F1637" s="159"/>
      <c r="G1637" s="159"/>
      <c r="H1637" s="159"/>
      <c r="I1637" s="157"/>
      <c r="J1637" s="157"/>
      <c r="K1637" s="157"/>
      <c r="L1637" s="157"/>
      <c r="M1637" s="157"/>
      <c r="N1637" s="157"/>
      <c r="O1637" s="157"/>
      <c r="P1637" s="753"/>
      <c r="AK1637" s="40">
        <v>1634.0</v>
      </c>
      <c r="AL1637" s="719" t="s">
        <v>4025</v>
      </c>
      <c r="AM1637" s="720" t="s">
        <v>3968</v>
      </c>
      <c r="AN1637" s="720" t="s">
        <v>1744</v>
      </c>
      <c r="AO1637" s="722">
        <v>0.233</v>
      </c>
      <c r="AP1637" s="722" t="s">
        <v>3969</v>
      </c>
    </row>
    <row r="1638">
      <c r="A1638" s="159"/>
      <c r="B1638" s="159"/>
      <c r="C1638" s="159"/>
      <c r="D1638" s="159"/>
      <c r="E1638" s="159"/>
      <c r="F1638" s="159"/>
      <c r="G1638" s="159"/>
      <c r="H1638" s="159"/>
      <c r="I1638" s="157"/>
      <c r="J1638" s="157"/>
      <c r="K1638" s="157"/>
      <c r="L1638" s="157"/>
      <c r="M1638" s="157"/>
      <c r="N1638" s="157"/>
      <c r="O1638" s="157"/>
      <c r="P1638" s="753"/>
      <c r="AK1638" s="40">
        <v>1635.0</v>
      </c>
      <c r="AL1638" s="738" t="s">
        <v>4025</v>
      </c>
      <c r="AM1638" s="738" t="s">
        <v>3968</v>
      </c>
      <c r="AN1638" s="738" t="s">
        <v>1744</v>
      </c>
      <c r="AO1638" s="739">
        <v>0.233</v>
      </c>
      <c r="AP1638" s="739" t="s">
        <v>3969</v>
      </c>
    </row>
    <row r="1639">
      <c r="A1639" s="159"/>
      <c r="B1639" s="159"/>
      <c r="C1639" s="159"/>
      <c r="D1639" s="159"/>
      <c r="E1639" s="159"/>
      <c r="F1639" s="159"/>
      <c r="G1639" s="159"/>
      <c r="H1639" s="159"/>
      <c r="I1639" s="157"/>
      <c r="J1639" s="157"/>
      <c r="K1639" s="157"/>
      <c r="L1639" s="157"/>
      <c r="M1639" s="157"/>
      <c r="N1639" s="157"/>
      <c r="O1639" s="157"/>
      <c r="P1639" s="753"/>
      <c r="AK1639" s="40">
        <v>1636.0</v>
      </c>
      <c r="AL1639" s="719" t="s">
        <v>4026</v>
      </c>
      <c r="AM1639" s="720" t="s">
        <v>3971</v>
      </c>
      <c r="AN1639" s="720" t="s">
        <v>1744</v>
      </c>
      <c r="AO1639" s="722">
        <v>0.257</v>
      </c>
      <c r="AP1639" s="722" t="s">
        <v>3972</v>
      </c>
    </row>
    <row r="1640">
      <c r="A1640" s="159"/>
      <c r="B1640" s="159"/>
      <c r="C1640" s="159"/>
      <c r="D1640" s="159"/>
      <c r="E1640" s="159"/>
      <c r="F1640" s="159"/>
      <c r="G1640" s="159"/>
      <c r="H1640" s="159"/>
      <c r="I1640" s="157"/>
      <c r="J1640" s="157"/>
      <c r="K1640" s="157"/>
      <c r="L1640" s="157"/>
      <c r="M1640" s="157"/>
      <c r="N1640" s="157"/>
      <c r="O1640" s="157"/>
      <c r="P1640" s="753"/>
      <c r="AK1640" s="40">
        <v>1637.0</v>
      </c>
      <c r="AL1640" s="738" t="s">
        <v>4026</v>
      </c>
      <c r="AM1640" s="738" t="s">
        <v>3971</v>
      </c>
      <c r="AN1640" s="738" t="s">
        <v>1744</v>
      </c>
      <c r="AO1640" s="739">
        <v>0.257</v>
      </c>
      <c r="AP1640" s="739" t="s">
        <v>3972</v>
      </c>
    </row>
    <row r="1641">
      <c r="A1641" s="159"/>
      <c r="B1641" s="159"/>
      <c r="C1641" s="159"/>
      <c r="D1641" s="159"/>
      <c r="E1641" s="159"/>
      <c r="F1641" s="159"/>
      <c r="G1641" s="159"/>
      <c r="H1641" s="159"/>
      <c r="I1641" s="157"/>
      <c r="J1641" s="157"/>
      <c r="K1641" s="157"/>
      <c r="L1641" s="157"/>
      <c r="M1641" s="157"/>
      <c r="N1641" s="157"/>
      <c r="O1641" s="157"/>
      <c r="P1641" s="753"/>
      <c r="AK1641" s="40">
        <v>1638.0</v>
      </c>
      <c r="AL1641" s="719" t="s">
        <v>4027</v>
      </c>
      <c r="AM1641" s="720" t="s">
        <v>3974</v>
      </c>
      <c r="AN1641" s="720" t="s">
        <v>1744</v>
      </c>
      <c r="AO1641" s="722">
        <v>0.342</v>
      </c>
      <c r="AP1641" s="722" t="s">
        <v>3975</v>
      </c>
    </row>
    <row r="1642">
      <c r="A1642" s="159"/>
      <c r="B1642" s="159"/>
      <c r="C1642" s="159"/>
      <c r="D1642" s="159"/>
      <c r="E1642" s="159"/>
      <c r="F1642" s="159"/>
      <c r="G1642" s="159"/>
      <c r="H1642" s="159"/>
      <c r="I1642" s="157"/>
      <c r="J1642" s="157"/>
      <c r="K1642" s="157"/>
      <c r="L1642" s="157"/>
      <c r="M1642" s="157"/>
      <c r="N1642" s="157"/>
      <c r="O1642" s="157"/>
      <c r="P1642" s="753"/>
      <c r="AK1642" s="40">
        <v>1639.0</v>
      </c>
      <c r="AL1642" s="738" t="s">
        <v>4027</v>
      </c>
      <c r="AM1642" s="738" t="s">
        <v>3974</v>
      </c>
      <c r="AN1642" s="738" t="s">
        <v>1744</v>
      </c>
      <c r="AO1642" s="739">
        <v>0.342</v>
      </c>
      <c r="AP1642" s="739" t="s">
        <v>3975</v>
      </c>
    </row>
    <row r="1643">
      <c r="A1643" s="159"/>
      <c r="B1643" s="159"/>
      <c r="C1643" s="159"/>
      <c r="D1643" s="159"/>
      <c r="E1643" s="159"/>
      <c r="F1643" s="159"/>
      <c r="G1643" s="159"/>
      <c r="H1643" s="159"/>
      <c r="I1643" s="157"/>
      <c r="J1643" s="157"/>
      <c r="K1643" s="157"/>
      <c r="L1643" s="157"/>
      <c r="M1643" s="157"/>
      <c r="N1643" s="157"/>
      <c r="O1643" s="157"/>
      <c r="P1643" s="753"/>
      <c r="AK1643" s="40">
        <v>1640.0</v>
      </c>
      <c r="AL1643" s="719" t="s">
        <v>4028</v>
      </c>
      <c r="AM1643" s="720" t="s">
        <v>3977</v>
      </c>
      <c r="AN1643" s="720" t="s">
        <v>1744</v>
      </c>
      <c r="AO1643" s="722">
        <v>0.011</v>
      </c>
      <c r="AP1643" s="722" t="s">
        <v>2286</v>
      </c>
    </row>
    <row r="1644">
      <c r="A1644" s="159"/>
      <c r="B1644" s="159"/>
      <c r="C1644" s="159"/>
      <c r="D1644" s="159"/>
      <c r="E1644" s="159"/>
      <c r="F1644" s="159"/>
      <c r="G1644" s="159"/>
      <c r="H1644" s="159"/>
      <c r="I1644" s="157"/>
      <c r="J1644" s="157"/>
      <c r="K1644" s="157"/>
      <c r="L1644" s="157"/>
      <c r="M1644" s="157"/>
      <c r="N1644" s="157"/>
      <c r="O1644" s="157"/>
      <c r="P1644" s="753"/>
      <c r="AK1644" s="40">
        <v>1641.0</v>
      </c>
      <c r="AL1644" s="738" t="s">
        <v>4029</v>
      </c>
      <c r="AM1644" s="738" t="s">
        <v>3979</v>
      </c>
      <c r="AN1644" s="738" t="s">
        <v>1744</v>
      </c>
      <c r="AO1644" s="739">
        <v>0.043</v>
      </c>
      <c r="AP1644" s="739" t="s">
        <v>2290</v>
      </c>
    </row>
    <row r="1645">
      <c r="A1645" s="159"/>
      <c r="B1645" s="159"/>
      <c r="C1645" s="159"/>
      <c r="D1645" s="159"/>
      <c r="E1645" s="159"/>
      <c r="F1645" s="159"/>
      <c r="G1645" s="159"/>
      <c r="H1645" s="159"/>
      <c r="I1645" s="157"/>
      <c r="J1645" s="157"/>
      <c r="K1645" s="157"/>
      <c r="L1645" s="157"/>
      <c r="M1645" s="157"/>
      <c r="N1645" s="157"/>
      <c r="O1645" s="157"/>
      <c r="P1645" s="753"/>
      <c r="AK1645" s="40">
        <v>1642.0</v>
      </c>
      <c r="AL1645" s="719" t="s">
        <v>4030</v>
      </c>
      <c r="AM1645" s="720" t="s">
        <v>3981</v>
      </c>
      <c r="AN1645" s="720" t="s">
        <v>1744</v>
      </c>
      <c r="AO1645" s="722">
        <v>0.1</v>
      </c>
      <c r="AP1645" s="722" t="s">
        <v>3376</v>
      </c>
    </row>
    <row r="1646">
      <c r="A1646" s="159"/>
      <c r="B1646" s="159"/>
      <c r="C1646" s="159"/>
      <c r="D1646" s="159"/>
      <c r="E1646" s="159"/>
      <c r="F1646" s="159"/>
      <c r="G1646" s="159"/>
      <c r="H1646" s="159"/>
      <c r="I1646" s="157"/>
      <c r="J1646" s="157"/>
      <c r="K1646" s="157"/>
      <c r="L1646" s="157"/>
      <c r="M1646" s="157"/>
      <c r="N1646" s="157"/>
      <c r="O1646" s="157"/>
      <c r="P1646" s="753"/>
      <c r="AK1646" s="40">
        <v>1643.0</v>
      </c>
      <c r="AL1646" s="738" t="s">
        <v>4031</v>
      </c>
      <c r="AM1646" s="738" t="s">
        <v>3983</v>
      </c>
      <c r="AN1646" s="738" t="s">
        <v>1744</v>
      </c>
      <c r="AO1646" s="739">
        <v>0.16</v>
      </c>
      <c r="AP1646" s="739" t="s">
        <v>3380</v>
      </c>
    </row>
    <row r="1647">
      <c r="A1647" s="159"/>
      <c r="B1647" s="159"/>
      <c r="C1647" s="159"/>
      <c r="D1647" s="159"/>
      <c r="E1647" s="159"/>
      <c r="F1647" s="159"/>
      <c r="G1647" s="159"/>
      <c r="H1647" s="159"/>
      <c r="I1647" s="157"/>
      <c r="J1647" s="157"/>
      <c r="K1647" s="157"/>
      <c r="L1647" s="157"/>
      <c r="M1647" s="157"/>
      <c r="N1647" s="157"/>
      <c r="O1647" s="157"/>
      <c r="P1647" s="753"/>
      <c r="AK1647" s="40">
        <v>1644.0</v>
      </c>
      <c r="AL1647" s="719" t="s">
        <v>4032</v>
      </c>
      <c r="AM1647" s="720" t="s">
        <v>3985</v>
      </c>
      <c r="AN1647" s="720" t="s">
        <v>1744</v>
      </c>
      <c r="AO1647" s="722">
        <v>0.2</v>
      </c>
      <c r="AP1647" s="722" t="s">
        <v>3384</v>
      </c>
    </row>
    <row r="1648">
      <c r="A1648" s="159"/>
      <c r="B1648" s="159"/>
      <c r="C1648" s="159"/>
      <c r="D1648" s="159"/>
      <c r="E1648" s="159"/>
      <c r="F1648" s="159"/>
      <c r="G1648" s="159"/>
      <c r="H1648" s="159"/>
      <c r="I1648" s="157"/>
      <c r="J1648" s="157"/>
      <c r="K1648" s="157"/>
      <c r="L1648" s="157"/>
      <c r="M1648" s="157"/>
      <c r="N1648" s="157"/>
      <c r="O1648" s="157"/>
      <c r="P1648" s="753"/>
      <c r="AK1648" s="40">
        <v>1645.0</v>
      </c>
      <c r="AL1648" s="738" t="s">
        <v>4033</v>
      </c>
      <c r="AM1648" s="738" t="s">
        <v>3987</v>
      </c>
      <c r="AN1648" s="738" t="s">
        <v>1744</v>
      </c>
      <c r="AO1648" s="739">
        <v>0.049</v>
      </c>
      <c r="AP1648" s="739" t="s">
        <v>2067</v>
      </c>
    </row>
    <row r="1649">
      <c r="A1649" s="159"/>
      <c r="B1649" s="159"/>
      <c r="C1649" s="159"/>
      <c r="D1649" s="159"/>
      <c r="E1649" s="159"/>
      <c r="F1649" s="159"/>
      <c r="G1649" s="159"/>
      <c r="H1649" s="159"/>
      <c r="I1649" s="157"/>
      <c r="J1649" s="157"/>
      <c r="K1649" s="157"/>
      <c r="L1649" s="157"/>
      <c r="M1649" s="157"/>
      <c r="N1649" s="157"/>
      <c r="O1649" s="157"/>
      <c r="P1649" s="753"/>
      <c r="AK1649" s="40">
        <v>1646.0</v>
      </c>
      <c r="AL1649" s="719" t="s">
        <v>4034</v>
      </c>
      <c r="AM1649" s="720" t="s">
        <v>3989</v>
      </c>
      <c r="AN1649" s="720" t="s">
        <v>1744</v>
      </c>
      <c r="AO1649" s="722">
        <v>0.059</v>
      </c>
      <c r="AP1649" s="722" t="s">
        <v>3990</v>
      </c>
    </row>
    <row r="1650">
      <c r="A1650" s="159"/>
      <c r="B1650" s="159"/>
      <c r="C1650" s="159"/>
      <c r="D1650" s="159"/>
      <c r="E1650" s="159"/>
      <c r="F1650" s="159"/>
      <c r="G1650" s="159"/>
      <c r="H1650" s="159"/>
      <c r="I1650" s="157"/>
      <c r="J1650" s="157"/>
      <c r="K1650" s="157"/>
      <c r="L1650" s="157"/>
      <c r="M1650" s="157"/>
      <c r="N1650" s="157"/>
      <c r="O1650" s="157"/>
      <c r="P1650" s="753"/>
      <c r="AK1650" s="40">
        <v>1647.0</v>
      </c>
      <c r="AL1650" s="738" t="s">
        <v>4034</v>
      </c>
      <c r="AM1650" s="738" t="s">
        <v>3989</v>
      </c>
      <c r="AN1650" s="738" t="s">
        <v>1744</v>
      </c>
      <c r="AO1650" s="739">
        <v>0.059</v>
      </c>
      <c r="AP1650" s="739" t="s">
        <v>3990</v>
      </c>
    </row>
    <row r="1651">
      <c r="A1651" s="159"/>
      <c r="B1651" s="159"/>
      <c r="C1651" s="159"/>
      <c r="D1651" s="159"/>
      <c r="E1651" s="159"/>
      <c r="F1651" s="159"/>
      <c r="G1651" s="159"/>
      <c r="H1651" s="159"/>
      <c r="I1651" s="157"/>
      <c r="J1651" s="157"/>
      <c r="K1651" s="157"/>
      <c r="L1651" s="157"/>
      <c r="M1651" s="157"/>
      <c r="N1651" s="157"/>
      <c r="O1651" s="157"/>
      <c r="P1651" s="753"/>
      <c r="AK1651" s="40">
        <v>1648.0</v>
      </c>
      <c r="AL1651" s="719" t="s">
        <v>4035</v>
      </c>
      <c r="AM1651" s="720" t="s">
        <v>3992</v>
      </c>
      <c r="AN1651" s="720" t="s">
        <v>1744</v>
      </c>
      <c r="AO1651" s="722">
        <v>0.089</v>
      </c>
      <c r="AP1651" s="722" t="s">
        <v>3993</v>
      </c>
    </row>
    <row r="1652">
      <c r="A1652" s="159"/>
      <c r="B1652" s="159"/>
      <c r="C1652" s="159"/>
      <c r="D1652" s="159"/>
      <c r="E1652" s="159"/>
      <c r="F1652" s="159"/>
      <c r="G1652" s="159"/>
      <c r="H1652" s="159"/>
      <c r="I1652" s="157"/>
      <c r="J1652" s="157"/>
      <c r="K1652" s="157"/>
      <c r="L1652" s="157"/>
      <c r="M1652" s="157"/>
      <c r="N1652" s="157"/>
      <c r="O1652" s="157"/>
      <c r="P1652" s="753"/>
      <c r="AK1652" s="40">
        <v>1649.0</v>
      </c>
      <c r="AL1652" s="738" t="s">
        <v>4035</v>
      </c>
      <c r="AM1652" s="738" t="s">
        <v>3992</v>
      </c>
      <c r="AN1652" s="738" t="s">
        <v>1744</v>
      </c>
      <c r="AO1652" s="739">
        <v>0.089</v>
      </c>
      <c r="AP1652" s="739" t="s">
        <v>3993</v>
      </c>
    </row>
    <row r="1653">
      <c r="A1653" s="159"/>
      <c r="B1653" s="159"/>
      <c r="C1653" s="159"/>
      <c r="D1653" s="159"/>
      <c r="E1653" s="159"/>
      <c r="F1653" s="159"/>
      <c r="G1653" s="159"/>
      <c r="H1653" s="159"/>
      <c r="I1653" s="157"/>
      <c r="J1653" s="157"/>
      <c r="K1653" s="157"/>
      <c r="L1653" s="157"/>
      <c r="M1653" s="157"/>
      <c r="N1653" s="157"/>
      <c r="O1653" s="157"/>
      <c r="P1653" s="753"/>
      <c r="AK1653" s="40">
        <v>1650.0</v>
      </c>
      <c r="AL1653" s="719" t="s">
        <v>4036</v>
      </c>
      <c r="AM1653" s="720" t="s">
        <v>3995</v>
      </c>
      <c r="AN1653" s="720" t="s">
        <v>1744</v>
      </c>
      <c r="AO1653" s="722">
        <v>0.144</v>
      </c>
      <c r="AP1653" s="722" t="s">
        <v>3996</v>
      </c>
    </row>
    <row r="1654">
      <c r="A1654" s="159"/>
      <c r="B1654" s="159"/>
      <c r="C1654" s="159"/>
      <c r="D1654" s="159"/>
      <c r="E1654" s="159"/>
      <c r="F1654" s="159"/>
      <c r="G1654" s="159"/>
      <c r="H1654" s="159"/>
      <c r="I1654" s="157"/>
      <c r="J1654" s="157"/>
      <c r="K1654" s="157"/>
      <c r="L1654" s="157"/>
      <c r="M1654" s="157"/>
      <c r="N1654" s="157"/>
      <c r="O1654" s="157"/>
      <c r="P1654" s="753"/>
      <c r="AK1654" s="40">
        <v>1651.0</v>
      </c>
      <c r="AL1654" s="738" t="s">
        <v>4036</v>
      </c>
      <c r="AM1654" s="738" t="s">
        <v>3995</v>
      </c>
      <c r="AN1654" s="738" t="s">
        <v>1744</v>
      </c>
      <c r="AO1654" s="739">
        <v>0.144</v>
      </c>
      <c r="AP1654" s="739" t="s">
        <v>3996</v>
      </c>
    </row>
    <row r="1655">
      <c r="A1655" s="159"/>
      <c r="B1655" s="159"/>
      <c r="C1655" s="159"/>
      <c r="D1655" s="159"/>
      <c r="E1655" s="159"/>
      <c r="F1655" s="159"/>
      <c r="G1655" s="159"/>
      <c r="H1655" s="159"/>
      <c r="I1655" s="157"/>
      <c r="J1655" s="157"/>
      <c r="K1655" s="157"/>
      <c r="L1655" s="157"/>
      <c r="M1655" s="157"/>
      <c r="N1655" s="157"/>
      <c r="O1655" s="157"/>
      <c r="P1655" s="753"/>
      <c r="AK1655" s="40">
        <v>1652.0</v>
      </c>
      <c r="AL1655" s="719" t="s">
        <v>4037</v>
      </c>
      <c r="AM1655" s="720" t="s">
        <v>3998</v>
      </c>
      <c r="AN1655" s="720" t="s">
        <v>1744</v>
      </c>
      <c r="AO1655" s="722">
        <v>0.201</v>
      </c>
      <c r="AP1655" s="722" t="s">
        <v>3999</v>
      </c>
    </row>
    <row r="1656">
      <c r="A1656" s="159"/>
      <c r="B1656" s="159"/>
      <c r="C1656" s="159"/>
      <c r="D1656" s="159"/>
      <c r="E1656" s="159"/>
      <c r="F1656" s="159"/>
      <c r="G1656" s="159"/>
      <c r="H1656" s="159"/>
      <c r="I1656" s="157"/>
      <c r="J1656" s="157"/>
      <c r="K1656" s="157"/>
      <c r="L1656" s="157"/>
      <c r="M1656" s="157"/>
      <c r="N1656" s="157"/>
      <c r="O1656" s="157"/>
      <c r="P1656" s="753"/>
      <c r="AK1656" s="40">
        <v>1653.0</v>
      </c>
      <c r="AL1656" s="738" t="s">
        <v>4037</v>
      </c>
      <c r="AM1656" s="738" t="s">
        <v>3998</v>
      </c>
      <c r="AN1656" s="738" t="s">
        <v>1744</v>
      </c>
      <c r="AO1656" s="739">
        <v>0.201</v>
      </c>
      <c r="AP1656" s="739" t="s">
        <v>3999</v>
      </c>
    </row>
    <row r="1657">
      <c r="A1657" s="159"/>
      <c r="B1657" s="159"/>
      <c r="C1657" s="159"/>
      <c r="D1657" s="159"/>
      <c r="E1657" s="159"/>
      <c r="F1657" s="159"/>
      <c r="G1657" s="159"/>
      <c r="H1657" s="159"/>
      <c r="I1657" s="157"/>
      <c r="J1657" s="157"/>
      <c r="K1657" s="157"/>
      <c r="L1657" s="157"/>
      <c r="M1657" s="157"/>
      <c r="N1657" s="157"/>
      <c r="O1657" s="157"/>
      <c r="P1657" s="753"/>
      <c r="AK1657" s="40">
        <v>1654.0</v>
      </c>
      <c r="AL1657" s="719" t="s">
        <v>4038</v>
      </c>
      <c r="AM1657" s="720" t="s">
        <v>4001</v>
      </c>
      <c r="AN1657" s="720" t="s">
        <v>1744</v>
      </c>
      <c r="AO1657" s="722">
        <v>0.239</v>
      </c>
      <c r="AP1657" s="722" t="s">
        <v>4002</v>
      </c>
    </row>
    <row r="1658">
      <c r="A1658" s="159"/>
      <c r="B1658" s="159"/>
      <c r="C1658" s="159"/>
      <c r="D1658" s="159"/>
      <c r="E1658" s="159"/>
      <c r="F1658" s="159"/>
      <c r="G1658" s="159"/>
      <c r="H1658" s="159"/>
      <c r="I1658" s="157"/>
      <c r="J1658" s="157"/>
      <c r="K1658" s="157"/>
      <c r="L1658" s="157"/>
      <c r="M1658" s="157"/>
      <c r="N1658" s="157"/>
      <c r="O1658" s="157"/>
      <c r="P1658" s="753"/>
      <c r="AK1658" s="40">
        <v>1655.0</v>
      </c>
      <c r="AL1658" s="738" t="s">
        <v>4038</v>
      </c>
      <c r="AM1658" s="738" t="s">
        <v>4001</v>
      </c>
      <c r="AN1658" s="738" t="s">
        <v>1744</v>
      </c>
      <c r="AO1658" s="739">
        <v>0.239</v>
      </c>
      <c r="AP1658" s="739" t="s">
        <v>4002</v>
      </c>
    </row>
    <row r="1659">
      <c r="A1659" s="159"/>
      <c r="B1659" s="159"/>
      <c r="C1659" s="159"/>
      <c r="D1659" s="159"/>
      <c r="E1659" s="159"/>
      <c r="F1659" s="159"/>
      <c r="G1659" s="159"/>
      <c r="H1659" s="159"/>
      <c r="I1659" s="157"/>
      <c r="J1659" s="157"/>
      <c r="K1659" s="157"/>
      <c r="L1659" s="157"/>
      <c r="M1659" s="157"/>
      <c r="N1659" s="157"/>
      <c r="O1659" s="157"/>
      <c r="P1659" s="753"/>
      <c r="AK1659" s="40">
        <v>1656.0</v>
      </c>
      <c r="AL1659" s="719" t="s">
        <v>4039</v>
      </c>
      <c r="AM1659" s="720" t="s">
        <v>3922</v>
      </c>
      <c r="AN1659" s="720" t="s">
        <v>3923</v>
      </c>
      <c r="AO1659" s="722">
        <v>0.061</v>
      </c>
      <c r="AP1659" s="722" t="s">
        <v>3924</v>
      </c>
    </row>
    <row r="1660">
      <c r="A1660" s="159"/>
      <c r="B1660" s="159"/>
      <c r="C1660" s="159"/>
      <c r="D1660" s="159"/>
      <c r="E1660" s="159"/>
      <c r="F1660" s="159"/>
      <c r="G1660" s="159"/>
      <c r="H1660" s="159"/>
      <c r="I1660" s="157"/>
      <c r="J1660" s="157"/>
      <c r="K1660" s="157"/>
      <c r="L1660" s="157"/>
      <c r="M1660" s="157"/>
      <c r="N1660" s="157"/>
      <c r="O1660" s="157"/>
      <c r="P1660" s="753"/>
      <c r="AK1660" s="40">
        <v>1657.0</v>
      </c>
      <c r="AL1660" s="738" t="s">
        <v>4040</v>
      </c>
      <c r="AM1660" s="738" t="s">
        <v>3926</v>
      </c>
      <c r="AN1660" s="738" t="s">
        <v>1744</v>
      </c>
      <c r="AO1660" s="739">
        <v>0.041</v>
      </c>
      <c r="AP1660" s="739" t="s">
        <v>2071</v>
      </c>
    </row>
    <row r="1661">
      <c r="A1661" s="159"/>
      <c r="B1661" s="159"/>
      <c r="C1661" s="159"/>
      <c r="D1661" s="159"/>
      <c r="E1661" s="159"/>
      <c r="F1661" s="159"/>
      <c r="G1661" s="159"/>
      <c r="H1661" s="159"/>
      <c r="I1661" s="157"/>
      <c r="J1661" s="157"/>
      <c r="K1661" s="157"/>
      <c r="L1661" s="157"/>
      <c r="M1661" s="157"/>
      <c r="N1661" s="157"/>
      <c r="O1661" s="157"/>
      <c r="P1661" s="753"/>
      <c r="AK1661" s="40">
        <v>1658.0</v>
      </c>
      <c r="AL1661" s="719" t="s">
        <v>4041</v>
      </c>
      <c r="AM1661" s="720" t="s">
        <v>3928</v>
      </c>
      <c r="AN1661" s="720" t="s">
        <v>1744</v>
      </c>
      <c r="AO1661" s="722">
        <v>0.072</v>
      </c>
      <c r="AP1661" s="722" t="s">
        <v>2022</v>
      </c>
    </row>
    <row r="1662">
      <c r="A1662" s="159"/>
      <c r="B1662" s="159"/>
      <c r="C1662" s="159"/>
      <c r="D1662" s="159"/>
      <c r="E1662" s="159"/>
      <c r="F1662" s="159"/>
      <c r="G1662" s="159"/>
      <c r="H1662" s="159"/>
      <c r="I1662" s="157"/>
      <c r="J1662" s="157"/>
      <c r="K1662" s="157"/>
      <c r="L1662" s="157"/>
      <c r="M1662" s="157"/>
      <c r="N1662" s="157"/>
      <c r="O1662" s="157"/>
      <c r="P1662" s="753"/>
      <c r="AK1662" s="40">
        <v>1659.0</v>
      </c>
      <c r="AL1662" s="738" t="s">
        <v>4042</v>
      </c>
      <c r="AM1662" s="738" t="s">
        <v>3930</v>
      </c>
      <c r="AN1662" s="738" t="s">
        <v>1744</v>
      </c>
      <c r="AO1662" s="739">
        <v>0.179</v>
      </c>
      <c r="AP1662" s="739" t="s">
        <v>1927</v>
      </c>
    </row>
    <row r="1663">
      <c r="A1663" s="159"/>
      <c r="B1663" s="159"/>
      <c r="C1663" s="159"/>
      <c r="D1663" s="159"/>
      <c r="E1663" s="159"/>
      <c r="F1663" s="159"/>
      <c r="G1663" s="159"/>
      <c r="H1663" s="159"/>
      <c r="I1663" s="157"/>
      <c r="J1663" s="157"/>
      <c r="K1663" s="157"/>
      <c r="L1663" s="157"/>
      <c r="M1663" s="157"/>
      <c r="N1663" s="157"/>
      <c r="O1663" s="157"/>
      <c r="P1663" s="753"/>
      <c r="AK1663" s="40">
        <v>1660.0</v>
      </c>
      <c r="AL1663" s="719" t="s">
        <v>4043</v>
      </c>
      <c r="AM1663" s="720" t="s">
        <v>3932</v>
      </c>
      <c r="AN1663" s="720" t="s">
        <v>1744</v>
      </c>
      <c r="AO1663" s="722">
        <v>0.052</v>
      </c>
      <c r="AP1663" s="722" t="s">
        <v>3933</v>
      </c>
    </row>
    <row r="1664">
      <c r="A1664" s="159"/>
      <c r="B1664" s="159"/>
      <c r="C1664" s="159"/>
      <c r="D1664" s="159"/>
      <c r="E1664" s="159"/>
      <c r="F1664" s="159"/>
      <c r="G1664" s="159"/>
      <c r="H1664" s="159"/>
      <c r="I1664" s="157"/>
      <c r="J1664" s="157"/>
      <c r="K1664" s="157"/>
      <c r="L1664" s="157"/>
      <c r="M1664" s="157"/>
      <c r="N1664" s="157"/>
      <c r="O1664" s="157"/>
      <c r="P1664" s="753"/>
      <c r="AK1664" s="40">
        <v>1661.0</v>
      </c>
      <c r="AL1664" s="738" t="s">
        <v>4043</v>
      </c>
      <c r="AM1664" s="738" t="s">
        <v>3932</v>
      </c>
      <c r="AN1664" s="738" t="s">
        <v>1744</v>
      </c>
      <c r="AO1664" s="739">
        <v>0.052</v>
      </c>
      <c r="AP1664" s="739" t="s">
        <v>3933</v>
      </c>
    </row>
    <row r="1665">
      <c r="A1665" s="159"/>
      <c r="B1665" s="159"/>
      <c r="C1665" s="159"/>
      <c r="D1665" s="159"/>
      <c r="E1665" s="159"/>
      <c r="F1665" s="159"/>
      <c r="G1665" s="159"/>
      <c r="H1665" s="159"/>
      <c r="I1665" s="157"/>
      <c r="J1665" s="157"/>
      <c r="K1665" s="157"/>
      <c r="L1665" s="157"/>
      <c r="M1665" s="157"/>
      <c r="N1665" s="157"/>
      <c r="O1665" s="157"/>
      <c r="P1665" s="753"/>
      <c r="AK1665" s="40">
        <v>1662.0</v>
      </c>
      <c r="AL1665" s="719" t="s">
        <v>4044</v>
      </c>
      <c r="AM1665" s="720" t="s">
        <v>3935</v>
      </c>
      <c r="AN1665" s="720" t="s">
        <v>1744</v>
      </c>
      <c r="AO1665" s="722">
        <v>0.082</v>
      </c>
      <c r="AP1665" s="722" t="s">
        <v>3936</v>
      </c>
    </row>
    <row r="1666">
      <c r="A1666" s="159"/>
      <c r="B1666" s="159"/>
      <c r="C1666" s="159"/>
      <c r="D1666" s="159"/>
      <c r="E1666" s="159"/>
      <c r="F1666" s="159"/>
      <c r="G1666" s="159"/>
      <c r="H1666" s="159"/>
      <c r="I1666" s="157"/>
      <c r="J1666" s="157"/>
      <c r="K1666" s="157"/>
      <c r="L1666" s="157"/>
      <c r="M1666" s="157"/>
      <c r="N1666" s="157"/>
      <c r="O1666" s="157"/>
      <c r="P1666" s="753"/>
      <c r="AK1666" s="40">
        <v>1663.0</v>
      </c>
      <c r="AL1666" s="738" t="s">
        <v>4044</v>
      </c>
      <c r="AM1666" s="738" t="s">
        <v>3935</v>
      </c>
      <c r="AN1666" s="738" t="s">
        <v>1744</v>
      </c>
      <c r="AO1666" s="739">
        <v>0.082</v>
      </c>
      <c r="AP1666" s="739" t="s">
        <v>3936</v>
      </c>
    </row>
    <row r="1667">
      <c r="A1667" s="159"/>
      <c r="B1667" s="159"/>
      <c r="C1667" s="159"/>
      <c r="D1667" s="159"/>
      <c r="E1667" s="159"/>
      <c r="F1667" s="159"/>
      <c r="G1667" s="159"/>
      <c r="H1667" s="159"/>
      <c r="I1667" s="157"/>
      <c r="J1667" s="157"/>
      <c r="K1667" s="157"/>
      <c r="L1667" s="157"/>
      <c r="M1667" s="157"/>
      <c r="N1667" s="157"/>
      <c r="O1667" s="157"/>
      <c r="P1667" s="753"/>
      <c r="AK1667" s="40">
        <v>1664.0</v>
      </c>
      <c r="AL1667" s="719" t="s">
        <v>4045</v>
      </c>
      <c r="AM1667" s="720" t="s">
        <v>3938</v>
      </c>
      <c r="AN1667" s="720" t="s">
        <v>1744</v>
      </c>
      <c r="AO1667" s="722">
        <v>0.188</v>
      </c>
      <c r="AP1667" s="722" t="s">
        <v>3939</v>
      </c>
    </row>
    <row r="1668">
      <c r="A1668" s="159"/>
      <c r="B1668" s="159"/>
      <c r="C1668" s="159"/>
      <c r="D1668" s="159"/>
      <c r="E1668" s="159"/>
      <c r="F1668" s="159"/>
      <c r="G1668" s="159"/>
      <c r="H1668" s="159"/>
      <c r="I1668" s="157"/>
      <c r="J1668" s="157"/>
      <c r="K1668" s="157"/>
      <c r="L1668" s="157"/>
      <c r="M1668" s="157"/>
      <c r="N1668" s="157"/>
      <c r="O1668" s="157"/>
      <c r="P1668" s="753"/>
      <c r="AK1668" s="40">
        <v>1665.0</v>
      </c>
      <c r="AL1668" s="738" t="s">
        <v>4045</v>
      </c>
      <c r="AM1668" s="738" t="s">
        <v>3938</v>
      </c>
      <c r="AN1668" s="738" t="s">
        <v>1744</v>
      </c>
      <c r="AO1668" s="739">
        <v>0.188</v>
      </c>
      <c r="AP1668" s="739" t="s">
        <v>3939</v>
      </c>
    </row>
    <row r="1669">
      <c r="A1669" s="159"/>
      <c r="B1669" s="159"/>
      <c r="C1669" s="159"/>
      <c r="D1669" s="159"/>
      <c r="E1669" s="159"/>
      <c r="F1669" s="159"/>
      <c r="G1669" s="159"/>
      <c r="H1669" s="159"/>
      <c r="I1669" s="157"/>
      <c r="J1669" s="157"/>
      <c r="K1669" s="157"/>
      <c r="L1669" s="157"/>
      <c r="M1669" s="157"/>
      <c r="N1669" s="157"/>
      <c r="O1669" s="157"/>
      <c r="P1669" s="753"/>
      <c r="AK1669" s="40">
        <v>1666.0</v>
      </c>
      <c r="AL1669" s="719" t="s">
        <v>4046</v>
      </c>
      <c r="AM1669" s="720" t="s">
        <v>3941</v>
      </c>
      <c r="AN1669" s="720" t="s">
        <v>1744</v>
      </c>
      <c r="AO1669" s="722">
        <v>0.082</v>
      </c>
      <c r="AP1669" s="722" t="s">
        <v>3942</v>
      </c>
    </row>
    <row r="1670">
      <c r="A1670" s="159"/>
      <c r="B1670" s="159"/>
      <c r="C1670" s="159"/>
      <c r="D1670" s="159"/>
      <c r="E1670" s="159"/>
      <c r="F1670" s="159"/>
      <c r="G1670" s="159"/>
      <c r="H1670" s="159"/>
      <c r="I1670" s="157"/>
      <c r="J1670" s="157"/>
      <c r="K1670" s="157"/>
      <c r="L1670" s="157"/>
      <c r="M1670" s="157"/>
      <c r="N1670" s="157"/>
      <c r="O1670" s="157"/>
      <c r="P1670" s="753"/>
      <c r="AK1670" s="40">
        <v>1667.0</v>
      </c>
      <c r="AL1670" s="738" t="s">
        <v>4046</v>
      </c>
      <c r="AM1670" s="738" t="s">
        <v>3941</v>
      </c>
      <c r="AN1670" s="738" t="s">
        <v>1744</v>
      </c>
      <c r="AO1670" s="739">
        <v>0.082</v>
      </c>
      <c r="AP1670" s="739" t="s">
        <v>3942</v>
      </c>
    </row>
    <row r="1671">
      <c r="A1671" s="159"/>
      <c r="B1671" s="159"/>
      <c r="C1671" s="159"/>
      <c r="D1671" s="159"/>
      <c r="E1671" s="159"/>
      <c r="F1671" s="159"/>
      <c r="G1671" s="159"/>
      <c r="H1671" s="159"/>
      <c r="I1671" s="157"/>
      <c r="J1671" s="157"/>
      <c r="K1671" s="157"/>
      <c r="L1671" s="157"/>
      <c r="M1671" s="157"/>
      <c r="N1671" s="157"/>
      <c r="O1671" s="157"/>
      <c r="P1671" s="753"/>
      <c r="AK1671" s="40">
        <v>1668.0</v>
      </c>
      <c r="AL1671" s="719" t="s">
        <v>4047</v>
      </c>
      <c r="AM1671" s="720" t="s">
        <v>3944</v>
      </c>
      <c r="AN1671" s="720" t="s">
        <v>1744</v>
      </c>
      <c r="AO1671" s="722">
        <v>0.111</v>
      </c>
      <c r="AP1671" s="722" t="s">
        <v>3945</v>
      </c>
    </row>
    <row r="1672">
      <c r="A1672" s="159"/>
      <c r="B1672" s="159"/>
      <c r="C1672" s="159"/>
      <c r="D1672" s="159"/>
      <c r="E1672" s="159"/>
      <c r="F1672" s="159"/>
      <c r="G1672" s="159"/>
      <c r="H1672" s="159"/>
      <c r="I1672" s="157"/>
      <c r="J1672" s="157"/>
      <c r="K1672" s="157"/>
      <c r="L1672" s="157"/>
      <c r="M1672" s="157"/>
      <c r="N1672" s="157"/>
      <c r="O1672" s="157"/>
      <c r="P1672" s="753"/>
      <c r="AK1672" s="40">
        <v>1669.0</v>
      </c>
      <c r="AL1672" s="738" t="s">
        <v>4047</v>
      </c>
      <c r="AM1672" s="738" t="s">
        <v>3944</v>
      </c>
      <c r="AN1672" s="738" t="s">
        <v>1744</v>
      </c>
      <c r="AO1672" s="739">
        <v>0.111</v>
      </c>
      <c r="AP1672" s="739" t="s">
        <v>3945</v>
      </c>
    </row>
    <row r="1673">
      <c r="A1673" s="159"/>
      <c r="B1673" s="159"/>
      <c r="C1673" s="159"/>
      <c r="D1673" s="159"/>
      <c r="E1673" s="159"/>
      <c r="F1673" s="159"/>
      <c r="G1673" s="159"/>
      <c r="H1673" s="159"/>
      <c r="I1673" s="157"/>
      <c r="J1673" s="157"/>
      <c r="K1673" s="157"/>
      <c r="L1673" s="157"/>
      <c r="M1673" s="157"/>
      <c r="N1673" s="157"/>
      <c r="O1673" s="157"/>
      <c r="P1673" s="753"/>
      <c r="AK1673" s="40">
        <v>1670.0</v>
      </c>
      <c r="AL1673" s="719" t="s">
        <v>4048</v>
      </c>
      <c r="AM1673" s="720" t="s">
        <v>3947</v>
      </c>
      <c r="AN1673" s="720" t="s">
        <v>1744</v>
      </c>
      <c r="AO1673" s="722">
        <v>0.214</v>
      </c>
      <c r="AP1673" s="722" t="s">
        <v>3948</v>
      </c>
    </row>
    <row r="1674">
      <c r="A1674" s="159"/>
      <c r="B1674" s="159"/>
      <c r="C1674" s="159"/>
      <c r="D1674" s="159"/>
      <c r="E1674" s="159"/>
      <c r="F1674" s="159"/>
      <c r="G1674" s="159"/>
      <c r="H1674" s="159"/>
      <c r="I1674" s="157"/>
      <c r="J1674" s="157"/>
      <c r="K1674" s="157"/>
      <c r="L1674" s="157"/>
      <c r="M1674" s="157"/>
      <c r="N1674" s="157"/>
      <c r="O1674" s="157"/>
      <c r="P1674" s="753"/>
      <c r="AK1674" s="40">
        <v>1671.0</v>
      </c>
      <c r="AL1674" s="738" t="s">
        <v>4048</v>
      </c>
      <c r="AM1674" s="738" t="s">
        <v>3947</v>
      </c>
      <c r="AN1674" s="738" t="s">
        <v>1744</v>
      </c>
      <c r="AO1674" s="739">
        <v>0.214</v>
      </c>
      <c r="AP1674" s="739" t="s">
        <v>3948</v>
      </c>
    </row>
    <row r="1675">
      <c r="A1675" s="159"/>
      <c r="B1675" s="159"/>
      <c r="C1675" s="159"/>
      <c r="D1675" s="159"/>
      <c r="E1675" s="159"/>
      <c r="F1675" s="159"/>
      <c r="G1675" s="159"/>
      <c r="H1675" s="159"/>
      <c r="I1675" s="157"/>
      <c r="J1675" s="157"/>
      <c r="K1675" s="157"/>
      <c r="L1675" s="157"/>
      <c r="M1675" s="157"/>
      <c r="N1675" s="157"/>
      <c r="O1675" s="157"/>
      <c r="P1675" s="753"/>
      <c r="AK1675" s="40">
        <v>1672.0</v>
      </c>
      <c r="AL1675" s="719" t="s">
        <v>4049</v>
      </c>
      <c r="AM1675" s="720" t="s">
        <v>3950</v>
      </c>
      <c r="AN1675" s="720" t="s">
        <v>1744</v>
      </c>
      <c r="AO1675" s="722">
        <v>0.137</v>
      </c>
      <c r="AP1675" s="722" t="s">
        <v>3951</v>
      </c>
    </row>
    <row r="1676">
      <c r="A1676" s="159"/>
      <c r="B1676" s="159"/>
      <c r="C1676" s="159"/>
      <c r="D1676" s="159"/>
      <c r="E1676" s="159"/>
      <c r="F1676" s="159"/>
      <c r="G1676" s="159"/>
      <c r="H1676" s="159"/>
      <c r="I1676" s="157"/>
      <c r="J1676" s="157"/>
      <c r="K1676" s="157"/>
      <c r="L1676" s="157"/>
      <c r="M1676" s="157"/>
      <c r="N1676" s="157"/>
      <c r="O1676" s="157"/>
      <c r="P1676" s="753"/>
      <c r="AK1676" s="40">
        <v>1673.0</v>
      </c>
      <c r="AL1676" s="738" t="s">
        <v>4049</v>
      </c>
      <c r="AM1676" s="738" t="s">
        <v>3950</v>
      </c>
      <c r="AN1676" s="738" t="s">
        <v>1744</v>
      </c>
      <c r="AO1676" s="739">
        <v>0.137</v>
      </c>
      <c r="AP1676" s="739" t="s">
        <v>3951</v>
      </c>
    </row>
    <row r="1677">
      <c r="A1677" s="159"/>
      <c r="B1677" s="159"/>
      <c r="C1677" s="159"/>
      <c r="D1677" s="159"/>
      <c r="E1677" s="159"/>
      <c r="F1677" s="159"/>
      <c r="G1677" s="159"/>
      <c r="H1677" s="159"/>
      <c r="I1677" s="157"/>
      <c r="J1677" s="157"/>
      <c r="K1677" s="157"/>
      <c r="L1677" s="157"/>
      <c r="M1677" s="157"/>
      <c r="N1677" s="157"/>
      <c r="O1677" s="157"/>
      <c r="P1677" s="753"/>
      <c r="AK1677" s="40">
        <v>1674.0</v>
      </c>
      <c r="AL1677" s="719" t="s">
        <v>4050</v>
      </c>
      <c r="AM1677" s="720" t="s">
        <v>3953</v>
      </c>
      <c r="AN1677" s="720" t="s">
        <v>1744</v>
      </c>
      <c r="AO1677" s="722">
        <v>0.164</v>
      </c>
      <c r="AP1677" s="722" t="s">
        <v>3954</v>
      </c>
    </row>
    <row r="1678">
      <c r="A1678" s="159"/>
      <c r="B1678" s="159"/>
      <c r="C1678" s="159"/>
      <c r="D1678" s="159"/>
      <c r="E1678" s="159"/>
      <c r="F1678" s="159"/>
      <c r="G1678" s="159"/>
      <c r="H1678" s="159"/>
      <c r="I1678" s="157"/>
      <c r="J1678" s="157"/>
      <c r="K1678" s="157"/>
      <c r="L1678" s="157"/>
      <c r="M1678" s="157"/>
      <c r="N1678" s="157"/>
      <c r="O1678" s="157"/>
      <c r="P1678" s="753"/>
      <c r="AK1678" s="40">
        <v>1675.0</v>
      </c>
      <c r="AL1678" s="738" t="s">
        <v>4050</v>
      </c>
      <c r="AM1678" s="738" t="s">
        <v>3953</v>
      </c>
      <c r="AN1678" s="738" t="s">
        <v>1744</v>
      </c>
      <c r="AO1678" s="739">
        <v>0.164</v>
      </c>
      <c r="AP1678" s="739" t="s">
        <v>3954</v>
      </c>
    </row>
    <row r="1679">
      <c r="A1679" s="159"/>
      <c r="B1679" s="159"/>
      <c r="C1679" s="159"/>
      <c r="D1679" s="159"/>
      <c r="E1679" s="159"/>
      <c r="F1679" s="159"/>
      <c r="G1679" s="159"/>
      <c r="H1679" s="159"/>
      <c r="I1679" s="157"/>
      <c r="J1679" s="157"/>
      <c r="K1679" s="157"/>
      <c r="L1679" s="157"/>
      <c r="M1679" s="157"/>
      <c r="N1679" s="157"/>
      <c r="O1679" s="157"/>
      <c r="P1679" s="753"/>
      <c r="AK1679" s="40">
        <v>1676.0</v>
      </c>
      <c r="AL1679" s="719" t="s">
        <v>4051</v>
      </c>
      <c r="AM1679" s="720" t="s">
        <v>3956</v>
      </c>
      <c r="AN1679" s="720" t="s">
        <v>1744</v>
      </c>
      <c r="AO1679" s="722">
        <v>0.261</v>
      </c>
      <c r="AP1679" s="722" t="s">
        <v>3957</v>
      </c>
    </row>
    <row r="1680">
      <c r="A1680" s="159"/>
      <c r="B1680" s="159"/>
      <c r="C1680" s="159"/>
      <c r="D1680" s="159"/>
      <c r="E1680" s="159"/>
      <c r="F1680" s="159"/>
      <c r="G1680" s="159"/>
      <c r="H1680" s="159"/>
      <c r="I1680" s="157"/>
      <c r="J1680" s="157"/>
      <c r="K1680" s="157"/>
      <c r="L1680" s="157"/>
      <c r="M1680" s="157"/>
      <c r="N1680" s="157"/>
      <c r="O1680" s="157"/>
      <c r="P1680" s="753"/>
      <c r="AK1680" s="40">
        <v>1677.0</v>
      </c>
      <c r="AL1680" s="738" t="s">
        <v>4051</v>
      </c>
      <c r="AM1680" s="738" t="s">
        <v>3956</v>
      </c>
      <c r="AN1680" s="738" t="s">
        <v>1744</v>
      </c>
      <c r="AO1680" s="739">
        <v>0.261</v>
      </c>
      <c r="AP1680" s="739" t="s">
        <v>3957</v>
      </c>
    </row>
    <row r="1681">
      <c r="A1681" s="159"/>
      <c r="B1681" s="159"/>
      <c r="C1681" s="159"/>
      <c r="D1681" s="159"/>
      <c r="E1681" s="159"/>
      <c r="F1681" s="159"/>
      <c r="G1681" s="159"/>
      <c r="H1681" s="159"/>
      <c r="I1681" s="157"/>
      <c r="J1681" s="157"/>
      <c r="K1681" s="157"/>
      <c r="L1681" s="157"/>
      <c r="M1681" s="157"/>
      <c r="N1681" s="157"/>
      <c r="O1681" s="157"/>
      <c r="P1681" s="753"/>
      <c r="AK1681" s="40">
        <v>1678.0</v>
      </c>
      <c r="AL1681" s="719" t="s">
        <v>4052</v>
      </c>
      <c r="AM1681" s="720" t="s">
        <v>3959</v>
      </c>
      <c r="AN1681" s="720" t="s">
        <v>1744</v>
      </c>
      <c r="AO1681" s="722">
        <v>0.195</v>
      </c>
      <c r="AP1681" s="722" t="s">
        <v>3960</v>
      </c>
    </row>
    <row r="1682">
      <c r="A1682" s="159"/>
      <c r="B1682" s="159"/>
      <c r="C1682" s="159"/>
      <c r="D1682" s="159"/>
      <c r="E1682" s="159"/>
      <c r="F1682" s="159"/>
      <c r="G1682" s="159"/>
      <c r="H1682" s="159"/>
      <c r="I1682" s="157"/>
      <c r="J1682" s="157"/>
      <c r="K1682" s="157"/>
      <c r="L1682" s="157"/>
      <c r="M1682" s="157"/>
      <c r="N1682" s="157"/>
      <c r="O1682" s="157"/>
      <c r="P1682" s="753"/>
      <c r="AK1682" s="40">
        <v>1679.0</v>
      </c>
      <c r="AL1682" s="738" t="s">
        <v>4052</v>
      </c>
      <c r="AM1682" s="738" t="s">
        <v>3959</v>
      </c>
      <c r="AN1682" s="738" t="s">
        <v>1744</v>
      </c>
      <c r="AO1682" s="739">
        <v>0.195</v>
      </c>
      <c r="AP1682" s="739" t="s">
        <v>3960</v>
      </c>
    </row>
    <row r="1683">
      <c r="A1683" s="159"/>
      <c r="B1683" s="159"/>
      <c r="C1683" s="159"/>
      <c r="D1683" s="159"/>
      <c r="E1683" s="159"/>
      <c r="F1683" s="159"/>
      <c r="G1683" s="159"/>
      <c r="H1683" s="159"/>
      <c r="I1683" s="157"/>
      <c r="J1683" s="157"/>
      <c r="K1683" s="157"/>
      <c r="L1683" s="157"/>
      <c r="M1683" s="157"/>
      <c r="N1683" s="157"/>
      <c r="O1683" s="157"/>
      <c r="P1683" s="753"/>
      <c r="AK1683" s="40">
        <v>1680.0</v>
      </c>
      <c r="AL1683" s="719" t="s">
        <v>4053</v>
      </c>
      <c r="AM1683" s="720" t="s">
        <v>3962</v>
      </c>
      <c r="AN1683" s="720" t="s">
        <v>1744</v>
      </c>
      <c r="AO1683" s="722">
        <v>0.22</v>
      </c>
      <c r="AP1683" s="722" t="s">
        <v>3963</v>
      </c>
    </row>
    <row r="1684">
      <c r="A1684" s="159"/>
      <c r="B1684" s="159"/>
      <c r="C1684" s="159"/>
      <c r="D1684" s="159"/>
      <c r="E1684" s="159"/>
      <c r="F1684" s="159"/>
      <c r="G1684" s="159"/>
      <c r="H1684" s="159"/>
      <c r="I1684" s="157"/>
      <c r="J1684" s="157"/>
      <c r="K1684" s="157"/>
      <c r="L1684" s="157"/>
      <c r="M1684" s="157"/>
      <c r="N1684" s="157"/>
      <c r="O1684" s="157"/>
      <c r="P1684" s="753"/>
      <c r="AK1684" s="40">
        <v>1681.0</v>
      </c>
      <c r="AL1684" s="738" t="s">
        <v>4053</v>
      </c>
      <c r="AM1684" s="738" t="s">
        <v>3962</v>
      </c>
      <c r="AN1684" s="738" t="s">
        <v>1744</v>
      </c>
      <c r="AO1684" s="739">
        <v>0.22</v>
      </c>
      <c r="AP1684" s="739" t="s">
        <v>3963</v>
      </c>
    </row>
    <row r="1685">
      <c r="A1685" s="159"/>
      <c r="B1685" s="159"/>
      <c r="C1685" s="159"/>
      <c r="D1685" s="159"/>
      <c r="E1685" s="159"/>
      <c r="F1685" s="159"/>
      <c r="G1685" s="159"/>
      <c r="H1685" s="159"/>
      <c r="I1685" s="157"/>
      <c r="J1685" s="157"/>
      <c r="K1685" s="157"/>
      <c r="L1685" s="157"/>
      <c r="M1685" s="157"/>
      <c r="N1685" s="157"/>
      <c r="O1685" s="157"/>
      <c r="P1685" s="753"/>
      <c r="AK1685" s="40">
        <v>1682.0</v>
      </c>
      <c r="AL1685" s="719" t="s">
        <v>4054</v>
      </c>
      <c r="AM1685" s="720" t="s">
        <v>3965</v>
      </c>
      <c r="AN1685" s="720" t="s">
        <v>1744</v>
      </c>
      <c r="AO1685" s="722">
        <v>0.31</v>
      </c>
      <c r="AP1685" s="722" t="s">
        <v>3966</v>
      </c>
    </row>
    <row r="1686">
      <c r="A1686" s="159"/>
      <c r="B1686" s="159"/>
      <c r="C1686" s="159"/>
      <c r="D1686" s="159"/>
      <c r="E1686" s="159"/>
      <c r="F1686" s="159"/>
      <c r="G1686" s="159"/>
      <c r="H1686" s="159"/>
      <c r="I1686" s="157"/>
      <c r="J1686" s="157"/>
      <c r="K1686" s="157"/>
      <c r="L1686" s="157"/>
      <c r="M1686" s="157"/>
      <c r="N1686" s="157"/>
      <c r="O1686" s="157"/>
      <c r="P1686" s="753"/>
      <c r="AK1686" s="40">
        <v>1683.0</v>
      </c>
      <c r="AL1686" s="738" t="s">
        <v>4054</v>
      </c>
      <c r="AM1686" s="738" t="s">
        <v>3965</v>
      </c>
      <c r="AN1686" s="738" t="s">
        <v>1744</v>
      </c>
      <c r="AO1686" s="739">
        <v>0.31</v>
      </c>
      <c r="AP1686" s="739" t="s">
        <v>3966</v>
      </c>
    </row>
    <row r="1687">
      <c r="A1687" s="159"/>
      <c r="B1687" s="159"/>
      <c r="C1687" s="159"/>
      <c r="D1687" s="159"/>
      <c r="E1687" s="159"/>
      <c r="F1687" s="159"/>
      <c r="G1687" s="159"/>
      <c r="H1687" s="159"/>
      <c r="I1687" s="157"/>
      <c r="J1687" s="157"/>
      <c r="K1687" s="157"/>
      <c r="L1687" s="157"/>
      <c r="M1687" s="157"/>
      <c r="N1687" s="157"/>
      <c r="O1687" s="157"/>
      <c r="P1687" s="753"/>
      <c r="AK1687" s="40">
        <v>1684.0</v>
      </c>
      <c r="AL1687" s="719" t="s">
        <v>4055</v>
      </c>
      <c r="AM1687" s="720" t="s">
        <v>3968</v>
      </c>
      <c r="AN1687" s="720" t="s">
        <v>1744</v>
      </c>
      <c r="AO1687" s="722">
        <v>0.233</v>
      </c>
      <c r="AP1687" s="722" t="s">
        <v>3969</v>
      </c>
    </row>
    <row r="1688">
      <c r="A1688" s="159"/>
      <c r="B1688" s="159"/>
      <c r="C1688" s="159"/>
      <c r="D1688" s="159"/>
      <c r="E1688" s="159"/>
      <c r="F1688" s="159"/>
      <c r="G1688" s="159"/>
      <c r="H1688" s="159"/>
      <c r="I1688" s="157"/>
      <c r="J1688" s="157"/>
      <c r="K1688" s="157"/>
      <c r="L1688" s="157"/>
      <c r="M1688" s="157"/>
      <c r="N1688" s="157"/>
      <c r="O1688" s="157"/>
      <c r="P1688" s="753"/>
      <c r="AK1688" s="40">
        <v>1685.0</v>
      </c>
      <c r="AL1688" s="738" t="s">
        <v>4055</v>
      </c>
      <c r="AM1688" s="738" t="s">
        <v>3968</v>
      </c>
      <c r="AN1688" s="738" t="s">
        <v>1744</v>
      </c>
      <c r="AO1688" s="739">
        <v>0.233</v>
      </c>
      <c r="AP1688" s="739" t="s">
        <v>3969</v>
      </c>
    </row>
    <row r="1689">
      <c r="A1689" s="159"/>
      <c r="B1689" s="159"/>
      <c r="C1689" s="159"/>
      <c r="D1689" s="159"/>
      <c r="E1689" s="159"/>
      <c r="F1689" s="159"/>
      <c r="G1689" s="159"/>
      <c r="H1689" s="159"/>
      <c r="I1689" s="157"/>
      <c r="J1689" s="157"/>
      <c r="K1689" s="157"/>
      <c r="L1689" s="157"/>
      <c r="M1689" s="157"/>
      <c r="N1689" s="157"/>
      <c r="O1689" s="157"/>
      <c r="P1689" s="753"/>
      <c r="AK1689" s="40">
        <v>1686.0</v>
      </c>
      <c r="AL1689" s="719" t="s">
        <v>4056</v>
      </c>
      <c r="AM1689" s="720" t="s">
        <v>3971</v>
      </c>
      <c r="AN1689" s="720" t="s">
        <v>1744</v>
      </c>
      <c r="AO1689" s="722">
        <v>0.257</v>
      </c>
      <c r="AP1689" s="722" t="s">
        <v>3972</v>
      </c>
    </row>
    <row r="1690">
      <c r="A1690" s="159"/>
      <c r="B1690" s="159"/>
      <c r="C1690" s="159"/>
      <c r="D1690" s="159"/>
      <c r="E1690" s="159"/>
      <c r="F1690" s="159"/>
      <c r="G1690" s="159"/>
      <c r="H1690" s="159"/>
      <c r="I1690" s="157"/>
      <c r="J1690" s="157"/>
      <c r="K1690" s="157"/>
      <c r="L1690" s="157"/>
      <c r="M1690" s="157"/>
      <c r="N1690" s="157"/>
      <c r="O1690" s="157"/>
      <c r="P1690" s="753"/>
      <c r="AK1690" s="40">
        <v>1687.0</v>
      </c>
      <c r="AL1690" s="738" t="s">
        <v>4056</v>
      </c>
      <c r="AM1690" s="738" t="s">
        <v>3971</v>
      </c>
      <c r="AN1690" s="738" t="s">
        <v>1744</v>
      </c>
      <c r="AO1690" s="739">
        <v>0.257</v>
      </c>
      <c r="AP1690" s="739" t="s">
        <v>3972</v>
      </c>
    </row>
    <row r="1691">
      <c r="A1691" s="159"/>
      <c r="B1691" s="159"/>
      <c r="C1691" s="159"/>
      <c r="D1691" s="159"/>
      <c r="E1691" s="159"/>
      <c r="F1691" s="159"/>
      <c r="G1691" s="159"/>
      <c r="H1691" s="159"/>
      <c r="I1691" s="157"/>
      <c r="J1691" s="157"/>
      <c r="K1691" s="157"/>
      <c r="L1691" s="157"/>
      <c r="M1691" s="157"/>
      <c r="N1691" s="157"/>
      <c r="O1691" s="157"/>
      <c r="P1691" s="753"/>
      <c r="AK1691" s="40">
        <v>1688.0</v>
      </c>
      <c r="AL1691" s="719" t="s">
        <v>4057</v>
      </c>
      <c r="AM1691" s="720" t="s">
        <v>3974</v>
      </c>
      <c r="AN1691" s="720" t="s">
        <v>1744</v>
      </c>
      <c r="AO1691" s="722">
        <v>0.342</v>
      </c>
      <c r="AP1691" s="722" t="s">
        <v>3975</v>
      </c>
    </row>
    <row r="1692">
      <c r="A1692" s="159"/>
      <c r="B1692" s="159"/>
      <c r="C1692" s="159"/>
      <c r="D1692" s="159"/>
      <c r="E1692" s="159"/>
      <c r="F1692" s="159"/>
      <c r="G1692" s="159"/>
      <c r="H1692" s="159"/>
      <c r="I1692" s="157"/>
      <c r="J1692" s="157"/>
      <c r="K1692" s="157"/>
      <c r="L1692" s="157"/>
      <c r="M1692" s="157"/>
      <c r="N1692" s="157"/>
      <c r="O1692" s="157"/>
      <c r="P1692" s="753"/>
      <c r="AK1692" s="40">
        <v>1689.0</v>
      </c>
      <c r="AL1692" s="738" t="s">
        <v>4057</v>
      </c>
      <c r="AM1692" s="738" t="s">
        <v>3974</v>
      </c>
      <c r="AN1692" s="738" t="s">
        <v>1744</v>
      </c>
      <c r="AO1692" s="739">
        <v>0.342</v>
      </c>
      <c r="AP1692" s="739" t="s">
        <v>3975</v>
      </c>
    </row>
    <row r="1693">
      <c r="A1693" s="159"/>
      <c r="B1693" s="159"/>
      <c r="C1693" s="159"/>
      <c r="D1693" s="159"/>
      <c r="E1693" s="159"/>
      <c r="F1693" s="159"/>
      <c r="G1693" s="159"/>
      <c r="H1693" s="159"/>
      <c r="I1693" s="157"/>
      <c r="J1693" s="157"/>
      <c r="K1693" s="157"/>
      <c r="L1693" s="157"/>
      <c r="M1693" s="157"/>
      <c r="N1693" s="157"/>
      <c r="O1693" s="157"/>
      <c r="P1693" s="753"/>
      <c r="AK1693" s="40">
        <v>1690.0</v>
      </c>
      <c r="AL1693" s="719" t="s">
        <v>4058</v>
      </c>
      <c r="AM1693" s="720" t="s">
        <v>3977</v>
      </c>
      <c r="AN1693" s="720" t="s">
        <v>1744</v>
      </c>
      <c r="AO1693" s="722">
        <v>0.011</v>
      </c>
      <c r="AP1693" s="722" t="s">
        <v>2286</v>
      </c>
    </row>
    <row r="1694">
      <c r="A1694" s="159"/>
      <c r="B1694" s="159"/>
      <c r="C1694" s="159"/>
      <c r="D1694" s="159"/>
      <c r="E1694" s="159"/>
      <c r="F1694" s="159"/>
      <c r="G1694" s="159"/>
      <c r="H1694" s="159"/>
      <c r="I1694" s="157"/>
      <c r="J1694" s="157"/>
      <c r="K1694" s="157"/>
      <c r="L1694" s="157"/>
      <c r="M1694" s="157"/>
      <c r="N1694" s="157"/>
      <c r="O1694" s="157"/>
      <c r="P1694" s="753"/>
      <c r="AK1694" s="40">
        <v>1691.0</v>
      </c>
      <c r="AL1694" s="738" t="s">
        <v>4059</v>
      </c>
      <c r="AM1694" s="738" t="s">
        <v>3979</v>
      </c>
      <c r="AN1694" s="738" t="s">
        <v>1744</v>
      </c>
      <c r="AO1694" s="739">
        <v>0.043</v>
      </c>
      <c r="AP1694" s="739" t="s">
        <v>2290</v>
      </c>
    </row>
    <row r="1695">
      <c r="A1695" s="159"/>
      <c r="B1695" s="159"/>
      <c r="C1695" s="159"/>
      <c r="D1695" s="159"/>
      <c r="E1695" s="159"/>
      <c r="F1695" s="159"/>
      <c r="G1695" s="159"/>
      <c r="H1695" s="159"/>
      <c r="I1695" s="157"/>
      <c r="J1695" s="157"/>
      <c r="K1695" s="157"/>
      <c r="L1695" s="157"/>
      <c r="M1695" s="157"/>
      <c r="N1695" s="157"/>
      <c r="O1695" s="157"/>
      <c r="P1695" s="753"/>
      <c r="AK1695" s="40">
        <v>1692.0</v>
      </c>
      <c r="AL1695" s="719" t="s">
        <v>4060</v>
      </c>
      <c r="AM1695" s="720" t="s">
        <v>3981</v>
      </c>
      <c r="AN1695" s="720" t="s">
        <v>1744</v>
      </c>
      <c r="AO1695" s="722">
        <v>0.1</v>
      </c>
      <c r="AP1695" s="722" t="s">
        <v>3376</v>
      </c>
    </row>
    <row r="1696">
      <c r="A1696" s="159"/>
      <c r="B1696" s="159"/>
      <c r="C1696" s="159"/>
      <c r="D1696" s="159"/>
      <c r="E1696" s="159"/>
      <c r="F1696" s="159"/>
      <c r="G1696" s="159"/>
      <c r="H1696" s="159"/>
      <c r="I1696" s="157"/>
      <c r="J1696" s="157"/>
      <c r="K1696" s="157"/>
      <c r="L1696" s="157"/>
      <c r="M1696" s="157"/>
      <c r="N1696" s="157"/>
      <c r="O1696" s="157"/>
      <c r="P1696" s="753"/>
      <c r="AK1696" s="40">
        <v>1693.0</v>
      </c>
      <c r="AL1696" s="738" t="s">
        <v>4061</v>
      </c>
      <c r="AM1696" s="738" t="s">
        <v>3983</v>
      </c>
      <c r="AN1696" s="738" t="s">
        <v>1744</v>
      </c>
      <c r="AO1696" s="739">
        <v>0.16</v>
      </c>
      <c r="AP1696" s="739" t="s">
        <v>3380</v>
      </c>
    </row>
    <row r="1697">
      <c r="A1697" s="159"/>
      <c r="B1697" s="159"/>
      <c r="C1697" s="159"/>
      <c r="D1697" s="159"/>
      <c r="E1697" s="159"/>
      <c r="F1697" s="159"/>
      <c r="G1697" s="159"/>
      <c r="H1697" s="159"/>
      <c r="I1697" s="157"/>
      <c r="J1697" s="157"/>
      <c r="K1697" s="157"/>
      <c r="L1697" s="157"/>
      <c r="M1697" s="157"/>
      <c r="N1697" s="157"/>
      <c r="O1697" s="157"/>
      <c r="P1697" s="753"/>
      <c r="AK1697" s="40">
        <v>1694.0</v>
      </c>
      <c r="AL1697" s="719" t="s">
        <v>4062</v>
      </c>
      <c r="AM1697" s="720" t="s">
        <v>3985</v>
      </c>
      <c r="AN1697" s="720" t="s">
        <v>1744</v>
      </c>
      <c r="AO1697" s="722">
        <v>0.2</v>
      </c>
      <c r="AP1697" s="722" t="s">
        <v>3384</v>
      </c>
    </row>
    <row r="1698">
      <c r="A1698" s="159"/>
      <c r="B1698" s="159"/>
      <c r="C1698" s="159"/>
      <c r="D1698" s="159"/>
      <c r="E1698" s="159"/>
      <c r="F1698" s="159"/>
      <c r="G1698" s="159"/>
      <c r="H1698" s="159"/>
      <c r="I1698" s="157"/>
      <c r="J1698" s="157"/>
      <c r="K1698" s="157"/>
      <c r="L1698" s="157"/>
      <c r="M1698" s="157"/>
      <c r="N1698" s="157"/>
      <c r="O1698" s="157"/>
      <c r="P1698" s="753"/>
      <c r="AK1698" s="40">
        <v>1695.0</v>
      </c>
      <c r="AL1698" s="738" t="s">
        <v>4063</v>
      </c>
      <c r="AM1698" s="738" t="s">
        <v>3987</v>
      </c>
      <c r="AN1698" s="738" t="s">
        <v>1744</v>
      </c>
      <c r="AO1698" s="739">
        <v>0.049</v>
      </c>
      <c r="AP1698" s="739" t="s">
        <v>2067</v>
      </c>
    </row>
    <row r="1699">
      <c r="A1699" s="159"/>
      <c r="B1699" s="159"/>
      <c r="C1699" s="159"/>
      <c r="D1699" s="159"/>
      <c r="E1699" s="159"/>
      <c r="F1699" s="159"/>
      <c r="G1699" s="159"/>
      <c r="H1699" s="159"/>
      <c r="I1699" s="157"/>
      <c r="J1699" s="157"/>
      <c r="K1699" s="157"/>
      <c r="L1699" s="157"/>
      <c r="M1699" s="157"/>
      <c r="N1699" s="157"/>
      <c r="O1699" s="157"/>
      <c r="P1699" s="753"/>
      <c r="AK1699" s="40">
        <v>1696.0</v>
      </c>
      <c r="AL1699" s="719" t="s">
        <v>4064</v>
      </c>
      <c r="AM1699" s="720" t="s">
        <v>3989</v>
      </c>
      <c r="AN1699" s="720" t="s">
        <v>1744</v>
      </c>
      <c r="AO1699" s="722">
        <v>0.059</v>
      </c>
      <c r="AP1699" s="722" t="s">
        <v>3990</v>
      </c>
    </row>
    <row r="1700">
      <c r="A1700" s="159"/>
      <c r="B1700" s="159"/>
      <c r="C1700" s="159"/>
      <c r="D1700" s="159"/>
      <c r="E1700" s="159"/>
      <c r="F1700" s="159"/>
      <c r="G1700" s="159"/>
      <c r="H1700" s="159"/>
      <c r="I1700" s="157"/>
      <c r="J1700" s="157"/>
      <c r="K1700" s="157"/>
      <c r="L1700" s="157"/>
      <c r="M1700" s="157"/>
      <c r="N1700" s="157"/>
      <c r="O1700" s="157"/>
      <c r="P1700" s="753"/>
      <c r="AK1700" s="40">
        <v>1697.0</v>
      </c>
      <c r="AL1700" s="738" t="s">
        <v>4064</v>
      </c>
      <c r="AM1700" s="738" t="s">
        <v>3989</v>
      </c>
      <c r="AN1700" s="738" t="s">
        <v>1744</v>
      </c>
      <c r="AO1700" s="739">
        <v>0.059</v>
      </c>
      <c r="AP1700" s="739" t="s">
        <v>3990</v>
      </c>
    </row>
    <row r="1701">
      <c r="A1701" s="159"/>
      <c r="B1701" s="159"/>
      <c r="C1701" s="159"/>
      <c r="D1701" s="159"/>
      <c r="E1701" s="159"/>
      <c r="F1701" s="159"/>
      <c r="G1701" s="159"/>
      <c r="H1701" s="159"/>
      <c r="I1701" s="157"/>
      <c r="J1701" s="157"/>
      <c r="K1701" s="157"/>
      <c r="L1701" s="157"/>
      <c r="M1701" s="157"/>
      <c r="N1701" s="157"/>
      <c r="O1701" s="157"/>
      <c r="P1701" s="753"/>
      <c r="AK1701" s="40">
        <v>1698.0</v>
      </c>
      <c r="AL1701" s="719" t="s">
        <v>4065</v>
      </c>
      <c r="AM1701" s="720" t="s">
        <v>3992</v>
      </c>
      <c r="AN1701" s="720" t="s">
        <v>1744</v>
      </c>
      <c r="AO1701" s="722">
        <v>0.089</v>
      </c>
      <c r="AP1701" s="722" t="s">
        <v>3993</v>
      </c>
    </row>
    <row r="1702">
      <c r="A1702" s="159"/>
      <c r="B1702" s="159"/>
      <c r="C1702" s="159"/>
      <c r="D1702" s="159"/>
      <c r="E1702" s="159"/>
      <c r="F1702" s="159"/>
      <c r="G1702" s="159"/>
      <c r="H1702" s="159"/>
      <c r="I1702" s="157"/>
      <c r="J1702" s="157"/>
      <c r="K1702" s="157"/>
      <c r="L1702" s="157"/>
      <c r="M1702" s="157"/>
      <c r="N1702" s="157"/>
      <c r="O1702" s="157"/>
      <c r="P1702" s="753"/>
      <c r="AK1702" s="40">
        <v>1699.0</v>
      </c>
      <c r="AL1702" s="738" t="s">
        <v>4065</v>
      </c>
      <c r="AM1702" s="738" t="s">
        <v>3992</v>
      </c>
      <c r="AN1702" s="738" t="s">
        <v>1744</v>
      </c>
      <c r="AO1702" s="739">
        <v>0.089</v>
      </c>
      <c r="AP1702" s="739" t="s">
        <v>3993</v>
      </c>
    </row>
    <row r="1703">
      <c r="A1703" s="159"/>
      <c r="B1703" s="159"/>
      <c r="C1703" s="159"/>
      <c r="D1703" s="159"/>
      <c r="E1703" s="159"/>
      <c r="F1703" s="159"/>
      <c r="G1703" s="159"/>
      <c r="H1703" s="159"/>
      <c r="I1703" s="157"/>
      <c r="J1703" s="157"/>
      <c r="K1703" s="157"/>
      <c r="L1703" s="157"/>
      <c r="M1703" s="157"/>
      <c r="N1703" s="157"/>
      <c r="O1703" s="157"/>
      <c r="P1703" s="753"/>
      <c r="AK1703" s="40">
        <v>1700.0</v>
      </c>
      <c r="AL1703" s="719" t="s">
        <v>4066</v>
      </c>
      <c r="AM1703" s="720" t="s">
        <v>3995</v>
      </c>
      <c r="AN1703" s="720" t="s">
        <v>1744</v>
      </c>
      <c r="AO1703" s="722">
        <v>0.144</v>
      </c>
      <c r="AP1703" s="722" t="s">
        <v>3996</v>
      </c>
    </row>
    <row r="1704">
      <c r="A1704" s="159"/>
      <c r="B1704" s="159"/>
      <c r="C1704" s="159"/>
      <c r="D1704" s="159"/>
      <c r="E1704" s="159"/>
      <c r="F1704" s="159"/>
      <c r="G1704" s="159"/>
      <c r="H1704" s="159"/>
      <c r="I1704" s="157"/>
      <c r="J1704" s="157"/>
      <c r="K1704" s="157"/>
      <c r="L1704" s="157"/>
      <c r="M1704" s="157"/>
      <c r="N1704" s="157"/>
      <c r="O1704" s="157"/>
      <c r="P1704" s="753"/>
      <c r="AK1704" s="40">
        <v>1701.0</v>
      </c>
      <c r="AL1704" s="738" t="s">
        <v>4066</v>
      </c>
      <c r="AM1704" s="738" t="s">
        <v>3995</v>
      </c>
      <c r="AN1704" s="738" t="s">
        <v>1744</v>
      </c>
      <c r="AO1704" s="739">
        <v>0.144</v>
      </c>
      <c r="AP1704" s="739" t="s">
        <v>3996</v>
      </c>
    </row>
    <row r="1705">
      <c r="A1705" s="159"/>
      <c r="B1705" s="159"/>
      <c r="C1705" s="159"/>
      <c r="D1705" s="159"/>
      <c r="E1705" s="159"/>
      <c r="F1705" s="159"/>
      <c r="G1705" s="159"/>
      <c r="H1705" s="159"/>
      <c r="I1705" s="157"/>
      <c r="J1705" s="157"/>
      <c r="K1705" s="157"/>
      <c r="L1705" s="157"/>
      <c r="M1705" s="157"/>
      <c r="N1705" s="157"/>
      <c r="O1705" s="157"/>
      <c r="P1705" s="753"/>
      <c r="AK1705" s="40">
        <v>1702.0</v>
      </c>
      <c r="AL1705" s="719" t="s">
        <v>4067</v>
      </c>
      <c r="AM1705" s="720" t="s">
        <v>3998</v>
      </c>
      <c r="AN1705" s="720" t="s">
        <v>1744</v>
      </c>
      <c r="AO1705" s="722">
        <v>0.201</v>
      </c>
      <c r="AP1705" s="722" t="s">
        <v>3999</v>
      </c>
    </row>
    <row r="1706">
      <c r="A1706" s="159"/>
      <c r="B1706" s="159"/>
      <c r="C1706" s="159"/>
      <c r="D1706" s="159"/>
      <c r="E1706" s="159"/>
      <c r="F1706" s="159"/>
      <c r="G1706" s="159"/>
      <c r="H1706" s="159"/>
      <c r="I1706" s="157"/>
      <c r="J1706" s="157"/>
      <c r="K1706" s="157"/>
      <c r="L1706" s="157"/>
      <c r="M1706" s="157"/>
      <c r="N1706" s="157"/>
      <c r="O1706" s="157"/>
      <c r="P1706" s="753"/>
      <c r="AK1706" s="40">
        <v>1703.0</v>
      </c>
      <c r="AL1706" s="738" t="s">
        <v>4067</v>
      </c>
      <c r="AM1706" s="738" t="s">
        <v>3998</v>
      </c>
      <c r="AN1706" s="738" t="s">
        <v>1744</v>
      </c>
      <c r="AO1706" s="739">
        <v>0.201</v>
      </c>
      <c r="AP1706" s="739" t="s">
        <v>3999</v>
      </c>
    </row>
    <row r="1707">
      <c r="A1707" s="159"/>
      <c r="B1707" s="159"/>
      <c r="C1707" s="159"/>
      <c r="D1707" s="159"/>
      <c r="E1707" s="159"/>
      <c r="F1707" s="159"/>
      <c r="G1707" s="159"/>
      <c r="H1707" s="159"/>
      <c r="I1707" s="157"/>
      <c r="J1707" s="157"/>
      <c r="K1707" s="157"/>
      <c r="L1707" s="157"/>
      <c r="M1707" s="157"/>
      <c r="N1707" s="157"/>
      <c r="O1707" s="157"/>
      <c r="P1707" s="753"/>
      <c r="AK1707" s="40">
        <v>1704.0</v>
      </c>
      <c r="AL1707" s="719" t="s">
        <v>4068</v>
      </c>
      <c r="AM1707" s="720" t="s">
        <v>4001</v>
      </c>
      <c r="AN1707" s="720" t="s">
        <v>1744</v>
      </c>
      <c r="AO1707" s="722">
        <v>0.239</v>
      </c>
      <c r="AP1707" s="722" t="s">
        <v>4002</v>
      </c>
    </row>
    <row r="1708">
      <c r="A1708" s="159"/>
      <c r="B1708" s="159"/>
      <c r="C1708" s="159"/>
      <c r="D1708" s="159"/>
      <c r="E1708" s="159"/>
      <c r="F1708" s="159"/>
      <c r="G1708" s="159"/>
      <c r="H1708" s="159"/>
      <c r="I1708" s="157"/>
      <c r="J1708" s="157"/>
      <c r="K1708" s="157"/>
      <c r="L1708" s="157"/>
      <c r="M1708" s="157"/>
      <c r="N1708" s="157"/>
      <c r="O1708" s="157"/>
      <c r="P1708" s="753"/>
      <c r="AK1708" s="40">
        <v>1705.0</v>
      </c>
      <c r="AL1708" s="738" t="s">
        <v>4068</v>
      </c>
      <c r="AM1708" s="738" t="s">
        <v>4001</v>
      </c>
      <c r="AN1708" s="738" t="s">
        <v>1744</v>
      </c>
      <c r="AO1708" s="739">
        <v>0.239</v>
      </c>
      <c r="AP1708" s="739" t="s">
        <v>4002</v>
      </c>
    </row>
    <row r="1709">
      <c r="A1709" s="159"/>
      <c r="B1709" s="159"/>
      <c r="C1709" s="159"/>
      <c r="D1709" s="159"/>
      <c r="E1709" s="159"/>
      <c r="F1709" s="159"/>
      <c r="G1709" s="159"/>
      <c r="H1709" s="159"/>
      <c r="I1709" s="157"/>
      <c r="J1709" s="157"/>
      <c r="K1709" s="157"/>
      <c r="L1709" s="157"/>
      <c r="M1709" s="157"/>
      <c r="N1709" s="157"/>
      <c r="O1709" s="157"/>
      <c r="P1709" s="753"/>
      <c r="AK1709" s="40">
        <v>1706.0</v>
      </c>
      <c r="AL1709" s="719" t="s">
        <v>4069</v>
      </c>
      <c r="AM1709" s="720" t="s">
        <v>3922</v>
      </c>
      <c r="AN1709" s="720" t="s">
        <v>3923</v>
      </c>
      <c r="AO1709" s="722">
        <v>0.061</v>
      </c>
      <c r="AP1709" s="722" t="s">
        <v>3924</v>
      </c>
    </row>
    <row r="1710">
      <c r="A1710" s="159"/>
      <c r="B1710" s="159"/>
      <c r="C1710" s="159"/>
      <c r="D1710" s="159"/>
      <c r="E1710" s="159"/>
      <c r="F1710" s="159"/>
      <c r="G1710" s="159"/>
      <c r="H1710" s="159"/>
      <c r="I1710" s="157"/>
      <c r="J1710" s="157"/>
      <c r="K1710" s="157"/>
      <c r="L1710" s="157"/>
      <c r="M1710" s="157"/>
      <c r="N1710" s="157"/>
      <c r="O1710" s="157"/>
      <c r="P1710" s="753"/>
      <c r="AK1710" s="40">
        <v>1707.0</v>
      </c>
      <c r="AL1710" s="738" t="s">
        <v>4070</v>
      </c>
      <c r="AM1710" s="738" t="s">
        <v>2156</v>
      </c>
      <c r="AN1710" s="745"/>
      <c r="AO1710" s="739">
        <v>0.0</v>
      </c>
      <c r="AP1710" s="739" t="s">
        <v>2157</v>
      </c>
    </row>
    <row r="1711">
      <c r="A1711" s="159"/>
      <c r="B1711" s="159"/>
      <c r="C1711" s="159"/>
      <c r="D1711" s="159"/>
      <c r="E1711" s="159"/>
      <c r="F1711" s="159"/>
      <c r="G1711" s="159"/>
      <c r="H1711" s="159"/>
      <c r="I1711" s="157"/>
      <c r="J1711" s="157"/>
      <c r="K1711" s="157"/>
      <c r="L1711" s="157"/>
      <c r="M1711" s="157"/>
      <c r="N1711" s="157"/>
      <c r="O1711" s="157"/>
      <c r="P1711" s="753"/>
      <c r="AK1711" s="40">
        <v>1708.0</v>
      </c>
      <c r="AL1711" s="719" t="s">
        <v>4071</v>
      </c>
      <c r="AM1711" s="720" t="s">
        <v>3926</v>
      </c>
      <c r="AN1711" s="720" t="s">
        <v>1744</v>
      </c>
      <c r="AO1711" s="722">
        <v>0.041</v>
      </c>
      <c r="AP1711" s="722" t="s">
        <v>2071</v>
      </c>
    </row>
    <row r="1712">
      <c r="A1712" s="159"/>
      <c r="B1712" s="159"/>
      <c r="C1712" s="159"/>
      <c r="D1712" s="159"/>
      <c r="E1712" s="159"/>
      <c r="F1712" s="159"/>
      <c r="G1712" s="159"/>
      <c r="H1712" s="159"/>
      <c r="I1712" s="157"/>
      <c r="J1712" s="157"/>
      <c r="K1712" s="157"/>
      <c r="L1712" s="157"/>
      <c r="M1712" s="157"/>
      <c r="N1712" s="157"/>
      <c r="O1712" s="157"/>
      <c r="P1712" s="753"/>
      <c r="AK1712" s="40">
        <v>1709.0</v>
      </c>
      <c r="AL1712" s="738" t="s">
        <v>4072</v>
      </c>
      <c r="AM1712" s="738" t="s">
        <v>3928</v>
      </c>
      <c r="AN1712" s="738" t="s">
        <v>1744</v>
      </c>
      <c r="AO1712" s="739">
        <v>0.072</v>
      </c>
      <c r="AP1712" s="739" t="s">
        <v>2022</v>
      </c>
    </row>
    <row r="1713">
      <c r="A1713" s="159"/>
      <c r="B1713" s="159"/>
      <c r="C1713" s="159"/>
      <c r="D1713" s="159"/>
      <c r="E1713" s="159"/>
      <c r="F1713" s="159"/>
      <c r="G1713" s="159"/>
      <c r="H1713" s="159"/>
      <c r="I1713" s="157"/>
      <c r="J1713" s="157"/>
      <c r="K1713" s="157"/>
      <c r="L1713" s="157"/>
      <c r="M1713" s="157"/>
      <c r="N1713" s="157"/>
      <c r="O1713" s="157"/>
      <c r="P1713" s="753"/>
      <c r="AK1713" s="40">
        <v>1710.0</v>
      </c>
      <c r="AL1713" s="719" t="s">
        <v>4073</v>
      </c>
      <c r="AM1713" s="720" t="s">
        <v>3930</v>
      </c>
      <c r="AN1713" s="720" t="s">
        <v>1744</v>
      </c>
      <c r="AO1713" s="722">
        <v>0.179</v>
      </c>
      <c r="AP1713" s="722" t="s">
        <v>1927</v>
      </c>
    </row>
    <row r="1714">
      <c r="A1714" s="159"/>
      <c r="B1714" s="159"/>
      <c r="C1714" s="159"/>
      <c r="D1714" s="159"/>
      <c r="E1714" s="159"/>
      <c r="F1714" s="159"/>
      <c r="G1714" s="159"/>
      <c r="H1714" s="159"/>
      <c r="I1714" s="157"/>
      <c r="J1714" s="157"/>
      <c r="K1714" s="157"/>
      <c r="L1714" s="157"/>
      <c r="M1714" s="157"/>
      <c r="N1714" s="157"/>
      <c r="O1714" s="157"/>
      <c r="P1714" s="753"/>
      <c r="AK1714" s="40">
        <v>1711.0</v>
      </c>
      <c r="AL1714" s="738" t="s">
        <v>4074</v>
      </c>
      <c r="AM1714" s="738" t="s">
        <v>3932</v>
      </c>
      <c r="AN1714" s="738" t="s">
        <v>1744</v>
      </c>
      <c r="AO1714" s="739">
        <v>0.052</v>
      </c>
      <c r="AP1714" s="739" t="s">
        <v>3933</v>
      </c>
    </row>
    <row r="1715">
      <c r="A1715" s="159"/>
      <c r="B1715" s="159"/>
      <c r="C1715" s="159"/>
      <c r="D1715" s="159"/>
      <c r="E1715" s="159"/>
      <c r="F1715" s="159"/>
      <c r="G1715" s="159"/>
      <c r="H1715" s="159"/>
      <c r="I1715" s="157"/>
      <c r="J1715" s="157"/>
      <c r="K1715" s="157"/>
      <c r="L1715" s="157"/>
      <c r="M1715" s="157"/>
      <c r="N1715" s="157"/>
      <c r="O1715" s="157"/>
      <c r="P1715" s="753"/>
      <c r="AK1715" s="40">
        <v>1712.0</v>
      </c>
      <c r="AL1715" s="719" t="s">
        <v>4074</v>
      </c>
      <c r="AM1715" s="720" t="s">
        <v>3932</v>
      </c>
      <c r="AN1715" s="720" t="s">
        <v>1744</v>
      </c>
      <c r="AO1715" s="722">
        <v>0.052</v>
      </c>
      <c r="AP1715" s="722" t="s">
        <v>3933</v>
      </c>
    </row>
    <row r="1716">
      <c r="A1716" s="159"/>
      <c r="B1716" s="159"/>
      <c r="C1716" s="159"/>
      <c r="D1716" s="159"/>
      <c r="E1716" s="159"/>
      <c r="F1716" s="159"/>
      <c r="G1716" s="159"/>
      <c r="H1716" s="159"/>
      <c r="I1716" s="157"/>
      <c r="J1716" s="157"/>
      <c r="K1716" s="157"/>
      <c r="L1716" s="157"/>
      <c r="M1716" s="157"/>
      <c r="N1716" s="157"/>
      <c r="O1716" s="157"/>
      <c r="P1716" s="753"/>
      <c r="AK1716" s="40">
        <v>1713.0</v>
      </c>
      <c r="AL1716" s="738" t="s">
        <v>4075</v>
      </c>
      <c r="AM1716" s="738" t="s">
        <v>3935</v>
      </c>
      <c r="AN1716" s="738" t="s">
        <v>1744</v>
      </c>
      <c r="AO1716" s="739">
        <v>0.082</v>
      </c>
      <c r="AP1716" s="739" t="s">
        <v>3936</v>
      </c>
    </row>
    <row r="1717">
      <c r="A1717" s="159"/>
      <c r="B1717" s="159"/>
      <c r="C1717" s="159"/>
      <c r="D1717" s="159"/>
      <c r="E1717" s="159"/>
      <c r="F1717" s="159"/>
      <c r="G1717" s="159"/>
      <c r="H1717" s="159"/>
      <c r="I1717" s="157"/>
      <c r="J1717" s="157"/>
      <c r="K1717" s="157"/>
      <c r="L1717" s="157"/>
      <c r="M1717" s="157"/>
      <c r="N1717" s="157"/>
      <c r="O1717" s="157"/>
      <c r="P1717" s="753"/>
      <c r="AK1717" s="40">
        <v>1714.0</v>
      </c>
      <c r="AL1717" s="719" t="s">
        <v>4075</v>
      </c>
      <c r="AM1717" s="720" t="s">
        <v>3935</v>
      </c>
      <c r="AN1717" s="720" t="s">
        <v>1744</v>
      </c>
      <c r="AO1717" s="722">
        <v>0.082</v>
      </c>
      <c r="AP1717" s="722" t="s">
        <v>3936</v>
      </c>
    </row>
    <row r="1718">
      <c r="A1718" s="159"/>
      <c r="B1718" s="159"/>
      <c r="C1718" s="159"/>
      <c r="D1718" s="159"/>
      <c r="E1718" s="159"/>
      <c r="F1718" s="159"/>
      <c r="G1718" s="159"/>
      <c r="H1718" s="159"/>
      <c r="I1718" s="157"/>
      <c r="J1718" s="157"/>
      <c r="K1718" s="157"/>
      <c r="L1718" s="157"/>
      <c r="M1718" s="157"/>
      <c r="N1718" s="157"/>
      <c r="O1718" s="157"/>
      <c r="P1718" s="753"/>
      <c r="AK1718" s="40">
        <v>1715.0</v>
      </c>
      <c r="AL1718" s="738" t="s">
        <v>4076</v>
      </c>
      <c r="AM1718" s="738" t="s">
        <v>3938</v>
      </c>
      <c r="AN1718" s="738" t="s">
        <v>1744</v>
      </c>
      <c r="AO1718" s="739">
        <v>0.188</v>
      </c>
      <c r="AP1718" s="739" t="s">
        <v>3939</v>
      </c>
    </row>
    <row r="1719">
      <c r="A1719" s="159"/>
      <c r="B1719" s="159"/>
      <c r="C1719" s="159"/>
      <c r="D1719" s="159"/>
      <c r="E1719" s="159"/>
      <c r="F1719" s="159"/>
      <c r="G1719" s="159"/>
      <c r="H1719" s="159"/>
      <c r="I1719" s="157"/>
      <c r="J1719" s="157"/>
      <c r="K1719" s="157"/>
      <c r="L1719" s="157"/>
      <c r="M1719" s="157"/>
      <c r="N1719" s="157"/>
      <c r="O1719" s="157"/>
      <c r="P1719" s="753"/>
      <c r="AK1719" s="40">
        <v>1716.0</v>
      </c>
      <c r="AL1719" s="719" t="s">
        <v>4076</v>
      </c>
      <c r="AM1719" s="720" t="s">
        <v>3938</v>
      </c>
      <c r="AN1719" s="720" t="s">
        <v>1744</v>
      </c>
      <c r="AO1719" s="722">
        <v>0.188</v>
      </c>
      <c r="AP1719" s="722" t="s">
        <v>3939</v>
      </c>
    </row>
    <row r="1720">
      <c r="A1720" s="159"/>
      <c r="B1720" s="159"/>
      <c r="C1720" s="159"/>
      <c r="D1720" s="159"/>
      <c r="E1720" s="159"/>
      <c r="F1720" s="159"/>
      <c r="G1720" s="159"/>
      <c r="H1720" s="159"/>
      <c r="I1720" s="157"/>
      <c r="J1720" s="157"/>
      <c r="K1720" s="157"/>
      <c r="L1720" s="157"/>
      <c r="M1720" s="157"/>
      <c r="N1720" s="157"/>
      <c r="O1720" s="157"/>
      <c r="P1720" s="753"/>
      <c r="AK1720" s="40">
        <v>1717.0</v>
      </c>
      <c r="AL1720" s="738" t="s">
        <v>4077</v>
      </c>
      <c r="AM1720" s="738" t="s">
        <v>3941</v>
      </c>
      <c r="AN1720" s="738" t="s">
        <v>1744</v>
      </c>
      <c r="AO1720" s="739">
        <v>0.082</v>
      </c>
      <c r="AP1720" s="739" t="s">
        <v>3942</v>
      </c>
    </row>
    <row r="1721">
      <c r="A1721" s="159"/>
      <c r="B1721" s="159"/>
      <c r="C1721" s="159"/>
      <c r="D1721" s="159"/>
      <c r="E1721" s="159"/>
      <c r="F1721" s="159"/>
      <c r="G1721" s="159"/>
      <c r="H1721" s="159"/>
      <c r="I1721" s="157"/>
      <c r="J1721" s="157"/>
      <c r="K1721" s="157"/>
      <c r="L1721" s="157"/>
      <c r="M1721" s="157"/>
      <c r="N1721" s="157"/>
      <c r="O1721" s="157"/>
      <c r="P1721" s="753"/>
      <c r="AK1721" s="40">
        <v>1718.0</v>
      </c>
      <c r="AL1721" s="719" t="s">
        <v>4077</v>
      </c>
      <c r="AM1721" s="720" t="s">
        <v>3941</v>
      </c>
      <c r="AN1721" s="720" t="s">
        <v>1744</v>
      </c>
      <c r="AO1721" s="722">
        <v>0.082</v>
      </c>
      <c r="AP1721" s="722" t="s">
        <v>3942</v>
      </c>
    </row>
    <row r="1722">
      <c r="A1722" s="159"/>
      <c r="B1722" s="159"/>
      <c r="C1722" s="159"/>
      <c r="D1722" s="159"/>
      <c r="E1722" s="159"/>
      <c r="F1722" s="159"/>
      <c r="G1722" s="159"/>
      <c r="H1722" s="159"/>
      <c r="I1722" s="157"/>
      <c r="J1722" s="157"/>
      <c r="K1722" s="157"/>
      <c r="L1722" s="157"/>
      <c r="M1722" s="157"/>
      <c r="N1722" s="157"/>
      <c r="O1722" s="157"/>
      <c r="P1722" s="753"/>
      <c r="AK1722" s="40">
        <v>1719.0</v>
      </c>
      <c r="AL1722" s="738" t="s">
        <v>4078</v>
      </c>
      <c r="AM1722" s="738" t="s">
        <v>3944</v>
      </c>
      <c r="AN1722" s="738" t="s">
        <v>1744</v>
      </c>
      <c r="AO1722" s="739">
        <v>0.111</v>
      </c>
      <c r="AP1722" s="739" t="s">
        <v>3945</v>
      </c>
    </row>
    <row r="1723">
      <c r="A1723" s="159"/>
      <c r="B1723" s="159"/>
      <c r="C1723" s="159"/>
      <c r="D1723" s="159"/>
      <c r="E1723" s="159"/>
      <c r="F1723" s="159"/>
      <c r="G1723" s="159"/>
      <c r="H1723" s="159"/>
      <c r="I1723" s="157"/>
      <c r="J1723" s="157"/>
      <c r="K1723" s="157"/>
      <c r="L1723" s="157"/>
      <c r="M1723" s="157"/>
      <c r="N1723" s="157"/>
      <c r="O1723" s="157"/>
      <c r="P1723" s="753"/>
      <c r="AK1723" s="40">
        <v>1720.0</v>
      </c>
      <c r="AL1723" s="719" t="s">
        <v>4078</v>
      </c>
      <c r="AM1723" s="720" t="s">
        <v>3944</v>
      </c>
      <c r="AN1723" s="720" t="s">
        <v>1744</v>
      </c>
      <c r="AO1723" s="722">
        <v>0.111</v>
      </c>
      <c r="AP1723" s="722" t="s">
        <v>3945</v>
      </c>
    </row>
    <row r="1724">
      <c r="A1724" s="159"/>
      <c r="B1724" s="159"/>
      <c r="C1724" s="159"/>
      <c r="D1724" s="159"/>
      <c r="E1724" s="159"/>
      <c r="F1724" s="159"/>
      <c r="G1724" s="159"/>
      <c r="H1724" s="159"/>
      <c r="I1724" s="157"/>
      <c r="J1724" s="157"/>
      <c r="K1724" s="157"/>
      <c r="L1724" s="157"/>
      <c r="M1724" s="157"/>
      <c r="N1724" s="157"/>
      <c r="O1724" s="157"/>
      <c r="P1724" s="753"/>
      <c r="AK1724" s="40">
        <v>1721.0</v>
      </c>
      <c r="AL1724" s="738" t="s">
        <v>4079</v>
      </c>
      <c r="AM1724" s="738" t="s">
        <v>3947</v>
      </c>
      <c r="AN1724" s="738" t="s">
        <v>1744</v>
      </c>
      <c r="AO1724" s="739">
        <v>0.214</v>
      </c>
      <c r="AP1724" s="739" t="s">
        <v>3948</v>
      </c>
    </row>
    <row r="1725">
      <c r="A1725" s="159"/>
      <c r="B1725" s="159"/>
      <c r="C1725" s="159"/>
      <c r="D1725" s="159"/>
      <c r="E1725" s="159"/>
      <c r="F1725" s="159"/>
      <c r="G1725" s="159"/>
      <c r="H1725" s="159"/>
      <c r="I1725" s="157"/>
      <c r="J1725" s="157"/>
      <c r="K1725" s="157"/>
      <c r="L1725" s="157"/>
      <c r="M1725" s="157"/>
      <c r="N1725" s="157"/>
      <c r="O1725" s="157"/>
      <c r="P1725" s="753"/>
      <c r="AK1725" s="40">
        <v>1722.0</v>
      </c>
      <c r="AL1725" s="719" t="s">
        <v>4079</v>
      </c>
      <c r="AM1725" s="720" t="s">
        <v>3947</v>
      </c>
      <c r="AN1725" s="720" t="s">
        <v>1744</v>
      </c>
      <c r="AO1725" s="722">
        <v>0.214</v>
      </c>
      <c r="AP1725" s="722" t="s">
        <v>3948</v>
      </c>
    </row>
    <row r="1726">
      <c r="A1726" s="159"/>
      <c r="B1726" s="159"/>
      <c r="C1726" s="159"/>
      <c r="D1726" s="159"/>
      <c r="E1726" s="159"/>
      <c r="F1726" s="159"/>
      <c r="G1726" s="159"/>
      <c r="H1726" s="159"/>
      <c r="I1726" s="157"/>
      <c r="J1726" s="157"/>
      <c r="K1726" s="157"/>
      <c r="L1726" s="157"/>
      <c r="M1726" s="157"/>
      <c r="N1726" s="157"/>
      <c r="O1726" s="157"/>
      <c r="P1726" s="753"/>
      <c r="AK1726" s="40">
        <v>1723.0</v>
      </c>
      <c r="AL1726" s="738" t="s">
        <v>4080</v>
      </c>
      <c r="AM1726" s="738" t="s">
        <v>3950</v>
      </c>
      <c r="AN1726" s="738" t="s">
        <v>1744</v>
      </c>
      <c r="AO1726" s="739">
        <v>0.137</v>
      </c>
      <c r="AP1726" s="739" t="s">
        <v>3951</v>
      </c>
    </row>
    <row r="1727">
      <c r="A1727" s="159"/>
      <c r="B1727" s="159"/>
      <c r="C1727" s="159"/>
      <c r="D1727" s="159"/>
      <c r="E1727" s="159"/>
      <c r="F1727" s="159"/>
      <c r="G1727" s="159"/>
      <c r="H1727" s="159"/>
      <c r="I1727" s="157"/>
      <c r="J1727" s="157"/>
      <c r="K1727" s="157"/>
      <c r="L1727" s="157"/>
      <c r="M1727" s="157"/>
      <c r="N1727" s="157"/>
      <c r="O1727" s="157"/>
      <c r="P1727" s="753"/>
      <c r="AK1727" s="40">
        <v>1724.0</v>
      </c>
      <c r="AL1727" s="719" t="s">
        <v>4080</v>
      </c>
      <c r="AM1727" s="720" t="s">
        <v>3950</v>
      </c>
      <c r="AN1727" s="720" t="s">
        <v>1744</v>
      </c>
      <c r="AO1727" s="722">
        <v>0.137</v>
      </c>
      <c r="AP1727" s="722" t="s">
        <v>3951</v>
      </c>
    </row>
    <row r="1728">
      <c r="A1728" s="159"/>
      <c r="B1728" s="159"/>
      <c r="C1728" s="159"/>
      <c r="D1728" s="159"/>
      <c r="E1728" s="159"/>
      <c r="F1728" s="159"/>
      <c r="G1728" s="159"/>
      <c r="H1728" s="159"/>
      <c r="I1728" s="157"/>
      <c r="J1728" s="157"/>
      <c r="K1728" s="157"/>
      <c r="L1728" s="157"/>
      <c r="M1728" s="157"/>
      <c r="N1728" s="157"/>
      <c r="O1728" s="157"/>
      <c r="P1728" s="753"/>
      <c r="AK1728" s="40">
        <v>1725.0</v>
      </c>
      <c r="AL1728" s="738" t="s">
        <v>4081</v>
      </c>
      <c r="AM1728" s="738" t="s">
        <v>3953</v>
      </c>
      <c r="AN1728" s="738" t="s">
        <v>1744</v>
      </c>
      <c r="AO1728" s="739">
        <v>0.164</v>
      </c>
      <c r="AP1728" s="739" t="s">
        <v>3954</v>
      </c>
    </row>
    <row r="1729">
      <c r="A1729" s="159"/>
      <c r="B1729" s="159"/>
      <c r="C1729" s="159"/>
      <c r="D1729" s="159"/>
      <c r="E1729" s="159"/>
      <c r="F1729" s="159"/>
      <c r="G1729" s="159"/>
      <c r="H1729" s="159"/>
      <c r="I1729" s="157"/>
      <c r="J1729" s="157"/>
      <c r="K1729" s="157"/>
      <c r="L1729" s="157"/>
      <c r="M1729" s="157"/>
      <c r="N1729" s="157"/>
      <c r="O1729" s="157"/>
      <c r="P1729" s="753"/>
      <c r="AK1729" s="40">
        <v>1726.0</v>
      </c>
      <c r="AL1729" s="719" t="s">
        <v>4081</v>
      </c>
      <c r="AM1729" s="720" t="s">
        <v>3953</v>
      </c>
      <c r="AN1729" s="720" t="s">
        <v>1744</v>
      </c>
      <c r="AO1729" s="722">
        <v>0.164</v>
      </c>
      <c r="AP1729" s="722" t="s">
        <v>3954</v>
      </c>
    </row>
    <row r="1730">
      <c r="A1730" s="159"/>
      <c r="B1730" s="159"/>
      <c r="C1730" s="159"/>
      <c r="D1730" s="159"/>
      <c r="E1730" s="159"/>
      <c r="F1730" s="159"/>
      <c r="G1730" s="159"/>
      <c r="H1730" s="159"/>
      <c r="I1730" s="157"/>
      <c r="J1730" s="157"/>
      <c r="K1730" s="157"/>
      <c r="L1730" s="157"/>
      <c r="M1730" s="157"/>
      <c r="N1730" s="157"/>
      <c r="O1730" s="157"/>
      <c r="P1730" s="753"/>
      <c r="AK1730" s="40">
        <v>1727.0</v>
      </c>
      <c r="AL1730" s="738" t="s">
        <v>4082</v>
      </c>
      <c r="AM1730" s="738" t="s">
        <v>3956</v>
      </c>
      <c r="AN1730" s="738" t="s">
        <v>1744</v>
      </c>
      <c r="AO1730" s="739">
        <v>0.261</v>
      </c>
      <c r="AP1730" s="739" t="s">
        <v>3957</v>
      </c>
    </row>
    <row r="1731">
      <c r="A1731" s="159"/>
      <c r="B1731" s="159"/>
      <c r="C1731" s="159"/>
      <c r="D1731" s="159"/>
      <c r="E1731" s="159"/>
      <c r="F1731" s="159"/>
      <c r="G1731" s="159"/>
      <c r="H1731" s="159"/>
      <c r="I1731" s="157"/>
      <c r="J1731" s="157"/>
      <c r="K1731" s="157"/>
      <c r="L1731" s="157"/>
      <c r="M1731" s="157"/>
      <c r="N1731" s="157"/>
      <c r="O1731" s="157"/>
      <c r="P1731" s="753"/>
      <c r="AK1731" s="40">
        <v>1728.0</v>
      </c>
      <c r="AL1731" s="719" t="s">
        <v>4082</v>
      </c>
      <c r="AM1731" s="720" t="s">
        <v>3956</v>
      </c>
      <c r="AN1731" s="720" t="s">
        <v>1744</v>
      </c>
      <c r="AO1731" s="722">
        <v>0.261</v>
      </c>
      <c r="AP1731" s="722" t="s">
        <v>3957</v>
      </c>
    </row>
    <row r="1732">
      <c r="A1732" s="159"/>
      <c r="B1732" s="159"/>
      <c r="C1732" s="159"/>
      <c r="D1732" s="159"/>
      <c r="E1732" s="159"/>
      <c r="F1732" s="159"/>
      <c r="G1732" s="159"/>
      <c r="H1732" s="159"/>
      <c r="I1732" s="157"/>
      <c r="J1732" s="157"/>
      <c r="K1732" s="157"/>
      <c r="L1732" s="157"/>
      <c r="M1732" s="157"/>
      <c r="N1732" s="157"/>
      <c r="O1732" s="157"/>
      <c r="P1732" s="753"/>
      <c r="AK1732" s="40">
        <v>1729.0</v>
      </c>
      <c r="AL1732" s="738" t="s">
        <v>4083</v>
      </c>
      <c r="AM1732" s="738" t="s">
        <v>3959</v>
      </c>
      <c r="AN1732" s="738" t="s">
        <v>1744</v>
      </c>
      <c r="AO1732" s="739">
        <v>0.195</v>
      </c>
      <c r="AP1732" s="739" t="s">
        <v>3960</v>
      </c>
    </row>
    <row r="1733">
      <c r="A1733" s="159"/>
      <c r="B1733" s="159"/>
      <c r="C1733" s="159"/>
      <c r="D1733" s="159"/>
      <c r="E1733" s="159"/>
      <c r="F1733" s="159"/>
      <c r="G1733" s="159"/>
      <c r="H1733" s="159"/>
      <c r="I1733" s="157"/>
      <c r="J1733" s="157"/>
      <c r="K1733" s="157"/>
      <c r="L1733" s="157"/>
      <c r="M1733" s="157"/>
      <c r="N1733" s="157"/>
      <c r="O1733" s="157"/>
      <c r="P1733" s="753"/>
      <c r="AK1733" s="40">
        <v>1730.0</v>
      </c>
      <c r="AL1733" s="719" t="s">
        <v>4083</v>
      </c>
      <c r="AM1733" s="720" t="s">
        <v>3959</v>
      </c>
      <c r="AN1733" s="720" t="s">
        <v>1744</v>
      </c>
      <c r="AO1733" s="722">
        <v>0.195</v>
      </c>
      <c r="AP1733" s="722" t="s">
        <v>3960</v>
      </c>
    </row>
    <row r="1734">
      <c r="A1734" s="159"/>
      <c r="B1734" s="159"/>
      <c r="C1734" s="159"/>
      <c r="D1734" s="159"/>
      <c r="E1734" s="159"/>
      <c r="F1734" s="159"/>
      <c r="G1734" s="159"/>
      <c r="H1734" s="159"/>
      <c r="I1734" s="157"/>
      <c r="J1734" s="157"/>
      <c r="K1734" s="157"/>
      <c r="L1734" s="157"/>
      <c r="M1734" s="157"/>
      <c r="N1734" s="157"/>
      <c r="O1734" s="157"/>
      <c r="P1734" s="753"/>
      <c r="AK1734" s="40">
        <v>1731.0</v>
      </c>
      <c r="AL1734" s="738" t="s">
        <v>4084</v>
      </c>
      <c r="AM1734" s="738" t="s">
        <v>3962</v>
      </c>
      <c r="AN1734" s="738" t="s">
        <v>1744</v>
      </c>
      <c r="AO1734" s="739">
        <v>0.22</v>
      </c>
      <c r="AP1734" s="739" t="s">
        <v>3963</v>
      </c>
    </row>
    <row r="1735">
      <c r="A1735" s="159"/>
      <c r="B1735" s="159"/>
      <c r="C1735" s="159"/>
      <c r="D1735" s="159"/>
      <c r="E1735" s="159"/>
      <c r="F1735" s="159"/>
      <c r="G1735" s="159"/>
      <c r="H1735" s="159"/>
      <c r="I1735" s="157"/>
      <c r="J1735" s="157"/>
      <c r="K1735" s="157"/>
      <c r="L1735" s="157"/>
      <c r="M1735" s="157"/>
      <c r="N1735" s="157"/>
      <c r="O1735" s="157"/>
      <c r="P1735" s="753"/>
      <c r="AK1735" s="40">
        <v>1732.0</v>
      </c>
      <c r="AL1735" s="719" t="s">
        <v>4084</v>
      </c>
      <c r="AM1735" s="720" t="s">
        <v>3962</v>
      </c>
      <c r="AN1735" s="720" t="s">
        <v>1744</v>
      </c>
      <c r="AO1735" s="722">
        <v>0.22</v>
      </c>
      <c r="AP1735" s="722" t="s">
        <v>3963</v>
      </c>
    </row>
    <row r="1736">
      <c r="A1736" s="159"/>
      <c r="B1736" s="159"/>
      <c r="C1736" s="159"/>
      <c r="D1736" s="159"/>
      <c r="E1736" s="159"/>
      <c r="F1736" s="159"/>
      <c r="G1736" s="159"/>
      <c r="H1736" s="159"/>
      <c r="I1736" s="157"/>
      <c r="J1736" s="157"/>
      <c r="K1736" s="157"/>
      <c r="L1736" s="157"/>
      <c r="M1736" s="157"/>
      <c r="N1736" s="157"/>
      <c r="O1736" s="157"/>
      <c r="P1736" s="753"/>
      <c r="AK1736" s="40">
        <v>1733.0</v>
      </c>
      <c r="AL1736" s="738" t="s">
        <v>4085</v>
      </c>
      <c r="AM1736" s="738" t="s">
        <v>3965</v>
      </c>
      <c r="AN1736" s="738" t="s">
        <v>1744</v>
      </c>
      <c r="AO1736" s="739">
        <v>0.31</v>
      </c>
      <c r="AP1736" s="739" t="s">
        <v>3966</v>
      </c>
    </row>
    <row r="1737">
      <c r="A1737" s="159"/>
      <c r="B1737" s="159"/>
      <c r="C1737" s="159"/>
      <c r="D1737" s="159"/>
      <c r="E1737" s="159"/>
      <c r="F1737" s="159"/>
      <c r="G1737" s="159"/>
      <c r="H1737" s="159"/>
      <c r="I1737" s="157"/>
      <c r="J1737" s="157"/>
      <c r="K1737" s="157"/>
      <c r="L1737" s="157"/>
      <c r="M1737" s="157"/>
      <c r="N1737" s="157"/>
      <c r="O1737" s="157"/>
      <c r="P1737" s="753"/>
      <c r="AK1737" s="40">
        <v>1734.0</v>
      </c>
      <c r="AL1737" s="719" t="s">
        <v>4085</v>
      </c>
      <c r="AM1737" s="720" t="s">
        <v>3965</v>
      </c>
      <c r="AN1737" s="720" t="s">
        <v>1744</v>
      </c>
      <c r="AO1737" s="722">
        <v>0.31</v>
      </c>
      <c r="AP1737" s="722" t="s">
        <v>3966</v>
      </c>
    </row>
    <row r="1738">
      <c r="A1738" s="159"/>
      <c r="B1738" s="159"/>
      <c r="C1738" s="159"/>
      <c r="D1738" s="159"/>
      <c r="E1738" s="159"/>
      <c r="F1738" s="159"/>
      <c r="G1738" s="159"/>
      <c r="H1738" s="159"/>
      <c r="I1738" s="157"/>
      <c r="J1738" s="157"/>
      <c r="K1738" s="157"/>
      <c r="L1738" s="157"/>
      <c r="M1738" s="157"/>
      <c r="N1738" s="157"/>
      <c r="O1738" s="157"/>
      <c r="P1738" s="753"/>
      <c r="AK1738" s="40">
        <v>1735.0</v>
      </c>
      <c r="AL1738" s="738" t="s">
        <v>4086</v>
      </c>
      <c r="AM1738" s="738" t="s">
        <v>3968</v>
      </c>
      <c r="AN1738" s="738" t="s">
        <v>1744</v>
      </c>
      <c r="AO1738" s="739">
        <v>0.233</v>
      </c>
      <c r="AP1738" s="739" t="s">
        <v>3969</v>
      </c>
    </row>
    <row r="1739">
      <c r="A1739" s="159"/>
      <c r="B1739" s="159"/>
      <c r="C1739" s="159"/>
      <c r="D1739" s="159"/>
      <c r="E1739" s="159"/>
      <c r="F1739" s="159"/>
      <c r="G1739" s="159"/>
      <c r="H1739" s="159"/>
      <c r="I1739" s="157"/>
      <c r="J1739" s="157"/>
      <c r="K1739" s="157"/>
      <c r="L1739" s="157"/>
      <c r="M1739" s="157"/>
      <c r="N1739" s="157"/>
      <c r="O1739" s="157"/>
      <c r="P1739" s="753"/>
      <c r="AK1739" s="40">
        <v>1736.0</v>
      </c>
      <c r="AL1739" s="719" t="s">
        <v>4086</v>
      </c>
      <c r="AM1739" s="720" t="s">
        <v>3968</v>
      </c>
      <c r="AN1739" s="720" t="s">
        <v>1744</v>
      </c>
      <c r="AO1739" s="722">
        <v>0.233</v>
      </c>
      <c r="AP1739" s="722" t="s">
        <v>3969</v>
      </c>
    </row>
    <row r="1740">
      <c r="A1740" s="159"/>
      <c r="B1740" s="159"/>
      <c r="C1740" s="159"/>
      <c r="D1740" s="159"/>
      <c r="E1740" s="159"/>
      <c r="F1740" s="159"/>
      <c r="G1740" s="159"/>
      <c r="H1740" s="159"/>
      <c r="I1740" s="157"/>
      <c r="J1740" s="157"/>
      <c r="K1740" s="157"/>
      <c r="L1740" s="157"/>
      <c r="M1740" s="157"/>
      <c r="N1740" s="157"/>
      <c r="O1740" s="157"/>
      <c r="P1740" s="753"/>
      <c r="AK1740" s="40">
        <v>1737.0</v>
      </c>
      <c r="AL1740" s="738" t="s">
        <v>4087</v>
      </c>
      <c r="AM1740" s="738" t="s">
        <v>3971</v>
      </c>
      <c r="AN1740" s="738" t="s">
        <v>1744</v>
      </c>
      <c r="AO1740" s="739">
        <v>0.257</v>
      </c>
      <c r="AP1740" s="739" t="s">
        <v>3972</v>
      </c>
    </row>
    <row r="1741">
      <c r="A1741" s="159"/>
      <c r="B1741" s="159"/>
      <c r="C1741" s="159"/>
      <c r="D1741" s="159"/>
      <c r="E1741" s="159"/>
      <c r="F1741" s="159"/>
      <c r="G1741" s="159"/>
      <c r="H1741" s="159"/>
      <c r="I1741" s="157"/>
      <c r="J1741" s="157"/>
      <c r="K1741" s="157"/>
      <c r="L1741" s="157"/>
      <c r="M1741" s="157"/>
      <c r="N1741" s="157"/>
      <c r="O1741" s="157"/>
      <c r="P1741" s="753"/>
      <c r="AK1741" s="40">
        <v>1738.0</v>
      </c>
      <c r="AL1741" s="719" t="s">
        <v>4087</v>
      </c>
      <c r="AM1741" s="720" t="s">
        <v>3971</v>
      </c>
      <c r="AN1741" s="720" t="s">
        <v>1744</v>
      </c>
      <c r="AO1741" s="722">
        <v>0.257</v>
      </c>
      <c r="AP1741" s="722" t="s">
        <v>3972</v>
      </c>
    </row>
    <row r="1742">
      <c r="A1742" s="159"/>
      <c r="B1742" s="159"/>
      <c r="C1742" s="159"/>
      <c r="D1742" s="159"/>
      <c r="E1742" s="159"/>
      <c r="F1742" s="159"/>
      <c r="G1742" s="159"/>
      <c r="H1742" s="159"/>
      <c r="I1742" s="157"/>
      <c r="J1742" s="157"/>
      <c r="K1742" s="157"/>
      <c r="L1742" s="157"/>
      <c r="M1742" s="157"/>
      <c r="N1742" s="157"/>
      <c r="O1742" s="157"/>
      <c r="P1742" s="753"/>
      <c r="AK1742" s="40">
        <v>1739.0</v>
      </c>
      <c r="AL1742" s="738" t="s">
        <v>4088</v>
      </c>
      <c r="AM1742" s="738" t="s">
        <v>3974</v>
      </c>
      <c r="AN1742" s="738" t="s">
        <v>1744</v>
      </c>
      <c r="AO1742" s="739">
        <v>0.342</v>
      </c>
      <c r="AP1742" s="739" t="s">
        <v>3975</v>
      </c>
    </row>
    <row r="1743">
      <c r="A1743" s="159"/>
      <c r="B1743" s="159"/>
      <c r="C1743" s="159"/>
      <c r="D1743" s="159"/>
      <c r="E1743" s="159"/>
      <c r="F1743" s="159"/>
      <c r="G1743" s="159"/>
      <c r="H1743" s="159"/>
      <c r="I1743" s="157"/>
      <c r="J1743" s="157"/>
      <c r="K1743" s="157"/>
      <c r="L1743" s="157"/>
      <c r="M1743" s="157"/>
      <c r="N1743" s="157"/>
      <c r="O1743" s="157"/>
      <c r="P1743" s="753"/>
      <c r="AK1743" s="40">
        <v>1740.0</v>
      </c>
      <c r="AL1743" s="719" t="s">
        <v>4088</v>
      </c>
      <c r="AM1743" s="720" t="s">
        <v>3974</v>
      </c>
      <c r="AN1743" s="720" t="s">
        <v>1744</v>
      </c>
      <c r="AO1743" s="722">
        <v>0.342</v>
      </c>
      <c r="AP1743" s="722" t="s">
        <v>3975</v>
      </c>
    </row>
    <row r="1744">
      <c r="A1744" s="159"/>
      <c r="B1744" s="159"/>
      <c r="C1744" s="159"/>
      <c r="D1744" s="159"/>
      <c r="E1744" s="159"/>
      <c r="F1744" s="159"/>
      <c r="G1744" s="159"/>
      <c r="H1744" s="159"/>
      <c r="I1744" s="157"/>
      <c r="J1744" s="157"/>
      <c r="K1744" s="157"/>
      <c r="L1744" s="157"/>
      <c r="M1744" s="157"/>
      <c r="N1744" s="157"/>
      <c r="O1744" s="157"/>
      <c r="P1744" s="753"/>
      <c r="AK1744" s="40">
        <v>1741.0</v>
      </c>
      <c r="AL1744" s="738" t="s">
        <v>4089</v>
      </c>
      <c r="AM1744" s="738" t="s">
        <v>3977</v>
      </c>
      <c r="AN1744" s="738" t="s">
        <v>1744</v>
      </c>
      <c r="AO1744" s="739">
        <v>0.011</v>
      </c>
      <c r="AP1744" s="739" t="s">
        <v>2286</v>
      </c>
    </row>
    <row r="1745">
      <c r="A1745" s="159"/>
      <c r="B1745" s="159"/>
      <c r="C1745" s="159"/>
      <c r="D1745" s="159"/>
      <c r="E1745" s="159"/>
      <c r="F1745" s="159"/>
      <c r="G1745" s="159"/>
      <c r="H1745" s="159"/>
      <c r="I1745" s="157"/>
      <c r="J1745" s="157"/>
      <c r="K1745" s="157"/>
      <c r="L1745" s="157"/>
      <c r="M1745" s="157"/>
      <c r="N1745" s="157"/>
      <c r="O1745" s="157"/>
      <c r="P1745" s="753"/>
      <c r="AK1745" s="40">
        <v>1742.0</v>
      </c>
      <c r="AL1745" s="719" t="s">
        <v>4090</v>
      </c>
      <c r="AM1745" s="720" t="s">
        <v>3979</v>
      </c>
      <c r="AN1745" s="720" t="s">
        <v>1744</v>
      </c>
      <c r="AO1745" s="722">
        <v>0.043</v>
      </c>
      <c r="AP1745" s="722" t="s">
        <v>2290</v>
      </c>
    </row>
    <row r="1746">
      <c r="A1746" s="159"/>
      <c r="B1746" s="159"/>
      <c r="C1746" s="159"/>
      <c r="D1746" s="159"/>
      <c r="E1746" s="159"/>
      <c r="F1746" s="159"/>
      <c r="G1746" s="159"/>
      <c r="H1746" s="159"/>
      <c r="I1746" s="157"/>
      <c r="J1746" s="157"/>
      <c r="K1746" s="157"/>
      <c r="L1746" s="157"/>
      <c r="M1746" s="157"/>
      <c r="N1746" s="157"/>
      <c r="O1746" s="157"/>
      <c r="P1746" s="753"/>
      <c r="AK1746" s="40">
        <v>1743.0</v>
      </c>
      <c r="AL1746" s="738" t="s">
        <v>4091</v>
      </c>
      <c r="AM1746" s="738" t="s">
        <v>3981</v>
      </c>
      <c r="AN1746" s="738" t="s">
        <v>1744</v>
      </c>
      <c r="AO1746" s="739">
        <v>0.1</v>
      </c>
      <c r="AP1746" s="739" t="s">
        <v>3376</v>
      </c>
    </row>
    <row r="1747">
      <c r="A1747" s="159"/>
      <c r="B1747" s="159"/>
      <c r="C1747" s="159"/>
      <c r="D1747" s="159"/>
      <c r="E1747" s="159"/>
      <c r="F1747" s="159"/>
      <c r="G1747" s="159"/>
      <c r="H1747" s="159"/>
      <c r="I1747" s="157"/>
      <c r="J1747" s="157"/>
      <c r="K1747" s="157"/>
      <c r="L1747" s="157"/>
      <c r="M1747" s="157"/>
      <c r="N1747" s="157"/>
      <c r="O1747" s="157"/>
      <c r="P1747" s="753"/>
      <c r="AK1747" s="40">
        <v>1744.0</v>
      </c>
      <c r="AL1747" s="719" t="s">
        <v>4092</v>
      </c>
      <c r="AM1747" s="720" t="s">
        <v>3983</v>
      </c>
      <c r="AN1747" s="720" t="s">
        <v>1744</v>
      </c>
      <c r="AO1747" s="722">
        <v>0.16</v>
      </c>
      <c r="AP1747" s="722" t="s">
        <v>3380</v>
      </c>
    </row>
    <row r="1748">
      <c r="A1748" s="159"/>
      <c r="B1748" s="159"/>
      <c r="C1748" s="159"/>
      <c r="D1748" s="159"/>
      <c r="E1748" s="159"/>
      <c r="F1748" s="159"/>
      <c r="G1748" s="159"/>
      <c r="H1748" s="159"/>
      <c r="I1748" s="157"/>
      <c r="J1748" s="157"/>
      <c r="K1748" s="157"/>
      <c r="L1748" s="157"/>
      <c r="M1748" s="157"/>
      <c r="N1748" s="157"/>
      <c r="O1748" s="157"/>
      <c r="P1748" s="753"/>
      <c r="AK1748" s="40">
        <v>1745.0</v>
      </c>
      <c r="AL1748" s="738" t="s">
        <v>4093</v>
      </c>
      <c r="AM1748" s="738" t="s">
        <v>3985</v>
      </c>
      <c r="AN1748" s="738" t="s">
        <v>1744</v>
      </c>
      <c r="AO1748" s="739">
        <v>0.2</v>
      </c>
      <c r="AP1748" s="739" t="s">
        <v>3384</v>
      </c>
    </row>
    <row r="1749">
      <c r="A1749" s="159"/>
      <c r="B1749" s="159"/>
      <c r="C1749" s="159"/>
      <c r="D1749" s="159"/>
      <c r="E1749" s="159"/>
      <c r="F1749" s="159"/>
      <c r="G1749" s="159"/>
      <c r="H1749" s="159"/>
      <c r="I1749" s="157"/>
      <c r="J1749" s="157"/>
      <c r="K1749" s="157"/>
      <c r="L1749" s="157"/>
      <c r="M1749" s="157"/>
      <c r="N1749" s="157"/>
      <c r="O1749" s="157"/>
      <c r="P1749" s="753"/>
      <c r="AK1749" s="40">
        <v>1746.0</v>
      </c>
      <c r="AL1749" s="719" t="s">
        <v>4094</v>
      </c>
      <c r="AM1749" s="720" t="s">
        <v>3987</v>
      </c>
      <c r="AN1749" s="720" t="s">
        <v>1744</v>
      </c>
      <c r="AO1749" s="722">
        <v>0.049</v>
      </c>
      <c r="AP1749" s="722" t="s">
        <v>2067</v>
      </c>
    </row>
    <row r="1750">
      <c r="A1750" s="159"/>
      <c r="B1750" s="159"/>
      <c r="C1750" s="159"/>
      <c r="D1750" s="159"/>
      <c r="E1750" s="159"/>
      <c r="F1750" s="159"/>
      <c r="G1750" s="159"/>
      <c r="H1750" s="159"/>
      <c r="I1750" s="157"/>
      <c r="J1750" s="157"/>
      <c r="K1750" s="157"/>
      <c r="L1750" s="157"/>
      <c r="M1750" s="157"/>
      <c r="N1750" s="157"/>
      <c r="O1750" s="157"/>
      <c r="P1750" s="753"/>
      <c r="AK1750" s="40">
        <v>1747.0</v>
      </c>
      <c r="AL1750" s="738" t="s">
        <v>4095</v>
      </c>
      <c r="AM1750" s="738" t="s">
        <v>3989</v>
      </c>
      <c r="AN1750" s="738" t="s">
        <v>1744</v>
      </c>
      <c r="AO1750" s="739">
        <v>0.059</v>
      </c>
      <c r="AP1750" s="739" t="s">
        <v>3990</v>
      </c>
    </row>
    <row r="1751">
      <c r="A1751" s="159"/>
      <c r="B1751" s="159"/>
      <c r="C1751" s="159"/>
      <c r="D1751" s="159"/>
      <c r="E1751" s="159"/>
      <c r="F1751" s="159"/>
      <c r="G1751" s="159"/>
      <c r="H1751" s="159"/>
      <c r="I1751" s="157"/>
      <c r="J1751" s="157"/>
      <c r="K1751" s="157"/>
      <c r="L1751" s="157"/>
      <c r="M1751" s="157"/>
      <c r="N1751" s="157"/>
      <c r="O1751" s="157"/>
      <c r="P1751" s="753"/>
      <c r="AK1751" s="40">
        <v>1748.0</v>
      </c>
      <c r="AL1751" s="719" t="s">
        <v>4095</v>
      </c>
      <c r="AM1751" s="720" t="s">
        <v>3989</v>
      </c>
      <c r="AN1751" s="720" t="s">
        <v>1744</v>
      </c>
      <c r="AO1751" s="722">
        <v>0.059</v>
      </c>
      <c r="AP1751" s="722" t="s">
        <v>3990</v>
      </c>
    </row>
    <row r="1752">
      <c r="A1752" s="159"/>
      <c r="B1752" s="159"/>
      <c r="C1752" s="159"/>
      <c r="D1752" s="159"/>
      <c r="E1752" s="159"/>
      <c r="F1752" s="159"/>
      <c r="G1752" s="159"/>
      <c r="H1752" s="159"/>
      <c r="I1752" s="157"/>
      <c r="J1752" s="157"/>
      <c r="K1752" s="157"/>
      <c r="L1752" s="157"/>
      <c r="M1752" s="157"/>
      <c r="N1752" s="157"/>
      <c r="O1752" s="157"/>
      <c r="P1752" s="753"/>
      <c r="AK1752" s="40">
        <v>1749.0</v>
      </c>
      <c r="AL1752" s="738" t="s">
        <v>4096</v>
      </c>
      <c r="AM1752" s="738" t="s">
        <v>3992</v>
      </c>
      <c r="AN1752" s="738" t="s">
        <v>1744</v>
      </c>
      <c r="AO1752" s="739">
        <v>0.089</v>
      </c>
      <c r="AP1752" s="739" t="s">
        <v>3993</v>
      </c>
    </row>
    <row r="1753">
      <c r="A1753" s="159"/>
      <c r="B1753" s="159"/>
      <c r="C1753" s="159"/>
      <c r="D1753" s="159"/>
      <c r="E1753" s="159"/>
      <c r="F1753" s="159"/>
      <c r="G1753" s="159"/>
      <c r="H1753" s="159"/>
      <c r="I1753" s="157"/>
      <c r="J1753" s="157"/>
      <c r="K1753" s="157"/>
      <c r="L1753" s="157"/>
      <c r="M1753" s="157"/>
      <c r="N1753" s="157"/>
      <c r="O1753" s="157"/>
      <c r="P1753" s="753"/>
      <c r="AK1753" s="40">
        <v>1750.0</v>
      </c>
      <c r="AL1753" s="719" t="s">
        <v>4096</v>
      </c>
      <c r="AM1753" s="720" t="s">
        <v>3992</v>
      </c>
      <c r="AN1753" s="720" t="s">
        <v>1744</v>
      </c>
      <c r="AO1753" s="722">
        <v>0.089</v>
      </c>
      <c r="AP1753" s="722" t="s">
        <v>3993</v>
      </c>
    </row>
    <row r="1754">
      <c r="A1754" s="159"/>
      <c r="B1754" s="159"/>
      <c r="C1754" s="159"/>
      <c r="D1754" s="159"/>
      <c r="E1754" s="159"/>
      <c r="F1754" s="159"/>
      <c r="G1754" s="159"/>
      <c r="H1754" s="159"/>
      <c r="I1754" s="157"/>
      <c r="J1754" s="157"/>
      <c r="K1754" s="157"/>
      <c r="L1754" s="157"/>
      <c r="M1754" s="157"/>
      <c r="N1754" s="157"/>
      <c r="O1754" s="157"/>
      <c r="P1754" s="753"/>
      <c r="AK1754" s="40">
        <v>1751.0</v>
      </c>
      <c r="AL1754" s="738" t="s">
        <v>4097</v>
      </c>
      <c r="AM1754" s="738" t="s">
        <v>3995</v>
      </c>
      <c r="AN1754" s="738" t="s">
        <v>1744</v>
      </c>
      <c r="AO1754" s="739">
        <v>0.144</v>
      </c>
      <c r="AP1754" s="739" t="s">
        <v>3996</v>
      </c>
    </row>
    <row r="1755">
      <c r="A1755" s="159"/>
      <c r="B1755" s="159"/>
      <c r="C1755" s="159"/>
      <c r="D1755" s="159"/>
      <c r="E1755" s="159"/>
      <c r="F1755" s="159"/>
      <c r="G1755" s="159"/>
      <c r="H1755" s="159"/>
      <c r="I1755" s="157"/>
      <c r="J1755" s="157"/>
      <c r="K1755" s="157"/>
      <c r="L1755" s="157"/>
      <c r="M1755" s="157"/>
      <c r="N1755" s="157"/>
      <c r="O1755" s="157"/>
      <c r="P1755" s="753"/>
      <c r="AK1755" s="40">
        <v>1752.0</v>
      </c>
      <c r="AL1755" s="719" t="s">
        <v>4097</v>
      </c>
      <c r="AM1755" s="720" t="s">
        <v>3995</v>
      </c>
      <c r="AN1755" s="720" t="s">
        <v>1744</v>
      </c>
      <c r="AO1755" s="722">
        <v>0.144</v>
      </c>
      <c r="AP1755" s="722" t="s">
        <v>3996</v>
      </c>
    </row>
    <row r="1756">
      <c r="A1756" s="159"/>
      <c r="B1756" s="159"/>
      <c r="C1756" s="159"/>
      <c r="D1756" s="159"/>
      <c r="E1756" s="159"/>
      <c r="F1756" s="159"/>
      <c r="G1756" s="159"/>
      <c r="H1756" s="159"/>
      <c r="I1756" s="157"/>
      <c r="J1756" s="157"/>
      <c r="K1756" s="157"/>
      <c r="L1756" s="157"/>
      <c r="M1756" s="157"/>
      <c r="N1756" s="157"/>
      <c r="O1756" s="157"/>
      <c r="P1756" s="753"/>
      <c r="AK1756" s="40">
        <v>1753.0</v>
      </c>
      <c r="AL1756" s="738" t="s">
        <v>4098</v>
      </c>
      <c r="AM1756" s="738" t="s">
        <v>3998</v>
      </c>
      <c r="AN1756" s="738" t="s">
        <v>1744</v>
      </c>
      <c r="AO1756" s="739">
        <v>0.201</v>
      </c>
      <c r="AP1756" s="739" t="s">
        <v>3999</v>
      </c>
    </row>
    <row r="1757">
      <c r="A1757" s="159"/>
      <c r="B1757" s="159"/>
      <c r="C1757" s="159"/>
      <c r="D1757" s="159"/>
      <c r="E1757" s="159"/>
      <c r="F1757" s="159"/>
      <c r="G1757" s="159"/>
      <c r="H1757" s="159"/>
      <c r="I1757" s="157"/>
      <c r="J1757" s="157"/>
      <c r="K1757" s="157"/>
      <c r="L1757" s="157"/>
      <c r="M1757" s="157"/>
      <c r="N1757" s="157"/>
      <c r="O1757" s="157"/>
      <c r="P1757" s="753"/>
      <c r="AK1757" s="40">
        <v>1754.0</v>
      </c>
      <c r="AL1757" s="719" t="s">
        <v>4098</v>
      </c>
      <c r="AM1757" s="720" t="s">
        <v>3998</v>
      </c>
      <c r="AN1757" s="720" t="s">
        <v>1744</v>
      </c>
      <c r="AO1757" s="722">
        <v>0.201</v>
      </c>
      <c r="AP1757" s="722" t="s">
        <v>3999</v>
      </c>
    </row>
    <row r="1758">
      <c r="A1758" s="159"/>
      <c r="B1758" s="159"/>
      <c r="C1758" s="159"/>
      <c r="D1758" s="159"/>
      <c r="E1758" s="159"/>
      <c r="F1758" s="159"/>
      <c r="G1758" s="159"/>
      <c r="H1758" s="159"/>
      <c r="I1758" s="157"/>
      <c r="J1758" s="157"/>
      <c r="K1758" s="157"/>
      <c r="L1758" s="157"/>
      <c r="M1758" s="157"/>
      <c r="N1758" s="157"/>
      <c r="O1758" s="157"/>
      <c r="P1758" s="753"/>
      <c r="AK1758" s="40">
        <v>1755.0</v>
      </c>
      <c r="AL1758" s="738" t="s">
        <v>4099</v>
      </c>
      <c r="AM1758" s="738" t="s">
        <v>4001</v>
      </c>
      <c r="AN1758" s="738" t="s">
        <v>1744</v>
      </c>
      <c r="AO1758" s="739">
        <v>0.239</v>
      </c>
      <c r="AP1758" s="739" t="s">
        <v>4002</v>
      </c>
    </row>
    <row r="1759">
      <c r="A1759" s="159"/>
      <c r="B1759" s="159"/>
      <c r="C1759" s="159"/>
      <c r="D1759" s="159"/>
      <c r="E1759" s="159"/>
      <c r="F1759" s="159"/>
      <c r="G1759" s="159"/>
      <c r="H1759" s="159"/>
      <c r="I1759" s="157"/>
      <c r="J1759" s="157"/>
      <c r="K1759" s="157"/>
      <c r="L1759" s="157"/>
      <c r="M1759" s="157"/>
      <c r="N1759" s="157"/>
      <c r="O1759" s="157"/>
      <c r="P1759" s="753"/>
      <c r="AK1759" s="40">
        <v>1756.0</v>
      </c>
      <c r="AL1759" s="719" t="s">
        <v>4099</v>
      </c>
      <c r="AM1759" s="720" t="s">
        <v>4001</v>
      </c>
      <c r="AN1759" s="720" t="s">
        <v>1744</v>
      </c>
      <c r="AO1759" s="722">
        <v>0.239</v>
      </c>
      <c r="AP1759" s="722" t="s">
        <v>4002</v>
      </c>
    </row>
    <row r="1760">
      <c r="A1760" s="159"/>
      <c r="B1760" s="159"/>
      <c r="C1760" s="159"/>
      <c r="D1760" s="159"/>
      <c r="E1760" s="159"/>
      <c r="F1760" s="159"/>
      <c r="G1760" s="159"/>
      <c r="H1760" s="159"/>
      <c r="I1760" s="157"/>
      <c r="J1760" s="157"/>
      <c r="K1760" s="157"/>
      <c r="L1760" s="157"/>
      <c r="M1760" s="157"/>
      <c r="N1760" s="157"/>
      <c r="O1760" s="157"/>
      <c r="P1760" s="753"/>
      <c r="AK1760" s="40">
        <v>1757.0</v>
      </c>
      <c r="AL1760" s="738" t="s">
        <v>4100</v>
      </c>
      <c r="AM1760" s="738" t="s">
        <v>2113</v>
      </c>
      <c r="AN1760" s="738" t="s">
        <v>2114</v>
      </c>
      <c r="AO1760" s="739">
        <v>0.011</v>
      </c>
      <c r="AP1760" s="739" t="s">
        <v>2107</v>
      </c>
    </row>
    <row r="1761">
      <c r="A1761" s="159"/>
      <c r="B1761" s="159"/>
      <c r="C1761" s="159"/>
      <c r="D1761" s="159"/>
      <c r="E1761" s="159"/>
      <c r="F1761" s="159"/>
      <c r="G1761" s="159"/>
      <c r="H1761" s="159"/>
      <c r="I1761" s="157"/>
      <c r="J1761" s="157"/>
      <c r="K1761" s="157"/>
      <c r="L1761" s="157"/>
      <c r="M1761" s="157"/>
      <c r="N1761" s="157"/>
      <c r="O1761" s="157"/>
      <c r="P1761" s="753"/>
      <c r="AK1761" s="40">
        <v>1758.0</v>
      </c>
      <c r="AL1761" s="719" t="s">
        <v>4101</v>
      </c>
      <c r="AM1761" s="720" t="s">
        <v>2024</v>
      </c>
      <c r="AN1761" s="720" t="s">
        <v>2025</v>
      </c>
      <c r="AO1761" s="722">
        <v>0.067</v>
      </c>
      <c r="AP1761" s="722" t="s">
        <v>2026</v>
      </c>
    </row>
    <row r="1762">
      <c r="A1762" s="159"/>
      <c r="B1762" s="159"/>
      <c r="C1762" s="159"/>
      <c r="D1762" s="159"/>
      <c r="E1762" s="159"/>
      <c r="F1762" s="159"/>
      <c r="G1762" s="159"/>
      <c r="H1762" s="159"/>
      <c r="I1762" s="157"/>
      <c r="J1762" s="157"/>
      <c r="K1762" s="157"/>
      <c r="L1762" s="157"/>
      <c r="M1762" s="157"/>
      <c r="N1762" s="157"/>
      <c r="O1762" s="157"/>
      <c r="P1762" s="753"/>
      <c r="AK1762" s="40">
        <v>1759.0</v>
      </c>
      <c r="AL1762" s="738" t="s">
        <v>4102</v>
      </c>
      <c r="AM1762" s="738" t="s">
        <v>4103</v>
      </c>
      <c r="AN1762" s="738" t="s">
        <v>1744</v>
      </c>
      <c r="AO1762" s="739">
        <v>0.115</v>
      </c>
      <c r="AP1762" s="739" t="s">
        <v>4104</v>
      </c>
    </row>
    <row r="1763">
      <c r="A1763" s="159"/>
      <c r="B1763" s="159"/>
      <c r="C1763" s="159"/>
      <c r="D1763" s="159"/>
      <c r="E1763" s="159"/>
      <c r="F1763" s="159"/>
      <c r="G1763" s="159"/>
      <c r="H1763" s="159"/>
      <c r="I1763" s="157"/>
      <c r="J1763" s="157"/>
      <c r="K1763" s="157"/>
      <c r="L1763" s="157"/>
      <c r="M1763" s="157"/>
      <c r="N1763" s="157"/>
      <c r="O1763" s="157"/>
      <c r="P1763" s="753"/>
      <c r="AK1763" s="40">
        <v>1760.0</v>
      </c>
      <c r="AL1763" s="719" t="s">
        <v>4105</v>
      </c>
      <c r="AM1763" s="720" t="s">
        <v>3148</v>
      </c>
      <c r="AN1763" s="720" t="s">
        <v>3149</v>
      </c>
      <c r="AO1763" s="722">
        <v>0.069</v>
      </c>
      <c r="AP1763" s="722" t="s">
        <v>2840</v>
      </c>
    </row>
    <row r="1764">
      <c r="A1764" s="159"/>
      <c r="B1764" s="159"/>
      <c r="C1764" s="159"/>
      <c r="D1764" s="159"/>
      <c r="E1764" s="159"/>
      <c r="F1764" s="159"/>
      <c r="G1764" s="159"/>
      <c r="H1764" s="159"/>
      <c r="I1764" s="157"/>
      <c r="J1764" s="157"/>
      <c r="K1764" s="157"/>
      <c r="L1764" s="157"/>
      <c r="M1764" s="157"/>
      <c r="N1764" s="157"/>
      <c r="O1764" s="157"/>
      <c r="P1764" s="753"/>
      <c r="AK1764" s="40">
        <v>1761.0</v>
      </c>
      <c r="AL1764" s="738" t="s">
        <v>4106</v>
      </c>
      <c r="AM1764" s="738" t="s">
        <v>3151</v>
      </c>
      <c r="AN1764" s="738" t="s">
        <v>3152</v>
      </c>
      <c r="AO1764" s="739">
        <v>0.377</v>
      </c>
      <c r="AP1764" s="739" t="s">
        <v>3153</v>
      </c>
    </row>
    <row r="1765">
      <c r="A1765" s="159"/>
      <c r="B1765" s="159"/>
      <c r="C1765" s="159"/>
      <c r="D1765" s="159"/>
      <c r="E1765" s="159"/>
      <c r="F1765" s="159"/>
      <c r="G1765" s="159"/>
      <c r="H1765" s="159"/>
      <c r="I1765" s="157"/>
      <c r="J1765" s="157"/>
      <c r="K1765" s="157"/>
      <c r="L1765" s="157"/>
      <c r="M1765" s="157"/>
      <c r="N1765" s="157"/>
      <c r="O1765" s="157"/>
      <c r="P1765" s="753"/>
      <c r="AK1765" s="40">
        <v>1762.0</v>
      </c>
      <c r="AL1765" s="719" t="s">
        <v>4107</v>
      </c>
      <c r="AM1765" s="720" t="s">
        <v>3155</v>
      </c>
      <c r="AN1765" s="720" t="s">
        <v>3156</v>
      </c>
      <c r="AO1765" s="722">
        <v>0.449</v>
      </c>
      <c r="AP1765" s="722" t="s">
        <v>3157</v>
      </c>
    </row>
    <row r="1766">
      <c r="A1766" s="159"/>
      <c r="B1766" s="159"/>
      <c r="C1766" s="159"/>
      <c r="D1766" s="159"/>
      <c r="E1766" s="159"/>
      <c r="F1766" s="159"/>
      <c r="G1766" s="159"/>
      <c r="H1766" s="159"/>
      <c r="I1766" s="157"/>
      <c r="J1766" s="157"/>
      <c r="K1766" s="157"/>
      <c r="L1766" s="157"/>
      <c r="M1766" s="157"/>
      <c r="N1766" s="157"/>
      <c r="O1766" s="157"/>
      <c r="P1766" s="753"/>
      <c r="AK1766" s="40">
        <v>1763.0</v>
      </c>
      <c r="AL1766" s="738" t="s">
        <v>4108</v>
      </c>
      <c r="AM1766" s="738" t="s">
        <v>2284</v>
      </c>
      <c r="AN1766" s="738" t="s">
        <v>2285</v>
      </c>
      <c r="AO1766" s="739">
        <v>0.011</v>
      </c>
      <c r="AP1766" s="739" t="s">
        <v>2286</v>
      </c>
    </row>
    <row r="1767">
      <c r="A1767" s="159"/>
      <c r="B1767" s="159"/>
      <c r="C1767" s="159"/>
      <c r="D1767" s="159"/>
      <c r="E1767" s="159"/>
      <c r="F1767" s="159"/>
      <c r="G1767" s="159"/>
      <c r="H1767" s="159"/>
      <c r="I1767" s="157"/>
      <c r="J1767" s="157"/>
      <c r="K1767" s="157"/>
      <c r="L1767" s="157"/>
      <c r="M1767" s="157"/>
      <c r="N1767" s="157"/>
      <c r="O1767" s="157"/>
      <c r="P1767" s="753"/>
      <c r="AK1767" s="40">
        <v>1764.0</v>
      </c>
      <c r="AL1767" s="719" t="s">
        <v>4109</v>
      </c>
      <c r="AM1767" s="720" t="s">
        <v>2288</v>
      </c>
      <c r="AN1767" s="720" t="s">
        <v>2289</v>
      </c>
      <c r="AO1767" s="722">
        <v>0.043</v>
      </c>
      <c r="AP1767" s="722" t="s">
        <v>2290</v>
      </c>
    </row>
    <row r="1768">
      <c r="A1768" s="159"/>
      <c r="B1768" s="159"/>
      <c r="C1768" s="159"/>
      <c r="D1768" s="159"/>
      <c r="E1768" s="159"/>
      <c r="F1768" s="159"/>
      <c r="G1768" s="159"/>
      <c r="H1768" s="159"/>
      <c r="I1768" s="157"/>
      <c r="J1768" s="157"/>
      <c r="K1768" s="157"/>
      <c r="L1768" s="157"/>
      <c r="M1768" s="157"/>
      <c r="N1768" s="157"/>
      <c r="O1768" s="157"/>
      <c r="P1768" s="753"/>
      <c r="AK1768" s="40">
        <v>1765.0</v>
      </c>
      <c r="AL1768" s="738" t="s">
        <v>4110</v>
      </c>
      <c r="AM1768" s="738" t="s">
        <v>3374</v>
      </c>
      <c r="AN1768" s="738" t="s">
        <v>3375</v>
      </c>
      <c r="AO1768" s="739">
        <v>0.1</v>
      </c>
      <c r="AP1768" s="739" t="s">
        <v>3376</v>
      </c>
    </row>
    <row r="1769">
      <c r="A1769" s="159"/>
      <c r="B1769" s="159"/>
      <c r="C1769" s="159"/>
      <c r="D1769" s="159"/>
      <c r="E1769" s="159"/>
      <c r="F1769" s="159"/>
      <c r="G1769" s="159"/>
      <c r="H1769" s="159"/>
      <c r="I1769" s="157"/>
      <c r="J1769" s="157"/>
      <c r="K1769" s="157"/>
      <c r="L1769" s="157"/>
      <c r="M1769" s="157"/>
      <c r="N1769" s="157"/>
      <c r="O1769" s="157"/>
      <c r="P1769" s="753"/>
      <c r="AK1769" s="40">
        <v>1766.0</v>
      </c>
      <c r="AL1769" s="719" t="s">
        <v>4111</v>
      </c>
      <c r="AM1769" s="720" t="s">
        <v>3378</v>
      </c>
      <c r="AN1769" s="720" t="s">
        <v>3379</v>
      </c>
      <c r="AO1769" s="722">
        <v>0.16</v>
      </c>
      <c r="AP1769" s="722" t="s">
        <v>3380</v>
      </c>
    </row>
    <row r="1770">
      <c r="A1770" s="159"/>
      <c r="B1770" s="159"/>
      <c r="C1770" s="159"/>
      <c r="D1770" s="159"/>
      <c r="E1770" s="159"/>
      <c r="F1770" s="159"/>
      <c r="G1770" s="159"/>
      <c r="H1770" s="159"/>
      <c r="I1770" s="157"/>
      <c r="J1770" s="157"/>
      <c r="K1770" s="157"/>
      <c r="L1770" s="157"/>
      <c r="M1770" s="157"/>
      <c r="N1770" s="157"/>
      <c r="O1770" s="157"/>
      <c r="P1770" s="753"/>
      <c r="AK1770" s="40">
        <v>1767.0</v>
      </c>
      <c r="AL1770" s="738" t="s">
        <v>4112</v>
      </c>
      <c r="AM1770" s="738" t="s">
        <v>3382</v>
      </c>
      <c r="AN1770" s="738" t="s">
        <v>3383</v>
      </c>
      <c r="AO1770" s="739">
        <v>0.2</v>
      </c>
      <c r="AP1770" s="739" t="s">
        <v>3384</v>
      </c>
    </row>
    <row r="1771">
      <c r="A1771" s="159"/>
      <c r="B1771" s="159"/>
      <c r="C1771" s="159"/>
      <c r="D1771" s="159"/>
      <c r="E1771" s="159"/>
      <c r="F1771" s="159"/>
      <c r="G1771" s="159"/>
      <c r="H1771" s="159"/>
      <c r="I1771" s="157"/>
      <c r="J1771" s="157"/>
      <c r="K1771" s="157"/>
      <c r="L1771" s="157"/>
      <c r="M1771" s="157"/>
      <c r="N1771" s="157"/>
      <c r="O1771" s="157"/>
      <c r="P1771" s="753"/>
      <c r="AK1771" s="40">
        <v>1768.0</v>
      </c>
      <c r="AL1771" s="719" t="s">
        <v>4113</v>
      </c>
      <c r="AM1771" s="720" t="s">
        <v>3922</v>
      </c>
      <c r="AN1771" s="720" t="s">
        <v>3923</v>
      </c>
      <c r="AO1771" s="722">
        <v>0.061</v>
      </c>
      <c r="AP1771" s="722" t="s">
        <v>3924</v>
      </c>
    </row>
    <row r="1772">
      <c r="A1772" s="159"/>
      <c r="B1772" s="159"/>
      <c r="C1772" s="159"/>
      <c r="D1772" s="159"/>
      <c r="E1772" s="159"/>
      <c r="F1772" s="159"/>
      <c r="G1772" s="159"/>
      <c r="H1772" s="159"/>
      <c r="I1772" s="157"/>
      <c r="J1772" s="157"/>
      <c r="K1772" s="157"/>
      <c r="L1772" s="157"/>
      <c r="M1772" s="157"/>
      <c r="N1772" s="157"/>
      <c r="O1772" s="157"/>
      <c r="P1772" s="753"/>
      <c r="AK1772" s="40">
        <v>1769.0</v>
      </c>
      <c r="AL1772" s="738" t="s">
        <v>4114</v>
      </c>
      <c r="AM1772" s="738" t="s">
        <v>2156</v>
      </c>
      <c r="AN1772" s="745"/>
      <c r="AO1772" s="739">
        <v>0.0</v>
      </c>
      <c r="AP1772" s="739" t="s">
        <v>2157</v>
      </c>
    </row>
    <row r="1773">
      <c r="A1773" s="159"/>
      <c r="B1773" s="159"/>
      <c r="C1773" s="159"/>
      <c r="D1773" s="159"/>
      <c r="E1773" s="159"/>
      <c r="F1773" s="159"/>
      <c r="G1773" s="159"/>
      <c r="H1773" s="159"/>
      <c r="I1773" s="157"/>
      <c r="J1773" s="157"/>
      <c r="K1773" s="157"/>
      <c r="L1773" s="157"/>
      <c r="M1773" s="157"/>
      <c r="N1773" s="157"/>
      <c r="O1773" s="157"/>
      <c r="P1773" s="753"/>
      <c r="AK1773" s="40">
        <v>1770.0</v>
      </c>
      <c r="AL1773" s="719" t="s">
        <v>4115</v>
      </c>
      <c r="AM1773" s="720" t="s">
        <v>4116</v>
      </c>
      <c r="AN1773" s="720" t="s">
        <v>1744</v>
      </c>
      <c r="AO1773" s="722">
        <v>0.011</v>
      </c>
      <c r="AP1773" s="722" t="s">
        <v>2286</v>
      </c>
    </row>
    <row r="1774">
      <c r="A1774" s="159"/>
      <c r="B1774" s="159"/>
      <c r="C1774" s="159"/>
      <c r="D1774" s="159"/>
      <c r="E1774" s="159"/>
      <c r="F1774" s="159"/>
      <c r="G1774" s="159"/>
      <c r="H1774" s="159"/>
      <c r="I1774" s="157"/>
      <c r="J1774" s="157"/>
      <c r="K1774" s="157"/>
      <c r="L1774" s="157"/>
      <c r="M1774" s="157"/>
      <c r="N1774" s="157"/>
      <c r="O1774" s="157"/>
      <c r="P1774" s="753"/>
      <c r="AK1774" s="40">
        <v>1771.0</v>
      </c>
      <c r="AL1774" s="738" t="s">
        <v>4117</v>
      </c>
      <c r="AM1774" s="738" t="s">
        <v>4118</v>
      </c>
      <c r="AN1774" s="738" t="s">
        <v>1744</v>
      </c>
      <c r="AO1774" s="739">
        <v>0.043</v>
      </c>
      <c r="AP1774" s="739" t="s">
        <v>2290</v>
      </c>
    </row>
    <row r="1775">
      <c r="A1775" s="159"/>
      <c r="B1775" s="159"/>
      <c r="C1775" s="159"/>
      <c r="D1775" s="159"/>
      <c r="E1775" s="159"/>
      <c r="F1775" s="159"/>
      <c r="G1775" s="159"/>
      <c r="H1775" s="159"/>
      <c r="I1775" s="157"/>
      <c r="J1775" s="157"/>
      <c r="K1775" s="157"/>
      <c r="L1775" s="157"/>
      <c r="M1775" s="157"/>
      <c r="N1775" s="157"/>
      <c r="O1775" s="157"/>
      <c r="P1775" s="753"/>
      <c r="AK1775" s="40">
        <v>1772.0</v>
      </c>
      <c r="AL1775" s="719" t="s">
        <v>4119</v>
      </c>
      <c r="AM1775" s="720" t="s">
        <v>4120</v>
      </c>
      <c r="AN1775" s="720" t="s">
        <v>1744</v>
      </c>
      <c r="AO1775" s="722">
        <v>0.1</v>
      </c>
      <c r="AP1775" s="722" t="s">
        <v>3376</v>
      </c>
    </row>
    <row r="1776">
      <c r="A1776" s="159"/>
      <c r="B1776" s="159"/>
      <c r="C1776" s="159"/>
      <c r="D1776" s="159"/>
      <c r="E1776" s="159"/>
      <c r="F1776" s="159"/>
      <c r="G1776" s="159"/>
      <c r="H1776" s="159"/>
      <c r="I1776" s="157"/>
      <c r="J1776" s="157"/>
      <c r="K1776" s="157"/>
      <c r="L1776" s="157"/>
      <c r="M1776" s="157"/>
      <c r="N1776" s="157"/>
      <c r="O1776" s="157"/>
      <c r="P1776" s="753"/>
      <c r="AK1776" s="40">
        <v>1773.0</v>
      </c>
      <c r="AL1776" s="738" t="s">
        <v>4121</v>
      </c>
      <c r="AM1776" s="738" t="s">
        <v>4122</v>
      </c>
      <c r="AN1776" s="738" t="s">
        <v>1744</v>
      </c>
      <c r="AO1776" s="739">
        <v>0.16</v>
      </c>
      <c r="AP1776" s="739" t="s">
        <v>3380</v>
      </c>
    </row>
    <row r="1777">
      <c r="A1777" s="159"/>
      <c r="B1777" s="159"/>
      <c r="C1777" s="159"/>
      <c r="D1777" s="159"/>
      <c r="E1777" s="159"/>
      <c r="F1777" s="159"/>
      <c r="G1777" s="159"/>
      <c r="H1777" s="159"/>
      <c r="I1777" s="157"/>
      <c r="J1777" s="157"/>
      <c r="K1777" s="157"/>
      <c r="L1777" s="157"/>
      <c r="M1777" s="157"/>
      <c r="N1777" s="157"/>
      <c r="O1777" s="157"/>
      <c r="P1777" s="753"/>
      <c r="AK1777" s="40">
        <v>1774.0</v>
      </c>
      <c r="AL1777" s="719" t="s">
        <v>4123</v>
      </c>
      <c r="AM1777" s="720" t="s">
        <v>4124</v>
      </c>
      <c r="AN1777" s="720" t="s">
        <v>1744</v>
      </c>
      <c r="AO1777" s="722">
        <v>0.2</v>
      </c>
      <c r="AP1777" s="722" t="s">
        <v>3384</v>
      </c>
    </row>
    <row r="1778">
      <c r="A1778" s="159"/>
      <c r="B1778" s="159"/>
      <c r="C1778" s="159"/>
      <c r="D1778" s="159"/>
      <c r="E1778" s="159"/>
      <c r="F1778" s="159"/>
      <c r="G1778" s="159"/>
      <c r="H1778" s="159"/>
      <c r="I1778" s="157"/>
      <c r="J1778" s="157"/>
      <c r="K1778" s="157"/>
      <c r="L1778" s="157"/>
      <c r="M1778" s="157"/>
      <c r="N1778" s="157"/>
      <c r="O1778" s="157"/>
      <c r="P1778" s="753"/>
      <c r="AK1778" s="40">
        <v>1775.0</v>
      </c>
      <c r="AL1778" s="738" t="s">
        <v>4125</v>
      </c>
      <c r="AM1778" s="738" t="s">
        <v>4126</v>
      </c>
      <c r="AN1778" s="738" t="s">
        <v>1744</v>
      </c>
      <c r="AO1778" s="739">
        <v>0.069</v>
      </c>
      <c r="AP1778" s="739" t="s">
        <v>2840</v>
      </c>
    </row>
    <row r="1779">
      <c r="A1779" s="159"/>
      <c r="B1779" s="159"/>
      <c r="C1779" s="159"/>
      <c r="D1779" s="159"/>
      <c r="E1779" s="159"/>
      <c r="F1779" s="159"/>
      <c r="G1779" s="159"/>
      <c r="H1779" s="159"/>
      <c r="I1779" s="157"/>
      <c r="J1779" s="157"/>
      <c r="K1779" s="157"/>
      <c r="L1779" s="157"/>
      <c r="M1779" s="157"/>
      <c r="N1779" s="157"/>
      <c r="O1779" s="157"/>
      <c r="P1779" s="753"/>
      <c r="AK1779" s="40">
        <v>1776.0</v>
      </c>
      <c r="AL1779" s="719" t="s">
        <v>4127</v>
      </c>
      <c r="AM1779" s="720" t="s">
        <v>4128</v>
      </c>
      <c r="AN1779" s="720" t="s">
        <v>1744</v>
      </c>
      <c r="AO1779" s="722">
        <v>0.377</v>
      </c>
      <c r="AP1779" s="722" t="s">
        <v>3153</v>
      </c>
    </row>
    <row r="1780">
      <c r="A1780" s="159"/>
      <c r="B1780" s="159"/>
      <c r="C1780" s="159"/>
      <c r="D1780" s="159"/>
      <c r="E1780" s="159"/>
      <c r="F1780" s="159"/>
      <c r="G1780" s="159"/>
      <c r="H1780" s="159"/>
      <c r="I1780" s="157"/>
      <c r="J1780" s="157"/>
      <c r="K1780" s="157"/>
      <c r="L1780" s="157"/>
      <c r="M1780" s="157"/>
      <c r="N1780" s="157"/>
      <c r="O1780" s="157"/>
      <c r="P1780" s="753"/>
      <c r="AK1780" s="40">
        <v>1777.0</v>
      </c>
      <c r="AL1780" s="738" t="s">
        <v>4129</v>
      </c>
      <c r="AM1780" s="738" t="s">
        <v>4130</v>
      </c>
      <c r="AN1780" s="738" t="s">
        <v>1744</v>
      </c>
      <c r="AO1780" s="739">
        <v>0.449</v>
      </c>
      <c r="AP1780" s="739" t="s">
        <v>3157</v>
      </c>
    </row>
    <row r="1781">
      <c r="A1781" s="159"/>
      <c r="B1781" s="159"/>
      <c r="C1781" s="159"/>
      <c r="D1781" s="159"/>
      <c r="E1781" s="159"/>
      <c r="F1781" s="159"/>
      <c r="G1781" s="159"/>
      <c r="H1781" s="159"/>
      <c r="I1781" s="157"/>
      <c r="J1781" s="157"/>
      <c r="K1781" s="157"/>
      <c r="L1781" s="157"/>
      <c r="M1781" s="157"/>
      <c r="N1781" s="157"/>
      <c r="O1781" s="157"/>
      <c r="P1781" s="753"/>
      <c r="AK1781" s="40">
        <v>1778.0</v>
      </c>
      <c r="AL1781" s="719" t="s">
        <v>4131</v>
      </c>
      <c r="AM1781" s="720" t="s">
        <v>4132</v>
      </c>
      <c r="AN1781" s="720" t="s">
        <v>1744</v>
      </c>
      <c r="AO1781" s="722">
        <v>0.079</v>
      </c>
      <c r="AP1781" s="722" t="s">
        <v>4133</v>
      </c>
    </row>
    <row r="1782">
      <c r="A1782" s="159"/>
      <c r="B1782" s="159"/>
      <c r="C1782" s="159"/>
      <c r="D1782" s="159"/>
      <c r="E1782" s="159"/>
      <c r="F1782" s="159"/>
      <c r="G1782" s="159"/>
      <c r="H1782" s="159"/>
      <c r="I1782" s="157"/>
      <c r="J1782" s="157"/>
      <c r="K1782" s="157"/>
      <c r="L1782" s="157"/>
      <c r="M1782" s="157"/>
      <c r="N1782" s="157"/>
      <c r="O1782" s="157"/>
      <c r="P1782" s="753"/>
      <c r="AK1782" s="40">
        <v>1779.0</v>
      </c>
      <c r="AL1782" s="738" t="s">
        <v>4134</v>
      </c>
      <c r="AM1782" s="738" t="s">
        <v>4135</v>
      </c>
      <c r="AN1782" s="738" t="s">
        <v>1744</v>
      </c>
      <c r="AO1782" s="739">
        <v>0.109</v>
      </c>
      <c r="AP1782" s="739" t="s">
        <v>4136</v>
      </c>
    </row>
    <row r="1783">
      <c r="A1783" s="159"/>
      <c r="B1783" s="159"/>
      <c r="C1783" s="159"/>
      <c r="D1783" s="159"/>
      <c r="E1783" s="159"/>
      <c r="F1783" s="159"/>
      <c r="G1783" s="159"/>
      <c r="H1783" s="159"/>
      <c r="I1783" s="157"/>
      <c r="J1783" s="157"/>
      <c r="K1783" s="157"/>
      <c r="L1783" s="157"/>
      <c r="M1783" s="157"/>
      <c r="N1783" s="157"/>
      <c r="O1783" s="157"/>
      <c r="P1783" s="753"/>
      <c r="AK1783" s="40">
        <v>1780.0</v>
      </c>
      <c r="AL1783" s="719" t="s">
        <v>4137</v>
      </c>
      <c r="AM1783" s="720" t="s">
        <v>4138</v>
      </c>
      <c r="AN1783" s="720" t="s">
        <v>1744</v>
      </c>
      <c r="AO1783" s="722">
        <v>0.162</v>
      </c>
      <c r="AP1783" s="722" t="s">
        <v>4139</v>
      </c>
    </row>
    <row r="1784">
      <c r="A1784" s="159"/>
      <c r="B1784" s="159"/>
      <c r="C1784" s="159"/>
      <c r="D1784" s="159"/>
      <c r="E1784" s="159"/>
      <c r="F1784" s="159"/>
      <c r="G1784" s="159"/>
      <c r="H1784" s="159"/>
      <c r="I1784" s="157"/>
      <c r="J1784" s="157"/>
      <c r="K1784" s="157"/>
      <c r="L1784" s="157"/>
      <c r="M1784" s="157"/>
      <c r="N1784" s="157"/>
      <c r="O1784" s="157"/>
      <c r="P1784" s="753"/>
      <c r="AK1784" s="40">
        <v>1781.0</v>
      </c>
      <c r="AL1784" s="738" t="s">
        <v>4140</v>
      </c>
      <c r="AM1784" s="738" t="s">
        <v>4141</v>
      </c>
      <c r="AN1784" s="738" t="s">
        <v>1744</v>
      </c>
      <c r="AO1784" s="739">
        <v>0.218</v>
      </c>
      <c r="AP1784" s="739" t="s">
        <v>4142</v>
      </c>
    </row>
    <row r="1785">
      <c r="A1785" s="159"/>
      <c r="B1785" s="159"/>
      <c r="C1785" s="159"/>
      <c r="D1785" s="159"/>
      <c r="E1785" s="159"/>
      <c r="F1785" s="159"/>
      <c r="G1785" s="159"/>
      <c r="H1785" s="159"/>
      <c r="I1785" s="157"/>
      <c r="J1785" s="157"/>
      <c r="K1785" s="157"/>
      <c r="L1785" s="157"/>
      <c r="M1785" s="157"/>
      <c r="N1785" s="157"/>
      <c r="O1785" s="157"/>
      <c r="P1785" s="753"/>
      <c r="AK1785" s="40">
        <v>1782.0</v>
      </c>
      <c r="AL1785" s="719" t="s">
        <v>4143</v>
      </c>
      <c r="AM1785" s="720" t="s">
        <v>4144</v>
      </c>
      <c r="AN1785" s="720" t="s">
        <v>1744</v>
      </c>
      <c r="AO1785" s="722">
        <v>0.255</v>
      </c>
      <c r="AP1785" s="722" t="s">
        <v>4145</v>
      </c>
    </row>
    <row r="1786">
      <c r="A1786" s="159"/>
      <c r="B1786" s="159"/>
      <c r="C1786" s="159"/>
      <c r="D1786" s="159"/>
      <c r="E1786" s="159"/>
      <c r="F1786" s="159"/>
      <c r="G1786" s="159"/>
      <c r="H1786" s="159"/>
      <c r="I1786" s="157"/>
      <c r="J1786" s="157"/>
      <c r="K1786" s="157"/>
      <c r="L1786" s="157"/>
      <c r="M1786" s="157"/>
      <c r="N1786" s="157"/>
      <c r="O1786" s="157"/>
      <c r="P1786" s="753"/>
      <c r="AK1786" s="40">
        <v>1783.0</v>
      </c>
      <c r="AL1786" s="738" t="s">
        <v>4146</v>
      </c>
      <c r="AM1786" s="738" t="s">
        <v>4147</v>
      </c>
      <c r="AN1786" s="738" t="s">
        <v>1744</v>
      </c>
      <c r="AO1786" s="739">
        <v>0.384</v>
      </c>
      <c r="AP1786" s="739" t="s">
        <v>4148</v>
      </c>
    </row>
    <row r="1787">
      <c r="A1787" s="159"/>
      <c r="B1787" s="159"/>
      <c r="C1787" s="159"/>
      <c r="D1787" s="159"/>
      <c r="E1787" s="159"/>
      <c r="F1787" s="159"/>
      <c r="G1787" s="159"/>
      <c r="H1787" s="159"/>
      <c r="I1787" s="157"/>
      <c r="J1787" s="157"/>
      <c r="K1787" s="157"/>
      <c r="L1787" s="157"/>
      <c r="M1787" s="157"/>
      <c r="N1787" s="157"/>
      <c r="O1787" s="157"/>
      <c r="P1787" s="753"/>
      <c r="AK1787" s="40">
        <v>1784.0</v>
      </c>
      <c r="AL1787" s="719" t="s">
        <v>4149</v>
      </c>
      <c r="AM1787" s="720" t="s">
        <v>4150</v>
      </c>
      <c r="AN1787" s="720" t="s">
        <v>1744</v>
      </c>
      <c r="AO1787" s="722">
        <v>0.403</v>
      </c>
      <c r="AP1787" s="722" t="s">
        <v>4151</v>
      </c>
    </row>
    <row r="1788">
      <c r="A1788" s="159"/>
      <c r="B1788" s="159"/>
      <c r="C1788" s="159"/>
      <c r="D1788" s="159"/>
      <c r="E1788" s="159"/>
      <c r="F1788" s="159"/>
      <c r="G1788" s="159"/>
      <c r="H1788" s="159"/>
      <c r="I1788" s="157"/>
      <c r="J1788" s="157"/>
      <c r="K1788" s="157"/>
      <c r="L1788" s="157"/>
      <c r="M1788" s="157"/>
      <c r="N1788" s="157"/>
      <c r="O1788" s="157"/>
      <c r="P1788" s="753"/>
      <c r="AK1788" s="40">
        <v>1785.0</v>
      </c>
      <c r="AL1788" s="738" t="s">
        <v>4152</v>
      </c>
      <c r="AM1788" s="738" t="s">
        <v>4153</v>
      </c>
      <c r="AN1788" s="738" t="s">
        <v>1744</v>
      </c>
      <c r="AO1788" s="739">
        <v>0.438</v>
      </c>
      <c r="AP1788" s="739" t="s">
        <v>4154</v>
      </c>
    </row>
    <row r="1789">
      <c r="A1789" s="159"/>
      <c r="B1789" s="159"/>
      <c r="C1789" s="159"/>
      <c r="D1789" s="159"/>
      <c r="E1789" s="159"/>
      <c r="F1789" s="159"/>
      <c r="G1789" s="159"/>
      <c r="H1789" s="159"/>
      <c r="I1789" s="157"/>
      <c r="J1789" s="157"/>
      <c r="K1789" s="157"/>
      <c r="L1789" s="157"/>
      <c r="M1789" s="157"/>
      <c r="N1789" s="157"/>
      <c r="O1789" s="157"/>
      <c r="P1789" s="753"/>
      <c r="AK1789" s="40">
        <v>1786.0</v>
      </c>
      <c r="AL1789" s="719" t="s">
        <v>4155</v>
      </c>
      <c r="AM1789" s="720" t="s">
        <v>4156</v>
      </c>
      <c r="AN1789" s="720" t="s">
        <v>1744</v>
      </c>
      <c r="AO1789" s="722">
        <v>0.475</v>
      </c>
      <c r="AP1789" s="722" t="s">
        <v>4157</v>
      </c>
    </row>
    <row r="1790">
      <c r="A1790" s="159"/>
      <c r="B1790" s="159"/>
      <c r="C1790" s="159"/>
      <c r="D1790" s="159"/>
      <c r="E1790" s="159"/>
      <c r="F1790" s="159"/>
      <c r="G1790" s="159"/>
      <c r="H1790" s="159"/>
      <c r="I1790" s="157"/>
      <c r="J1790" s="157"/>
      <c r="K1790" s="157"/>
      <c r="L1790" s="157"/>
      <c r="M1790" s="157"/>
      <c r="N1790" s="157"/>
      <c r="O1790" s="157"/>
      <c r="P1790" s="753"/>
      <c r="AK1790" s="40">
        <v>1787.0</v>
      </c>
      <c r="AL1790" s="738" t="s">
        <v>4158</v>
      </c>
      <c r="AM1790" s="738" t="s">
        <v>4159</v>
      </c>
      <c r="AN1790" s="738" t="s">
        <v>1744</v>
      </c>
      <c r="AO1790" s="739">
        <v>0.499</v>
      </c>
      <c r="AP1790" s="739" t="s">
        <v>4160</v>
      </c>
    </row>
    <row r="1791">
      <c r="A1791" s="159"/>
      <c r="B1791" s="159"/>
      <c r="C1791" s="159"/>
      <c r="D1791" s="159"/>
      <c r="E1791" s="159"/>
      <c r="F1791" s="159"/>
      <c r="G1791" s="159"/>
      <c r="H1791" s="159"/>
      <c r="I1791" s="157"/>
      <c r="J1791" s="157"/>
      <c r="K1791" s="157"/>
      <c r="L1791" s="157"/>
      <c r="M1791" s="157"/>
      <c r="N1791" s="157"/>
      <c r="O1791" s="157"/>
      <c r="P1791" s="753"/>
      <c r="AK1791" s="40">
        <v>1788.0</v>
      </c>
      <c r="AL1791" s="719" t="s">
        <v>4161</v>
      </c>
      <c r="AM1791" s="720" t="s">
        <v>4162</v>
      </c>
      <c r="AN1791" s="720" t="s">
        <v>1744</v>
      </c>
      <c r="AO1791" s="722">
        <v>0.455</v>
      </c>
      <c r="AP1791" s="722" t="s">
        <v>4163</v>
      </c>
    </row>
    <row r="1792">
      <c r="A1792" s="159"/>
      <c r="B1792" s="159"/>
      <c r="C1792" s="159"/>
      <c r="D1792" s="159"/>
      <c r="E1792" s="159"/>
      <c r="F1792" s="159"/>
      <c r="G1792" s="159"/>
      <c r="H1792" s="159"/>
      <c r="I1792" s="157"/>
      <c r="J1792" s="157"/>
      <c r="K1792" s="157"/>
      <c r="L1792" s="157"/>
      <c r="M1792" s="157"/>
      <c r="N1792" s="157"/>
      <c r="O1792" s="157"/>
      <c r="P1792" s="753"/>
      <c r="AK1792" s="40">
        <v>1789.0</v>
      </c>
      <c r="AL1792" s="738" t="s">
        <v>4164</v>
      </c>
      <c r="AM1792" s="738" t="s">
        <v>4165</v>
      </c>
      <c r="AN1792" s="738" t="s">
        <v>1744</v>
      </c>
      <c r="AO1792" s="739">
        <v>0.472</v>
      </c>
      <c r="AP1792" s="739" t="s">
        <v>4166</v>
      </c>
    </row>
    <row r="1793">
      <c r="A1793" s="159"/>
      <c r="B1793" s="159"/>
      <c r="C1793" s="159"/>
      <c r="D1793" s="159"/>
      <c r="E1793" s="159"/>
      <c r="F1793" s="159"/>
      <c r="G1793" s="159"/>
      <c r="H1793" s="159"/>
      <c r="I1793" s="157"/>
      <c r="J1793" s="157"/>
      <c r="K1793" s="157"/>
      <c r="L1793" s="157"/>
      <c r="M1793" s="157"/>
      <c r="N1793" s="157"/>
      <c r="O1793" s="157"/>
      <c r="P1793" s="753"/>
      <c r="AK1793" s="40">
        <v>1790.0</v>
      </c>
      <c r="AL1793" s="719" t="s">
        <v>4167</v>
      </c>
      <c r="AM1793" s="720" t="s">
        <v>4168</v>
      </c>
      <c r="AN1793" s="720" t="s">
        <v>1744</v>
      </c>
      <c r="AO1793" s="722">
        <v>0.503</v>
      </c>
      <c r="AP1793" s="722" t="s">
        <v>4169</v>
      </c>
    </row>
    <row r="1794">
      <c r="A1794" s="159"/>
      <c r="B1794" s="159"/>
      <c r="C1794" s="159"/>
      <c r="D1794" s="159"/>
      <c r="E1794" s="159"/>
      <c r="F1794" s="159"/>
      <c r="G1794" s="159"/>
      <c r="H1794" s="159"/>
      <c r="I1794" s="157"/>
      <c r="J1794" s="157"/>
      <c r="K1794" s="157"/>
      <c r="L1794" s="157"/>
      <c r="M1794" s="157"/>
      <c r="N1794" s="157"/>
      <c r="O1794" s="157"/>
      <c r="P1794" s="753"/>
      <c r="AK1794" s="40">
        <v>1791.0</v>
      </c>
      <c r="AL1794" s="738" t="s">
        <v>4170</v>
      </c>
      <c r="AM1794" s="738" t="s">
        <v>4171</v>
      </c>
      <c r="AN1794" s="738" t="s">
        <v>1744</v>
      </c>
      <c r="AO1794" s="739">
        <v>0.535</v>
      </c>
      <c r="AP1794" s="739" t="s">
        <v>4172</v>
      </c>
    </row>
    <row r="1795">
      <c r="A1795" s="159"/>
      <c r="B1795" s="159"/>
      <c r="C1795" s="159"/>
      <c r="D1795" s="159"/>
      <c r="E1795" s="159"/>
      <c r="F1795" s="159"/>
      <c r="G1795" s="159"/>
      <c r="H1795" s="159"/>
      <c r="I1795" s="157"/>
      <c r="J1795" s="157"/>
      <c r="K1795" s="157"/>
      <c r="L1795" s="157"/>
      <c r="M1795" s="157"/>
      <c r="N1795" s="157"/>
      <c r="O1795" s="157"/>
      <c r="P1795" s="753"/>
      <c r="AK1795" s="40">
        <v>1792.0</v>
      </c>
      <c r="AL1795" s="719" t="s">
        <v>4173</v>
      </c>
      <c r="AM1795" s="720" t="s">
        <v>4174</v>
      </c>
      <c r="AN1795" s="720" t="s">
        <v>1744</v>
      </c>
      <c r="AO1795" s="722">
        <v>0.557</v>
      </c>
      <c r="AP1795" s="722" t="s">
        <v>4175</v>
      </c>
    </row>
    <row r="1796">
      <c r="A1796" s="159"/>
      <c r="B1796" s="159"/>
      <c r="C1796" s="159"/>
      <c r="D1796" s="159"/>
      <c r="E1796" s="159"/>
      <c r="F1796" s="159"/>
      <c r="G1796" s="159"/>
      <c r="H1796" s="159"/>
      <c r="I1796" s="157"/>
      <c r="J1796" s="157"/>
      <c r="K1796" s="157"/>
      <c r="L1796" s="157"/>
      <c r="M1796" s="157"/>
      <c r="N1796" s="157"/>
      <c r="O1796" s="157"/>
      <c r="P1796" s="753"/>
      <c r="AK1796" s="40">
        <v>1793.0</v>
      </c>
      <c r="AL1796" s="738" t="s">
        <v>4176</v>
      </c>
      <c r="AM1796" s="738" t="s">
        <v>4177</v>
      </c>
      <c r="AN1796" s="738" t="s">
        <v>1744</v>
      </c>
      <c r="AO1796" s="739">
        <v>0.079</v>
      </c>
      <c r="AP1796" s="739" t="s">
        <v>4133</v>
      </c>
    </row>
    <row r="1797">
      <c r="A1797" s="159"/>
      <c r="B1797" s="159"/>
      <c r="C1797" s="159"/>
      <c r="D1797" s="159"/>
      <c r="E1797" s="159"/>
      <c r="F1797" s="159"/>
      <c r="G1797" s="159"/>
      <c r="H1797" s="159"/>
      <c r="I1797" s="157"/>
      <c r="J1797" s="157"/>
      <c r="K1797" s="157"/>
      <c r="L1797" s="157"/>
      <c r="M1797" s="157"/>
      <c r="N1797" s="157"/>
      <c r="O1797" s="157"/>
      <c r="P1797" s="753"/>
      <c r="AK1797" s="40">
        <v>1794.0</v>
      </c>
      <c r="AL1797" s="719" t="s">
        <v>4178</v>
      </c>
      <c r="AM1797" s="720" t="s">
        <v>4179</v>
      </c>
      <c r="AN1797" s="720" t="s">
        <v>1744</v>
      </c>
      <c r="AO1797" s="722">
        <v>0.109</v>
      </c>
      <c r="AP1797" s="722" t="s">
        <v>4136</v>
      </c>
    </row>
    <row r="1798">
      <c r="A1798" s="159"/>
      <c r="B1798" s="159"/>
      <c r="C1798" s="159"/>
      <c r="D1798" s="159"/>
      <c r="E1798" s="159"/>
      <c r="F1798" s="159"/>
      <c r="G1798" s="159"/>
      <c r="H1798" s="159"/>
      <c r="I1798" s="157"/>
      <c r="J1798" s="157"/>
      <c r="K1798" s="157"/>
      <c r="L1798" s="157"/>
      <c r="M1798" s="157"/>
      <c r="N1798" s="157"/>
      <c r="O1798" s="157"/>
      <c r="P1798" s="753"/>
      <c r="AK1798" s="40">
        <v>1795.0</v>
      </c>
      <c r="AL1798" s="738" t="s">
        <v>4180</v>
      </c>
      <c r="AM1798" s="738" t="s">
        <v>4181</v>
      </c>
      <c r="AN1798" s="738" t="s">
        <v>1744</v>
      </c>
      <c r="AO1798" s="739">
        <v>0.162</v>
      </c>
      <c r="AP1798" s="739" t="s">
        <v>4139</v>
      </c>
    </row>
    <row r="1799">
      <c r="A1799" s="159"/>
      <c r="B1799" s="159"/>
      <c r="C1799" s="159"/>
      <c r="D1799" s="159"/>
      <c r="E1799" s="159"/>
      <c r="F1799" s="159"/>
      <c r="G1799" s="159"/>
      <c r="H1799" s="159"/>
      <c r="I1799" s="157"/>
      <c r="J1799" s="157"/>
      <c r="K1799" s="157"/>
      <c r="L1799" s="157"/>
      <c r="M1799" s="157"/>
      <c r="N1799" s="157"/>
      <c r="O1799" s="157"/>
      <c r="P1799" s="753"/>
      <c r="AK1799" s="40">
        <v>1796.0</v>
      </c>
      <c r="AL1799" s="719" t="s">
        <v>4182</v>
      </c>
      <c r="AM1799" s="720" t="s">
        <v>4183</v>
      </c>
      <c r="AN1799" s="720" t="s">
        <v>1744</v>
      </c>
      <c r="AO1799" s="722">
        <v>0.218</v>
      </c>
      <c r="AP1799" s="722" t="s">
        <v>4142</v>
      </c>
    </row>
    <row r="1800">
      <c r="A1800" s="159"/>
      <c r="B1800" s="159"/>
      <c r="C1800" s="159"/>
      <c r="D1800" s="159"/>
      <c r="E1800" s="159"/>
      <c r="F1800" s="159"/>
      <c r="G1800" s="159"/>
      <c r="H1800" s="159"/>
      <c r="I1800" s="157"/>
      <c r="J1800" s="157"/>
      <c r="K1800" s="157"/>
      <c r="L1800" s="157"/>
      <c r="M1800" s="157"/>
      <c r="N1800" s="157"/>
      <c r="O1800" s="157"/>
      <c r="P1800" s="753"/>
      <c r="AK1800" s="40">
        <v>1797.0</v>
      </c>
      <c r="AL1800" s="738" t="s">
        <v>4184</v>
      </c>
      <c r="AM1800" s="738" t="s">
        <v>4185</v>
      </c>
      <c r="AN1800" s="738" t="s">
        <v>1744</v>
      </c>
      <c r="AO1800" s="739">
        <v>0.255</v>
      </c>
      <c r="AP1800" s="739" t="s">
        <v>4145</v>
      </c>
    </row>
    <row r="1801">
      <c r="A1801" s="159"/>
      <c r="B1801" s="159"/>
      <c r="C1801" s="159"/>
      <c r="D1801" s="159"/>
      <c r="E1801" s="159"/>
      <c r="F1801" s="159"/>
      <c r="G1801" s="159"/>
      <c r="H1801" s="159"/>
      <c r="I1801" s="157"/>
      <c r="J1801" s="157"/>
      <c r="K1801" s="157"/>
      <c r="L1801" s="157"/>
      <c r="M1801" s="157"/>
      <c r="N1801" s="157"/>
      <c r="O1801" s="157"/>
      <c r="P1801" s="753"/>
      <c r="AK1801" s="40">
        <v>1798.0</v>
      </c>
      <c r="AL1801" s="719" t="s">
        <v>4186</v>
      </c>
      <c r="AM1801" s="720" t="s">
        <v>4187</v>
      </c>
      <c r="AN1801" s="720" t="s">
        <v>1744</v>
      </c>
      <c r="AO1801" s="722">
        <v>0.384</v>
      </c>
      <c r="AP1801" s="722" t="s">
        <v>4148</v>
      </c>
    </row>
    <row r="1802">
      <c r="A1802" s="159"/>
      <c r="B1802" s="159"/>
      <c r="C1802" s="159"/>
      <c r="D1802" s="159"/>
      <c r="E1802" s="159"/>
      <c r="F1802" s="159"/>
      <c r="G1802" s="159"/>
      <c r="H1802" s="159"/>
      <c r="I1802" s="157"/>
      <c r="J1802" s="157"/>
      <c r="K1802" s="157"/>
      <c r="L1802" s="157"/>
      <c r="M1802" s="157"/>
      <c r="N1802" s="157"/>
      <c r="O1802" s="157"/>
      <c r="P1802" s="753"/>
      <c r="AK1802" s="40">
        <v>1799.0</v>
      </c>
      <c r="AL1802" s="738" t="s">
        <v>4188</v>
      </c>
      <c r="AM1802" s="738" t="s">
        <v>4189</v>
      </c>
      <c r="AN1802" s="738" t="s">
        <v>1744</v>
      </c>
      <c r="AO1802" s="739">
        <v>0.403</v>
      </c>
      <c r="AP1802" s="739" t="s">
        <v>4151</v>
      </c>
    </row>
    <row r="1803">
      <c r="A1803" s="159"/>
      <c r="B1803" s="159"/>
      <c r="C1803" s="159"/>
      <c r="D1803" s="159"/>
      <c r="E1803" s="159"/>
      <c r="F1803" s="159"/>
      <c r="G1803" s="159"/>
      <c r="H1803" s="159"/>
      <c r="I1803" s="157"/>
      <c r="J1803" s="157"/>
      <c r="K1803" s="157"/>
      <c r="L1803" s="157"/>
      <c r="M1803" s="157"/>
      <c r="N1803" s="157"/>
      <c r="O1803" s="157"/>
      <c r="P1803" s="753"/>
      <c r="AK1803" s="40">
        <v>1800.0</v>
      </c>
      <c r="AL1803" s="719" t="s">
        <v>4190</v>
      </c>
      <c r="AM1803" s="720" t="s">
        <v>4191</v>
      </c>
      <c r="AN1803" s="720" t="s">
        <v>1744</v>
      </c>
      <c r="AO1803" s="722">
        <v>0.438</v>
      </c>
      <c r="AP1803" s="722" t="s">
        <v>4154</v>
      </c>
    </row>
    <row r="1804">
      <c r="A1804" s="159"/>
      <c r="B1804" s="159"/>
      <c r="C1804" s="159"/>
      <c r="D1804" s="159"/>
      <c r="E1804" s="159"/>
      <c r="F1804" s="159"/>
      <c r="G1804" s="159"/>
      <c r="H1804" s="159"/>
      <c r="I1804" s="157"/>
      <c r="J1804" s="157"/>
      <c r="K1804" s="157"/>
      <c r="L1804" s="157"/>
      <c r="M1804" s="157"/>
      <c r="N1804" s="157"/>
      <c r="O1804" s="157"/>
      <c r="P1804" s="753"/>
      <c r="AK1804" s="40">
        <v>1801.0</v>
      </c>
      <c r="AL1804" s="738" t="s">
        <v>4192</v>
      </c>
      <c r="AM1804" s="738" t="s">
        <v>4193</v>
      </c>
      <c r="AN1804" s="738" t="s">
        <v>1744</v>
      </c>
      <c r="AO1804" s="739">
        <v>0.475</v>
      </c>
      <c r="AP1804" s="739" t="s">
        <v>4157</v>
      </c>
    </row>
    <row r="1805">
      <c r="A1805" s="159"/>
      <c r="B1805" s="159"/>
      <c r="C1805" s="159"/>
      <c r="D1805" s="159"/>
      <c r="E1805" s="159"/>
      <c r="F1805" s="159"/>
      <c r="G1805" s="159"/>
      <c r="H1805" s="159"/>
      <c r="I1805" s="157"/>
      <c r="J1805" s="157"/>
      <c r="K1805" s="157"/>
      <c r="L1805" s="157"/>
      <c r="M1805" s="157"/>
      <c r="N1805" s="157"/>
      <c r="O1805" s="157"/>
      <c r="P1805" s="753"/>
      <c r="AK1805" s="40">
        <v>1802.0</v>
      </c>
      <c r="AL1805" s="719" t="s">
        <v>4194</v>
      </c>
      <c r="AM1805" s="720" t="s">
        <v>4195</v>
      </c>
      <c r="AN1805" s="720" t="s">
        <v>1744</v>
      </c>
      <c r="AO1805" s="722">
        <v>0.499</v>
      </c>
      <c r="AP1805" s="722" t="s">
        <v>4160</v>
      </c>
    </row>
    <row r="1806">
      <c r="A1806" s="159"/>
      <c r="B1806" s="159"/>
      <c r="C1806" s="159"/>
      <c r="D1806" s="159"/>
      <c r="E1806" s="159"/>
      <c r="F1806" s="159"/>
      <c r="G1806" s="159"/>
      <c r="H1806" s="159"/>
      <c r="I1806" s="157"/>
      <c r="J1806" s="157"/>
      <c r="K1806" s="157"/>
      <c r="L1806" s="157"/>
      <c r="M1806" s="157"/>
      <c r="N1806" s="157"/>
      <c r="O1806" s="157"/>
      <c r="P1806" s="753"/>
      <c r="AK1806" s="40">
        <v>1803.0</v>
      </c>
      <c r="AL1806" s="738" t="s">
        <v>4196</v>
      </c>
      <c r="AM1806" s="738" t="s">
        <v>4197</v>
      </c>
      <c r="AN1806" s="738" t="s">
        <v>1744</v>
      </c>
      <c r="AO1806" s="739">
        <v>0.455</v>
      </c>
      <c r="AP1806" s="739" t="s">
        <v>4163</v>
      </c>
    </row>
    <row r="1807">
      <c r="A1807" s="159"/>
      <c r="B1807" s="159"/>
      <c r="C1807" s="159"/>
      <c r="D1807" s="159"/>
      <c r="E1807" s="159"/>
      <c r="F1807" s="159"/>
      <c r="G1807" s="159"/>
      <c r="H1807" s="159"/>
      <c r="I1807" s="157"/>
      <c r="J1807" s="157"/>
      <c r="K1807" s="157"/>
      <c r="L1807" s="157"/>
      <c r="M1807" s="157"/>
      <c r="N1807" s="157"/>
      <c r="O1807" s="157"/>
      <c r="P1807" s="753"/>
      <c r="AK1807" s="40">
        <v>1804.0</v>
      </c>
      <c r="AL1807" s="719" t="s">
        <v>4198</v>
      </c>
      <c r="AM1807" s="720" t="s">
        <v>4199</v>
      </c>
      <c r="AN1807" s="720" t="s">
        <v>1744</v>
      </c>
      <c r="AO1807" s="722">
        <v>0.472</v>
      </c>
      <c r="AP1807" s="722" t="s">
        <v>4166</v>
      </c>
    </row>
    <row r="1808">
      <c r="A1808" s="159"/>
      <c r="B1808" s="159"/>
      <c r="C1808" s="159"/>
      <c r="D1808" s="159"/>
      <c r="E1808" s="159"/>
      <c r="F1808" s="159"/>
      <c r="G1808" s="159"/>
      <c r="H1808" s="159"/>
      <c r="I1808" s="157"/>
      <c r="J1808" s="157"/>
      <c r="K1808" s="157"/>
      <c r="L1808" s="157"/>
      <c r="M1808" s="157"/>
      <c r="N1808" s="157"/>
      <c r="O1808" s="157"/>
      <c r="P1808" s="753"/>
      <c r="AK1808" s="40">
        <v>1805.0</v>
      </c>
      <c r="AL1808" s="738" t="s">
        <v>4200</v>
      </c>
      <c r="AM1808" s="738" t="s">
        <v>4201</v>
      </c>
      <c r="AN1808" s="738" t="s">
        <v>1744</v>
      </c>
      <c r="AO1808" s="739">
        <v>0.503</v>
      </c>
      <c r="AP1808" s="739" t="s">
        <v>4169</v>
      </c>
    </row>
    <row r="1809">
      <c r="A1809" s="159"/>
      <c r="B1809" s="159"/>
      <c r="C1809" s="159"/>
      <c r="D1809" s="159"/>
      <c r="E1809" s="159"/>
      <c r="F1809" s="159"/>
      <c r="G1809" s="159"/>
      <c r="H1809" s="159"/>
      <c r="I1809" s="157"/>
      <c r="J1809" s="157"/>
      <c r="K1809" s="157"/>
      <c r="L1809" s="157"/>
      <c r="M1809" s="157"/>
      <c r="N1809" s="157"/>
      <c r="O1809" s="157"/>
      <c r="P1809" s="753"/>
      <c r="AK1809" s="40">
        <v>1806.0</v>
      </c>
      <c r="AL1809" s="719" t="s">
        <v>4202</v>
      </c>
      <c r="AM1809" s="720" t="s">
        <v>4203</v>
      </c>
      <c r="AN1809" s="720" t="s">
        <v>1744</v>
      </c>
      <c r="AO1809" s="722">
        <v>0.535</v>
      </c>
      <c r="AP1809" s="722" t="s">
        <v>4172</v>
      </c>
    </row>
    <row r="1810">
      <c r="A1810" s="159"/>
      <c r="B1810" s="159"/>
      <c r="C1810" s="159"/>
      <c r="D1810" s="159"/>
      <c r="E1810" s="159"/>
      <c r="F1810" s="159"/>
      <c r="G1810" s="159"/>
      <c r="H1810" s="159"/>
      <c r="I1810" s="157"/>
      <c r="J1810" s="157"/>
      <c r="K1810" s="157"/>
      <c r="L1810" s="157"/>
      <c r="M1810" s="157"/>
      <c r="N1810" s="157"/>
      <c r="O1810" s="157"/>
      <c r="P1810" s="753"/>
      <c r="AK1810" s="40">
        <v>1807.0</v>
      </c>
      <c r="AL1810" s="738" t="s">
        <v>4204</v>
      </c>
      <c r="AM1810" s="738" t="s">
        <v>4205</v>
      </c>
      <c r="AN1810" s="738" t="s">
        <v>1744</v>
      </c>
      <c r="AO1810" s="739">
        <v>0.557</v>
      </c>
      <c r="AP1810" s="739" t="s">
        <v>4175</v>
      </c>
    </row>
    <row r="1811">
      <c r="A1811" s="159"/>
      <c r="B1811" s="159"/>
      <c r="C1811" s="159"/>
      <c r="D1811" s="159"/>
      <c r="E1811" s="159"/>
      <c r="F1811" s="159"/>
      <c r="G1811" s="159"/>
      <c r="H1811" s="159"/>
      <c r="I1811" s="157"/>
      <c r="J1811" s="157"/>
      <c r="K1811" s="157"/>
      <c r="L1811" s="157"/>
      <c r="M1811" s="157"/>
      <c r="N1811" s="157"/>
      <c r="O1811" s="157"/>
      <c r="P1811" s="753"/>
      <c r="AK1811" s="40">
        <v>1808.0</v>
      </c>
      <c r="AL1811" s="719" t="s">
        <v>4206</v>
      </c>
      <c r="AM1811" s="720" t="s">
        <v>2123</v>
      </c>
      <c r="AN1811" s="720" t="s">
        <v>2124</v>
      </c>
      <c r="AO1811" s="722">
        <v>0.008</v>
      </c>
      <c r="AP1811" s="722" t="s">
        <v>2125</v>
      </c>
    </row>
    <row r="1812">
      <c r="A1812" s="159"/>
      <c r="B1812" s="159"/>
      <c r="C1812" s="159"/>
      <c r="D1812" s="159"/>
      <c r="E1812" s="159"/>
      <c r="F1812" s="159"/>
      <c r="G1812" s="159"/>
      <c r="H1812" s="159"/>
      <c r="I1812" s="157"/>
      <c r="J1812" s="157"/>
      <c r="K1812" s="157"/>
      <c r="L1812" s="157"/>
      <c r="M1812" s="157"/>
      <c r="N1812" s="157"/>
      <c r="O1812" s="157"/>
      <c r="P1812" s="753"/>
      <c r="AK1812" s="40">
        <v>1809.0</v>
      </c>
      <c r="AL1812" s="738" t="s">
        <v>4207</v>
      </c>
      <c r="AM1812" s="738" t="s">
        <v>3922</v>
      </c>
      <c r="AN1812" s="738" t="s">
        <v>3923</v>
      </c>
      <c r="AO1812" s="739">
        <v>0.061</v>
      </c>
      <c r="AP1812" s="739" t="s">
        <v>3924</v>
      </c>
    </row>
    <row r="1813">
      <c r="A1813" s="159"/>
      <c r="B1813" s="159"/>
      <c r="C1813" s="159"/>
      <c r="D1813" s="159"/>
      <c r="E1813" s="159"/>
      <c r="F1813" s="159"/>
      <c r="G1813" s="159"/>
      <c r="H1813" s="159"/>
      <c r="I1813" s="157"/>
      <c r="J1813" s="157"/>
      <c r="K1813" s="157"/>
      <c r="L1813" s="157"/>
      <c r="M1813" s="157"/>
      <c r="N1813" s="157"/>
      <c r="O1813" s="157"/>
      <c r="P1813" s="753"/>
      <c r="AK1813" s="40">
        <v>1810.0</v>
      </c>
      <c r="AL1813" s="719" t="s">
        <v>4208</v>
      </c>
      <c r="AM1813" s="720" t="s">
        <v>4209</v>
      </c>
      <c r="AN1813" s="720" t="s">
        <v>1744</v>
      </c>
      <c r="AO1813" s="722">
        <v>0.068</v>
      </c>
      <c r="AP1813" s="722" t="s">
        <v>4210</v>
      </c>
    </row>
    <row r="1814">
      <c r="A1814" s="159"/>
      <c r="B1814" s="159"/>
      <c r="C1814" s="159"/>
      <c r="D1814" s="159"/>
      <c r="E1814" s="159"/>
      <c r="F1814" s="159"/>
      <c r="G1814" s="159"/>
      <c r="H1814" s="159"/>
      <c r="I1814" s="157"/>
      <c r="J1814" s="157"/>
      <c r="K1814" s="157"/>
      <c r="L1814" s="157"/>
      <c r="M1814" s="157"/>
      <c r="N1814" s="157"/>
      <c r="O1814" s="157"/>
      <c r="P1814" s="753"/>
      <c r="AK1814" s="40">
        <v>1811.0</v>
      </c>
      <c r="AL1814" s="738" t="s">
        <v>4211</v>
      </c>
      <c r="AM1814" s="738" t="s">
        <v>2156</v>
      </c>
      <c r="AN1814" s="745"/>
      <c r="AO1814" s="739">
        <v>0.0</v>
      </c>
      <c r="AP1814" s="739" t="s">
        <v>2157</v>
      </c>
    </row>
    <row r="1815">
      <c r="A1815" s="159"/>
      <c r="B1815" s="159"/>
      <c r="C1815" s="159"/>
      <c r="D1815" s="159"/>
      <c r="E1815" s="159"/>
      <c r="F1815" s="159"/>
      <c r="G1815" s="159"/>
      <c r="H1815" s="159"/>
      <c r="I1815" s="157"/>
      <c r="J1815" s="157"/>
      <c r="K1815" s="157"/>
      <c r="L1815" s="157"/>
      <c r="M1815" s="157"/>
      <c r="N1815" s="157"/>
      <c r="O1815" s="157"/>
      <c r="P1815" s="753"/>
      <c r="AK1815" s="40">
        <v>1812.0</v>
      </c>
      <c r="AL1815" s="719" t="s">
        <v>4212</v>
      </c>
      <c r="AM1815" s="720" t="s">
        <v>2123</v>
      </c>
      <c r="AN1815" s="720" t="s">
        <v>2124</v>
      </c>
      <c r="AO1815" s="722">
        <v>0.008</v>
      </c>
      <c r="AP1815" s="722" t="s">
        <v>2125</v>
      </c>
    </row>
    <row r="1816">
      <c r="A1816" s="159"/>
      <c r="B1816" s="159"/>
      <c r="C1816" s="159"/>
      <c r="D1816" s="159"/>
      <c r="E1816" s="159"/>
      <c r="F1816" s="159"/>
      <c r="G1816" s="159"/>
      <c r="H1816" s="159"/>
      <c r="I1816" s="157"/>
      <c r="J1816" s="157"/>
      <c r="K1816" s="157"/>
      <c r="L1816" s="157"/>
      <c r="M1816" s="157"/>
      <c r="N1816" s="157"/>
      <c r="O1816" s="157"/>
      <c r="P1816" s="753"/>
      <c r="AK1816" s="40">
        <v>1813.0</v>
      </c>
      <c r="AL1816" s="738" t="s">
        <v>4213</v>
      </c>
      <c r="AM1816" s="738" t="s">
        <v>2284</v>
      </c>
      <c r="AN1816" s="738" t="s">
        <v>2285</v>
      </c>
      <c r="AO1816" s="739">
        <v>0.011</v>
      </c>
      <c r="AP1816" s="739" t="s">
        <v>2286</v>
      </c>
    </row>
    <row r="1817">
      <c r="A1817" s="159"/>
      <c r="B1817" s="159"/>
      <c r="C1817" s="159"/>
      <c r="D1817" s="159"/>
      <c r="E1817" s="159"/>
      <c r="F1817" s="159"/>
      <c r="G1817" s="159"/>
      <c r="H1817" s="159"/>
      <c r="I1817" s="157"/>
      <c r="J1817" s="157"/>
      <c r="K1817" s="157"/>
      <c r="L1817" s="157"/>
      <c r="M1817" s="157"/>
      <c r="N1817" s="157"/>
      <c r="O1817" s="157"/>
      <c r="P1817" s="753"/>
      <c r="AK1817" s="40">
        <v>1814.0</v>
      </c>
      <c r="AL1817" s="719" t="s">
        <v>4214</v>
      </c>
      <c r="AM1817" s="720" t="s">
        <v>2288</v>
      </c>
      <c r="AN1817" s="720" t="s">
        <v>2289</v>
      </c>
      <c r="AO1817" s="722">
        <v>0.043</v>
      </c>
      <c r="AP1817" s="722" t="s">
        <v>2290</v>
      </c>
    </row>
    <row r="1818">
      <c r="A1818" s="159"/>
      <c r="B1818" s="159"/>
      <c r="C1818" s="159"/>
      <c r="D1818" s="159"/>
      <c r="E1818" s="159"/>
      <c r="F1818" s="159"/>
      <c r="G1818" s="159"/>
      <c r="H1818" s="159"/>
      <c r="I1818" s="157"/>
      <c r="J1818" s="157"/>
      <c r="K1818" s="157"/>
      <c r="L1818" s="157"/>
      <c r="M1818" s="157"/>
      <c r="N1818" s="157"/>
      <c r="O1818" s="157"/>
      <c r="P1818" s="753"/>
      <c r="AK1818" s="40">
        <v>1815.0</v>
      </c>
      <c r="AL1818" s="738" t="s">
        <v>4215</v>
      </c>
      <c r="AM1818" s="738" t="s">
        <v>4216</v>
      </c>
      <c r="AN1818" s="738" t="s">
        <v>1744</v>
      </c>
      <c r="AO1818" s="739">
        <v>0.05</v>
      </c>
      <c r="AP1818" s="739" t="s">
        <v>4217</v>
      </c>
    </row>
    <row r="1819">
      <c r="A1819" s="159"/>
      <c r="B1819" s="159"/>
      <c r="C1819" s="159"/>
      <c r="D1819" s="159"/>
      <c r="E1819" s="159"/>
      <c r="F1819" s="159"/>
      <c r="G1819" s="159"/>
      <c r="H1819" s="159"/>
      <c r="I1819" s="157"/>
      <c r="J1819" s="157"/>
      <c r="K1819" s="157"/>
      <c r="L1819" s="157"/>
      <c r="M1819" s="157"/>
      <c r="N1819" s="157"/>
      <c r="O1819" s="157"/>
      <c r="P1819" s="753"/>
      <c r="AK1819" s="40">
        <v>1816.0</v>
      </c>
      <c r="AL1819" s="719" t="s">
        <v>4215</v>
      </c>
      <c r="AM1819" s="720" t="s">
        <v>4216</v>
      </c>
      <c r="AN1819" s="720" t="s">
        <v>1744</v>
      </c>
      <c r="AO1819" s="722">
        <v>0.05</v>
      </c>
      <c r="AP1819" s="722" t="s">
        <v>4217</v>
      </c>
    </row>
    <row r="1820">
      <c r="A1820" s="159"/>
      <c r="B1820" s="159"/>
      <c r="C1820" s="159"/>
      <c r="D1820" s="159"/>
      <c r="E1820" s="159"/>
      <c r="F1820" s="159"/>
      <c r="G1820" s="159"/>
      <c r="H1820" s="159"/>
      <c r="I1820" s="157"/>
      <c r="J1820" s="157"/>
      <c r="K1820" s="157"/>
      <c r="L1820" s="157"/>
      <c r="M1820" s="157"/>
      <c r="N1820" s="157"/>
      <c r="O1820" s="157"/>
      <c r="P1820" s="753"/>
      <c r="AK1820" s="40">
        <v>1817.0</v>
      </c>
      <c r="AL1820" s="738" t="s">
        <v>4218</v>
      </c>
      <c r="AM1820" s="738" t="s">
        <v>4219</v>
      </c>
      <c r="AN1820" s="738" t="s">
        <v>1744</v>
      </c>
      <c r="AO1820" s="739">
        <v>0.018</v>
      </c>
      <c r="AP1820" s="739" t="s">
        <v>4220</v>
      </c>
    </row>
    <row r="1821">
      <c r="A1821" s="159"/>
      <c r="B1821" s="159"/>
      <c r="C1821" s="159"/>
      <c r="D1821" s="159"/>
      <c r="E1821" s="159"/>
      <c r="F1821" s="159"/>
      <c r="G1821" s="159"/>
      <c r="H1821" s="159"/>
      <c r="I1821" s="157"/>
      <c r="J1821" s="157"/>
      <c r="K1821" s="157"/>
      <c r="L1821" s="157"/>
      <c r="M1821" s="157"/>
      <c r="N1821" s="157"/>
      <c r="O1821" s="157"/>
      <c r="P1821" s="753"/>
      <c r="AK1821" s="40">
        <v>1818.0</v>
      </c>
      <c r="AL1821" s="719" t="s">
        <v>4218</v>
      </c>
      <c r="AM1821" s="720" t="s">
        <v>4219</v>
      </c>
      <c r="AN1821" s="720" t="s">
        <v>1744</v>
      </c>
      <c r="AO1821" s="722">
        <v>0.018</v>
      </c>
      <c r="AP1821" s="722" t="s">
        <v>4220</v>
      </c>
    </row>
    <row r="1822">
      <c r="A1822" s="159"/>
      <c r="B1822" s="159"/>
      <c r="C1822" s="159"/>
      <c r="D1822" s="159"/>
      <c r="E1822" s="159"/>
      <c r="F1822" s="159"/>
      <c r="G1822" s="159"/>
      <c r="H1822" s="159"/>
      <c r="I1822" s="157"/>
      <c r="J1822" s="157"/>
      <c r="K1822" s="157"/>
      <c r="L1822" s="157"/>
      <c r="M1822" s="157"/>
      <c r="N1822" s="157"/>
      <c r="O1822" s="157"/>
      <c r="P1822" s="753"/>
      <c r="AK1822" s="40">
        <v>1819.0</v>
      </c>
      <c r="AL1822" s="738" t="s">
        <v>4221</v>
      </c>
      <c r="AM1822" s="738" t="s">
        <v>2156</v>
      </c>
      <c r="AN1822" s="745"/>
      <c r="AO1822" s="739">
        <v>0.0</v>
      </c>
      <c r="AP1822" s="739" t="s">
        <v>2157</v>
      </c>
    </row>
    <row r="1823">
      <c r="A1823" s="159"/>
      <c r="B1823" s="159"/>
      <c r="C1823" s="159"/>
      <c r="D1823" s="159"/>
      <c r="E1823" s="159"/>
      <c r="F1823" s="159"/>
      <c r="G1823" s="159"/>
      <c r="H1823" s="159"/>
      <c r="I1823" s="157"/>
      <c r="J1823" s="157"/>
      <c r="K1823" s="157"/>
      <c r="L1823" s="157"/>
      <c r="M1823" s="157"/>
      <c r="N1823" s="157"/>
      <c r="O1823" s="157"/>
      <c r="P1823" s="753"/>
      <c r="AK1823" s="40">
        <v>1820.0</v>
      </c>
      <c r="AL1823" s="719" t="s">
        <v>4222</v>
      </c>
      <c r="AM1823" s="720" t="s">
        <v>3148</v>
      </c>
      <c r="AN1823" s="720" t="s">
        <v>3149</v>
      </c>
      <c r="AO1823" s="722">
        <v>0.069</v>
      </c>
      <c r="AP1823" s="722" t="s">
        <v>2840</v>
      </c>
    </row>
    <row r="1824">
      <c r="A1824" s="159"/>
      <c r="B1824" s="159"/>
      <c r="C1824" s="159"/>
      <c r="D1824" s="159"/>
      <c r="E1824" s="159"/>
      <c r="F1824" s="159"/>
      <c r="G1824" s="159"/>
      <c r="H1824" s="159"/>
      <c r="I1824" s="157"/>
      <c r="J1824" s="157"/>
      <c r="K1824" s="157"/>
      <c r="L1824" s="157"/>
      <c r="M1824" s="157"/>
      <c r="N1824" s="157"/>
      <c r="O1824" s="157"/>
      <c r="P1824" s="753"/>
      <c r="AK1824" s="40">
        <v>1821.0</v>
      </c>
      <c r="AL1824" s="738" t="s">
        <v>4223</v>
      </c>
      <c r="AM1824" s="738" t="s">
        <v>3151</v>
      </c>
      <c r="AN1824" s="738" t="s">
        <v>3152</v>
      </c>
      <c r="AO1824" s="739">
        <v>0.377</v>
      </c>
      <c r="AP1824" s="739" t="s">
        <v>3153</v>
      </c>
    </row>
    <row r="1825">
      <c r="A1825" s="159"/>
      <c r="B1825" s="159"/>
      <c r="C1825" s="159"/>
      <c r="D1825" s="159"/>
      <c r="E1825" s="159"/>
      <c r="F1825" s="159"/>
      <c r="G1825" s="159"/>
      <c r="H1825" s="159"/>
      <c r="I1825" s="157"/>
      <c r="J1825" s="157"/>
      <c r="K1825" s="157"/>
      <c r="L1825" s="157"/>
      <c r="M1825" s="157"/>
      <c r="N1825" s="157"/>
      <c r="O1825" s="157"/>
      <c r="P1825" s="753"/>
      <c r="AK1825" s="40">
        <v>1822.0</v>
      </c>
      <c r="AL1825" s="719" t="s">
        <v>4224</v>
      </c>
      <c r="AM1825" s="720" t="s">
        <v>3155</v>
      </c>
      <c r="AN1825" s="720" t="s">
        <v>3156</v>
      </c>
      <c r="AO1825" s="722">
        <v>0.449</v>
      </c>
      <c r="AP1825" s="722" t="s">
        <v>3157</v>
      </c>
    </row>
    <row r="1826">
      <c r="A1826" s="159"/>
      <c r="B1826" s="159"/>
      <c r="C1826" s="159"/>
      <c r="D1826" s="159"/>
      <c r="E1826" s="159"/>
      <c r="F1826" s="159"/>
      <c r="G1826" s="159"/>
      <c r="H1826" s="159"/>
      <c r="I1826" s="157"/>
      <c r="J1826" s="157"/>
      <c r="K1826" s="157"/>
      <c r="L1826" s="157"/>
      <c r="M1826" s="157"/>
      <c r="N1826" s="157"/>
      <c r="O1826" s="157"/>
      <c r="P1826" s="753"/>
      <c r="AK1826" s="40">
        <v>1823.0</v>
      </c>
      <c r="AL1826" s="738" t="s">
        <v>4225</v>
      </c>
      <c r="AM1826" s="738" t="s">
        <v>2284</v>
      </c>
      <c r="AN1826" s="738" t="s">
        <v>2285</v>
      </c>
      <c r="AO1826" s="739">
        <v>0.011</v>
      </c>
      <c r="AP1826" s="739" t="s">
        <v>2286</v>
      </c>
    </row>
    <row r="1827">
      <c r="A1827" s="159"/>
      <c r="B1827" s="159"/>
      <c r="C1827" s="159"/>
      <c r="D1827" s="159"/>
      <c r="E1827" s="159"/>
      <c r="F1827" s="159"/>
      <c r="G1827" s="159"/>
      <c r="H1827" s="159"/>
      <c r="I1827" s="157"/>
      <c r="J1827" s="157"/>
      <c r="K1827" s="157"/>
      <c r="L1827" s="157"/>
      <c r="M1827" s="157"/>
      <c r="N1827" s="157"/>
      <c r="O1827" s="157"/>
      <c r="P1827" s="753"/>
      <c r="AK1827" s="40">
        <v>1824.0</v>
      </c>
      <c r="AL1827" s="719" t="s">
        <v>4226</v>
      </c>
      <c r="AM1827" s="720" t="s">
        <v>2288</v>
      </c>
      <c r="AN1827" s="720" t="s">
        <v>2289</v>
      </c>
      <c r="AO1827" s="722">
        <v>0.043</v>
      </c>
      <c r="AP1827" s="722" t="s">
        <v>2290</v>
      </c>
    </row>
    <row r="1828">
      <c r="A1828" s="159"/>
      <c r="B1828" s="159"/>
      <c r="C1828" s="159"/>
      <c r="D1828" s="159"/>
      <c r="E1828" s="159"/>
      <c r="F1828" s="159"/>
      <c r="G1828" s="159"/>
      <c r="H1828" s="159"/>
      <c r="I1828" s="157"/>
      <c r="J1828" s="157"/>
      <c r="K1828" s="157"/>
      <c r="L1828" s="157"/>
      <c r="M1828" s="157"/>
      <c r="N1828" s="157"/>
      <c r="O1828" s="157"/>
      <c r="P1828" s="753"/>
      <c r="AK1828" s="40">
        <v>1825.0</v>
      </c>
      <c r="AL1828" s="738" t="s">
        <v>4227</v>
      </c>
      <c r="AM1828" s="738" t="s">
        <v>3374</v>
      </c>
      <c r="AN1828" s="738" t="s">
        <v>3375</v>
      </c>
      <c r="AO1828" s="739">
        <v>0.1</v>
      </c>
      <c r="AP1828" s="739" t="s">
        <v>3376</v>
      </c>
    </row>
    <row r="1829">
      <c r="A1829" s="159"/>
      <c r="B1829" s="159"/>
      <c r="C1829" s="159"/>
      <c r="D1829" s="159"/>
      <c r="E1829" s="159"/>
      <c r="F1829" s="159"/>
      <c r="G1829" s="159"/>
      <c r="H1829" s="159"/>
      <c r="I1829" s="157"/>
      <c r="J1829" s="157"/>
      <c r="K1829" s="157"/>
      <c r="L1829" s="157"/>
      <c r="M1829" s="157"/>
      <c r="N1829" s="157"/>
      <c r="O1829" s="157"/>
      <c r="P1829" s="753"/>
      <c r="AK1829" s="40">
        <v>1826.0</v>
      </c>
      <c r="AL1829" s="719" t="s">
        <v>4228</v>
      </c>
      <c r="AM1829" s="720" t="s">
        <v>3378</v>
      </c>
      <c r="AN1829" s="720" t="s">
        <v>3379</v>
      </c>
      <c r="AO1829" s="722">
        <v>0.16</v>
      </c>
      <c r="AP1829" s="722" t="s">
        <v>3380</v>
      </c>
    </row>
    <row r="1830">
      <c r="A1830" s="159"/>
      <c r="B1830" s="159"/>
      <c r="C1830" s="159"/>
      <c r="D1830" s="159"/>
      <c r="E1830" s="159"/>
      <c r="F1830" s="159"/>
      <c r="G1830" s="159"/>
      <c r="H1830" s="159"/>
      <c r="I1830" s="157"/>
      <c r="J1830" s="157"/>
      <c r="K1830" s="157"/>
      <c r="L1830" s="157"/>
      <c r="M1830" s="157"/>
      <c r="N1830" s="157"/>
      <c r="O1830" s="157"/>
      <c r="P1830" s="753"/>
      <c r="AK1830" s="40">
        <v>1827.0</v>
      </c>
      <c r="AL1830" s="738" t="s">
        <v>4229</v>
      </c>
      <c r="AM1830" s="738" t="s">
        <v>3382</v>
      </c>
      <c r="AN1830" s="738" t="s">
        <v>3383</v>
      </c>
      <c r="AO1830" s="739">
        <v>0.2</v>
      </c>
      <c r="AP1830" s="739" t="s">
        <v>3384</v>
      </c>
    </row>
    <row r="1831">
      <c r="A1831" s="159"/>
      <c r="B1831" s="159"/>
      <c r="C1831" s="159"/>
      <c r="D1831" s="159"/>
      <c r="E1831" s="159"/>
      <c r="F1831" s="159"/>
      <c r="G1831" s="159"/>
      <c r="H1831" s="159"/>
      <c r="I1831" s="157"/>
      <c r="J1831" s="157"/>
      <c r="K1831" s="157"/>
      <c r="L1831" s="157"/>
      <c r="M1831" s="157"/>
      <c r="N1831" s="157"/>
      <c r="O1831" s="157"/>
      <c r="P1831" s="753"/>
      <c r="AK1831" s="40">
        <v>1828.0</v>
      </c>
      <c r="AL1831" s="719" t="s">
        <v>4230</v>
      </c>
      <c r="AM1831" s="720" t="s">
        <v>1793</v>
      </c>
      <c r="AN1831" s="720" t="s">
        <v>1794</v>
      </c>
      <c r="AO1831" s="722">
        <v>0.542</v>
      </c>
      <c r="AP1831" s="722" t="s">
        <v>1795</v>
      </c>
    </row>
    <row r="1832">
      <c r="A1832" s="159"/>
      <c r="B1832" s="159"/>
      <c r="C1832" s="159"/>
      <c r="D1832" s="159"/>
      <c r="E1832" s="159"/>
      <c r="F1832" s="159"/>
      <c r="G1832" s="159"/>
      <c r="H1832" s="159"/>
      <c r="I1832" s="157"/>
      <c r="J1832" s="157"/>
      <c r="K1832" s="157"/>
      <c r="L1832" s="157"/>
      <c r="M1832" s="157"/>
      <c r="N1832" s="157"/>
      <c r="O1832" s="157"/>
      <c r="P1832" s="753"/>
      <c r="AK1832" s="40">
        <v>1829.0</v>
      </c>
      <c r="AL1832" s="738" t="s">
        <v>4231</v>
      </c>
      <c r="AM1832" s="738" t="s">
        <v>3922</v>
      </c>
      <c r="AN1832" s="738" t="s">
        <v>3923</v>
      </c>
      <c r="AO1832" s="739">
        <v>0.061</v>
      </c>
      <c r="AP1832" s="739" t="s">
        <v>3924</v>
      </c>
    </row>
    <row r="1833">
      <c r="A1833" s="159"/>
      <c r="B1833" s="159"/>
      <c r="C1833" s="159"/>
      <c r="D1833" s="159"/>
      <c r="E1833" s="159"/>
      <c r="F1833" s="159"/>
      <c r="G1833" s="159"/>
      <c r="H1833" s="159"/>
      <c r="I1833" s="157"/>
      <c r="J1833" s="157"/>
      <c r="K1833" s="157"/>
      <c r="L1833" s="157"/>
      <c r="M1833" s="157"/>
      <c r="N1833" s="157"/>
      <c r="O1833" s="157"/>
      <c r="P1833" s="753"/>
      <c r="AK1833" s="40">
        <v>1830.0</v>
      </c>
      <c r="AL1833" s="719" t="s">
        <v>4232</v>
      </c>
      <c r="AM1833" s="720" t="s">
        <v>2156</v>
      </c>
      <c r="AN1833" s="721"/>
      <c r="AO1833" s="722">
        <v>0.0</v>
      </c>
      <c r="AP1833" s="722" t="s">
        <v>2157</v>
      </c>
    </row>
    <row r="1834">
      <c r="A1834" s="159"/>
      <c r="B1834" s="159"/>
      <c r="C1834" s="159"/>
      <c r="D1834" s="159"/>
      <c r="E1834" s="159"/>
      <c r="F1834" s="159"/>
      <c r="G1834" s="159"/>
      <c r="H1834" s="159"/>
      <c r="I1834" s="157"/>
      <c r="J1834" s="157"/>
      <c r="K1834" s="157"/>
      <c r="L1834" s="157"/>
      <c r="M1834" s="157"/>
      <c r="N1834" s="157"/>
      <c r="O1834" s="157"/>
      <c r="P1834" s="753"/>
      <c r="AK1834" s="40">
        <v>1831.0</v>
      </c>
      <c r="AL1834" s="738" t="s">
        <v>4233</v>
      </c>
      <c r="AM1834" s="738" t="s">
        <v>4116</v>
      </c>
      <c r="AN1834" s="738" t="s">
        <v>1744</v>
      </c>
      <c r="AO1834" s="739">
        <v>0.011</v>
      </c>
      <c r="AP1834" s="739" t="s">
        <v>2286</v>
      </c>
    </row>
    <row r="1835">
      <c r="A1835" s="159"/>
      <c r="B1835" s="159"/>
      <c r="C1835" s="159"/>
      <c r="D1835" s="159"/>
      <c r="E1835" s="159"/>
      <c r="F1835" s="159"/>
      <c r="G1835" s="159"/>
      <c r="H1835" s="159"/>
      <c r="I1835" s="157"/>
      <c r="J1835" s="157"/>
      <c r="K1835" s="157"/>
      <c r="L1835" s="157"/>
      <c r="M1835" s="157"/>
      <c r="N1835" s="157"/>
      <c r="O1835" s="157"/>
      <c r="P1835" s="753"/>
      <c r="AK1835" s="40">
        <v>1832.0</v>
      </c>
      <c r="AL1835" s="719" t="s">
        <v>4234</v>
      </c>
      <c r="AM1835" s="720" t="s">
        <v>4118</v>
      </c>
      <c r="AN1835" s="720" t="s">
        <v>1744</v>
      </c>
      <c r="AO1835" s="722">
        <v>0.043</v>
      </c>
      <c r="AP1835" s="722" t="s">
        <v>2290</v>
      </c>
    </row>
    <row r="1836">
      <c r="A1836" s="159"/>
      <c r="B1836" s="159"/>
      <c r="C1836" s="159"/>
      <c r="D1836" s="159"/>
      <c r="E1836" s="159"/>
      <c r="F1836" s="159"/>
      <c r="G1836" s="159"/>
      <c r="H1836" s="159"/>
      <c r="I1836" s="157"/>
      <c r="J1836" s="157"/>
      <c r="K1836" s="157"/>
      <c r="L1836" s="157"/>
      <c r="M1836" s="157"/>
      <c r="N1836" s="157"/>
      <c r="O1836" s="157"/>
      <c r="P1836" s="753"/>
      <c r="AK1836" s="40">
        <v>1833.0</v>
      </c>
      <c r="AL1836" s="738" t="s">
        <v>4235</v>
      </c>
      <c r="AM1836" s="738" t="s">
        <v>4120</v>
      </c>
      <c r="AN1836" s="738" t="s">
        <v>1744</v>
      </c>
      <c r="AO1836" s="739">
        <v>0.1</v>
      </c>
      <c r="AP1836" s="739" t="s">
        <v>3376</v>
      </c>
    </row>
    <row r="1837">
      <c r="A1837" s="159"/>
      <c r="B1837" s="159"/>
      <c r="C1837" s="159"/>
      <c r="D1837" s="159"/>
      <c r="E1837" s="159"/>
      <c r="F1837" s="159"/>
      <c r="G1837" s="159"/>
      <c r="H1837" s="159"/>
      <c r="I1837" s="157"/>
      <c r="J1837" s="157"/>
      <c r="K1837" s="157"/>
      <c r="L1837" s="157"/>
      <c r="M1837" s="157"/>
      <c r="N1837" s="157"/>
      <c r="O1837" s="157"/>
      <c r="P1837" s="753"/>
      <c r="AK1837" s="40">
        <v>1834.0</v>
      </c>
      <c r="AL1837" s="719" t="s">
        <v>4236</v>
      </c>
      <c r="AM1837" s="720" t="s">
        <v>4122</v>
      </c>
      <c r="AN1837" s="720" t="s">
        <v>1744</v>
      </c>
      <c r="AO1837" s="722">
        <v>0.16</v>
      </c>
      <c r="AP1837" s="722" t="s">
        <v>3380</v>
      </c>
    </row>
    <row r="1838">
      <c r="A1838" s="159"/>
      <c r="B1838" s="159"/>
      <c r="C1838" s="159"/>
      <c r="D1838" s="159"/>
      <c r="E1838" s="159"/>
      <c r="F1838" s="159"/>
      <c r="G1838" s="159"/>
      <c r="H1838" s="159"/>
      <c r="I1838" s="157"/>
      <c r="J1838" s="157"/>
      <c r="K1838" s="157"/>
      <c r="L1838" s="157"/>
      <c r="M1838" s="157"/>
      <c r="N1838" s="157"/>
      <c r="O1838" s="157"/>
      <c r="P1838" s="753"/>
      <c r="AK1838" s="40">
        <v>1835.0</v>
      </c>
      <c r="AL1838" s="738" t="s">
        <v>4237</v>
      </c>
      <c r="AM1838" s="738" t="s">
        <v>4124</v>
      </c>
      <c r="AN1838" s="738" t="s">
        <v>1744</v>
      </c>
      <c r="AO1838" s="739">
        <v>0.2</v>
      </c>
      <c r="AP1838" s="739" t="s">
        <v>3384</v>
      </c>
    </row>
    <row r="1839">
      <c r="A1839" s="159"/>
      <c r="B1839" s="159"/>
      <c r="C1839" s="159"/>
      <c r="D1839" s="159"/>
      <c r="E1839" s="159"/>
      <c r="F1839" s="159"/>
      <c r="G1839" s="159"/>
      <c r="H1839" s="159"/>
      <c r="I1839" s="157"/>
      <c r="J1839" s="157"/>
      <c r="K1839" s="157"/>
      <c r="L1839" s="157"/>
      <c r="M1839" s="157"/>
      <c r="N1839" s="157"/>
      <c r="O1839" s="157"/>
      <c r="P1839" s="753"/>
      <c r="AK1839" s="40">
        <v>1836.0</v>
      </c>
      <c r="AL1839" s="719" t="s">
        <v>4238</v>
      </c>
      <c r="AM1839" s="720" t="s">
        <v>4126</v>
      </c>
      <c r="AN1839" s="720" t="s">
        <v>1744</v>
      </c>
      <c r="AO1839" s="722">
        <v>0.069</v>
      </c>
      <c r="AP1839" s="722" t="s">
        <v>2840</v>
      </c>
    </row>
    <row r="1840">
      <c r="A1840" s="159"/>
      <c r="B1840" s="159"/>
      <c r="C1840" s="159"/>
      <c r="D1840" s="159"/>
      <c r="E1840" s="159"/>
      <c r="F1840" s="159"/>
      <c r="G1840" s="159"/>
      <c r="H1840" s="159"/>
      <c r="I1840" s="157"/>
      <c r="J1840" s="157"/>
      <c r="K1840" s="157"/>
      <c r="L1840" s="157"/>
      <c r="M1840" s="157"/>
      <c r="N1840" s="157"/>
      <c r="O1840" s="157"/>
      <c r="P1840" s="753"/>
      <c r="AK1840" s="40">
        <v>1837.0</v>
      </c>
      <c r="AL1840" s="738" t="s">
        <v>4239</v>
      </c>
      <c r="AM1840" s="738" t="s">
        <v>4128</v>
      </c>
      <c r="AN1840" s="738" t="s">
        <v>1744</v>
      </c>
      <c r="AO1840" s="739">
        <v>0.377</v>
      </c>
      <c r="AP1840" s="739" t="s">
        <v>3153</v>
      </c>
    </row>
    <row r="1841">
      <c r="A1841" s="159"/>
      <c r="B1841" s="159"/>
      <c r="C1841" s="159"/>
      <c r="D1841" s="159"/>
      <c r="E1841" s="159"/>
      <c r="F1841" s="159"/>
      <c r="G1841" s="159"/>
      <c r="H1841" s="159"/>
      <c r="I1841" s="157"/>
      <c r="J1841" s="157"/>
      <c r="K1841" s="157"/>
      <c r="L1841" s="157"/>
      <c r="M1841" s="157"/>
      <c r="N1841" s="157"/>
      <c r="O1841" s="157"/>
      <c r="P1841" s="753"/>
      <c r="AK1841" s="40">
        <v>1838.0</v>
      </c>
      <c r="AL1841" s="719" t="s">
        <v>4240</v>
      </c>
      <c r="AM1841" s="720" t="s">
        <v>4130</v>
      </c>
      <c r="AN1841" s="720" t="s">
        <v>1744</v>
      </c>
      <c r="AO1841" s="722">
        <v>0.449</v>
      </c>
      <c r="AP1841" s="722" t="s">
        <v>3157</v>
      </c>
    </row>
    <row r="1842">
      <c r="A1842" s="159"/>
      <c r="B1842" s="159"/>
      <c r="C1842" s="159"/>
      <c r="D1842" s="159"/>
      <c r="E1842" s="159"/>
      <c r="F1842" s="159"/>
      <c r="G1842" s="159"/>
      <c r="H1842" s="159"/>
      <c r="I1842" s="157"/>
      <c r="J1842" s="157"/>
      <c r="K1842" s="157"/>
      <c r="L1842" s="157"/>
      <c r="M1842" s="157"/>
      <c r="N1842" s="157"/>
      <c r="O1842" s="157"/>
      <c r="P1842" s="753"/>
      <c r="AK1842" s="40">
        <v>1839.0</v>
      </c>
      <c r="AL1842" s="738" t="s">
        <v>4241</v>
      </c>
      <c r="AM1842" s="738" t="s">
        <v>4132</v>
      </c>
      <c r="AN1842" s="738" t="s">
        <v>1744</v>
      </c>
      <c r="AO1842" s="739">
        <v>0.079</v>
      </c>
      <c r="AP1842" s="739" t="s">
        <v>4133</v>
      </c>
    </row>
    <row r="1843">
      <c r="A1843" s="159"/>
      <c r="B1843" s="159"/>
      <c r="C1843" s="159"/>
      <c r="D1843" s="159"/>
      <c r="E1843" s="159"/>
      <c r="F1843" s="159"/>
      <c r="G1843" s="159"/>
      <c r="H1843" s="159"/>
      <c r="I1843" s="157"/>
      <c r="J1843" s="157"/>
      <c r="K1843" s="157"/>
      <c r="L1843" s="157"/>
      <c r="M1843" s="157"/>
      <c r="N1843" s="157"/>
      <c r="O1843" s="157"/>
      <c r="P1843" s="753"/>
      <c r="AK1843" s="40">
        <v>1840.0</v>
      </c>
      <c r="AL1843" s="719" t="s">
        <v>4242</v>
      </c>
      <c r="AM1843" s="720" t="s">
        <v>4135</v>
      </c>
      <c r="AN1843" s="720" t="s">
        <v>1744</v>
      </c>
      <c r="AO1843" s="722">
        <v>0.109</v>
      </c>
      <c r="AP1843" s="722" t="s">
        <v>4136</v>
      </c>
    </row>
    <row r="1844">
      <c r="A1844" s="159"/>
      <c r="B1844" s="159"/>
      <c r="C1844" s="159"/>
      <c r="D1844" s="159"/>
      <c r="E1844" s="159"/>
      <c r="F1844" s="159"/>
      <c r="G1844" s="159"/>
      <c r="H1844" s="159"/>
      <c r="I1844" s="157"/>
      <c r="J1844" s="157"/>
      <c r="K1844" s="157"/>
      <c r="L1844" s="157"/>
      <c r="M1844" s="157"/>
      <c r="N1844" s="157"/>
      <c r="O1844" s="157"/>
      <c r="P1844" s="753"/>
      <c r="AK1844" s="40">
        <v>1841.0</v>
      </c>
      <c r="AL1844" s="738" t="s">
        <v>4243</v>
      </c>
      <c r="AM1844" s="738" t="s">
        <v>4138</v>
      </c>
      <c r="AN1844" s="738" t="s">
        <v>1744</v>
      </c>
      <c r="AO1844" s="739">
        <v>0.162</v>
      </c>
      <c r="AP1844" s="739" t="s">
        <v>4139</v>
      </c>
    </row>
    <row r="1845">
      <c r="A1845" s="159"/>
      <c r="B1845" s="159"/>
      <c r="C1845" s="159"/>
      <c r="D1845" s="159"/>
      <c r="E1845" s="159"/>
      <c r="F1845" s="159"/>
      <c r="G1845" s="159"/>
      <c r="H1845" s="159"/>
      <c r="I1845" s="157"/>
      <c r="J1845" s="157"/>
      <c r="K1845" s="157"/>
      <c r="L1845" s="157"/>
      <c r="M1845" s="157"/>
      <c r="N1845" s="157"/>
      <c r="O1845" s="157"/>
      <c r="P1845" s="753"/>
      <c r="AK1845" s="40">
        <v>1842.0</v>
      </c>
      <c r="AL1845" s="719" t="s">
        <v>4244</v>
      </c>
      <c r="AM1845" s="720" t="s">
        <v>4141</v>
      </c>
      <c r="AN1845" s="720" t="s">
        <v>1744</v>
      </c>
      <c r="AO1845" s="722">
        <v>0.218</v>
      </c>
      <c r="AP1845" s="722" t="s">
        <v>4142</v>
      </c>
    </row>
    <row r="1846">
      <c r="A1846" s="159"/>
      <c r="B1846" s="159"/>
      <c r="C1846" s="159"/>
      <c r="D1846" s="159"/>
      <c r="E1846" s="159"/>
      <c r="F1846" s="159"/>
      <c r="G1846" s="159"/>
      <c r="H1846" s="159"/>
      <c r="I1846" s="157"/>
      <c r="J1846" s="157"/>
      <c r="K1846" s="157"/>
      <c r="L1846" s="157"/>
      <c r="M1846" s="157"/>
      <c r="N1846" s="157"/>
      <c r="O1846" s="157"/>
      <c r="P1846" s="753"/>
      <c r="AK1846" s="40">
        <v>1843.0</v>
      </c>
      <c r="AL1846" s="738" t="s">
        <v>4245</v>
      </c>
      <c r="AM1846" s="738" t="s">
        <v>4144</v>
      </c>
      <c r="AN1846" s="738" t="s">
        <v>1744</v>
      </c>
      <c r="AO1846" s="739">
        <v>0.255</v>
      </c>
      <c r="AP1846" s="739" t="s">
        <v>4145</v>
      </c>
    </row>
    <row r="1847">
      <c r="A1847" s="159"/>
      <c r="B1847" s="159"/>
      <c r="C1847" s="159"/>
      <c r="D1847" s="159"/>
      <c r="E1847" s="159"/>
      <c r="F1847" s="159"/>
      <c r="G1847" s="159"/>
      <c r="H1847" s="159"/>
      <c r="I1847" s="157"/>
      <c r="J1847" s="157"/>
      <c r="K1847" s="157"/>
      <c r="L1847" s="157"/>
      <c r="M1847" s="157"/>
      <c r="N1847" s="157"/>
      <c r="O1847" s="157"/>
      <c r="P1847" s="753"/>
      <c r="AK1847" s="40">
        <v>1844.0</v>
      </c>
      <c r="AL1847" s="719" t="s">
        <v>4246</v>
      </c>
      <c r="AM1847" s="720" t="s">
        <v>4147</v>
      </c>
      <c r="AN1847" s="720" t="s">
        <v>1744</v>
      </c>
      <c r="AO1847" s="722">
        <v>0.384</v>
      </c>
      <c r="AP1847" s="722" t="s">
        <v>4148</v>
      </c>
    </row>
    <row r="1848">
      <c r="A1848" s="159"/>
      <c r="B1848" s="159"/>
      <c r="C1848" s="159"/>
      <c r="D1848" s="159"/>
      <c r="E1848" s="159"/>
      <c r="F1848" s="159"/>
      <c r="G1848" s="159"/>
      <c r="H1848" s="159"/>
      <c r="I1848" s="157"/>
      <c r="J1848" s="157"/>
      <c r="K1848" s="157"/>
      <c r="L1848" s="157"/>
      <c r="M1848" s="157"/>
      <c r="N1848" s="157"/>
      <c r="O1848" s="157"/>
      <c r="P1848" s="753"/>
      <c r="AK1848" s="40">
        <v>1845.0</v>
      </c>
      <c r="AL1848" s="738" t="s">
        <v>4247</v>
      </c>
      <c r="AM1848" s="738" t="s">
        <v>4150</v>
      </c>
      <c r="AN1848" s="738" t="s">
        <v>1744</v>
      </c>
      <c r="AO1848" s="739">
        <v>0.403</v>
      </c>
      <c r="AP1848" s="739" t="s">
        <v>4151</v>
      </c>
    </row>
    <row r="1849">
      <c r="A1849" s="159"/>
      <c r="B1849" s="159"/>
      <c r="C1849" s="159"/>
      <c r="D1849" s="159"/>
      <c r="E1849" s="159"/>
      <c r="F1849" s="159"/>
      <c r="G1849" s="159"/>
      <c r="H1849" s="159"/>
      <c r="I1849" s="157"/>
      <c r="J1849" s="157"/>
      <c r="K1849" s="157"/>
      <c r="L1849" s="157"/>
      <c r="M1849" s="157"/>
      <c r="N1849" s="157"/>
      <c r="O1849" s="157"/>
      <c r="P1849" s="753"/>
      <c r="AK1849" s="40">
        <v>1846.0</v>
      </c>
      <c r="AL1849" s="719" t="s">
        <v>4248</v>
      </c>
      <c r="AM1849" s="720" t="s">
        <v>4153</v>
      </c>
      <c r="AN1849" s="720" t="s">
        <v>1744</v>
      </c>
      <c r="AO1849" s="722">
        <v>0.438</v>
      </c>
      <c r="AP1849" s="722" t="s">
        <v>4154</v>
      </c>
    </row>
    <row r="1850">
      <c r="A1850" s="159"/>
      <c r="B1850" s="159"/>
      <c r="C1850" s="159"/>
      <c r="D1850" s="159"/>
      <c r="E1850" s="159"/>
      <c r="F1850" s="159"/>
      <c r="G1850" s="159"/>
      <c r="H1850" s="159"/>
      <c r="I1850" s="157"/>
      <c r="J1850" s="157"/>
      <c r="K1850" s="157"/>
      <c r="L1850" s="157"/>
      <c r="M1850" s="157"/>
      <c r="N1850" s="157"/>
      <c r="O1850" s="157"/>
      <c r="P1850" s="753"/>
      <c r="AK1850" s="40">
        <v>1847.0</v>
      </c>
      <c r="AL1850" s="738" t="s">
        <v>4249</v>
      </c>
      <c r="AM1850" s="738" t="s">
        <v>4156</v>
      </c>
      <c r="AN1850" s="738" t="s">
        <v>1744</v>
      </c>
      <c r="AO1850" s="739">
        <v>0.475</v>
      </c>
      <c r="AP1850" s="739" t="s">
        <v>4157</v>
      </c>
    </row>
    <row r="1851">
      <c r="A1851" s="159"/>
      <c r="B1851" s="159"/>
      <c r="C1851" s="159"/>
      <c r="D1851" s="159"/>
      <c r="E1851" s="159"/>
      <c r="F1851" s="159"/>
      <c r="G1851" s="159"/>
      <c r="H1851" s="159"/>
      <c r="I1851" s="157"/>
      <c r="J1851" s="157"/>
      <c r="K1851" s="157"/>
      <c r="L1851" s="157"/>
      <c r="M1851" s="157"/>
      <c r="N1851" s="157"/>
      <c r="O1851" s="157"/>
      <c r="P1851" s="753"/>
      <c r="AK1851" s="40">
        <v>1848.0</v>
      </c>
      <c r="AL1851" s="719" t="s">
        <v>4250</v>
      </c>
      <c r="AM1851" s="720" t="s">
        <v>4159</v>
      </c>
      <c r="AN1851" s="720" t="s">
        <v>1744</v>
      </c>
      <c r="AO1851" s="722">
        <v>0.499</v>
      </c>
      <c r="AP1851" s="722" t="s">
        <v>4160</v>
      </c>
    </row>
    <row r="1852">
      <c r="A1852" s="159"/>
      <c r="B1852" s="159"/>
      <c r="C1852" s="159"/>
      <c r="D1852" s="159"/>
      <c r="E1852" s="159"/>
      <c r="F1852" s="159"/>
      <c r="G1852" s="159"/>
      <c r="H1852" s="159"/>
      <c r="I1852" s="157"/>
      <c r="J1852" s="157"/>
      <c r="K1852" s="157"/>
      <c r="L1852" s="157"/>
      <c r="M1852" s="157"/>
      <c r="N1852" s="157"/>
      <c r="O1852" s="157"/>
      <c r="P1852" s="753"/>
      <c r="AK1852" s="40">
        <v>1849.0</v>
      </c>
      <c r="AL1852" s="738" t="s">
        <v>4251</v>
      </c>
      <c r="AM1852" s="738" t="s">
        <v>4162</v>
      </c>
      <c r="AN1852" s="738" t="s">
        <v>1744</v>
      </c>
      <c r="AO1852" s="739">
        <v>0.455</v>
      </c>
      <c r="AP1852" s="739" t="s">
        <v>4163</v>
      </c>
    </row>
    <row r="1853">
      <c r="A1853" s="159"/>
      <c r="B1853" s="159"/>
      <c r="C1853" s="159"/>
      <c r="D1853" s="159"/>
      <c r="E1853" s="159"/>
      <c r="F1853" s="159"/>
      <c r="G1853" s="159"/>
      <c r="H1853" s="159"/>
      <c r="I1853" s="157"/>
      <c r="J1853" s="157"/>
      <c r="K1853" s="157"/>
      <c r="L1853" s="157"/>
      <c r="M1853" s="157"/>
      <c r="N1853" s="157"/>
      <c r="O1853" s="157"/>
      <c r="P1853" s="753"/>
      <c r="AK1853" s="40">
        <v>1850.0</v>
      </c>
      <c r="AL1853" s="719" t="s">
        <v>4252</v>
      </c>
      <c r="AM1853" s="720" t="s">
        <v>4165</v>
      </c>
      <c r="AN1853" s="720" t="s">
        <v>1744</v>
      </c>
      <c r="AO1853" s="722">
        <v>0.472</v>
      </c>
      <c r="AP1853" s="722" t="s">
        <v>4166</v>
      </c>
    </row>
    <row r="1854">
      <c r="A1854" s="159"/>
      <c r="B1854" s="159"/>
      <c r="C1854" s="159"/>
      <c r="D1854" s="159"/>
      <c r="E1854" s="159"/>
      <c r="F1854" s="159"/>
      <c r="G1854" s="159"/>
      <c r="H1854" s="159"/>
      <c r="I1854" s="157"/>
      <c r="J1854" s="157"/>
      <c r="K1854" s="157"/>
      <c r="L1854" s="157"/>
      <c r="M1854" s="157"/>
      <c r="N1854" s="157"/>
      <c r="O1854" s="157"/>
      <c r="P1854" s="753"/>
      <c r="AK1854" s="40">
        <v>1851.0</v>
      </c>
      <c r="AL1854" s="738" t="s">
        <v>4253</v>
      </c>
      <c r="AM1854" s="738" t="s">
        <v>4168</v>
      </c>
      <c r="AN1854" s="738" t="s">
        <v>1744</v>
      </c>
      <c r="AO1854" s="739">
        <v>0.503</v>
      </c>
      <c r="AP1854" s="739" t="s">
        <v>4169</v>
      </c>
    </row>
    <row r="1855">
      <c r="A1855" s="159"/>
      <c r="B1855" s="159"/>
      <c r="C1855" s="159"/>
      <c r="D1855" s="159"/>
      <c r="E1855" s="159"/>
      <c r="F1855" s="159"/>
      <c r="G1855" s="159"/>
      <c r="H1855" s="159"/>
      <c r="I1855" s="157"/>
      <c r="J1855" s="157"/>
      <c r="K1855" s="157"/>
      <c r="L1855" s="157"/>
      <c r="M1855" s="157"/>
      <c r="N1855" s="157"/>
      <c r="O1855" s="157"/>
      <c r="P1855" s="753"/>
      <c r="AK1855" s="40">
        <v>1852.0</v>
      </c>
      <c r="AL1855" s="719" t="s">
        <v>4254</v>
      </c>
      <c r="AM1855" s="720" t="s">
        <v>4171</v>
      </c>
      <c r="AN1855" s="720" t="s">
        <v>1744</v>
      </c>
      <c r="AO1855" s="722">
        <v>0.535</v>
      </c>
      <c r="AP1855" s="722" t="s">
        <v>4172</v>
      </c>
    </row>
    <row r="1856">
      <c r="A1856" s="159"/>
      <c r="B1856" s="159"/>
      <c r="C1856" s="159"/>
      <c r="D1856" s="159"/>
      <c r="E1856" s="159"/>
      <c r="F1856" s="159"/>
      <c r="G1856" s="159"/>
      <c r="H1856" s="159"/>
      <c r="I1856" s="157"/>
      <c r="J1856" s="157"/>
      <c r="K1856" s="157"/>
      <c r="L1856" s="157"/>
      <c r="M1856" s="157"/>
      <c r="N1856" s="157"/>
      <c r="O1856" s="157"/>
      <c r="P1856" s="753"/>
      <c r="AK1856" s="40">
        <v>1853.0</v>
      </c>
      <c r="AL1856" s="738" t="s">
        <v>4255</v>
      </c>
      <c r="AM1856" s="738" t="s">
        <v>4174</v>
      </c>
      <c r="AN1856" s="738" t="s">
        <v>1744</v>
      </c>
      <c r="AO1856" s="739">
        <v>0.557</v>
      </c>
      <c r="AP1856" s="739" t="s">
        <v>4175</v>
      </c>
    </row>
    <row r="1857">
      <c r="A1857" s="159"/>
      <c r="B1857" s="159"/>
      <c r="C1857" s="159"/>
      <c r="D1857" s="159"/>
      <c r="E1857" s="159"/>
      <c r="F1857" s="159"/>
      <c r="G1857" s="159"/>
      <c r="H1857" s="159"/>
      <c r="I1857" s="157"/>
      <c r="J1857" s="157"/>
      <c r="K1857" s="157"/>
      <c r="L1857" s="157"/>
      <c r="M1857" s="157"/>
      <c r="N1857" s="157"/>
      <c r="O1857" s="157"/>
      <c r="P1857" s="753"/>
      <c r="AK1857" s="40">
        <v>1854.0</v>
      </c>
      <c r="AL1857" s="719" t="s">
        <v>4256</v>
      </c>
      <c r="AM1857" s="720" t="s">
        <v>4177</v>
      </c>
      <c r="AN1857" s="720" t="s">
        <v>1744</v>
      </c>
      <c r="AO1857" s="722">
        <v>0.079</v>
      </c>
      <c r="AP1857" s="722" t="s">
        <v>4133</v>
      </c>
    </row>
    <row r="1858">
      <c r="A1858" s="159"/>
      <c r="B1858" s="159"/>
      <c r="C1858" s="159"/>
      <c r="D1858" s="159"/>
      <c r="E1858" s="159"/>
      <c r="F1858" s="159"/>
      <c r="G1858" s="159"/>
      <c r="H1858" s="159"/>
      <c r="I1858" s="157"/>
      <c r="J1858" s="157"/>
      <c r="K1858" s="157"/>
      <c r="L1858" s="157"/>
      <c r="M1858" s="157"/>
      <c r="N1858" s="157"/>
      <c r="O1858" s="157"/>
      <c r="P1858" s="753"/>
      <c r="AK1858" s="40">
        <v>1855.0</v>
      </c>
      <c r="AL1858" s="738" t="s">
        <v>4257</v>
      </c>
      <c r="AM1858" s="738" t="s">
        <v>4179</v>
      </c>
      <c r="AN1858" s="738" t="s">
        <v>1744</v>
      </c>
      <c r="AO1858" s="739">
        <v>0.109</v>
      </c>
      <c r="AP1858" s="739" t="s">
        <v>4136</v>
      </c>
    </row>
    <row r="1859">
      <c r="A1859" s="159"/>
      <c r="B1859" s="159"/>
      <c r="C1859" s="159"/>
      <c r="D1859" s="159"/>
      <c r="E1859" s="159"/>
      <c r="F1859" s="159"/>
      <c r="G1859" s="159"/>
      <c r="H1859" s="159"/>
      <c r="I1859" s="157"/>
      <c r="J1859" s="157"/>
      <c r="K1859" s="157"/>
      <c r="L1859" s="157"/>
      <c r="M1859" s="157"/>
      <c r="N1859" s="157"/>
      <c r="O1859" s="157"/>
      <c r="P1859" s="753"/>
      <c r="AK1859" s="40">
        <v>1856.0</v>
      </c>
      <c r="AL1859" s="719" t="s">
        <v>4258</v>
      </c>
      <c r="AM1859" s="720" t="s">
        <v>4181</v>
      </c>
      <c r="AN1859" s="720" t="s">
        <v>1744</v>
      </c>
      <c r="AO1859" s="722">
        <v>0.162</v>
      </c>
      <c r="AP1859" s="722" t="s">
        <v>4139</v>
      </c>
    </row>
    <row r="1860">
      <c r="A1860" s="159"/>
      <c r="B1860" s="159"/>
      <c r="C1860" s="159"/>
      <c r="D1860" s="159"/>
      <c r="E1860" s="159"/>
      <c r="F1860" s="159"/>
      <c r="G1860" s="159"/>
      <c r="H1860" s="159"/>
      <c r="I1860" s="157"/>
      <c r="J1860" s="157"/>
      <c r="K1860" s="157"/>
      <c r="L1860" s="157"/>
      <c r="M1860" s="157"/>
      <c r="N1860" s="157"/>
      <c r="O1860" s="157"/>
      <c r="P1860" s="753"/>
      <c r="AK1860" s="40">
        <v>1857.0</v>
      </c>
      <c r="AL1860" s="738" t="s">
        <v>4259</v>
      </c>
      <c r="AM1860" s="738" t="s">
        <v>4183</v>
      </c>
      <c r="AN1860" s="738" t="s">
        <v>1744</v>
      </c>
      <c r="AO1860" s="739">
        <v>0.218</v>
      </c>
      <c r="AP1860" s="739" t="s">
        <v>4142</v>
      </c>
    </row>
    <row r="1861">
      <c r="A1861" s="159"/>
      <c r="B1861" s="159"/>
      <c r="C1861" s="159"/>
      <c r="D1861" s="159"/>
      <c r="E1861" s="159"/>
      <c r="F1861" s="159"/>
      <c r="G1861" s="159"/>
      <c r="H1861" s="159"/>
      <c r="I1861" s="157"/>
      <c r="J1861" s="157"/>
      <c r="K1861" s="157"/>
      <c r="L1861" s="157"/>
      <c r="M1861" s="157"/>
      <c r="N1861" s="157"/>
      <c r="O1861" s="157"/>
      <c r="P1861" s="753"/>
      <c r="AK1861" s="40">
        <v>1858.0</v>
      </c>
      <c r="AL1861" s="719" t="s">
        <v>4260</v>
      </c>
      <c r="AM1861" s="720" t="s">
        <v>4185</v>
      </c>
      <c r="AN1861" s="720" t="s">
        <v>1744</v>
      </c>
      <c r="AO1861" s="722">
        <v>0.255</v>
      </c>
      <c r="AP1861" s="722" t="s">
        <v>4145</v>
      </c>
    </row>
    <row r="1862">
      <c r="A1862" s="159"/>
      <c r="B1862" s="159"/>
      <c r="C1862" s="159"/>
      <c r="D1862" s="159"/>
      <c r="E1862" s="159"/>
      <c r="F1862" s="159"/>
      <c r="G1862" s="159"/>
      <c r="H1862" s="159"/>
      <c r="I1862" s="157"/>
      <c r="J1862" s="157"/>
      <c r="K1862" s="157"/>
      <c r="L1862" s="157"/>
      <c r="M1862" s="157"/>
      <c r="N1862" s="157"/>
      <c r="O1862" s="157"/>
      <c r="P1862" s="753"/>
      <c r="AK1862" s="40">
        <v>1859.0</v>
      </c>
      <c r="AL1862" s="738" t="s">
        <v>4261</v>
      </c>
      <c r="AM1862" s="738" t="s">
        <v>4187</v>
      </c>
      <c r="AN1862" s="738" t="s">
        <v>1744</v>
      </c>
      <c r="AO1862" s="739">
        <v>0.384</v>
      </c>
      <c r="AP1862" s="739" t="s">
        <v>4148</v>
      </c>
    </row>
    <row r="1863">
      <c r="A1863" s="159"/>
      <c r="B1863" s="159"/>
      <c r="C1863" s="159"/>
      <c r="D1863" s="159"/>
      <c r="E1863" s="159"/>
      <c r="F1863" s="159"/>
      <c r="G1863" s="159"/>
      <c r="H1863" s="159"/>
      <c r="I1863" s="157"/>
      <c r="J1863" s="157"/>
      <c r="K1863" s="157"/>
      <c r="L1863" s="157"/>
      <c r="M1863" s="157"/>
      <c r="N1863" s="157"/>
      <c r="O1863" s="157"/>
      <c r="P1863" s="753"/>
      <c r="AK1863" s="40">
        <v>1860.0</v>
      </c>
      <c r="AL1863" s="719" t="s">
        <v>4262</v>
      </c>
      <c r="AM1863" s="720" t="s">
        <v>4189</v>
      </c>
      <c r="AN1863" s="720" t="s">
        <v>1744</v>
      </c>
      <c r="AO1863" s="722">
        <v>0.403</v>
      </c>
      <c r="AP1863" s="722" t="s">
        <v>4151</v>
      </c>
    </row>
    <row r="1864">
      <c r="A1864" s="159"/>
      <c r="B1864" s="159"/>
      <c r="C1864" s="159"/>
      <c r="D1864" s="159"/>
      <c r="E1864" s="159"/>
      <c r="F1864" s="159"/>
      <c r="G1864" s="159"/>
      <c r="H1864" s="159"/>
      <c r="I1864" s="157"/>
      <c r="J1864" s="157"/>
      <c r="K1864" s="157"/>
      <c r="L1864" s="157"/>
      <c r="M1864" s="157"/>
      <c r="N1864" s="157"/>
      <c r="O1864" s="157"/>
      <c r="P1864" s="753"/>
      <c r="AK1864" s="40">
        <v>1861.0</v>
      </c>
      <c r="AL1864" s="738" t="s">
        <v>4263</v>
      </c>
      <c r="AM1864" s="738" t="s">
        <v>4191</v>
      </c>
      <c r="AN1864" s="738" t="s">
        <v>1744</v>
      </c>
      <c r="AO1864" s="739">
        <v>0.438</v>
      </c>
      <c r="AP1864" s="739" t="s">
        <v>4154</v>
      </c>
    </row>
    <row r="1865">
      <c r="A1865" s="159"/>
      <c r="B1865" s="159"/>
      <c r="C1865" s="159"/>
      <c r="D1865" s="159"/>
      <c r="E1865" s="159"/>
      <c r="F1865" s="159"/>
      <c r="G1865" s="159"/>
      <c r="H1865" s="159"/>
      <c r="I1865" s="157"/>
      <c r="J1865" s="157"/>
      <c r="K1865" s="157"/>
      <c r="L1865" s="157"/>
      <c r="M1865" s="157"/>
      <c r="N1865" s="157"/>
      <c r="O1865" s="157"/>
      <c r="P1865" s="753"/>
      <c r="AK1865" s="40">
        <v>1862.0</v>
      </c>
      <c r="AL1865" s="719" t="s">
        <v>4264</v>
      </c>
      <c r="AM1865" s="720" t="s">
        <v>4193</v>
      </c>
      <c r="AN1865" s="720" t="s">
        <v>1744</v>
      </c>
      <c r="AO1865" s="722">
        <v>0.475</v>
      </c>
      <c r="AP1865" s="722" t="s">
        <v>4157</v>
      </c>
    </row>
    <row r="1866">
      <c r="A1866" s="159"/>
      <c r="B1866" s="159"/>
      <c r="C1866" s="159"/>
      <c r="D1866" s="159"/>
      <c r="E1866" s="159"/>
      <c r="F1866" s="159"/>
      <c r="G1866" s="159"/>
      <c r="H1866" s="159"/>
      <c r="I1866" s="157"/>
      <c r="J1866" s="157"/>
      <c r="K1866" s="157"/>
      <c r="L1866" s="157"/>
      <c r="M1866" s="157"/>
      <c r="N1866" s="157"/>
      <c r="O1866" s="157"/>
      <c r="P1866" s="753"/>
      <c r="AK1866" s="40">
        <v>1863.0</v>
      </c>
      <c r="AL1866" s="738" t="s">
        <v>4265</v>
      </c>
      <c r="AM1866" s="738" t="s">
        <v>4195</v>
      </c>
      <c r="AN1866" s="738" t="s">
        <v>1744</v>
      </c>
      <c r="AO1866" s="739">
        <v>0.499</v>
      </c>
      <c r="AP1866" s="739" t="s">
        <v>4160</v>
      </c>
    </row>
    <row r="1867">
      <c r="A1867" s="159"/>
      <c r="B1867" s="159"/>
      <c r="C1867" s="159"/>
      <c r="D1867" s="159"/>
      <c r="E1867" s="159"/>
      <c r="F1867" s="159"/>
      <c r="G1867" s="159"/>
      <c r="H1867" s="159"/>
      <c r="I1867" s="157"/>
      <c r="J1867" s="157"/>
      <c r="K1867" s="157"/>
      <c r="L1867" s="157"/>
      <c r="M1867" s="157"/>
      <c r="N1867" s="157"/>
      <c r="O1867" s="157"/>
      <c r="P1867" s="753"/>
      <c r="AK1867" s="40">
        <v>1864.0</v>
      </c>
      <c r="AL1867" s="719" t="s">
        <v>4266</v>
      </c>
      <c r="AM1867" s="720" t="s">
        <v>4197</v>
      </c>
      <c r="AN1867" s="720" t="s">
        <v>1744</v>
      </c>
      <c r="AO1867" s="722">
        <v>0.455</v>
      </c>
      <c r="AP1867" s="722" t="s">
        <v>4163</v>
      </c>
    </row>
    <row r="1868">
      <c r="A1868" s="159"/>
      <c r="B1868" s="159"/>
      <c r="C1868" s="159"/>
      <c r="D1868" s="159"/>
      <c r="E1868" s="159"/>
      <c r="F1868" s="159"/>
      <c r="G1868" s="159"/>
      <c r="H1868" s="159"/>
      <c r="I1868" s="157"/>
      <c r="J1868" s="157"/>
      <c r="K1868" s="157"/>
      <c r="L1868" s="157"/>
      <c r="M1868" s="157"/>
      <c r="N1868" s="157"/>
      <c r="O1868" s="157"/>
      <c r="P1868" s="753"/>
      <c r="AK1868" s="40">
        <v>1865.0</v>
      </c>
      <c r="AL1868" s="738" t="s">
        <v>4267</v>
      </c>
      <c r="AM1868" s="738" t="s">
        <v>4199</v>
      </c>
      <c r="AN1868" s="738" t="s">
        <v>1744</v>
      </c>
      <c r="AO1868" s="739">
        <v>0.472</v>
      </c>
      <c r="AP1868" s="739" t="s">
        <v>4166</v>
      </c>
    </row>
    <row r="1869">
      <c r="A1869" s="159"/>
      <c r="B1869" s="159"/>
      <c r="C1869" s="159"/>
      <c r="D1869" s="159"/>
      <c r="E1869" s="159"/>
      <c r="F1869" s="159"/>
      <c r="G1869" s="159"/>
      <c r="H1869" s="159"/>
      <c r="I1869" s="157"/>
      <c r="J1869" s="157"/>
      <c r="K1869" s="157"/>
      <c r="L1869" s="157"/>
      <c r="M1869" s="157"/>
      <c r="N1869" s="157"/>
      <c r="O1869" s="157"/>
      <c r="P1869" s="753"/>
      <c r="AK1869" s="40">
        <v>1866.0</v>
      </c>
      <c r="AL1869" s="719" t="s">
        <v>4268</v>
      </c>
      <c r="AM1869" s="720" t="s">
        <v>4201</v>
      </c>
      <c r="AN1869" s="720" t="s">
        <v>1744</v>
      </c>
      <c r="AO1869" s="722">
        <v>0.503</v>
      </c>
      <c r="AP1869" s="722" t="s">
        <v>4169</v>
      </c>
    </row>
    <row r="1870">
      <c r="A1870" s="159"/>
      <c r="B1870" s="159"/>
      <c r="C1870" s="159"/>
      <c r="D1870" s="159"/>
      <c r="E1870" s="159"/>
      <c r="F1870" s="159"/>
      <c r="G1870" s="159"/>
      <c r="H1870" s="159"/>
      <c r="I1870" s="157"/>
      <c r="J1870" s="157"/>
      <c r="K1870" s="157"/>
      <c r="L1870" s="157"/>
      <c r="M1870" s="157"/>
      <c r="N1870" s="157"/>
      <c r="O1870" s="157"/>
      <c r="P1870" s="753"/>
      <c r="AK1870" s="40">
        <v>1867.0</v>
      </c>
      <c r="AL1870" s="738" t="s">
        <v>4269</v>
      </c>
      <c r="AM1870" s="738" t="s">
        <v>4203</v>
      </c>
      <c r="AN1870" s="738" t="s">
        <v>1744</v>
      </c>
      <c r="AO1870" s="739">
        <v>0.535</v>
      </c>
      <c r="AP1870" s="739" t="s">
        <v>4172</v>
      </c>
    </row>
    <row r="1871">
      <c r="A1871" s="159"/>
      <c r="B1871" s="159"/>
      <c r="C1871" s="159"/>
      <c r="D1871" s="159"/>
      <c r="E1871" s="159"/>
      <c r="F1871" s="159"/>
      <c r="G1871" s="159"/>
      <c r="H1871" s="159"/>
      <c r="I1871" s="157"/>
      <c r="J1871" s="157"/>
      <c r="K1871" s="157"/>
      <c r="L1871" s="157"/>
      <c r="M1871" s="157"/>
      <c r="N1871" s="157"/>
      <c r="O1871" s="157"/>
      <c r="P1871" s="753"/>
      <c r="AK1871" s="40">
        <v>1868.0</v>
      </c>
      <c r="AL1871" s="719" t="s">
        <v>4270</v>
      </c>
      <c r="AM1871" s="720" t="s">
        <v>4205</v>
      </c>
      <c r="AN1871" s="720" t="s">
        <v>1744</v>
      </c>
      <c r="AO1871" s="722">
        <v>0.557</v>
      </c>
      <c r="AP1871" s="722" t="s">
        <v>4175</v>
      </c>
    </row>
    <row r="1872">
      <c r="A1872" s="159"/>
      <c r="B1872" s="159"/>
      <c r="C1872" s="159"/>
      <c r="D1872" s="159"/>
      <c r="E1872" s="159"/>
      <c r="F1872" s="159"/>
      <c r="G1872" s="159"/>
      <c r="H1872" s="159"/>
      <c r="I1872" s="157"/>
      <c r="J1872" s="157"/>
      <c r="K1872" s="157"/>
      <c r="L1872" s="157"/>
      <c r="M1872" s="157"/>
      <c r="N1872" s="157"/>
      <c r="O1872" s="157"/>
      <c r="P1872" s="753"/>
      <c r="AK1872" s="40">
        <v>1869.0</v>
      </c>
      <c r="AL1872" s="738" t="s">
        <v>4271</v>
      </c>
      <c r="AM1872" s="738" t="s">
        <v>4272</v>
      </c>
      <c r="AN1872" s="738" t="s">
        <v>1744</v>
      </c>
      <c r="AO1872" s="739">
        <v>0.542</v>
      </c>
      <c r="AP1872" s="739" t="s">
        <v>1795</v>
      </c>
    </row>
    <row r="1873">
      <c r="A1873" s="159"/>
      <c r="B1873" s="159"/>
      <c r="C1873" s="159"/>
      <c r="D1873" s="159"/>
      <c r="E1873" s="159"/>
      <c r="F1873" s="159"/>
      <c r="G1873" s="159"/>
      <c r="H1873" s="159"/>
      <c r="I1873" s="157"/>
      <c r="J1873" s="157"/>
      <c r="K1873" s="157"/>
      <c r="L1873" s="157"/>
      <c r="M1873" s="157"/>
      <c r="N1873" s="157"/>
      <c r="O1873" s="157"/>
      <c r="P1873" s="753"/>
      <c r="AK1873" s="40">
        <v>1870.0</v>
      </c>
      <c r="AL1873" s="719" t="s">
        <v>4273</v>
      </c>
      <c r="AM1873" s="720" t="s">
        <v>2113</v>
      </c>
      <c r="AN1873" s="720" t="s">
        <v>2114</v>
      </c>
      <c r="AO1873" s="722">
        <v>0.011</v>
      </c>
      <c r="AP1873" s="722" t="s">
        <v>2107</v>
      </c>
    </row>
    <row r="1874">
      <c r="A1874" s="159"/>
      <c r="B1874" s="159"/>
      <c r="C1874" s="159"/>
      <c r="D1874" s="159"/>
      <c r="E1874" s="159"/>
      <c r="F1874" s="159"/>
      <c r="G1874" s="159"/>
      <c r="H1874" s="159"/>
      <c r="I1874" s="157"/>
      <c r="J1874" s="157"/>
      <c r="K1874" s="157"/>
      <c r="L1874" s="157"/>
      <c r="M1874" s="157"/>
      <c r="N1874" s="157"/>
      <c r="O1874" s="157"/>
      <c r="P1874" s="753"/>
      <c r="AK1874" s="40">
        <v>1871.0</v>
      </c>
      <c r="AL1874" s="738" t="s">
        <v>4274</v>
      </c>
      <c r="AM1874" s="738" t="s">
        <v>2024</v>
      </c>
      <c r="AN1874" s="738" t="s">
        <v>2025</v>
      </c>
      <c r="AO1874" s="739">
        <v>0.067</v>
      </c>
      <c r="AP1874" s="739" t="s">
        <v>2026</v>
      </c>
    </row>
    <row r="1875">
      <c r="A1875" s="159"/>
      <c r="B1875" s="159"/>
      <c r="C1875" s="159"/>
      <c r="D1875" s="159"/>
      <c r="E1875" s="159"/>
      <c r="F1875" s="159"/>
      <c r="G1875" s="159"/>
      <c r="H1875" s="159"/>
      <c r="I1875" s="157"/>
      <c r="J1875" s="157"/>
      <c r="K1875" s="157"/>
      <c r="L1875" s="157"/>
      <c r="M1875" s="157"/>
      <c r="N1875" s="157"/>
      <c r="O1875" s="157"/>
      <c r="P1875" s="753"/>
      <c r="AK1875" s="40">
        <v>1872.0</v>
      </c>
      <c r="AL1875" s="719" t="s">
        <v>4275</v>
      </c>
      <c r="AM1875" s="720" t="s">
        <v>2179</v>
      </c>
      <c r="AN1875" s="720" t="s">
        <v>2180</v>
      </c>
      <c r="AO1875" s="722">
        <v>0.188</v>
      </c>
      <c r="AP1875" s="722" t="s">
        <v>2181</v>
      </c>
    </row>
    <row r="1876">
      <c r="A1876" s="159"/>
      <c r="B1876" s="159"/>
      <c r="C1876" s="159"/>
      <c r="D1876" s="159"/>
      <c r="E1876" s="159"/>
      <c r="F1876" s="159"/>
      <c r="G1876" s="159"/>
      <c r="H1876" s="159"/>
      <c r="I1876" s="157"/>
      <c r="J1876" s="157"/>
      <c r="K1876" s="157"/>
      <c r="L1876" s="157"/>
      <c r="M1876" s="157"/>
      <c r="N1876" s="157"/>
      <c r="O1876" s="157"/>
      <c r="P1876" s="753"/>
      <c r="AK1876" s="40">
        <v>1873.0</v>
      </c>
      <c r="AL1876" s="738" t="s">
        <v>4276</v>
      </c>
      <c r="AM1876" s="738" t="s">
        <v>4277</v>
      </c>
      <c r="AN1876" s="738" t="s">
        <v>1744</v>
      </c>
      <c r="AO1876" s="739">
        <v>0.076</v>
      </c>
      <c r="AP1876" s="739" t="s">
        <v>4278</v>
      </c>
    </row>
    <row r="1877">
      <c r="A1877" s="159"/>
      <c r="B1877" s="159"/>
      <c r="C1877" s="159"/>
      <c r="D1877" s="159"/>
      <c r="E1877" s="159"/>
      <c r="F1877" s="159"/>
      <c r="G1877" s="159"/>
      <c r="H1877" s="159"/>
      <c r="I1877" s="157"/>
      <c r="J1877" s="157"/>
      <c r="K1877" s="157"/>
      <c r="L1877" s="157"/>
      <c r="M1877" s="157"/>
      <c r="N1877" s="157"/>
      <c r="O1877" s="157"/>
      <c r="P1877" s="753"/>
      <c r="AK1877" s="40">
        <v>1874.0</v>
      </c>
      <c r="AL1877" s="719" t="s">
        <v>4279</v>
      </c>
      <c r="AM1877" s="720" t="s">
        <v>4280</v>
      </c>
      <c r="AN1877" s="720" t="s">
        <v>1744</v>
      </c>
      <c r="AO1877" s="722">
        <v>0.124</v>
      </c>
      <c r="AP1877" s="722" t="s">
        <v>4281</v>
      </c>
    </row>
    <row r="1878">
      <c r="A1878" s="159"/>
      <c r="B1878" s="159"/>
      <c r="C1878" s="159"/>
      <c r="D1878" s="159"/>
      <c r="E1878" s="159"/>
      <c r="F1878" s="159"/>
      <c r="G1878" s="159"/>
      <c r="H1878" s="159"/>
      <c r="I1878" s="157"/>
      <c r="J1878" s="157"/>
      <c r="K1878" s="157"/>
      <c r="L1878" s="157"/>
      <c r="M1878" s="157"/>
      <c r="N1878" s="157"/>
      <c r="O1878" s="157"/>
      <c r="P1878" s="753"/>
      <c r="AK1878" s="40">
        <v>1875.0</v>
      </c>
      <c r="AL1878" s="738" t="s">
        <v>4282</v>
      </c>
      <c r="AM1878" s="738" t="s">
        <v>4283</v>
      </c>
      <c r="AN1878" s="738" t="s">
        <v>1744</v>
      </c>
      <c r="AO1878" s="739">
        <v>0.196</v>
      </c>
      <c r="AP1878" s="739" t="s">
        <v>4284</v>
      </c>
    </row>
    <row r="1879">
      <c r="A1879" s="159"/>
      <c r="B1879" s="159"/>
      <c r="C1879" s="159"/>
      <c r="D1879" s="159"/>
      <c r="E1879" s="159"/>
      <c r="F1879" s="159"/>
      <c r="G1879" s="159"/>
      <c r="H1879" s="159"/>
      <c r="I1879" s="157"/>
      <c r="J1879" s="157"/>
      <c r="K1879" s="157"/>
      <c r="L1879" s="157"/>
      <c r="M1879" s="157"/>
      <c r="N1879" s="157"/>
      <c r="O1879" s="157"/>
      <c r="P1879" s="753"/>
      <c r="AK1879" s="40">
        <v>1876.0</v>
      </c>
      <c r="AL1879" s="719" t="s">
        <v>4285</v>
      </c>
      <c r="AM1879" s="720" t="s">
        <v>4286</v>
      </c>
      <c r="AN1879" s="720" t="s">
        <v>1744</v>
      </c>
      <c r="AO1879" s="722">
        <v>0.237</v>
      </c>
      <c r="AP1879" s="722" t="s">
        <v>4287</v>
      </c>
    </row>
    <row r="1880">
      <c r="A1880" s="159"/>
      <c r="B1880" s="159"/>
      <c r="C1880" s="159"/>
      <c r="D1880" s="159"/>
      <c r="E1880" s="159"/>
      <c r="F1880" s="159"/>
      <c r="G1880" s="159"/>
      <c r="H1880" s="159"/>
      <c r="I1880" s="157"/>
      <c r="J1880" s="157"/>
      <c r="K1880" s="157"/>
      <c r="L1880" s="157"/>
      <c r="M1880" s="157"/>
      <c r="N1880" s="157"/>
      <c r="O1880" s="157"/>
      <c r="P1880" s="753"/>
      <c r="AK1880" s="40">
        <v>1877.0</v>
      </c>
      <c r="AL1880" s="738" t="s">
        <v>4288</v>
      </c>
      <c r="AM1880" s="738" t="s">
        <v>2024</v>
      </c>
      <c r="AN1880" s="738" t="s">
        <v>2025</v>
      </c>
      <c r="AO1880" s="739">
        <v>0.067</v>
      </c>
      <c r="AP1880" s="739" t="s">
        <v>2026</v>
      </c>
    </row>
    <row r="1881">
      <c r="A1881" s="159"/>
      <c r="B1881" s="159"/>
      <c r="C1881" s="159"/>
      <c r="D1881" s="159"/>
      <c r="E1881" s="159"/>
      <c r="F1881" s="159"/>
      <c r="G1881" s="159"/>
      <c r="H1881" s="159"/>
      <c r="I1881" s="157"/>
      <c r="J1881" s="157"/>
      <c r="K1881" s="157"/>
      <c r="L1881" s="157"/>
      <c r="M1881" s="157"/>
      <c r="N1881" s="157"/>
      <c r="O1881" s="157"/>
      <c r="P1881" s="753"/>
      <c r="AK1881" s="40">
        <v>1878.0</v>
      </c>
      <c r="AL1881" s="719" t="s">
        <v>4289</v>
      </c>
      <c r="AM1881" s="720" t="s">
        <v>2179</v>
      </c>
      <c r="AN1881" s="720" t="s">
        <v>2180</v>
      </c>
      <c r="AO1881" s="722">
        <v>0.188</v>
      </c>
      <c r="AP1881" s="722" t="s">
        <v>2181</v>
      </c>
    </row>
    <row r="1882">
      <c r="A1882" s="159"/>
      <c r="B1882" s="159"/>
      <c r="C1882" s="159"/>
      <c r="D1882" s="159"/>
      <c r="E1882" s="159"/>
      <c r="F1882" s="159"/>
      <c r="G1882" s="159"/>
      <c r="H1882" s="159"/>
      <c r="I1882" s="157"/>
      <c r="J1882" s="157"/>
      <c r="K1882" s="157"/>
      <c r="L1882" s="157"/>
      <c r="M1882" s="157"/>
      <c r="N1882" s="157"/>
      <c r="O1882" s="157"/>
      <c r="P1882" s="753"/>
      <c r="AK1882" s="40">
        <v>1879.0</v>
      </c>
      <c r="AL1882" s="738" t="s">
        <v>4290</v>
      </c>
      <c r="AM1882" s="738" t="s">
        <v>4277</v>
      </c>
      <c r="AN1882" s="738" t="s">
        <v>1744</v>
      </c>
      <c r="AO1882" s="739">
        <v>0.076</v>
      </c>
      <c r="AP1882" s="739" t="s">
        <v>4278</v>
      </c>
    </row>
    <row r="1883">
      <c r="A1883" s="159"/>
      <c r="B1883" s="159"/>
      <c r="C1883" s="159"/>
      <c r="D1883" s="159"/>
      <c r="E1883" s="159"/>
      <c r="F1883" s="159"/>
      <c r="G1883" s="159"/>
      <c r="H1883" s="159"/>
      <c r="I1883" s="157"/>
      <c r="J1883" s="157"/>
      <c r="K1883" s="157"/>
      <c r="L1883" s="157"/>
      <c r="M1883" s="157"/>
      <c r="N1883" s="157"/>
      <c r="O1883" s="157"/>
      <c r="P1883" s="753"/>
      <c r="AK1883" s="40">
        <v>1880.0</v>
      </c>
      <c r="AL1883" s="719" t="s">
        <v>4291</v>
      </c>
      <c r="AM1883" s="720" t="s">
        <v>4280</v>
      </c>
      <c r="AN1883" s="720" t="s">
        <v>1744</v>
      </c>
      <c r="AO1883" s="722">
        <v>0.124</v>
      </c>
      <c r="AP1883" s="722" t="s">
        <v>4281</v>
      </c>
    </row>
    <row r="1884">
      <c r="A1884" s="159"/>
      <c r="B1884" s="159"/>
      <c r="C1884" s="159"/>
      <c r="D1884" s="159"/>
      <c r="E1884" s="159"/>
      <c r="F1884" s="159"/>
      <c r="G1884" s="159"/>
      <c r="H1884" s="159"/>
      <c r="I1884" s="157"/>
      <c r="J1884" s="157"/>
      <c r="K1884" s="157"/>
      <c r="L1884" s="157"/>
      <c r="M1884" s="157"/>
      <c r="N1884" s="157"/>
      <c r="O1884" s="157"/>
      <c r="P1884" s="753"/>
      <c r="AK1884" s="40">
        <v>1881.0</v>
      </c>
      <c r="AL1884" s="738" t="s">
        <v>4292</v>
      </c>
      <c r="AM1884" s="738" t="s">
        <v>4283</v>
      </c>
      <c r="AN1884" s="738" t="s">
        <v>1744</v>
      </c>
      <c r="AO1884" s="739">
        <v>0.196</v>
      </c>
      <c r="AP1884" s="739" t="s">
        <v>4284</v>
      </c>
    </row>
    <row r="1885">
      <c r="A1885" s="159"/>
      <c r="B1885" s="159"/>
      <c r="C1885" s="159"/>
      <c r="D1885" s="159"/>
      <c r="E1885" s="159"/>
      <c r="F1885" s="159"/>
      <c r="G1885" s="159"/>
      <c r="H1885" s="159"/>
      <c r="I1885" s="157"/>
      <c r="J1885" s="157"/>
      <c r="K1885" s="157"/>
      <c r="L1885" s="157"/>
      <c r="M1885" s="157"/>
      <c r="N1885" s="157"/>
      <c r="O1885" s="157"/>
      <c r="P1885" s="753"/>
      <c r="AK1885" s="40">
        <v>1882.0</v>
      </c>
      <c r="AL1885" s="719" t="s">
        <v>4293</v>
      </c>
      <c r="AM1885" s="720" t="s">
        <v>4286</v>
      </c>
      <c r="AN1885" s="720" t="s">
        <v>1744</v>
      </c>
      <c r="AO1885" s="722">
        <v>0.237</v>
      </c>
      <c r="AP1885" s="722" t="s">
        <v>4287</v>
      </c>
    </row>
    <row r="1886">
      <c r="A1886" s="159"/>
      <c r="B1886" s="159"/>
      <c r="C1886" s="159"/>
      <c r="D1886" s="159"/>
      <c r="E1886" s="159"/>
      <c r="F1886" s="159"/>
      <c r="G1886" s="159"/>
      <c r="H1886" s="159"/>
      <c r="I1886" s="157"/>
      <c r="J1886" s="157"/>
      <c r="K1886" s="157"/>
      <c r="L1886" s="157"/>
      <c r="M1886" s="157"/>
      <c r="N1886" s="157"/>
      <c r="O1886" s="157"/>
      <c r="P1886" s="753"/>
      <c r="AK1886" s="40">
        <v>1883.0</v>
      </c>
      <c r="AL1886" s="738" t="s">
        <v>4294</v>
      </c>
      <c r="AM1886" s="738" t="s">
        <v>2713</v>
      </c>
      <c r="AN1886" s="738" t="s">
        <v>2714</v>
      </c>
      <c r="AO1886" s="739">
        <v>0.139</v>
      </c>
      <c r="AP1886" s="739" t="s">
        <v>2715</v>
      </c>
    </row>
    <row r="1887">
      <c r="A1887" s="159"/>
      <c r="B1887" s="159"/>
      <c r="C1887" s="159"/>
      <c r="D1887" s="159"/>
      <c r="E1887" s="159"/>
      <c r="F1887" s="159"/>
      <c r="G1887" s="159"/>
      <c r="H1887" s="159"/>
      <c r="I1887" s="157"/>
      <c r="J1887" s="157"/>
      <c r="K1887" s="157"/>
      <c r="L1887" s="157"/>
      <c r="M1887" s="157"/>
      <c r="N1887" s="157"/>
      <c r="O1887" s="157"/>
      <c r="P1887" s="753"/>
      <c r="AK1887" s="40">
        <v>1884.0</v>
      </c>
      <c r="AL1887" s="719" t="s">
        <v>4295</v>
      </c>
      <c r="AM1887" s="720" t="s">
        <v>2717</v>
      </c>
      <c r="AN1887" s="720" t="s">
        <v>2718</v>
      </c>
      <c r="AO1887" s="722">
        <v>0.017</v>
      </c>
      <c r="AP1887" s="722" t="s">
        <v>2719</v>
      </c>
    </row>
    <row r="1888">
      <c r="A1888" s="159"/>
      <c r="B1888" s="159"/>
      <c r="C1888" s="159"/>
      <c r="D1888" s="159"/>
      <c r="E1888" s="159"/>
      <c r="F1888" s="159"/>
      <c r="G1888" s="159"/>
      <c r="H1888" s="159"/>
      <c r="I1888" s="157"/>
      <c r="J1888" s="157"/>
      <c r="K1888" s="157"/>
      <c r="L1888" s="157"/>
      <c r="M1888" s="157"/>
      <c r="N1888" s="157"/>
      <c r="O1888" s="157"/>
      <c r="P1888" s="753"/>
      <c r="AK1888" s="40">
        <v>1885.0</v>
      </c>
      <c r="AL1888" s="738" t="s">
        <v>4296</v>
      </c>
      <c r="AM1888" s="738" t="s">
        <v>2717</v>
      </c>
      <c r="AN1888" s="738" t="s">
        <v>2718</v>
      </c>
      <c r="AO1888" s="739">
        <v>0.017</v>
      </c>
      <c r="AP1888" s="739" t="s">
        <v>2719</v>
      </c>
    </row>
    <row r="1889">
      <c r="A1889" s="159"/>
      <c r="B1889" s="159"/>
      <c r="C1889" s="159"/>
      <c r="D1889" s="159"/>
      <c r="E1889" s="159"/>
      <c r="F1889" s="159"/>
      <c r="G1889" s="159"/>
      <c r="H1889" s="159"/>
      <c r="I1889" s="157"/>
      <c r="J1889" s="157"/>
      <c r="K1889" s="157"/>
      <c r="L1889" s="157"/>
      <c r="M1889" s="157"/>
      <c r="N1889" s="157"/>
      <c r="O1889" s="157"/>
      <c r="P1889" s="753"/>
      <c r="AK1889" s="40">
        <v>1886.0</v>
      </c>
      <c r="AL1889" s="719" t="s">
        <v>4297</v>
      </c>
      <c r="AM1889" s="720" t="s">
        <v>2123</v>
      </c>
      <c r="AN1889" s="720" t="s">
        <v>2124</v>
      </c>
      <c r="AO1889" s="722">
        <v>0.008</v>
      </c>
      <c r="AP1889" s="722" t="s">
        <v>2125</v>
      </c>
    </row>
    <row r="1890">
      <c r="A1890" s="159"/>
      <c r="B1890" s="159"/>
      <c r="C1890" s="159"/>
      <c r="D1890" s="159"/>
      <c r="E1890" s="159"/>
      <c r="F1890" s="159"/>
      <c r="G1890" s="159"/>
      <c r="H1890" s="159"/>
      <c r="I1890" s="157"/>
      <c r="J1890" s="157"/>
      <c r="K1890" s="157"/>
      <c r="L1890" s="157"/>
      <c r="M1890" s="157"/>
      <c r="N1890" s="157"/>
      <c r="O1890" s="157"/>
      <c r="P1890" s="753"/>
      <c r="AK1890" s="40">
        <v>1887.0</v>
      </c>
      <c r="AL1890" s="738" t="s">
        <v>4298</v>
      </c>
      <c r="AM1890" s="738" t="s">
        <v>2105</v>
      </c>
      <c r="AN1890" s="738" t="s">
        <v>2106</v>
      </c>
      <c r="AO1890" s="739">
        <v>0.011</v>
      </c>
      <c r="AP1890" s="739" t="s">
        <v>2107</v>
      </c>
    </row>
    <row r="1891">
      <c r="A1891" s="159"/>
      <c r="B1891" s="159"/>
      <c r="C1891" s="159"/>
      <c r="D1891" s="159"/>
      <c r="E1891" s="159"/>
      <c r="F1891" s="159"/>
      <c r="G1891" s="159"/>
      <c r="H1891" s="159"/>
      <c r="I1891" s="157"/>
      <c r="J1891" s="157"/>
      <c r="K1891" s="157"/>
      <c r="L1891" s="157"/>
      <c r="M1891" s="157"/>
      <c r="N1891" s="157"/>
      <c r="O1891" s="157"/>
      <c r="P1891" s="753"/>
      <c r="AK1891" s="40">
        <v>1888.0</v>
      </c>
      <c r="AL1891" s="719" t="s">
        <v>4299</v>
      </c>
      <c r="AM1891" s="720" t="s">
        <v>2105</v>
      </c>
      <c r="AN1891" s="720" t="s">
        <v>2106</v>
      </c>
      <c r="AO1891" s="722">
        <v>0.011</v>
      </c>
      <c r="AP1891" s="722" t="s">
        <v>2107</v>
      </c>
    </row>
    <row r="1892">
      <c r="A1892" s="159"/>
      <c r="B1892" s="159"/>
      <c r="C1892" s="159"/>
      <c r="D1892" s="159"/>
      <c r="E1892" s="159"/>
      <c r="F1892" s="159"/>
      <c r="G1892" s="159"/>
      <c r="H1892" s="159"/>
      <c r="I1892" s="157"/>
      <c r="J1892" s="157"/>
      <c r="K1892" s="157"/>
      <c r="L1892" s="157"/>
      <c r="M1892" s="157"/>
      <c r="N1892" s="157"/>
      <c r="O1892" s="157"/>
      <c r="P1892" s="753"/>
      <c r="AK1892" s="40">
        <v>1889.0</v>
      </c>
      <c r="AL1892" s="738" t="s">
        <v>4300</v>
      </c>
      <c r="AM1892" s="738" t="s">
        <v>2113</v>
      </c>
      <c r="AN1892" s="738" t="s">
        <v>2114</v>
      </c>
      <c r="AO1892" s="739">
        <v>0.011</v>
      </c>
      <c r="AP1892" s="739" t="s">
        <v>2107</v>
      </c>
    </row>
    <row r="1893">
      <c r="A1893" s="159"/>
      <c r="B1893" s="159"/>
      <c r="C1893" s="159"/>
      <c r="D1893" s="159"/>
      <c r="E1893" s="159"/>
      <c r="F1893" s="159"/>
      <c r="G1893" s="159"/>
      <c r="H1893" s="159"/>
      <c r="I1893" s="157"/>
      <c r="J1893" s="157"/>
      <c r="K1893" s="157"/>
      <c r="L1893" s="157"/>
      <c r="M1893" s="157"/>
      <c r="N1893" s="157"/>
      <c r="O1893" s="157"/>
      <c r="P1893" s="753"/>
      <c r="AK1893" s="40">
        <v>1890.0</v>
      </c>
      <c r="AL1893" s="719" t="s">
        <v>4301</v>
      </c>
      <c r="AM1893" s="720" t="s">
        <v>2113</v>
      </c>
      <c r="AN1893" s="720" t="s">
        <v>2114</v>
      </c>
      <c r="AO1893" s="722">
        <v>0.011</v>
      </c>
      <c r="AP1893" s="722" t="s">
        <v>2107</v>
      </c>
    </row>
    <row r="1894">
      <c r="A1894" s="159"/>
      <c r="B1894" s="159"/>
      <c r="C1894" s="159"/>
      <c r="D1894" s="159"/>
      <c r="E1894" s="159"/>
      <c r="F1894" s="159"/>
      <c r="G1894" s="159"/>
      <c r="H1894" s="159"/>
      <c r="I1894" s="157"/>
      <c r="J1894" s="157"/>
      <c r="K1894" s="157"/>
      <c r="L1894" s="157"/>
      <c r="M1894" s="157"/>
      <c r="N1894" s="157"/>
      <c r="O1894" s="157"/>
      <c r="P1894" s="753"/>
      <c r="AK1894" s="40">
        <v>1891.0</v>
      </c>
      <c r="AL1894" s="738" t="s">
        <v>4302</v>
      </c>
      <c r="AM1894" s="738" t="s">
        <v>2156</v>
      </c>
      <c r="AN1894" s="745"/>
      <c r="AO1894" s="739">
        <v>0.0</v>
      </c>
      <c r="AP1894" s="739" t="s">
        <v>2157</v>
      </c>
    </row>
    <row r="1895">
      <c r="A1895" s="159"/>
      <c r="B1895" s="159"/>
      <c r="C1895" s="159"/>
      <c r="D1895" s="159"/>
      <c r="E1895" s="159"/>
      <c r="F1895" s="159"/>
      <c r="G1895" s="159"/>
      <c r="H1895" s="159"/>
      <c r="I1895" s="157"/>
      <c r="J1895" s="157"/>
      <c r="K1895" s="157"/>
      <c r="L1895" s="157"/>
      <c r="M1895" s="157"/>
      <c r="N1895" s="157"/>
      <c r="O1895" s="157"/>
      <c r="P1895" s="753"/>
      <c r="AK1895" s="40">
        <v>1892.0</v>
      </c>
      <c r="AL1895" s="719" t="s">
        <v>4303</v>
      </c>
      <c r="AM1895" s="720" t="s">
        <v>2156</v>
      </c>
      <c r="AN1895" s="721"/>
      <c r="AO1895" s="722">
        <v>0.0</v>
      </c>
      <c r="AP1895" s="722" t="s">
        <v>2157</v>
      </c>
    </row>
    <row r="1896">
      <c r="A1896" s="159"/>
      <c r="B1896" s="159"/>
      <c r="C1896" s="159"/>
      <c r="D1896" s="159"/>
      <c r="E1896" s="159"/>
      <c r="F1896" s="159"/>
      <c r="G1896" s="159"/>
      <c r="H1896" s="159"/>
      <c r="I1896" s="157"/>
      <c r="J1896" s="157"/>
      <c r="K1896" s="157"/>
      <c r="L1896" s="157"/>
      <c r="M1896" s="157"/>
      <c r="N1896" s="157"/>
      <c r="O1896" s="157"/>
      <c r="P1896" s="753"/>
      <c r="AK1896" s="40">
        <v>1893.0</v>
      </c>
      <c r="AL1896" s="738" t="s">
        <v>4304</v>
      </c>
      <c r="AM1896" s="738" t="s">
        <v>4305</v>
      </c>
      <c r="AN1896" s="738" t="s">
        <v>1744</v>
      </c>
      <c r="AO1896" s="739">
        <v>0.018</v>
      </c>
      <c r="AP1896" s="739" t="s">
        <v>4306</v>
      </c>
    </row>
    <row r="1897">
      <c r="A1897" s="159"/>
      <c r="B1897" s="159"/>
      <c r="C1897" s="159"/>
      <c r="D1897" s="159"/>
      <c r="E1897" s="159"/>
      <c r="F1897" s="159"/>
      <c r="G1897" s="159"/>
      <c r="H1897" s="159"/>
      <c r="I1897" s="157"/>
      <c r="J1897" s="157"/>
      <c r="K1897" s="157"/>
      <c r="L1897" s="157"/>
      <c r="M1897" s="157"/>
      <c r="N1897" s="157"/>
      <c r="O1897" s="157"/>
      <c r="P1897" s="753"/>
      <c r="AK1897" s="40">
        <v>1894.0</v>
      </c>
      <c r="AL1897" s="719" t="s">
        <v>4307</v>
      </c>
      <c r="AM1897" s="720" t="s">
        <v>4308</v>
      </c>
      <c r="AN1897" s="720" t="s">
        <v>1744</v>
      </c>
      <c r="AO1897" s="722">
        <v>0.018</v>
      </c>
      <c r="AP1897" s="722" t="s">
        <v>4309</v>
      </c>
    </row>
    <row r="1898">
      <c r="A1898" s="159"/>
      <c r="B1898" s="159"/>
      <c r="C1898" s="159"/>
      <c r="D1898" s="159"/>
      <c r="E1898" s="159"/>
      <c r="F1898" s="159"/>
      <c r="G1898" s="159"/>
      <c r="H1898" s="159"/>
      <c r="I1898" s="157"/>
      <c r="J1898" s="157"/>
      <c r="K1898" s="157"/>
      <c r="L1898" s="157"/>
      <c r="M1898" s="157"/>
      <c r="N1898" s="157"/>
      <c r="O1898" s="157"/>
      <c r="P1898" s="753"/>
      <c r="AK1898" s="40">
        <v>1895.0</v>
      </c>
      <c r="AL1898" s="738" t="s">
        <v>4310</v>
      </c>
      <c r="AM1898" s="738" t="s">
        <v>4311</v>
      </c>
      <c r="AN1898" s="738" t="s">
        <v>1744</v>
      </c>
      <c r="AO1898" s="739">
        <v>0.046</v>
      </c>
      <c r="AP1898" s="739" t="s">
        <v>4312</v>
      </c>
    </row>
    <row r="1899">
      <c r="A1899" s="159"/>
      <c r="B1899" s="159"/>
      <c r="C1899" s="159"/>
      <c r="D1899" s="159"/>
      <c r="E1899" s="159"/>
      <c r="F1899" s="159"/>
      <c r="G1899" s="159"/>
      <c r="H1899" s="159"/>
      <c r="I1899" s="157"/>
      <c r="J1899" s="157"/>
      <c r="K1899" s="157"/>
      <c r="L1899" s="157"/>
      <c r="M1899" s="157"/>
      <c r="N1899" s="157"/>
      <c r="O1899" s="157"/>
      <c r="P1899" s="753"/>
      <c r="AK1899" s="40">
        <v>1896.0</v>
      </c>
      <c r="AL1899" s="719" t="s">
        <v>4313</v>
      </c>
      <c r="AM1899" s="720" t="s">
        <v>4314</v>
      </c>
      <c r="AN1899" s="720" t="s">
        <v>1744</v>
      </c>
      <c r="AO1899" s="722">
        <v>0.035</v>
      </c>
      <c r="AP1899" s="722" t="s">
        <v>4315</v>
      </c>
    </row>
    <row r="1900">
      <c r="A1900" s="159"/>
      <c r="B1900" s="159"/>
      <c r="C1900" s="159"/>
      <c r="D1900" s="159"/>
      <c r="E1900" s="159"/>
      <c r="F1900" s="159"/>
      <c r="G1900" s="159"/>
      <c r="H1900" s="159"/>
      <c r="I1900" s="157"/>
      <c r="J1900" s="157"/>
      <c r="K1900" s="157"/>
      <c r="L1900" s="157"/>
      <c r="M1900" s="157"/>
      <c r="N1900" s="157"/>
      <c r="O1900" s="157"/>
      <c r="P1900" s="753"/>
      <c r="AK1900" s="40">
        <v>1897.0</v>
      </c>
      <c r="AL1900" s="738" t="s">
        <v>4316</v>
      </c>
      <c r="AM1900" s="738" t="s">
        <v>4317</v>
      </c>
      <c r="AN1900" s="738" t="s">
        <v>1744</v>
      </c>
      <c r="AO1900" s="739">
        <v>0.028</v>
      </c>
      <c r="AP1900" s="739" t="s">
        <v>4318</v>
      </c>
    </row>
    <row r="1901">
      <c r="A1901" s="159"/>
      <c r="B1901" s="159"/>
      <c r="C1901" s="159"/>
      <c r="D1901" s="159"/>
      <c r="E1901" s="159"/>
      <c r="F1901" s="159"/>
      <c r="G1901" s="159"/>
      <c r="H1901" s="159"/>
      <c r="I1901" s="157"/>
      <c r="J1901" s="157"/>
      <c r="K1901" s="157"/>
      <c r="L1901" s="157"/>
      <c r="M1901" s="157"/>
      <c r="N1901" s="157"/>
      <c r="O1901" s="157"/>
      <c r="P1901" s="753"/>
      <c r="AK1901" s="40">
        <v>1898.0</v>
      </c>
      <c r="AL1901" s="719" t="s">
        <v>4319</v>
      </c>
      <c r="AM1901" s="720" t="s">
        <v>4317</v>
      </c>
      <c r="AN1901" s="720" t="s">
        <v>1744</v>
      </c>
      <c r="AO1901" s="722">
        <v>0.028</v>
      </c>
      <c r="AP1901" s="722" t="s">
        <v>4318</v>
      </c>
    </row>
    <row r="1902">
      <c r="A1902" s="159"/>
      <c r="B1902" s="159"/>
      <c r="C1902" s="159"/>
      <c r="D1902" s="159"/>
      <c r="E1902" s="159"/>
      <c r="F1902" s="159"/>
      <c r="G1902" s="159"/>
      <c r="H1902" s="159"/>
      <c r="I1902" s="157"/>
      <c r="J1902" s="157"/>
      <c r="K1902" s="157"/>
      <c r="L1902" s="157"/>
      <c r="M1902" s="157"/>
      <c r="N1902" s="157"/>
      <c r="O1902" s="157"/>
      <c r="P1902" s="753"/>
      <c r="AK1902" s="40">
        <v>1899.0</v>
      </c>
      <c r="AL1902" s="738" t="s">
        <v>4320</v>
      </c>
      <c r="AM1902" s="738" t="s">
        <v>4321</v>
      </c>
      <c r="AN1902" s="738" t="s">
        <v>1744</v>
      </c>
      <c r="AO1902" s="739">
        <v>0.029</v>
      </c>
      <c r="AP1902" s="739" t="s">
        <v>4322</v>
      </c>
    </row>
    <row r="1903">
      <c r="A1903" s="159"/>
      <c r="B1903" s="159"/>
      <c r="C1903" s="159"/>
      <c r="D1903" s="159"/>
      <c r="E1903" s="159"/>
      <c r="F1903" s="159"/>
      <c r="G1903" s="159"/>
      <c r="H1903" s="159"/>
      <c r="I1903" s="157"/>
      <c r="J1903" s="157"/>
      <c r="K1903" s="157"/>
      <c r="L1903" s="157"/>
      <c r="M1903" s="157"/>
      <c r="N1903" s="157"/>
      <c r="O1903" s="157"/>
      <c r="P1903" s="753"/>
      <c r="AK1903" s="40">
        <v>1900.0</v>
      </c>
      <c r="AL1903" s="719" t="s">
        <v>4323</v>
      </c>
      <c r="AM1903" s="720" t="s">
        <v>4321</v>
      </c>
      <c r="AN1903" s="720" t="s">
        <v>1744</v>
      </c>
      <c r="AO1903" s="722">
        <v>0.029</v>
      </c>
      <c r="AP1903" s="722" t="s">
        <v>4322</v>
      </c>
    </row>
    <row r="1904">
      <c r="A1904" s="159"/>
      <c r="B1904" s="159"/>
      <c r="C1904" s="159"/>
      <c r="D1904" s="159"/>
      <c r="E1904" s="159"/>
      <c r="F1904" s="159"/>
      <c r="G1904" s="159"/>
      <c r="H1904" s="159"/>
      <c r="I1904" s="157"/>
      <c r="J1904" s="157"/>
      <c r="K1904" s="157"/>
      <c r="L1904" s="157"/>
      <c r="M1904" s="157"/>
      <c r="N1904" s="157"/>
      <c r="O1904" s="157"/>
      <c r="P1904" s="753"/>
      <c r="AK1904" s="40">
        <v>1901.0</v>
      </c>
      <c r="AL1904" s="738" t="s">
        <v>4324</v>
      </c>
      <c r="AM1904" s="738" t="s">
        <v>4325</v>
      </c>
      <c r="AN1904" s="738" t="s">
        <v>1744</v>
      </c>
      <c r="AO1904" s="739">
        <v>0.028</v>
      </c>
      <c r="AP1904" s="739" t="s">
        <v>4318</v>
      </c>
    </row>
    <row r="1905">
      <c r="A1905" s="159"/>
      <c r="B1905" s="159"/>
      <c r="C1905" s="159"/>
      <c r="D1905" s="159"/>
      <c r="E1905" s="159"/>
      <c r="F1905" s="159"/>
      <c r="G1905" s="159"/>
      <c r="H1905" s="159"/>
      <c r="I1905" s="157"/>
      <c r="J1905" s="157"/>
      <c r="K1905" s="157"/>
      <c r="L1905" s="157"/>
      <c r="M1905" s="157"/>
      <c r="N1905" s="157"/>
      <c r="O1905" s="157"/>
      <c r="P1905" s="753"/>
      <c r="AK1905" s="40">
        <v>1902.0</v>
      </c>
      <c r="AL1905" s="719" t="s">
        <v>4326</v>
      </c>
      <c r="AM1905" s="720" t="s">
        <v>4325</v>
      </c>
      <c r="AN1905" s="720" t="s">
        <v>1744</v>
      </c>
      <c r="AO1905" s="722">
        <v>0.028</v>
      </c>
      <c r="AP1905" s="722" t="s">
        <v>4318</v>
      </c>
    </row>
    <row r="1906">
      <c r="A1906" s="159"/>
      <c r="B1906" s="159"/>
      <c r="C1906" s="159"/>
      <c r="D1906" s="159"/>
      <c r="E1906" s="159"/>
      <c r="F1906" s="159"/>
      <c r="G1906" s="159"/>
      <c r="H1906" s="159"/>
      <c r="I1906" s="157"/>
      <c r="J1906" s="157"/>
      <c r="K1906" s="157"/>
      <c r="L1906" s="157"/>
      <c r="M1906" s="157"/>
      <c r="N1906" s="157"/>
      <c r="O1906" s="157"/>
      <c r="P1906" s="753"/>
      <c r="AK1906" s="40">
        <v>1903.0</v>
      </c>
      <c r="AL1906" s="738" t="s">
        <v>4327</v>
      </c>
      <c r="AM1906" s="738" t="s">
        <v>4328</v>
      </c>
      <c r="AN1906" s="738" t="s">
        <v>1744</v>
      </c>
      <c r="AO1906" s="739">
        <v>0.039</v>
      </c>
      <c r="AP1906" s="739" t="s">
        <v>4329</v>
      </c>
    </row>
    <row r="1907">
      <c r="A1907" s="159"/>
      <c r="B1907" s="159"/>
      <c r="C1907" s="159"/>
      <c r="D1907" s="159"/>
      <c r="E1907" s="159"/>
      <c r="F1907" s="159"/>
      <c r="G1907" s="159"/>
      <c r="H1907" s="159"/>
      <c r="I1907" s="157"/>
      <c r="J1907" s="157"/>
      <c r="K1907" s="157"/>
      <c r="L1907" s="157"/>
      <c r="M1907" s="157"/>
      <c r="N1907" s="157"/>
      <c r="O1907" s="157"/>
      <c r="P1907" s="753"/>
      <c r="AK1907" s="40">
        <v>1904.0</v>
      </c>
      <c r="AL1907" s="719" t="s">
        <v>4330</v>
      </c>
      <c r="AM1907" s="720" t="s">
        <v>4328</v>
      </c>
      <c r="AN1907" s="720" t="s">
        <v>1744</v>
      </c>
      <c r="AO1907" s="722">
        <v>0.039</v>
      </c>
      <c r="AP1907" s="722" t="s">
        <v>4329</v>
      </c>
    </row>
    <row r="1908">
      <c r="A1908" s="159"/>
      <c r="B1908" s="159"/>
      <c r="C1908" s="159"/>
      <c r="D1908" s="159"/>
      <c r="E1908" s="159"/>
      <c r="F1908" s="159"/>
      <c r="G1908" s="159"/>
      <c r="H1908" s="159"/>
      <c r="I1908" s="157"/>
      <c r="J1908" s="157"/>
      <c r="K1908" s="157"/>
      <c r="L1908" s="157"/>
      <c r="M1908" s="157"/>
      <c r="N1908" s="157"/>
      <c r="O1908" s="157"/>
      <c r="P1908" s="753"/>
      <c r="AK1908" s="40">
        <v>1905.0</v>
      </c>
      <c r="AL1908" s="738" t="s">
        <v>4331</v>
      </c>
      <c r="AM1908" s="738" t="s">
        <v>4332</v>
      </c>
      <c r="AN1908" s="738" t="s">
        <v>1744</v>
      </c>
      <c r="AO1908" s="739">
        <v>0.025</v>
      </c>
      <c r="AP1908" s="739" t="s">
        <v>4333</v>
      </c>
    </row>
    <row r="1909">
      <c r="A1909" s="159"/>
      <c r="B1909" s="159"/>
      <c r="C1909" s="159"/>
      <c r="D1909" s="159"/>
      <c r="E1909" s="159"/>
      <c r="F1909" s="159"/>
      <c r="G1909" s="159"/>
      <c r="H1909" s="159"/>
      <c r="I1909" s="157"/>
      <c r="J1909" s="157"/>
      <c r="K1909" s="157"/>
      <c r="L1909" s="157"/>
      <c r="M1909" s="157"/>
      <c r="N1909" s="157"/>
      <c r="O1909" s="157"/>
      <c r="P1909" s="753"/>
      <c r="AK1909" s="40">
        <v>1906.0</v>
      </c>
      <c r="AL1909" s="719" t="s">
        <v>4334</v>
      </c>
      <c r="AM1909" s="720" t="s">
        <v>4335</v>
      </c>
      <c r="AN1909" s="720" t="s">
        <v>1744</v>
      </c>
      <c r="AO1909" s="722">
        <v>0.022</v>
      </c>
      <c r="AP1909" s="722" t="s">
        <v>4336</v>
      </c>
    </row>
    <row r="1910">
      <c r="A1910" s="159"/>
      <c r="B1910" s="159"/>
      <c r="C1910" s="159"/>
      <c r="D1910" s="159"/>
      <c r="E1910" s="159"/>
      <c r="F1910" s="159"/>
      <c r="G1910" s="159"/>
      <c r="H1910" s="159"/>
      <c r="I1910" s="157"/>
      <c r="J1910" s="157"/>
      <c r="K1910" s="157"/>
      <c r="L1910" s="157"/>
      <c r="M1910" s="157"/>
      <c r="N1910" s="157"/>
      <c r="O1910" s="157"/>
      <c r="P1910" s="753"/>
      <c r="AK1910" s="40">
        <v>1907.0</v>
      </c>
      <c r="AL1910" s="738" t="s">
        <v>4337</v>
      </c>
      <c r="AM1910" s="738" t="s">
        <v>4335</v>
      </c>
      <c r="AN1910" s="738" t="s">
        <v>1744</v>
      </c>
      <c r="AO1910" s="739">
        <v>0.022</v>
      </c>
      <c r="AP1910" s="739" t="s">
        <v>4336</v>
      </c>
    </row>
    <row r="1911">
      <c r="A1911" s="159"/>
      <c r="B1911" s="159"/>
      <c r="C1911" s="159"/>
      <c r="D1911" s="159"/>
      <c r="E1911" s="159"/>
      <c r="F1911" s="159"/>
      <c r="G1911" s="159"/>
      <c r="H1911" s="159"/>
      <c r="I1911" s="157"/>
      <c r="J1911" s="157"/>
      <c r="K1911" s="157"/>
      <c r="L1911" s="157"/>
      <c r="M1911" s="157"/>
      <c r="N1911" s="157"/>
      <c r="O1911" s="157"/>
      <c r="P1911" s="753"/>
      <c r="AK1911" s="40">
        <v>1908.0</v>
      </c>
      <c r="AL1911" s="719" t="s">
        <v>4338</v>
      </c>
      <c r="AM1911" s="720" t="s">
        <v>4335</v>
      </c>
      <c r="AN1911" s="720" t="s">
        <v>1744</v>
      </c>
      <c r="AO1911" s="722">
        <v>0.022</v>
      </c>
      <c r="AP1911" s="722" t="s">
        <v>4336</v>
      </c>
    </row>
    <row r="1912">
      <c r="A1912" s="159"/>
      <c r="B1912" s="159"/>
      <c r="C1912" s="159"/>
      <c r="D1912" s="159"/>
      <c r="E1912" s="159"/>
      <c r="F1912" s="159"/>
      <c r="G1912" s="159"/>
      <c r="H1912" s="159"/>
      <c r="I1912" s="157"/>
      <c r="J1912" s="157"/>
      <c r="K1912" s="157"/>
      <c r="L1912" s="157"/>
      <c r="M1912" s="157"/>
      <c r="N1912" s="157"/>
      <c r="O1912" s="157"/>
      <c r="P1912" s="753"/>
      <c r="AK1912" s="40">
        <v>1909.0</v>
      </c>
      <c r="AL1912" s="738" t="s">
        <v>4339</v>
      </c>
      <c r="AM1912" s="738" t="s">
        <v>4340</v>
      </c>
      <c r="AN1912" s="738" t="s">
        <v>1744</v>
      </c>
      <c r="AO1912" s="739">
        <v>0.149</v>
      </c>
      <c r="AP1912" s="739" t="s">
        <v>3808</v>
      </c>
    </row>
    <row r="1913">
      <c r="A1913" s="159"/>
      <c r="B1913" s="159"/>
      <c r="C1913" s="159"/>
      <c r="D1913" s="159"/>
      <c r="E1913" s="159"/>
      <c r="F1913" s="159"/>
      <c r="G1913" s="159"/>
      <c r="H1913" s="159"/>
      <c r="I1913" s="157"/>
      <c r="J1913" s="157"/>
      <c r="K1913" s="157"/>
      <c r="L1913" s="157"/>
      <c r="M1913" s="157"/>
      <c r="N1913" s="157"/>
      <c r="O1913" s="157"/>
      <c r="P1913" s="753"/>
      <c r="AK1913" s="40">
        <v>1910.0</v>
      </c>
      <c r="AL1913" s="719" t="s">
        <v>4341</v>
      </c>
      <c r="AM1913" s="720" t="s">
        <v>4342</v>
      </c>
      <c r="AN1913" s="720" t="s">
        <v>1744</v>
      </c>
      <c r="AO1913" s="722">
        <v>0.154</v>
      </c>
      <c r="AP1913" s="722" t="s">
        <v>1938</v>
      </c>
    </row>
    <row r="1914">
      <c r="A1914" s="159"/>
      <c r="B1914" s="159"/>
      <c r="C1914" s="159"/>
      <c r="D1914" s="159"/>
      <c r="E1914" s="159"/>
      <c r="F1914" s="159"/>
      <c r="G1914" s="159"/>
      <c r="H1914" s="159"/>
      <c r="I1914" s="157"/>
      <c r="J1914" s="157"/>
      <c r="K1914" s="157"/>
      <c r="L1914" s="157"/>
      <c r="M1914" s="157"/>
      <c r="N1914" s="157"/>
      <c r="O1914" s="157"/>
      <c r="P1914" s="753"/>
      <c r="AK1914" s="40">
        <v>1911.0</v>
      </c>
      <c r="AL1914" s="738" t="s">
        <v>4343</v>
      </c>
      <c r="AM1914" s="738" t="s">
        <v>4344</v>
      </c>
      <c r="AN1914" s="738" t="s">
        <v>1744</v>
      </c>
      <c r="AO1914" s="739">
        <v>0.158</v>
      </c>
      <c r="AP1914" s="739" t="s">
        <v>3842</v>
      </c>
    </row>
    <row r="1915">
      <c r="A1915" s="159"/>
      <c r="B1915" s="159"/>
      <c r="C1915" s="159"/>
      <c r="D1915" s="159"/>
      <c r="E1915" s="159"/>
      <c r="F1915" s="159"/>
      <c r="G1915" s="159"/>
      <c r="H1915" s="159"/>
      <c r="I1915" s="157"/>
      <c r="J1915" s="157"/>
      <c r="K1915" s="157"/>
      <c r="L1915" s="157"/>
      <c r="M1915" s="157"/>
      <c r="N1915" s="157"/>
      <c r="O1915" s="157"/>
      <c r="P1915" s="753"/>
      <c r="AK1915" s="40">
        <v>1912.0</v>
      </c>
      <c r="AL1915" s="719" t="s">
        <v>4345</v>
      </c>
      <c r="AM1915" s="720" t="s">
        <v>4344</v>
      </c>
      <c r="AN1915" s="720" t="s">
        <v>1744</v>
      </c>
      <c r="AO1915" s="722">
        <v>0.158</v>
      </c>
      <c r="AP1915" s="722" t="s">
        <v>3842</v>
      </c>
    </row>
    <row r="1916">
      <c r="A1916" s="159"/>
      <c r="B1916" s="159"/>
      <c r="C1916" s="159"/>
      <c r="D1916" s="159"/>
      <c r="E1916" s="159"/>
      <c r="F1916" s="159"/>
      <c r="G1916" s="159"/>
      <c r="H1916" s="159"/>
      <c r="I1916" s="157"/>
      <c r="J1916" s="157"/>
      <c r="K1916" s="157"/>
      <c r="L1916" s="157"/>
      <c r="M1916" s="157"/>
      <c r="N1916" s="157"/>
      <c r="O1916" s="157"/>
      <c r="P1916" s="753"/>
      <c r="AK1916" s="40">
        <v>1913.0</v>
      </c>
      <c r="AL1916" s="738" t="s">
        <v>4346</v>
      </c>
      <c r="AM1916" s="738" t="s">
        <v>4347</v>
      </c>
      <c r="AN1916" s="738" t="s">
        <v>1744</v>
      </c>
      <c r="AO1916" s="739">
        <v>0.163</v>
      </c>
      <c r="AP1916" s="739" t="s">
        <v>3954</v>
      </c>
    </row>
    <row r="1917">
      <c r="A1917" s="159"/>
      <c r="B1917" s="159"/>
      <c r="C1917" s="159"/>
      <c r="D1917" s="159"/>
      <c r="E1917" s="159"/>
      <c r="F1917" s="159"/>
      <c r="G1917" s="159"/>
      <c r="H1917" s="159"/>
      <c r="I1917" s="157"/>
      <c r="J1917" s="157"/>
      <c r="K1917" s="157"/>
      <c r="L1917" s="157"/>
      <c r="M1917" s="157"/>
      <c r="N1917" s="157"/>
      <c r="O1917" s="157"/>
      <c r="P1917" s="753"/>
      <c r="AK1917" s="40">
        <v>1914.0</v>
      </c>
      <c r="AL1917" s="719" t="s">
        <v>4348</v>
      </c>
      <c r="AM1917" s="720" t="s">
        <v>4349</v>
      </c>
      <c r="AN1917" s="720" t="s">
        <v>1744</v>
      </c>
      <c r="AO1917" s="722">
        <v>0.172</v>
      </c>
      <c r="AP1917" s="722" t="s">
        <v>4350</v>
      </c>
    </row>
    <row r="1918">
      <c r="A1918" s="159"/>
      <c r="B1918" s="159"/>
      <c r="C1918" s="159"/>
      <c r="D1918" s="159"/>
      <c r="E1918" s="159"/>
      <c r="F1918" s="159"/>
      <c r="G1918" s="159"/>
      <c r="H1918" s="159"/>
      <c r="I1918" s="157"/>
      <c r="J1918" s="157"/>
      <c r="K1918" s="157"/>
      <c r="L1918" s="157"/>
      <c r="M1918" s="157"/>
      <c r="N1918" s="157"/>
      <c r="O1918" s="157"/>
      <c r="P1918" s="753"/>
      <c r="AK1918" s="40">
        <v>1915.0</v>
      </c>
      <c r="AL1918" s="738" t="s">
        <v>4351</v>
      </c>
      <c r="AM1918" s="738" t="s">
        <v>2088</v>
      </c>
      <c r="AN1918" s="738" t="s">
        <v>2089</v>
      </c>
      <c r="AO1918" s="739">
        <v>0.019</v>
      </c>
      <c r="AP1918" s="739" t="s">
        <v>2090</v>
      </c>
    </row>
    <row r="1919">
      <c r="A1919" s="159"/>
      <c r="B1919" s="159"/>
      <c r="C1919" s="159"/>
      <c r="D1919" s="159"/>
      <c r="E1919" s="159"/>
      <c r="F1919" s="159"/>
      <c r="G1919" s="159"/>
      <c r="H1919" s="159"/>
      <c r="I1919" s="157"/>
      <c r="J1919" s="157"/>
      <c r="K1919" s="157"/>
      <c r="L1919" s="157"/>
      <c r="M1919" s="157"/>
      <c r="N1919" s="157"/>
      <c r="O1919" s="157"/>
      <c r="P1919" s="753"/>
      <c r="AK1919" s="40">
        <v>1916.0</v>
      </c>
      <c r="AL1919" s="719" t="s">
        <v>4352</v>
      </c>
      <c r="AM1919" s="720" t="s">
        <v>2288</v>
      </c>
      <c r="AN1919" s="720" t="s">
        <v>2289</v>
      </c>
      <c r="AO1919" s="722">
        <v>0.043</v>
      </c>
      <c r="AP1919" s="722" t="s">
        <v>2290</v>
      </c>
    </row>
    <row r="1920">
      <c r="A1920" s="159"/>
      <c r="B1920" s="159"/>
      <c r="C1920" s="159"/>
      <c r="D1920" s="159"/>
      <c r="E1920" s="159"/>
      <c r="F1920" s="159"/>
      <c r="G1920" s="159"/>
      <c r="H1920" s="159"/>
      <c r="I1920" s="157"/>
      <c r="J1920" s="157"/>
      <c r="K1920" s="157"/>
      <c r="L1920" s="157"/>
      <c r="M1920" s="157"/>
      <c r="N1920" s="157"/>
      <c r="O1920" s="157"/>
      <c r="P1920" s="753"/>
      <c r="AK1920" s="40">
        <v>1917.0</v>
      </c>
      <c r="AL1920" s="738" t="s">
        <v>4353</v>
      </c>
      <c r="AM1920" s="738" t="s">
        <v>2105</v>
      </c>
      <c r="AN1920" s="738" t="s">
        <v>2106</v>
      </c>
      <c r="AO1920" s="739">
        <v>0.011</v>
      </c>
      <c r="AP1920" s="739" t="s">
        <v>2107</v>
      </c>
    </row>
    <row r="1921">
      <c r="A1921" s="159"/>
      <c r="B1921" s="159"/>
      <c r="C1921" s="159"/>
      <c r="D1921" s="159"/>
      <c r="E1921" s="159"/>
      <c r="F1921" s="159"/>
      <c r="G1921" s="159"/>
      <c r="H1921" s="159"/>
      <c r="I1921" s="157"/>
      <c r="J1921" s="157"/>
      <c r="K1921" s="157"/>
      <c r="L1921" s="157"/>
      <c r="M1921" s="157"/>
      <c r="N1921" s="157"/>
      <c r="O1921" s="157"/>
      <c r="P1921" s="753"/>
      <c r="AK1921" s="40">
        <v>1918.0</v>
      </c>
      <c r="AL1921" s="719" t="s">
        <v>4354</v>
      </c>
      <c r="AM1921" s="720" t="s">
        <v>2113</v>
      </c>
      <c r="AN1921" s="720" t="s">
        <v>2114</v>
      </c>
      <c r="AO1921" s="722">
        <v>0.011</v>
      </c>
      <c r="AP1921" s="722" t="s">
        <v>2107</v>
      </c>
    </row>
    <row r="1922">
      <c r="A1922" s="159"/>
      <c r="B1922" s="159"/>
      <c r="C1922" s="159"/>
      <c r="D1922" s="159"/>
      <c r="E1922" s="159"/>
      <c r="F1922" s="159"/>
      <c r="G1922" s="159"/>
      <c r="H1922" s="159"/>
      <c r="I1922" s="157"/>
      <c r="J1922" s="157"/>
      <c r="K1922" s="157"/>
      <c r="L1922" s="157"/>
      <c r="M1922" s="157"/>
      <c r="N1922" s="157"/>
      <c r="O1922" s="157"/>
      <c r="P1922" s="753"/>
      <c r="AK1922" s="40">
        <v>1919.0</v>
      </c>
      <c r="AL1922" s="738" t="s">
        <v>4355</v>
      </c>
      <c r="AM1922" s="738" t="s">
        <v>2156</v>
      </c>
      <c r="AN1922" s="745"/>
      <c r="AO1922" s="739">
        <v>0.0</v>
      </c>
      <c r="AP1922" s="739" t="s">
        <v>2157</v>
      </c>
    </row>
    <row r="1923">
      <c r="A1923" s="159"/>
      <c r="B1923" s="159"/>
      <c r="C1923" s="159"/>
      <c r="D1923" s="159"/>
      <c r="E1923" s="159"/>
      <c r="F1923" s="159"/>
      <c r="G1923" s="159"/>
      <c r="H1923" s="159"/>
      <c r="I1923" s="157"/>
      <c r="J1923" s="157"/>
      <c r="K1923" s="157"/>
      <c r="L1923" s="157"/>
      <c r="M1923" s="157"/>
      <c r="N1923" s="157"/>
      <c r="O1923" s="157"/>
      <c r="P1923" s="753"/>
      <c r="AK1923" s="40">
        <v>1920.0</v>
      </c>
      <c r="AL1923" s="719" t="s">
        <v>4356</v>
      </c>
      <c r="AM1923" s="720" t="s">
        <v>4357</v>
      </c>
      <c r="AN1923" s="720" t="s">
        <v>1744</v>
      </c>
      <c r="AO1923" s="722">
        <v>0.037</v>
      </c>
      <c r="AP1923" s="722" t="s">
        <v>4358</v>
      </c>
    </row>
    <row r="1924">
      <c r="A1924" s="159"/>
      <c r="B1924" s="159"/>
      <c r="C1924" s="159"/>
      <c r="D1924" s="159"/>
      <c r="E1924" s="159"/>
      <c r="F1924" s="159"/>
      <c r="G1924" s="159"/>
      <c r="H1924" s="159"/>
      <c r="I1924" s="157"/>
      <c r="J1924" s="157"/>
      <c r="K1924" s="157"/>
      <c r="L1924" s="157"/>
      <c r="M1924" s="157"/>
      <c r="N1924" s="157"/>
      <c r="O1924" s="157"/>
      <c r="P1924" s="753"/>
      <c r="AK1924" s="40">
        <v>1921.0</v>
      </c>
      <c r="AL1924" s="738" t="s">
        <v>4359</v>
      </c>
      <c r="AM1924" s="738" t="s">
        <v>4360</v>
      </c>
      <c r="AN1924" s="738" t="s">
        <v>1744</v>
      </c>
      <c r="AO1924" s="739">
        <v>0.03</v>
      </c>
      <c r="AP1924" s="739" t="s">
        <v>4361</v>
      </c>
    </row>
    <row r="1925">
      <c r="A1925" s="159"/>
      <c r="B1925" s="159"/>
      <c r="C1925" s="159"/>
      <c r="D1925" s="159"/>
      <c r="E1925" s="159"/>
      <c r="F1925" s="159"/>
      <c r="G1925" s="159"/>
      <c r="H1925" s="159"/>
      <c r="I1925" s="157"/>
      <c r="J1925" s="157"/>
      <c r="K1925" s="157"/>
      <c r="L1925" s="157"/>
      <c r="M1925" s="157"/>
      <c r="N1925" s="157"/>
      <c r="O1925" s="157"/>
      <c r="P1925" s="753"/>
      <c r="AK1925" s="40">
        <v>1922.0</v>
      </c>
      <c r="AL1925" s="719" t="s">
        <v>4362</v>
      </c>
      <c r="AM1925" s="720" t="s">
        <v>4363</v>
      </c>
      <c r="AN1925" s="720" t="s">
        <v>1744</v>
      </c>
      <c r="AO1925" s="722">
        <v>0.053</v>
      </c>
      <c r="AP1925" s="722" t="s">
        <v>4364</v>
      </c>
    </row>
    <row r="1926">
      <c r="A1926" s="159"/>
      <c r="B1926" s="159"/>
      <c r="C1926" s="159"/>
      <c r="D1926" s="159"/>
      <c r="E1926" s="159"/>
      <c r="F1926" s="159"/>
      <c r="G1926" s="159"/>
      <c r="H1926" s="159"/>
      <c r="I1926" s="157"/>
      <c r="J1926" s="157"/>
      <c r="K1926" s="157"/>
      <c r="L1926" s="157"/>
      <c r="M1926" s="157"/>
      <c r="N1926" s="157"/>
      <c r="O1926" s="157"/>
      <c r="P1926" s="753"/>
      <c r="AK1926" s="40">
        <v>1923.0</v>
      </c>
      <c r="AL1926" s="738" t="s">
        <v>4365</v>
      </c>
      <c r="AM1926" s="738" t="s">
        <v>4366</v>
      </c>
      <c r="AN1926" s="738" t="s">
        <v>1744</v>
      </c>
      <c r="AO1926" s="739">
        <v>0.045</v>
      </c>
      <c r="AP1926" s="739" t="s">
        <v>4367</v>
      </c>
    </row>
    <row r="1927">
      <c r="A1927" s="159"/>
      <c r="B1927" s="159"/>
      <c r="C1927" s="159"/>
      <c r="D1927" s="159"/>
      <c r="E1927" s="159"/>
      <c r="F1927" s="159"/>
      <c r="G1927" s="159"/>
      <c r="H1927" s="159"/>
      <c r="I1927" s="157"/>
      <c r="J1927" s="157"/>
      <c r="K1927" s="157"/>
      <c r="L1927" s="157"/>
      <c r="M1927" s="157"/>
      <c r="N1927" s="157"/>
      <c r="O1927" s="157"/>
      <c r="P1927" s="753"/>
      <c r="AK1927" s="40">
        <v>1924.0</v>
      </c>
      <c r="AL1927" s="719" t="s">
        <v>4368</v>
      </c>
      <c r="AM1927" s="720" t="s">
        <v>4369</v>
      </c>
      <c r="AN1927" s="720" t="s">
        <v>1744</v>
      </c>
      <c r="AO1927" s="722">
        <v>0.068</v>
      </c>
      <c r="AP1927" s="722" t="s">
        <v>4370</v>
      </c>
    </row>
    <row r="1928">
      <c r="A1928" s="159"/>
      <c r="B1928" s="159"/>
      <c r="C1928" s="159"/>
      <c r="D1928" s="159"/>
      <c r="E1928" s="159"/>
      <c r="F1928" s="159"/>
      <c r="G1928" s="159"/>
      <c r="H1928" s="159"/>
      <c r="I1928" s="157"/>
      <c r="J1928" s="157"/>
      <c r="K1928" s="157"/>
      <c r="L1928" s="157"/>
      <c r="M1928" s="157"/>
      <c r="N1928" s="157"/>
      <c r="O1928" s="157"/>
      <c r="P1928" s="753"/>
      <c r="AK1928" s="40">
        <v>1925.0</v>
      </c>
      <c r="AL1928" s="738" t="s">
        <v>4371</v>
      </c>
      <c r="AM1928" s="738" t="s">
        <v>4372</v>
      </c>
      <c r="AN1928" s="738" t="s">
        <v>1744</v>
      </c>
      <c r="AO1928" s="739">
        <v>0.061</v>
      </c>
      <c r="AP1928" s="739" t="s">
        <v>4373</v>
      </c>
    </row>
    <row r="1929">
      <c r="A1929" s="159"/>
      <c r="B1929" s="159"/>
      <c r="C1929" s="159"/>
      <c r="D1929" s="159"/>
      <c r="E1929" s="159"/>
      <c r="F1929" s="159"/>
      <c r="G1929" s="159"/>
      <c r="H1929" s="159"/>
      <c r="I1929" s="157"/>
      <c r="J1929" s="157"/>
      <c r="K1929" s="157"/>
      <c r="L1929" s="157"/>
      <c r="M1929" s="157"/>
      <c r="N1929" s="157"/>
      <c r="O1929" s="157"/>
      <c r="P1929" s="753"/>
      <c r="AK1929" s="40">
        <v>1926.0</v>
      </c>
      <c r="AL1929" s="719" t="s">
        <v>4374</v>
      </c>
      <c r="AM1929" s="720" t="s">
        <v>4375</v>
      </c>
      <c r="AN1929" s="720" t="s">
        <v>1744</v>
      </c>
      <c r="AO1929" s="722">
        <v>0.056</v>
      </c>
      <c r="AP1929" s="722" t="s">
        <v>4376</v>
      </c>
    </row>
    <row r="1930">
      <c r="A1930" s="159"/>
      <c r="B1930" s="159"/>
      <c r="C1930" s="159"/>
      <c r="D1930" s="159"/>
      <c r="E1930" s="159"/>
      <c r="F1930" s="159"/>
      <c r="G1930" s="159"/>
      <c r="H1930" s="159"/>
      <c r="I1930" s="157"/>
      <c r="J1930" s="157"/>
      <c r="K1930" s="157"/>
      <c r="L1930" s="157"/>
      <c r="M1930" s="157"/>
      <c r="N1930" s="157"/>
      <c r="O1930" s="157"/>
      <c r="P1930" s="753"/>
      <c r="AK1930" s="40">
        <v>1927.0</v>
      </c>
      <c r="AL1930" s="738" t="s">
        <v>4377</v>
      </c>
      <c r="AM1930" s="738" t="s">
        <v>4375</v>
      </c>
      <c r="AN1930" s="738" t="s">
        <v>1744</v>
      </c>
      <c r="AO1930" s="739">
        <v>0.056</v>
      </c>
      <c r="AP1930" s="739" t="s">
        <v>4376</v>
      </c>
    </row>
    <row r="1931">
      <c r="A1931" s="159"/>
      <c r="B1931" s="159"/>
      <c r="C1931" s="159"/>
      <c r="D1931" s="159"/>
      <c r="E1931" s="159"/>
      <c r="F1931" s="159"/>
      <c r="G1931" s="159"/>
      <c r="H1931" s="159"/>
      <c r="I1931" s="157"/>
      <c r="J1931" s="157"/>
      <c r="K1931" s="157"/>
      <c r="L1931" s="157"/>
      <c r="M1931" s="157"/>
      <c r="N1931" s="157"/>
      <c r="O1931" s="157"/>
      <c r="P1931" s="753"/>
      <c r="AK1931" s="40">
        <v>1928.0</v>
      </c>
      <c r="AL1931" s="719" t="s">
        <v>4378</v>
      </c>
      <c r="AM1931" s="720" t="s">
        <v>4379</v>
      </c>
      <c r="AN1931" s="720" t="s">
        <v>1744</v>
      </c>
      <c r="AO1931" s="722">
        <v>0.078</v>
      </c>
      <c r="AP1931" s="722" t="s">
        <v>4380</v>
      </c>
    </row>
    <row r="1932">
      <c r="A1932" s="159"/>
      <c r="B1932" s="159"/>
      <c r="C1932" s="159"/>
      <c r="D1932" s="159"/>
      <c r="E1932" s="159"/>
      <c r="F1932" s="159"/>
      <c r="G1932" s="159"/>
      <c r="H1932" s="159"/>
      <c r="I1932" s="157"/>
      <c r="J1932" s="157"/>
      <c r="K1932" s="157"/>
      <c r="L1932" s="157"/>
      <c r="M1932" s="157"/>
      <c r="N1932" s="157"/>
      <c r="O1932" s="157"/>
      <c r="P1932" s="753"/>
      <c r="AK1932" s="40">
        <v>1929.0</v>
      </c>
      <c r="AL1932" s="738" t="s">
        <v>4381</v>
      </c>
      <c r="AM1932" s="738" t="s">
        <v>4382</v>
      </c>
      <c r="AN1932" s="738" t="s">
        <v>1744</v>
      </c>
      <c r="AO1932" s="739">
        <v>0.086</v>
      </c>
      <c r="AP1932" s="739" t="s">
        <v>4383</v>
      </c>
    </row>
    <row r="1933">
      <c r="A1933" s="159"/>
      <c r="B1933" s="159"/>
      <c r="C1933" s="159"/>
      <c r="D1933" s="159"/>
      <c r="E1933" s="159"/>
      <c r="F1933" s="159"/>
      <c r="G1933" s="159"/>
      <c r="H1933" s="159"/>
      <c r="I1933" s="157"/>
      <c r="J1933" s="157"/>
      <c r="K1933" s="157"/>
      <c r="L1933" s="157"/>
      <c r="M1933" s="157"/>
      <c r="N1933" s="157"/>
      <c r="O1933" s="157"/>
      <c r="P1933" s="753"/>
      <c r="AK1933" s="40">
        <v>1930.0</v>
      </c>
      <c r="AL1933" s="719" t="s">
        <v>4384</v>
      </c>
      <c r="AM1933" s="720" t="s">
        <v>4385</v>
      </c>
      <c r="AN1933" s="720" t="s">
        <v>1744</v>
      </c>
      <c r="AO1933" s="722">
        <v>0.096</v>
      </c>
      <c r="AP1933" s="722" t="s">
        <v>4386</v>
      </c>
    </row>
    <row r="1934">
      <c r="A1934" s="159"/>
      <c r="B1934" s="159"/>
      <c r="C1934" s="159"/>
      <c r="D1934" s="159"/>
      <c r="E1934" s="159"/>
      <c r="F1934" s="159"/>
      <c r="G1934" s="159"/>
      <c r="H1934" s="159"/>
      <c r="I1934" s="157"/>
      <c r="J1934" s="157"/>
      <c r="K1934" s="157"/>
      <c r="L1934" s="157"/>
      <c r="M1934" s="157"/>
      <c r="N1934" s="157"/>
      <c r="O1934" s="157"/>
      <c r="P1934" s="753"/>
      <c r="AK1934" s="40">
        <v>1931.0</v>
      </c>
      <c r="AL1934" s="738" t="s">
        <v>4387</v>
      </c>
      <c r="AM1934" s="738" t="s">
        <v>2088</v>
      </c>
      <c r="AN1934" s="738" t="s">
        <v>2089</v>
      </c>
      <c r="AO1934" s="739">
        <v>0.019</v>
      </c>
      <c r="AP1934" s="739" t="s">
        <v>2090</v>
      </c>
    </row>
    <row r="1935">
      <c r="A1935" s="159"/>
      <c r="B1935" s="159"/>
      <c r="C1935" s="159"/>
      <c r="D1935" s="159"/>
      <c r="E1935" s="159"/>
      <c r="F1935" s="159"/>
      <c r="G1935" s="159"/>
      <c r="H1935" s="159"/>
      <c r="I1935" s="157"/>
      <c r="J1935" s="157"/>
      <c r="K1935" s="157"/>
      <c r="L1935" s="157"/>
      <c r="M1935" s="157"/>
      <c r="N1935" s="157"/>
      <c r="O1935" s="157"/>
      <c r="P1935" s="753"/>
      <c r="AK1935" s="40">
        <v>1932.0</v>
      </c>
      <c r="AL1935" s="719" t="s">
        <v>4388</v>
      </c>
      <c r="AM1935" s="720" t="s">
        <v>2105</v>
      </c>
      <c r="AN1935" s="720" t="s">
        <v>2106</v>
      </c>
      <c r="AO1935" s="722">
        <v>0.011</v>
      </c>
      <c r="AP1935" s="722" t="s">
        <v>2107</v>
      </c>
    </row>
    <row r="1936">
      <c r="A1936" s="159"/>
      <c r="B1936" s="159"/>
      <c r="C1936" s="159"/>
      <c r="D1936" s="159"/>
      <c r="E1936" s="159"/>
      <c r="F1936" s="159"/>
      <c r="G1936" s="159"/>
      <c r="H1936" s="159"/>
      <c r="I1936" s="157"/>
      <c r="J1936" s="157"/>
      <c r="K1936" s="157"/>
      <c r="L1936" s="157"/>
      <c r="M1936" s="157"/>
      <c r="N1936" s="157"/>
      <c r="O1936" s="157"/>
      <c r="P1936" s="753"/>
      <c r="AK1936" s="40">
        <v>1933.0</v>
      </c>
      <c r="AL1936" s="738" t="s">
        <v>4389</v>
      </c>
      <c r="AM1936" s="738" t="s">
        <v>1980</v>
      </c>
      <c r="AN1936" s="738" t="s">
        <v>1981</v>
      </c>
      <c r="AO1936" s="739">
        <v>0.114</v>
      </c>
      <c r="AP1936" s="739" t="s">
        <v>1982</v>
      </c>
    </row>
    <row r="1937">
      <c r="A1937" s="159"/>
      <c r="B1937" s="159"/>
      <c r="C1937" s="159"/>
      <c r="D1937" s="159"/>
      <c r="E1937" s="159"/>
      <c r="F1937" s="159"/>
      <c r="G1937" s="159"/>
      <c r="H1937" s="159"/>
      <c r="I1937" s="157"/>
      <c r="J1937" s="157"/>
      <c r="K1937" s="157"/>
      <c r="L1937" s="157"/>
      <c r="M1937" s="157"/>
      <c r="N1937" s="157"/>
      <c r="O1937" s="157"/>
      <c r="P1937" s="753"/>
      <c r="AK1937" s="40">
        <v>1934.0</v>
      </c>
      <c r="AL1937" s="719" t="s">
        <v>4390</v>
      </c>
      <c r="AM1937" s="720" t="s">
        <v>2156</v>
      </c>
      <c r="AN1937" s="721"/>
      <c r="AO1937" s="722">
        <v>0.0</v>
      </c>
      <c r="AP1937" s="722" t="s">
        <v>2157</v>
      </c>
    </row>
    <row r="1938">
      <c r="A1938" s="159"/>
      <c r="B1938" s="159"/>
      <c r="C1938" s="159"/>
      <c r="D1938" s="159"/>
      <c r="E1938" s="159"/>
      <c r="F1938" s="159"/>
      <c r="G1938" s="159"/>
      <c r="H1938" s="159"/>
      <c r="I1938" s="157"/>
      <c r="J1938" s="157"/>
      <c r="K1938" s="157"/>
      <c r="L1938" s="157"/>
      <c r="M1938" s="157"/>
      <c r="N1938" s="157"/>
      <c r="O1938" s="157"/>
      <c r="P1938" s="753"/>
      <c r="AK1938" s="40">
        <v>1935.0</v>
      </c>
      <c r="AL1938" s="738" t="s">
        <v>4391</v>
      </c>
      <c r="AM1938" s="738" t="s">
        <v>4360</v>
      </c>
      <c r="AN1938" s="738" t="s">
        <v>1744</v>
      </c>
      <c r="AO1938" s="739">
        <v>0.03</v>
      </c>
      <c r="AP1938" s="739" t="s">
        <v>4361</v>
      </c>
    </row>
    <row r="1939">
      <c r="A1939" s="159"/>
      <c r="B1939" s="159"/>
      <c r="C1939" s="159"/>
      <c r="D1939" s="159"/>
      <c r="E1939" s="159"/>
      <c r="F1939" s="159"/>
      <c r="G1939" s="159"/>
      <c r="H1939" s="159"/>
      <c r="I1939" s="157"/>
      <c r="J1939" s="157"/>
      <c r="K1939" s="157"/>
      <c r="L1939" s="157"/>
      <c r="M1939" s="157"/>
      <c r="N1939" s="157"/>
      <c r="O1939" s="157"/>
      <c r="P1939" s="753"/>
      <c r="AK1939" s="40">
        <v>1936.0</v>
      </c>
      <c r="AL1939" s="719" t="s">
        <v>4392</v>
      </c>
      <c r="AM1939" s="720" t="s">
        <v>4360</v>
      </c>
      <c r="AN1939" s="720" t="s">
        <v>1744</v>
      </c>
      <c r="AO1939" s="722">
        <v>0.03</v>
      </c>
      <c r="AP1939" s="722" t="s">
        <v>4361</v>
      </c>
    </row>
    <row r="1940">
      <c r="A1940" s="159"/>
      <c r="B1940" s="159"/>
      <c r="C1940" s="159"/>
      <c r="D1940" s="159"/>
      <c r="E1940" s="159"/>
      <c r="F1940" s="159"/>
      <c r="G1940" s="159"/>
      <c r="H1940" s="159"/>
      <c r="I1940" s="157"/>
      <c r="J1940" s="157"/>
      <c r="K1940" s="157"/>
      <c r="L1940" s="157"/>
      <c r="M1940" s="157"/>
      <c r="N1940" s="157"/>
      <c r="O1940" s="157"/>
      <c r="P1940" s="753"/>
      <c r="AK1940" s="40">
        <v>1937.0</v>
      </c>
      <c r="AL1940" s="738" t="s">
        <v>4393</v>
      </c>
      <c r="AM1940" s="738" t="s">
        <v>4394</v>
      </c>
      <c r="AN1940" s="738" t="s">
        <v>1744</v>
      </c>
      <c r="AO1940" s="739">
        <v>0.141</v>
      </c>
      <c r="AP1940" s="739" t="s">
        <v>4395</v>
      </c>
    </row>
    <row r="1941">
      <c r="A1941" s="159"/>
      <c r="B1941" s="159"/>
      <c r="C1941" s="159"/>
      <c r="D1941" s="159"/>
      <c r="E1941" s="159"/>
      <c r="F1941" s="159"/>
      <c r="G1941" s="159"/>
      <c r="H1941" s="159"/>
      <c r="I1941" s="157"/>
      <c r="J1941" s="157"/>
      <c r="K1941" s="157"/>
      <c r="L1941" s="157"/>
      <c r="M1941" s="157"/>
      <c r="N1941" s="157"/>
      <c r="O1941" s="157"/>
      <c r="P1941" s="753"/>
      <c r="AK1941" s="40">
        <v>1938.0</v>
      </c>
      <c r="AL1941" s="719" t="s">
        <v>4396</v>
      </c>
      <c r="AM1941" s="720" t="s">
        <v>4397</v>
      </c>
      <c r="AN1941" s="720" t="s">
        <v>1744</v>
      </c>
      <c r="AO1941" s="722">
        <v>0.124</v>
      </c>
      <c r="AP1941" s="722" t="s">
        <v>4398</v>
      </c>
    </row>
    <row r="1942">
      <c r="A1942" s="159"/>
      <c r="B1942" s="159"/>
      <c r="C1942" s="159"/>
      <c r="D1942" s="159"/>
      <c r="E1942" s="159"/>
      <c r="F1942" s="159"/>
      <c r="G1942" s="159"/>
      <c r="H1942" s="159"/>
      <c r="I1942" s="157"/>
      <c r="J1942" s="157"/>
      <c r="K1942" s="157"/>
      <c r="L1942" s="157"/>
      <c r="M1942" s="157"/>
      <c r="N1942" s="157"/>
      <c r="O1942" s="157"/>
      <c r="P1942" s="753"/>
      <c r="AK1942" s="40">
        <v>1939.0</v>
      </c>
      <c r="AL1942" s="738" t="s">
        <v>4399</v>
      </c>
      <c r="AM1942" s="738" t="s">
        <v>2105</v>
      </c>
      <c r="AN1942" s="738" t="s">
        <v>2106</v>
      </c>
      <c r="AO1942" s="739">
        <v>0.011</v>
      </c>
      <c r="AP1942" s="739" t="s">
        <v>2107</v>
      </c>
    </row>
    <row r="1943">
      <c r="A1943" s="159"/>
      <c r="B1943" s="159"/>
      <c r="C1943" s="159"/>
      <c r="D1943" s="159"/>
      <c r="E1943" s="159"/>
      <c r="F1943" s="159"/>
      <c r="G1943" s="159"/>
      <c r="H1943" s="159"/>
      <c r="I1943" s="157"/>
      <c r="J1943" s="157"/>
      <c r="K1943" s="157"/>
      <c r="L1943" s="157"/>
      <c r="M1943" s="157"/>
      <c r="N1943" s="157"/>
      <c r="O1943" s="157"/>
      <c r="P1943" s="753"/>
      <c r="AK1943" s="40">
        <v>1940.0</v>
      </c>
      <c r="AL1943" s="719" t="s">
        <v>4400</v>
      </c>
      <c r="AM1943" s="720" t="s">
        <v>1980</v>
      </c>
      <c r="AN1943" s="720" t="s">
        <v>1981</v>
      </c>
      <c r="AO1943" s="722">
        <v>0.114</v>
      </c>
      <c r="AP1943" s="722" t="s">
        <v>1982</v>
      </c>
    </row>
    <row r="1944">
      <c r="A1944" s="159"/>
      <c r="B1944" s="159"/>
      <c r="C1944" s="159"/>
      <c r="D1944" s="159"/>
      <c r="E1944" s="159"/>
      <c r="F1944" s="159"/>
      <c r="G1944" s="159"/>
      <c r="H1944" s="159"/>
      <c r="I1944" s="157"/>
      <c r="J1944" s="157"/>
      <c r="K1944" s="157"/>
      <c r="L1944" s="157"/>
      <c r="M1944" s="157"/>
      <c r="N1944" s="157"/>
      <c r="O1944" s="157"/>
      <c r="P1944" s="753"/>
      <c r="AK1944" s="40">
        <v>1941.0</v>
      </c>
      <c r="AL1944" s="738" t="s">
        <v>4401</v>
      </c>
      <c r="AM1944" s="738" t="s">
        <v>2113</v>
      </c>
      <c r="AN1944" s="738" t="s">
        <v>2114</v>
      </c>
      <c r="AO1944" s="739">
        <v>0.011</v>
      </c>
      <c r="AP1944" s="739" t="s">
        <v>2107</v>
      </c>
    </row>
    <row r="1945">
      <c r="A1945" s="159"/>
      <c r="B1945" s="159"/>
      <c r="C1945" s="159"/>
      <c r="D1945" s="159"/>
      <c r="E1945" s="159"/>
      <c r="F1945" s="159"/>
      <c r="G1945" s="159"/>
      <c r="H1945" s="159"/>
      <c r="I1945" s="157"/>
      <c r="J1945" s="157"/>
      <c r="K1945" s="157"/>
      <c r="L1945" s="157"/>
      <c r="M1945" s="157"/>
      <c r="N1945" s="157"/>
      <c r="O1945" s="157"/>
      <c r="P1945" s="753"/>
      <c r="AK1945" s="40">
        <v>1942.0</v>
      </c>
      <c r="AL1945" s="719" t="s">
        <v>4402</v>
      </c>
      <c r="AM1945" s="720" t="s">
        <v>2156</v>
      </c>
      <c r="AN1945" s="721"/>
      <c r="AO1945" s="722">
        <v>0.0</v>
      </c>
      <c r="AP1945" s="722" t="s">
        <v>2157</v>
      </c>
    </row>
    <row r="1946">
      <c r="A1946" s="159"/>
      <c r="B1946" s="159"/>
      <c r="C1946" s="159"/>
      <c r="D1946" s="159"/>
      <c r="E1946" s="159"/>
      <c r="F1946" s="159"/>
      <c r="G1946" s="159"/>
      <c r="H1946" s="159"/>
      <c r="I1946" s="157"/>
      <c r="J1946" s="157"/>
      <c r="K1946" s="157"/>
      <c r="L1946" s="157"/>
      <c r="M1946" s="157"/>
      <c r="N1946" s="157"/>
      <c r="O1946" s="157"/>
      <c r="P1946" s="753"/>
      <c r="AK1946" s="40">
        <v>1943.0</v>
      </c>
      <c r="AL1946" s="738" t="s">
        <v>4403</v>
      </c>
      <c r="AM1946" s="738" t="s">
        <v>4404</v>
      </c>
      <c r="AN1946" s="738" t="s">
        <v>1744</v>
      </c>
      <c r="AO1946" s="739">
        <v>0.124</v>
      </c>
      <c r="AP1946" s="739" t="s">
        <v>4405</v>
      </c>
    </row>
    <row r="1947">
      <c r="A1947" s="159"/>
      <c r="B1947" s="159"/>
      <c r="C1947" s="159"/>
      <c r="D1947" s="159"/>
      <c r="E1947" s="159"/>
      <c r="F1947" s="159"/>
      <c r="G1947" s="159"/>
      <c r="H1947" s="159"/>
      <c r="I1947" s="157"/>
      <c r="J1947" s="157"/>
      <c r="K1947" s="157"/>
      <c r="L1947" s="157"/>
      <c r="M1947" s="157"/>
      <c r="N1947" s="157"/>
      <c r="O1947" s="157"/>
      <c r="P1947" s="753"/>
      <c r="AK1947" s="40">
        <v>1944.0</v>
      </c>
      <c r="AL1947" s="719" t="s">
        <v>4406</v>
      </c>
      <c r="AM1947" s="720" t="s">
        <v>4335</v>
      </c>
      <c r="AN1947" s="720" t="s">
        <v>1744</v>
      </c>
      <c r="AO1947" s="722">
        <v>0.022</v>
      </c>
      <c r="AP1947" s="722" t="s">
        <v>4336</v>
      </c>
    </row>
    <row r="1948">
      <c r="A1948" s="159"/>
      <c r="B1948" s="159"/>
      <c r="C1948" s="159"/>
      <c r="D1948" s="159"/>
      <c r="E1948" s="159"/>
      <c r="F1948" s="159"/>
      <c r="G1948" s="159"/>
      <c r="H1948" s="159"/>
      <c r="I1948" s="157"/>
      <c r="J1948" s="157"/>
      <c r="K1948" s="157"/>
      <c r="L1948" s="157"/>
      <c r="M1948" s="157"/>
      <c r="N1948" s="157"/>
      <c r="O1948" s="157"/>
      <c r="P1948" s="753"/>
      <c r="AK1948" s="40">
        <v>1945.0</v>
      </c>
      <c r="AL1948" s="738" t="s">
        <v>4407</v>
      </c>
      <c r="AM1948" s="738" t="s">
        <v>4408</v>
      </c>
      <c r="AN1948" s="738" t="s">
        <v>1744</v>
      </c>
      <c r="AO1948" s="739">
        <v>0.206</v>
      </c>
      <c r="AP1948" s="739" t="s">
        <v>4409</v>
      </c>
    </row>
    <row r="1949">
      <c r="A1949" s="159"/>
      <c r="B1949" s="159"/>
      <c r="C1949" s="159"/>
      <c r="D1949" s="159"/>
      <c r="E1949" s="159"/>
      <c r="F1949" s="159"/>
      <c r="G1949" s="159"/>
      <c r="H1949" s="159"/>
      <c r="I1949" s="157"/>
      <c r="J1949" s="157"/>
      <c r="K1949" s="157"/>
      <c r="L1949" s="157"/>
      <c r="M1949" s="157"/>
      <c r="N1949" s="157"/>
      <c r="O1949" s="157"/>
      <c r="P1949" s="753"/>
      <c r="AK1949" s="40">
        <v>1946.0</v>
      </c>
      <c r="AL1949" s="719" t="s">
        <v>4410</v>
      </c>
      <c r="AM1949" s="720" t="s">
        <v>4397</v>
      </c>
      <c r="AN1949" s="720" t="s">
        <v>1744</v>
      </c>
      <c r="AO1949" s="722">
        <v>0.124</v>
      </c>
      <c r="AP1949" s="722" t="s">
        <v>4398</v>
      </c>
    </row>
    <row r="1950">
      <c r="A1950" s="159"/>
      <c r="B1950" s="159"/>
      <c r="C1950" s="159"/>
      <c r="D1950" s="159"/>
      <c r="E1950" s="159"/>
      <c r="F1950" s="159"/>
      <c r="G1950" s="159"/>
      <c r="H1950" s="159"/>
      <c r="I1950" s="157"/>
      <c r="J1950" s="157"/>
      <c r="K1950" s="157"/>
      <c r="L1950" s="157"/>
      <c r="M1950" s="157"/>
      <c r="N1950" s="157"/>
      <c r="O1950" s="157"/>
      <c r="P1950" s="753"/>
      <c r="AK1950" s="40">
        <v>1947.0</v>
      </c>
      <c r="AL1950" s="738" t="s">
        <v>4411</v>
      </c>
      <c r="AM1950" s="738" t="s">
        <v>2105</v>
      </c>
      <c r="AN1950" s="738" t="s">
        <v>2106</v>
      </c>
      <c r="AO1950" s="739">
        <v>0.011</v>
      </c>
      <c r="AP1950" s="739" t="s">
        <v>2107</v>
      </c>
    </row>
    <row r="1951">
      <c r="A1951" s="159"/>
      <c r="B1951" s="159"/>
      <c r="C1951" s="159"/>
      <c r="D1951" s="159"/>
      <c r="E1951" s="159"/>
      <c r="F1951" s="159"/>
      <c r="G1951" s="159"/>
      <c r="H1951" s="159"/>
      <c r="I1951" s="157"/>
      <c r="J1951" s="157"/>
      <c r="K1951" s="157"/>
      <c r="L1951" s="157"/>
      <c r="M1951" s="157"/>
      <c r="N1951" s="157"/>
      <c r="O1951" s="157"/>
      <c r="P1951" s="753"/>
      <c r="AK1951" s="40">
        <v>1948.0</v>
      </c>
      <c r="AL1951" s="719" t="s">
        <v>4412</v>
      </c>
      <c r="AM1951" s="720" t="s">
        <v>1980</v>
      </c>
      <c r="AN1951" s="720" t="s">
        <v>1981</v>
      </c>
      <c r="AO1951" s="722">
        <v>0.114</v>
      </c>
      <c r="AP1951" s="722" t="s">
        <v>1982</v>
      </c>
    </row>
    <row r="1952">
      <c r="A1952" s="159"/>
      <c r="B1952" s="159"/>
      <c r="C1952" s="159"/>
      <c r="D1952" s="159"/>
      <c r="E1952" s="159"/>
      <c r="F1952" s="159"/>
      <c r="G1952" s="159"/>
      <c r="H1952" s="159"/>
      <c r="I1952" s="157"/>
      <c r="J1952" s="157"/>
      <c r="K1952" s="157"/>
      <c r="L1952" s="157"/>
      <c r="M1952" s="157"/>
      <c r="N1952" s="157"/>
      <c r="O1952" s="157"/>
      <c r="P1952" s="753"/>
      <c r="AK1952" s="40">
        <v>1949.0</v>
      </c>
      <c r="AL1952" s="738" t="s">
        <v>4413</v>
      </c>
      <c r="AM1952" s="738" t="s">
        <v>2156</v>
      </c>
      <c r="AN1952" s="745"/>
      <c r="AO1952" s="739">
        <v>0.0</v>
      </c>
      <c r="AP1952" s="739" t="s">
        <v>2157</v>
      </c>
    </row>
    <row r="1953">
      <c r="A1953" s="159"/>
      <c r="B1953" s="159"/>
      <c r="C1953" s="159"/>
      <c r="D1953" s="159"/>
      <c r="E1953" s="159"/>
      <c r="F1953" s="159"/>
      <c r="G1953" s="159"/>
      <c r="H1953" s="159"/>
      <c r="I1953" s="157"/>
      <c r="J1953" s="157"/>
      <c r="K1953" s="157"/>
      <c r="L1953" s="157"/>
      <c r="M1953" s="157"/>
      <c r="N1953" s="157"/>
      <c r="O1953" s="157"/>
      <c r="P1953" s="753"/>
      <c r="AK1953" s="40">
        <v>1950.0</v>
      </c>
      <c r="AL1953" s="719" t="s">
        <v>4414</v>
      </c>
      <c r="AM1953" s="720" t="s">
        <v>4397</v>
      </c>
      <c r="AN1953" s="720" t="s">
        <v>1744</v>
      </c>
      <c r="AO1953" s="722">
        <v>0.124</v>
      </c>
      <c r="AP1953" s="722" t="s">
        <v>4398</v>
      </c>
    </row>
    <row r="1954">
      <c r="A1954" s="159"/>
      <c r="B1954" s="159"/>
      <c r="C1954" s="159"/>
      <c r="D1954" s="159"/>
      <c r="E1954" s="159"/>
      <c r="F1954" s="159"/>
      <c r="G1954" s="159"/>
      <c r="H1954" s="159"/>
      <c r="I1954" s="157"/>
      <c r="J1954" s="157"/>
      <c r="K1954" s="157"/>
      <c r="L1954" s="157"/>
      <c r="M1954" s="157"/>
      <c r="N1954" s="157"/>
      <c r="O1954" s="157"/>
      <c r="P1954" s="753"/>
      <c r="AK1954" s="40">
        <v>1951.0</v>
      </c>
      <c r="AL1954" s="738" t="s">
        <v>4415</v>
      </c>
      <c r="AM1954" s="738" t="s">
        <v>1727</v>
      </c>
      <c r="AN1954" s="745"/>
      <c r="AO1954" s="739" t="s">
        <v>1728</v>
      </c>
      <c r="AP1954" s="740"/>
    </row>
    <row r="1955">
      <c r="A1955" s="159"/>
      <c r="B1955" s="159"/>
      <c r="C1955" s="159"/>
      <c r="D1955" s="159"/>
      <c r="E1955" s="159"/>
      <c r="F1955" s="159"/>
      <c r="G1955" s="159"/>
      <c r="H1955" s="159"/>
      <c r="I1955" s="157"/>
      <c r="J1955" s="157"/>
      <c r="K1955" s="157"/>
      <c r="L1955" s="157"/>
      <c r="M1955" s="157"/>
      <c r="N1955" s="157"/>
      <c r="O1955" s="157"/>
      <c r="P1955" s="753"/>
      <c r="AK1955" s="40">
        <v>1952.0</v>
      </c>
      <c r="AL1955" s="719" t="s">
        <v>4416</v>
      </c>
      <c r="AM1955" s="720" t="s">
        <v>2116</v>
      </c>
      <c r="AN1955" s="720" t="s">
        <v>2117</v>
      </c>
      <c r="AO1955" s="722">
        <v>0.01</v>
      </c>
      <c r="AP1955" s="722" t="s">
        <v>2118</v>
      </c>
    </row>
    <row r="1956">
      <c r="A1956" s="159"/>
      <c r="B1956" s="159"/>
      <c r="C1956" s="159"/>
      <c r="D1956" s="159"/>
      <c r="E1956" s="159"/>
      <c r="F1956" s="159"/>
      <c r="G1956" s="159"/>
      <c r="H1956" s="159"/>
      <c r="I1956" s="157"/>
      <c r="J1956" s="157"/>
      <c r="K1956" s="157"/>
      <c r="L1956" s="157"/>
      <c r="M1956" s="157"/>
      <c r="N1956" s="157"/>
      <c r="O1956" s="157"/>
      <c r="P1956" s="753"/>
      <c r="AK1956" s="40">
        <v>1953.0</v>
      </c>
      <c r="AL1956" s="738" t="s">
        <v>4417</v>
      </c>
      <c r="AM1956" s="738" t="s">
        <v>2073</v>
      </c>
      <c r="AN1956" s="738" t="s">
        <v>2074</v>
      </c>
      <c r="AO1956" s="739">
        <v>0.027</v>
      </c>
      <c r="AP1956" s="739" t="s">
        <v>2075</v>
      </c>
    </row>
    <row r="1957">
      <c r="A1957" s="159"/>
      <c r="B1957" s="159"/>
      <c r="C1957" s="159"/>
      <c r="D1957" s="159"/>
      <c r="E1957" s="159"/>
      <c r="F1957" s="159"/>
      <c r="G1957" s="159"/>
      <c r="H1957" s="159"/>
      <c r="I1957" s="157"/>
      <c r="J1957" s="157"/>
      <c r="K1957" s="157"/>
      <c r="L1957" s="157"/>
      <c r="M1957" s="157"/>
      <c r="N1957" s="157"/>
      <c r="O1957" s="157"/>
      <c r="P1957" s="753"/>
      <c r="AK1957" s="40">
        <v>1954.0</v>
      </c>
      <c r="AL1957" s="719" t="s">
        <v>4418</v>
      </c>
      <c r="AM1957" s="720" t="s">
        <v>2294</v>
      </c>
      <c r="AN1957" s="720" t="s">
        <v>2295</v>
      </c>
      <c r="AO1957" s="722">
        <v>0.158</v>
      </c>
      <c r="AP1957" s="722" t="s">
        <v>2296</v>
      </c>
    </row>
    <row r="1958">
      <c r="A1958" s="159"/>
      <c r="B1958" s="159"/>
      <c r="C1958" s="159"/>
      <c r="D1958" s="159"/>
      <c r="E1958" s="159"/>
      <c r="F1958" s="159"/>
      <c r="G1958" s="159"/>
      <c r="H1958" s="159"/>
      <c r="I1958" s="157"/>
      <c r="J1958" s="157"/>
      <c r="K1958" s="157"/>
      <c r="L1958" s="157"/>
      <c r="M1958" s="157"/>
      <c r="N1958" s="157"/>
      <c r="O1958" s="157"/>
      <c r="P1958" s="753"/>
      <c r="AK1958" s="40">
        <v>1955.0</v>
      </c>
      <c r="AL1958" s="738" t="s">
        <v>4419</v>
      </c>
      <c r="AM1958" s="738" t="s">
        <v>2298</v>
      </c>
      <c r="AN1958" s="738" t="s">
        <v>2299</v>
      </c>
      <c r="AO1958" s="739">
        <v>0.204</v>
      </c>
      <c r="AP1958" s="739" t="s">
        <v>2300</v>
      </c>
    </row>
    <row r="1959">
      <c r="A1959" s="159"/>
      <c r="B1959" s="159"/>
      <c r="C1959" s="159"/>
      <c r="D1959" s="159"/>
      <c r="E1959" s="159"/>
      <c r="F1959" s="159"/>
      <c r="G1959" s="159"/>
      <c r="H1959" s="159"/>
      <c r="I1959" s="157"/>
      <c r="J1959" s="157"/>
      <c r="K1959" s="157"/>
      <c r="L1959" s="157"/>
      <c r="M1959" s="157"/>
      <c r="N1959" s="157"/>
      <c r="O1959" s="157"/>
      <c r="P1959" s="753"/>
      <c r="AK1959" s="40">
        <v>1956.0</v>
      </c>
      <c r="AL1959" s="719" t="s">
        <v>4420</v>
      </c>
      <c r="AM1959" s="720" t="s">
        <v>2302</v>
      </c>
      <c r="AN1959" s="720" t="s">
        <v>2303</v>
      </c>
      <c r="AO1959" s="722">
        <v>0.215</v>
      </c>
      <c r="AP1959" s="722" t="s">
        <v>2304</v>
      </c>
      <c r="AR1959" s="434">
        <f>1/AO1959</f>
        <v>4.651162791</v>
      </c>
    </row>
    <row r="1960">
      <c r="A1960" s="159"/>
      <c r="B1960" s="159"/>
      <c r="C1960" s="159"/>
      <c r="D1960" s="159"/>
      <c r="E1960" s="159"/>
      <c r="F1960" s="159"/>
      <c r="G1960" s="159"/>
      <c r="H1960" s="159"/>
      <c r="I1960" s="157"/>
      <c r="J1960" s="157"/>
      <c r="K1960" s="157"/>
      <c r="L1960" s="157"/>
      <c r="M1960" s="157"/>
      <c r="N1960" s="157"/>
      <c r="O1960" s="157"/>
      <c r="P1960" s="753"/>
      <c r="AK1960" s="40">
        <v>1957.0</v>
      </c>
      <c r="AL1960" s="738" t="s">
        <v>4421</v>
      </c>
      <c r="AM1960" s="738" t="s">
        <v>2084</v>
      </c>
      <c r="AN1960" s="738" t="s">
        <v>2085</v>
      </c>
      <c r="AO1960" s="739">
        <v>0.021</v>
      </c>
      <c r="AP1960" s="739" t="s">
        <v>2086</v>
      </c>
    </row>
    <row r="1961">
      <c r="A1961" s="159"/>
      <c r="B1961" s="159"/>
      <c r="C1961" s="159"/>
      <c r="D1961" s="159"/>
      <c r="E1961" s="159"/>
      <c r="F1961" s="159"/>
      <c r="G1961" s="159"/>
      <c r="H1961" s="159"/>
      <c r="I1961" s="157"/>
      <c r="J1961" s="157"/>
      <c r="K1961" s="157"/>
      <c r="L1961" s="157"/>
      <c r="M1961" s="157"/>
      <c r="N1961" s="157"/>
      <c r="O1961" s="157"/>
      <c r="P1961" s="753"/>
      <c r="AK1961" s="40">
        <v>1958.0</v>
      </c>
      <c r="AL1961" s="719" t="s">
        <v>4422</v>
      </c>
      <c r="AM1961" s="720" t="s">
        <v>2010</v>
      </c>
      <c r="AN1961" s="720" t="s">
        <v>2011</v>
      </c>
      <c r="AO1961" s="722">
        <v>0.074</v>
      </c>
      <c r="AP1961" s="722" t="s">
        <v>2012</v>
      </c>
    </row>
    <row r="1962">
      <c r="A1962" s="159"/>
      <c r="B1962" s="159"/>
      <c r="C1962" s="159"/>
      <c r="D1962" s="159"/>
      <c r="E1962" s="159"/>
      <c r="F1962" s="159"/>
      <c r="G1962" s="159"/>
      <c r="H1962" s="159"/>
      <c r="I1962" s="157"/>
      <c r="J1962" s="157"/>
      <c r="K1962" s="157"/>
      <c r="L1962" s="157"/>
      <c r="M1962" s="157"/>
      <c r="N1962" s="157"/>
      <c r="O1962" s="157"/>
      <c r="P1962" s="753"/>
      <c r="AK1962" s="40">
        <v>1959.0</v>
      </c>
      <c r="AL1962" s="738" t="s">
        <v>4423</v>
      </c>
      <c r="AM1962" s="738" t="s">
        <v>2308</v>
      </c>
      <c r="AN1962" s="738" t="s">
        <v>2309</v>
      </c>
      <c r="AO1962" s="739">
        <v>0.261</v>
      </c>
      <c r="AP1962" s="739" t="s">
        <v>2310</v>
      </c>
    </row>
    <row r="1963">
      <c r="A1963" s="159"/>
      <c r="B1963" s="159"/>
      <c r="C1963" s="159"/>
      <c r="D1963" s="159"/>
      <c r="E1963" s="159"/>
      <c r="F1963" s="159"/>
      <c r="G1963" s="159"/>
      <c r="H1963" s="159"/>
      <c r="I1963" s="157"/>
      <c r="J1963" s="157"/>
      <c r="K1963" s="157"/>
      <c r="L1963" s="157"/>
      <c r="M1963" s="157"/>
      <c r="N1963" s="157"/>
      <c r="O1963" s="157"/>
      <c r="P1963" s="753"/>
      <c r="AK1963" s="40">
        <v>1960.0</v>
      </c>
      <c r="AL1963" s="719" t="s">
        <v>4424</v>
      </c>
      <c r="AM1963" s="720" t="s">
        <v>2312</v>
      </c>
      <c r="AN1963" s="720" t="s">
        <v>2313</v>
      </c>
      <c r="AO1963" s="722">
        <v>0.277</v>
      </c>
      <c r="AP1963" s="722" t="s">
        <v>2314</v>
      </c>
    </row>
    <row r="1964">
      <c r="A1964" s="159"/>
      <c r="B1964" s="159"/>
      <c r="C1964" s="159"/>
      <c r="D1964" s="159"/>
      <c r="E1964" s="159"/>
      <c r="F1964" s="159"/>
      <c r="G1964" s="159"/>
      <c r="H1964" s="159"/>
      <c r="I1964" s="157"/>
      <c r="J1964" s="157"/>
      <c r="K1964" s="157"/>
      <c r="L1964" s="157"/>
      <c r="M1964" s="157"/>
      <c r="N1964" s="157"/>
      <c r="O1964" s="157"/>
      <c r="P1964" s="753"/>
      <c r="AK1964" s="40">
        <v>1961.0</v>
      </c>
      <c r="AL1964" s="738" t="s">
        <v>4425</v>
      </c>
      <c r="AM1964" s="738" t="s">
        <v>2316</v>
      </c>
      <c r="AN1964" s="738" t="s">
        <v>2317</v>
      </c>
      <c r="AO1964" s="739">
        <v>0.316</v>
      </c>
      <c r="AP1964" s="739" t="s">
        <v>2318</v>
      </c>
    </row>
    <row r="1965">
      <c r="A1965" s="159"/>
      <c r="B1965" s="159"/>
      <c r="C1965" s="159"/>
      <c r="D1965" s="159"/>
      <c r="E1965" s="159"/>
      <c r="F1965" s="159"/>
      <c r="G1965" s="159"/>
      <c r="H1965" s="159"/>
      <c r="I1965" s="157"/>
      <c r="J1965" s="157"/>
      <c r="K1965" s="157"/>
      <c r="L1965" s="157"/>
      <c r="M1965" s="157"/>
      <c r="N1965" s="157"/>
      <c r="O1965" s="157"/>
      <c r="P1965" s="753"/>
      <c r="AK1965" s="40">
        <v>1962.0</v>
      </c>
      <c r="AL1965" s="719" t="s">
        <v>4426</v>
      </c>
      <c r="AM1965" s="720" t="s">
        <v>2335</v>
      </c>
      <c r="AN1965" s="720" t="s">
        <v>2336</v>
      </c>
      <c r="AO1965" s="722">
        <v>0.092</v>
      </c>
      <c r="AP1965" s="722" t="s">
        <v>2337</v>
      </c>
    </row>
    <row r="1966">
      <c r="A1966" s="159"/>
      <c r="B1966" s="159"/>
      <c r="C1966" s="159"/>
      <c r="D1966" s="159"/>
      <c r="E1966" s="159"/>
      <c r="F1966" s="159"/>
      <c r="G1966" s="159"/>
      <c r="H1966" s="159"/>
      <c r="I1966" s="157"/>
      <c r="J1966" s="157"/>
      <c r="K1966" s="157"/>
      <c r="L1966" s="157"/>
      <c r="M1966" s="157"/>
      <c r="N1966" s="157"/>
      <c r="O1966" s="157"/>
      <c r="P1966" s="753"/>
      <c r="AK1966" s="40">
        <v>1963.0</v>
      </c>
      <c r="AL1966" s="738" t="s">
        <v>4427</v>
      </c>
      <c r="AM1966" s="738" t="s">
        <v>2339</v>
      </c>
      <c r="AN1966" s="738" t="s">
        <v>2336</v>
      </c>
      <c r="AO1966" s="739">
        <v>0.167</v>
      </c>
      <c r="AP1966" s="739" t="s">
        <v>2340</v>
      </c>
    </row>
    <row r="1967">
      <c r="A1967" s="159"/>
      <c r="B1967" s="159"/>
      <c r="C1967" s="159"/>
      <c r="D1967" s="159"/>
      <c r="E1967" s="159"/>
      <c r="F1967" s="159"/>
      <c r="G1967" s="159"/>
      <c r="H1967" s="159"/>
      <c r="I1967" s="157"/>
      <c r="J1967" s="157"/>
      <c r="K1967" s="157"/>
      <c r="L1967" s="157"/>
      <c r="M1967" s="157"/>
      <c r="N1967" s="157"/>
      <c r="O1967" s="157"/>
      <c r="P1967" s="753"/>
      <c r="AK1967" s="40">
        <v>1964.0</v>
      </c>
      <c r="AL1967" s="719" t="s">
        <v>4428</v>
      </c>
      <c r="AM1967" s="720" t="s">
        <v>2131</v>
      </c>
      <c r="AN1967" s="720" t="s">
        <v>2132</v>
      </c>
      <c r="AO1967" s="722">
        <v>0.006</v>
      </c>
      <c r="AP1967" s="722" t="s">
        <v>2133</v>
      </c>
    </row>
    <row r="1968">
      <c r="A1968" s="159"/>
      <c r="B1968" s="159"/>
      <c r="C1968" s="159"/>
      <c r="D1968" s="159"/>
      <c r="E1968" s="159"/>
      <c r="F1968" s="159"/>
      <c r="G1968" s="159"/>
      <c r="H1968" s="159"/>
      <c r="I1968" s="157"/>
      <c r="J1968" s="157"/>
      <c r="K1968" s="157"/>
      <c r="L1968" s="157"/>
      <c r="M1968" s="157"/>
      <c r="N1968" s="157"/>
      <c r="O1968" s="157"/>
      <c r="P1968" s="753"/>
      <c r="AK1968" s="40">
        <v>1965.0</v>
      </c>
      <c r="AL1968" s="738" t="s">
        <v>4429</v>
      </c>
      <c r="AM1968" s="738" t="s">
        <v>2050</v>
      </c>
      <c r="AN1968" s="738" t="s">
        <v>2051</v>
      </c>
      <c r="AO1968" s="739">
        <v>0.051</v>
      </c>
      <c r="AP1968" s="739" t="s">
        <v>2052</v>
      </c>
    </row>
    <row r="1969">
      <c r="A1969" s="159"/>
      <c r="B1969" s="159"/>
      <c r="C1969" s="159"/>
      <c r="D1969" s="159"/>
      <c r="E1969" s="159"/>
      <c r="F1969" s="159"/>
      <c r="G1969" s="159"/>
      <c r="H1969" s="159"/>
      <c r="I1969" s="157"/>
      <c r="J1969" s="157"/>
      <c r="K1969" s="157"/>
      <c r="L1969" s="157"/>
      <c r="M1969" s="157"/>
      <c r="N1969" s="157"/>
      <c r="O1969" s="157"/>
      <c r="P1969" s="753"/>
      <c r="AK1969" s="40">
        <v>1966.0</v>
      </c>
      <c r="AL1969" s="719" t="s">
        <v>4430</v>
      </c>
      <c r="AM1969" s="720" t="s">
        <v>2105</v>
      </c>
      <c r="AN1969" s="720" t="s">
        <v>2106</v>
      </c>
      <c r="AO1969" s="722">
        <v>0.011</v>
      </c>
      <c r="AP1969" s="722" t="s">
        <v>2107</v>
      </c>
    </row>
    <row r="1970">
      <c r="A1970" s="159"/>
      <c r="B1970" s="159"/>
      <c r="C1970" s="159"/>
      <c r="D1970" s="159"/>
      <c r="E1970" s="159"/>
      <c r="F1970" s="159"/>
      <c r="G1970" s="159"/>
      <c r="H1970" s="159"/>
      <c r="I1970" s="157"/>
      <c r="J1970" s="157"/>
      <c r="K1970" s="157"/>
      <c r="L1970" s="157"/>
      <c r="M1970" s="157"/>
      <c r="N1970" s="157"/>
      <c r="O1970" s="157"/>
      <c r="P1970" s="753"/>
      <c r="AK1970" s="40">
        <v>1967.0</v>
      </c>
      <c r="AL1970" s="738" t="s">
        <v>4431</v>
      </c>
      <c r="AM1970" s="738" t="s">
        <v>1980</v>
      </c>
      <c r="AN1970" s="738" t="s">
        <v>1981</v>
      </c>
      <c r="AO1970" s="739">
        <v>0.114</v>
      </c>
      <c r="AP1970" s="739" t="s">
        <v>1982</v>
      </c>
    </row>
    <row r="1971">
      <c r="A1971" s="159"/>
      <c r="B1971" s="159"/>
      <c r="C1971" s="159"/>
      <c r="D1971" s="159"/>
      <c r="E1971" s="159"/>
      <c r="F1971" s="159"/>
      <c r="G1971" s="159"/>
      <c r="H1971" s="159"/>
      <c r="I1971" s="157"/>
      <c r="J1971" s="157"/>
      <c r="K1971" s="157"/>
      <c r="L1971" s="157"/>
      <c r="M1971" s="157"/>
      <c r="N1971" s="157"/>
      <c r="O1971" s="157"/>
      <c r="P1971" s="753"/>
      <c r="AK1971" s="40">
        <v>1968.0</v>
      </c>
      <c r="AL1971" s="719" t="s">
        <v>4432</v>
      </c>
      <c r="AM1971" s="720" t="s">
        <v>1860</v>
      </c>
      <c r="AN1971" s="720" t="s">
        <v>1861</v>
      </c>
      <c r="AO1971" s="722">
        <v>0.324</v>
      </c>
      <c r="AP1971" s="722" t="s">
        <v>1862</v>
      </c>
    </row>
    <row r="1972">
      <c r="A1972" s="159"/>
      <c r="B1972" s="159"/>
      <c r="C1972" s="159"/>
      <c r="D1972" s="159"/>
      <c r="E1972" s="159"/>
      <c r="F1972" s="159"/>
      <c r="G1972" s="159"/>
      <c r="H1972" s="159"/>
      <c r="I1972" s="157"/>
      <c r="J1972" s="157"/>
      <c r="K1972" s="157"/>
      <c r="L1972" s="157"/>
      <c r="M1972" s="157"/>
      <c r="N1972" s="157"/>
      <c r="O1972" s="157"/>
      <c r="P1972" s="753"/>
      <c r="AK1972" s="40">
        <v>1969.0</v>
      </c>
      <c r="AL1972" s="738" t="s">
        <v>4433</v>
      </c>
      <c r="AM1972" s="738" t="s">
        <v>4434</v>
      </c>
      <c r="AN1972" s="738" t="s">
        <v>4435</v>
      </c>
      <c r="AO1972" s="739">
        <v>0.067</v>
      </c>
      <c r="AP1972" s="739" t="s">
        <v>4436</v>
      </c>
    </row>
    <row r="1973">
      <c r="A1973" s="159"/>
      <c r="B1973" s="159"/>
      <c r="C1973" s="159"/>
      <c r="D1973" s="159"/>
      <c r="E1973" s="159"/>
      <c r="F1973" s="159"/>
      <c r="G1973" s="159"/>
      <c r="H1973" s="159"/>
      <c r="I1973" s="157"/>
      <c r="J1973" s="157"/>
      <c r="K1973" s="157"/>
      <c r="L1973" s="157"/>
      <c r="M1973" s="157"/>
      <c r="N1973" s="157"/>
      <c r="O1973" s="157"/>
      <c r="P1973" s="753"/>
      <c r="AK1973" s="40">
        <v>1970.0</v>
      </c>
      <c r="AL1973" s="719" t="s">
        <v>4437</v>
      </c>
      <c r="AM1973" s="720" t="s">
        <v>2156</v>
      </c>
      <c r="AN1973" s="721"/>
      <c r="AO1973" s="722">
        <v>0.0</v>
      </c>
      <c r="AP1973" s="722" t="s">
        <v>2157</v>
      </c>
    </row>
    <row r="1974">
      <c r="A1974" s="159"/>
      <c r="B1974" s="159"/>
      <c r="C1974" s="159"/>
      <c r="D1974" s="159"/>
      <c r="E1974" s="159"/>
      <c r="F1974" s="159"/>
      <c r="G1974" s="159"/>
      <c r="H1974" s="159"/>
      <c r="I1974" s="157"/>
      <c r="J1974" s="157"/>
      <c r="K1974" s="157"/>
      <c r="L1974" s="157"/>
      <c r="M1974" s="157"/>
      <c r="N1974" s="157"/>
      <c r="O1974" s="157"/>
      <c r="P1974" s="753"/>
      <c r="AK1974" s="40">
        <v>1971.0</v>
      </c>
      <c r="AL1974" s="738" t="s">
        <v>4438</v>
      </c>
      <c r="AM1974" s="738" t="s">
        <v>2123</v>
      </c>
      <c r="AN1974" s="738" t="s">
        <v>2124</v>
      </c>
      <c r="AO1974" s="739">
        <v>0.008</v>
      </c>
      <c r="AP1974" s="739" t="s">
        <v>2125</v>
      </c>
    </row>
    <row r="1975">
      <c r="A1975" s="159"/>
      <c r="B1975" s="159"/>
      <c r="C1975" s="159"/>
      <c r="D1975" s="159"/>
      <c r="E1975" s="159"/>
      <c r="F1975" s="159"/>
      <c r="G1975" s="159"/>
      <c r="H1975" s="159"/>
      <c r="I1975" s="157"/>
      <c r="J1975" s="157"/>
      <c r="K1975" s="157"/>
      <c r="L1975" s="157"/>
      <c r="M1975" s="157"/>
      <c r="N1975" s="157"/>
      <c r="O1975" s="157"/>
      <c r="P1975" s="753"/>
      <c r="AK1975" s="40">
        <v>1972.0</v>
      </c>
      <c r="AL1975" s="719" t="s">
        <v>4439</v>
      </c>
      <c r="AM1975" s="720" t="s">
        <v>2144</v>
      </c>
      <c r="AN1975" s="720" t="s">
        <v>2145</v>
      </c>
      <c r="AO1975" s="722">
        <v>0.005</v>
      </c>
      <c r="AP1975" s="722" t="s">
        <v>2146</v>
      </c>
    </row>
    <row r="1976">
      <c r="A1976" s="159"/>
      <c r="B1976" s="159"/>
      <c r="C1976" s="159"/>
      <c r="D1976" s="159"/>
      <c r="E1976" s="159"/>
      <c r="F1976" s="159"/>
      <c r="G1976" s="159"/>
      <c r="H1976" s="159"/>
      <c r="I1976" s="157"/>
      <c r="J1976" s="157"/>
      <c r="K1976" s="157"/>
      <c r="L1976" s="157"/>
      <c r="M1976" s="157"/>
      <c r="N1976" s="157"/>
      <c r="O1976" s="157"/>
      <c r="P1976" s="753"/>
      <c r="AK1976" s="40">
        <v>1973.0</v>
      </c>
      <c r="AL1976" s="738" t="s">
        <v>4440</v>
      </c>
      <c r="AM1976" s="738" t="s">
        <v>1727</v>
      </c>
      <c r="AN1976" s="745"/>
      <c r="AO1976" s="739" t="s">
        <v>1728</v>
      </c>
      <c r="AP1976" s="740"/>
    </row>
    <row r="1977">
      <c r="A1977" s="159"/>
      <c r="B1977" s="159"/>
      <c r="C1977" s="159"/>
      <c r="D1977" s="159"/>
      <c r="E1977" s="159"/>
      <c r="F1977" s="159"/>
      <c r="G1977" s="159"/>
      <c r="H1977" s="159"/>
      <c r="I1977" s="157"/>
      <c r="J1977" s="157"/>
      <c r="K1977" s="157"/>
      <c r="L1977" s="157"/>
      <c r="M1977" s="157"/>
      <c r="N1977" s="157"/>
      <c r="O1977" s="157"/>
      <c r="P1977" s="753"/>
      <c r="AK1977" s="40">
        <v>1974.0</v>
      </c>
      <c r="AL1977" s="719" t="s">
        <v>4441</v>
      </c>
      <c r="AM1977" s="720" t="s">
        <v>2105</v>
      </c>
      <c r="AN1977" s="720" t="s">
        <v>2106</v>
      </c>
      <c r="AO1977" s="722">
        <v>0.011</v>
      </c>
      <c r="AP1977" s="722" t="s">
        <v>2107</v>
      </c>
    </row>
    <row r="1978">
      <c r="A1978" s="159"/>
      <c r="B1978" s="159"/>
      <c r="C1978" s="159"/>
      <c r="D1978" s="159"/>
      <c r="E1978" s="159"/>
      <c r="F1978" s="159"/>
      <c r="G1978" s="159"/>
      <c r="H1978" s="159"/>
      <c r="I1978" s="157"/>
      <c r="J1978" s="157"/>
      <c r="K1978" s="157"/>
      <c r="L1978" s="157"/>
      <c r="M1978" s="157"/>
      <c r="N1978" s="157"/>
      <c r="O1978" s="157"/>
      <c r="P1978" s="753"/>
      <c r="AK1978" s="40">
        <v>1975.0</v>
      </c>
      <c r="AL1978" s="738" t="s">
        <v>4442</v>
      </c>
      <c r="AM1978" s="738" t="s">
        <v>2156</v>
      </c>
      <c r="AN1978" s="745"/>
      <c r="AO1978" s="739">
        <v>0.0</v>
      </c>
      <c r="AP1978" s="739" t="s">
        <v>2157</v>
      </c>
    </row>
    <row r="1979">
      <c r="A1979" s="159"/>
      <c r="B1979" s="159"/>
      <c r="C1979" s="159"/>
      <c r="D1979" s="159"/>
      <c r="E1979" s="159"/>
      <c r="F1979" s="159"/>
      <c r="G1979" s="159"/>
      <c r="H1979" s="159"/>
      <c r="I1979" s="157"/>
      <c r="J1979" s="157"/>
      <c r="K1979" s="157"/>
      <c r="L1979" s="157"/>
      <c r="M1979" s="157"/>
      <c r="N1979" s="157"/>
      <c r="O1979" s="157"/>
      <c r="P1979" s="753"/>
      <c r="AK1979" s="40">
        <v>1976.0</v>
      </c>
      <c r="AL1979" s="719" t="s">
        <v>4443</v>
      </c>
      <c r="AM1979" s="720" t="s">
        <v>3064</v>
      </c>
      <c r="AN1979" s="720" t="s">
        <v>1744</v>
      </c>
      <c r="AO1979" s="722">
        <v>0.015</v>
      </c>
      <c r="AP1979" s="722" t="s">
        <v>3065</v>
      </c>
    </row>
    <row r="1980">
      <c r="A1980" s="159"/>
      <c r="B1980" s="159"/>
      <c r="C1980" s="159"/>
      <c r="D1980" s="159"/>
      <c r="E1980" s="159"/>
      <c r="F1980" s="159"/>
      <c r="G1980" s="159"/>
      <c r="H1980" s="159"/>
      <c r="I1980" s="157"/>
      <c r="J1980" s="157"/>
      <c r="K1980" s="157"/>
      <c r="L1980" s="157"/>
      <c r="M1980" s="157"/>
      <c r="N1980" s="157"/>
      <c r="O1980" s="157"/>
      <c r="P1980" s="753"/>
      <c r="AK1980" s="40">
        <v>1977.0</v>
      </c>
      <c r="AL1980" s="738" t="s">
        <v>4444</v>
      </c>
      <c r="AM1980" s="738" t="s">
        <v>3067</v>
      </c>
      <c r="AN1980" s="738" t="s">
        <v>1744</v>
      </c>
      <c r="AO1980" s="739">
        <v>0.062</v>
      </c>
      <c r="AP1980" s="739" t="s">
        <v>3068</v>
      </c>
    </row>
    <row r="1981">
      <c r="A1981" s="159"/>
      <c r="B1981" s="159"/>
      <c r="C1981" s="159"/>
      <c r="D1981" s="159"/>
      <c r="E1981" s="159"/>
      <c r="F1981" s="159"/>
      <c r="G1981" s="159"/>
      <c r="H1981" s="159"/>
      <c r="I1981" s="157"/>
      <c r="J1981" s="157"/>
      <c r="K1981" s="157"/>
      <c r="L1981" s="157"/>
      <c r="M1981" s="157"/>
      <c r="N1981" s="157"/>
      <c r="O1981" s="157"/>
      <c r="P1981" s="753"/>
      <c r="AK1981" s="40">
        <v>1978.0</v>
      </c>
      <c r="AL1981" s="719" t="s">
        <v>4445</v>
      </c>
      <c r="AM1981" s="720" t="s">
        <v>3070</v>
      </c>
      <c r="AN1981" s="720" t="s">
        <v>1744</v>
      </c>
      <c r="AO1981" s="722">
        <v>0.158</v>
      </c>
      <c r="AP1981" s="722" t="s">
        <v>3071</v>
      </c>
    </row>
    <row r="1982">
      <c r="A1982" s="159"/>
      <c r="B1982" s="159"/>
      <c r="C1982" s="159"/>
      <c r="D1982" s="159"/>
      <c r="E1982" s="159"/>
      <c r="F1982" s="159"/>
      <c r="G1982" s="159"/>
      <c r="H1982" s="159"/>
      <c r="I1982" s="157"/>
      <c r="J1982" s="157"/>
      <c r="K1982" s="157"/>
      <c r="L1982" s="157"/>
      <c r="M1982" s="157"/>
      <c r="N1982" s="157"/>
      <c r="O1982" s="157"/>
      <c r="P1982" s="753"/>
      <c r="AK1982" s="40">
        <v>1979.0</v>
      </c>
      <c r="AL1982" s="738" t="s">
        <v>4446</v>
      </c>
      <c r="AM1982" s="738" t="s">
        <v>2123</v>
      </c>
      <c r="AN1982" s="738" t="s">
        <v>2124</v>
      </c>
      <c r="AO1982" s="739">
        <v>0.008</v>
      </c>
      <c r="AP1982" s="739" t="s">
        <v>2125</v>
      </c>
    </row>
    <row r="1983">
      <c r="A1983" s="159"/>
      <c r="B1983" s="159"/>
      <c r="C1983" s="159"/>
      <c r="D1983" s="159"/>
      <c r="E1983" s="159"/>
      <c r="F1983" s="159"/>
      <c r="G1983" s="159"/>
      <c r="H1983" s="159"/>
      <c r="I1983" s="157"/>
      <c r="J1983" s="157"/>
      <c r="K1983" s="157"/>
      <c r="L1983" s="157"/>
      <c r="M1983" s="157"/>
      <c r="N1983" s="157"/>
      <c r="O1983" s="157"/>
      <c r="P1983" s="753"/>
      <c r="AK1983" s="40">
        <v>1980.0</v>
      </c>
      <c r="AL1983" s="719" t="s">
        <v>4447</v>
      </c>
      <c r="AM1983" s="720" t="s">
        <v>2144</v>
      </c>
      <c r="AN1983" s="720" t="s">
        <v>2145</v>
      </c>
      <c r="AO1983" s="722">
        <v>0.005</v>
      </c>
      <c r="AP1983" s="722" t="s">
        <v>2146</v>
      </c>
    </row>
    <row r="1984">
      <c r="A1984" s="159"/>
      <c r="B1984" s="159"/>
      <c r="C1984" s="159"/>
      <c r="D1984" s="159"/>
      <c r="E1984" s="159"/>
      <c r="F1984" s="159"/>
      <c r="G1984" s="159"/>
      <c r="H1984" s="159"/>
      <c r="I1984" s="157"/>
      <c r="J1984" s="157"/>
      <c r="K1984" s="157"/>
      <c r="L1984" s="157"/>
      <c r="M1984" s="157"/>
      <c r="N1984" s="157"/>
      <c r="O1984" s="157"/>
      <c r="P1984" s="753"/>
      <c r="AK1984" s="40">
        <v>1981.0</v>
      </c>
      <c r="AL1984" s="738" t="s">
        <v>4448</v>
      </c>
      <c r="AM1984" s="738" t="s">
        <v>2113</v>
      </c>
      <c r="AN1984" s="738" t="s">
        <v>2114</v>
      </c>
      <c r="AO1984" s="739">
        <v>0.011</v>
      </c>
      <c r="AP1984" s="739" t="s">
        <v>2107</v>
      </c>
    </row>
    <row r="1985">
      <c r="A1985" s="159"/>
      <c r="B1985" s="159"/>
      <c r="C1985" s="159"/>
      <c r="D1985" s="159"/>
      <c r="E1985" s="159"/>
      <c r="F1985" s="159"/>
      <c r="G1985" s="159"/>
      <c r="H1985" s="159"/>
      <c r="I1985" s="157"/>
      <c r="J1985" s="157"/>
      <c r="K1985" s="157"/>
      <c r="L1985" s="157"/>
      <c r="M1985" s="157"/>
      <c r="N1985" s="157"/>
      <c r="O1985" s="157"/>
      <c r="P1985" s="753"/>
      <c r="AK1985" s="40">
        <v>1982.0</v>
      </c>
      <c r="AL1985" s="719" t="s">
        <v>4449</v>
      </c>
      <c r="AM1985" s="720" t="s">
        <v>2156</v>
      </c>
      <c r="AN1985" s="721"/>
      <c r="AO1985" s="722">
        <v>0.0</v>
      </c>
      <c r="AP1985" s="722" t="s">
        <v>2157</v>
      </c>
    </row>
    <row r="1986">
      <c r="A1986" s="159"/>
      <c r="B1986" s="159"/>
      <c r="C1986" s="159"/>
      <c r="D1986" s="159"/>
      <c r="E1986" s="159"/>
      <c r="F1986" s="159"/>
      <c r="G1986" s="159"/>
      <c r="H1986" s="159"/>
      <c r="I1986" s="157"/>
      <c r="J1986" s="157"/>
      <c r="K1986" s="157"/>
      <c r="L1986" s="157"/>
      <c r="M1986" s="157"/>
      <c r="N1986" s="157"/>
      <c r="O1986" s="157"/>
      <c r="P1986" s="753"/>
      <c r="AK1986" s="40">
        <v>1983.0</v>
      </c>
      <c r="AL1986" s="738" t="s">
        <v>4450</v>
      </c>
      <c r="AM1986" s="738" t="s">
        <v>4305</v>
      </c>
      <c r="AN1986" s="738" t="s">
        <v>1744</v>
      </c>
      <c r="AO1986" s="739">
        <v>0.018</v>
      </c>
      <c r="AP1986" s="739" t="s">
        <v>4306</v>
      </c>
    </row>
    <row r="1987">
      <c r="A1987" s="159"/>
      <c r="B1987" s="159"/>
      <c r="C1987" s="159"/>
      <c r="D1987" s="159"/>
      <c r="E1987" s="159"/>
      <c r="F1987" s="159"/>
      <c r="G1987" s="159"/>
      <c r="H1987" s="159"/>
      <c r="I1987" s="157"/>
      <c r="J1987" s="157"/>
      <c r="K1987" s="157"/>
      <c r="L1987" s="157"/>
      <c r="M1987" s="157"/>
      <c r="N1987" s="157"/>
      <c r="O1987" s="157"/>
      <c r="P1987" s="753"/>
      <c r="AK1987" s="40">
        <v>1984.0</v>
      </c>
      <c r="AL1987" s="719" t="s">
        <v>4451</v>
      </c>
      <c r="AM1987" s="720" t="s">
        <v>4452</v>
      </c>
      <c r="AN1987" s="720" t="s">
        <v>1744</v>
      </c>
      <c r="AO1987" s="722">
        <v>0.016</v>
      </c>
      <c r="AP1987" s="722" t="s">
        <v>4453</v>
      </c>
    </row>
    <row r="1988">
      <c r="A1988" s="159"/>
      <c r="B1988" s="159"/>
      <c r="C1988" s="159"/>
      <c r="D1988" s="159"/>
      <c r="E1988" s="159"/>
      <c r="F1988" s="159"/>
      <c r="G1988" s="159"/>
      <c r="H1988" s="159"/>
      <c r="I1988" s="157"/>
      <c r="J1988" s="157"/>
      <c r="K1988" s="157"/>
      <c r="L1988" s="157"/>
      <c r="M1988" s="157"/>
      <c r="N1988" s="157"/>
      <c r="O1988" s="157"/>
      <c r="P1988" s="753"/>
      <c r="AK1988" s="40">
        <v>1985.0</v>
      </c>
      <c r="AL1988" s="738" t="s">
        <v>4454</v>
      </c>
      <c r="AM1988" s="738" t="s">
        <v>2123</v>
      </c>
      <c r="AN1988" s="738" t="s">
        <v>2124</v>
      </c>
      <c r="AO1988" s="739">
        <v>0.008</v>
      </c>
      <c r="AP1988" s="739" t="s">
        <v>2125</v>
      </c>
    </row>
    <row r="1989">
      <c r="A1989" s="159"/>
      <c r="B1989" s="159"/>
      <c r="C1989" s="159"/>
      <c r="D1989" s="159"/>
      <c r="E1989" s="159"/>
      <c r="F1989" s="159"/>
      <c r="G1989" s="159"/>
      <c r="H1989" s="159"/>
      <c r="I1989" s="157"/>
      <c r="J1989" s="157"/>
      <c r="K1989" s="157"/>
      <c r="L1989" s="157"/>
      <c r="M1989" s="157"/>
      <c r="N1989" s="157"/>
      <c r="O1989" s="157"/>
      <c r="P1989" s="753"/>
      <c r="AK1989" s="40">
        <v>1986.0</v>
      </c>
      <c r="AL1989" s="719" t="s">
        <v>4455</v>
      </c>
      <c r="AM1989" s="720" t="s">
        <v>2144</v>
      </c>
      <c r="AN1989" s="720" t="s">
        <v>2145</v>
      </c>
      <c r="AO1989" s="722">
        <v>0.005</v>
      </c>
      <c r="AP1989" s="722" t="s">
        <v>2146</v>
      </c>
    </row>
    <row r="1990">
      <c r="A1990" s="159"/>
      <c r="B1990" s="159"/>
      <c r="C1990" s="159"/>
      <c r="D1990" s="159"/>
      <c r="E1990" s="159"/>
      <c r="F1990" s="159"/>
      <c r="G1990" s="159"/>
      <c r="H1990" s="159"/>
      <c r="I1990" s="157"/>
      <c r="J1990" s="157"/>
      <c r="K1990" s="157"/>
      <c r="L1990" s="157"/>
      <c r="M1990" s="157"/>
      <c r="N1990" s="157"/>
      <c r="O1990" s="157"/>
      <c r="P1990" s="753"/>
      <c r="AK1990" s="40">
        <v>1987.0</v>
      </c>
      <c r="AL1990" s="738" t="s">
        <v>4456</v>
      </c>
      <c r="AM1990" s="738" t="s">
        <v>2123</v>
      </c>
      <c r="AN1990" s="738" t="s">
        <v>2124</v>
      </c>
      <c r="AO1990" s="739">
        <v>0.008</v>
      </c>
      <c r="AP1990" s="739" t="s">
        <v>2125</v>
      </c>
    </row>
    <row r="1991">
      <c r="A1991" s="159"/>
      <c r="B1991" s="159"/>
      <c r="C1991" s="159"/>
      <c r="D1991" s="159"/>
      <c r="E1991" s="159"/>
      <c r="F1991" s="159"/>
      <c r="G1991" s="159"/>
      <c r="H1991" s="159"/>
      <c r="I1991" s="157"/>
      <c r="J1991" s="157"/>
      <c r="K1991" s="157"/>
      <c r="L1991" s="157"/>
      <c r="M1991" s="157"/>
      <c r="N1991" s="157"/>
      <c r="O1991" s="157"/>
      <c r="P1991" s="753"/>
      <c r="AK1991" s="40">
        <v>1988.0</v>
      </c>
      <c r="AL1991" s="719" t="s">
        <v>4457</v>
      </c>
      <c r="AM1991" s="720" t="s">
        <v>2144</v>
      </c>
      <c r="AN1991" s="720" t="s">
        <v>2145</v>
      </c>
      <c r="AO1991" s="722">
        <v>0.005</v>
      </c>
      <c r="AP1991" s="722" t="s">
        <v>2146</v>
      </c>
    </row>
    <row r="1992">
      <c r="A1992" s="159"/>
      <c r="B1992" s="159"/>
      <c r="C1992" s="159"/>
      <c r="D1992" s="159"/>
      <c r="E1992" s="159"/>
      <c r="F1992" s="159"/>
      <c r="G1992" s="159"/>
      <c r="H1992" s="159"/>
      <c r="I1992" s="157"/>
      <c r="J1992" s="157"/>
      <c r="K1992" s="157"/>
      <c r="L1992" s="157"/>
      <c r="M1992" s="157"/>
      <c r="N1992" s="157"/>
      <c r="O1992" s="157"/>
      <c r="P1992" s="753"/>
      <c r="AK1992" s="40">
        <v>1989.0</v>
      </c>
      <c r="AL1992" s="738" t="s">
        <v>4458</v>
      </c>
      <c r="AM1992" s="738" t="s">
        <v>2105</v>
      </c>
      <c r="AN1992" s="738" t="s">
        <v>2106</v>
      </c>
      <c r="AO1992" s="739">
        <v>0.011</v>
      </c>
      <c r="AP1992" s="739" t="s">
        <v>2107</v>
      </c>
    </row>
    <row r="1993">
      <c r="A1993" s="159"/>
      <c r="B1993" s="159"/>
      <c r="C1993" s="159"/>
      <c r="D1993" s="159"/>
      <c r="E1993" s="159"/>
      <c r="F1993" s="159"/>
      <c r="G1993" s="159"/>
      <c r="H1993" s="159"/>
      <c r="I1993" s="157"/>
      <c r="J1993" s="157"/>
      <c r="K1993" s="157"/>
      <c r="L1993" s="157"/>
      <c r="M1993" s="157"/>
      <c r="N1993" s="157"/>
      <c r="O1993" s="157"/>
      <c r="P1993" s="753"/>
      <c r="AK1993" s="40">
        <v>1990.0</v>
      </c>
      <c r="AL1993" s="719" t="s">
        <v>4459</v>
      </c>
      <c r="AM1993" s="720" t="s">
        <v>1980</v>
      </c>
      <c r="AN1993" s="720" t="s">
        <v>1981</v>
      </c>
      <c r="AO1993" s="722">
        <v>0.114</v>
      </c>
      <c r="AP1993" s="722" t="s">
        <v>1982</v>
      </c>
    </row>
    <row r="1994">
      <c r="A1994" s="159"/>
      <c r="B1994" s="159"/>
      <c r="C1994" s="159"/>
      <c r="D1994" s="159"/>
      <c r="E1994" s="159"/>
      <c r="F1994" s="159"/>
      <c r="G1994" s="159"/>
      <c r="H1994" s="159"/>
      <c r="I1994" s="157"/>
      <c r="J1994" s="157"/>
      <c r="K1994" s="157"/>
      <c r="L1994" s="157"/>
      <c r="M1994" s="157"/>
      <c r="N1994" s="157"/>
      <c r="O1994" s="157"/>
      <c r="P1994" s="753"/>
      <c r="AK1994" s="40">
        <v>1991.0</v>
      </c>
      <c r="AL1994" s="738" t="s">
        <v>4460</v>
      </c>
      <c r="AM1994" s="738" t="s">
        <v>1860</v>
      </c>
      <c r="AN1994" s="738" t="s">
        <v>1861</v>
      </c>
      <c r="AO1994" s="739">
        <v>0.324</v>
      </c>
      <c r="AP1994" s="739" t="s">
        <v>1862</v>
      </c>
    </row>
    <row r="1995">
      <c r="A1995" s="159"/>
      <c r="B1995" s="159"/>
      <c r="C1995" s="159"/>
      <c r="D1995" s="159"/>
      <c r="E1995" s="159"/>
      <c r="F1995" s="159"/>
      <c r="G1995" s="159"/>
      <c r="H1995" s="159"/>
      <c r="I1995" s="157"/>
      <c r="J1995" s="157"/>
      <c r="K1995" s="157"/>
      <c r="L1995" s="157"/>
      <c r="M1995" s="157"/>
      <c r="N1995" s="157"/>
      <c r="O1995" s="157"/>
      <c r="P1995" s="753"/>
      <c r="AK1995" s="40">
        <v>1992.0</v>
      </c>
      <c r="AL1995" s="719" t="s">
        <v>4461</v>
      </c>
      <c r="AM1995" s="720" t="s">
        <v>2156</v>
      </c>
      <c r="AN1995" s="721"/>
      <c r="AO1995" s="722">
        <v>0.0</v>
      </c>
      <c r="AP1995" s="722" t="s">
        <v>2157</v>
      </c>
    </row>
    <row r="1996">
      <c r="A1996" s="159"/>
      <c r="B1996" s="159"/>
      <c r="C1996" s="159"/>
      <c r="D1996" s="159"/>
      <c r="E1996" s="159"/>
      <c r="F1996" s="159"/>
      <c r="G1996" s="159"/>
      <c r="H1996" s="159"/>
      <c r="I1996" s="157"/>
      <c r="J1996" s="157"/>
      <c r="K1996" s="157"/>
      <c r="L1996" s="157"/>
      <c r="M1996" s="157"/>
      <c r="N1996" s="157"/>
      <c r="O1996" s="157"/>
      <c r="P1996" s="753"/>
      <c r="AK1996" s="40">
        <v>1993.0</v>
      </c>
      <c r="AL1996" s="738" t="s">
        <v>4462</v>
      </c>
      <c r="AM1996" s="738" t="s">
        <v>4308</v>
      </c>
      <c r="AN1996" s="738" t="s">
        <v>1744</v>
      </c>
      <c r="AO1996" s="739">
        <v>0.018</v>
      </c>
      <c r="AP1996" s="739" t="s">
        <v>4309</v>
      </c>
    </row>
    <row r="1997">
      <c r="A1997" s="159"/>
      <c r="B1997" s="159"/>
      <c r="C1997" s="159"/>
      <c r="D1997" s="159"/>
      <c r="E1997" s="159"/>
      <c r="F1997" s="159"/>
      <c r="G1997" s="159"/>
      <c r="H1997" s="159"/>
      <c r="I1997" s="157"/>
      <c r="J1997" s="157"/>
      <c r="K1997" s="157"/>
      <c r="L1997" s="157"/>
      <c r="M1997" s="157"/>
      <c r="N1997" s="157"/>
      <c r="O1997" s="157"/>
      <c r="P1997" s="753"/>
      <c r="AK1997" s="40">
        <v>1994.0</v>
      </c>
      <c r="AL1997" s="719" t="s">
        <v>4463</v>
      </c>
      <c r="AM1997" s="720" t="s">
        <v>4464</v>
      </c>
      <c r="AN1997" s="720" t="s">
        <v>1744</v>
      </c>
      <c r="AO1997" s="722">
        <v>0.121</v>
      </c>
      <c r="AP1997" s="722" t="s">
        <v>4465</v>
      </c>
    </row>
    <row r="1998">
      <c r="A1998" s="159"/>
      <c r="B1998" s="159"/>
      <c r="C1998" s="159"/>
      <c r="D1998" s="159"/>
      <c r="E1998" s="159"/>
      <c r="F1998" s="159"/>
      <c r="G1998" s="159"/>
      <c r="H1998" s="159"/>
      <c r="I1998" s="157"/>
      <c r="J1998" s="157"/>
      <c r="K1998" s="157"/>
      <c r="L1998" s="157"/>
      <c r="M1998" s="157"/>
      <c r="N1998" s="157"/>
      <c r="O1998" s="157"/>
      <c r="P1998" s="753"/>
      <c r="AK1998" s="40">
        <v>1995.0</v>
      </c>
      <c r="AL1998" s="738" t="s">
        <v>4466</v>
      </c>
      <c r="AM1998" s="738" t="s">
        <v>4467</v>
      </c>
      <c r="AN1998" s="738" t="s">
        <v>1744</v>
      </c>
      <c r="AO1998" s="739">
        <v>0.329</v>
      </c>
      <c r="AP1998" s="739" t="s">
        <v>4468</v>
      </c>
    </row>
    <row r="1999">
      <c r="A1999" s="159"/>
      <c r="B1999" s="159"/>
      <c r="C1999" s="159"/>
      <c r="D1999" s="159"/>
      <c r="E1999" s="159"/>
      <c r="F1999" s="159"/>
      <c r="G1999" s="159"/>
      <c r="H1999" s="159"/>
      <c r="I1999" s="157"/>
      <c r="J1999" s="157"/>
      <c r="K1999" s="157"/>
      <c r="L1999" s="157"/>
      <c r="M1999" s="157"/>
      <c r="N1999" s="157"/>
      <c r="O1999" s="157"/>
      <c r="P1999" s="753"/>
      <c r="AK1999" s="40">
        <v>1996.0</v>
      </c>
      <c r="AL1999" s="719" t="s">
        <v>4469</v>
      </c>
      <c r="AM1999" s="720" t="s">
        <v>4470</v>
      </c>
      <c r="AN1999" s="720" t="s">
        <v>1744</v>
      </c>
      <c r="AO1999" s="722">
        <v>0.016</v>
      </c>
      <c r="AP1999" s="722" t="s">
        <v>4453</v>
      </c>
    </row>
    <row r="2000">
      <c r="A2000" s="159"/>
      <c r="B2000" s="159"/>
      <c r="C2000" s="159"/>
      <c r="D2000" s="159"/>
      <c r="E2000" s="159"/>
      <c r="F2000" s="159"/>
      <c r="G2000" s="159"/>
      <c r="H2000" s="159"/>
      <c r="I2000" s="157"/>
      <c r="J2000" s="157"/>
      <c r="K2000" s="157"/>
      <c r="L2000" s="157"/>
      <c r="M2000" s="157"/>
      <c r="N2000" s="157"/>
      <c r="O2000" s="157"/>
      <c r="P2000" s="753"/>
      <c r="AK2000" s="40">
        <v>1997.0</v>
      </c>
      <c r="AL2000" s="738" t="s">
        <v>4471</v>
      </c>
      <c r="AM2000" s="738" t="s">
        <v>4472</v>
      </c>
      <c r="AN2000" s="738" t="s">
        <v>1744</v>
      </c>
      <c r="AO2000" s="739">
        <v>0.119</v>
      </c>
      <c r="AP2000" s="739" t="s">
        <v>4473</v>
      </c>
    </row>
    <row r="2001">
      <c r="A2001" s="159"/>
      <c r="B2001" s="159"/>
      <c r="C2001" s="159"/>
      <c r="D2001" s="159"/>
      <c r="E2001" s="159"/>
      <c r="F2001" s="159"/>
      <c r="G2001" s="159"/>
      <c r="H2001" s="159"/>
      <c r="I2001" s="157"/>
      <c r="J2001" s="157"/>
      <c r="K2001" s="157"/>
      <c r="L2001" s="157"/>
      <c r="M2001" s="157"/>
      <c r="N2001" s="157"/>
      <c r="O2001" s="157"/>
      <c r="P2001" s="753"/>
      <c r="AK2001" s="40">
        <v>1998.0</v>
      </c>
      <c r="AL2001" s="719" t="s">
        <v>4474</v>
      </c>
      <c r="AM2001" s="720" t="s">
        <v>4475</v>
      </c>
      <c r="AN2001" s="720" t="s">
        <v>1744</v>
      </c>
      <c r="AO2001" s="722">
        <v>0.328</v>
      </c>
      <c r="AP2001" s="722" t="s">
        <v>4476</v>
      </c>
    </row>
    <row r="2002">
      <c r="A2002" s="159"/>
      <c r="B2002" s="159"/>
      <c r="C2002" s="159"/>
      <c r="D2002" s="159"/>
      <c r="E2002" s="159"/>
      <c r="F2002" s="159"/>
      <c r="G2002" s="159"/>
      <c r="H2002" s="159"/>
      <c r="I2002" s="157"/>
      <c r="J2002" s="157"/>
      <c r="K2002" s="157"/>
      <c r="L2002" s="157"/>
      <c r="M2002" s="157"/>
      <c r="N2002" s="157"/>
      <c r="O2002" s="157"/>
      <c r="P2002" s="753"/>
      <c r="AK2002" s="40">
        <v>1999.0</v>
      </c>
      <c r="AL2002" s="738" t="s">
        <v>4477</v>
      </c>
      <c r="AM2002" s="738" t="s">
        <v>2105</v>
      </c>
      <c r="AN2002" s="738" t="s">
        <v>2106</v>
      </c>
      <c r="AO2002" s="739">
        <v>0.011</v>
      </c>
      <c r="AP2002" s="739" t="s">
        <v>2107</v>
      </c>
    </row>
    <row r="2003">
      <c r="A2003" s="159"/>
      <c r="B2003" s="159"/>
      <c r="C2003" s="159"/>
      <c r="D2003" s="159"/>
      <c r="E2003" s="159"/>
      <c r="F2003" s="159"/>
      <c r="G2003" s="159"/>
      <c r="H2003" s="159"/>
      <c r="I2003" s="157"/>
      <c r="J2003" s="157"/>
      <c r="K2003" s="157"/>
      <c r="L2003" s="157"/>
      <c r="M2003" s="157"/>
      <c r="N2003" s="157"/>
      <c r="O2003" s="157"/>
      <c r="P2003" s="753"/>
      <c r="AK2003" s="40">
        <v>2000.0</v>
      </c>
      <c r="AL2003" s="719" t="s">
        <v>4478</v>
      </c>
      <c r="AM2003" s="720" t="s">
        <v>4479</v>
      </c>
      <c r="AN2003" s="720" t="s">
        <v>4480</v>
      </c>
      <c r="AO2003" s="722">
        <v>0.02</v>
      </c>
      <c r="AP2003" s="722" t="s">
        <v>3718</v>
      </c>
    </row>
    <row r="2004">
      <c r="A2004" s="159"/>
      <c r="B2004" s="159"/>
      <c r="C2004" s="159"/>
      <c r="D2004" s="159"/>
      <c r="E2004" s="159"/>
      <c r="F2004" s="159"/>
      <c r="G2004" s="159"/>
      <c r="H2004" s="159"/>
      <c r="I2004" s="157"/>
      <c r="J2004" s="157"/>
      <c r="K2004" s="157"/>
      <c r="L2004" s="157"/>
      <c r="M2004" s="157"/>
      <c r="N2004" s="157"/>
      <c r="O2004" s="157"/>
      <c r="P2004" s="753"/>
      <c r="AK2004" s="40">
        <v>2001.0</v>
      </c>
      <c r="AL2004" s="738" t="s">
        <v>4481</v>
      </c>
      <c r="AM2004" s="738" t="s">
        <v>2156</v>
      </c>
      <c r="AN2004" s="745"/>
      <c r="AO2004" s="739">
        <v>0.0</v>
      </c>
      <c r="AP2004" s="739" t="s">
        <v>2157</v>
      </c>
    </row>
    <row r="2005">
      <c r="A2005" s="159"/>
      <c r="B2005" s="159"/>
      <c r="C2005" s="159"/>
      <c r="D2005" s="159"/>
      <c r="E2005" s="159"/>
      <c r="F2005" s="159"/>
      <c r="G2005" s="159"/>
      <c r="H2005" s="159"/>
      <c r="I2005" s="157"/>
      <c r="J2005" s="157"/>
      <c r="K2005" s="157"/>
      <c r="L2005" s="157"/>
      <c r="M2005" s="157"/>
      <c r="N2005" s="157"/>
      <c r="O2005" s="157"/>
      <c r="P2005" s="753"/>
      <c r="AK2005" s="40">
        <v>2002.0</v>
      </c>
      <c r="AL2005" s="719" t="s">
        <v>4482</v>
      </c>
      <c r="AM2005" s="720" t="s">
        <v>4483</v>
      </c>
      <c r="AN2005" s="720" t="s">
        <v>1744</v>
      </c>
      <c r="AO2005" s="722">
        <v>0.031</v>
      </c>
      <c r="AP2005" s="722" t="s">
        <v>4484</v>
      </c>
    </row>
    <row r="2006">
      <c r="A2006" s="159"/>
      <c r="B2006" s="159"/>
      <c r="C2006" s="159"/>
      <c r="D2006" s="159"/>
      <c r="E2006" s="159"/>
      <c r="F2006" s="159"/>
      <c r="G2006" s="159"/>
      <c r="H2006" s="159"/>
      <c r="I2006" s="157"/>
      <c r="J2006" s="157"/>
      <c r="K2006" s="157"/>
      <c r="L2006" s="157"/>
      <c r="M2006" s="157"/>
      <c r="N2006" s="157"/>
      <c r="O2006" s="157"/>
      <c r="P2006" s="753"/>
      <c r="AK2006" s="40">
        <v>2003.0</v>
      </c>
      <c r="AL2006" s="738" t="s">
        <v>4485</v>
      </c>
      <c r="AM2006" s="738" t="s">
        <v>3304</v>
      </c>
      <c r="AN2006" s="738" t="s">
        <v>3305</v>
      </c>
      <c r="AO2006" s="739">
        <v>0.145</v>
      </c>
      <c r="AP2006" s="739" t="s">
        <v>3306</v>
      </c>
    </row>
    <row r="2007">
      <c r="A2007" s="159"/>
      <c r="B2007" s="159"/>
      <c r="C2007" s="159"/>
      <c r="D2007" s="159"/>
      <c r="E2007" s="159"/>
      <c r="F2007" s="159"/>
      <c r="G2007" s="159"/>
      <c r="H2007" s="159"/>
      <c r="I2007" s="157"/>
      <c r="J2007" s="157"/>
      <c r="K2007" s="157"/>
      <c r="L2007" s="157"/>
      <c r="M2007" s="157"/>
      <c r="N2007" s="157"/>
      <c r="O2007" s="157"/>
      <c r="P2007" s="753"/>
      <c r="AK2007" s="40">
        <v>2004.0</v>
      </c>
      <c r="AL2007" s="719" t="s">
        <v>4486</v>
      </c>
      <c r="AM2007" s="720" t="s">
        <v>2105</v>
      </c>
      <c r="AN2007" s="720" t="s">
        <v>2106</v>
      </c>
      <c r="AO2007" s="722">
        <v>0.011</v>
      </c>
      <c r="AP2007" s="722" t="s">
        <v>2107</v>
      </c>
    </row>
    <row r="2008">
      <c r="A2008" s="159"/>
      <c r="B2008" s="159"/>
      <c r="C2008" s="159"/>
      <c r="D2008" s="159"/>
      <c r="E2008" s="159"/>
      <c r="F2008" s="159"/>
      <c r="G2008" s="159"/>
      <c r="H2008" s="159"/>
      <c r="I2008" s="157"/>
      <c r="J2008" s="157"/>
      <c r="K2008" s="157"/>
      <c r="L2008" s="157"/>
      <c r="M2008" s="157"/>
      <c r="N2008" s="157"/>
      <c r="O2008" s="157"/>
      <c r="P2008" s="753"/>
      <c r="AK2008" s="40">
        <v>2005.0</v>
      </c>
      <c r="AL2008" s="738" t="s">
        <v>4487</v>
      </c>
      <c r="AM2008" s="738" t="s">
        <v>2156</v>
      </c>
      <c r="AN2008" s="745"/>
      <c r="AO2008" s="739">
        <v>0.0</v>
      </c>
      <c r="AP2008" s="739" t="s">
        <v>2157</v>
      </c>
    </row>
    <row r="2009">
      <c r="A2009" s="159"/>
      <c r="B2009" s="159"/>
      <c r="C2009" s="159"/>
      <c r="D2009" s="159"/>
      <c r="E2009" s="159"/>
      <c r="F2009" s="159"/>
      <c r="G2009" s="159"/>
      <c r="H2009" s="159"/>
      <c r="I2009" s="157"/>
      <c r="J2009" s="157"/>
      <c r="K2009" s="157"/>
      <c r="L2009" s="157"/>
      <c r="M2009" s="157"/>
      <c r="N2009" s="157"/>
      <c r="O2009" s="157"/>
      <c r="P2009" s="753"/>
      <c r="AK2009" s="40">
        <v>2006.0</v>
      </c>
      <c r="AL2009" s="719" t="s">
        <v>4488</v>
      </c>
      <c r="AM2009" s="720" t="s">
        <v>4489</v>
      </c>
      <c r="AN2009" s="720" t="s">
        <v>1744</v>
      </c>
      <c r="AO2009" s="722">
        <v>0.155</v>
      </c>
      <c r="AP2009" s="722" t="s">
        <v>4490</v>
      </c>
    </row>
    <row r="2010">
      <c r="A2010" s="159"/>
      <c r="B2010" s="159"/>
      <c r="C2010" s="159"/>
      <c r="D2010" s="159"/>
      <c r="E2010" s="159"/>
      <c r="F2010" s="159"/>
      <c r="G2010" s="159"/>
      <c r="H2010" s="159"/>
      <c r="I2010" s="157"/>
      <c r="J2010" s="157"/>
      <c r="K2010" s="157"/>
      <c r="L2010" s="157"/>
      <c r="M2010" s="157"/>
      <c r="N2010" s="157"/>
      <c r="O2010" s="157"/>
      <c r="P2010" s="753"/>
      <c r="AK2010" s="40">
        <v>2007.0</v>
      </c>
      <c r="AL2010" s="738" t="s">
        <v>4491</v>
      </c>
      <c r="AM2010" s="738" t="s">
        <v>2105</v>
      </c>
      <c r="AN2010" s="738" t="s">
        <v>2106</v>
      </c>
      <c r="AO2010" s="739">
        <v>0.011</v>
      </c>
      <c r="AP2010" s="739" t="s">
        <v>2107</v>
      </c>
    </row>
    <row r="2011">
      <c r="A2011" s="159"/>
      <c r="B2011" s="159"/>
      <c r="C2011" s="159"/>
      <c r="D2011" s="159"/>
      <c r="E2011" s="159"/>
      <c r="F2011" s="159"/>
      <c r="G2011" s="159"/>
      <c r="H2011" s="159"/>
      <c r="I2011" s="157"/>
      <c r="J2011" s="157"/>
      <c r="K2011" s="157"/>
      <c r="L2011" s="157"/>
      <c r="M2011" s="157"/>
      <c r="N2011" s="157"/>
      <c r="O2011" s="157"/>
      <c r="P2011" s="753"/>
      <c r="AK2011" s="40">
        <v>2008.0</v>
      </c>
      <c r="AL2011" s="719" t="s">
        <v>4492</v>
      </c>
      <c r="AM2011" s="720" t="s">
        <v>2156</v>
      </c>
      <c r="AN2011" s="721"/>
      <c r="AO2011" s="722">
        <v>0.0</v>
      </c>
      <c r="AP2011" s="722" t="s">
        <v>2157</v>
      </c>
    </row>
    <row r="2012">
      <c r="A2012" s="159"/>
      <c r="B2012" s="159"/>
      <c r="C2012" s="159"/>
      <c r="D2012" s="159"/>
      <c r="E2012" s="159"/>
      <c r="F2012" s="159"/>
      <c r="G2012" s="159"/>
      <c r="H2012" s="159"/>
      <c r="I2012" s="157"/>
      <c r="J2012" s="157"/>
      <c r="K2012" s="157"/>
      <c r="L2012" s="157"/>
      <c r="M2012" s="157"/>
      <c r="N2012" s="157"/>
      <c r="O2012" s="157"/>
      <c r="P2012" s="753"/>
      <c r="AK2012" s="40">
        <v>2009.0</v>
      </c>
      <c r="AL2012" s="738" t="s">
        <v>4493</v>
      </c>
      <c r="AM2012" s="738" t="s">
        <v>1980</v>
      </c>
      <c r="AN2012" s="738" t="s">
        <v>1981</v>
      </c>
      <c r="AO2012" s="739">
        <v>0.114</v>
      </c>
      <c r="AP2012" s="739" t="s">
        <v>1982</v>
      </c>
    </row>
    <row r="2013">
      <c r="A2013" s="159"/>
      <c r="B2013" s="159"/>
      <c r="C2013" s="159"/>
      <c r="D2013" s="159"/>
      <c r="E2013" s="159"/>
      <c r="F2013" s="159"/>
      <c r="G2013" s="159"/>
      <c r="H2013" s="159"/>
      <c r="I2013" s="157"/>
      <c r="J2013" s="157"/>
      <c r="K2013" s="157"/>
      <c r="L2013" s="157"/>
      <c r="M2013" s="157"/>
      <c r="N2013" s="157"/>
      <c r="O2013" s="157"/>
      <c r="P2013" s="753"/>
      <c r="AK2013" s="40">
        <v>2010.0</v>
      </c>
      <c r="AL2013" s="719" t="s">
        <v>4494</v>
      </c>
      <c r="AM2013" s="720" t="s">
        <v>1860</v>
      </c>
      <c r="AN2013" s="720" t="s">
        <v>1861</v>
      </c>
      <c r="AO2013" s="722">
        <v>0.324</v>
      </c>
      <c r="AP2013" s="722" t="s">
        <v>1862</v>
      </c>
    </row>
    <row r="2014">
      <c r="A2014" s="159"/>
      <c r="B2014" s="159"/>
      <c r="C2014" s="159"/>
      <c r="D2014" s="159"/>
      <c r="E2014" s="159"/>
      <c r="F2014" s="159"/>
      <c r="G2014" s="159"/>
      <c r="H2014" s="159"/>
      <c r="I2014" s="157"/>
      <c r="J2014" s="157"/>
      <c r="K2014" s="157"/>
      <c r="L2014" s="157"/>
      <c r="M2014" s="157"/>
      <c r="N2014" s="157"/>
      <c r="O2014" s="157"/>
      <c r="P2014" s="753"/>
      <c r="AK2014" s="40">
        <v>2011.0</v>
      </c>
      <c r="AL2014" s="738" t="s">
        <v>4495</v>
      </c>
      <c r="AM2014" s="738" t="s">
        <v>2156</v>
      </c>
      <c r="AN2014" s="745"/>
      <c r="AO2014" s="739">
        <v>0.0</v>
      </c>
      <c r="AP2014" s="739" t="s">
        <v>2157</v>
      </c>
    </row>
    <row r="2015">
      <c r="A2015" s="159"/>
      <c r="B2015" s="159"/>
      <c r="C2015" s="159"/>
      <c r="D2015" s="159"/>
      <c r="E2015" s="159"/>
      <c r="F2015" s="159"/>
      <c r="G2015" s="159"/>
      <c r="H2015" s="159"/>
      <c r="I2015" s="157"/>
      <c r="J2015" s="157"/>
      <c r="K2015" s="157"/>
      <c r="L2015" s="157"/>
      <c r="M2015" s="157"/>
      <c r="N2015" s="157"/>
      <c r="O2015" s="157"/>
      <c r="P2015" s="753"/>
      <c r="AK2015" s="40">
        <v>2012.0</v>
      </c>
      <c r="AL2015" s="719" t="s">
        <v>4496</v>
      </c>
      <c r="AM2015" s="720" t="s">
        <v>2150</v>
      </c>
      <c r="AN2015" s="720" t="s">
        <v>2151</v>
      </c>
      <c r="AO2015" s="722">
        <v>0.004</v>
      </c>
      <c r="AP2015" s="722" t="s">
        <v>2152</v>
      </c>
    </row>
    <row r="2016">
      <c r="A2016" s="159"/>
      <c r="B2016" s="159"/>
      <c r="C2016" s="159"/>
      <c r="D2016" s="159"/>
      <c r="E2016" s="159"/>
      <c r="F2016" s="159"/>
      <c r="G2016" s="159"/>
      <c r="H2016" s="159"/>
      <c r="I2016" s="157"/>
      <c r="J2016" s="157"/>
      <c r="K2016" s="157"/>
      <c r="L2016" s="157"/>
      <c r="M2016" s="157"/>
      <c r="N2016" s="157"/>
      <c r="O2016" s="157"/>
      <c r="P2016" s="753"/>
      <c r="AK2016" s="40">
        <v>2013.0</v>
      </c>
      <c r="AL2016" s="738" t="s">
        <v>4497</v>
      </c>
      <c r="AM2016" s="738" t="s">
        <v>2044</v>
      </c>
      <c r="AN2016" s="738" t="s">
        <v>2045</v>
      </c>
      <c r="AO2016" s="739">
        <v>0.052</v>
      </c>
      <c r="AP2016" s="739" t="s">
        <v>2046</v>
      </c>
    </row>
    <row r="2017">
      <c r="A2017" s="159"/>
      <c r="B2017" s="159"/>
      <c r="C2017" s="159"/>
      <c r="D2017" s="159"/>
      <c r="E2017" s="159"/>
      <c r="F2017" s="159"/>
      <c r="G2017" s="159"/>
      <c r="H2017" s="159"/>
      <c r="I2017" s="157"/>
      <c r="J2017" s="157"/>
      <c r="K2017" s="157"/>
      <c r="L2017" s="157"/>
      <c r="M2017" s="157"/>
      <c r="N2017" s="157"/>
      <c r="O2017" s="157"/>
      <c r="P2017" s="753"/>
      <c r="AK2017" s="40">
        <v>2014.0</v>
      </c>
      <c r="AL2017" s="719" t="s">
        <v>4498</v>
      </c>
      <c r="AM2017" s="720" t="s">
        <v>1940</v>
      </c>
      <c r="AN2017" s="720" t="s">
        <v>1941</v>
      </c>
      <c r="AO2017" s="722">
        <v>0.149</v>
      </c>
      <c r="AP2017" s="722" t="s">
        <v>1942</v>
      </c>
    </row>
    <row r="2018">
      <c r="A2018" s="159"/>
      <c r="B2018" s="159"/>
      <c r="C2018" s="159"/>
      <c r="D2018" s="159"/>
      <c r="E2018" s="159"/>
      <c r="F2018" s="159"/>
      <c r="G2018" s="159"/>
      <c r="H2018" s="159"/>
      <c r="I2018" s="157"/>
      <c r="J2018" s="157"/>
      <c r="K2018" s="157"/>
      <c r="L2018" s="157"/>
      <c r="M2018" s="157"/>
      <c r="N2018" s="157"/>
      <c r="O2018" s="157"/>
      <c r="P2018" s="753"/>
      <c r="AK2018" s="40">
        <v>2015.0</v>
      </c>
      <c r="AL2018" s="738" t="s">
        <v>4499</v>
      </c>
      <c r="AM2018" s="738" t="s">
        <v>2069</v>
      </c>
      <c r="AN2018" s="738" t="s">
        <v>2070</v>
      </c>
      <c r="AO2018" s="739">
        <v>0.041</v>
      </c>
      <c r="AP2018" s="739" t="s">
        <v>2071</v>
      </c>
    </row>
    <row r="2019">
      <c r="A2019" s="159"/>
      <c r="B2019" s="159"/>
      <c r="C2019" s="159"/>
      <c r="D2019" s="159"/>
      <c r="E2019" s="159"/>
      <c r="F2019" s="159"/>
      <c r="G2019" s="159"/>
      <c r="H2019" s="159"/>
      <c r="I2019" s="157"/>
      <c r="J2019" s="157"/>
      <c r="K2019" s="157"/>
      <c r="L2019" s="157"/>
      <c r="M2019" s="157"/>
      <c r="N2019" s="157"/>
      <c r="O2019" s="157"/>
      <c r="P2019" s="753"/>
      <c r="AK2019" s="40">
        <v>2016.0</v>
      </c>
      <c r="AL2019" s="719" t="s">
        <v>4500</v>
      </c>
      <c r="AM2019" s="720" t="s">
        <v>2020</v>
      </c>
      <c r="AN2019" s="720" t="s">
        <v>2021</v>
      </c>
      <c r="AO2019" s="722">
        <v>0.072</v>
      </c>
      <c r="AP2019" s="722" t="s">
        <v>2022</v>
      </c>
    </row>
    <row r="2020">
      <c r="A2020" s="159"/>
      <c r="B2020" s="159"/>
      <c r="C2020" s="159"/>
      <c r="D2020" s="159"/>
      <c r="E2020" s="159"/>
      <c r="F2020" s="159"/>
      <c r="G2020" s="159"/>
      <c r="H2020" s="159"/>
      <c r="I2020" s="157"/>
      <c r="J2020" s="157"/>
      <c r="K2020" s="157"/>
      <c r="L2020" s="157"/>
      <c r="M2020" s="157"/>
      <c r="N2020" s="157"/>
      <c r="O2020" s="157"/>
      <c r="P2020" s="753"/>
      <c r="AK2020" s="40">
        <v>2017.0</v>
      </c>
      <c r="AL2020" s="738" t="s">
        <v>4501</v>
      </c>
      <c r="AM2020" s="738" t="s">
        <v>1925</v>
      </c>
      <c r="AN2020" s="738" t="s">
        <v>1926</v>
      </c>
      <c r="AO2020" s="739">
        <v>0.179</v>
      </c>
      <c r="AP2020" s="739" t="s">
        <v>1927</v>
      </c>
    </row>
    <row r="2021">
      <c r="A2021" s="159"/>
      <c r="B2021" s="159"/>
      <c r="C2021" s="159"/>
      <c r="D2021" s="159"/>
      <c r="E2021" s="159"/>
      <c r="F2021" s="159"/>
      <c r="G2021" s="159"/>
      <c r="H2021" s="159"/>
      <c r="I2021" s="157"/>
      <c r="J2021" s="157"/>
      <c r="K2021" s="157"/>
      <c r="L2021" s="157"/>
      <c r="M2021" s="157"/>
      <c r="N2021" s="157"/>
      <c r="O2021" s="157"/>
      <c r="P2021" s="753"/>
      <c r="AK2021" s="40">
        <v>2018.0</v>
      </c>
      <c r="AL2021" s="719" t="s">
        <v>4502</v>
      </c>
      <c r="AM2021" s="720" t="s">
        <v>2065</v>
      </c>
      <c r="AN2021" s="720" t="s">
        <v>2066</v>
      </c>
      <c r="AO2021" s="722">
        <v>0.049</v>
      </c>
      <c r="AP2021" s="722" t="s">
        <v>2067</v>
      </c>
    </row>
    <row r="2022">
      <c r="A2022" s="159"/>
      <c r="B2022" s="159"/>
      <c r="C2022" s="159"/>
      <c r="D2022" s="159"/>
      <c r="E2022" s="159"/>
      <c r="F2022" s="159"/>
      <c r="G2022" s="159"/>
      <c r="H2022" s="159"/>
      <c r="I2022" s="157"/>
      <c r="J2022" s="157"/>
      <c r="K2022" s="157"/>
      <c r="L2022" s="157"/>
      <c r="M2022" s="157"/>
      <c r="N2022" s="157"/>
      <c r="O2022" s="157"/>
      <c r="P2022" s="753"/>
      <c r="AK2022" s="40">
        <v>2019.0</v>
      </c>
      <c r="AL2022" s="738" t="s">
        <v>4503</v>
      </c>
      <c r="AM2022" s="738" t="s">
        <v>2100</v>
      </c>
      <c r="AN2022" s="738" t="s">
        <v>2101</v>
      </c>
      <c r="AO2022" s="739">
        <v>0.012</v>
      </c>
      <c r="AP2022" s="739" t="s">
        <v>2102</v>
      </c>
    </row>
    <row r="2023">
      <c r="A2023" s="159"/>
      <c r="B2023" s="159"/>
      <c r="C2023" s="159"/>
      <c r="D2023" s="159"/>
      <c r="E2023" s="159"/>
      <c r="F2023" s="159"/>
      <c r="G2023" s="159"/>
      <c r="H2023" s="159"/>
      <c r="I2023" s="157"/>
      <c r="J2023" s="157"/>
      <c r="K2023" s="157"/>
      <c r="L2023" s="157"/>
      <c r="M2023" s="157"/>
      <c r="N2023" s="157"/>
      <c r="O2023" s="157"/>
      <c r="P2023" s="753"/>
      <c r="AK2023" s="40">
        <v>2020.0</v>
      </c>
      <c r="AL2023" s="719" t="s">
        <v>4504</v>
      </c>
      <c r="AM2023" s="720" t="s">
        <v>2100</v>
      </c>
      <c r="AN2023" s="720" t="s">
        <v>2101</v>
      </c>
      <c r="AO2023" s="722">
        <v>0.012</v>
      </c>
      <c r="AP2023" s="722" t="s">
        <v>2102</v>
      </c>
    </row>
    <row r="2024">
      <c r="A2024" s="159"/>
      <c r="B2024" s="159"/>
      <c r="C2024" s="159"/>
      <c r="D2024" s="159"/>
      <c r="E2024" s="159"/>
      <c r="F2024" s="159"/>
      <c r="G2024" s="159"/>
      <c r="H2024" s="159"/>
      <c r="I2024" s="157"/>
      <c r="J2024" s="157"/>
      <c r="K2024" s="157"/>
      <c r="L2024" s="157"/>
      <c r="M2024" s="157"/>
      <c r="N2024" s="157"/>
      <c r="O2024" s="157"/>
      <c r="P2024" s="753"/>
      <c r="AK2024" s="40">
        <v>2021.0</v>
      </c>
      <c r="AL2024" s="738" t="s">
        <v>4505</v>
      </c>
      <c r="AM2024" s="738" t="s">
        <v>2100</v>
      </c>
      <c r="AN2024" s="738" t="s">
        <v>2101</v>
      </c>
      <c r="AO2024" s="739">
        <v>0.012</v>
      </c>
      <c r="AP2024" s="739" t="s">
        <v>2102</v>
      </c>
    </row>
    <row r="2025">
      <c r="A2025" s="159"/>
      <c r="B2025" s="159"/>
      <c r="C2025" s="159"/>
      <c r="D2025" s="159"/>
      <c r="E2025" s="159"/>
      <c r="F2025" s="159"/>
      <c r="G2025" s="159"/>
      <c r="H2025" s="159"/>
      <c r="I2025" s="157"/>
      <c r="J2025" s="157"/>
      <c r="K2025" s="157"/>
      <c r="L2025" s="157"/>
      <c r="M2025" s="157"/>
      <c r="N2025" s="157"/>
      <c r="O2025" s="157"/>
      <c r="P2025" s="753"/>
      <c r="AK2025" s="40">
        <v>2022.0</v>
      </c>
      <c r="AL2025" s="719" t="s">
        <v>4506</v>
      </c>
      <c r="AM2025" s="720" t="s">
        <v>4507</v>
      </c>
      <c r="AN2025" s="721"/>
      <c r="AO2025" s="722">
        <v>0.271</v>
      </c>
      <c r="AP2025" s="722" t="s">
        <v>4508</v>
      </c>
    </row>
    <row r="2026">
      <c r="A2026" s="159"/>
      <c r="B2026" s="159"/>
      <c r="C2026" s="159"/>
      <c r="D2026" s="159"/>
      <c r="E2026" s="159"/>
      <c r="F2026" s="159"/>
      <c r="G2026" s="159"/>
      <c r="H2026" s="159"/>
      <c r="I2026" s="157"/>
      <c r="J2026" s="157"/>
      <c r="K2026" s="157"/>
      <c r="L2026" s="157"/>
      <c r="M2026" s="157"/>
      <c r="N2026" s="157"/>
      <c r="O2026" s="157"/>
      <c r="P2026" s="753"/>
      <c r="AK2026" s="40">
        <v>2023.0</v>
      </c>
      <c r="AL2026" s="738" t="s">
        <v>4509</v>
      </c>
      <c r="AM2026" s="738" t="s">
        <v>4507</v>
      </c>
      <c r="AN2026" s="745"/>
      <c r="AO2026" s="739">
        <v>0.271</v>
      </c>
      <c r="AP2026" s="739" t="s">
        <v>4508</v>
      </c>
    </row>
    <row r="2027">
      <c r="A2027" s="159"/>
      <c r="B2027" s="159"/>
      <c r="C2027" s="159"/>
      <c r="D2027" s="159"/>
      <c r="E2027" s="159"/>
      <c r="F2027" s="159"/>
      <c r="G2027" s="159"/>
      <c r="H2027" s="159"/>
      <c r="I2027" s="157"/>
      <c r="J2027" s="157"/>
      <c r="K2027" s="157"/>
      <c r="L2027" s="157"/>
      <c r="M2027" s="157"/>
      <c r="N2027" s="157"/>
      <c r="O2027" s="157"/>
      <c r="P2027" s="753"/>
      <c r="AK2027" s="40">
        <v>2024.0</v>
      </c>
      <c r="AL2027" s="719" t="s">
        <v>4510</v>
      </c>
      <c r="AM2027" s="720" t="s">
        <v>4507</v>
      </c>
      <c r="AN2027" s="721"/>
      <c r="AO2027" s="722">
        <v>0.271</v>
      </c>
      <c r="AP2027" s="722" t="s">
        <v>4508</v>
      </c>
    </row>
    <row r="2028">
      <c r="A2028" s="159"/>
      <c r="B2028" s="159"/>
      <c r="C2028" s="159"/>
      <c r="D2028" s="159"/>
      <c r="E2028" s="159"/>
      <c r="F2028" s="159"/>
      <c r="G2028" s="159"/>
      <c r="H2028" s="159"/>
      <c r="I2028" s="157"/>
      <c r="J2028" s="157"/>
      <c r="K2028" s="157"/>
      <c r="L2028" s="157"/>
      <c r="M2028" s="157"/>
      <c r="N2028" s="157"/>
      <c r="O2028" s="157"/>
      <c r="P2028" s="753"/>
      <c r="AK2028" s="40">
        <v>2025.0</v>
      </c>
      <c r="AL2028" s="738" t="s">
        <v>4511</v>
      </c>
      <c r="AM2028" s="738" t="s">
        <v>2092</v>
      </c>
      <c r="AN2028" s="745"/>
      <c r="AO2028" s="739">
        <v>0.016</v>
      </c>
      <c r="AP2028" s="739" t="s">
        <v>2093</v>
      </c>
    </row>
    <row r="2029">
      <c r="A2029" s="159"/>
      <c r="B2029" s="159"/>
      <c r="C2029" s="159"/>
      <c r="D2029" s="159"/>
      <c r="E2029" s="159"/>
      <c r="F2029" s="159"/>
      <c r="G2029" s="159"/>
      <c r="H2029" s="159"/>
      <c r="I2029" s="157"/>
      <c r="J2029" s="157"/>
      <c r="K2029" s="157"/>
      <c r="L2029" s="157"/>
      <c r="M2029" s="157"/>
      <c r="N2029" s="157"/>
      <c r="O2029" s="157"/>
      <c r="P2029" s="753"/>
      <c r="AK2029" s="40">
        <v>2026.0</v>
      </c>
      <c r="AL2029" s="719" t="s">
        <v>4512</v>
      </c>
      <c r="AM2029" s="720" t="s">
        <v>2092</v>
      </c>
      <c r="AN2029" s="721"/>
      <c r="AO2029" s="722">
        <v>0.016</v>
      </c>
      <c r="AP2029" s="722" t="s">
        <v>2093</v>
      </c>
    </row>
    <row r="2030">
      <c r="A2030" s="159"/>
      <c r="B2030" s="159"/>
      <c r="C2030" s="159"/>
      <c r="D2030" s="159"/>
      <c r="E2030" s="159"/>
      <c r="F2030" s="159"/>
      <c r="G2030" s="159"/>
      <c r="H2030" s="159"/>
      <c r="I2030" s="157"/>
      <c r="J2030" s="157"/>
      <c r="K2030" s="157"/>
      <c r="L2030" s="157"/>
      <c r="M2030" s="157"/>
      <c r="N2030" s="157"/>
      <c r="O2030" s="157"/>
      <c r="P2030" s="753"/>
      <c r="AK2030" s="40">
        <v>2027.0</v>
      </c>
      <c r="AL2030" s="738" t="s">
        <v>4513</v>
      </c>
      <c r="AM2030" s="738" t="s">
        <v>2092</v>
      </c>
      <c r="AN2030" s="745"/>
      <c r="AO2030" s="739">
        <v>0.016</v>
      </c>
      <c r="AP2030" s="739" t="s">
        <v>2093</v>
      </c>
    </row>
    <row r="2031">
      <c r="A2031" s="159"/>
      <c r="B2031" s="159"/>
      <c r="C2031" s="159"/>
      <c r="D2031" s="159"/>
      <c r="E2031" s="159"/>
      <c r="F2031" s="159"/>
      <c r="G2031" s="159"/>
      <c r="H2031" s="159"/>
      <c r="I2031" s="157"/>
      <c r="J2031" s="157"/>
      <c r="K2031" s="157"/>
      <c r="L2031" s="157"/>
      <c r="M2031" s="157"/>
      <c r="N2031" s="157"/>
      <c r="O2031" s="157"/>
      <c r="P2031" s="753"/>
      <c r="AK2031" s="40">
        <v>2028.0</v>
      </c>
      <c r="AL2031" s="719" t="s">
        <v>4514</v>
      </c>
      <c r="AM2031" s="720" t="s">
        <v>2029</v>
      </c>
      <c r="AN2031" s="721"/>
      <c r="AO2031" s="722">
        <v>0.063</v>
      </c>
      <c r="AP2031" s="722" t="s">
        <v>2030</v>
      </c>
    </row>
    <row r="2032">
      <c r="A2032" s="159"/>
      <c r="B2032" s="159"/>
      <c r="C2032" s="159"/>
      <c r="D2032" s="159"/>
      <c r="E2032" s="159"/>
      <c r="F2032" s="159"/>
      <c r="G2032" s="159"/>
      <c r="H2032" s="159"/>
      <c r="I2032" s="157"/>
      <c r="J2032" s="157"/>
      <c r="K2032" s="157"/>
      <c r="L2032" s="157"/>
      <c r="M2032" s="157"/>
      <c r="N2032" s="157"/>
      <c r="O2032" s="157"/>
      <c r="P2032" s="753"/>
      <c r="AK2032" s="40">
        <v>2029.0</v>
      </c>
      <c r="AL2032" s="738" t="s">
        <v>4515</v>
      </c>
      <c r="AM2032" s="738" t="s">
        <v>2029</v>
      </c>
      <c r="AN2032" s="745"/>
      <c r="AO2032" s="739">
        <v>0.063</v>
      </c>
      <c r="AP2032" s="739" t="s">
        <v>2030</v>
      </c>
    </row>
    <row r="2033">
      <c r="A2033" s="159"/>
      <c r="B2033" s="159"/>
      <c r="C2033" s="159"/>
      <c r="D2033" s="159"/>
      <c r="E2033" s="159"/>
      <c r="F2033" s="159"/>
      <c r="G2033" s="159"/>
      <c r="H2033" s="159"/>
      <c r="I2033" s="157"/>
      <c r="J2033" s="157"/>
      <c r="K2033" s="157"/>
      <c r="L2033" s="157"/>
      <c r="M2033" s="157"/>
      <c r="N2033" s="157"/>
      <c r="O2033" s="157"/>
      <c r="P2033" s="753"/>
      <c r="AK2033" s="40">
        <v>2030.0</v>
      </c>
      <c r="AL2033" s="719" t="s">
        <v>4516</v>
      </c>
      <c r="AM2033" s="720" t="s">
        <v>2029</v>
      </c>
      <c r="AN2033" s="721"/>
      <c r="AO2033" s="722">
        <v>0.063</v>
      </c>
      <c r="AP2033" s="722" t="s">
        <v>2030</v>
      </c>
    </row>
    <row r="2034">
      <c r="A2034" s="159"/>
      <c r="B2034" s="159"/>
      <c r="C2034" s="159"/>
      <c r="D2034" s="159"/>
      <c r="E2034" s="159"/>
      <c r="F2034" s="159"/>
      <c r="G2034" s="159"/>
      <c r="H2034" s="159"/>
      <c r="I2034" s="157"/>
      <c r="J2034" s="157"/>
      <c r="K2034" s="157"/>
      <c r="L2034" s="157"/>
      <c r="M2034" s="157"/>
      <c r="N2034" s="157"/>
      <c r="O2034" s="157"/>
      <c r="P2034" s="753"/>
      <c r="AK2034" s="40">
        <v>2031.0</v>
      </c>
      <c r="AL2034" s="738" t="s">
        <v>4517</v>
      </c>
      <c r="AM2034" s="738" t="s">
        <v>1933</v>
      </c>
      <c r="AN2034" s="745"/>
      <c r="AO2034" s="739">
        <v>0.159</v>
      </c>
      <c r="AP2034" s="739" t="s">
        <v>1934</v>
      </c>
    </row>
    <row r="2035">
      <c r="A2035" s="159"/>
      <c r="B2035" s="159"/>
      <c r="C2035" s="159"/>
      <c r="D2035" s="159"/>
      <c r="E2035" s="159"/>
      <c r="F2035" s="159"/>
      <c r="G2035" s="159"/>
      <c r="H2035" s="159"/>
      <c r="I2035" s="157"/>
      <c r="J2035" s="157"/>
      <c r="K2035" s="157"/>
      <c r="L2035" s="157"/>
      <c r="M2035" s="157"/>
      <c r="N2035" s="157"/>
      <c r="O2035" s="157"/>
      <c r="P2035" s="753"/>
      <c r="AK2035" s="40">
        <v>2032.0</v>
      </c>
      <c r="AL2035" s="719" t="s">
        <v>4518</v>
      </c>
      <c r="AM2035" s="720" t="s">
        <v>1933</v>
      </c>
      <c r="AN2035" s="721"/>
      <c r="AO2035" s="722">
        <v>0.159</v>
      </c>
      <c r="AP2035" s="722" t="s">
        <v>1934</v>
      </c>
    </row>
    <row r="2036">
      <c r="A2036" s="159"/>
      <c r="B2036" s="159"/>
      <c r="C2036" s="159"/>
      <c r="D2036" s="159"/>
      <c r="E2036" s="159"/>
      <c r="F2036" s="159"/>
      <c r="G2036" s="159"/>
      <c r="H2036" s="159"/>
      <c r="I2036" s="157"/>
      <c r="J2036" s="157"/>
      <c r="K2036" s="157"/>
      <c r="L2036" s="157"/>
      <c r="M2036" s="157"/>
      <c r="N2036" s="157"/>
      <c r="O2036" s="157"/>
      <c r="P2036" s="753"/>
      <c r="AK2036" s="40">
        <v>2033.0</v>
      </c>
      <c r="AL2036" s="738" t="s">
        <v>4519</v>
      </c>
      <c r="AM2036" s="738" t="s">
        <v>1933</v>
      </c>
      <c r="AN2036" s="745"/>
      <c r="AO2036" s="739">
        <v>0.159</v>
      </c>
      <c r="AP2036" s="739" t="s">
        <v>1934</v>
      </c>
    </row>
    <row r="2037">
      <c r="A2037" s="159"/>
      <c r="B2037" s="159"/>
      <c r="C2037" s="159"/>
      <c r="D2037" s="159"/>
      <c r="E2037" s="159"/>
      <c r="F2037" s="159"/>
      <c r="G2037" s="159"/>
      <c r="H2037" s="159"/>
      <c r="I2037" s="157"/>
      <c r="J2037" s="157"/>
      <c r="K2037" s="157"/>
      <c r="L2037" s="157"/>
      <c r="M2037" s="157"/>
      <c r="N2037" s="157"/>
      <c r="O2037" s="157"/>
      <c r="P2037" s="753"/>
      <c r="AK2037" s="40">
        <v>2034.0</v>
      </c>
      <c r="AL2037" s="719" t="s">
        <v>4520</v>
      </c>
      <c r="AM2037" s="720" t="s">
        <v>2150</v>
      </c>
      <c r="AN2037" s="720" t="s">
        <v>2151</v>
      </c>
      <c r="AO2037" s="722">
        <v>0.004</v>
      </c>
      <c r="AP2037" s="722" t="s">
        <v>2152</v>
      </c>
    </row>
    <row r="2038">
      <c r="A2038" s="159"/>
      <c r="B2038" s="159"/>
      <c r="C2038" s="159"/>
      <c r="D2038" s="159"/>
      <c r="E2038" s="159"/>
      <c r="F2038" s="159"/>
      <c r="G2038" s="159"/>
      <c r="H2038" s="159"/>
      <c r="I2038" s="157"/>
      <c r="J2038" s="157"/>
      <c r="K2038" s="157"/>
      <c r="L2038" s="157"/>
      <c r="M2038" s="157"/>
      <c r="N2038" s="157"/>
      <c r="O2038" s="157"/>
      <c r="P2038" s="753"/>
      <c r="AK2038" s="40">
        <v>2035.0</v>
      </c>
      <c r="AL2038" s="738" t="s">
        <v>4521</v>
      </c>
      <c r="AM2038" s="738" t="s">
        <v>2150</v>
      </c>
      <c r="AN2038" s="738" t="s">
        <v>2151</v>
      </c>
      <c r="AO2038" s="739">
        <v>0.004</v>
      </c>
      <c r="AP2038" s="739" t="s">
        <v>2152</v>
      </c>
    </row>
    <row r="2039">
      <c r="A2039" s="159"/>
      <c r="B2039" s="159"/>
      <c r="C2039" s="159"/>
      <c r="D2039" s="159"/>
      <c r="E2039" s="159"/>
      <c r="F2039" s="159"/>
      <c r="G2039" s="159"/>
      <c r="H2039" s="159"/>
      <c r="I2039" s="157"/>
      <c r="J2039" s="157"/>
      <c r="K2039" s="157"/>
      <c r="L2039" s="157"/>
      <c r="M2039" s="157"/>
      <c r="N2039" s="157"/>
      <c r="O2039" s="157"/>
      <c r="P2039" s="753"/>
      <c r="AK2039" s="40">
        <v>2036.0</v>
      </c>
      <c r="AL2039" s="719" t="s">
        <v>4522</v>
      </c>
      <c r="AM2039" s="720" t="s">
        <v>2044</v>
      </c>
      <c r="AN2039" s="720" t="s">
        <v>2045</v>
      </c>
      <c r="AO2039" s="722">
        <v>0.052</v>
      </c>
      <c r="AP2039" s="722" t="s">
        <v>2046</v>
      </c>
    </row>
    <row r="2040">
      <c r="A2040" s="159"/>
      <c r="B2040" s="159"/>
      <c r="C2040" s="159"/>
      <c r="D2040" s="159"/>
      <c r="E2040" s="159"/>
      <c r="F2040" s="159"/>
      <c r="G2040" s="159"/>
      <c r="H2040" s="159"/>
      <c r="I2040" s="157"/>
      <c r="J2040" s="157"/>
      <c r="K2040" s="157"/>
      <c r="L2040" s="157"/>
      <c r="M2040" s="157"/>
      <c r="N2040" s="157"/>
      <c r="O2040" s="157"/>
      <c r="P2040" s="753"/>
      <c r="AK2040" s="40">
        <v>2037.0</v>
      </c>
      <c r="AL2040" s="738" t="s">
        <v>4523</v>
      </c>
      <c r="AM2040" s="738" t="s">
        <v>2044</v>
      </c>
      <c r="AN2040" s="738" t="s">
        <v>2045</v>
      </c>
      <c r="AO2040" s="739">
        <v>0.052</v>
      </c>
      <c r="AP2040" s="739" t="s">
        <v>2046</v>
      </c>
    </row>
    <row r="2041">
      <c r="A2041" s="159"/>
      <c r="B2041" s="159"/>
      <c r="C2041" s="159"/>
      <c r="D2041" s="159"/>
      <c r="E2041" s="159"/>
      <c r="F2041" s="159"/>
      <c r="G2041" s="159"/>
      <c r="H2041" s="159"/>
      <c r="I2041" s="157"/>
      <c r="J2041" s="157"/>
      <c r="K2041" s="157"/>
      <c r="L2041" s="157"/>
      <c r="M2041" s="157"/>
      <c r="N2041" s="157"/>
      <c r="O2041" s="157"/>
      <c r="P2041" s="753"/>
      <c r="AK2041" s="40">
        <v>2038.0</v>
      </c>
      <c r="AL2041" s="719" t="s">
        <v>4524</v>
      </c>
      <c r="AM2041" s="720" t="s">
        <v>1940</v>
      </c>
      <c r="AN2041" s="720" t="s">
        <v>1941</v>
      </c>
      <c r="AO2041" s="722">
        <v>0.149</v>
      </c>
      <c r="AP2041" s="722" t="s">
        <v>1942</v>
      </c>
    </row>
    <row r="2042">
      <c r="A2042" s="159"/>
      <c r="B2042" s="159"/>
      <c r="C2042" s="159"/>
      <c r="D2042" s="159"/>
      <c r="E2042" s="159"/>
      <c r="F2042" s="159"/>
      <c r="G2042" s="159"/>
      <c r="H2042" s="159"/>
      <c r="I2042" s="157"/>
      <c r="J2042" s="157"/>
      <c r="K2042" s="157"/>
      <c r="L2042" s="157"/>
      <c r="M2042" s="157"/>
      <c r="N2042" s="157"/>
      <c r="O2042" s="157"/>
      <c r="P2042" s="753"/>
      <c r="AK2042" s="40">
        <v>2039.0</v>
      </c>
      <c r="AL2042" s="738" t="s">
        <v>4525</v>
      </c>
      <c r="AM2042" s="738" t="s">
        <v>1940</v>
      </c>
      <c r="AN2042" s="738" t="s">
        <v>1941</v>
      </c>
      <c r="AO2042" s="739">
        <v>0.149</v>
      </c>
      <c r="AP2042" s="739" t="s">
        <v>1942</v>
      </c>
    </row>
    <row r="2043">
      <c r="A2043" s="159"/>
      <c r="B2043" s="159"/>
      <c r="C2043" s="159"/>
      <c r="D2043" s="159"/>
      <c r="E2043" s="159"/>
      <c r="F2043" s="159"/>
      <c r="G2043" s="159"/>
      <c r="H2043" s="159"/>
      <c r="I2043" s="157"/>
      <c r="J2043" s="157"/>
      <c r="K2043" s="157"/>
      <c r="L2043" s="157"/>
      <c r="M2043" s="157"/>
      <c r="N2043" s="157"/>
      <c r="O2043" s="157"/>
      <c r="P2043" s="753"/>
      <c r="AK2043" s="40">
        <v>2040.0</v>
      </c>
      <c r="AL2043" s="719" t="s">
        <v>4526</v>
      </c>
      <c r="AM2043" s="720" t="s">
        <v>2156</v>
      </c>
      <c r="AN2043" s="721"/>
      <c r="AO2043" s="722">
        <v>0.0</v>
      </c>
      <c r="AP2043" s="722" t="s">
        <v>2157</v>
      </c>
    </row>
    <row r="2044">
      <c r="A2044" s="159"/>
      <c r="B2044" s="159"/>
      <c r="C2044" s="159"/>
      <c r="D2044" s="159"/>
      <c r="E2044" s="159"/>
      <c r="F2044" s="159"/>
      <c r="G2044" s="159"/>
      <c r="H2044" s="159"/>
      <c r="I2044" s="157"/>
      <c r="J2044" s="157"/>
      <c r="K2044" s="157"/>
      <c r="L2044" s="157"/>
      <c r="M2044" s="157"/>
      <c r="N2044" s="157"/>
      <c r="O2044" s="157"/>
      <c r="P2044" s="753"/>
      <c r="AK2044" s="40">
        <v>2041.0</v>
      </c>
      <c r="AL2044" s="738" t="s">
        <v>4527</v>
      </c>
      <c r="AM2044" s="738" t="s">
        <v>2156</v>
      </c>
      <c r="AN2044" s="745"/>
      <c r="AO2044" s="739">
        <v>0.0</v>
      </c>
      <c r="AP2044" s="739" t="s">
        <v>2157</v>
      </c>
    </row>
    <row r="2045">
      <c r="A2045" s="159"/>
      <c r="B2045" s="159"/>
      <c r="C2045" s="159"/>
      <c r="D2045" s="159"/>
      <c r="E2045" s="159"/>
      <c r="F2045" s="159"/>
      <c r="G2045" s="159"/>
      <c r="H2045" s="159"/>
      <c r="I2045" s="157"/>
      <c r="J2045" s="157"/>
      <c r="K2045" s="157"/>
      <c r="L2045" s="157"/>
      <c r="M2045" s="157"/>
      <c r="N2045" s="157"/>
      <c r="O2045" s="157"/>
      <c r="P2045" s="753"/>
      <c r="AK2045" s="40">
        <v>2042.0</v>
      </c>
      <c r="AL2045" s="719" t="s">
        <v>4528</v>
      </c>
      <c r="AM2045" s="720" t="s">
        <v>2100</v>
      </c>
      <c r="AN2045" s="720" t="s">
        <v>2101</v>
      </c>
      <c r="AO2045" s="722">
        <v>0.012</v>
      </c>
      <c r="AP2045" s="722" t="s">
        <v>2102</v>
      </c>
    </row>
    <row r="2046">
      <c r="A2046" s="159"/>
      <c r="B2046" s="159"/>
      <c r="C2046" s="159"/>
      <c r="D2046" s="159"/>
      <c r="E2046" s="159"/>
      <c r="F2046" s="159"/>
      <c r="G2046" s="159"/>
      <c r="H2046" s="159"/>
      <c r="I2046" s="157"/>
      <c r="J2046" s="157"/>
      <c r="K2046" s="157"/>
      <c r="L2046" s="157"/>
      <c r="M2046" s="157"/>
      <c r="N2046" s="157"/>
      <c r="O2046" s="157"/>
      <c r="P2046" s="753"/>
      <c r="AK2046" s="40">
        <v>2043.0</v>
      </c>
      <c r="AL2046" s="738" t="s">
        <v>4529</v>
      </c>
      <c r="AM2046" s="738" t="s">
        <v>2100</v>
      </c>
      <c r="AN2046" s="738" t="s">
        <v>2101</v>
      </c>
      <c r="AO2046" s="739">
        <v>0.012</v>
      </c>
      <c r="AP2046" s="739" t="s">
        <v>2102</v>
      </c>
    </row>
    <row r="2047">
      <c r="A2047" s="159"/>
      <c r="B2047" s="159"/>
      <c r="C2047" s="159"/>
      <c r="D2047" s="159"/>
      <c r="E2047" s="159"/>
      <c r="F2047" s="159"/>
      <c r="G2047" s="159"/>
      <c r="H2047" s="159"/>
      <c r="I2047" s="157"/>
      <c r="J2047" s="157"/>
      <c r="K2047" s="157"/>
      <c r="L2047" s="157"/>
      <c r="M2047" s="157"/>
      <c r="N2047" s="157"/>
      <c r="O2047" s="157"/>
      <c r="P2047" s="753"/>
      <c r="AK2047" s="40">
        <v>2044.0</v>
      </c>
      <c r="AL2047" s="719" t="s">
        <v>4530</v>
      </c>
      <c r="AM2047" s="720" t="s">
        <v>2100</v>
      </c>
      <c r="AN2047" s="720" t="s">
        <v>2101</v>
      </c>
      <c r="AO2047" s="722">
        <v>0.012</v>
      </c>
      <c r="AP2047" s="722" t="s">
        <v>2102</v>
      </c>
    </row>
    <row r="2048">
      <c r="A2048" s="159"/>
      <c r="B2048" s="159"/>
      <c r="C2048" s="159"/>
      <c r="D2048" s="159"/>
      <c r="E2048" s="159"/>
      <c r="F2048" s="159"/>
      <c r="G2048" s="159"/>
      <c r="H2048" s="159"/>
      <c r="I2048" s="157"/>
      <c r="J2048" s="157"/>
      <c r="K2048" s="157"/>
      <c r="L2048" s="157"/>
      <c r="M2048" s="157"/>
      <c r="N2048" s="157"/>
      <c r="O2048" s="157"/>
      <c r="P2048" s="753"/>
      <c r="AK2048" s="40">
        <v>2045.0</v>
      </c>
      <c r="AL2048" s="738" t="s">
        <v>4531</v>
      </c>
      <c r="AM2048" s="738" t="s">
        <v>2100</v>
      </c>
      <c r="AN2048" s="738" t="s">
        <v>2101</v>
      </c>
      <c r="AO2048" s="739">
        <v>0.012</v>
      </c>
      <c r="AP2048" s="739" t="s">
        <v>2102</v>
      </c>
    </row>
    <row r="2049">
      <c r="A2049" s="159"/>
      <c r="B2049" s="159"/>
      <c r="C2049" s="159"/>
      <c r="D2049" s="159"/>
      <c r="E2049" s="159"/>
      <c r="F2049" s="159"/>
      <c r="G2049" s="159"/>
      <c r="H2049" s="159"/>
      <c r="I2049" s="157"/>
      <c r="J2049" s="157"/>
      <c r="K2049" s="157"/>
      <c r="L2049" s="157"/>
      <c r="M2049" s="157"/>
      <c r="N2049" s="157"/>
      <c r="O2049" s="157"/>
      <c r="P2049" s="753"/>
      <c r="AK2049" s="40">
        <v>2046.0</v>
      </c>
      <c r="AL2049" s="719" t="s">
        <v>4532</v>
      </c>
      <c r="AM2049" s="720" t="s">
        <v>2100</v>
      </c>
      <c r="AN2049" s="720" t="s">
        <v>2101</v>
      </c>
      <c r="AO2049" s="722">
        <v>0.012</v>
      </c>
      <c r="AP2049" s="722" t="s">
        <v>2102</v>
      </c>
    </row>
    <row r="2050">
      <c r="A2050" s="159"/>
      <c r="B2050" s="159"/>
      <c r="C2050" s="159"/>
      <c r="D2050" s="159"/>
      <c r="E2050" s="159"/>
      <c r="F2050" s="159"/>
      <c r="G2050" s="159"/>
      <c r="H2050" s="159"/>
      <c r="I2050" s="157"/>
      <c r="J2050" s="157"/>
      <c r="K2050" s="157"/>
      <c r="L2050" s="157"/>
      <c r="M2050" s="157"/>
      <c r="N2050" s="157"/>
      <c r="O2050" s="157"/>
      <c r="P2050" s="753"/>
      <c r="AK2050" s="40">
        <v>2047.0</v>
      </c>
      <c r="AL2050" s="738" t="s">
        <v>4533</v>
      </c>
      <c r="AM2050" s="738" t="s">
        <v>2100</v>
      </c>
      <c r="AN2050" s="738" t="s">
        <v>2101</v>
      </c>
      <c r="AO2050" s="739">
        <v>0.012</v>
      </c>
      <c r="AP2050" s="739" t="s">
        <v>2102</v>
      </c>
    </row>
    <row r="2051">
      <c r="A2051" s="159"/>
      <c r="B2051" s="159"/>
      <c r="C2051" s="159"/>
      <c r="D2051" s="159"/>
      <c r="E2051" s="159"/>
      <c r="F2051" s="159"/>
      <c r="G2051" s="159"/>
      <c r="H2051" s="159"/>
      <c r="I2051" s="157"/>
      <c r="J2051" s="157"/>
      <c r="K2051" s="157"/>
      <c r="L2051" s="157"/>
      <c r="M2051" s="157"/>
      <c r="N2051" s="157"/>
      <c r="O2051" s="157"/>
      <c r="P2051" s="753"/>
      <c r="AK2051" s="40">
        <v>2048.0</v>
      </c>
      <c r="AL2051" s="719" t="s">
        <v>4534</v>
      </c>
      <c r="AM2051" s="720" t="s">
        <v>4535</v>
      </c>
      <c r="AN2051" s="721"/>
      <c r="AO2051" s="722">
        <v>0.333</v>
      </c>
      <c r="AP2051" s="722" t="s">
        <v>4536</v>
      </c>
    </row>
    <row r="2052">
      <c r="A2052" s="159"/>
      <c r="B2052" s="159"/>
      <c r="C2052" s="159"/>
      <c r="D2052" s="159"/>
      <c r="E2052" s="159"/>
      <c r="F2052" s="159"/>
      <c r="G2052" s="159"/>
      <c r="H2052" s="159"/>
      <c r="I2052" s="157"/>
      <c r="J2052" s="157"/>
      <c r="K2052" s="157"/>
      <c r="L2052" s="157"/>
      <c r="M2052" s="157"/>
      <c r="N2052" s="157"/>
      <c r="O2052" s="157"/>
      <c r="P2052" s="753"/>
      <c r="AK2052" s="40">
        <v>2049.0</v>
      </c>
      <c r="AL2052" s="738" t="s">
        <v>4537</v>
      </c>
      <c r="AM2052" s="738" t="s">
        <v>4535</v>
      </c>
      <c r="AN2052" s="745"/>
      <c r="AO2052" s="739">
        <v>0.333</v>
      </c>
      <c r="AP2052" s="739" t="s">
        <v>4536</v>
      </c>
    </row>
    <row r="2053">
      <c r="A2053" s="159"/>
      <c r="B2053" s="159"/>
      <c r="C2053" s="159"/>
      <c r="D2053" s="159"/>
      <c r="E2053" s="159"/>
      <c r="F2053" s="159"/>
      <c r="G2053" s="159"/>
      <c r="H2053" s="159"/>
      <c r="I2053" s="157"/>
      <c r="J2053" s="157"/>
      <c r="K2053" s="157"/>
      <c r="L2053" s="157"/>
      <c r="M2053" s="157"/>
      <c r="N2053" s="157"/>
      <c r="O2053" s="157"/>
      <c r="P2053" s="753"/>
      <c r="AK2053" s="40">
        <v>2050.0</v>
      </c>
      <c r="AL2053" s="719" t="s">
        <v>4538</v>
      </c>
      <c r="AM2053" s="720" t="s">
        <v>4535</v>
      </c>
      <c r="AN2053" s="721"/>
      <c r="AO2053" s="722">
        <v>0.333</v>
      </c>
      <c r="AP2053" s="722" t="s">
        <v>4536</v>
      </c>
    </row>
    <row r="2054">
      <c r="A2054" s="159"/>
      <c r="B2054" s="159"/>
      <c r="C2054" s="159"/>
      <c r="D2054" s="159"/>
      <c r="E2054" s="159"/>
      <c r="F2054" s="159"/>
      <c r="G2054" s="159"/>
      <c r="H2054" s="159"/>
      <c r="I2054" s="157"/>
      <c r="J2054" s="157"/>
      <c r="K2054" s="157"/>
      <c r="L2054" s="157"/>
      <c r="M2054" s="157"/>
      <c r="N2054" s="157"/>
      <c r="O2054" s="157"/>
      <c r="P2054" s="753"/>
      <c r="AK2054" s="40">
        <v>2051.0</v>
      </c>
      <c r="AL2054" s="738" t="s">
        <v>4539</v>
      </c>
      <c r="AM2054" s="738" t="s">
        <v>4540</v>
      </c>
      <c r="AN2054" s="745"/>
      <c r="AO2054" s="739">
        <v>0.325</v>
      </c>
      <c r="AP2054" s="739" t="s">
        <v>4541</v>
      </c>
    </row>
    <row r="2055">
      <c r="A2055" s="159"/>
      <c r="B2055" s="159"/>
      <c r="C2055" s="159"/>
      <c r="D2055" s="159"/>
      <c r="E2055" s="159"/>
      <c r="F2055" s="159"/>
      <c r="G2055" s="159"/>
      <c r="H2055" s="159"/>
      <c r="I2055" s="157"/>
      <c r="J2055" s="157"/>
      <c r="K2055" s="157"/>
      <c r="L2055" s="157"/>
      <c r="M2055" s="157"/>
      <c r="N2055" s="157"/>
      <c r="O2055" s="157"/>
      <c r="P2055" s="753"/>
      <c r="AK2055" s="40">
        <v>2052.0</v>
      </c>
      <c r="AL2055" s="719" t="s">
        <v>4542</v>
      </c>
      <c r="AM2055" s="720" t="s">
        <v>4540</v>
      </c>
      <c r="AN2055" s="721"/>
      <c r="AO2055" s="722">
        <v>0.325</v>
      </c>
      <c r="AP2055" s="722" t="s">
        <v>4541</v>
      </c>
    </row>
    <row r="2056">
      <c r="A2056" s="159"/>
      <c r="B2056" s="159"/>
      <c r="C2056" s="159"/>
      <c r="D2056" s="159"/>
      <c r="E2056" s="159"/>
      <c r="F2056" s="159"/>
      <c r="G2056" s="159"/>
      <c r="H2056" s="159"/>
      <c r="I2056" s="157"/>
      <c r="J2056" s="157"/>
      <c r="K2056" s="157"/>
      <c r="L2056" s="157"/>
      <c r="M2056" s="157"/>
      <c r="N2056" s="157"/>
      <c r="O2056" s="157"/>
      <c r="P2056" s="753"/>
      <c r="AK2056" s="40">
        <v>2053.0</v>
      </c>
      <c r="AL2056" s="738" t="s">
        <v>4543</v>
      </c>
      <c r="AM2056" s="738" t="s">
        <v>4540</v>
      </c>
      <c r="AN2056" s="745"/>
      <c r="AO2056" s="739">
        <v>0.325</v>
      </c>
      <c r="AP2056" s="739" t="s">
        <v>4541</v>
      </c>
    </row>
    <row r="2057">
      <c r="A2057" s="159"/>
      <c r="B2057" s="159"/>
      <c r="C2057" s="159"/>
      <c r="D2057" s="159"/>
      <c r="E2057" s="159"/>
      <c r="F2057" s="159"/>
      <c r="G2057" s="159"/>
      <c r="H2057" s="159"/>
      <c r="I2057" s="157"/>
      <c r="J2057" s="157"/>
      <c r="K2057" s="157"/>
      <c r="L2057" s="157"/>
      <c r="M2057" s="157"/>
      <c r="N2057" s="157"/>
      <c r="O2057" s="157"/>
      <c r="P2057" s="753"/>
      <c r="AK2057" s="40">
        <v>2054.0</v>
      </c>
      <c r="AL2057" s="719" t="s">
        <v>4544</v>
      </c>
      <c r="AM2057" s="720" t="s">
        <v>4545</v>
      </c>
      <c r="AN2057" s="721"/>
      <c r="AO2057" s="722">
        <v>0.541</v>
      </c>
      <c r="AP2057" s="722" t="s">
        <v>4546</v>
      </c>
    </row>
    <row r="2058">
      <c r="A2058" s="159"/>
      <c r="B2058" s="159"/>
      <c r="C2058" s="159"/>
      <c r="D2058" s="159"/>
      <c r="E2058" s="159"/>
      <c r="F2058" s="159"/>
      <c r="G2058" s="159"/>
      <c r="H2058" s="159"/>
      <c r="I2058" s="157"/>
      <c r="J2058" s="157"/>
      <c r="K2058" s="157"/>
      <c r="L2058" s="157"/>
      <c r="M2058" s="157"/>
      <c r="N2058" s="157"/>
      <c r="O2058" s="157"/>
      <c r="P2058" s="753"/>
      <c r="AK2058" s="40">
        <v>2055.0</v>
      </c>
      <c r="AL2058" s="738" t="s">
        <v>4547</v>
      </c>
      <c r="AM2058" s="738" t="s">
        <v>4545</v>
      </c>
      <c r="AN2058" s="745"/>
      <c r="AO2058" s="739">
        <v>0.541</v>
      </c>
      <c r="AP2058" s="739" t="s">
        <v>4546</v>
      </c>
    </row>
    <row r="2059">
      <c r="A2059" s="159"/>
      <c r="B2059" s="159"/>
      <c r="C2059" s="159"/>
      <c r="D2059" s="159"/>
      <c r="E2059" s="159"/>
      <c r="F2059" s="159"/>
      <c r="G2059" s="159"/>
      <c r="H2059" s="159"/>
      <c r="I2059" s="157"/>
      <c r="J2059" s="157"/>
      <c r="K2059" s="157"/>
      <c r="L2059" s="157"/>
      <c r="M2059" s="157"/>
      <c r="N2059" s="157"/>
      <c r="O2059" s="157"/>
      <c r="P2059" s="753"/>
      <c r="AK2059" s="40">
        <v>2056.0</v>
      </c>
      <c r="AL2059" s="719" t="s">
        <v>4548</v>
      </c>
      <c r="AM2059" s="720" t="s">
        <v>4545</v>
      </c>
      <c r="AN2059" s="721"/>
      <c r="AO2059" s="722">
        <v>0.541</v>
      </c>
      <c r="AP2059" s="722" t="s">
        <v>4546</v>
      </c>
    </row>
    <row r="2060">
      <c r="A2060" s="159"/>
      <c r="B2060" s="159"/>
      <c r="C2060" s="159"/>
      <c r="D2060" s="159"/>
      <c r="E2060" s="159"/>
      <c r="F2060" s="159"/>
      <c r="G2060" s="159"/>
      <c r="H2060" s="159"/>
      <c r="I2060" s="157"/>
      <c r="J2060" s="157"/>
      <c r="K2060" s="157"/>
      <c r="L2060" s="157"/>
      <c r="M2060" s="157"/>
      <c r="N2060" s="157"/>
      <c r="O2060" s="157"/>
      <c r="P2060" s="753"/>
      <c r="AK2060" s="40">
        <v>2057.0</v>
      </c>
      <c r="AL2060" s="738" t="s">
        <v>4549</v>
      </c>
      <c r="AM2060" s="738" t="s">
        <v>4550</v>
      </c>
      <c r="AN2060" s="745"/>
      <c r="AO2060" s="739">
        <v>0.431</v>
      </c>
      <c r="AP2060" s="739" t="s">
        <v>4551</v>
      </c>
    </row>
    <row r="2061">
      <c r="A2061" s="159"/>
      <c r="B2061" s="159"/>
      <c r="C2061" s="159"/>
      <c r="D2061" s="159"/>
      <c r="E2061" s="159"/>
      <c r="F2061" s="159"/>
      <c r="G2061" s="159"/>
      <c r="H2061" s="159"/>
      <c r="I2061" s="157"/>
      <c r="J2061" s="157"/>
      <c r="K2061" s="157"/>
      <c r="L2061" s="157"/>
      <c r="M2061" s="157"/>
      <c r="N2061" s="157"/>
      <c r="O2061" s="157"/>
      <c r="P2061" s="753"/>
      <c r="AK2061" s="40">
        <v>2058.0</v>
      </c>
      <c r="AL2061" s="719" t="s">
        <v>4552</v>
      </c>
      <c r="AM2061" s="720" t="s">
        <v>4550</v>
      </c>
      <c r="AN2061" s="721"/>
      <c r="AO2061" s="722">
        <v>0.431</v>
      </c>
      <c r="AP2061" s="722" t="s">
        <v>4551</v>
      </c>
    </row>
    <row r="2062">
      <c r="A2062" s="159"/>
      <c r="B2062" s="159"/>
      <c r="C2062" s="159"/>
      <c r="D2062" s="159"/>
      <c r="E2062" s="159"/>
      <c r="F2062" s="159"/>
      <c r="G2062" s="159"/>
      <c r="H2062" s="159"/>
      <c r="I2062" s="157"/>
      <c r="J2062" s="157"/>
      <c r="K2062" s="157"/>
      <c r="L2062" s="157"/>
      <c r="M2062" s="157"/>
      <c r="N2062" s="157"/>
      <c r="O2062" s="157"/>
      <c r="P2062" s="753"/>
      <c r="AK2062" s="40">
        <v>2059.0</v>
      </c>
      <c r="AL2062" s="738" t="s">
        <v>4553</v>
      </c>
      <c r="AM2062" s="738" t="s">
        <v>4550</v>
      </c>
      <c r="AN2062" s="745"/>
      <c r="AO2062" s="739">
        <v>0.431</v>
      </c>
      <c r="AP2062" s="739" t="s">
        <v>4551</v>
      </c>
    </row>
    <row r="2063">
      <c r="A2063" s="159"/>
      <c r="B2063" s="159"/>
      <c r="C2063" s="159"/>
      <c r="D2063" s="159"/>
      <c r="E2063" s="159"/>
      <c r="F2063" s="159"/>
      <c r="G2063" s="159"/>
      <c r="H2063" s="159"/>
      <c r="I2063" s="157"/>
      <c r="J2063" s="157"/>
      <c r="K2063" s="157"/>
      <c r="L2063" s="157"/>
      <c r="M2063" s="157"/>
      <c r="N2063" s="157"/>
      <c r="O2063" s="157"/>
      <c r="P2063" s="753"/>
      <c r="AK2063" s="40">
        <v>2060.0</v>
      </c>
      <c r="AL2063" s="719" t="s">
        <v>4554</v>
      </c>
      <c r="AM2063" s="720" t="s">
        <v>4555</v>
      </c>
      <c r="AN2063" s="721"/>
      <c r="AO2063" s="722">
        <v>0.424</v>
      </c>
      <c r="AP2063" s="722" t="s">
        <v>4556</v>
      </c>
    </row>
    <row r="2064">
      <c r="A2064" s="159"/>
      <c r="B2064" s="159"/>
      <c r="C2064" s="159"/>
      <c r="D2064" s="159"/>
      <c r="E2064" s="159"/>
      <c r="F2064" s="159"/>
      <c r="G2064" s="159"/>
      <c r="H2064" s="159"/>
      <c r="I2064" s="157"/>
      <c r="J2064" s="157"/>
      <c r="K2064" s="157"/>
      <c r="L2064" s="157"/>
      <c r="M2064" s="157"/>
      <c r="N2064" s="157"/>
      <c r="O2064" s="157"/>
      <c r="P2064" s="753"/>
      <c r="AK2064" s="40">
        <v>2061.0</v>
      </c>
      <c r="AL2064" s="738" t="s">
        <v>4557</v>
      </c>
      <c r="AM2064" s="738" t="s">
        <v>4555</v>
      </c>
      <c r="AN2064" s="745"/>
      <c r="AO2064" s="739">
        <v>0.424</v>
      </c>
      <c r="AP2064" s="739" t="s">
        <v>4556</v>
      </c>
    </row>
    <row r="2065">
      <c r="A2065" s="159"/>
      <c r="B2065" s="159"/>
      <c r="C2065" s="159"/>
      <c r="D2065" s="159"/>
      <c r="E2065" s="159"/>
      <c r="F2065" s="159"/>
      <c r="G2065" s="159"/>
      <c r="H2065" s="159"/>
      <c r="I2065" s="157"/>
      <c r="J2065" s="157"/>
      <c r="K2065" s="157"/>
      <c r="L2065" s="157"/>
      <c r="M2065" s="157"/>
      <c r="N2065" s="157"/>
      <c r="O2065" s="157"/>
      <c r="P2065" s="753"/>
      <c r="AK2065" s="40">
        <v>2062.0</v>
      </c>
      <c r="AL2065" s="719" t="s">
        <v>4558</v>
      </c>
      <c r="AM2065" s="720" t="s">
        <v>4555</v>
      </c>
      <c r="AN2065" s="721"/>
      <c r="AO2065" s="722">
        <v>0.424</v>
      </c>
      <c r="AP2065" s="722" t="s">
        <v>4556</v>
      </c>
    </row>
    <row r="2066">
      <c r="A2066" s="159"/>
      <c r="B2066" s="159"/>
      <c r="C2066" s="159"/>
      <c r="D2066" s="159"/>
      <c r="E2066" s="159"/>
      <c r="F2066" s="159"/>
      <c r="G2066" s="159"/>
      <c r="H2066" s="159"/>
      <c r="I2066" s="157"/>
      <c r="J2066" s="157"/>
      <c r="K2066" s="157"/>
      <c r="L2066" s="157"/>
      <c r="M2066" s="157"/>
      <c r="N2066" s="157"/>
      <c r="O2066" s="157"/>
      <c r="P2066" s="753"/>
      <c r="AK2066" s="40">
        <v>2063.0</v>
      </c>
      <c r="AL2066" s="738" t="s">
        <v>4559</v>
      </c>
      <c r="AM2066" s="738" t="s">
        <v>4560</v>
      </c>
      <c r="AN2066" s="745"/>
      <c r="AO2066" s="739">
        <v>0.607</v>
      </c>
      <c r="AP2066" s="739" t="s">
        <v>4561</v>
      </c>
    </row>
    <row r="2067">
      <c r="A2067" s="159"/>
      <c r="B2067" s="159"/>
      <c r="C2067" s="159"/>
      <c r="D2067" s="159"/>
      <c r="E2067" s="159"/>
      <c r="F2067" s="159"/>
      <c r="G2067" s="159"/>
      <c r="H2067" s="159"/>
      <c r="I2067" s="157"/>
      <c r="J2067" s="157"/>
      <c r="K2067" s="157"/>
      <c r="L2067" s="157"/>
      <c r="M2067" s="157"/>
      <c r="N2067" s="157"/>
      <c r="O2067" s="157"/>
      <c r="P2067" s="753"/>
      <c r="AK2067" s="40">
        <v>2064.0</v>
      </c>
      <c r="AL2067" s="719" t="s">
        <v>4562</v>
      </c>
      <c r="AM2067" s="720" t="s">
        <v>4560</v>
      </c>
      <c r="AN2067" s="721"/>
      <c r="AO2067" s="722">
        <v>0.607</v>
      </c>
      <c r="AP2067" s="722" t="s">
        <v>4561</v>
      </c>
    </row>
    <row r="2068">
      <c r="A2068" s="159"/>
      <c r="B2068" s="159"/>
      <c r="C2068" s="159"/>
      <c r="D2068" s="159"/>
      <c r="E2068" s="159"/>
      <c r="F2068" s="159"/>
      <c r="G2068" s="159"/>
      <c r="H2068" s="159"/>
      <c r="I2068" s="157"/>
      <c r="J2068" s="157"/>
      <c r="K2068" s="157"/>
      <c r="L2068" s="157"/>
      <c r="M2068" s="157"/>
      <c r="N2068" s="157"/>
      <c r="O2068" s="157"/>
      <c r="P2068" s="753"/>
      <c r="AK2068" s="40">
        <v>2065.0</v>
      </c>
      <c r="AL2068" s="738" t="s">
        <v>4563</v>
      </c>
      <c r="AM2068" s="738" t="s">
        <v>4560</v>
      </c>
      <c r="AN2068" s="745"/>
      <c r="AO2068" s="739">
        <v>0.607</v>
      </c>
      <c r="AP2068" s="739" t="s">
        <v>4561</v>
      </c>
    </row>
    <row r="2069">
      <c r="A2069" s="159"/>
      <c r="B2069" s="159"/>
      <c r="C2069" s="159"/>
      <c r="D2069" s="159"/>
      <c r="E2069" s="159"/>
      <c r="F2069" s="159"/>
      <c r="G2069" s="159"/>
      <c r="H2069" s="159"/>
      <c r="I2069" s="157"/>
      <c r="J2069" s="157"/>
      <c r="K2069" s="157"/>
      <c r="L2069" s="157"/>
      <c r="M2069" s="157"/>
      <c r="N2069" s="157"/>
      <c r="O2069" s="157"/>
      <c r="P2069" s="753"/>
      <c r="AK2069" s="40">
        <v>2066.0</v>
      </c>
      <c r="AL2069" s="719" t="s">
        <v>4564</v>
      </c>
      <c r="AM2069" s="720" t="s">
        <v>2092</v>
      </c>
      <c r="AN2069" s="721"/>
      <c r="AO2069" s="722">
        <v>0.016</v>
      </c>
      <c r="AP2069" s="722" t="s">
        <v>2093</v>
      </c>
    </row>
    <row r="2070">
      <c r="A2070" s="159"/>
      <c r="B2070" s="159"/>
      <c r="C2070" s="159"/>
      <c r="D2070" s="159"/>
      <c r="E2070" s="159"/>
      <c r="F2070" s="159"/>
      <c r="G2070" s="159"/>
      <c r="H2070" s="159"/>
      <c r="I2070" s="157"/>
      <c r="J2070" s="157"/>
      <c r="K2070" s="157"/>
      <c r="L2070" s="157"/>
      <c r="M2070" s="157"/>
      <c r="N2070" s="157"/>
      <c r="O2070" s="157"/>
      <c r="P2070" s="753"/>
      <c r="AK2070" s="40">
        <v>2067.0</v>
      </c>
      <c r="AL2070" s="738" t="s">
        <v>4565</v>
      </c>
      <c r="AM2070" s="738" t="s">
        <v>2092</v>
      </c>
      <c r="AN2070" s="745"/>
      <c r="AO2070" s="739">
        <v>0.016</v>
      </c>
      <c r="AP2070" s="739" t="s">
        <v>2093</v>
      </c>
    </row>
    <row r="2071">
      <c r="A2071" s="159"/>
      <c r="B2071" s="159"/>
      <c r="C2071" s="159"/>
      <c r="D2071" s="159"/>
      <c r="E2071" s="159"/>
      <c r="F2071" s="159"/>
      <c r="G2071" s="159"/>
      <c r="H2071" s="159"/>
      <c r="I2071" s="157"/>
      <c r="J2071" s="157"/>
      <c r="K2071" s="157"/>
      <c r="L2071" s="157"/>
      <c r="M2071" s="157"/>
      <c r="N2071" s="157"/>
      <c r="O2071" s="157"/>
      <c r="P2071" s="753"/>
      <c r="AK2071" s="40">
        <v>2068.0</v>
      </c>
      <c r="AL2071" s="719" t="s">
        <v>4566</v>
      </c>
      <c r="AM2071" s="720" t="s">
        <v>2092</v>
      </c>
      <c r="AN2071" s="721"/>
      <c r="AO2071" s="722">
        <v>0.016</v>
      </c>
      <c r="AP2071" s="722" t="s">
        <v>2093</v>
      </c>
    </row>
    <row r="2072">
      <c r="A2072" s="159"/>
      <c r="B2072" s="159"/>
      <c r="C2072" s="159"/>
      <c r="D2072" s="159"/>
      <c r="E2072" s="159"/>
      <c r="F2072" s="159"/>
      <c r="G2072" s="159"/>
      <c r="H2072" s="159"/>
      <c r="I2072" s="157"/>
      <c r="J2072" s="157"/>
      <c r="K2072" s="157"/>
      <c r="L2072" s="157"/>
      <c r="M2072" s="157"/>
      <c r="N2072" s="157"/>
      <c r="O2072" s="157"/>
      <c r="P2072" s="753"/>
      <c r="AK2072" s="40">
        <v>2069.0</v>
      </c>
      <c r="AL2072" s="738" t="s">
        <v>4567</v>
      </c>
      <c r="AM2072" s="738" t="s">
        <v>2029</v>
      </c>
      <c r="AN2072" s="745"/>
      <c r="AO2072" s="739">
        <v>0.063</v>
      </c>
      <c r="AP2072" s="739" t="s">
        <v>2030</v>
      </c>
    </row>
    <row r="2073">
      <c r="A2073" s="159"/>
      <c r="B2073" s="159"/>
      <c r="C2073" s="159"/>
      <c r="D2073" s="159"/>
      <c r="E2073" s="159"/>
      <c r="F2073" s="159"/>
      <c r="G2073" s="159"/>
      <c r="H2073" s="159"/>
      <c r="I2073" s="157"/>
      <c r="J2073" s="157"/>
      <c r="K2073" s="157"/>
      <c r="L2073" s="157"/>
      <c r="M2073" s="157"/>
      <c r="N2073" s="157"/>
      <c r="O2073" s="157"/>
      <c r="P2073" s="753"/>
      <c r="AK2073" s="40">
        <v>2070.0</v>
      </c>
      <c r="AL2073" s="719" t="s">
        <v>4568</v>
      </c>
      <c r="AM2073" s="720" t="s">
        <v>2029</v>
      </c>
      <c r="AN2073" s="721"/>
      <c r="AO2073" s="722">
        <v>0.063</v>
      </c>
      <c r="AP2073" s="722" t="s">
        <v>2030</v>
      </c>
    </row>
    <row r="2074">
      <c r="A2074" s="159"/>
      <c r="B2074" s="159"/>
      <c r="C2074" s="159"/>
      <c r="D2074" s="159"/>
      <c r="E2074" s="159"/>
      <c r="F2074" s="159"/>
      <c r="G2074" s="159"/>
      <c r="H2074" s="159"/>
      <c r="I2074" s="157"/>
      <c r="J2074" s="157"/>
      <c r="K2074" s="157"/>
      <c r="L2074" s="157"/>
      <c r="M2074" s="157"/>
      <c r="N2074" s="157"/>
      <c r="O2074" s="157"/>
      <c r="P2074" s="753"/>
      <c r="AK2074" s="40">
        <v>2071.0</v>
      </c>
      <c r="AL2074" s="738" t="s">
        <v>4569</v>
      </c>
      <c r="AM2074" s="738" t="s">
        <v>2029</v>
      </c>
      <c r="AN2074" s="745"/>
      <c r="AO2074" s="739">
        <v>0.063</v>
      </c>
      <c r="AP2074" s="739" t="s">
        <v>2030</v>
      </c>
    </row>
    <row r="2075">
      <c r="A2075" s="159"/>
      <c r="B2075" s="159"/>
      <c r="C2075" s="159"/>
      <c r="D2075" s="159"/>
      <c r="E2075" s="159"/>
      <c r="F2075" s="159"/>
      <c r="G2075" s="159"/>
      <c r="H2075" s="159"/>
      <c r="I2075" s="157"/>
      <c r="J2075" s="157"/>
      <c r="K2075" s="157"/>
      <c r="L2075" s="157"/>
      <c r="M2075" s="157"/>
      <c r="N2075" s="157"/>
      <c r="O2075" s="157"/>
      <c r="P2075" s="753"/>
      <c r="AK2075" s="40">
        <v>2072.0</v>
      </c>
      <c r="AL2075" s="719" t="s">
        <v>4570</v>
      </c>
      <c r="AM2075" s="720" t="s">
        <v>1933</v>
      </c>
      <c r="AN2075" s="721"/>
      <c r="AO2075" s="722">
        <v>0.159</v>
      </c>
      <c r="AP2075" s="722" t="s">
        <v>1934</v>
      </c>
    </row>
    <row r="2076">
      <c r="A2076" s="159"/>
      <c r="B2076" s="159"/>
      <c r="C2076" s="159"/>
      <c r="D2076" s="159"/>
      <c r="E2076" s="159"/>
      <c r="F2076" s="159"/>
      <c r="G2076" s="159"/>
      <c r="H2076" s="159"/>
      <c r="I2076" s="157"/>
      <c r="J2076" s="157"/>
      <c r="K2076" s="157"/>
      <c r="L2076" s="157"/>
      <c r="M2076" s="157"/>
      <c r="N2076" s="157"/>
      <c r="O2076" s="157"/>
      <c r="P2076" s="753"/>
      <c r="AK2076" s="40">
        <v>2073.0</v>
      </c>
      <c r="AL2076" s="738" t="s">
        <v>4571</v>
      </c>
      <c r="AM2076" s="738" t="s">
        <v>1933</v>
      </c>
      <c r="AN2076" s="745"/>
      <c r="AO2076" s="739">
        <v>0.159</v>
      </c>
      <c r="AP2076" s="739" t="s">
        <v>1934</v>
      </c>
    </row>
    <row r="2077">
      <c r="A2077" s="159"/>
      <c r="B2077" s="159"/>
      <c r="C2077" s="159"/>
      <c r="D2077" s="159"/>
      <c r="E2077" s="159"/>
      <c r="F2077" s="159"/>
      <c r="G2077" s="159"/>
      <c r="H2077" s="159"/>
      <c r="I2077" s="157"/>
      <c r="J2077" s="157"/>
      <c r="K2077" s="157"/>
      <c r="L2077" s="157"/>
      <c r="M2077" s="157"/>
      <c r="N2077" s="157"/>
      <c r="O2077" s="157"/>
      <c r="P2077" s="753"/>
      <c r="AK2077" s="40">
        <v>2074.0</v>
      </c>
      <c r="AL2077" s="719" t="s">
        <v>4572</v>
      </c>
      <c r="AM2077" s="720" t="s">
        <v>1933</v>
      </c>
      <c r="AN2077" s="721"/>
      <c r="AO2077" s="722">
        <v>0.159</v>
      </c>
      <c r="AP2077" s="722" t="s">
        <v>1934</v>
      </c>
    </row>
    <row r="2078">
      <c r="A2078" s="159"/>
      <c r="B2078" s="159"/>
      <c r="C2078" s="159"/>
      <c r="D2078" s="159"/>
      <c r="E2078" s="159"/>
      <c r="F2078" s="159"/>
      <c r="G2078" s="159"/>
      <c r="H2078" s="159"/>
      <c r="I2078" s="157"/>
      <c r="J2078" s="157"/>
      <c r="K2078" s="157"/>
      <c r="L2078" s="157"/>
      <c r="M2078" s="157"/>
      <c r="N2078" s="157"/>
      <c r="O2078" s="157"/>
      <c r="P2078" s="753"/>
      <c r="AK2078" s="40">
        <v>2075.0</v>
      </c>
      <c r="AL2078" s="738" t="s">
        <v>4573</v>
      </c>
      <c r="AM2078" s="738" t="s">
        <v>2150</v>
      </c>
      <c r="AN2078" s="738" t="s">
        <v>2151</v>
      </c>
      <c r="AO2078" s="739">
        <v>0.004</v>
      </c>
      <c r="AP2078" s="739" t="s">
        <v>2152</v>
      </c>
    </row>
    <row r="2079">
      <c r="A2079" s="159"/>
      <c r="B2079" s="159"/>
      <c r="C2079" s="159"/>
      <c r="D2079" s="159"/>
      <c r="E2079" s="159"/>
      <c r="F2079" s="159"/>
      <c r="G2079" s="159"/>
      <c r="H2079" s="159"/>
      <c r="I2079" s="157"/>
      <c r="J2079" s="157"/>
      <c r="K2079" s="157"/>
      <c r="L2079" s="157"/>
      <c r="M2079" s="157"/>
      <c r="N2079" s="157"/>
      <c r="O2079" s="157"/>
      <c r="P2079" s="753"/>
      <c r="AK2079" s="40">
        <v>2076.0</v>
      </c>
      <c r="AL2079" s="719" t="s">
        <v>4574</v>
      </c>
      <c r="AM2079" s="720" t="s">
        <v>2044</v>
      </c>
      <c r="AN2079" s="720" t="s">
        <v>2045</v>
      </c>
      <c r="AO2079" s="722">
        <v>0.052</v>
      </c>
      <c r="AP2079" s="722" t="s">
        <v>2046</v>
      </c>
    </row>
    <row r="2080">
      <c r="A2080" s="159"/>
      <c r="B2080" s="159"/>
      <c r="C2080" s="159"/>
      <c r="D2080" s="159"/>
      <c r="E2080" s="159"/>
      <c r="F2080" s="159"/>
      <c r="G2080" s="159"/>
      <c r="H2080" s="159"/>
      <c r="I2080" s="157"/>
      <c r="J2080" s="157"/>
      <c r="K2080" s="157"/>
      <c r="L2080" s="157"/>
      <c r="M2080" s="157"/>
      <c r="N2080" s="157"/>
      <c r="O2080" s="157"/>
      <c r="P2080" s="753"/>
      <c r="AK2080" s="40">
        <v>2077.0</v>
      </c>
      <c r="AL2080" s="738" t="s">
        <v>4575</v>
      </c>
      <c r="AM2080" s="738" t="s">
        <v>1940</v>
      </c>
      <c r="AN2080" s="738" t="s">
        <v>1941</v>
      </c>
      <c r="AO2080" s="739">
        <v>0.149</v>
      </c>
      <c r="AP2080" s="739" t="s">
        <v>1942</v>
      </c>
    </row>
    <row r="2081">
      <c r="A2081" s="159"/>
      <c r="B2081" s="159"/>
      <c r="C2081" s="159"/>
      <c r="D2081" s="159"/>
      <c r="E2081" s="159"/>
      <c r="F2081" s="159"/>
      <c r="G2081" s="159"/>
      <c r="H2081" s="159"/>
      <c r="I2081" s="157"/>
      <c r="J2081" s="157"/>
      <c r="K2081" s="157"/>
      <c r="L2081" s="157"/>
      <c r="M2081" s="157"/>
      <c r="N2081" s="157"/>
      <c r="O2081" s="157"/>
      <c r="P2081" s="753"/>
      <c r="AK2081" s="40">
        <v>2078.0</v>
      </c>
      <c r="AL2081" s="719" t="s">
        <v>4576</v>
      </c>
      <c r="AM2081" s="720" t="s">
        <v>2156</v>
      </c>
      <c r="AN2081" s="721"/>
      <c r="AO2081" s="722">
        <v>0.0</v>
      </c>
      <c r="AP2081" s="722" t="s">
        <v>2157</v>
      </c>
    </row>
    <row r="2082">
      <c r="A2082" s="159"/>
      <c r="B2082" s="159"/>
      <c r="C2082" s="159"/>
      <c r="D2082" s="159"/>
      <c r="E2082" s="159"/>
      <c r="F2082" s="159"/>
      <c r="G2082" s="159"/>
      <c r="H2082" s="159"/>
      <c r="I2082" s="157"/>
      <c r="J2082" s="157"/>
      <c r="K2082" s="157"/>
      <c r="L2082" s="157"/>
      <c r="M2082" s="157"/>
      <c r="N2082" s="157"/>
      <c r="O2082" s="157"/>
      <c r="P2082" s="753"/>
      <c r="AK2082" s="40">
        <v>2079.0</v>
      </c>
      <c r="AL2082" s="738" t="s">
        <v>4577</v>
      </c>
      <c r="AM2082" s="738" t="s">
        <v>2069</v>
      </c>
      <c r="AN2082" s="738" t="s">
        <v>2070</v>
      </c>
      <c r="AO2082" s="739">
        <v>0.041</v>
      </c>
      <c r="AP2082" s="739" t="s">
        <v>2071</v>
      </c>
    </row>
    <row r="2083">
      <c r="A2083" s="159"/>
      <c r="B2083" s="159"/>
      <c r="C2083" s="159"/>
      <c r="D2083" s="159"/>
      <c r="E2083" s="159"/>
      <c r="F2083" s="159"/>
      <c r="G2083" s="159"/>
      <c r="H2083" s="159"/>
      <c r="I2083" s="157"/>
      <c r="J2083" s="157"/>
      <c r="K2083" s="157"/>
      <c r="L2083" s="157"/>
      <c r="M2083" s="157"/>
      <c r="N2083" s="157"/>
      <c r="O2083" s="157"/>
      <c r="P2083" s="753"/>
      <c r="AK2083" s="40">
        <v>2080.0</v>
      </c>
      <c r="AL2083" s="719" t="s">
        <v>4578</v>
      </c>
      <c r="AM2083" s="720" t="s">
        <v>2020</v>
      </c>
      <c r="AN2083" s="720" t="s">
        <v>2021</v>
      </c>
      <c r="AO2083" s="722">
        <v>0.072</v>
      </c>
      <c r="AP2083" s="722" t="s">
        <v>2022</v>
      </c>
    </row>
    <row r="2084">
      <c r="A2084" s="159"/>
      <c r="B2084" s="159"/>
      <c r="C2084" s="159"/>
      <c r="D2084" s="159"/>
      <c r="E2084" s="159"/>
      <c r="F2084" s="159"/>
      <c r="G2084" s="159"/>
      <c r="H2084" s="159"/>
      <c r="I2084" s="157"/>
      <c r="J2084" s="157"/>
      <c r="K2084" s="157"/>
      <c r="L2084" s="157"/>
      <c r="M2084" s="157"/>
      <c r="N2084" s="157"/>
      <c r="O2084" s="157"/>
      <c r="P2084" s="753"/>
      <c r="AK2084" s="40">
        <v>2081.0</v>
      </c>
      <c r="AL2084" s="738" t="s">
        <v>4579</v>
      </c>
      <c r="AM2084" s="738" t="s">
        <v>1925</v>
      </c>
      <c r="AN2084" s="738" t="s">
        <v>1926</v>
      </c>
      <c r="AO2084" s="739">
        <v>0.179</v>
      </c>
      <c r="AP2084" s="739" t="s">
        <v>1927</v>
      </c>
    </row>
    <row r="2085">
      <c r="A2085" s="159"/>
      <c r="B2085" s="159"/>
      <c r="C2085" s="159"/>
      <c r="D2085" s="159"/>
      <c r="E2085" s="159"/>
      <c r="F2085" s="159"/>
      <c r="G2085" s="159"/>
      <c r="H2085" s="159"/>
      <c r="I2085" s="157"/>
      <c r="J2085" s="157"/>
      <c r="K2085" s="157"/>
      <c r="L2085" s="157"/>
      <c r="M2085" s="157"/>
      <c r="N2085" s="157"/>
      <c r="O2085" s="157"/>
      <c r="P2085" s="753"/>
      <c r="AK2085" s="40">
        <v>2082.0</v>
      </c>
      <c r="AL2085" s="719" t="s">
        <v>4580</v>
      </c>
      <c r="AM2085" s="720" t="s">
        <v>2150</v>
      </c>
      <c r="AN2085" s="720" t="s">
        <v>2151</v>
      </c>
      <c r="AO2085" s="722">
        <v>0.004</v>
      </c>
      <c r="AP2085" s="722" t="s">
        <v>2152</v>
      </c>
    </row>
    <row r="2086">
      <c r="A2086" s="159"/>
      <c r="B2086" s="159"/>
      <c r="C2086" s="159"/>
      <c r="D2086" s="159"/>
      <c r="E2086" s="159"/>
      <c r="F2086" s="159"/>
      <c r="G2086" s="159"/>
      <c r="H2086" s="159"/>
      <c r="I2086" s="157"/>
      <c r="J2086" s="157"/>
      <c r="K2086" s="157"/>
      <c r="L2086" s="157"/>
      <c r="M2086" s="157"/>
      <c r="N2086" s="157"/>
      <c r="O2086" s="157"/>
      <c r="P2086" s="753"/>
      <c r="AK2086" s="40">
        <v>2083.0</v>
      </c>
      <c r="AL2086" s="738" t="s">
        <v>4581</v>
      </c>
      <c r="AM2086" s="738" t="s">
        <v>2044</v>
      </c>
      <c r="AN2086" s="738" t="s">
        <v>2045</v>
      </c>
      <c r="AO2086" s="739">
        <v>0.052</v>
      </c>
      <c r="AP2086" s="739" t="s">
        <v>2046</v>
      </c>
    </row>
    <row r="2087">
      <c r="A2087" s="159"/>
      <c r="B2087" s="159"/>
      <c r="C2087" s="159"/>
      <c r="D2087" s="159"/>
      <c r="E2087" s="159"/>
      <c r="F2087" s="159"/>
      <c r="G2087" s="159"/>
      <c r="H2087" s="159"/>
      <c r="I2087" s="157"/>
      <c r="J2087" s="157"/>
      <c r="K2087" s="157"/>
      <c r="L2087" s="157"/>
      <c r="M2087" s="157"/>
      <c r="N2087" s="157"/>
      <c r="O2087" s="157"/>
      <c r="P2087" s="753"/>
      <c r="AK2087" s="40">
        <v>2084.0</v>
      </c>
      <c r="AL2087" s="719" t="s">
        <v>4582</v>
      </c>
      <c r="AM2087" s="720" t="s">
        <v>1940</v>
      </c>
      <c r="AN2087" s="720" t="s">
        <v>1941</v>
      </c>
      <c r="AO2087" s="722">
        <v>0.149</v>
      </c>
      <c r="AP2087" s="722" t="s">
        <v>1942</v>
      </c>
    </row>
    <row r="2088">
      <c r="A2088" s="159"/>
      <c r="B2088" s="159"/>
      <c r="C2088" s="159"/>
      <c r="D2088" s="159"/>
      <c r="E2088" s="159"/>
      <c r="F2088" s="159"/>
      <c r="G2088" s="159"/>
      <c r="H2088" s="159"/>
      <c r="I2088" s="157"/>
      <c r="J2088" s="157"/>
      <c r="K2088" s="157"/>
      <c r="L2088" s="157"/>
      <c r="M2088" s="157"/>
      <c r="N2088" s="157"/>
      <c r="O2088" s="157"/>
      <c r="P2088" s="753"/>
      <c r="AK2088" s="40">
        <v>2085.0</v>
      </c>
      <c r="AL2088" s="738" t="s">
        <v>4583</v>
      </c>
      <c r="AM2088" s="738" t="s">
        <v>2065</v>
      </c>
      <c r="AN2088" s="738" t="s">
        <v>2066</v>
      </c>
      <c r="AO2088" s="739">
        <v>0.049</v>
      </c>
      <c r="AP2088" s="739" t="s">
        <v>2067</v>
      </c>
    </row>
    <row r="2089">
      <c r="A2089" s="159"/>
      <c r="B2089" s="159"/>
      <c r="C2089" s="159"/>
      <c r="D2089" s="159"/>
      <c r="E2089" s="159"/>
      <c r="F2089" s="159"/>
      <c r="G2089" s="159"/>
      <c r="H2089" s="159"/>
      <c r="I2089" s="157"/>
      <c r="J2089" s="157"/>
      <c r="K2089" s="157"/>
      <c r="L2089" s="157"/>
      <c r="M2089" s="157"/>
      <c r="N2089" s="157"/>
      <c r="O2089" s="157"/>
      <c r="P2089" s="753"/>
      <c r="AK2089" s="40">
        <v>2086.0</v>
      </c>
      <c r="AL2089" s="719" t="s">
        <v>4584</v>
      </c>
      <c r="AM2089" s="720" t="s">
        <v>2156</v>
      </c>
      <c r="AN2089" s="721"/>
      <c r="AO2089" s="722">
        <v>0.0</v>
      </c>
      <c r="AP2089" s="722" t="s">
        <v>2157</v>
      </c>
    </row>
    <row r="2090">
      <c r="A2090" s="159"/>
      <c r="B2090" s="159"/>
      <c r="C2090" s="159"/>
      <c r="D2090" s="159"/>
      <c r="E2090" s="159"/>
      <c r="F2090" s="159"/>
      <c r="G2090" s="159"/>
      <c r="H2090" s="159"/>
      <c r="I2090" s="157"/>
      <c r="J2090" s="157"/>
      <c r="K2090" s="157"/>
      <c r="L2090" s="157"/>
      <c r="M2090" s="157"/>
      <c r="N2090" s="157"/>
      <c r="O2090" s="157"/>
      <c r="P2090" s="753"/>
      <c r="AK2090" s="40">
        <v>2087.0</v>
      </c>
      <c r="AL2090" s="738" t="s">
        <v>4585</v>
      </c>
      <c r="AM2090" s="738" t="s">
        <v>2150</v>
      </c>
      <c r="AN2090" s="738" t="s">
        <v>2151</v>
      </c>
      <c r="AO2090" s="739">
        <v>0.004</v>
      </c>
      <c r="AP2090" s="739" t="s">
        <v>2152</v>
      </c>
    </row>
    <row r="2091">
      <c r="A2091" s="159"/>
      <c r="B2091" s="159"/>
      <c r="C2091" s="159"/>
      <c r="D2091" s="159"/>
      <c r="E2091" s="159"/>
      <c r="F2091" s="159"/>
      <c r="G2091" s="159"/>
      <c r="H2091" s="159"/>
      <c r="I2091" s="157"/>
      <c r="J2091" s="157"/>
      <c r="K2091" s="157"/>
      <c r="L2091" s="157"/>
      <c r="M2091" s="157"/>
      <c r="N2091" s="157"/>
      <c r="O2091" s="157"/>
      <c r="P2091" s="753"/>
      <c r="AK2091" s="40">
        <v>2088.0</v>
      </c>
      <c r="AL2091" s="719" t="s">
        <v>4586</v>
      </c>
      <c r="AM2091" s="720" t="s">
        <v>2044</v>
      </c>
      <c r="AN2091" s="720" t="s">
        <v>2045</v>
      </c>
      <c r="AO2091" s="722">
        <v>0.052</v>
      </c>
      <c r="AP2091" s="722" t="s">
        <v>2046</v>
      </c>
    </row>
    <row r="2092">
      <c r="A2092" s="159"/>
      <c r="B2092" s="159"/>
      <c r="C2092" s="159"/>
      <c r="D2092" s="159"/>
      <c r="E2092" s="159"/>
      <c r="F2092" s="159"/>
      <c r="G2092" s="159"/>
      <c r="H2092" s="159"/>
      <c r="I2092" s="157"/>
      <c r="J2092" s="157"/>
      <c r="K2092" s="157"/>
      <c r="L2092" s="157"/>
      <c r="M2092" s="157"/>
      <c r="N2092" s="157"/>
      <c r="O2092" s="157"/>
      <c r="P2092" s="753"/>
      <c r="AK2092" s="40">
        <v>2089.0</v>
      </c>
      <c r="AL2092" s="738" t="s">
        <v>4587</v>
      </c>
      <c r="AM2092" s="738" t="s">
        <v>1940</v>
      </c>
      <c r="AN2092" s="738" t="s">
        <v>1941</v>
      </c>
      <c r="AO2092" s="739">
        <v>0.149</v>
      </c>
      <c r="AP2092" s="739" t="s">
        <v>1942</v>
      </c>
    </row>
    <row r="2093">
      <c r="A2093" s="159"/>
      <c r="B2093" s="159"/>
      <c r="C2093" s="159"/>
      <c r="D2093" s="159"/>
      <c r="E2093" s="159"/>
      <c r="F2093" s="159"/>
      <c r="G2093" s="159"/>
      <c r="H2093" s="159"/>
      <c r="I2093" s="157"/>
      <c r="J2093" s="157"/>
      <c r="K2093" s="157"/>
      <c r="L2093" s="157"/>
      <c r="M2093" s="157"/>
      <c r="N2093" s="157"/>
      <c r="O2093" s="157"/>
      <c r="P2093" s="753"/>
      <c r="AK2093" s="40">
        <v>2090.0</v>
      </c>
      <c r="AL2093" s="719" t="s">
        <v>4588</v>
      </c>
      <c r="AM2093" s="720" t="s">
        <v>2156</v>
      </c>
      <c r="AN2093" s="721"/>
      <c r="AO2093" s="722">
        <v>0.0</v>
      </c>
      <c r="AP2093" s="722" t="s">
        <v>2157</v>
      </c>
    </row>
    <row r="2094">
      <c r="A2094" s="159"/>
      <c r="B2094" s="159"/>
      <c r="C2094" s="159"/>
      <c r="D2094" s="159"/>
      <c r="E2094" s="159"/>
      <c r="F2094" s="159"/>
      <c r="G2094" s="159"/>
      <c r="H2094" s="159"/>
      <c r="I2094" s="157"/>
      <c r="J2094" s="157"/>
      <c r="K2094" s="157"/>
      <c r="L2094" s="157"/>
      <c r="M2094" s="157"/>
      <c r="N2094" s="157"/>
      <c r="O2094" s="157"/>
      <c r="P2094" s="753"/>
      <c r="AK2094" s="40">
        <v>2091.0</v>
      </c>
      <c r="AL2094" s="738" t="s">
        <v>4589</v>
      </c>
      <c r="AM2094" s="738" t="s">
        <v>2069</v>
      </c>
      <c r="AN2094" s="738" t="s">
        <v>2070</v>
      </c>
      <c r="AO2094" s="739">
        <v>0.041</v>
      </c>
      <c r="AP2094" s="739" t="s">
        <v>2071</v>
      </c>
    </row>
    <row r="2095">
      <c r="A2095" s="159"/>
      <c r="B2095" s="159"/>
      <c r="C2095" s="159"/>
      <c r="D2095" s="159"/>
      <c r="E2095" s="159"/>
      <c r="F2095" s="159"/>
      <c r="G2095" s="159"/>
      <c r="H2095" s="159"/>
      <c r="I2095" s="157"/>
      <c r="J2095" s="157"/>
      <c r="K2095" s="157"/>
      <c r="L2095" s="157"/>
      <c r="M2095" s="157"/>
      <c r="N2095" s="157"/>
      <c r="O2095" s="157"/>
      <c r="P2095" s="753"/>
      <c r="AK2095" s="40">
        <v>2092.0</v>
      </c>
      <c r="AL2095" s="719" t="s">
        <v>4590</v>
      </c>
      <c r="AM2095" s="720" t="s">
        <v>2020</v>
      </c>
      <c r="AN2095" s="720" t="s">
        <v>2021</v>
      </c>
      <c r="AO2095" s="722">
        <v>0.072</v>
      </c>
      <c r="AP2095" s="722" t="s">
        <v>2022</v>
      </c>
    </row>
    <row r="2096">
      <c r="A2096" s="159"/>
      <c r="B2096" s="159"/>
      <c r="C2096" s="159"/>
      <c r="D2096" s="159"/>
      <c r="E2096" s="159"/>
      <c r="F2096" s="159"/>
      <c r="G2096" s="159"/>
      <c r="H2096" s="159"/>
      <c r="I2096" s="157"/>
      <c r="J2096" s="157"/>
      <c r="K2096" s="157"/>
      <c r="L2096" s="157"/>
      <c r="M2096" s="157"/>
      <c r="N2096" s="157"/>
      <c r="O2096" s="157"/>
      <c r="P2096" s="753"/>
      <c r="AK2096" s="40">
        <v>2093.0</v>
      </c>
      <c r="AL2096" s="738" t="s">
        <v>4591</v>
      </c>
      <c r="AM2096" s="738" t="s">
        <v>1925</v>
      </c>
      <c r="AN2096" s="738" t="s">
        <v>1926</v>
      </c>
      <c r="AO2096" s="739">
        <v>0.179</v>
      </c>
      <c r="AP2096" s="739" t="s">
        <v>1927</v>
      </c>
    </row>
    <row r="2097">
      <c r="A2097" s="159"/>
      <c r="B2097" s="159"/>
      <c r="C2097" s="159"/>
      <c r="D2097" s="159"/>
      <c r="E2097" s="159"/>
      <c r="F2097" s="159"/>
      <c r="G2097" s="159"/>
      <c r="H2097" s="159"/>
      <c r="I2097" s="157"/>
      <c r="J2097" s="157"/>
      <c r="K2097" s="157"/>
      <c r="L2097" s="157"/>
      <c r="M2097" s="157"/>
      <c r="N2097" s="157"/>
      <c r="O2097" s="157"/>
      <c r="P2097" s="753"/>
      <c r="AK2097" s="40">
        <v>2094.0</v>
      </c>
      <c r="AL2097" s="719" t="s">
        <v>4592</v>
      </c>
      <c r="AM2097" s="720" t="s">
        <v>2150</v>
      </c>
      <c r="AN2097" s="720" t="s">
        <v>2151</v>
      </c>
      <c r="AO2097" s="722">
        <v>0.004</v>
      </c>
      <c r="AP2097" s="722" t="s">
        <v>2152</v>
      </c>
    </row>
    <row r="2098">
      <c r="A2098" s="159"/>
      <c r="B2098" s="159"/>
      <c r="C2098" s="159"/>
      <c r="D2098" s="159"/>
      <c r="E2098" s="159"/>
      <c r="F2098" s="159"/>
      <c r="G2098" s="159"/>
      <c r="H2098" s="159"/>
      <c r="I2098" s="157"/>
      <c r="J2098" s="157"/>
      <c r="K2098" s="157"/>
      <c r="L2098" s="157"/>
      <c r="M2098" s="157"/>
      <c r="N2098" s="157"/>
      <c r="O2098" s="157"/>
      <c r="P2098" s="753"/>
      <c r="AK2098" s="40">
        <v>2095.0</v>
      </c>
      <c r="AL2098" s="738" t="s">
        <v>4593</v>
      </c>
      <c r="AM2098" s="738" t="s">
        <v>2044</v>
      </c>
      <c r="AN2098" s="738" t="s">
        <v>2045</v>
      </c>
      <c r="AO2098" s="739">
        <v>0.052</v>
      </c>
      <c r="AP2098" s="739" t="s">
        <v>2046</v>
      </c>
    </row>
    <row r="2099">
      <c r="A2099" s="159"/>
      <c r="B2099" s="159"/>
      <c r="C2099" s="159"/>
      <c r="D2099" s="159"/>
      <c r="E2099" s="159"/>
      <c r="F2099" s="159"/>
      <c r="G2099" s="159"/>
      <c r="H2099" s="159"/>
      <c r="I2099" s="157"/>
      <c r="J2099" s="157"/>
      <c r="K2099" s="157"/>
      <c r="L2099" s="157"/>
      <c r="M2099" s="157"/>
      <c r="N2099" s="157"/>
      <c r="O2099" s="157"/>
      <c r="P2099" s="753"/>
      <c r="AK2099" s="40">
        <v>2096.0</v>
      </c>
      <c r="AL2099" s="719" t="s">
        <v>4594</v>
      </c>
      <c r="AM2099" s="720" t="s">
        <v>1940</v>
      </c>
      <c r="AN2099" s="720" t="s">
        <v>1941</v>
      </c>
      <c r="AO2099" s="722">
        <v>0.149</v>
      </c>
      <c r="AP2099" s="722" t="s">
        <v>1942</v>
      </c>
    </row>
    <row r="2100">
      <c r="A2100" s="159"/>
      <c r="B2100" s="159"/>
      <c r="C2100" s="159"/>
      <c r="D2100" s="159"/>
      <c r="E2100" s="159"/>
      <c r="F2100" s="159"/>
      <c r="G2100" s="159"/>
      <c r="H2100" s="159"/>
      <c r="I2100" s="157"/>
      <c r="J2100" s="157"/>
      <c r="K2100" s="157"/>
      <c r="L2100" s="157"/>
      <c r="M2100" s="157"/>
      <c r="N2100" s="157"/>
      <c r="O2100" s="157"/>
      <c r="P2100" s="753"/>
      <c r="AK2100" s="40">
        <v>2097.0</v>
      </c>
      <c r="AL2100" s="738" t="s">
        <v>4595</v>
      </c>
      <c r="AM2100" s="738" t="s">
        <v>2065</v>
      </c>
      <c r="AN2100" s="738" t="s">
        <v>2066</v>
      </c>
      <c r="AO2100" s="739">
        <v>0.049</v>
      </c>
      <c r="AP2100" s="739" t="s">
        <v>2067</v>
      </c>
    </row>
    <row r="2101">
      <c r="A2101" s="159"/>
      <c r="B2101" s="159"/>
      <c r="C2101" s="159"/>
      <c r="D2101" s="159"/>
      <c r="E2101" s="159"/>
      <c r="F2101" s="159"/>
      <c r="G2101" s="159"/>
      <c r="H2101" s="159"/>
      <c r="I2101" s="157"/>
      <c r="J2101" s="157"/>
      <c r="K2101" s="157"/>
      <c r="L2101" s="157"/>
      <c r="M2101" s="157"/>
      <c r="N2101" s="157"/>
      <c r="O2101" s="157"/>
      <c r="P2101" s="753"/>
      <c r="AK2101" s="40">
        <v>2098.0</v>
      </c>
      <c r="AL2101" s="719" t="s">
        <v>4596</v>
      </c>
      <c r="AM2101" s="720" t="s">
        <v>1727</v>
      </c>
      <c r="AN2101" s="721"/>
      <c r="AO2101" s="722" t="s">
        <v>1728</v>
      </c>
      <c r="AP2101" s="723"/>
    </row>
    <row r="2102">
      <c r="A2102" s="159"/>
      <c r="B2102" s="159"/>
      <c r="C2102" s="159"/>
      <c r="D2102" s="159"/>
      <c r="E2102" s="159"/>
      <c r="F2102" s="159"/>
      <c r="G2102" s="159"/>
      <c r="H2102" s="159"/>
      <c r="I2102" s="157"/>
      <c r="J2102" s="157"/>
      <c r="K2102" s="157"/>
      <c r="L2102" s="157"/>
      <c r="M2102" s="157"/>
      <c r="N2102" s="157"/>
      <c r="O2102" s="157"/>
      <c r="P2102" s="753"/>
      <c r="AK2102" s="40">
        <v>2099.0</v>
      </c>
      <c r="AL2102" s="738" t="s">
        <v>4597</v>
      </c>
      <c r="AM2102" s="738" t="s">
        <v>2150</v>
      </c>
      <c r="AN2102" s="738" t="s">
        <v>2151</v>
      </c>
      <c r="AO2102" s="739">
        <v>0.004</v>
      </c>
      <c r="AP2102" s="739" t="s">
        <v>2152</v>
      </c>
    </row>
    <row r="2103">
      <c r="A2103" s="159"/>
      <c r="B2103" s="159"/>
      <c r="C2103" s="159"/>
      <c r="D2103" s="159"/>
      <c r="E2103" s="159"/>
      <c r="F2103" s="159"/>
      <c r="G2103" s="159"/>
      <c r="H2103" s="159"/>
      <c r="I2103" s="157"/>
      <c r="J2103" s="157"/>
      <c r="K2103" s="157"/>
      <c r="L2103" s="157"/>
      <c r="M2103" s="157"/>
      <c r="N2103" s="157"/>
      <c r="O2103" s="157"/>
      <c r="P2103" s="753"/>
      <c r="AK2103" s="40">
        <v>2100.0</v>
      </c>
      <c r="AL2103" s="719" t="s">
        <v>4598</v>
      </c>
      <c r="AM2103" s="720" t="s">
        <v>2044</v>
      </c>
      <c r="AN2103" s="720" t="s">
        <v>2045</v>
      </c>
      <c r="AO2103" s="722">
        <v>0.052</v>
      </c>
      <c r="AP2103" s="722" t="s">
        <v>2046</v>
      </c>
    </row>
    <row r="2104">
      <c r="A2104" s="159"/>
      <c r="B2104" s="159"/>
      <c r="C2104" s="159"/>
      <c r="D2104" s="159"/>
      <c r="E2104" s="159"/>
      <c r="F2104" s="159"/>
      <c r="G2104" s="159"/>
      <c r="H2104" s="159"/>
      <c r="I2104" s="157"/>
      <c r="J2104" s="157"/>
      <c r="K2104" s="157"/>
      <c r="L2104" s="157"/>
      <c r="M2104" s="157"/>
      <c r="N2104" s="157"/>
      <c r="O2104" s="157"/>
      <c r="P2104" s="753"/>
      <c r="AK2104" s="40">
        <v>2101.0</v>
      </c>
      <c r="AL2104" s="738" t="s">
        <v>4599</v>
      </c>
      <c r="AM2104" s="738" t="s">
        <v>1940</v>
      </c>
      <c r="AN2104" s="738" t="s">
        <v>1941</v>
      </c>
      <c r="AO2104" s="739">
        <v>0.149</v>
      </c>
      <c r="AP2104" s="739" t="s">
        <v>1942</v>
      </c>
    </row>
    <row r="2105">
      <c r="A2105" s="159"/>
      <c r="B2105" s="159"/>
      <c r="C2105" s="159"/>
      <c r="D2105" s="159"/>
      <c r="E2105" s="159"/>
      <c r="F2105" s="159"/>
      <c r="G2105" s="159"/>
      <c r="H2105" s="159"/>
      <c r="I2105" s="157"/>
      <c r="J2105" s="157"/>
      <c r="K2105" s="157"/>
      <c r="L2105" s="157"/>
      <c r="M2105" s="157"/>
      <c r="N2105" s="157"/>
      <c r="O2105" s="157"/>
      <c r="P2105" s="753"/>
      <c r="AK2105" s="40">
        <v>2102.0</v>
      </c>
      <c r="AL2105" s="719" t="s">
        <v>4600</v>
      </c>
      <c r="AM2105" s="720" t="s">
        <v>2156</v>
      </c>
      <c r="AN2105" s="721"/>
      <c r="AO2105" s="722">
        <v>0.0</v>
      </c>
      <c r="AP2105" s="722" t="s">
        <v>2157</v>
      </c>
    </row>
    <row r="2106">
      <c r="A2106" s="159"/>
      <c r="B2106" s="159"/>
      <c r="C2106" s="159"/>
      <c r="D2106" s="159"/>
      <c r="E2106" s="159"/>
      <c r="F2106" s="159"/>
      <c r="G2106" s="159"/>
      <c r="H2106" s="159"/>
      <c r="I2106" s="157"/>
      <c r="J2106" s="157"/>
      <c r="K2106" s="157"/>
      <c r="L2106" s="157"/>
      <c r="M2106" s="157"/>
      <c r="N2106" s="157"/>
      <c r="O2106" s="157"/>
      <c r="P2106" s="753"/>
      <c r="AK2106" s="40">
        <v>2103.0</v>
      </c>
      <c r="AL2106" s="738" t="s">
        <v>4601</v>
      </c>
      <c r="AM2106" s="738" t="s">
        <v>4602</v>
      </c>
      <c r="AN2106" s="738" t="s">
        <v>4603</v>
      </c>
      <c r="AO2106" s="739">
        <v>0.159</v>
      </c>
      <c r="AP2106" s="739" t="s">
        <v>4604</v>
      </c>
    </row>
    <row r="2107">
      <c r="A2107" s="159"/>
      <c r="B2107" s="159"/>
      <c r="C2107" s="159"/>
      <c r="D2107" s="159"/>
      <c r="E2107" s="159"/>
      <c r="F2107" s="159"/>
      <c r="G2107" s="159"/>
      <c r="H2107" s="159"/>
      <c r="I2107" s="157"/>
      <c r="J2107" s="157"/>
      <c r="K2107" s="157"/>
      <c r="L2107" s="157"/>
      <c r="M2107" s="157"/>
      <c r="N2107" s="157"/>
      <c r="O2107" s="157"/>
      <c r="P2107" s="753"/>
      <c r="AK2107" s="40">
        <v>2104.0</v>
      </c>
      <c r="AL2107" s="719" t="s">
        <v>4605</v>
      </c>
      <c r="AM2107" s="720" t="s">
        <v>4606</v>
      </c>
      <c r="AN2107" s="720" t="s">
        <v>4607</v>
      </c>
      <c r="AO2107" s="722">
        <v>0.019</v>
      </c>
      <c r="AP2107" s="722" t="s">
        <v>2836</v>
      </c>
    </row>
    <row r="2108">
      <c r="A2108" s="159"/>
      <c r="B2108" s="159"/>
      <c r="C2108" s="159"/>
      <c r="D2108" s="159"/>
      <c r="E2108" s="159"/>
      <c r="F2108" s="159"/>
      <c r="G2108" s="159"/>
      <c r="H2108" s="159"/>
      <c r="I2108" s="157"/>
      <c r="J2108" s="157"/>
      <c r="K2108" s="157"/>
      <c r="L2108" s="157"/>
      <c r="M2108" s="157"/>
      <c r="N2108" s="157"/>
      <c r="O2108" s="157"/>
      <c r="P2108" s="753"/>
      <c r="AK2108" s="40">
        <v>2105.0</v>
      </c>
      <c r="AL2108" s="738" t="s">
        <v>4608</v>
      </c>
      <c r="AM2108" s="738" t="s">
        <v>4609</v>
      </c>
      <c r="AN2108" s="738" t="s">
        <v>4610</v>
      </c>
      <c r="AO2108" s="739">
        <v>0.145</v>
      </c>
      <c r="AP2108" s="739" t="s">
        <v>4611</v>
      </c>
    </row>
    <row r="2109">
      <c r="A2109" s="159"/>
      <c r="B2109" s="159"/>
      <c r="C2109" s="159"/>
      <c r="D2109" s="159"/>
      <c r="E2109" s="159"/>
      <c r="F2109" s="159"/>
      <c r="G2109" s="159"/>
      <c r="H2109" s="159"/>
      <c r="I2109" s="157"/>
      <c r="J2109" s="157"/>
      <c r="K2109" s="157"/>
      <c r="L2109" s="157"/>
      <c r="M2109" s="157"/>
      <c r="N2109" s="157"/>
      <c r="O2109" s="157"/>
      <c r="P2109" s="753"/>
      <c r="AK2109" s="40">
        <v>2106.0</v>
      </c>
      <c r="AL2109" s="719" t="s">
        <v>4612</v>
      </c>
      <c r="AM2109" s="720" t="s">
        <v>2069</v>
      </c>
      <c r="AN2109" s="720" t="s">
        <v>2070</v>
      </c>
      <c r="AO2109" s="722">
        <v>0.041</v>
      </c>
      <c r="AP2109" s="722" t="s">
        <v>2071</v>
      </c>
    </row>
    <row r="2110">
      <c r="A2110" s="159"/>
      <c r="B2110" s="159"/>
      <c r="C2110" s="159"/>
      <c r="D2110" s="159"/>
      <c r="E2110" s="159"/>
      <c r="F2110" s="159"/>
      <c r="G2110" s="159"/>
      <c r="H2110" s="159"/>
      <c r="I2110" s="157"/>
      <c r="J2110" s="157"/>
      <c r="K2110" s="157"/>
      <c r="L2110" s="157"/>
      <c r="M2110" s="157"/>
      <c r="N2110" s="157"/>
      <c r="O2110" s="157"/>
      <c r="P2110" s="753"/>
      <c r="AK2110" s="40">
        <v>2107.0</v>
      </c>
      <c r="AL2110" s="738" t="s">
        <v>4613</v>
      </c>
      <c r="AM2110" s="738" t="s">
        <v>2020</v>
      </c>
      <c r="AN2110" s="738" t="s">
        <v>2021</v>
      </c>
      <c r="AO2110" s="739">
        <v>0.072</v>
      </c>
      <c r="AP2110" s="739" t="s">
        <v>2022</v>
      </c>
    </row>
    <row r="2111">
      <c r="A2111" s="159"/>
      <c r="B2111" s="159"/>
      <c r="C2111" s="159"/>
      <c r="D2111" s="159"/>
      <c r="E2111" s="159"/>
      <c r="F2111" s="159"/>
      <c r="G2111" s="159"/>
      <c r="H2111" s="159"/>
      <c r="I2111" s="157"/>
      <c r="J2111" s="157"/>
      <c r="K2111" s="157"/>
      <c r="L2111" s="157"/>
      <c r="M2111" s="157"/>
      <c r="N2111" s="157"/>
      <c r="O2111" s="157"/>
      <c r="P2111" s="753"/>
      <c r="AK2111" s="40">
        <v>2108.0</v>
      </c>
      <c r="AL2111" s="719" t="s">
        <v>4614</v>
      </c>
      <c r="AM2111" s="720" t="s">
        <v>1925</v>
      </c>
      <c r="AN2111" s="720" t="s">
        <v>1926</v>
      </c>
      <c r="AO2111" s="722">
        <v>0.179</v>
      </c>
      <c r="AP2111" s="722" t="s">
        <v>1927</v>
      </c>
    </row>
    <row r="2112">
      <c r="A2112" s="159"/>
      <c r="B2112" s="159"/>
      <c r="C2112" s="159"/>
      <c r="D2112" s="159"/>
      <c r="E2112" s="159"/>
      <c r="F2112" s="159"/>
      <c r="G2112" s="159"/>
      <c r="H2112" s="159"/>
      <c r="I2112" s="157"/>
      <c r="J2112" s="157"/>
      <c r="K2112" s="157"/>
      <c r="L2112" s="157"/>
      <c r="M2112" s="157"/>
      <c r="N2112" s="157"/>
      <c r="O2112" s="157"/>
      <c r="P2112" s="753"/>
      <c r="AK2112" s="40">
        <v>2109.0</v>
      </c>
      <c r="AL2112" s="738" t="s">
        <v>4615</v>
      </c>
      <c r="AM2112" s="738" t="s">
        <v>2065</v>
      </c>
      <c r="AN2112" s="738" t="s">
        <v>2066</v>
      </c>
      <c r="AO2112" s="739">
        <v>0.049</v>
      </c>
      <c r="AP2112" s="739" t="s">
        <v>2067</v>
      </c>
    </row>
    <row r="2113">
      <c r="A2113" s="159"/>
      <c r="B2113" s="159"/>
      <c r="C2113" s="159"/>
      <c r="D2113" s="159"/>
      <c r="E2113" s="159"/>
      <c r="F2113" s="159"/>
      <c r="G2113" s="159"/>
      <c r="H2113" s="159"/>
      <c r="I2113" s="157"/>
      <c r="J2113" s="157"/>
      <c r="K2113" s="157"/>
      <c r="L2113" s="157"/>
      <c r="M2113" s="157"/>
      <c r="N2113" s="157"/>
      <c r="O2113" s="157"/>
      <c r="P2113" s="753"/>
      <c r="AK2113" s="40">
        <v>2110.0</v>
      </c>
      <c r="AL2113" s="719" t="s">
        <v>4616</v>
      </c>
      <c r="AM2113" s="720" t="s">
        <v>4617</v>
      </c>
      <c r="AN2113" s="720" t="s">
        <v>4618</v>
      </c>
      <c r="AO2113" s="722">
        <v>0.01</v>
      </c>
      <c r="AP2113" s="722" t="s">
        <v>2325</v>
      </c>
    </row>
    <row r="2114">
      <c r="A2114" s="159"/>
      <c r="B2114" s="159"/>
      <c r="C2114" s="159"/>
      <c r="D2114" s="159"/>
      <c r="E2114" s="159"/>
      <c r="F2114" s="159"/>
      <c r="G2114" s="159"/>
      <c r="H2114" s="159"/>
      <c r="I2114" s="157"/>
      <c r="J2114" s="157"/>
      <c r="K2114" s="157"/>
      <c r="L2114" s="157"/>
      <c r="M2114" s="157"/>
      <c r="N2114" s="157"/>
      <c r="O2114" s="157"/>
      <c r="P2114" s="753"/>
      <c r="AK2114" s="40">
        <v>2111.0</v>
      </c>
      <c r="AL2114" s="738" t="s">
        <v>4619</v>
      </c>
      <c r="AM2114" s="738" t="s">
        <v>2156</v>
      </c>
      <c r="AN2114" s="745"/>
      <c r="AO2114" s="739">
        <v>0.0</v>
      </c>
      <c r="AP2114" s="739" t="s">
        <v>2157</v>
      </c>
    </row>
    <row r="2115">
      <c r="A2115" s="159"/>
      <c r="B2115" s="159"/>
      <c r="C2115" s="159"/>
      <c r="D2115" s="159"/>
      <c r="E2115" s="159"/>
      <c r="F2115" s="159"/>
      <c r="G2115" s="159"/>
      <c r="H2115" s="159"/>
      <c r="I2115" s="157"/>
      <c r="J2115" s="157"/>
      <c r="K2115" s="157"/>
      <c r="L2115" s="157"/>
      <c r="M2115" s="157"/>
      <c r="N2115" s="157"/>
      <c r="O2115" s="157"/>
      <c r="P2115" s="753"/>
      <c r="AK2115" s="40">
        <v>2112.0</v>
      </c>
      <c r="AL2115" s="719" t="s">
        <v>4620</v>
      </c>
      <c r="AM2115" s="720" t="s">
        <v>4617</v>
      </c>
      <c r="AN2115" s="720" t="s">
        <v>4618</v>
      </c>
      <c r="AO2115" s="722">
        <v>0.01</v>
      </c>
      <c r="AP2115" s="722" t="s">
        <v>2325</v>
      </c>
    </row>
    <row r="2116">
      <c r="A2116" s="159"/>
      <c r="B2116" s="159"/>
      <c r="C2116" s="159"/>
      <c r="D2116" s="159"/>
      <c r="E2116" s="159"/>
      <c r="F2116" s="159"/>
      <c r="G2116" s="159"/>
      <c r="H2116" s="159"/>
      <c r="I2116" s="157"/>
      <c r="J2116" s="157"/>
      <c r="K2116" s="157"/>
      <c r="L2116" s="157"/>
      <c r="M2116" s="157"/>
      <c r="N2116" s="157"/>
      <c r="O2116" s="157"/>
      <c r="P2116" s="753"/>
      <c r="AK2116" s="40">
        <v>2113.0</v>
      </c>
      <c r="AL2116" s="738" t="s">
        <v>4621</v>
      </c>
      <c r="AM2116" s="738" t="s">
        <v>2156</v>
      </c>
      <c r="AN2116" s="745"/>
      <c r="AO2116" s="739">
        <v>0.0</v>
      </c>
      <c r="AP2116" s="739" t="s">
        <v>2157</v>
      </c>
    </row>
    <row r="2117">
      <c r="A2117" s="159"/>
      <c r="B2117" s="159"/>
      <c r="C2117" s="159"/>
      <c r="D2117" s="159"/>
      <c r="E2117" s="159"/>
      <c r="F2117" s="159"/>
      <c r="G2117" s="159"/>
      <c r="H2117" s="159"/>
      <c r="I2117" s="157"/>
      <c r="J2117" s="157"/>
      <c r="K2117" s="157"/>
      <c r="L2117" s="157"/>
      <c r="M2117" s="157"/>
      <c r="N2117" s="157"/>
      <c r="O2117" s="157"/>
      <c r="P2117" s="753"/>
      <c r="AK2117" s="40">
        <v>2114.0</v>
      </c>
      <c r="AL2117" s="719" t="s">
        <v>4622</v>
      </c>
      <c r="AM2117" s="720" t="s">
        <v>4623</v>
      </c>
      <c r="AN2117" s="720" t="s">
        <v>4624</v>
      </c>
      <c r="AO2117" s="722">
        <v>0.007</v>
      </c>
      <c r="AP2117" s="722" t="s">
        <v>4625</v>
      </c>
    </row>
    <row r="2118">
      <c r="A2118" s="159"/>
      <c r="B2118" s="159"/>
      <c r="C2118" s="159"/>
      <c r="D2118" s="159"/>
      <c r="E2118" s="159"/>
      <c r="F2118" s="159"/>
      <c r="G2118" s="159"/>
      <c r="H2118" s="159"/>
      <c r="I2118" s="157"/>
      <c r="J2118" s="157"/>
      <c r="K2118" s="157"/>
      <c r="L2118" s="157"/>
      <c r="M2118" s="157"/>
      <c r="N2118" s="157"/>
      <c r="O2118" s="157"/>
      <c r="P2118" s="753"/>
      <c r="AK2118" s="40">
        <v>2115.0</v>
      </c>
      <c r="AL2118" s="738" t="s">
        <v>4626</v>
      </c>
      <c r="AM2118" s="738" t="s">
        <v>4627</v>
      </c>
      <c r="AN2118" s="738" t="s">
        <v>4628</v>
      </c>
      <c r="AO2118" s="739">
        <v>0.067</v>
      </c>
      <c r="AP2118" s="739" t="s">
        <v>4629</v>
      </c>
    </row>
    <row r="2119">
      <c r="A2119" s="159"/>
      <c r="B2119" s="159"/>
      <c r="C2119" s="159"/>
      <c r="D2119" s="159"/>
      <c r="E2119" s="159"/>
      <c r="F2119" s="159"/>
      <c r="G2119" s="159"/>
      <c r="H2119" s="159"/>
      <c r="I2119" s="157"/>
      <c r="J2119" s="157"/>
      <c r="K2119" s="157"/>
      <c r="L2119" s="157"/>
      <c r="M2119" s="157"/>
      <c r="N2119" s="157"/>
      <c r="O2119" s="157"/>
      <c r="P2119" s="753"/>
      <c r="AK2119" s="40">
        <v>2116.0</v>
      </c>
      <c r="AL2119" s="719" t="s">
        <v>4630</v>
      </c>
      <c r="AM2119" s="720" t="s">
        <v>2156</v>
      </c>
      <c r="AN2119" s="721"/>
      <c r="AO2119" s="722">
        <v>0.0</v>
      </c>
      <c r="AP2119" s="722" t="s">
        <v>2157</v>
      </c>
    </row>
    <row r="2120">
      <c r="A2120" s="159"/>
      <c r="B2120" s="159"/>
      <c r="C2120" s="159"/>
      <c r="D2120" s="159"/>
      <c r="E2120" s="159"/>
      <c r="F2120" s="159"/>
      <c r="G2120" s="159"/>
      <c r="H2120" s="159"/>
      <c r="I2120" s="157"/>
      <c r="J2120" s="157"/>
      <c r="K2120" s="157"/>
      <c r="L2120" s="157"/>
      <c r="M2120" s="157"/>
      <c r="N2120" s="157"/>
      <c r="O2120" s="157"/>
      <c r="P2120" s="753"/>
      <c r="AK2120" s="40">
        <v>2117.0</v>
      </c>
      <c r="AL2120" s="738" t="s">
        <v>4631</v>
      </c>
      <c r="AM2120" s="738" t="s">
        <v>2131</v>
      </c>
      <c r="AN2120" s="738" t="s">
        <v>2132</v>
      </c>
      <c r="AO2120" s="739">
        <v>0.006</v>
      </c>
      <c r="AP2120" s="739" t="s">
        <v>2133</v>
      </c>
    </row>
    <row r="2121">
      <c r="A2121" s="159"/>
      <c r="B2121" s="159"/>
      <c r="C2121" s="159"/>
      <c r="D2121" s="159"/>
      <c r="E2121" s="159"/>
      <c r="F2121" s="159"/>
      <c r="G2121" s="159"/>
      <c r="H2121" s="159"/>
      <c r="I2121" s="157"/>
      <c r="J2121" s="157"/>
      <c r="K2121" s="157"/>
      <c r="L2121" s="157"/>
      <c r="M2121" s="157"/>
      <c r="N2121" s="157"/>
      <c r="O2121" s="157"/>
      <c r="P2121" s="753"/>
      <c r="AK2121" s="40">
        <v>2118.0</v>
      </c>
      <c r="AL2121" s="719" t="s">
        <v>4632</v>
      </c>
      <c r="AM2121" s="720" t="s">
        <v>2050</v>
      </c>
      <c r="AN2121" s="720" t="s">
        <v>2051</v>
      </c>
      <c r="AO2121" s="722">
        <v>0.051</v>
      </c>
      <c r="AP2121" s="722" t="s">
        <v>2052</v>
      </c>
    </row>
    <row r="2122">
      <c r="A2122" s="159"/>
      <c r="B2122" s="159"/>
      <c r="C2122" s="159"/>
      <c r="D2122" s="159"/>
      <c r="E2122" s="159"/>
      <c r="F2122" s="159"/>
      <c r="G2122" s="159"/>
      <c r="H2122" s="159"/>
      <c r="I2122" s="157"/>
      <c r="J2122" s="157"/>
      <c r="K2122" s="157"/>
      <c r="L2122" s="157"/>
      <c r="M2122" s="157"/>
      <c r="N2122" s="157"/>
      <c r="O2122" s="157"/>
      <c r="P2122" s="753"/>
    </row>
  </sheetData>
  <autoFilter ref="$AK$3:$AP$2121"/>
  <mergeCells count="3">
    <mergeCell ref="AL1:AO1"/>
    <mergeCell ref="K2:O2"/>
    <mergeCell ref="AG2:AH3"/>
  </mergeCells>
  <hyperlinks>
    <hyperlink r:id="rId1" ref="N1"/>
    <hyperlink r:id="rId2" ref="A2"/>
    <hyperlink r:id="rId3" ref="F2"/>
    <hyperlink r:id="rId4" ref="Q2"/>
    <hyperlink r:id="rId5" ref="T2"/>
    <hyperlink r:id="rId6" ref="Z2"/>
    <hyperlink r:id="rId7" location="gid=1656100062" ref="K3"/>
    <hyperlink r:id="rId8" ref="AT3"/>
  </hyperlinks>
  <drawing r:id="rId9"/>
</worksheet>
</file>