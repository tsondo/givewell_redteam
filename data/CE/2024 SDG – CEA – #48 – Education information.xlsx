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A" sheetId="1" r:id="rId5"/>
    <sheet state="hidden" name="OLD 2023 CEA" sheetId="2" r:id="rId6"/>
  </sheets>
  <definedNames>
    <definedName localSheetId="1" name="DiscountRate">#REF!</definedName>
    <definedName localSheetId="1" name="ConsumptionDoublingsMigrant">#REF!</definedName>
    <definedName localSheetId="1" name="AudienceSize">#REF!</definedName>
    <definedName localSheetId="1" name="CostScale">#REF!</definedName>
    <definedName name="AudienceSize">#REF!</definedName>
    <definedName localSheetId="1" name="TimeToFail">'OLD 2023 CEA'!$B$12</definedName>
    <definedName name="CostOfMigrating">#REF!</definedName>
    <definedName localSheetId="1" name="TotalDALYs">#REF!</definedName>
    <definedName localSheetId="1" name="MigrantsAtScale">#REF!</definedName>
    <definedName localSheetId="1" name="TimePrep">#REF!</definedName>
    <definedName name="TotalDoublings">#REF!</definedName>
    <definedName localSheetId="1" name="TimeToScale">#REF!</definedName>
    <definedName localSheetId="1" name="TotalAirtimeCost">#REF!</definedName>
    <definedName name="Year">#REF!</definedName>
    <definedName name="NumberOfStations">#REF!</definedName>
    <definedName localSheetId="1" name="ProbSuccess">'OLD 2023 CEA'!$B$11</definedName>
    <definedName localSheetId="1" name="ProbCounterfactual">#REF!</definedName>
    <definedName localSheetId="1" name="CostOfMigrating">#REF!</definedName>
    <definedName name="TimeToFail">#REF!</definedName>
    <definedName localSheetId="1" name="TotalDoublings">#REF!</definedName>
    <definedName name="AnnualRiseInIncome">#REF!</definedName>
    <definedName name="CostY1">#REF!</definedName>
    <definedName name="TotalProductionCost">#REF!</definedName>
    <definedName name="ProbSuccess">#REF!</definedName>
    <definedName name="TotalAirtimeCost">#REF!</definedName>
    <definedName name="MigrantsAtScale">#REF!</definedName>
    <definedName localSheetId="1" name="NumberOfStations">#REF!</definedName>
    <definedName localSheetId="1" name="Scale">#REF!</definedName>
    <definedName name="ConsumptionIncreaseMigrant">#REF!</definedName>
    <definedName name="TotalDALYs">#REF!</definedName>
    <definedName localSheetId="1" name="TotalProductionCost">#REF!</definedName>
    <definedName localSheetId="1" name="ConsumptionIncreaseMigrant">#REF!</definedName>
    <definedName localSheetId="1" name="AnnualRiseInIncome">#REF!</definedName>
    <definedName name="TimeToScale">#REF!</definedName>
    <definedName localSheetId="1" name="CostY1">#REF!</definedName>
    <definedName name="ConsumptionDoublingsMigrant">#REF!</definedName>
    <definedName name="ProbCounterfactual">#REF!</definedName>
    <definedName name="Scale">#REF!</definedName>
    <definedName name="TimePrep">#REF!</definedName>
    <definedName name="DiscountRate">#REF!</definedName>
    <definedName localSheetId="1" name="Year">#REF!</definedName>
    <definedName localSheetId="1" name="CampaignMonths">#REF!</definedName>
    <definedName name="CampaignMonths">#REF!</definedName>
    <definedName name="CostScal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This is added to discount rate for &gt;effects&lt; to account for lower counterfactual effectiveness</t>
      </text>
    </comment>
    <comment authorId="0" ref="A71">
      <text>
        <t xml:space="preserve">This corrects for likely parameter overestimation due to biases in the literature.</t>
      </text>
    </comment>
    <comment authorId="0" ref="A72">
      <text>
        <t xml:space="preserve">Use this to account for uncertainty associated with moving to a new environment and/or scaling up. It can be both positive and negative.</t>
      </text>
    </comment>
    <comment authorId="0" ref="A81">
      <text>
        <t xml:space="preserve">Notes: 
- Lives saved (YLL) are counted in the year they are saved
- Other health effects (e.g. DALYs, YLD) may be immediate (e.g. treating a snakebite) or spread over time (e.g. vaccination)
- Income effects are generally spread over a persons lifetime
- GDP effects can be "ongoing"</t>
      </text>
    </comment>
    <comment authorId="0" ref="A116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  <comment authorId="0" ref="A117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  <comment authorId="0" ref="A122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  <comment authorId="0" ref="A123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  <comment authorId="0" ref="A126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  <comment authorId="0" ref="A127">
      <text>
        <t xml:space="preserve">If you assume that each person reached has a value of 1 then you can calculate the Net Present Value (NPV) of all people reached.
This can then be used to calculate the NPV of both the variable costs ($) and the NPV of the impacts (e.g. DALYs).</t>
      </text>
    </comment>
  </commentList>
</comments>
</file>

<file path=xl/sharedStrings.xml><?xml version="1.0" encoding="utf-8"?>
<sst xmlns="http://schemas.openxmlformats.org/spreadsheetml/2006/main" count="785" uniqueCount="243">
  <si>
    <t>Assumptions</t>
  </si>
  <si>
    <t>One year of doubled consumption to DALY equivalents (DALYe)</t>
  </si>
  <si>
    <t>ratio</t>
  </si>
  <si>
    <r>
      <rPr>
        <rFont val="Arial"/>
        <color theme="1"/>
        <sz val="10.0"/>
      </rPr>
      <t xml:space="preserve">Discount rate for impacts </t>
    </r>
    <r>
      <rPr>
        <rFont val="Arial"/>
        <color rgb="FF999999"/>
        <sz val="10.0"/>
      </rPr>
      <t>[1.5% for health, 4% for income/other]</t>
    </r>
  </si>
  <si>
    <t>%</t>
  </si>
  <si>
    <t>Costs of intervention</t>
  </si>
  <si>
    <t>Ordinary costs</t>
  </si>
  <si>
    <r>
      <rPr>
        <rFont val="Arial"/>
        <color theme="1"/>
        <sz val="10.0"/>
      </rPr>
      <t xml:space="preserve">Fixed costs in [first] year </t>
    </r>
    <r>
      <rPr>
        <rFont val="Arial"/>
        <color rgb="FF999999"/>
        <sz val="10.0"/>
      </rPr>
      <t>[Suggest: $130,000]</t>
    </r>
  </si>
  <si>
    <t>USD</t>
  </si>
  <si>
    <t>Estimate (from Joey) for 90% confidence interval for CE seed grant is $100k to $190k</t>
  </si>
  <si>
    <r>
      <rPr>
        <rFont val="Arial"/>
        <color theme="1"/>
        <sz val="10.0"/>
      </rPr>
      <t xml:space="preserve">Ongoing annual fixed costs when at scale </t>
    </r>
    <r>
      <rPr>
        <rFont val="Arial"/>
        <color rgb="FF999999"/>
        <sz val="10.0"/>
      </rPr>
      <t>[Suggest: $280,000]</t>
    </r>
  </si>
  <si>
    <t>Annual maintenance cost</t>
  </si>
  <si>
    <t>Taken from 2023 - MM - #24 Vaccine reminders CEA</t>
  </si>
  <si>
    <t>Adjustment for missed costs</t>
  </si>
  <si>
    <t>x</t>
  </si>
  <si>
    <t>Total: System delivery - Delivery (annual maintenace costs)</t>
  </si>
  <si>
    <t>Additional up-front costs</t>
  </si>
  <si>
    <t>Development hours required</t>
  </si>
  <si>
    <t>Hours</t>
  </si>
  <si>
    <t>Cost per hour</t>
  </si>
  <si>
    <t>USD / hour</t>
  </si>
  <si>
    <t>Regulatory registration</t>
  </si>
  <si>
    <t>Telecommunication company set-up cost</t>
  </si>
  <si>
    <t>Total: Set up (one off)</t>
  </si>
  <si>
    <t>$</t>
  </si>
  <si>
    <t>SMS messaging costs</t>
  </si>
  <si>
    <t>Cost for 1 SMS</t>
  </si>
  <si>
    <r>
      <rPr>
        <sz val="10.0"/>
      </rPr>
      <t xml:space="preserve">South Africa two way SMS from </t>
    </r>
    <r>
      <rPr>
        <color rgb="FF1155CC"/>
        <sz val="10.0"/>
        <u/>
      </rPr>
      <t>twilio</t>
    </r>
    <r>
      <rPr>
        <sz val="10.0"/>
      </rPr>
      <t>.</t>
    </r>
  </si>
  <si>
    <t>Number of messages sent per month per student</t>
  </si>
  <si>
    <t>#</t>
  </si>
  <si>
    <t>Number of months per year</t>
  </si>
  <si>
    <t>SMS messages sent per student per year</t>
  </si>
  <si>
    <t>SMS costs per student per year</t>
  </si>
  <si>
    <t>Effects of intervention</t>
  </si>
  <si>
    <t>Test score and income effect</t>
  </si>
  <si>
    <t>Impact on student learning</t>
  </si>
  <si>
    <t>SD</t>
  </si>
  <si>
    <r>
      <rPr>
        <sz val="10.0"/>
      </rPr>
      <t xml:space="preserve">Taken from </t>
    </r>
    <r>
      <rPr>
        <color rgb="FF1155CC"/>
        <sz val="10.0"/>
        <u/>
      </rPr>
      <t>Berlinski et al. (2022)</t>
    </r>
    <r>
      <rPr>
        <sz val="10.0"/>
      </rPr>
      <t>. This was the lower of the effect sizes of Lichand et al. (2022) (0.141 standard deviations) and Berlinksi et al. (2022) (0.088 standard deviations).</t>
    </r>
  </si>
  <si>
    <t>Replicability adjustment factor</t>
  </si>
  <si>
    <r>
      <rPr>
        <sz val="10.0"/>
      </rPr>
      <t xml:space="preserve">Have used </t>
    </r>
    <r>
      <rPr>
        <color rgb="FF1155CC"/>
        <sz val="10.0"/>
        <u/>
      </rPr>
      <t>Coville &amp; Vivalt's (2017)</t>
    </r>
    <r>
      <rPr>
        <sz val="10.0"/>
      </rPr>
      <t xml:space="preserve"> figure as taken from </t>
    </r>
    <r>
      <rPr>
        <color rgb="FF1155CC"/>
        <sz val="10.0"/>
        <u/>
      </rPr>
      <t>Rosie Bettle's Replicability and generalisability (2023)</t>
    </r>
    <r>
      <rPr>
        <sz val="10.0"/>
      </rPr>
      <t>.</t>
    </r>
  </si>
  <si>
    <t>Study literacy rate</t>
  </si>
  <si>
    <t>"Parents in our sample are literate"</t>
  </si>
  <si>
    <t>South African female literacy rate</t>
  </si>
  <si>
    <r>
      <rPr>
        <rFont val="Arial"/>
      </rPr>
      <t xml:space="preserve">Taken from </t>
    </r>
    <r>
      <rPr>
        <rFont val="Arial"/>
        <color rgb="FF1155CC"/>
        <u/>
      </rPr>
      <t>OWID</t>
    </r>
  </si>
  <si>
    <t>Actual effect</t>
  </si>
  <si>
    <r>
      <rPr>
        <rFont val="Arial"/>
      </rPr>
      <t xml:space="preserve">For comparison, </t>
    </r>
    <r>
      <rPr>
        <rFont val="Arial"/>
        <color rgb="FF1155CC"/>
        <u/>
      </rPr>
      <t>Evans &amp; Acosta (2024)</t>
    </r>
    <r>
      <rPr>
        <rFont val="Arial"/>
      </rPr>
      <t xml:space="preserve"> found an average effect size of 0.05 SD on student learning for the interventions captured in its meta-analysis.</t>
    </r>
  </si>
  <si>
    <t>Income increase from 1 SD increase in test scores</t>
  </si>
  <si>
    <r>
      <rPr>
        <rFont val="Arial"/>
        <color theme="1"/>
      </rPr>
      <t>AIM guidance - When modeling, we will model both a conservative case (</t>
    </r>
    <r>
      <rPr>
        <rFont val="Arial"/>
        <b/>
        <color theme="1"/>
      </rPr>
      <t>10%</t>
    </r>
    <r>
      <rPr>
        <rFont val="Arial"/>
        <color theme="1"/>
      </rPr>
      <t>) and an optimistic case (</t>
    </r>
    <r>
      <rPr>
        <rFont val="Arial"/>
        <b/>
        <color theme="1"/>
      </rPr>
      <t>40%</t>
    </r>
    <r>
      <rPr>
        <rFont val="Arial"/>
        <color theme="1"/>
      </rPr>
      <t>). We think the conservative case is likely closer to the true returns.</t>
    </r>
  </si>
  <si>
    <t>Per cent increase in income per student</t>
  </si>
  <si>
    <t>Income doublings per student per year</t>
  </si>
  <si>
    <t>Multiplier to capture household size</t>
  </si>
  <si>
    <t>Using GiveWell's multiplier assumption of two for simplicity.</t>
  </si>
  <si>
    <t>Income doublings per household per year</t>
  </si>
  <si>
    <t>Timing of effect</t>
  </si>
  <si>
    <t>Number of years that impact spread over</t>
  </si>
  <si>
    <t>Assumed retirement age of 60 less current age of students.</t>
  </si>
  <si>
    <t>Delay on impact starting from intervention date</t>
  </si>
  <si>
    <r>
      <rPr>
        <sz val="10.0"/>
      </rPr>
      <t xml:space="preserve">Assume start work after final year of schooling. Have used expected years of schooling data (from </t>
    </r>
    <r>
      <rPr>
        <color rgb="FF1155CC"/>
        <sz val="10.0"/>
        <u/>
      </rPr>
      <t>OWID</t>
    </r>
    <r>
      <rPr>
        <sz val="10.0"/>
      </rPr>
      <t>) for that metric.</t>
    </r>
  </si>
  <si>
    <t>Total years of impact per student</t>
  </si>
  <si>
    <t>Total effect</t>
  </si>
  <si>
    <t>Present value of income doublings per student over lifetime</t>
  </si>
  <si>
    <t>Present value of DALYS per student over lifetime</t>
  </si>
  <si>
    <t>AIM’s target bar for Global Health and Well-being</t>
  </si>
  <si>
    <t>$ / DALYe</t>
  </si>
  <si>
    <t>For this "income &amp; growth" round, we specified intended cost-effectiveness better than $30/consumption doubling. 
30/0.435 ~69</t>
  </si>
  <si>
    <t>Students needed to reach per year to reach AIM's target bar
(pre-scaling, not incl. set-up costs)</t>
  </si>
  <si>
    <t>Students needed to reach per year to reach AIM's target bar
(post-scaling, not incl. set-up costs)</t>
  </si>
  <si>
    <t xml:space="preserve">Additional students needed to cover additional set-up costs </t>
  </si>
  <si>
    <t>Scale</t>
  </si>
  <si>
    <t>5-14 population</t>
  </si>
  <si>
    <r>
      <rPr>
        <sz val="10.0"/>
      </rPr>
      <t xml:space="preserve">Taken from </t>
    </r>
    <r>
      <rPr>
        <color rgb="FF1155CC"/>
        <sz val="10.0"/>
        <u/>
      </rPr>
      <t>OWID</t>
    </r>
  </si>
  <si>
    <t>10-12 year old population</t>
  </si>
  <si>
    <t>Share of primary-school-age children who are out of school, 2023</t>
  </si>
  <si>
    <r>
      <rPr/>
      <t xml:space="preserve">Taken from </t>
    </r>
    <r>
      <rPr>
        <color rgb="FF1155CC"/>
        <u/>
      </rPr>
      <t>OWID</t>
    </r>
  </si>
  <si>
    <t>Targetable population</t>
  </si>
  <si>
    <t>Cost-effectiveness</t>
  </si>
  <si>
    <t>Students needed to reach per year to match AIM's target bar
(pre-scaling, not incl. set-up costs) as per cent of target population</t>
  </si>
  <si>
    <r>
      <rPr/>
      <t>From Lesson plans CEA "</t>
    </r>
    <r>
      <rPr>
        <i/>
      </rPr>
      <t>Assume we work with 1% of schools during pilot (</t>
    </r>
    <r>
      <rPr>
        <i/>
        <color rgb="FF1155CC"/>
        <u/>
      </rPr>
      <t>Bridge International did this in their pilot in Kenya</t>
    </r>
    <r>
      <rPr>
        <i/>
      </rPr>
      <t>).</t>
    </r>
    <r>
      <rPr/>
      <t>"</t>
    </r>
  </si>
  <si>
    <t>Students needed to reach per year to match AIM's target bar
(post-scaling, not incl. set-up costs) as per cent of target population</t>
  </si>
  <si>
    <r>
      <rPr>
        <rFont val="Arial"/>
        <color theme="1"/>
      </rPr>
      <t>From Lesson plans CEA "</t>
    </r>
    <r>
      <rPr>
        <rFont val="Arial"/>
        <i/>
        <color theme="1"/>
      </rPr>
      <t>Assume we can work with 50% of schools at scale (best guess).</t>
    </r>
    <r>
      <rPr>
        <rFont val="Arial"/>
        <color theme="1"/>
      </rPr>
      <t>"</t>
    </r>
  </si>
  <si>
    <t>Students needed to cover additional set-up costs 
as per cent of target population</t>
  </si>
  <si>
    <t>% of costs that are fixed</t>
  </si>
  <si>
    <t>A check - lower is better</t>
  </si>
  <si>
    <t>Expected</t>
  </si>
  <si>
    <t>UseCarlo</t>
  </si>
  <si>
    <t>p05</t>
  </si>
  <si>
    <t>p95</t>
  </si>
  <si>
    <t>Param1</t>
  </si>
  <si>
    <t>Param2</t>
  </si>
  <si>
    <t>Param3</t>
  </si>
  <si>
    <t>NO EDIT</t>
  </si>
  <si>
    <t>Units</t>
  </si>
  <si>
    <t>Distr. mean</t>
  </si>
  <si>
    <t>Distr. median</t>
  </si>
  <si>
    <t>Description</t>
  </si>
  <si>
    <t>Source</t>
  </si>
  <si>
    <t>Comments</t>
  </si>
  <si>
    <t>Replies</t>
  </si>
  <si>
    <t>Description of intervention</t>
  </si>
  <si>
    <t>DO NOT
EDIT COLUMN</t>
  </si>
  <si>
    <t>FORMULA DO NOT EDIT THIS COLUMN</t>
  </si>
  <si>
    <t>[Fill out description here]</t>
  </si>
  <si>
    <t/>
  </si>
  <si>
    <t>Geographic focus of this CEA</t>
  </si>
  <si>
    <t>[country / region]</t>
  </si>
  <si>
    <t>Tractability &amp; counterfactuals</t>
  </si>
  <si>
    <t>Probability of success etc</t>
  </si>
  <si>
    <t>Probability per year that change would happen anyway (even if no charity)</t>
  </si>
  <si>
    <t xml:space="preserve">   In case useful: Number yrs until 50%+ change happens anyway</t>
  </si>
  <si>
    <r>
      <rPr>
        <rFont val="Arial"/>
        <color theme="1"/>
      </rPr>
      <t xml:space="preserve">Probability of success (that the expected impact happens) </t>
    </r>
    <r>
      <rPr>
        <rFont val="Arial"/>
        <color rgb="FF999999"/>
      </rPr>
      <t>[suggest: 90% for direct, 30% for policy]</t>
    </r>
  </si>
  <si>
    <t>Beta</t>
  </si>
  <si>
    <t>Not Implemented</t>
  </si>
  <si>
    <r>
      <rPr>
        <rFont val="Arial"/>
        <color theme="1"/>
      </rPr>
      <t xml:space="preserve">Last year charity runs if unsuccessful </t>
    </r>
    <r>
      <rPr>
        <rFont val="Arial"/>
        <color rgb="FF999999"/>
      </rPr>
      <t>[suggest: 4]</t>
    </r>
  </si>
  <si>
    <t>Normal</t>
  </si>
  <si>
    <t>years</t>
  </si>
  <si>
    <t>Costs</t>
  </si>
  <si>
    <t>Key assumptions</t>
  </si>
  <si>
    <r>
      <rPr>
        <rFont val="Arial"/>
        <color theme="1"/>
      </rPr>
      <t xml:space="preserve">Discount rate, for costs </t>
    </r>
    <r>
      <rPr>
        <rFont val="Arial"/>
        <color rgb="FF999999"/>
      </rPr>
      <t>[keep fixed in all CEAs]</t>
    </r>
  </si>
  <si>
    <t>1. FIXED CHARITY COSTS</t>
  </si>
  <si>
    <t>Period 1 – initial scaling</t>
  </si>
  <si>
    <t>This section assumes a linear increase in fixed costs during the scaling period</t>
  </si>
  <si>
    <r>
      <rPr>
        <rFont val="Arial"/>
        <color theme="1"/>
      </rPr>
      <t xml:space="preserve">Cost period 1 begins in year __ </t>
    </r>
    <r>
      <rPr>
        <rFont val="Arial"/>
        <color rgb="FF999999"/>
      </rPr>
      <t>[fixed]</t>
    </r>
  </si>
  <si>
    <t>Year</t>
  </si>
  <si>
    <r>
      <rPr>
        <rFont val="Arial"/>
        <color theme="1"/>
      </rPr>
      <t xml:space="preserve">Cost period 1 ends in year __ </t>
    </r>
    <r>
      <rPr>
        <rFont val="Arial"/>
        <color rgb="FF999999"/>
      </rPr>
      <t>[suggest: 2-5; min: 2]</t>
    </r>
  </si>
  <si>
    <t>Period inclusive of this year</t>
  </si>
  <si>
    <r>
      <rPr>
        <rFont val="Arial"/>
        <color theme="1"/>
      </rPr>
      <t xml:space="preserve">Costs at period 1 start </t>
    </r>
    <r>
      <rPr>
        <rFont val="Arial"/>
        <color rgb="FF999999"/>
      </rPr>
      <t>[fixed, based on CE grant sizes]</t>
    </r>
  </si>
  <si>
    <t>LogNormal</t>
  </si>
  <si>
    <t>-</t>
  </si>
  <si>
    <r>
      <rPr>
        <rFont val="Arial"/>
        <color theme="1"/>
      </rPr>
      <t xml:space="preserve">Costs at period 1 end </t>
    </r>
    <r>
      <rPr>
        <rFont val="Arial"/>
        <color rgb="FF999999"/>
      </rPr>
      <t>[default: $250,000]</t>
    </r>
  </si>
  <si>
    <t>Total fixed costs over period 1, NPV</t>
  </si>
  <si>
    <t xml:space="preserve">   Increase per year</t>
  </si>
  <si>
    <t xml:space="preserve">   Total length of period</t>
  </si>
  <si>
    <t xml:space="preserve">   Cumulative discount multiplier over period</t>
  </si>
  <si>
    <t xml:space="preserve">   Total fixed costs of period at starting year of period</t>
  </si>
  <si>
    <t>Formula based on SUM (a+kb)r^k, where k is variable 0→year (C10) and a is base cost (C19) and b is annual addition (C14) and r is the discount rate (C5)</t>
  </si>
  <si>
    <t xml:space="preserve">   Total fixed costs over period, NPV (single line formula version)</t>
  </si>
  <si>
    <t>Total fixed costs over period 1, NPV, if not successful</t>
  </si>
  <si>
    <t>Period 2 – ongoing costs</t>
  </si>
  <si>
    <t>← Can copy and paste these rows (or section above) to add additional costing periods below</t>
  </si>
  <si>
    <r>
      <rPr>
        <rFont val="Arial"/>
        <color theme="1"/>
      </rPr>
      <t xml:space="preserve">Cost period 2 begins in year ___ </t>
    </r>
    <r>
      <rPr>
        <rFont val="Arial"/>
        <color rgb="FF999999"/>
      </rPr>
      <t>[previous period end +1]</t>
    </r>
  </si>
  <si>
    <r>
      <rPr>
        <rFont val="Arial"/>
        <color theme="1"/>
      </rPr>
      <t xml:space="preserve">Cost period 2 ends on year ___ OR "ongoing" </t>
    </r>
    <r>
      <rPr>
        <rFont val="Arial"/>
        <color rgb="FF999999"/>
      </rPr>
      <t>[suggest: 16]</t>
    </r>
  </si>
  <si>
    <t>Annual fixed costs in this period</t>
  </si>
  <si>
    <r>
      <rPr>
        <rFont val="Arial"/>
        <b/>
        <color theme="1"/>
      </rPr>
      <t>Total fixed costs</t>
    </r>
    <r>
      <rPr>
        <rFont val="Arial"/>
        <color theme="1"/>
      </rPr>
      <t xml:space="preserve"> over period 2, NPV</t>
    </r>
  </si>
  <si>
    <t>Total fixed costs over period 2, NPV, if not successful</t>
  </si>
  <si>
    <t>2. VARIABLE CHARITY COSTS</t>
  </si>
  <si>
    <t>[Subheading]</t>
  </si>
  <si>
    <t>Cost of intervention per person</t>
  </si>
  <si>
    <t>$/person</t>
  </si>
  <si>
    <t>Variable costs per [group] (for staff/training/set-up/etc)</t>
  </si>
  <si>
    <t>Number of people reached [by/in] in each [group/etc]</t>
  </si>
  <si>
    <t>person</t>
  </si>
  <si>
    <t>Total cost per person</t>
  </si>
  <si>
    <t>Number of people reached, NPV</t>
  </si>
  <si>
    <t>people</t>
  </si>
  <si>
    <r>
      <rPr>
        <rFont val="Arial"/>
        <b/>
        <color theme="1"/>
      </rPr>
      <t>Total variable costs</t>
    </r>
    <r>
      <rPr>
        <rFont val="Arial"/>
        <color theme="1"/>
      </rPr>
      <t>, NPV</t>
    </r>
  </si>
  <si>
    <r>
      <rPr>
        <rFont val="Arial"/>
        <color rgb="FF000000"/>
      </rPr>
      <t xml:space="preserve">Total variable costs, NPV, if not successful </t>
    </r>
    <r>
      <rPr>
        <rFont val="Arial"/>
        <color rgb="FF999999"/>
      </rPr>
      <t>[Suggest: $0]</t>
    </r>
  </si>
  <si>
    <t>2. TOTAL CHARITY COSTS</t>
  </si>
  <si>
    <t>Total costs if successful</t>
  </si>
  <si>
    <t>Total costs if not successful</t>
  </si>
  <si>
    <t>Total expected cost per successful charity</t>
  </si>
  <si>
    <t>3. NON-CHARITY COSTS</t>
  </si>
  <si>
    <t>Costs to government</t>
  </si>
  <si>
    <t>$/year</t>
  </si>
  <si>
    <t>Costs to other charities</t>
  </si>
  <si>
    <t>Effects per [person]</t>
  </si>
  <si>
    <t>Key assumptions / data</t>
  </si>
  <si>
    <r>
      <rPr>
        <rFont val="Arial"/>
        <color theme="1"/>
      </rPr>
      <t xml:space="preserve">One year of doubled consumption to DALYs </t>
    </r>
    <r>
      <rPr>
        <rFont val="Arial"/>
        <color rgb="FF999999"/>
      </rPr>
      <t>[fixed]</t>
    </r>
  </si>
  <si>
    <r>
      <rPr>
        <rFont val="Arial"/>
        <color theme="1"/>
      </rPr>
      <t xml:space="preserve">Discount rate, for impacts per person </t>
    </r>
    <r>
      <rPr>
        <rFont val="Arial"/>
        <color rgb="FF999999"/>
      </rPr>
      <t>[fixed]</t>
    </r>
  </si>
  <si>
    <t>[Effect 1]</t>
  </si>
  <si>
    <t>[informed input]</t>
  </si>
  <si>
    <t>count</t>
  </si>
  <si>
    <t>[guess input]</t>
  </si>
  <si>
    <t>% reduction</t>
  </si>
  <si>
    <t>[Effect size]</t>
  </si>
  <si>
    <t>e.g. DALYs</t>
  </si>
  <si>
    <r>
      <rPr>
        <rFont val="Arial"/>
        <color rgb="FF000000"/>
      </rPr>
      <t xml:space="preserve">  Internal validity effect </t>
    </r>
    <r>
      <rPr>
        <rFont val="Arial"/>
        <color rgb="FF999999"/>
      </rPr>
      <t>[Suggest range 0% to -80%, e.g. -40%]</t>
    </r>
  </si>
  <si>
    <t>% change</t>
  </si>
  <si>
    <r>
      <rPr>
        <rFont val="Arial"/>
        <color rgb="FF000000"/>
      </rPr>
      <t xml:space="preserve">  External validity effect </t>
    </r>
    <r>
      <rPr>
        <rFont val="Arial"/>
        <color rgb="FF999999"/>
      </rPr>
      <t>[Suggest range +40% to -80%, e.g. -10%]</t>
    </r>
  </si>
  <si>
    <t>[Discounted effect size]</t>
  </si>
  <si>
    <t>[calculation]</t>
  </si>
  <si>
    <t>count/year</t>
  </si>
  <si>
    <t>Impact per person per year</t>
  </si>
  <si>
    <r>
      <rPr>
        <rFont val="Arial"/>
        <color theme="1"/>
      </rPr>
      <t xml:space="preserve">Number of years that impact spread over </t>
    </r>
    <r>
      <rPr>
        <rFont val="Arial"/>
        <color rgb="FF999999"/>
      </rPr>
      <t>[Suggest: 1-40; Min: 1]</t>
    </r>
  </si>
  <si>
    <r>
      <rPr>
        <rFont val="Arial"/>
        <color theme="1"/>
      </rPr>
      <t xml:space="preserve">Delay on impact starting from intervention date </t>
    </r>
    <r>
      <rPr>
        <rFont val="Arial"/>
        <color rgb="FF999999"/>
      </rPr>
      <t>[Suggest: 0]</t>
    </r>
  </si>
  <si>
    <t>Value of impact in year of intervention (discounted), per person</t>
  </si>
  <si>
    <t>[Effect 2]</t>
  </si>
  <si>
    <t>Costs/Disbenefits to beneficiaries</t>
  </si>
  <si>
    <t>← If no or only negligible put as "0" and justify reasoning. Suggest for most CEAs do one or other. (Note if costs/disbenefits delayed can use "timing of effect" calculations above)</t>
  </si>
  <si>
    <t>Health disbenefits per beneficiary per year</t>
  </si>
  <si>
    <t>[DALY]/person/year</t>
  </si>
  <si>
    <r>
      <rPr>
        <rFont val="Arial"/>
        <color theme="1"/>
      </rPr>
      <t xml:space="preserve">Cost per beneficiary per year </t>
    </r>
    <r>
      <rPr>
        <rFont val="Arial"/>
        <color rgb="FF999999"/>
      </rPr>
      <t>[Optional, delete if a DALY/$ CEA]</t>
    </r>
  </si>
  <si>
    <t>$/person/year</t>
  </si>
  <si>
    <t>Total impact per person per year,  in year of intervention (discounted)</t>
  </si>
  <si>
    <t>← suggest for most CEAs do one or the other</t>
  </si>
  <si>
    <t>Total net [health/consumption] impact per person per year</t>
  </si>
  <si>
    <t>Effects, reach of intervention</t>
  </si>
  <si>
    <r>
      <rPr>
        <rFont val="Arial"/>
        <color theme="1"/>
      </rPr>
      <t xml:space="preserve">Population growth rate </t>
    </r>
    <r>
      <rPr>
        <rFont val="Arial"/>
        <color rgb="FF999999"/>
      </rPr>
      <t>[if relevant, e.g. +5% if intervention drives national policy change that affects the whole country and the country has a 5% population growth]</t>
    </r>
  </si>
  <si>
    <r>
      <rPr>
        <rFont val="Arial"/>
        <color theme="1"/>
      </rPr>
      <t>DALY rate change over time</t>
    </r>
    <r>
      <rPr>
        <rFont val="Arial"/>
        <color rgb="FF999999"/>
      </rPr>
      <t xml:space="preserve"> [if relevant, e.g. -2.5% if infant mortality is decreasing by 2.5% per year]</t>
    </r>
  </si>
  <si>
    <t>Effective discount rate, for reach of costs over time</t>
  </si>
  <si>
    <t>Effective discount rate, for reach of impacts over time</t>
  </si>
  <si>
    <t>Number of people can reach a year</t>
  </si>
  <si>
    <t>Impact timing and calculations</t>
  </si>
  <si>
    <r>
      <rPr>
        <rFont val="Arial"/>
        <color theme="1"/>
      </rPr>
      <t xml:space="preserve">Impact period 1 begins in year __ </t>
    </r>
    <r>
      <rPr>
        <rFont val="Arial"/>
        <color rgb="FF999999"/>
      </rPr>
      <t>[suggest: 0, suggest range 0-2]</t>
    </r>
  </si>
  <si>
    <r>
      <rPr>
        <rFont val="Arial"/>
        <color theme="1"/>
      </rPr>
      <t xml:space="preserve">Impact period 1 ends (reaches end costs) in year __ </t>
    </r>
    <r>
      <rPr>
        <rFont val="Arial"/>
        <color rgb="FF999999"/>
      </rPr>
      <t>[suggest: 2-8]</t>
    </r>
  </si>
  <si>
    <r>
      <rPr>
        <rFont val="Arial"/>
        <color theme="1"/>
      </rPr>
      <t xml:space="preserve">Number of people reached in first year of period 1 </t>
    </r>
    <r>
      <rPr>
        <rFont val="Arial"/>
        <color rgb="FF999999"/>
      </rPr>
      <t>[suggest: 0]</t>
    </r>
  </si>
  <si>
    <t>People</t>
  </si>
  <si>
    <t>Number of people reached per year when at scale</t>
  </si>
  <si>
    <t>Increase per year</t>
  </si>
  <si>
    <t>Total people reached over period 1, NPV, for costs</t>
  </si>
  <si>
    <t>Total people reached over period 1, NPV, for impacts</t>
  </si>
  <si>
    <t>Period 2 – running at scale</t>
  </si>
  <si>
    <r>
      <rPr>
        <rFont val="Arial"/>
        <color theme="1"/>
      </rPr>
      <t xml:space="preserve">Impact period 2 begins on year ___ </t>
    </r>
    <r>
      <rPr>
        <rFont val="Arial"/>
        <color rgb="FF999999"/>
      </rPr>
      <t>[previous period end +1]</t>
    </r>
  </si>
  <si>
    <r>
      <rPr>
        <rFont val="Arial"/>
        <color theme="1"/>
      </rPr>
      <t xml:space="preserve">Impact period 2 ends on year ___ OR "ongoing" </t>
    </r>
    <r>
      <rPr>
        <rFont val="Arial"/>
        <color rgb="FF999999"/>
      </rPr>
      <t>[suggest: 15]</t>
    </r>
  </si>
  <si>
    <t>Annual number of people reached in period 2</t>
  </si>
  <si>
    <t>Total people reached over period 2, NPV, for costs</t>
  </si>
  <si>
    <t>Total people reached over period 2, NPV, for impacts</t>
  </si>
  <si>
    <t>Total reach</t>
  </si>
  <si>
    <t>Total people reached, NPV, for costs</t>
  </si>
  <si>
    <t>Total people reached, NPV, for impacts</t>
  </si>
  <si>
    <t>Results</t>
  </si>
  <si>
    <t>[DALY/$/impact] per person reached per year</t>
  </si>
  <si>
    <t>Charity costs-effectiveness when at scale (not discounting)</t>
  </si>
  <si>
    <t>People/year</t>
  </si>
  <si>
    <t>[DALY,$,impact] per year when at scale</t>
  </si>
  <si>
    <t>[DALY]/year</t>
  </si>
  <si>
    <t>Cost per year when at scale (charity costs only)</t>
  </si>
  <si>
    <t>Cost effectiveness per year when at scale ($/DALY)</t>
  </si>
  <si>
    <t>$/[DALY]</t>
  </si>
  <si>
    <t>Cost effectiveness per year when at scale (DALY/$1000)</t>
  </si>
  <si>
    <t>[DALY]/$1000</t>
  </si>
  <si>
    <t>Charity costs-effectiveness</t>
  </si>
  <si>
    <t>Number of people reached total, NPV</t>
  </si>
  <si>
    <t>[DALY/$/impact] total, NPV</t>
  </si>
  <si>
    <t>[DALY]</t>
  </si>
  <si>
    <t>Cost total, NPV</t>
  </si>
  <si>
    <t>Cost effectiveness ($/DALY)</t>
  </si>
  <si>
    <t>Cost effectiveness (DALY/$1000)</t>
  </si>
  <si>
    <t>output</t>
  </si>
  <si>
    <t>Charity costs in case where charity is successful</t>
  </si>
  <si>
    <t>Cost total of a single successful charity, NPV</t>
  </si>
  <si>
    <t>Charity costs ignoring counterfactuals</t>
  </si>
  <si>
    <t>Charity costs and government costs</t>
  </si>
  <si>
    <t>Cost-effectiveness, total costs (DALYs/$1000)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</si>
</sst>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"/>
    <numFmt numFmtId="165" formatCode="0.0"/>
    <numFmt numFmtId="166" formatCode="[$$]#,##0"/>
    <numFmt numFmtId="167" formatCode="#,##0.0"/>
    <numFmt numFmtId="168" formatCode="[$£-809]#,##0.00"/>
    <numFmt numFmtId="169" formatCode="0.0%"/>
    <numFmt numFmtId="170" formatCode="0.00000000000000"/>
    <numFmt numFmtId="171" formatCode="[$$]#,##0.00"/>
  </numFmts>
  <fonts count="38">
    <font>
      <sz val="10.0"/>
      <color rgb="FF000000"/>
      <name val="Arial"/>
      <scheme val="minor"/>
    </font>
    <font>
      <b/>
      <i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theme="1"/>
      <name val="Arial"/>
      <scheme val="minor"/>
    </font>
    <font>
      <b/>
      <color theme="1"/>
      <name val="Arial"/>
      <scheme val="minor"/>
    </font>
    <font>
      <u/>
      <sz val="10.0"/>
      <color rgb="FF0000FF"/>
    </font>
    <font>
      <color theme="1"/>
      <name val="Arial"/>
    </font>
    <font>
      <color rgb="FF0000FF"/>
      <name val="Arial"/>
    </font>
    <font>
      <b/>
      <color theme="1"/>
      <name val="Arial"/>
    </font>
    <font>
      <b/>
      <color rgb="FF4A86E8"/>
      <name val="Arial"/>
    </font>
    <font>
      <sz val="10.0"/>
      <color rgb="FFFF0000"/>
      <name val="Arial"/>
      <scheme val="minor"/>
    </font>
    <font>
      <u/>
      <color rgb="FF0000FF"/>
    </font>
    <font>
      <u/>
      <color theme="1"/>
      <name val="Arial"/>
      <scheme val="minor"/>
    </font>
    <font>
      <b/>
      <color rgb="FFFF0000"/>
      <name val="Arial"/>
    </font>
    <font>
      <color rgb="FFFF0000"/>
      <name val="Arial"/>
      <scheme val="minor"/>
    </font>
    <font>
      <b/>
      <sz val="11.0"/>
      <color rgb="FFFFFFFF"/>
      <name val="Arial"/>
    </font>
    <font>
      <b/>
      <sz val="9.0"/>
      <color rgb="FFFFFFFF"/>
      <name val="Arial"/>
    </font>
    <font>
      <b/>
      <i/>
      <sz val="15.0"/>
      <color theme="1"/>
      <name val="Arial"/>
    </font>
    <font>
      <sz val="8.0"/>
      <color rgb="FFFF0000"/>
      <name val="Arial"/>
    </font>
    <font>
      <b/>
      <i/>
      <sz val="15.0"/>
      <color rgb="FFFF0000"/>
      <name val="Arial"/>
    </font>
    <font>
      <i/>
      <sz val="15.0"/>
      <color theme="1"/>
      <name val="Arial"/>
    </font>
    <font>
      <color rgb="FF999999"/>
      <name val="Arial"/>
    </font>
    <font>
      <strike/>
      <color rgb="FFFF0000"/>
      <name val="Arial"/>
      <scheme val="minor"/>
    </font>
    <font>
      <strike/>
      <color theme="1"/>
      <name val="Arial"/>
      <scheme val="minor"/>
    </font>
    <font>
      <sz val="9.0"/>
      <color rgb="FF000000"/>
      <name val="&quot;Google Sans Mono&quot;"/>
    </font>
    <font>
      <b/>
      <color rgb="FFFF0000"/>
      <name val="Arial"/>
      <scheme val="minor"/>
    </font>
    <font>
      <color rgb="FF666666"/>
      <name val="Arial"/>
    </font>
    <font>
      <color rgb="FF666666"/>
      <name val="Arial"/>
      <scheme val="minor"/>
    </font>
    <font>
      <color rgb="FF000000"/>
      <name val="Arial"/>
      <scheme val="minor"/>
    </font>
    <font>
      <color rgb="FF38761D"/>
      <name val="Arial"/>
      <scheme val="minor"/>
    </font>
    <font>
      <color rgb="FF000000"/>
      <name val="Arial"/>
    </font>
    <font>
      <color rgb="FFFF0000"/>
      <name val="Arial"/>
    </font>
    <font>
      <b/>
      <color rgb="FFFFFFFF"/>
      <name val="Arial"/>
    </font>
    <font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59BB8A"/>
        <bgColor rgb="FF59BB8A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F4CCCC"/>
      </left>
      <right style="thin">
        <color rgb="FFEAD1DC"/>
      </right>
    </border>
    <border>
      <left style="thin">
        <color rgb="FFEAD1DC"/>
      </left>
      <right style="thin">
        <color rgb="FFEAD1DC"/>
      </right>
    </border>
    <border>
      <left style="thin">
        <color rgb="FFEFEFEF"/>
      </left>
      <right style="thin">
        <color rgb="FFEFEFEF"/>
      </right>
    </border>
    <border>
      <right style="thin">
        <color rgb="FFEFEFEF"/>
      </right>
    </border>
    <border>
      <top style="thin">
        <color rgb="FFFFFFFF"/>
      </top>
    </border>
    <border>
      <left style="thin">
        <color rgb="FFF4CCCC"/>
      </left>
      <right style="thin">
        <color rgb="FFF4CCCC"/>
      </right>
    </border>
    <border>
      <left style="thin">
        <color rgb="FFF4CCCC"/>
      </left>
    </border>
    <border>
      <right style="thin">
        <color rgb="FFF4CCCC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3" fontId="4" numFmtId="164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3" fontId="5" numFmtId="165" xfId="0" applyAlignment="1" applyFont="1" applyNumberFormat="1">
      <alignment horizontal="center"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1"/>
    </xf>
    <xf borderId="3" fillId="4" fontId="6" numFmtId="0" xfId="0" applyAlignment="1" applyBorder="1" applyFill="1" applyFont="1">
      <alignment readingOrder="0" shrinkToFit="0" wrapText="0"/>
    </xf>
    <xf borderId="4" fillId="4" fontId="3" numFmtId="3" xfId="0" applyAlignment="1" applyBorder="1" applyFont="1" applyNumberFormat="1">
      <alignment horizontal="center" shrinkToFit="0" vertical="bottom" wrapText="0"/>
    </xf>
    <xf borderId="4" fillId="4" fontId="3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readingOrder="0" shrinkToFit="0" vertical="bottom" wrapText="0"/>
    </xf>
    <xf borderId="4" fillId="4" fontId="3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 shrinkToFit="0" wrapText="0"/>
    </xf>
    <xf borderId="0" fillId="3" fontId="3" numFmtId="166" xfId="0" applyAlignment="1" applyFont="1" applyNumberFormat="1">
      <alignment horizontal="center" readingOrder="0" shrinkToFit="0" vertical="bottom" wrapText="0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5" fontId="3" numFmtId="4" xfId="0" applyAlignment="1" applyFill="1" applyFont="1" applyNumberFormat="1">
      <alignment horizontal="center" readingOrder="0" vertical="bottom"/>
    </xf>
    <xf borderId="0" fillId="6" fontId="5" numFmtId="3" xfId="0" applyAlignment="1" applyFill="1" applyFont="1" applyNumberFormat="1">
      <alignment horizontal="center" vertical="bottom"/>
    </xf>
    <xf borderId="0" fillId="5" fontId="3" numFmtId="3" xfId="0" applyAlignment="1" applyFont="1" applyNumberFormat="1">
      <alignment horizontal="center" vertical="bottom"/>
    </xf>
    <xf borderId="0" fillId="3" fontId="3" numFmtId="3" xfId="0" applyAlignment="1" applyFont="1" applyNumberFormat="1">
      <alignment horizontal="center" vertical="bottom"/>
    </xf>
    <xf borderId="3" fillId="4" fontId="8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3" fontId="3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5" fontId="3" numFmtId="3" xfId="0" applyAlignment="1" applyFont="1" applyNumberFormat="1">
      <alignment horizontal="center" readingOrder="0" vertical="bottom"/>
    </xf>
    <xf borderId="0" fillId="0" fontId="3" numFmtId="166" xfId="0" applyAlignment="1" applyFont="1" applyNumberFormat="1">
      <alignment vertical="bottom"/>
    </xf>
    <xf borderId="0" fillId="0" fontId="5" numFmtId="0" xfId="0" applyAlignment="1" applyFont="1">
      <alignment readingOrder="0" shrinkToFit="0" wrapText="1"/>
    </xf>
    <xf borderId="0" fillId="6" fontId="3" numFmtId="3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1"/>
    </xf>
    <xf borderId="0" fillId="6" fontId="3" numFmtId="4" xfId="0" applyAlignment="1" applyFont="1" applyNumberFormat="1">
      <alignment horizontal="center" vertical="bottom"/>
    </xf>
    <xf borderId="3" fillId="4" fontId="6" numFmtId="3" xfId="0" applyAlignment="1" applyBorder="1" applyFont="1" applyNumberFormat="1">
      <alignment horizontal="center" readingOrder="0" shrinkToFit="0" wrapText="0"/>
    </xf>
    <xf borderId="3" fillId="4" fontId="6" numFmtId="0" xfId="0" applyAlignment="1" applyBorder="1" applyFont="1">
      <alignment shrinkToFit="0" wrapText="0"/>
    </xf>
    <xf borderId="3" fillId="4" fontId="6" numFmtId="0" xfId="0" applyAlignment="1" applyBorder="1" applyFont="1">
      <alignment shrinkToFit="0" wrapText="1"/>
    </xf>
    <xf borderId="0" fillId="3" fontId="3" numFmtId="4" xfId="0" applyAlignment="1" applyFont="1" applyNumberFormat="1">
      <alignment horizontal="center" vertical="bottom"/>
    </xf>
    <xf borderId="0" fillId="0" fontId="5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 vertical="bottom"/>
    </xf>
    <xf borderId="0" fillId="3" fontId="3" numFmtId="167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7" fontId="12" numFmtId="0" xfId="0" applyAlignment="1" applyFill="1" applyFont="1">
      <alignment vertical="bottom"/>
    </xf>
    <xf borderId="0" fillId="3" fontId="13" numFmtId="165" xfId="0" applyAlignment="1" applyFont="1" applyNumberFormat="1">
      <alignment horizontal="center" readingOrder="0" vertical="bottom"/>
    </xf>
    <xf borderId="0" fillId="7" fontId="8" numFmtId="0" xfId="0" applyAlignment="1" applyFont="1">
      <alignment readingOrder="0"/>
    </xf>
    <xf borderId="0" fillId="7" fontId="5" numFmtId="0" xfId="0" applyAlignment="1" applyFont="1">
      <alignment readingOrder="0" shrinkToFit="0" wrapText="0"/>
    </xf>
    <xf borderId="0" fillId="7" fontId="10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5" fontId="5" numFmtId="1" xfId="0" applyAlignment="1" applyFont="1" applyNumberFormat="1">
      <alignment horizontal="center" readingOrder="0" shrinkToFit="0" wrapText="0"/>
    </xf>
    <xf borderId="0" fillId="0" fontId="6" numFmtId="166" xfId="0" applyAlignment="1" applyFont="1" applyNumberFormat="1">
      <alignment horizontal="center" readingOrder="0" shrinkToFit="0" wrapText="0"/>
    </xf>
    <xf borderId="0" fillId="5" fontId="14" numFmtId="0" xfId="0" applyAlignment="1" applyFont="1">
      <alignment horizontal="center" readingOrder="0" shrinkToFit="0" wrapText="0"/>
    </xf>
    <xf borderId="0" fillId="5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168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3" fontId="0" numFmtId="3" xfId="0" applyAlignment="1" applyFont="1" applyNumberFormat="1">
      <alignment horizontal="center" readingOrder="0" shrinkToFit="0" wrapText="0"/>
    </xf>
    <xf borderId="0" fillId="3" fontId="0" numFmtId="4" xfId="0" applyAlignment="1" applyFont="1" applyNumberFormat="1">
      <alignment horizontal="center" readingOrder="0" shrinkToFit="0" wrapText="0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shrinkToFit="0" vertical="bottom" wrapText="0"/>
    </xf>
    <xf borderId="0" fillId="8" fontId="17" numFmtId="169" xfId="0" applyAlignment="1" applyFill="1" applyFont="1" applyNumberFormat="1">
      <alignment horizontal="right" shrinkToFit="0" vertical="bottom" wrapText="0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8" numFmtId="0" xfId="0" applyAlignment="1" applyFont="1">
      <alignment readingOrder="0" shrinkToFit="0" wrapText="1"/>
    </xf>
    <xf borderId="5" fillId="9" fontId="19" numFmtId="0" xfId="0" applyAlignment="1" applyBorder="1" applyFill="1" applyFont="1">
      <alignment shrinkToFit="0" vertical="bottom" wrapText="0"/>
    </xf>
    <xf borderId="5" fillId="9" fontId="19" numFmtId="0" xfId="0" applyAlignment="1" applyBorder="1" applyFont="1">
      <alignment horizontal="right" shrinkToFit="0" vertical="bottom" wrapText="1"/>
    </xf>
    <xf borderId="5" fillId="9" fontId="19" numFmtId="0" xfId="0" applyAlignment="1" applyBorder="1" applyFont="1">
      <alignment horizontal="right" readingOrder="0" shrinkToFit="0" vertical="bottom" wrapText="1"/>
    </xf>
    <xf borderId="5" fillId="9" fontId="19" numFmtId="0" xfId="0" applyAlignment="1" applyBorder="1" applyFont="1">
      <alignment horizontal="left" readingOrder="0" shrinkToFit="0" vertical="bottom" wrapText="1"/>
    </xf>
    <xf borderId="5" fillId="9" fontId="20" numFmtId="0" xfId="0" applyAlignment="1" applyBorder="1" applyFont="1">
      <alignment horizontal="left" readingOrder="0" shrinkToFit="0" vertical="bottom" wrapText="1"/>
    </xf>
    <xf borderId="5" fillId="9" fontId="19" numFmtId="2" xfId="0" applyAlignment="1" applyBorder="1" applyFont="1" applyNumberFormat="1">
      <alignment horizontal="left" readingOrder="0" shrinkToFit="0" vertical="bottom" wrapText="1"/>
    </xf>
    <xf borderId="5" fillId="9" fontId="19" numFmtId="0" xfId="0" applyAlignment="1" applyBorder="1" applyFont="1">
      <alignment shrinkToFit="0" vertical="bottom" wrapText="1"/>
    </xf>
    <xf borderId="5" fillId="9" fontId="19" numFmtId="0" xfId="0" applyAlignment="1" applyBorder="1" applyFont="1">
      <alignment readingOrder="0" shrinkToFit="0" vertical="bottom" wrapText="1"/>
    </xf>
    <xf borderId="6" fillId="2" fontId="21" numFmtId="0" xfId="0" applyAlignment="1" applyBorder="1" applyFont="1">
      <alignment readingOrder="0" shrinkToFit="0" vertical="center" wrapText="0"/>
    </xf>
    <xf borderId="6" fillId="2" fontId="21" numFmtId="0" xfId="0" applyAlignment="1" applyBorder="1" applyFont="1">
      <alignment readingOrder="0" vertical="center"/>
    </xf>
    <xf borderId="7" fillId="2" fontId="22" numFmtId="2" xfId="0" applyAlignment="1" applyBorder="1" applyFont="1" applyNumberFormat="1">
      <alignment horizontal="center" readingOrder="0" shrinkToFit="0" vertical="center" wrapText="0"/>
    </xf>
    <xf borderId="0" fillId="2" fontId="22" numFmtId="2" xfId="0" applyAlignment="1" applyFont="1" applyNumberFormat="1">
      <alignment horizontal="center" readingOrder="0" shrinkToFit="0" vertical="center" wrapText="1"/>
    </xf>
    <xf borderId="7" fillId="2" fontId="22" numFmtId="2" xfId="0" applyAlignment="1" applyBorder="1" applyFont="1" applyNumberFormat="1">
      <alignment horizontal="center" readingOrder="0" shrinkToFit="0" vertical="center" wrapText="1"/>
    </xf>
    <xf borderId="8" fillId="2" fontId="21" numFmtId="0" xfId="0" applyAlignment="1" applyBorder="1" applyFont="1">
      <alignment readingOrder="0" vertical="center"/>
    </xf>
    <xf borderId="6" fillId="2" fontId="23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0"/>
    </xf>
    <xf borderId="0" fillId="0" fontId="10" numFmtId="2" xfId="0" applyAlignment="1" applyFont="1" applyNumberFormat="1">
      <alignment readingOrder="0" vertical="bottom"/>
    </xf>
    <xf borderId="9" fillId="10" fontId="10" numFmtId="2" xfId="0" applyAlignment="1" applyBorder="1" applyFill="1" applyFont="1" applyNumberFormat="1">
      <alignment readingOrder="0" vertical="bottom"/>
    </xf>
    <xf borderId="10" fillId="10" fontId="10" numFmtId="2" xfId="0" applyAlignment="1" applyBorder="1" applyFont="1" applyNumberFormat="1">
      <alignment readingOrder="0" vertical="bottom"/>
    </xf>
    <xf borderId="6" fillId="2" fontId="24" numFmtId="2" xfId="0" applyAlignment="1" applyBorder="1" applyFont="1" applyNumberFormat="1">
      <alignment readingOrder="0" vertical="center"/>
    </xf>
    <xf borderId="3" fillId="4" fontId="8" numFmtId="0" xfId="0" applyAlignment="1" applyBorder="1" applyFont="1">
      <alignment readingOrder="0" shrinkToFit="0" wrapText="0"/>
    </xf>
    <xf borderId="3" fillId="4" fontId="8" numFmtId="3" xfId="0" applyAlignment="1" applyBorder="1" applyFont="1" applyNumberFormat="1">
      <alignment readingOrder="0"/>
    </xf>
    <xf borderId="3" fillId="4" fontId="2" numFmtId="2" xfId="0" applyAlignment="1" applyBorder="1" applyFont="1" applyNumberFormat="1">
      <alignment readingOrder="0"/>
    </xf>
    <xf borderId="3" fillId="4" fontId="8" numFmtId="0" xfId="0" applyBorder="1" applyFont="1"/>
    <xf borderId="0" fillId="0" fontId="2" numFmtId="4" xfId="0" applyAlignment="1" applyFont="1" applyNumberFormat="1">
      <alignment readingOrder="0" shrinkToFit="0" wrapText="0"/>
    </xf>
    <xf borderId="0" fillId="5" fontId="2" numFmtId="9" xfId="0" applyAlignment="1" applyFont="1" applyNumberFormat="1">
      <alignment readingOrder="0"/>
    </xf>
    <xf borderId="0" fillId="11" fontId="2" numFmtId="166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5" numFmtId="0" xfId="0" applyAlignment="1" applyFont="1">
      <alignment vertical="bottom"/>
    </xf>
    <xf borderId="0" fillId="12" fontId="25" numFmtId="165" xfId="0" applyAlignment="1" applyFill="1" applyFont="1" applyNumberFormat="1">
      <alignment horizontal="left" vertical="bottom"/>
    </xf>
    <xf borderId="0" fillId="0" fontId="10" numFmtId="166" xfId="0" applyAlignment="1" applyFont="1" applyNumberFormat="1">
      <alignment vertical="bottom"/>
    </xf>
    <xf borderId="0" fillId="0" fontId="10" numFmtId="9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2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170" xfId="0" applyAlignment="1" applyFont="1" applyNumberFormat="1">
      <alignment vertical="bottom"/>
    </xf>
    <xf borderId="0" fillId="0" fontId="2" numFmtId="2" xfId="0" applyFont="1" applyNumberFormat="1"/>
    <xf borderId="11" fillId="0" fontId="2" numFmtId="0" xfId="0" applyBorder="1" applyFont="1"/>
    <xf borderId="0" fillId="5" fontId="2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5" numFmtId="4" xfId="0" applyAlignment="1" applyFont="1" applyNumberFormat="1">
      <alignment vertical="bottom"/>
    </xf>
    <xf borderId="0" fillId="12" fontId="25" numFmtId="169" xfId="0" applyAlignment="1" applyFont="1" applyNumberFormat="1">
      <alignment horizontal="right" vertical="bottom"/>
    </xf>
    <xf borderId="0" fillId="0" fontId="10" numFmtId="3" xfId="0" applyAlignment="1" applyFont="1" applyNumberFormat="1">
      <alignment vertical="bottom"/>
    </xf>
    <xf borderId="0" fillId="4" fontId="8" numFmtId="0" xfId="0" applyAlignment="1" applyFont="1">
      <alignment readingOrder="0" shrinkToFit="0" wrapText="0"/>
    </xf>
    <xf borderId="0" fillId="4" fontId="8" numFmtId="3" xfId="0" applyAlignment="1" applyFont="1" applyNumberFormat="1">
      <alignment readingOrder="0"/>
    </xf>
    <xf borderId="0" fillId="4" fontId="8" numFmtId="0" xfId="0" applyAlignment="1" applyFont="1">
      <alignment readingOrder="0"/>
    </xf>
    <xf borderId="0" fillId="4" fontId="2" numFmtId="2" xfId="0" applyAlignment="1" applyFont="1" applyNumberFormat="1">
      <alignment readingOrder="0"/>
    </xf>
    <xf borderId="0" fillId="4" fontId="8" numFmtId="0" xfId="0" applyFont="1"/>
    <xf borderId="0" fillId="5" fontId="2" numFmtId="169" xfId="0" applyAlignment="1" applyFont="1" applyNumberFormat="1">
      <alignment readingOrder="0"/>
    </xf>
    <xf borderId="0" fillId="11" fontId="28" numFmtId="2" xfId="0" applyFont="1" applyNumberFormat="1"/>
    <xf borderId="12" fillId="13" fontId="8" numFmtId="0" xfId="0" applyAlignment="1" applyBorder="1" applyFill="1" applyFont="1">
      <alignment readingOrder="0" shrinkToFit="0" wrapText="0"/>
    </xf>
    <xf borderId="12" fillId="13" fontId="29" numFmtId="3" xfId="0" applyAlignment="1" applyBorder="1" applyFont="1" applyNumberFormat="1">
      <alignment horizontal="left" readingOrder="0"/>
    </xf>
    <xf borderId="12" fillId="13" fontId="8" numFmtId="3" xfId="0" applyAlignment="1" applyBorder="1" applyFont="1" applyNumberFormat="1">
      <alignment readingOrder="0"/>
    </xf>
    <xf borderId="12" fillId="13" fontId="8" numFmtId="0" xfId="0" applyAlignment="1" applyBorder="1" applyFont="1">
      <alignment readingOrder="0"/>
    </xf>
    <xf borderId="12" fillId="13" fontId="2" numFmtId="2" xfId="0" applyAlignment="1" applyBorder="1" applyFont="1" applyNumberFormat="1">
      <alignment readingOrder="0"/>
    </xf>
    <xf borderId="12" fillId="13" fontId="8" numFmtId="0" xfId="0" applyBorder="1" applyFont="1"/>
    <xf borderId="3" fillId="4" fontId="12" numFmtId="0" xfId="0" applyAlignment="1" applyBorder="1" applyFont="1">
      <alignment readingOrder="0" shrinkToFit="0" vertical="bottom" wrapText="0"/>
    </xf>
    <xf borderId="4" fillId="4" fontId="10" numFmtId="3" xfId="0" applyAlignment="1" applyBorder="1" applyFont="1" applyNumberFormat="1">
      <alignment vertical="bottom"/>
    </xf>
    <xf borderId="4" fillId="4" fontId="10" numFmtId="0" xfId="0" applyAlignment="1" applyBorder="1" applyFont="1">
      <alignment vertical="bottom"/>
    </xf>
    <xf borderId="4" fillId="4" fontId="10" numFmtId="2" xfId="0" applyAlignment="1" applyBorder="1" applyFont="1" applyNumberFormat="1">
      <alignment vertical="bottom"/>
    </xf>
    <xf borderId="4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vertical="bottom"/>
    </xf>
    <xf borderId="0" fillId="3" fontId="10" numFmtId="3" xfId="0" applyAlignment="1" applyFont="1" applyNumberFormat="1">
      <alignment horizontal="right" readingOrder="0" vertical="bottom"/>
    </xf>
    <xf borderId="0" fillId="11" fontId="10" numFmtId="166" xfId="0" applyAlignment="1" applyFont="1" applyNumberFormat="1">
      <alignment readingOrder="0" vertical="bottom"/>
    </xf>
    <xf borderId="0" fillId="7" fontId="10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7" fontId="10" numFmtId="0" xfId="0" applyAlignment="1" applyFont="1">
      <alignment vertical="bottom"/>
    </xf>
    <xf borderId="11" fillId="0" fontId="10" numFmtId="0" xfId="0" applyAlignment="1" applyBorder="1" applyFont="1">
      <alignment readingOrder="0" vertical="bottom"/>
    </xf>
    <xf borderId="11" fillId="0" fontId="10" numFmtId="0" xfId="0" applyAlignment="1" applyBorder="1" applyFont="1">
      <alignment vertical="bottom"/>
    </xf>
    <xf borderId="0" fillId="3" fontId="10" numFmtId="166" xfId="0" applyAlignment="1" applyFont="1" applyNumberFormat="1">
      <alignment horizontal="right" readingOrder="0" vertical="bottom"/>
    </xf>
    <xf borderId="0" fillId="0" fontId="10" numFmtId="1" xfId="0" applyAlignment="1" applyFont="1" applyNumberFormat="1">
      <alignment vertical="bottom"/>
    </xf>
    <xf borderId="0" fillId="0" fontId="10" numFmtId="0" xfId="0" applyAlignment="1" applyFont="1">
      <alignment readingOrder="0" shrinkToFit="0" vertical="bottom" wrapText="0"/>
    </xf>
    <xf borderId="0" fillId="6" fontId="10" numFmtId="166" xfId="0" applyAlignment="1" applyFont="1" applyNumberFormat="1">
      <alignment horizontal="right" vertical="bottom"/>
    </xf>
    <xf borderId="0" fillId="0" fontId="29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30" numFmtId="0" xfId="0" applyAlignment="1" applyFont="1">
      <alignment readingOrder="0" shrinkToFit="0" vertical="bottom" wrapText="0"/>
    </xf>
    <xf borderId="0" fillId="6" fontId="30" numFmtId="166" xfId="0" applyAlignment="1" applyFont="1" applyNumberFormat="1">
      <alignment horizontal="right" vertical="bottom"/>
    </xf>
    <xf borderId="0" fillId="0" fontId="30" numFmtId="166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30" numFmtId="2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 shrinkToFit="0" wrapText="0"/>
    </xf>
    <xf borderId="0" fillId="6" fontId="30" numFmtId="4" xfId="0" applyAlignment="1" applyFont="1" applyNumberFormat="1">
      <alignment horizontal="right" vertical="bottom"/>
    </xf>
    <xf borderId="0" fillId="0" fontId="31" numFmtId="0" xfId="0" applyAlignment="1" applyFont="1">
      <alignment readingOrder="0"/>
    </xf>
    <xf borderId="0" fillId="6" fontId="30" numFmtId="10" xfId="0" applyAlignment="1" applyFont="1" applyNumberFormat="1">
      <alignment horizontal="right" vertical="bottom"/>
    </xf>
    <xf borderId="0" fillId="0" fontId="32" numFmtId="0" xfId="0" applyAlignment="1" applyFont="1">
      <alignment readingOrder="0" shrinkToFit="0" wrapText="0"/>
    </xf>
    <xf borderId="3" fillId="4" fontId="29" numFmtId="0" xfId="0" applyAlignment="1" applyBorder="1" applyFont="1">
      <alignment readingOrder="0"/>
    </xf>
    <xf borderId="0" fillId="6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11" fillId="0" fontId="2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8" numFmtId="3" xfId="0" applyAlignment="1" applyFont="1" applyNumberFormat="1">
      <alignment readingOrder="0"/>
    </xf>
    <xf borderId="0" fillId="3" fontId="32" numFmtId="166" xfId="0" applyAlignment="1" applyFont="1" applyNumberFormat="1">
      <alignment readingOrder="0"/>
    </xf>
    <xf borderId="0" fillId="3" fontId="18" numFmtId="166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33" numFmtId="0" xfId="0" applyAlignment="1" applyFont="1">
      <alignment readingOrder="0"/>
    </xf>
    <xf borderId="0" fillId="6" fontId="2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6" fontId="2" numFmtId="3" xfId="0" applyFont="1" applyNumberFormat="1"/>
    <xf borderId="0" fillId="6" fontId="12" numFmtId="166" xfId="0" applyAlignment="1" applyFont="1" applyNumberFormat="1">
      <alignment horizontal="right" vertical="bottom"/>
    </xf>
    <xf borderId="0" fillId="0" fontId="8" numFmtId="166" xfId="0" applyFont="1" applyNumberFormat="1"/>
    <xf borderId="0" fillId="0" fontId="2" numFmtId="166" xfId="0" applyFont="1" applyNumberFormat="1"/>
    <xf borderId="0" fillId="6" fontId="2" numFmtId="166" xfId="0" applyFont="1" applyNumberFormat="1"/>
    <xf borderId="0" fillId="6" fontId="8" numFmtId="166" xfId="0" applyFont="1" applyNumberFormat="1"/>
    <xf borderId="0" fillId="0" fontId="8" numFmtId="166" xfId="0" applyAlignment="1" applyFont="1" applyNumberFormat="1">
      <alignment readingOrder="0"/>
    </xf>
    <xf borderId="0" fillId="3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left" readingOrder="0" vertical="bottom"/>
    </xf>
    <xf borderId="0" fillId="0" fontId="10" numFmtId="2" xfId="0" applyAlignment="1" applyFont="1" applyNumberFormat="1">
      <alignment horizontal="left" readingOrder="0" vertical="bottom"/>
    </xf>
    <xf borderId="0" fillId="13" fontId="8" numFmtId="0" xfId="0" applyAlignment="1" applyFont="1">
      <alignment readingOrder="0" shrinkToFit="0" wrapText="0"/>
    </xf>
    <xf borderId="13" fillId="13" fontId="8" numFmtId="0" xfId="0" applyAlignment="1" applyBorder="1" applyFont="1">
      <alignment readingOrder="0"/>
    </xf>
    <xf borderId="0" fillId="3" fontId="2" numFmtId="3" xfId="0" applyAlignment="1" applyFont="1" applyNumberFormat="1">
      <alignment readingOrder="0"/>
    </xf>
    <xf borderId="0" fillId="3" fontId="2" numFmtId="169" xfId="0" applyAlignment="1" applyFont="1" applyNumberFormat="1">
      <alignment readingOrder="0"/>
    </xf>
    <xf borderId="0" fillId="6" fontId="2" numFmtId="169" xfId="0" applyAlignment="1" applyFont="1" applyNumberFormat="1">
      <alignment readingOrder="0"/>
    </xf>
    <xf borderId="0" fillId="6" fontId="18" numFmtId="3" xfId="0" applyAlignment="1" applyFont="1" applyNumberFormat="1">
      <alignment readingOrder="0"/>
    </xf>
    <xf borderId="0" fillId="6" fontId="10" numFmtId="3" xfId="0" applyAlignment="1" applyFont="1" applyNumberFormat="1">
      <alignment horizontal="right" vertical="bottom"/>
    </xf>
    <xf borderId="0" fillId="6" fontId="34" numFmtId="3" xfId="0" applyAlignment="1" applyFont="1" applyNumberFormat="1">
      <alignment horizontal="right" readingOrder="0" vertical="bottom"/>
    </xf>
    <xf borderId="3" fillId="13" fontId="29" numFmtId="0" xfId="0" applyAlignment="1" applyBorder="1" applyFont="1">
      <alignment readingOrder="0"/>
    </xf>
    <xf borderId="0" fillId="3" fontId="2" numFmtId="171" xfId="0" applyAlignment="1" applyFont="1" applyNumberFormat="1">
      <alignment readingOrder="0"/>
    </xf>
    <xf borderId="0" fillId="3" fontId="2" numFmtId="10" xfId="0" applyAlignment="1" applyFont="1" applyNumberFormat="1">
      <alignment readingOrder="0"/>
    </xf>
    <xf borderId="0" fillId="6" fontId="10" numFmtId="169" xfId="0" applyAlignment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0" fillId="3" fontId="34" numFmtId="3" xfId="0" applyAlignment="1" applyFont="1" applyNumberFormat="1">
      <alignment horizontal="right" readingOrder="0" vertical="bottom"/>
    </xf>
    <xf borderId="0" fillId="3" fontId="35" numFmtId="3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6" fontId="32" numFmtId="3" xfId="0" applyAlignment="1" applyFont="1" applyNumberFormat="1">
      <alignment readingOrder="0"/>
    </xf>
    <xf borderId="0" fillId="3" fontId="10" numFmtId="3" xfId="0" applyAlignment="1" applyFont="1" applyNumberFormat="1">
      <alignment horizontal="right" vertical="bottom"/>
    </xf>
    <xf borderId="0" fillId="11" fontId="10" numFmtId="166" xfId="0" applyAlignment="1" applyFont="1" applyNumberFormat="1">
      <alignment vertical="bottom"/>
    </xf>
    <xf borderId="0" fillId="6" fontId="12" numFmtId="3" xfId="0" applyAlignment="1" applyFont="1" applyNumberFormat="1">
      <alignment horizontal="right" vertical="bottom"/>
    </xf>
    <xf borderId="0" fillId="9" fontId="19" numFmtId="0" xfId="0" applyAlignment="1" applyFont="1">
      <alignment readingOrder="0" shrinkToFit="0" vertical="bottom" wrapText="0"/>
    </xf>
    <xf borderId="0" fillId="9" fontId="36" numFmtId="0" xfId="0" applyAlignment="1" applyFont="1">
      <alignment shrinkToFit="0" vertical="bottom" wrapText="1"/>
    </xf>
    <xf borderId="0" fillId="9" fontId="37" numFmtId="2" xfId="0" applyAlignment="1" applyFont="1" applyNumberFormat="1">
      <alignment shrinkToFit="0" vertical="bottom" wrapText="1"/>
    </xf>
    <xf borderId="0" fillId="0" fontId="2" numFmtId="171" xfId="0" applyFont="1" applyNumberFormat="1"/>
    <xf borderId="0" fillId="6" fontId="2" numFmtId="166" xfId="0" applyFont="1" applyNumberFormat="1"/>
    <xf borderId="0" fillId="6" fontId="8" numFmtId="166" xfId="0" applyFont="1" applyNumberFormat="1"/>
    <xf borderId="0" fillId="0" fontId="2" numFmtId="171" xfId="0" applyAlignment="1" applyFont="1" applyNumberFormat="1">
      <alignment readingOrder="0"/>
    </xf>
    <xf borderId="0" fillId="0" fontId="29" numFmtId="0" xfId="0" applyAlignment="1" applyFont="1">
      <alignment horizontal="center" readingOrder="0"/>
    </xf>
    <xf borderId="0" fillId="0" fontId="2" numFmtId="4" xfId="0" applyFont="1" applyNumberFormat="1"/>
    <xf borderId="0" fillId="0" fontId="2" numFmtId="0" xfId="0" applyFont="1"/>
    <xf borderId="0" fillId="0" fontId="10" numFmtId="4" xfId="0" applyAlignment="1" applyFont="1" applyNumberFormat="1">
      <alignment shrinkToFit="0" vertical="bottom" wrapText="0"/>
    </xf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borderId="0" fillId="0" fontId="10" numFmtId="4" xfId="0" applyAlignment="1" applyFont="1" applyNumberFormat="1">
      <alignment readingOrder="0" shrinkToFit="0" vertical="bottom" wrapText="0"/>
    </xf>
    <xf borderId="14" fillId="6" fontId="2" numFmtId="4" xfId="0" applyBorder="1" applyFont="1" applyNumberFormat="1"/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nber.org/system/files/working_papers/w28581/w28581.pdf" TargetMode="External"/><Relationship Id="rId10" Type="http://schemas.openxmlformats.org/officeDocument/2006/relationships/hyperlink" Target="https://www.twilio.com/en-us/sms/pricing/za" TargetMode="External"/><Relationship Id="rId13" Type="http://schemas.openxmlformats.org/officeDocument/2006/relationships/hyperlink" Target="https://ourworldindata.org/grapher/adult-literacy-female" TargetMode="External"/><Relationship Id="rId12" Type="http://schemas.openxmlformats.org/officeDocument/2006/relationships/hyperlink" Target="https://ideas.repec.org/p/osf/metaar/5nsh3.html" TargetMode="External"/><Relationship Id="rId1" Type="http://schemas.openxmlformats.org/officeDocument/2006/relationships/hyperlink" Target="https://docs.google.com/spreadsheets/d/12ypIFzQcw9BCaNXnszpP0mf57DXF1ay7PETuB9QJDxA/edit?gid=194295002" TargetMode="External"/><Relationship Id="rId2" Type="http://schemas.openxmlformats.org/officeDocument/2006/relationships/hyperlink" Target="https://docs.google.com/spreadsheets/d/12ypIFzQcw9BCaNXnszpP0mf57DXF1ay7PETuB9QJDxA/edit?gid=194295002" TargetMode="External"/><Relationship Id="rId3" Type="http://schemas.openxmlformats.org/officeDocument/2006/relationships/hyperlink" Target="https://docs.google.com/spreadsheets/d/12ypIFzQcw9BCaNXnszpP0mf57DXF1ay7PETuB9QJDxA/edit?gid=194295002" TargetMode="External"/><Relationship Id="rId4" Type="http://schemas.openxmlformats.org/officeDocument/2006/relationships/hyperlink" Target="https://docs.google.com/spreadsheets/d/12ypIFzQcw9BCaNXnszpP0mf57DXF1ay7PETuB9QJDxA/edit?gid=194295002" TargetMode="External"/><Relationship Id="rId9" Type="http://schemas.openxmlformats.org/officeDocument/2006/relationships/hyperlink" Target="https://docs.google.com/spreadsheets/d/12ypIFzQcw9BCaNXnszpP0mf57DXF1ay7PETuB9QJDxA/edit?gid=194295002" TargetMode="External"/><Relationship Id="rId15" Type="http://schemas.openxmlformats.org/officeDocument/2006/relationships/hyperlink" Target="https://ourworldindata.org/grapher/expected-years-of-schooling" TargetMode="External"/><Relationship Id="rId14" Type="http://schemas.openxmlformats.org/officeDocument/2006/relationships/hyperlink" Target="https://www.cgdev.org/sites/default/files/changing-perceptions-educational-returns-low-and-middle-income-countries-meta-analysis.pdf" TargetMode="External"/><Relationship Id="rId17" Type="http://schemas.openxmlformats.org/officeDocument/2006/relationships/hyperlink" Target="https://ourworldindata.org/grapher/share-primary-school-age-out-of-school" TargetMode="External"/><Relationship Id="rId16" Type="http://schemas.openxmlformats.org/officeDocument/2006/relationships/hyperlink" Target="https://ourworldindata.org/grapher/population-by-age-group?tab=table" TargetMode="External"/><Relationship Id="rId5" Type="http://schemas.openxmlformats.org/officeDocument/2006/relationships/hyperlink" Target="https://docs.google.com/spreadsheets/d/12ypIFzQcw9BCaNXnszpP0mf57DXF1ay7PETuB9QJDxA/edit?gid=194295002" TargetMode="External"/><Relationship Id="rId19" Type="http://schemas.openxmlformats.org/officeDocument/2006/relationships/hyperlink" Target="https://docs.google.com/spreadsheets/d/1qp0I0djz4P3lFmQXKjkBtRi2ECpNEkLMX_0bfcx80gM/edit?gid=621551329" TargetMode="External"/><Relationship Id="rId6" Type="http://schemas.openxmlformats.org/officeDocument/2006/relationships/hyperlink" Target="https://docs.google.com/spreadsheets/d/12ypIFzQcw9BCaNXnszpP0mf57DXF1ay7PETuB9QJDxA/edit?gid=194295002" TargetMode="External"/><Relationship Id="rId18" Type="http://schemas.openxmlformats.org/officeDocument/2006/relationships/hyperlink" Target="https://docs.google.com/spreadsheets/d/1qp0I0djz4P3lFmQXKjkBtRi2ECpNEkLMX_0bfcx80gM/edit?gid=621551329" TargetMode="External"/><Relationship Id="rId7" Type="http://schemas.openxmlformats.org/officeDocument/2006/relationships/hyperlink" Target="https://docs.google.com/spreadsheets/d/12ypIFzQcw9BCaNXnszpP0mf57DXF1ay7PETuB9QJDxA/edit?gid=194295002" TargetMode="External"/><Relationship Id="rId8" Type="http://schemas.openxmlformats.org/officeDocument/2006/relationships/hyperlink" Target="https://docs.google.com/spreadsheets/d/12ypIFzQcw9BCaNXnszpP0mf57DXF1ay7PETuB9QJDxA/edit?gid=19429500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3" width="5.75"/>
    <col customWidth="1" min="4" max="4" width="9.25"/>
    <col customWidth="1" min="6" max="6" width="50.5"/>
  </cols>
  <sheetData>
    <row r="1">
      <c r="A1" s="1" t="s">
        <v>0</v>
      </c>
      <c r="B1" s="2"/>
      <c r="C1" s="2"/>
      <c r="D1" s="1"/>
      <c r="E1" s="1"/>
      <c r="F1" s="3"/>
      <c r="G1" s="4"/>
    </row>
    <row r="2">
      <c r="A2" s="5" t="s">
        <v>1</v>
      </c>
      <c r="B2" s="6">
        <f>1/2.5</f>
        <v>0.4</v>
      </c>
      <c r="D2" s="7" t="s">
        <v>2</v>
      </c>
      <c r="E2" s="5"/>
      <c r="F2" s="8"/>
      <c r="G2" s="4"/>
    </row>
    <row r="3">
      <c r="A3" s="5" t="s">
        <v>3</v>
      </c>
      <c r="B3" s="9">
        <v>4.0</v>
      </c>
      <c r="D3" s="10" t="s">
        <v>4</v>
      </c>
      <c r="E3" s="5"/>
      <c r="F3" s="8"/>
      <c r="G3" s="4"/>
    </row>
    <row r="4">
      <c r="B4" s="11"/>
      <c r="C4" s="11"/>
      <c r="F4" s="12"/>
      <c r="G4" s="4"/>
    </row>
    <row r="5">
      <c r="A5" s="1" t="s">
        <v>5</v>
      </c>
      <c r="B5" s="13"/>
      <c r="C5" s="13"/>
      <c r="D5" s="14"/>
      <c r="E5" s="14"/>
      <c r="F5" s="15"/>
      <c r="G5" s="4"/>
    </row>
    <row r="6">
      <c r="A6" s="16" t="s">
        <v>6</v>
      </c>
      <c r="B6" s="17"/>
      <c r="C6" s="17"/>
      <c r="D6" s="18"/>
      <c r="E6" s="19"/>
      <c r="F6" s="20"/>
      <c r="G6" s="4"/>
    </row>
    <row r="7">
      <c r="A7" s="21" t="s">
        <v>7</v>
      </c>
      <c r="B7" s="22">
        <v>130000.0</v>
      </c>
      <c r="D7" s="21" t="s">
        <v>8</v>
      </c>
      <c r="F7" s="8" t="s">
        <v>9</v>
      </c>
      <c r="G7" s="4"/>
    </row>
    <row r="8">
      <c r="A8" s="21" t="s">
        <v>10</v>
      </c>
      <c r="B8" s="22">
        <v>280000.0</v>
      </c>
      <c r="D8" s="21" t="s">
        <v>8</v>
      </c>
      <c r="E8" s="23"/>
      <c r="F8" s="24"/>
      <c r="G8" s="4"/>
    </row>
    <row r="9">
      <c r="A9" s="25"/>
      <c r="B9" s="26"/>
      <c r="C9" s="26"/>
      <c r="D9" s="25"/>
      <c r="E9" s="5"/>
      <c r="F9" s="8"/>
      <c r="G9" s="4"/>
    </row>
    <row r="10">
      <c r="A10" s="25" t="s">
        <v>11</v>
      </c>
      <c r="B10" s="22">
        <v>1600.0</v>
      </c>
      <c r="D10" s="25" t="s">
        <v>8</v>
      </c>
      <c r="E10" s="5"/>
      <c r="F10" s="27" t="s">
        <v>12</v>
      </c>
      <c r="G10" s="4"/>
    </row>
    <row r="11">
      <c r="A11" s="25" t="s">
        <v>13</v>
      </c>
      <c r="B11" s="28">
        <v>1.15</v>
      </c>
      <c r="D11" s="21" t="s">
        <v>14</v>
      </c>
      <c r="E11" s="5"/>
      <c r="F11" s="27" t="s">
        <v>12</v>
      </c>
      <c r="G11" s="4"/>
    </row>
    <row r="12">
      <c r="A12" s="25" t="s">
        <v>15</v>
      </c>
      <c r="B12" s="29">
        <f>B10*B11</f>
        <v>1840</v>
      </c>
      <c r="D12" s="25" t="s">
        <v>8</v>
      </c>
      <c r="E12" s="5"/>
      <c r="F12" s="27" t="s">
        <v>12</v>
      </c>
      <c r="G12" s="4"/>
    </row>
    <row r="13">
      <c r="A13" s="5"/>
      <c r="B13" s="26"/>
      <c r="C13" s="26"/>
      <c r="D13" s="5"/>
      <c r="E13" s="5"/>
      <c r="F13" s="8"/>
      <c r="G13" s="4"/>
    </row>
    <row r="14">
      <c r="A14" s="16" t="s">
        <v>16</v>
      </c>
      <c r="B14" s="17"/>
      <c r="C14" s="17"/>
      <c r="D14" s="18"/>
      <c r="E14" s="19"/>
      <c r="F14" s="20"/>
      <c r="G14" s="4"/>
    </row>
    <row r="15">
      <c r="A15" s="21" t="s">
        <v>17</v>
      </c>
      <c r="B15" s="30">
        <v>40.0</v>
      </c>
      <c r="D15" s="21" t="s">
        <v>18</v>
      </c>
      <c r="E15" s="21"/>
      <c r="F15" s="27" t="s">
        <v>12</v>
      </c>
      <c r="G15" s="4"/>
    </row>
    <row r="16">
      <c r="A16" s="21" t="s">
        <v>19</v>
      </c>
      <c r="B16" s="31">
        <v>30.0</v>
      </c>
      <c r="D16" s="21" t="s">
        <v>20</v>
      </c>
      <c r="E16" s="21"/>
      <c r="F16" s="27" t="s">
        <v>12</v>
      </c>
      <c r="G16" s="4"/>
    </row>
    <row r="17">
      <c r="A17" s="21" t="s">
        <v>21</v>
      </c>
      <c r="B17" s="31">
        <v>684.0</v>
      </c>
      <c r="D17" s="21" t="s">
        <v>8</v>
      </c>
      <c r="E17" s="21"/>
      <c r="F17" s="27" t="s">
        <v>12</v>
      </c>
      <c r="G17" s="4"/>
    </row>
    <row r="18">
      <c r="A18" s="21" t="s">
        <v>22</v>
      </c>
      <c r="B18" s="31">
        <v>1138.0</v>
      </c>
      <c r="D18" s="21" t="s">
        <v>8</v>
      </c>
      <c r="E18" s="21"/>
      <c r="F18" s="27" t="s">
        <v>12</v>
      </c>
      <c r="G18" s="4"/>
    </row>
    <row r="19">
      <c r="A19" s="21" t="s">
        <v>13</v>
      </c>
      <c r="B19" s="28">
        <v>1.15</v>
      </c>
      <c r="D19" s="21" t="s">
        <v>14</v>
      </c>
      <c r="E19" s="21"/>
      <c r="F19" s="27" t="s">
        <v>12</v>
      </c>
      <c r="G19" s="4"/>
    </row>
    <row r="20">
      <c r="A20" s="21" t="s">
        <v>23</v>
      </c>
      <c r="B20" s="29">
        <f>(B15*B16+B17+B18)*B19</f>
        <v>3475.3</v>
      </c>
      <c r="D20" s="21" t="s">
        <v>24</v>
      </c>
      <c r="E20" s="21"/>
      <c r="F20" s="27" t="s">
        <v>12</v>
      </c>
      <c r="G20" s="4"/>
    </row>
    <row r="21">
      <c r="A21" s="5"/>
      <c r="B21" s="26"/>
      <c r="C21" s="26"/>
      <c r="D21" s="5"/>
      <c r="E21" s="5"/>
      <c r="F21" s="8"/>
      <c r="G21" s="4"/>
    </row>
    <row r="22">
      <c r="A22" s="32" t="s">
        <v>25</v>
      </c>
      <c r="B22" s="17"/>
      <c r="C22" s="17"/>
      <c r="D22" s="18"/>
      <c r="E22" s="19"/>
      <c r="F22" s="20"/>
      <c r="G22" s="4"/>
    </row>
    <row r="23">
      <c r="A23" s="33" t="s">
        <v>26</v>
      </c>
      <c r="B23" s="34">
        <v>0.0757</v>
      </c>
      <c r="D23" s="21" t="s">
        <v>8</v>
      </c>
      <c r="E23" s="23"/>
      <c r="F23" s="35" t="s">
        <v>27</v>
      </c>
      <c r="G23" s="4"/>
    </row>
    <row r="24">
      <c r="A24" s="36" t="s">
        <v>28</v>
      </c>
      <c r="B24" s="37">
        <v>6.0</v>
      </c>
      <c r="D24" s="38" t="s">
        <v>29</v>
      </c>
      <c r="E24" s="23"/>
      <c r="F24" s="39"/>
      <c r="G24" s="4"/>
    </row>
    <row r="25">
      <c r="A25" s="36" t="s">
        <v>30</v>
      </c>
      <c r="B25" s="37">
        <v>10.0</v>
      </c>
      <c r="D25" s="38" t="s">
        <v>29</v>
      </c>
      <c r="E25" s="23"/>
      <c r="F25" s="39"/>
      <c r="G25" s="4"/>
    </row>
    <row r="26">
      <c r="A26" s="36" t="s">
        <v>31</v>
      </c>
      <c r="B26" s="40">
        <f>B24*B25</f>
        <v>60</v>
      </c>
      <c r="D26" s="41"/>
      <c r="E26" s="23"/>
      <c r="F26" s="42"/>
      <c r="G26" s="4"/>
    </row>
    <row r="27">
      <c r="A27" s="36" t="s">
        <v>32</v>
      </c>
      <c r="B27" s="43">
        <f>B26*B23</f>
        <v>4.542</v>
      </c>
      <c r="D27" s="41"/>
      <c r="E27" s="23"/>
      <c r="F27" s="42"/>
      <c r="G27" s="4"/>
    </row>
    <row r="28">
      <c r="A28" s="5"/>
      <c r="B28" s="26"/>
      <c r="C28" s="26"/>
      <c r="D28" s="5"/>
      <c r="E28" s="5"/>
      <c r="F28" s="8"/>
      <c r="G28" s="4"/>
    </row>
    <row r="29">
      <c r="A29" s="1" t="s">
        <v>33</v>
      </c>
      <c r="B29" s="13"/>
      <c r="C29" s="13"/>
      <c r="D29" s="14"/>
      <c r="E29" s="14"/>
      <c r="F29" s="15"/>
      <c r="G29" s="4"/>
    </row>
    <row r="30">
      <c r="A30" s="16" t="s">
        <v>34</v>
      </c>
      <c r="B30" s="44"/>
      <c r="C30" s="44"/>
      <c r="D30" s="16"/>
      <c r="E30" s="45"/>
      <c r="F30" s="46"/>
      <c r="G30" s="4"/>
    </row>
    <row r="31">
      <c r="A31" s="21" t="s">
        <v>35</v>
      </c>
      <c r="B31" s="47">
        <v>0.088</v>
      </c>
      <c r="D31" s="48" t="s">
        <v>36</v>
      </c>
      <c r="E31" s="21"/>
      <c r="F31" s="35" t="s">
        <v>37</v>
      </c>
      <c r="G31" s="4"/>
    </row>
    <row r="32">
      <c r="A32" s="21" t="s">
        <v>38</v>
      </c>
      <c r="B32" s="47">
        <v>0.69</v>
      </c>
      <c r="D32" s="21" t="s">
        <v>14</v>
      </c>
      <c r="E32" s="21"/>
      <c r="F32" s="35" t="s">
        <v>39</v>
      </c>
      <c r="G32" s="4"/>
    </row>
    <row r="33">
      <c r="A33" s="49" t="s">
        <v>40</v>
      </c>
      <c r="B33" s="50">
        <v>100.0</v>
      </c>
      <c r="D33" s="51" t="s">
        <v>4</v>
      </c>
      <c r="E33" s="21"/>
      <c r="F33" s="52" t="s">
        <v>41</v>
      </c>
      <c r="G33" s="4"/>
    </row>
    <row r="34">
      <c r="A34" s="49" t="s">
        <v>42</v>
      </c>
      <c r="B34" s="50">
        <v>89.4</v>
      </c>
      <c r="D34" s="51" t="s">
        <v>4</v>
      </c>
      <c r="E34" s="21"/>
      <c r="F34" s="53" t="s">
        <v>43</v>
      </c>
      <c r="G34" s="4"/>
    </row>
    <row r="35">
      <c r="A35" s="49" t="s">
        <v>44</v>
      </c>
      <c r="B35" s="43">
        <f>B31*B32*(B34/B33) +N("B33/B32 is the ratio of South African to Chilean literacy to account for differences in environment between the original study and this context") </f>
        <v>0.05428368</v>
      </c>
      <c r="D35" s="51"/>
      <c r="E35" s="21"/>
      <c r="F35" s="53" t="s">
        <v>45</v>
      </c>
      <c r="G35" s="4"/>
    </row>
    <row r="36">
      <c r="A36" s="54" t="s">
        <v>46</v>
      </c>
      <c r="B36" s="55">
        <v>10.0</v>
      </c>
      <c r="C36" s="55">
        <v>40.0</v>
      </c>
      <c r="D36" s="56" t="s">
        <v>4</v>
      </c>
      <c r="E36" s="57"/>
      <c r="F36" s="58" t="s">
        <v>47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A37" s="21" t="s">
        <v>48</v>
      </c>
      <c r="B37" s="43">
        <f>B36*B35</f>
        <v>0.5428368</v>
      </c>
      <c r="C37" s="43">
        <f>C36*B35</f>
        <v>2.1713472</v>
      </c>
      <c r="D37" s="21" t="s">
        <v>4</v>
      </c>
      <c r="E37" s="21"/>
      <c r="F37" s="39"/>
      <c r="G37" s="59"/>
    </row>
    <row r="38">
      <c r="A38" s="21" t="s">
        <v>49</v>
      </c>
      <c r="B38" s="43">
        <f t="shared" ref="B38:C38" si="1">log(1+B37/100,2)</f>
        <v>0.007810300129</v>
      </c>
      <c r="C38" s="43">
        <f t="shared" si="1"/>
        <v>0.03099066547</v>
      </c>
      <c r="D38" s="60"/>
      <c r="E38" s="21"/>
      <c r="F38" s="39"/>
      <c r="G38" s="4"/>
    </row>
    <row r="39">
      <c r="A39" s="21" t="s">
        <v>50</v>
      </c>
      <c r="B39" s="61">
        <v>2.0</v>
      </c>
      <c r="D39" s="60"/>
      <c r="E39" s="21"/>
      <c r="F39" s="39" t="s">
        <v>51</v>
      </c>
      <c r="G39" s="4"/>
    </row>
    <row r="40">
      <c r="A40" s="21" t="s">
        <v>52</v>
      </c>
      <c r="B40" s="43">
        <f>B38*B39</f>
        <v>0.01562060026</v>
      </c>
      <c r="C40" s="43">
        <f>C38*B39</f>
        <v>0.06198133094</v>
      </c>
      <c r="D40" s="60"/>
      <c r="E40" s="21"/>
      <c r="F40" s="39"/>
      <c r="G40" s="4"/>
    </row>
    <row r="41">
      <c r="A41" s="60"/>
      <c r="B41" s="62"/>
      <c r="C41" s="62"/>
      <c r="D41" s="60"/>
      <c r="E41" s="21"/>
      <c r="F41" s="39"/>
      <c r="G41" s="4"/>
    </row>
    <row r="42">
      <c r="A42" s="16" t="s">
        <v>53</v>
      </c>
      <c r="B42" s="44"/>
      <c r="C42" s="44"/>
      <c r="D42" s="16"/>
      <c r="E42" s="45"/>
      <c r="F42" s="46"/>
      <c r="G42" s="4"/>
    </row>
    <row r="43">
      <c r="A43" s="21" t="s">
        <v>54</v>
      </c>
      <c r="B43" s="63">
        <v>45.0</v>
      </c>
      <c r="D43" s="21"/>
      <c r="E43" s="21"/>
      <c r="F43" s="42" t="s">
        <v>55</v>
      </c>
      <c r="G43" s="4"/>
    </row>
    <row r="44">
      <c r="A44" s="21" t="s">
        <v>56</v>
      </c>
      <c r="B44" s="64">
        <f>14.3-5.5</f>
        <v>8.8</v>
      </c>
      <c r="D44" s="21"/>
      <c r="E44" s="21"/>
      <c r="F44" s="35" t="s">
        <v>57</v>
      </c>
      <c r="G44" s="4"/>
    </row>
    <row r="45">
      <c r="A45" s="21" t="s">
        <v>58</v>
      </c>
      <c r="B45" s="40">
        <f>B43-B44</f>
        <v>36.2</v>
      </c>
      <c r="D45" s="21"/>
      <c r="E45" s="65"/>
      <c r="F45" s="24"/>
      <c r="G45" s="4"/>
    </row>
    <row r="46">
      <c r="A46" s="21"/>
      <c r="B46" s="66"/>
      <c r="C46" s="66"/>
      <c r="D46" s="21"/>
      <c r="E46" s="65"/>
      <c r="F46" s="24"/>
      <c r="G46" s="4"/>
    </row>
    <row r="47">
      <c r="A47" s="16" t="s">
        <v>59</v>
      </c>
      <c r="B47" s="44"/>
      <c r="C47" s="44"/>
      <c r="D47" s="16"/>
      <c r="E47" s="45"/>
      <c r="F47" s="46"/>
      <c r="G47" s="4"/>
    </row>
    <row r="48">
      <c r="A48" s="21" t="s">
        <v>60</v>
      </c>
      <c r="B48" s="43">
        <f>(B40/(B3/100)*(1-(1/(1+ (B3/100))^B45)) +N("Present value of an annuity formula"))</f>
        <v>0.2961022136</v>
      </c>
      <c r="C48" s="43">
        <f>(C40/(B3/100)*(1-(1/(1+ (B3/100))^B45)) +N("Present value of an annuity formula"))</f>
        <v>1.17491063</v>
      </c>
      <c r="D48" s="67">
        <f>PV(B3/100,B45,-C40)</f>
        <v>1.17491063</v>
      </c>
      <c r="E48" s="65"/>
      <c r="F48" s="24"/>
      <c r="G48" s="4"/>
    </row>
    <row r="49">
      <c r="A49" s="51" t="s">
        <v>61</v>
      </c>
      <c r="B49" s="43">
        <f>B48*B2</f>
        <v>0.1184408855</v>
      </c>
      <c r="C49" s="43">
        <f>C48*B2</f>
        <v>0.4699642521</v>
      </c>
      <c r="F49" s="12"/>
      <c r="G49" s="4"/>
    </row>
    <row r="50">
      <c r="A50" s="51" t="s">
        <v>62</v>
      </c>
      <c r="B50" s="64">
        <f>30/B2</f>
        <v>75</v>
      </c>
      <c r="D50" s="51" t="s">
        <v>63</v>
      </c>
      <c r="F50" s="68" t="s">
        <v>64</v>
      </c>
      <c r="G50" s="4"/>
    </row>
    <row r="51">
      <c r="B51" s="11"/>
      <c r="C51" s="11"/>
      <c r="F51" s="12"/>
      <c r="G51" s="4"/>
    </row>
    <row r="52">
      <c r="A52" s="51" t="s">
        <v>65</v>
      </c>
      <c r="B52" s="40">
        <f>(B7+B12)/(B50*B49-B27)</f>
        <v>30370.41768</v>
      </c>
      <c r="C52" s="40">
        <f>(B7+B12)/(B50*C49-B27)</f>
        <v>4293.718635</v>
      </c>
      <c r="F52" s="12"/>
      <c r="G52" s="4"/>
    </row>
    <row r="53">
      <c r="A53" s="51" t="s">
        <v>66</v>
      </c>
      <c r="B53" s="40">
        <f>(B8+B12)/(B50*B49-B27)</f>
        <v>64924.13924</v>
      </c>
      <c r="C53" s="40">
        <f>(B8+B12)/(B50*C49-B27)</f>
        <v>9178.865747</v>
      </c>
      <c r="F53" s="12"/>
      <c r="G53" s="4"/>
    </row>
    <row r="54">
      <c r="A54" s="51" t="s">
        <v>67</v>
      </c>
      <c r="B54" s="40">
        <f>B20/(B50*B49-B27)</f>
        <v>800.5636571</v>
      </c>
      <c r="C54" s="40">
        <f>B20/(B50*C49-B27)</f>
        <v>113.1823451</v>
      </c>
      <c r="F54" s="12"/>
      <c r="G54" s="4"/>
    </row>
    <row r="55">
      <c r="B55" s="11"/>
      <c r="C55" s="11"/>
      <c r="F55" s="12"/>
      <c r="G55" s="4"/>
    </row>
    <row r="56">
      <c r="A56" s="1" t="s">
        <v>68</v>
      </c>
      <c r="B56" s="13"/>
      <c r="C56" s="13"/>
      <c r="D56" s="14"/>
      <c r="E56" s="14"/>
      <c r="F56" s="15"/>
      <c r="G56" s="4"/>
    </row>
    <row r="57">
      <c r="A57" s="21" t="s">
        <v>69</v>
      </c>
      <c r="B57" s="69">
        <v>1.0601111E7</v>
      </c>
      <c r="D57" s="21"/>
      <c r="E57" s="21"/>
      <c r="F57" s="35" t="s">
        <v>70</v>
      </c>
      <c r="G57" s="4"/>
    </row>
    <row r="58">
      <c r="A58" s="21" t="s">
        <v>71</v>
      </c>
      <c r="B58" s="40">
        <f>3*B57/10</f>
        <v>3180333.3</v>
      </c>
      <c r="D58" s="21"/>
      <c r="E58" s="21"/>
      <c r="F58" s="39"/>
      <c r="G58" s="4"/>
    </row>
    <row r="59">
      <c r="A59" s="21" t="s">
        <v>72</v>
      </c>
      <c r="B59" s="70">
        <v>7.2</v>
      </c>
      <c r="D59" s="21" t="s">
        <v>4</v>
      </c>
      <c r="E59" s="21"/>
      <c r="F59" s="71" t="s">
        <v>73</v>
      </c>
      <c r="G59" s="4"/>
    </row>
    <row r="60">
      <c r="A60" s="21" t="s">
        <v>74</v>
      </c>
      <c r="B60" s="40">
        <f>B58*(100-B59)/100</f>
        <v>2951349.302</v>
      </c>
      <c r="D60" s="21"/>
      <c r="E60" s="21"/>
      <c r="F60" s="39"/>
      <c r="G60" s="4"/>
    </row>
    <row r="61">
      <c r="B61" s="11"/>
      <c r="C61" s="11"/>
      <c r="F61" s="12"/>
      <c r="G61" s="4"/>
    </row>
    <row r="62">
      <c r="A62" s="1" t="s">
        <v>75</v>
      </c>
      <c r="B62" s="13"/>
      <c r="C62" s="13"/>
      <c r="D62" s="14"/>
      <c r="E62" s="14"/>
      <c r="F62" s="15"/>
      <c r="G62" s="4"/>
    </row>
    <row r="63">
      <c r="A63" s="51" t="s">
        <v>76</v>
      </c>
      <c r="B63" s="43">
        <f>B52/B60*100</f>
        <v>1.029035013</v>
      </c>
      <c r="C63" s="43">
        <f t="shared" ref="C63:C65" si="2">C52/B$60*100</f>
        <v>0.1454832416</v>
      </c>
      <c r="F63" s="71" t="s">
        <v>77</v>
      </c>
      <c r="G63" s="4"/>
    </row>
    <row r="64">
      <c r="A64" s="51" t="s">
        <v>78</v>
      </c>
      <c r="B64" s="43">
        <f>B53/B60*100</f>
        <v>2.199812106</v>
      </c>
      <c r="C64" s="43">
        <f t="shared" si="2"/>
        <v>0.3110057403</v>
      </c>
      <c r="F64" s="72" t="s">
        <v>79</v>
      </c>
      <c r="G64" s="4"/>
    </row>
    <row r="65">
      <c r="A65" s="51" t="s">
        <v>80</v>
      </c>
      <c r="B65" s="43">
        <f>B54/B60*100</f>
        <v>0.02712534421</v>
      </c>
      <c r="C65" s="43">
        <f t="shared" si="2"/>
        <v>0.003834935599</v>
      </c>
      <c r="F65" s="12"/>
      <c r="G65" s="4"/>
    </row>
    <row r="66">
      <c r="B66" s="11"/>
      <c r="C66" s="11"/>
      <c r="F66" s="12"/>
      <c r="G66" s="4"/>
    </row>
    <row r="67">
      <c r="A67" s="73" t="s">
        <v>81</v>
      </c>
      <c r="B67" s="74">
        <f>B8/(B8+B27*B53)</f>
        <v>0.4870535594</v>
      </c>
      <c r="C67" s="75"/>
      <c r="D67" s="76"/>
      <c r="E67" s="76"/>
      <c r="F67" s="77" t="s">
        <v>82</v>
      </c>
      <c r="G67" s="4"/>
    </row>
    <row r="68">
      <c r="B68" s="11"/>
      <c r="C68" s="11"/>
      <c r="F68" s="12"/>
      <c r="G68" s="4"/>
    </row>
    <row r="69">
      <c r="B69" s="11"/>
      <c r="C69" s="11"/>
      <c r="F69" s="12"/>
      <c r="G69" s="4"/>
    </row>
    <row r="70">
      <c r="B70" s="11"/>
      <c r="C70" s="11"/>
      <c r="F70" s="12"/>
      <c r="G70" s="4"/>
    </row>
    <row r="71">
      <c r="B71" s="11"/>
      <c r="C71" s="11"/>
      <c r="F71" s="12"/>
      <c r="G71" s="4"/>
    </row>
    <row r="72">
      <c r="B72" s="11"/>
      <c r="C72" s="11"/>
      <c r="F72" s="12"/>
      <c r="G72" s="4"/>
    </row>
    <row r="73">
      <c r="B73" s="11"/>
      <c r="C73" s="11"/>
      <c r="F73" s="12"/>
      <c r="G73" s="4"/>
    </row>
    <row r="74">
      <c r="B74" s="11"/>
      <c r="C74" s="11"/>
      <c r="F74" s="12"/>
      <c r="G74" s="4"/>
    </row>
    <row r="75">
      <c r="B75" s="11"/>
      <c r="C75" s="11"/>
      <c r="F75" s="12"/>
      <c r="G75" s="4"/>
    </row>
    <row r="76">
      <c r="B76" s="11"/>
      <c r="C76" s="11"/>
      <c r="F76" s="12"/>
      <c r="G76" s="4"/>
    </row>
    <row r="77">
      <c r="B77" s="11"/>
      <c r="C77" s="11"/>
      <c r="F77" s="12"/>
      <c r="G77" s="4"/>
    </row>
    <row r="78">
      <c r="B78" s="11"/>
      <c r="C78" s="11"/>
      <c r="F78" s="12"/>
      <c r="G78" s="4"/>
    </row>
    <row r="79">
      <c r="B79" s="11"/>
      <c r="C79" s="11"/>
      <c r="F79" s="12"/>
      <c r="G79" s="4"/>
    </row>
    <row r="80">
      <c r="B80" s="11"/>
      <c r="C80" s="11"/>
      <c r="F80" s="12"/>
      <c r="G80" s="4"/>
    </row>
    <row r="81">
      <c r="B81" s="11"/>
      <c r="C81" s="11"/>
      <c r="F81" s="12"/>
      <c r="G81" s="4"/>
    </row>
    <row r="82">
      <c r="B82" s="11"/>
      <c r="C82" s="11"/>
      <c r="F82" s="12"/>
      <c r="G82" s="4"/>
    </row>
    <row r="83">
      <c r="B83" s="11"/>
      <c r="C83" s="11"/>
      <c r="F83" s="12"/>
      <c r="G83" s="4"/>
    </row>
    <row r="84">
      <c r="B84" s="11"/>
      <c r="C84" s="11"/>
      <c r="F84" s="12"/>
      <c r="G84" s="4"/>
    </row>
    <row r="85">
      <c r="B85" s="11"/>
      <c r="C85" s="11"/>
      <c r="F85" s="12"/>
      <c r="G85" s="4"/>
    </row>
    <row r="86">
      <c r="B86" s="11"/>
      <c r="C86" s="11"/>
      <c r="F86" s="12"/>
      <c r="G86" s="4"/>
    </row>
    <row r="87">
      <c r="B87" s="11"/>
      <c r="C87" s="11"/>
      <c r="F87" s="12"/>
      <c r="G87" s="4"/>
    </row>
    <row r="88">
      <c r="B88" s="11"/>
      <c r="C88" s="11"/>
      <c r="F88" s="12"/>
      <c r="G88" s="4"/>
    </row>
    <row r="89">
      <c r="B89" s="11"/>
      <c r="C89" s="11"/>
      <c r="F89" s="12"/>
      <c r="G89" s="4"/>
    </row>
    <row r="90">
      <c r="B90" s="11"/>
      <c r="C90" s="11"/>
      <c r="F90" s="12"/>
      <c r="G90" s="4"/>
    </row>
    <row r="91">
      <c r="B91" s="11"/>
      <c r="C91" s="11"/>
      <c r="F91" s="12"/>
      <c r="G91" s="4"/>
    </row>
    <row r="92">
      <c r="B92" s="11"/>
      <c r="C92" s="11"/>
      <c r="F92" s="12"/>
      <c r="G92" s="4"/>
    </row>
    <row r="93">
      <c r="B93" s="11"/>
      <c r="C93" s="11"/>
      <c r="F93" s="12"/>
      <c r="G93" s="4"/>
    </row>
    <row r="94">
      <c r="B94" s="11"/>
      <c r="C94" s="11"/>
      <c r="F94" s="12"/>
      <c r="G94" s="4"/>
    </row>
    <row r="95">
      <c r="B95" s="11"/>
      <c r="C95" s="11"/>
      <c r="F95" s="12"/>
      <c r="G95" s="4"/>
    </row>
    <row r="96">
      <c r="B96" s="11"/>
      <c r="C96" s="11"/>
      <c r="F96" s="12"/>
      <c r="G96" s="4"/>
    </row>
    <row r="97">
      <c r="B97" s="11"/>
      <c r="C97" s="11"/>
      <c r="F97" s="12"/>
      <c r="G97" s="4"/>
    </row>
    <row r="98">
      <c r="B98" s="11"/>
      <c r="C98" s="11"/>
      <c r="F98" s="12"/>
      <c r="G98" s="4"/>
    </row>
    <row r="99">
      <c r="B99" s="11"/>
      <c r="C99" s="11"/>
      <c r="F99" s="12"/>
      <c r="G99" s="4"/>
    </row>
    <row r="100">
      <c r="B100" s="11"/>
      <c r="C100" s="11"/>
      <c r="F100" s="12"/>
      <c r="G100" s="4"/>
    </row>
    <row r="101">
      <c r="B101" s="11"/>
      <c r="C101" s="11"/>
      <c r="F101" s="12"/>
      <c r="G101" s="4"/>
    </row>
    <row r="102">
      <c r="B102" s="11"/>
      <c r="C102" s="11"/>
      <c r="F102" s="12"/>
      <c r="G102" s="4"/>
    </row>
    <row r="103">
      <c r="B103" s="11"/>
      <c r="C103" s="11"/>
      <c r="F103" s="12"/>
      <c r="G103" s="4"/>
    </row>
    <row r="104">
      <c r="B104" s="11"/>
      <c r="C104" s="11"/>
      <c r="F104" s="12"/>
      <c r="G104" s="4"/>
    </row>
    <row r="105">
      <c r="B105" s="11"/>
      <c r="C105" s="11"/>
      <c r="F105" s="12"/>
      <c r="G105" s="4"/>
    </row>
    <row r="106">
      <c r="B106" s="11"/>
      <c r="C106" s="11"/>
      <c r="F106" s="12"/>
      <c r="G106" s="4"/>
    </row>
    <row r="107">
      <c r="B107" s="11"/>
      <c r="C107" s="11"/>
      <c r="F107" s="12"/>
      <c r="G107" s="4"/>
    </row>
    <row r="108">
      <c r="B108" s="11"/>
      <c r="C108" s="11"/>
      <c r="F108" s="12"/>
      <c r="G108" s="4"/>
    </row>
    <row r="109">
      <c r="B109" s="11"/>
      <c r="C109" s="11"/>
      <c r="F109" s="12"/>
      <c r="G109" s="4"/>
    </row>
    <row r="110">
      <c r="B110" s="11"/>
      <c r="C110" s="11"/>
      <c r="F110" s="12"/>
      <c r="G110" s="4"/>
    </row>
    <row r="111">
      <c r="B111" s="11"/>
      <c r="C111" s="11"/>
      <c r="F111" s="12"/>
      <c r="G111" s="4"/>
    </row>
    <row r="112">
      <c r="B112" s="11"/>
      <c r="C112" s="11"/>
      <c r="F112" s="12"/>
      <c r="G112" s="4"/>
    </row>
    <row r="113">
      <c r="B113" s="11"/>
      <c r="C113" s="11"/>
      <c r="F113" s="12"/>
      <c r="G113" s="4"/>
    </row>
    <row r="114">
      <c r="B114" s="11"/>
      <c r="C114" s="11"/>
      <c r="F114" s="12"/>
      <c r="G114" s="4"/>
    </row>
    <row r="115">
      <c r="B115" s="11"/>
      <c r="C115" s="11"/>
      <c r="F115" s="12"/>
      <c r="G115" s="4"/>
    </row>
    <row r="116">
      <c r="B116" s="11"/>
      <c r="C116" s="11"/>
      <c r="F116" s="12"/>
      <c r="G116" s="4"/>
    </row>
    <row r="117">
      <c r="B117" s="11"/>
      <c r="C117" s="11"/>
      <c r="F117" s="12"/>
      <c r="G117" s="4"/>
    </row>
    <row r="118">
      <c r="B118" s="11"/>
      <c r="C118" s="11"/>
      <c r="F118" s="12"/>
      <c r="G118" s="4"/>
    </row>
    <row r="119">
      <c r="B119" s="11"/>
      <c r="C119" s="11"/>
      <c r="F119" s="12"/>
      <c r="G119" s="4"/>
    </row>
    <row r="120">
      <c r="B120" s="11"/>
      <c r="C120" s="11"/>
      <c r="F120" s="12"/>
      <c r="G120" s="4"/>
    </row>
    <row r="121">
      <c r="B121" s="11"/>
      <c r="C121" s="11"/>
      <c r="F121" s="12"/>
      <c r="G121" s="4"/>
    </row>
    <row r="122">
      <c r="B122" s="11"/>
      <c r="C122" s="11"/>
      <c r="F122" s="12"/>
      <c r="G122" s="4"/>
    </row>
    <row r="123">
      <c r="B123" s="11"/>
      <c r="C123" s="11"/>
      <c r="F123" s="12"/>
      <c r="G123" s="4"/>
    </row>
    <row r="124">
      <c r="B124" s="11"/>
      <c r="C124" s="11"/>
      <c r="F124" s="12"/>
      <c r="G124" s="4"/>
    </row>
    <row r="125">
      <c r="B125" s="11"/>
      <c r="C125" s="11"/>
      <c r="F125" s="12"/>
      <c r="G125" s="4"/>
    </row>
    <row r="126">
      <c r="B126" s="11"/>
      <c r="C126" s="11"/>
      <c r="F126" s="12"/>
      <c r="G126" s="4"/>
    </row>
    <row r="127">
      <c r="B127" s="11"/>
      <c r="C127" s="11"/>
      <c r="F127" s="12"/>
      <c r="G127" s="4"/>
    </row>
    <row r="128">
      <c r="B128" s="11"/>
      <c r="C128" s="11"/>
      <c r="F128" s="12"/>
      <c r="G128" s="4"/>
    </row>
    <row r="129">
      <c r="B129" s="11"/>
      <c r="C129" s="11"/>
      <c r="F129" s="12"/>
      <c r="G129" s="4"/>
    </row>
    <row r="130">
      <c r="B130" s="11"/>
      <c r="C130" s="11"/>
      <c r="F130" s="12"/>
      <c r="G130" s="4"/>
    </row>
    <row r="131">
      <c r="B131" s="11"/>
      <c r="C131" s="11"/>
      <c r="F131" s="12"/>
      <c r="G131" s="4"/>
    </row>
    <row r="132">
      <c r="B132" s="11"/>
      <c r="C132" s="11"/>
      <c r="F132" s="12"/>
      <c r="G132" s="4"/>
    </row>
    <row r="133">
      <c r="B133" s="11"/>
      <c r="C133" s="11"/>
      <c r="F133" s="12"/>
      <c r="G133" s="4"/>
    </row>
    <row r="134">
      <c r="B134" s="11"/>
      <c r="C134" s="11"/>
      <c r="F134" s="12"/>
      <c r="G134" s="4"/>
    </row>
    <row r="135">
      <c r="B135" s="11"/>
      <c r="C135" s="11"/>
      <c r="F135" s="12"/>
      <c r="G135" s="4"/>
    </row>
    <row r="136">
      <c r="B136" s="11"/>
      <c r="C136" s="11"/>
      <c r="F136" s="12"/>
      <c r="G136" s="4"/>
    </row>
    <row r="137">
      <c r="B137" s="11"/>
      <c r="C137" s="11"/>
      <c r="F137" s="12"/>
      <c r="G137" s="4"/>
    </row>
    <row r="138">
      <c r="B138" s="11"/>
      <c r="C138" s="11"/>
      <c r="F138" s="12"/>
      <c r="G138" s="4"/>
    </row>
    <row r="139">
      <c r="B139" s="11"/>
      <c r="C139" s="11"/>
      <c r="F139" s="12"/>
      <c r="G139" s="4"/>
    </row>
    <row r="140">
      <c r="B140" s="11"/>
      <c r="C140" s="11"/>
      <c r="F140" s="12"/>
      <c r="G140" s="4"/>
    </row>
    <row r="141">
      <c r="B141" s="11"/>
      <c r="C141" s="11"/>
      <c r="F141" s="12"/>
      <c r="G141" s="4"/>
    </row>
    <row r="142">
      <c r="B142" s="11"/>
      <c r="C142" s="11"/>
      <c r="F142" s="12"/>
      <c r="G142" s="4"/>
    </row>
    <row r="143">
      <c r="B143" s="11"/>
      <c r="C143" s="11"/>
      <c r="F143" s="12"/>
      <c r="G143" s="4"/>
    </row>
    <row r="144">
      <c r="B144" s="11"/>
      <c r="C144" s="11"/>
      <c r="F144" s="12"/>
      <c r="G144" s="4"/>
    </row>
    <row r="145">
      <c r="B145" s="11"/>
      <c r="C145" s="11"/>
      <c r="F145" s="12"/>
      <c r="G145" s="4"/>
    </row>
    <row r="146">
      <c r="B146" s="11"/>
      <c r="C146" s="11"/>
      <c r="F146" s="12"/>
      <c r="G146" s="4"/>
    </row>
    <row r="147">
      <c r="B147" s="11"/>
      <c r="C147" s="11"/>
      <c r="F147" s="12"/>
      <c r="G147" s="4"/>
    </row>
    <row r="148">
      <c r="B148" s="11"/>
      <c r="C148" s="11"/>
      <c r="F148" s="12"/>
      <c r="G148" s="4"/>
    </row>
    <row r="149">
      <c r="B149" s="11"/>
      <c r="C149" s="11"/>
      <c r="F149" s="12"/>
      <c r="G149" s="4"/>
    </row>
    <row r="150">
      <c r="B150" s="11"/>
      <c r="C150" s="11"/>
      <c r="F150" s="12"/>
      <c r="G150" s="4"/>
    </row>
    <row r="151">
      <c r="B151" s="11"/>
      <c r="C151" s="11"/>
      <c r="F151" s="12"/>
      <c r="G151" s="4"/>
    </row>
    <row r="152">
      <c r="B152" s="11"/>
      <c r="C152" s="11"/>
      <c r="F152" s="12"/>
      <c r="G152" s="4"/>
    </row>
    <row r="153">
      <c r="B153" s="11"/>
      <c r="C153" s="11"/>
      <c r="F153" s="12"/>
      <c r="G153" s="4"/>
    </row>
    <row r="154">
      <c r="B154" s="11"/>
      <c r="C154" s="11"/>
      <c r="F154" s="12"/>
      <c r="G154" s="4"/>
    </row>
    <row r="155">
      <c r="B155" s="11"/>
      <c r="C155" s="11"/>
      <c r="F155" s="12"/>
      <c r="G155" s="4"/>
    </row>
    <row r="156">
      <c r="B156" s="11"/>
      <c r="C156" s="11"/>
      <c r="F156" s="12"/>
      <c r="G156" s="4"/>
    </row>
    <row r="157">
      <c r="B157" s="11"/>
      <c r="C157" s="11"/>
      <c r="F157" s="12"/>
      <c r="G157" s="4"/>
    </row>
    <row r="158">
      <c r="B158" s="11"/>
      <c r="C158" s="11"/>
      <c r="F158" s="12"/>
      <c r="G158" s="4"/>
    </row>
    <row r="159">
      <c r="B159" s="11"/>
      <c r="C159" s="11"/>
      <c r="F159" s="12"/>
      <c r="G159" s="4"/>
    </row>
    <row r="160">
      <c r="B160" s="11"/>
      <c r="C160" s="11"/>
      <c r="F160" s="12"/>
      <c r="G160" s="4"/>
    </row>
    <row r="161">
      <c r="B161" s="11"/>
      <c r="C161" s="11"/>
      <c r="F161" s="12"/>
      <c r="G161" s="4"/>
    </row>
    <row r="162">
      <c r="B162" s="11"/>
      <c r="C162" s="11"/>
      <c r="F162" s="12"/>
      <c r="G162" s="4"/>
    </row>
    <row r="163">
      <c r="B163" s="11"/>
      <c r="C163" s="11"/>
      <c r="F163" s="12"/>
      <c r="G163" s="4"/>
    </row>
    <row r="164">
      <c r="B164" s="11"/>
      <c r="C164" s="11"/>
      <c r="F164" s="12"/>
      <c r="G164" s="4"/>
    </row>
    <row r="165">
      <c r="B165" s="11"/>
      <c r="C165" s="11"/>
      <c r="F165" s="12"/>
      <c r="G165" s="4"/>
    </row>
    <row r="166">
      <c r="B166" s="11"/>
      <c r="C166" s="11"/>
      <c r="F166" s="12"/>
      <c r="G166" s="4"/>
    </row>
    <row r="167">
      <c r="B167" s="11"/>
      <c r="C167" s="11"/>
      <c r="F167" s="12"/>
      <c r="G167" s="4"/>
    </row>
    <row r="168">
      <c r="B168" s="11"/>
      <c r="C168" s="11"/>
      <c r="F168" s="12"/>
      <c r="G168" s="4"/>
    </row>
    <row r="169">
      <c r="B169" s="11"/>
      <c r="C169" s="11"/>
      <c r="F169" s="12"/>
      <c r="G169" s="4"/>
    </row>
    <row r="170">
      <c r="B170" s="11"/>
      <c r="C170" s="11"/>
      <c r="F170" s="12"/>
      <c r="G170" s="4"/>
    </row>
    <row r="171">
      <c r="B171" s="11"/>
      <c r="C171" s="11"/>
      <c r="F171" s="12"/>
      <c r="G171" s="4"/>
    </row>
    <row r="172">
      <c r="B172" s="11"/>
      <c r="C172" s="11"/>
      <c r="F172" s="12"/>
      <c r="G172" s="4"/>
    </row>
    <row r="173">
      <c r="B173" s="11"/>
      <c r="C173" s="11"/>
      <c r="F173" s="12"/>
      <c r="G173" s="4"/>
    </row>
    <row r="174">
      <c r="B174" s="11"/>
      <c r="C174" s="11"/>
      <c r="F174" s="12"/>
      <c r="G174" s="4"/>
    </row>
    <row r="175">
      <c r="B175" s="11"/>
      <c r="C175" s="11"/>
      <c r="F175" s="12"/>
      <c r="G175" s="4"/>
    </row>
    <row r="176">
      <c r="B176" s="11"/>
      <c r="C176" s="11"/>
      <c r="F176" s="12"/>
      <c r="G176" s="4"/>
    </row>
    <row r="177">
      <c r="B177" s="11"/>
      <c r="C177" s="11"/>
      <c r="F177" s="12"/>
      <c r="G177" s="4"/>
    </row>
    <row r="178">
      <c r="B178" s="11"/>
      <c r="C178" s="11"/>
      <c r="F178" s="12"/>
      <c r="G178" s="4"/>
    </row>
    <row r="179">
      <c r="B179" s="11"/>
      <c r="C179" s="11"/>
      <c r="F179" s="12"/>
      <c r="G179" s="4"/>
    </row>
    <row r="180">
      <c r="B180" s="11"/>
      <c r="C180" s="11"/>
      <c r="F180" s="12"/>
      <c r="G180" s="4"/>
    </row>
    <row r="181">
      <c r="B181" s="11"/>
      <c r="C181" s="11"/>
      <c r="F181" s="12"/>
      <c r="G181" s="4"/>
    </row>
    <row r="182">
      <c r="B182" s="11"/>
      <c r="C182" s="11"/>
      <c r="F182" s="12"/>
      <c r="G182" s="4"/>
    </row>
    <row r="183">
      <c r="B183" s="11"/>
      <c r="C183" s="11"/>
      <c r="F183" s="12"/>
      <c r="G183" s="4"/>
    </row>
    <row r="184">
      <c r="B184" s="11"/>
      <c r="C184" s="11"/>
      <c r="F184" s="12"/>
      <c r="G184" s="4"/>
    </row>
    <row r="185">
      <c r="B185" s="11"/>
      <c r="C185" s="11"/>
      <c r="F185" s="12"/>
      <c r="G185" s="4"/>
    </row>
    <row r="186">
      <c r="B186" s="11"/>
      <c r="C186" s="11"/>
      <c r="F186" s="12"/>
      <c r="G186" s="4"/>
    </row>
    <row r="187">
      <c r="B187" s="11"/>
      <c r="C187" s="11"/>
      <c r="F187" s="12"/>
      <c r="G187" s="4"/>
    </row>
    <row r="188">
      <c r="B188" s="11"/>
      <c r="C188" s="11"/>
      <c r="F188" s="12"/>
      <c r="G188" s="4"/>
    </row>
    <row r="189">
      <c r="B189" s="11"/>
      <c r="C189" s="11"/>
      <c r="F189" s="12"/>
      <c r="G189" s="4"/>
    </row>
    <row r="190">
      <c r="B190" s="11"/>
      <c r="C190" s="11"/>
      <c r="F190" s="12"/>
      <c r="G190" s="4"/>
    </row>
    <row r="191">
      <c r="B191" s="11"/>
      <c r="C191" s="11"/>
      <c r="F191" s="12"/>
      <c r="G191" s="4"/>
    </row>
    <row r="192">
      <c r="B192" s="11"/>
      <c r="C192" s="11"/>
      <c r="F192" s="12"/>
      <c r="G192" s="4"/>
    </row>
    <row r="193">
      <c r="B193" s="11"/>
      <c r="C193" s="11"/>
      <c r="F193" s="12"/>
      <c r="G193" s="4"/>
    </row>
    <row r="194">
      <c r="B194" s="11"/>
      <c r="C194" s="11"/>
      <c r="F194" s="12"/>
      <c r="G194" s="4"/>
    </row>
    <row r="195">
      <c r="B195" s="11"/>
      <c r="C195" s="11"/>
      <c r="F195" s="12"/>
      <c r="G195" s="4"/>
    </row>
    <row r="196">
      <c r="B196" s="11"/>
      <c r="C196" s="11"/>
      <c r="F196" s="12"/>
      <c r="G196" s="4"/>
    </row>
    <row r="197">
      <c r="B197" s="11"/>
      <c r="C197" s="11"/>
      <c r="F197" s="12"/>
      <c r="G197" s="4"/>
    </row>
    <row r="198">
      <c r="B198" s="11"/>
      <c r="C198" s="11"/>
      <c r="F198" s="12"/>
      <c r="G198" s="4"/>
    </row>
    <row r="199">
      <c r="B199" s="11"/>
      <c r="C199" s="11"/>
      <c r="F199" s="12"/>
      <c r="G199" s="4"/>
    </row>
    <row r="200">
      <c r="B200" s="11"/>
      <c r="C200" s="11"/>
      <c r="F200" s="12"/>
      <c r="G200" s="4"/>
    </row>
    <row r="201">
      <c r="B201" s="11"/>
      <c r="C201" s="11"/>
      <c r="F201" s="12"/>
      <c r="G201" s="4"/>
    </row>
    <row r="202">
      <c r="B202" s="11"/>
      <c r="C202" s="11"/>
      <c r="F202" s="12"/>
      <c r="G202" s="4"/>
    </row>
    <row r="203">
      <c r="B203" s="11"/>
      <c r="C203" s="11"/>
      <c r="F203" s="12"/>
      <c r="G203" s="4"/>
    </row>
    <row r="204">
      <c r="B204" s="11"/>
      <c r="C204" s="11"/>
      <c r="F204" s="12"/>
      <c r="G204" s="4"/>
    </row>
    <row r="205">
      <c r="B205" s="11"/>
      <c r="C205" s="11"/>
      <c r="F205" s="12"/>
      <c r="G205" s="4"/>
    </row>
    <row r="206">
      <c r="B206" s="11"/>
      <c r="C206" s="11"/>
      <c r="F206" s="12"/>
      <c r="G206" s="4"/>
    </row>
    <row r="207">
      <c r="B207" s="11"/>
      <c r="C207" s="11"/>
      <c r="F207" s="12"/>
      <c r="G207" s="4"/>
    </row>
    <row r="208">
      <c r="B208" s="11"/>
      <c r="C208" s="11"/>
      <c r="F208" s="12"/>
      <c r="G208" s="4"/>
    </row>
    <row r="209">
      <c r="B209" s="11"/>
      <c r="C209" s="11"/>
      <c r="F209" s="12"/>
      <c r="G209" s="4"/>
    </row>
    <row r="210">
      <c r="B210" s="11"/>
      <c r="C210" s="11"/>
      <c r="F210" s="12"/>
      <c r="G210" s="4"/>
    </row>
    <row r="211">
      <c r="B211" s="11"/>
      <c r="C211" s="11"/>
      <c r="F211" s="12"/>
      <c r="G211" s="4"/>
    </row>
    <row r="212">
      <c r="B212" s="11"/>
      <c r="C212" s="11"/>
      <c r="F212" s="12"/>
      <c r="G212" s="4"/>
    </row>
    <row r="213">
      <c r="B213" s="11"/>
      <c r="C213" s="11"/>
      <c r="F213" s="12"/>
      <c r="G213" s="4"/>
    </row>
    <row r="214">
      <c r="B214" s="11"/>
      <c r="C214" s="11"/>
      <c r="F214" s="12"/>
      <c r="G214" s="4"/>
    </row>
    <row r="215">
      <c r="B215" s="11"/>
      <c r="C215" s="11"/>
      <c r="F215" s="12"/>
      <c r="G215" s="4"/>
    </row>
    <row r="216">
      <c r="B216" s="11"/>
      <c r="C216" s="11"/>
      <c r="F216" s="12"/>
      <c r="G216" s="4"/>
    </row>
    <row r="217">
      <c r="B217" s="11"/>
      <c r="C217" s="11"/>
      <c r="F217" s="12"/>
      <c r="G217" s="4"/>
    </row>
    <row r="218">
      <c r="B218" s="11"/>
      <c r="C218" s="11"/>
      <c r="F218" s="12"/>
      <c r="G218" s="4"/>
    </row>
    <row r="219">
      <c r="B219" s="11"/>
      <c r="C219" s="11"/>
      <c r="F219" s="12"/>
      <c r="G219" s="4"/>
    </row>
    <row r="220">
      <c r="B220" s="11"/>
      <c r="C220" s="11"/>
      <c r="F220" s="12"/>
      <c r="G220" s="4"/>
    </row>
    <row r="221">
      <c r="B221" s="11"/>
      <c r="C221" s="11"/>
      <c r="F221" s="12"/>
      <c r="G221" s="4"/>
    </row>
    <row r="222">
      <c r="B222" s="11"/>
      <c r="C222" s="11"/>
      <c r="F222" s="12"/>
      <c r="G222" s="4"/>
    </row>
    <row r="223">
      <c r="B223" s="11"/>
      <c r="C223" s="11"/>
      <c r="F223" s="12"/>
      <c r="G223" s="4"/>
    </row>
    <row r="224">
      <c r="B224" s="11"/>
      <c r="C224" s="11"/>
      <c r="F224" s="12"/>
      <c r="G224" s="4"/>
    </row>
    <row r="225">
      <c r="B225" s="11"/>
      <c r="C225" s="11"/>
      <c r="F225" s="12"/>
      <c r="G225" s="4"/>
    </row>
    <row r="226">
      <c r="B226" s="11"/>
      <c r="C226" s="11"/>
      <c r="F226" s="12"/>
      <c r="G226" s="4"/>
    </row>
    <row r="227">
      <c r="B227" s="11"/>
      <c r="C227" s="11"/>
      <c r="F227" s="12"/>
      <c r="G227" s="4"/>
    </row>
    <row r="228">
      <c r="B228" s="11"/>
      <c r="C228" s="11"/>
      <c r="F228" s="12"/>
      <c r="G228" s="4"/>
    </row>
    <row r="229">
      <c r="B229" s="11"/>
      <c r="C229" s="11"/>
      <c r="F229" s="12"/>
      <c r="G229" s="4"/>
    </row>
    <row r="230">
      <c r="B230" s="11"/>
      <c r="C230" s="11"/>
      <c r="F230" s="12"/>
      <c r="G230" s="4"/>
    </row>
    <row r="231">
      <c r="B231" s="11"/>
      <c r="C231" s="11"/>
      <c r="F231" s="12"/>
      <c r="G231" s="4"/>
    </row>
    <row r="232">
      <c r="B232" s="11"/>
      <c r="C232" s="11"/>
      <c r="F232" s="12"/>
      <c r="G232" s="4"/>
    </row>
    <row r="233">
      <c r="B233" s="11"/>
      <c r="C233" s="11"/>
      <c r="F233" s="12"/>
      <c r="G233" s="4"/>
    </row>
    <row r="234">
      <c r="B234" s="11"/>
      <c r="C234" s="11"/>
      <c r="F234" s="12"/>
      <c r="G234" s="4"/>
    </row>
    <row r="235">
      <c r="B235" s="11"/>
      <c r="C235" s="11"/>
      <c r="F235" s="12"/>
      <c r="G235" s="4"/>
    </row>
    <row r="236">
      <c r="B236" s="11"/>
      <c r="C236" s="11"/>
      <c r="F236" s="12"/>
      <c r="G236" s="4"/>
    </row>
    <row r="237">
      <c r="B237" s="11"/>
      <c r="C237" s="11"/>
      <c r="F237" s="12"/>
      <c r="G237" s="4"/>
    </row>
    <row r="238">
      <c r="B238" s="11"/>
      <c r="C238" s="11"/>
      <c r="F238" s="12"/>
      <c r="G238" s="4"/>
    </row>
    <row r="239">
      <c r="B239" s="11"/>
      <c r="C239" s="11"/>
      <c r="F239" s="12"/>
      <c r="G239" s="4"/>
    </row>
    <row r="240">
      <c r="B240" s="11"/>
      <c r="C240" s="11"/>
      <c r="F240" s="12"/>
      <c r="G240" s="4"/>
    </row>
    <row r="241">
      <c r="B241" s="11"/>
      <c r="C241" s="11"/>
      <c r="F241" s="12"/>
      <c r="G241" s="4"/>
    </row>
    <row r="242">
      <c r="B242" s="11"/>
      <c r="C242" s="11"/>
      <c r="F242" s="12"/>
      <c r="G242" s="4"/>
    </row>
    <row r="243">
      <c r="B243" s="11"/>
      <c r="C243" s="11"/>
      <c r="F243" s="12"/>
      <c r="G243" s="4"/>
    </row>
    <row r="244">
      <c r="B244" s="11"/>
      <c r="C244" s="11"/>
      <c r="F244" s="12"/>
      <c r="G244" s="4"/>
    </row>
    <row r="245">
      <c r="B245" s="11"/>
      <c r="C245" s="11"/>
      <c r="F245" s="12"/>
      <c r="G245" s="4"/>
    </row>
    <row r="246">
      <c r="B246" s="11"/>
      <c r="C246" s="11"/>
      <c r="F246" s="12"/>
      <c r="G246" s="4"/>
    </row>
    <row r="247">
      <c r="B247" s="11"/>
      <c r="C247" s="11"/>
      <c r="F247" s="12"/>
      <c r="G247" s="4"/>
    </row>
    <row r="248">
      <c r="B248" s="11"/>
      <c r="C248" s="11"/>
      <c r="F248" s="12"/>
      <c r="G248" s="4"/>
    </row>
    <row r="249">
      <c r="B249" s="11"/>
      <c r="C249" s="11"/>
      <c r="F249" s="12"/>
      <c r="G249" s="4"/>
    </row>
    <row r="250">
      <c r="B250" s="11"/>
      <c r="C250" s="11"/>
      <c r="F250" s="12"/>
      <c r="G250" s="4"/>
    </row>
    <row r="251">
      <c r="B251" s="11"/>
      <c r="C251" s="11"/>
      <c r="F251" s="12"/>
      <c r="G251" s="4"/>
    </row>
    <row r="252">
      <c r="B252" s="11"/>
      <c r="C252" s="11"/>
      <c r="F252" s="12"/>
      <c r="G252" s="4"/>
    </row>
    <row r="253">
      <c r="B253" s="11"/>
      <c r="C253" s="11"/>
      <c r="F253" s="12"/>
      <c r="G253" s="4"/>
    </row>
    <row r="254">
      <c r="B254" s="11"/>
      <c r="C254" s="11"/>
      <c r="F254" s="12"/>
      <c r="G254" s="4"/>
    </row>
    <row r="255">
      <c r="B255" s="11"/>
      <c r="C255" s="11"/>
      <c r="F255" s="12"/>
      <c r="G255" s="4"/>
    </row>
    <row r="256">
      <c r="B256" s="11"/>
      <c r="C256" s="11"/>
      <c r="F256" s="12"/>
      <c r="G256" s="4"/>
    </row>
    <row r="257">
      <c r="B257" s="11"/>
      <c r="C257" s="11"/>
      <c r="F257" s="12"/>
      <c r="G257" s="4"/>
    </row>
    <row r="258">
      <c r="B258" s="11"/>
      <c r="C258" s="11"/>
      <c r="F258" s="12"/>
      <c r="G258" s="4"/>
    </row>
    <row r="259">
      <c r="B259" s="11"/>
      <c r="C259" s="11"/>
      <c r="F259" s="12"/>
      <c r="G259" s="4"/>
    </row>
    <row r="260">
      <c r="B260" s="11"/>
      <c r="C260" s="11"/>
      <c r="F260" s="12"/>
      <c r="G260" s="4"/>
    </row>
    <row r="261">
      <c r="B261" s="11"/>
      <c r="C261" s="11"/>
      <c r="F261" s="12"/>
      <c r="G261" s="4"/>
    </row>
    <row r="262">
      <c r="B262" s="11"/>
      <c r="C262" s="11"/>
      <c r="F262" s="12"/>
      <c r="G262" s="4"/>
    </row>
    <row r="263">
      <c r="B263" s="11"/>
      <c r="C263" s="11"/>
      <c r="F263" s="12"/>
      <c r="G263" s="4"/>
    </row>
    <row r="264">
      <c r="B264" s="11"/>
      <c r="C264" s="11"/>
      <c r="F264" s="12"/>
      <c r="G264" s="4"/>
    </row>
    <row r="265">
      <c r="B265" s="11"/>
      <c r="C265" s="11"/>
      <c r="F265" s="12"/>
      <c r="G265" s="4"/>
    </row>
    <row r="266">
      <c r="B266" s="11"/>
      <c r="C266" s="11"/>
      <c r="F266" s="12"/>
      <c r="G266" s="4"/>
    </row>
    <row r="267">
      <c r="B267" s="11"/>
      <c r="C267" s="11"/>
      <c r="F267" s="12"/>
      <c r="G267" s="4"/>
    </row>
    <row r="268">
      <c r="B268" s="11"/>
      <c r="C268" s="11"/>
      <c r="F268" s="12"/>
      <c r="G268" s="4"/>
    </row>
    <row r="269">
      <c r="B269" s="11"/>
      <c r="C269" s="11"/>
      <c r="F269" s="12"/>
      <c r="G269" s="4"/>
    </row>
    <row r="270">
      <c r="B270" s="11"/>
      <c r="C270" s="11"/>
      <c r="F270" s="12"/>
      <c r="G270" s="4"/>
    </row>
    <row r="271">
      <c r="B271" s="11"/>
      <c r="C271" s="11"/>
      <c r="F271" s="12"/>
      <c r="G271" s="4"/>
    </row>
    <row r="272">
      <c r="B272" s="11"/>
      <c r="C272" s="11"/>
      <c r="F272" s="12"/>
      <c r="G272" s="4"/>
    </row>
    <row r="273">
      <c r="B273" s="11"/>
      <c r="C273" s="11"/>
      <c r="F273" s="12"/>
      <c r="G273" s="4"/>
    </row>
    <row r="274">
      <c r="B274" s="11"/>
      <c r="C274" s="11"/>
      <c r="F274" s="12"/>
      <c r="G274" s="4"/>
    </row>
    <row r="275">
      <c r="B275" s="11"/>
      <c r="C275" s="11"/>
      <c r="F275" s="12"/>
      <c r="G275" s="4"/>
    </row>
    <row r="276">
      <c r="B276" s="11"/>
      <c r="C276" s="11"/>
      <c r="F276" s="12"/>
      <c r="G276" s="4"/>
    </row>
    <row r="277">
      <c r="B277" s="11"/>
      <c r="C277" s="11"/>
      <c r="F277" s="12"/>
      <c r="G277" s="4"/>
    </row>
    <row r="278">
      <c r="B278" s="11"/>
      <c r="C278" s="11"/>
      <c r="F278" s="12"/>
      <c r="G278" s="4"/>
    </row>
    <row r="279">
      <c r="B279" s="11"/>
      <c r="C279" s="11"/>
      <c r="F279" s="12"/>
      <c r="G279" s="4"/>
    </row>
    <row r="280">
      <c r="B280" s="11"/>
      <c r="C280" s="11"/>
      <c r="F280" s="12"/>
      <c r="G280" s="4"/>
    </row>
    <row r="281">
      <c r="B281" s="11"/>
      <c r="C281" s="11"/>
      <c r="F281" s="12"/>
      <c r="G281" s="4"/>
    </row>
    <row r="282">
      <c r="B282" s="11"/>
      <c r="C282" s="11"/>
      <c r="F282" s="12"/>
      <c r="G282" s="4"/>
    </row>
    <row r="283">
      <c r="B283" s="11"/>
      <c r="C283" s="11"/>
      <c r="F283" s="12"/>
      <c r="G283" s="4"/>
    </row>
    <row r="284">
      <c r="B284" s="11"/>
      <c r="C284" s="11"/>
      <c r="F284" s="12"/>
      <c r="G284" s="4"/>
    </row>
    <row r="285">
      <c r="B285" s="11"/>
      <c r="C285" s="11"/>
      <c r="F285" s="12"/>
      <c r="G285" s="4"/>
    </row>
    <row r="286">
      <c r="B286" s="11"/>
      <c r="C286" s="11"/>
      <c r="F286" s="12"/>
      <c r="G286" s="4"/>
    </row>
    <row r="287">
      <c r="B287" s="11"/>
      <c r="C287" s="11"/>
      <c r="F287" s="12"/>
      <c r="G287" s="4"/>
    </row>
    <row r="288">
      <c r="B288" s="11"/>
      <c r="C288" s="11"/>
      <c r="F288" s="12"/>
      <c r="G288" s="4"/>
    </row>
    <row r="289">
      <c r="B289" s="11"/>
      <c r="C289" s="11"/>
      <c r="F289" s="12"/>
      <c r="G289" s="4"/>
    </row>
    <row r="290">
      <c r="B290" s="11"/>
      <c r="C290" s="11"/>
      <c r="F290" s="12"/>
      <c r="G290" s="4"/>
    </row>
    <row r="291">
      <c r="B291" s="11"/>
      <c r="C291" s="11"/>
      <c r="F291" s="12"/>
      <c r="G291" s="4"/>
    </row>
    <row r="292">
      <c r="B292" s="11"/>
      <c r="C292" s="11"/>
      <c r="F292" s="12"/>
      <c r="G292" s="4"/>
    </row>
    <row r="293">
      <c r="B293" s="11"/>
      <c r="C293" s="11"/>
      <c r="F293" s="12"/>
      <c r="G293" s="4"/>
    </row>
    <row r="294">
      <c r="B294" s="11"/>
      <c r="C294" s="11"/>
      <c r="F294" s="12"/>
      <c r="G294" s="4"/>
    </row>
    <row r="295">
      <c r="B295" s="11"/>
      <c r="C295" s="11"/>
      <c r="F295" s="12"/>
      <c r="G295" s="4"/>
    </row>
    <row r="296">
      <c r="B296" s="11"/>
      <c r="C296" s="11"/>
      <c r="F296" s="12"/>
      <c r="G296" s="4"/>
    </row>
    <row r="297">
      <c r="B297" s="11"/>
      <c r="C297" s="11"/>
      <c r="F297" s="12"/>
      <c r="G297" s="4"/>
    </row>
    <row r="298">
      <c r="B298" s="11"/>
      <c r="C298" s="11"/>
      <c r="F298" s="12"/>
      <c r="G298" s="4"/>
    </row>
    <row r="299">
      <c r="B299" s="11"/>
      <c r="C299" s="11"/>
      <c r="F299" s="12"/>
      <c r="G299" s="4"/>
    </row>
    <row r="300">
      <c r="B300" s="11"/>
      <c r="C300" s="11"/>
      <c r="F300" s="12"/>
      <c r="G300" s="4"/>
    </row>
    <row r="301">
      <c r="B301" s="11"/>
      <c r="C301" s="11"/>
      <c r="F301" s="12"/>
      <c r="G301" s="4"/>
    </row>
    <row r="302">
      <c r="B302" s="11"/>
      <c r="C302" s="11"/>
      <c r="F302" s="12"/>
      <c r="G302" s="4"/>
    </row>
    <row r="303">
      <c r="B303" s="11"/>
      <c r="C303" s="11"/>
      <c r="F303" s="12"/>
      <c r="G303" s="4"/>
    </row>
    <row r="304">
      <c r="B304" s="11"/>
      <c r="C304" s="11"/>
      <c r="F304" s="12"/>
      <c r="G304" s="4"/>
    </row>
    <row r="305">
      <c r="B305" s="11"/>
      <c r="C305" s="11"/>
      <c r="F305" s="12"/>
      <c r="G305" s="4"/>
    </row>
    <row r="306">
      <c r="B306" s="11"/>
      <c r="C306" s="11"/>
      <c r="F306" s="12"/>
      <c r="G306" s="4"/>
    </row>
    <row r="307">
      <c r="B307" s="11"/>
      <c r="C307" s="11"/>
      <c r="F307" s="12"/>
      <c r="G307" s="4"/>
    </row>
    <row r="308">
      <c r="B308" s="11"/>
      <c r="C308" s="11"/>
      <c r="F308" s="12"/>
      <c r="G308" s="4"/>
    </row>
    <row r="309">
      <c r="B309" s="11"/>
      <c r="C309" s="11"/>
      <c r="F309" s="12"/>
      <c r="G309" s="4"/>
    </row>
    <row r="310">
      <c r="B310" s="11"/>
      <c r="C310" s="11"/>
      <c r="F310" s="12"/>
      <c r="G310" s="4"/>
    </row>
    <row r="311">
      <c r="B311" s="11"/>
      <c r="C311" s="11"/>
      <c r="F311" s="12"/>
      <c r="G311" s="4"/>
    </row>
    <row r="312">
      <c r="B312" s="11"/>
      <c r="C312" s="11"/>
      <c r="F312" s="12"/>
      <c r="G312" s="4"/>
    </row>
    <row r="313">
      <c r="B313" s="11"/>
      <c r="C313" s="11"/>
      <c r="F313" s="12"/>
      <c r="G313" s="4"/>
    </row>
    <row r="314">
      <c r="B314" s="11"/>
      <c r="C314" s="11"/>
      <c r="F314" s="12"/>
      <c r="G314" s="4"/>
    </row>
    <row r="315">
      <c r="B315" s="11"/>
      <c r="C315" s="11"/>
      <c r="F315" s="12"/>
      <c r="G315" s="4"/>
    </row>
    <row r="316">
      <c r="B316" s="11"/>
      <c r="C316" s="11"/>
      <c r="F316" s="12"/>
      <c r="G316" s="4"/>
    </row>
    <row r="317">
      <c r="B317" s="11"/>
      <c r="C317" s="11"/>
      <c r="F317" s="12"/>
      <c r="G317" s="4"/>
    </row>
    <row r="318">
      <c r="B318" s="11"/>
      <c r="C318" s="11"/>
      <c r="F318" s="12"/>
      <c r="G318" s="4"/>
    </row>
    <row r="319">
      <c r="B319" s="11"/>
      <c r="C319" s="11"/>
      <c r="F319" s="12"/>
      <c r="G319" s="4"/>
    </row>
    <row r="320">
      <c r="B320" s="11"/>
      <c r="C320" s="11"/>
      <c r="F320" s="12"/>
      <c r="G320" s="4"/>
    </row>
    <row r="321">
      <c r="B321" s="11"/>
      <c r="C321" s="11"/>
      <c r="F321" s="12"/>
      <c r="G321" s="4"/>
    </row>
    <row r="322">
      <c r="B322" s="11"/>
      <c r="C322" s="11"/>
      <c r="F322" s="12"/>
      <c r="G322" s="4"/>
    </row>
    <row r="323">
      <c r="B323" s="11"/>
      <c r="C323" s="11"/>
      <c r="F323" s="12"/>
      <c r="G323" s="4"/>
    </row>
    <row r="324">
      <c r="B324" s="11"/>
      <c r="C324" s="11"/>
      <c r="F324" s="12"/>
      <c r="G324" s="4"/>
    </row>
    <row r="325">
      <c r="B325" s="11"/>
      <c r="C325" s="11"/>
      <c r="F325" s="12"/>
      <c r="G325" s="4"/>
    </row>
    <row r="326">
      <c r="B326" s="11"/>
      <c r="C326" s="11"/>
      <c r="F326" s="12"/>
      <c r="G326" s="4"/>
    </row>
    <row r="327">
      <c r="B327" s="11"/>
      <c r="C327" s="11"/>
      <c r="F327" s="12"/>
      <c r="G327" s="4"/>
    </row>
    <row r="328">
      <c r="B328" s="11"/>
      <c r="C328" s="11"/>
      <c r="F328" s="12"/>
      <c r="G328" s="4"/>
    </row>
    <row r="329">
      <c r="B329" s="11"/>
      <c r="C329" s="11"/>
      <c r="F329" s="12"/>
      <c r="G329" s="4"/>
    </row>
    <row r="330">
      <c r="B330" s="11"/>
      <c r="C330" s="11"/>
      <c r="F330" s="12"/>
      <c r="G330" s="4"/>
    </row>
    <row r="331">
      <c r="B331" s="11"/>
      <c r="C331" s="11"/>
      <c r="F331" s="12"/>
      <c r="G331" s="4"/>
    </row>
    <row r="332">
      <c r="B332" s="11"/>
      <c r="C332" s="11"/>
      <c r="F332" s="12"/>
      <c r="G332" s="4"/>
    </row>
    <row r="333">
      <c r="B333" s="11"/>
      <c r="C333" s="11"/>
      <c r="F333" s="12"/>
      <c r="G333" s="4"/>
    </row>
    <row r="334">
      <c r="B334" s="11"/>
      <c r="C334" s="11"/>
      <c r="F334" s="12"/>
      <c r="G334" s="4"/>
    </row>
    <row r="335">
      <c r="B335" s="11"/>
      <c r="C335" s="11"/>
      <c r="F335" s="12"/>
      <c r="G335" s="4"/>
    </row>
    <row r="336">
      <c r="B336" s="11"/>
      <c r="C336" s="11"/>
      <c r="F336" s="12"/>
      <c r="G336" s="4"/>
    </row>
    <row r="337">
      <c r="B337" s="11"/>
      <c r="C337" s="11"/>
      <c r="F337" s="12"/>
      <c r="G337" s="4"/>
    </row>
    <row r="338">
      <c r="B338" s="11"/>
      <c r="C338" s="11"/>
      <c r="F338" s="12"/>
      <c r="G338" s="4"/>
    </row>
    <row r="339">
      <c r="B339" s="11"/>
      <c r="C339" s="11"/>
      <c r="F339" s="12"/>
      <c r="G339" s="4"/>
    </row>
    <row r="340">
      <c r="B340" s="11"/>
      <c r="C340" s="11"/>
      <c r="F340" s="12"/>
      <c r="G340" s="4"/>
    </row>
    <row r="341">
      <c r="B341" s="11"/>
      <c r="C341" s="11"/>
      <c r="F341" s="12"/>
      <c r="G341" s="4"/>
    </row>
    <row r="342">
      <c r="B342" s="11"/>
      <c r="C342" s="11"/>
      <c r="F342" s="12"/>
      <c r="G342" s="4"/>
    </row>
    <row r="343">
      <c r="B343" s="11"/>
      <c r="C343" s="11"/>
      <c r="F343" s="12"/>
      <c r="G343" s="4"/>
    </row>
    <row r="344">
      <c r="B344" s="11"/>
      <c r="C344" s="11"/>
      <c r="F344" s="12"/>
      <c r="G344" s="4"/>
    </row>
    <row r="345">
      <c r="B345" s="11"/>
      <c r="C345" s="11"/>
      <c r="F345" s="12"/>
      <c r="G345" s="4"/>
    </row>
    <row r="346">
      <c r="B346" s="11"/>
      <c r="C346" s="11"/>
      <c r="F346" s="12"/>
      <c r="G346" s="4"/>
    </row>
    <row r="347">
      <c r="B347" s="11"/>
      <c r="C347" s="11"/>
      <c r="F347" s="12"/>
      <c r="G347" s="4"/>
    </row>
    <row r="348">
      <c r="B348" s="11"/>
      <c r="C348" s="11"/>
      <c r="F348" s="12"/>
      <c r="G348" s="4"/>
    </row>
    <row r="349">
      <c r="B349" s="11"/>
      <c r="C349" s="11"/>
      <c r="F349" s="12"/>
      <c r="G349" s="4"/>
    </row>
    <row r="350">
      <c r="B350" s="11"/>
      <c r="C350" s="11"/>
      <c r="F350" s="12"/>
      <c r="G350" s="4"/>
    </row>
    <row r="351">
      <c r="B351" s="11"/>
      <c r="C351" s="11"/>
      <c r="F351" s="12"/>
      <c r="G351" s="4"/>
    </row>
    <row r="352">
      <c r="B352" s="11"/>
      <c r="C352" s="11"/>
      <c r="F352" s="12"/>
      <c r="G352" s="4"/>
    </row>
    <row r="353">
      <c r="B353" s="11"/>
      <c r="C353" s="11"/>
      <c r="F353" s="12"/>
      <c r="G353" s="4"/>
    </row>
    <row r="354">
      <c r="B354" s="11"/>
      <c r="C354" s="11"/>
      <c r="F354" s="12"/>
      <c r="G354" s="4"/>
    </row>
    <row r="355">
      <c r="B355" s="11"/>
      <c r="C355" s="11"/>
      <c r="F355" s="12"/>
      <c r="G355" s="4"/>
    </row>
    <row r="356">
      <c r="B356" s="11"/>
      <c r="C356" s="11"/>
      <c r="F356" s="12"/>
      <c r="G356" s="4"/>
    </row>
    <row r="357">
      <c r="B357" s="11"/>
      <c r="C357" s="11"/>
      <c r="F357" s="12"/>
      <c r="G357" s="4"/>
    </row>
    <row r="358">
      <c r="B358" s="11"/>
      <c r="C358" s="11"/>
      <c r="F358" s="12"/>
      <c r="G358" s="4"/>
    </row>
    <row r="359">
      <c r="B359" s="11"/>
      <c r="C359" s="11"/>
      <c r="F359" s="12"/>
      <c r="G359" s="4"/>
    </row>
    <row r="360">
      <c r="B360" s="11"/>
      <c r="C360" s="11"/>
      <c r="F360" s="12"/>
      <c r="G360" s="4"/>
    </row>
    <row r="361">
      <c r="B361" s="11"/>
      <c r="C361" s="11"/>
      <c r="F361" s="12"/>
      <c r="G361" s="4"/>
    </row>
    <row r="362">
      <c r="B362" s="11"/>
      <c r="C362" s="11"/>
      <c r="F362" s="12"/>
      <c r="G362" s="4"/>
    </row>
    <row r="363">
      <c r="B363" s="11"/>
      <c r="C363" s="11"/>
      <c r="F363" s="12"/>
      <c r="G363" s="4"/>
    </row>
    <row r="364">
      <c r="B364" s="11"/>
      <c r="C364" s="11"/>
      <c r="F364" s="12"/>
      <c r="G364" s="4"/>
    </row>
    <row r="365">
      <c r="B365" s="11"/>
      <c r="C365" s="11"/>
      <c r="F365" s="12"/>
      <c r="G365" s="4"/>
    </row>
    <row r="366">
      <c r="B366" s="11"/>
      <c r="C366" s="11"/>
      <c r="F366" s="12"/>
      <c r="G366" s="4"/>
    </row>
    <row r="367">
      <c r="B367" s="11"/>
      <c r="C367" s="11"/>
      <c r="F367" s="12"/>
      <c r="G367" s="4"/>
    </row>
    <row r="368">
      <c r="B368" s="11"/>
      <c r="C368" s="11"/>
      <c r="F368" s="12"/>
      <c r="G368" s="4"/>
    </row>
    <row r="369">
      <c r="B369" s="11"/>
      <c r="C369" s="11"/>
      <c r="F369" s="12"/>
      <c r="G369" s="4"/>
    </row>
    <row r="370">
      <c r="B370" s="11"/>
      <c r="C370" s="11"/>
      <c r="F370" s="12"/>
      <c r="G370" s="4"/>
    </row>
    <row r="371">
      <c r="B371" s="11"/>
      <c r="C371" s="11"/>
      <c r="F371" s="12"/>
      <c r="G371" s="4"/>
    </row>
    <row r="372">
      <c r="B372" s="11"/>
      <c r="C372" s="11"/>
      <c r="F372" s="12"/>
      <c r="G372" s="4"/>
    </row>
    <row r="373">
      <c r="B373" s="11"/>
      <c r="C373" s="11"/>
      <c r="F373" s="12"/>
      <c r="G373" s="4"/>
    </row>
    <row r="374">
      <c r="B374" s="11"/>
      <c r="C374" s="11"/>
      <c r="F374" s="12"/>
      <c r="G374" s="4"/>
    </row>
    <row r="375">
      <c r="B375" s="11"/>
      <c r="C375" s="11"/>
      <c r="F375" s="12"/>
      <c r="G375" s="4"/>
    </row>
    <row r="376">
      <c r="B376" s="11"/>
      <c r="C376" s="11"/>
      <c r="F376" s="12"/>
      <c r="G376" s="4"/>
    </row>
    <row r="377">
      <c r="B377" s="11"/>
      <c r="C377" s="11"/>
      <c r="F377" s="12"/>
      <c r="G377" s="4"/>
    </row>
    <row r="378">
      <c r="B378" s="11"/>
      <c r="C378" s="11"/>
      <c r="F378" s="12"/>
      <c r="G378" s="4"/>
    </row>
    <row r="379">
      <c r="B379" s="11"/>
      <c r="C379" s="11"/>
      <c r="F379" s="12"/>
      <c r="G379" s="4"/>
    </row>
    <row r="380">
      <c r="B380" s="11"/>
      <c r="C380" s="11"/>
      <c r="F380" s="12"/>
      <c r="G380" s="4"/>
    </row>
    <row r="381">
      <c r="B381" s="11"/>
      <c r="C381" s="11"/>
      <c r="F381" s="12"/>
      <c r="G381" s="4"/>
    </row>
    <row r="382">
      <c r="B382" s="11"/>
      <c r="C382" s="11"/>
      <c r="F382" s="12"/>
      <c r="G382" s="4"/>
    </row>
    <row r="383">
      <c r="B383" s="11"/>
      <c r="C383" s="11"/>
      <c r="F383" s="12"/>
      <c r="G383" s="4"/>
    </row>
    <row r="384">
      <c r="B384" s="11"/>
      <c r="C384" s="11"/>
      <c r="F384" s="12"/>
      <c r="G384" s="4"/>
    </row>
    <row r="385">
      <c r="B385" s="11"/>
      <c r="C385" s="11"/>
      <c r="F385" s="12"/>
      <c r="G385" s="4"/>
    </row>
    <row r="386">
      <c r="B386" s="11"/>
      <c r="C386" s="11"/>
      <c r="F386" s="12"/>
      <c r="G386" s="4"/>
    </row>
    <row r="387">
      <c r="B387" s="11"/>
      <c r="C387" s="11"/>
      <c r="F387" s="12"/>
      <c r="G387" s="4"/>
    </row>
    <row r="388">
      <c r="B388" s="11"/>
      <c r="C388" s="11"/>
      <c r="F388" s="12"/>
      <c r="G388" s="4"/>
    </row>
    <row r="389">
      <c r="B389" s="11"/>
      <c r="C389" s="11"/>
      <c r="F389" s="12"/>
      <c r="G389" s="4"/>
    </row>
    <row r="390">
      <c r="B390" s="11"/>
      <c r="C390" s="11"/>
      <c r="F390" s="12"/>
      <c r="G390" s="4"/>
    </row>
    <row r="391">
      <c r="B391" s="11"/>
      <c r="C391" s="11"/>
      <c r="F391" s="12"/>
      <c r="G391" s="4"/>
    </row>
    <row r="392">
      <c r="B392" s="11"/>
      <c r="C392" s="11"/>
      <c r="F392" s="12"/>
      <c r="G392" s="4"/>
    </row>
    <row r="393">
      <c r="B393" s="11"/>
      <c r="C393" s="11"/>
      <c r="F393" s="12"/>
      <c r="G393" s="4"/>
    </row>
    <row r="394">
      <c r="B394" s="11"/>
      <c r="C394" s="11"/>
      <c r="F394" s="12"/>
      <c r="G394" s="4"/>
    </row>
    <row r="395">
      <c r="B395" s="11"/>
      <c r="C395" s="11"/>
      <c r="F395" s="12"/>
      <c r="G395" s="4"/>
    </row>
    <row r="396">
      <c r="B396" s="11"/>
      <c r="C396" s="11"/>
      <c r="F396" s="12"/>
      <c r="G396" s="4"/>
    </row>
    <row r="397">
      <c r="B397" s="11"/>
      <c r="C397" s="11"/>
      <c r="F397" s="12"/>
      <c r="G397" s="4"/>
    </row>
    <row r="398">
      <c r="B398" s="11"/>
      <c r="C398" s="11"/>
      <c r="F398" s="12"/>
      <c r="G398" s="4"/>
    </row>
    <row r="399">
      <c r="B399" s="11"/>
      <c r="C399" s="11"/>
      <c r="F399" s="12"/>
      <c r="G399" s="4"/>
    </row>
    <row r="400">
      <c r="B400" s="11"/>
      <c r="C400" s="11"/>
      <c r="F400" s="12"/>
      <c r="G400" s="4"/>
    </row>
    <row r="401">
      <c r="B401" s="11"/>
      <c r="C401" s="11"/>
      <c r="F401" s="12"/>
      <c r="G401" s="4"/>
    </row>
    <row r="402">
      <c r="B402" s="11"/>
      <c r="C402" s="11"/>
      <c r="F402" s="12"/>
      <c r="G402" s="4"/>
    </row>
    <row r="403">
      <c r="B403" s="11"/>
      <c r="C403" s="11"/>
      <c r="F403" s="12"/>
      <c r="G403" s="4"/>
    </row>
    <row r="404">
      <c r="B404" s="11"/>
      <c r="C404" s="11"/>
      <c r="F404" s="12"/>
      <c r="G404" s="4"/>
    </row>
    <row r="405">
      <c r="B405" s="11"/>
      <c r="C405" s="11"/>
      <c r="F405" s="12"/>
      <c r="G405" s="4"/>
    </row>
    <row r="406">
      <c r="B406" s="11"/>
      <c r="C406" s="11"/>
      <c r="F406" s="12"/>
      <c r="G406" s="4"/>
    </row>
    <row r="407">
      <c r="B407" s="11"/>
      <c r="C407" s="11"/>
      <c r="F407" s="12"/>
      <c r="G407" s="4"/>
    </row>
    <row r="408">
      <c r="B408" s="11"/>
      <c r="C408" s="11"/>
      <c r="F408" s="12"/>
      <c r="G408" s="4"/>
    </row>
    <row r="409">
      <c r="B409" s="11"/>
      <c r="C409" s="11"/>
      <c r="F409" s="12"/>
      <c r="G409" s="4"/>
    </row>
    <row r="410">
      <c r="B410" s="11"/>
      <c r="C410" s="11"/>
      <c r="F410" s="12"/>
      <c r="G410" s="4"/>
    </row>
    <row r="411">
      <c r="B411" s="11"/>
      <c r="C411" s="11"/>
      <c r="F411" s="12"/>
      <c r="G411" s="4"/>
    </row>
    <row r="412">
      <c r="B412" s="11"/>
      <c r="C412" s="11"/>
      <c r="F412" s="12"/>
      <c r="G412" s="4"/>
    </row>
    <row r="413">
      <c r="B413" s="11"/>
      <c r="C413" s="11"/>
      <c r="F413" s="12"/>
      <c r="G413" s="4"/>
    </row>
    <row r="414">
      <c r="B414" s="11"/>
      <c r="C414" s="11"/>
      <c r="F414" s="12"/>
      <c r="G414" s="4"/>
    </row>
    <row r="415">
      <c r="B415" s="11"/>
      <c r="C415" s="11"/>
      <c r="F415" s="12"/>
      <c r="G415" s="4"/>
    </row>
    <row r="416">
      <c r="B416" s="11"/>
      <c r="C416" s="11"/>
      <c r="F416" s="12"/>
      <c r="G416" s="4"/>
    </row>
    <row r="417">
      <c r="B417" s="11"/>
      <c r="C417" s="11"/>
      <c r="F417" s="12"/>
      <c r="G417" s="4"/>
    </row>
    <row r="418">
      <c r="B418" s="11"/>
      <c r="C418" s="11"/>
      <c r="F418" s="12"/>
      <c r="G418" s="4"/>
    </row>
    <row r="419">
      <c r="B419" s="11"/>
      <c r="C419" s="11"/>
      <c r="F419" s="12"/>
      <c r="G419" s="4"/>
    </row>
    <row r="420">
      <c r="B420" s="11"/>
      <c r="C420" s="11"/>
      <c r="F420" s="12"/>
      <c r="G420" s="4"/>
    </row>
    <row r="421">
      <c r="B421" s="11"/>
      <c r="C421" s="11"/>
      <c r="F421" s="12"/>
      <c r="G421" s="4"/>
    </row>
    <row r="422">
      <c r="B422" s="11"/>
      <c r="C422" s="11"/>
      <c r="F422" s="12"/>
      <c r="G422" s="4"/>
    </row>
    <row r="423">
      <c r="B423" s="11"/>
      <c r="C423" s="11"/>
      <c r="F423" s="12"/>
      <c r="G423" s="4"/>
    </row>
    <row r="424">
      <c r="B424" s="11"/>
      <c r="C424" s="11"/>
      <c r="F424" s="12"/>
      <c r="G424" s="4"/>
    </row>
    <row r="425">
      <c r="B425" s="11"/>
      <c r="C425" s="11"/>
      <c r="F425" s="12"/>
      <c r="G425" s="4"/>
    </row>
    <row r="426">
      <c r="B426" s="11"/>
      <c r="C426" s="11"/>
      <c r="F426" s="12"/>
      <c r="G426" s="4"/>
    </row>
    <row r="427">
      <c r="B427" s="11"/>
      <c r="C427" s="11"/>
      <c r="F427" s="12"/>
      <c r="G427" s="4"/>
    </row>
    <row r="428">
      <c r="B428" s="11"/>
      <c r="C428" s="11"/>
      <c r="F428" s="12"/>
      <c r="G428" s="4"/>
    </row>
    <row r="429">
      <c r="B429" s="11"/>
      <c r="C429" s="11"/>
      <c r="F429" s="12"/>
      <c r="G429" s="4"/>
    </row>
    <row r="430">
      <c r="B430" s="11"/>
      <c r="C430" s="11"/>
      <c r="F430" s="12"/>
      <c r="G430" s="4"/>
    </row>
    <row r="431">
      <c r="B431" s="11"/>
      <c r="C431" s="11"/>
      <c r="F431" s="12"/>
      <c r="G431" s="4"/>
    </row>
    <row r="432">
      <c r="B432" s="11"/>
      <c r="C432" s="11"/>
      <c r="F432" s="12"/>
      <c r="G432" s="4"/>
    </row>
    <row r="433">
      <c r="B433" s="11"/>
      <c r="C433" s="11"/>
      <c r="F433" s="12"/>
      <c r="G433" s="4"/>
    </row>
    <row r="434">
      <c r="B434" s="11"/>
      <c r="C434" s="11"/>
      <c r="F434" s="12"/>
      <c r="G434" s="4"/>
    </row>
    <row r="435">
      <c r="B435" s="11"/>
      <c r="C435" s="11"/>
      <c r="F435" s="12"/>
      <c r="G435" s="4"/>
    </row>
    <row r="436">
      <c r="B436" s="11"/>
      <c r="C436" s="11"/>
      <c r="F436" s="12"/>
      <c r="G436" s="4"/>
    </row>
    <row r="437">
      <c r="B437" s="11"/>
      <c r="C437" s="11"/>
      <c r="F437" s="12"/>
      <c r="G437" s="4"/>
    </row>
    <row r="438">
      <c r="B438" s="11"/>
      <c r="C438" s="11"/>
      <c r="F438" s="12"/>
      <c r="G438" s="4"/>
    </row>
    <row r="439">
      <c r="B439" s="11"/>
      <c r="C439" s="11"/>
      <c r="F439" s="12"/>
      <c r="G439" s="4"/>
    </row>
    <row r="440">
      <c r="B440" s="11"/>
      <c r="C440" s="11"/>
      <c r="F440" s="12"/>
      <c r="G440" s="4"/>
    </row>
    <row r="441">
      <c r="B441" s="11"/>
      <c r="C441" s="11"/>
      <c r="F441" s="12"/>
      <c r="G441" s="4"/>
    </row>
    <row r="442">
      <c r="B442" s="11"/>
      <c r="C442" s="11"/>
      <c r="F442" s="12"/>
      <c r="G442" s="4"/>
    </row>
    <row r="443">
      <c r="B443" s="11"/>
      <c r="C443" s="11"/>
      <c r="F443" s="12"/>
      <c r="G443" s="4"/>
    </row>
    <row r="444">
      <c r="B444" s="11"/>
      <c r="C444" s="11"/>
      <c r="F444" s="12"/>
      <c r="G444" s="4"/>
    </row>
    <row r="445">
      <c r="B445" s="11"/>
      <c r="C445" s="11"/>
      <c r="F445" s="12"/>
      <c r="G445" s="4"/>
    </row>
    <row r="446">
      <c r="B446" s="11"/>
      <c r="C446" s="11"/>
      <c r="F446" s="12"/>
      <c r="G446" s="4"/>
    </row>
    <row r="447">
      <c r="B447" s="11"/>
      <c r="C447" s="11"/>
      <c r="F447" s="12"/>
      <c r="G447" s="4"/>
    </row>
    <row r="448">
      <c r="B448" s="11"/>
      <c r="C448" s="11"/>
      <c r="F448" s="12"/>
      <c r="G448" s="4"/>
    </row>
    <row r="449">
      <c r="B449" s="11"/>
      <c r="C449" s="11"/>
      <c r="F449" s="12"/>
      <c r="G449" s="4"/>
    </row>
    <row r="450">
      <c r="B450" s="11"/>
      <c r="C450" s="11"/>
      <c r="F450" s="12"/>
      <c r="G450" s="4"/>
    </row>
    <row r="451">
      <c r="B451" s="11"/>
      <c r="C451" s="11"/>
      <c r="F451" s="12"/>
      <c r="G451" s="4"/>
    </row>
    <row r="452">
      <c r="B452" s="11"/>
      <c r="C452" s="11"/>
      <c r="F452" s="12"/>
      <c r="G452" s="4"/>
    </row>
    <row r="453">
      <c r="B453" s="11"/>
      <c r="C453" s="11"/>
      <c r="F453" s="12"/>
      <c r="G453" s="4"/>
    </row>
    <row r="454">
      <c r="B454" s="11"/>
      <c r="C454" s="11"/>
      <c r="F454" s="12"/>
      <c r="G454" s="4"/>
    </row>
    <row r="455">
      <c r="B455" s="11"/>
      <c r="C455" s="11"/>
      <c r="F455" s="12"/>
      <c r="G455" s="4"/>
    </row>
    <row r="456">
      <c r="B456" s="11"/>
      <c r="C456" s="11"/>
      <c r="F456" s="12"/>
      <c r="G456" s="4"/>
    </row>
    <row r="457">
      <c r="B457" s="11"/>
      <c r="C457" s="11"/>
      <c r="F457" s="12"/>
      <c r="G457" s="4"/>
    </row>
    <row r="458">
      <c r="B458" s="11"/>
      <c r="C458" s="11"/>
      <c r="F458" s="12"/>
      <c r="G458" s="4"/>
    </row>
    <row r="459">
      <c r="B459" s="11"/>
      <c r="C459" s="11"/>
      <c r="F459" s="12"/>
      <c r="G459" s="4"/>
    </row>
    <row r="460">
      <c r="B460" s="11"/>
      <c r="C460" s="11"/>
      <c r="F460" s="12"/>
      <c r="G460" s="4"/>
    </row>
    <row r="461">
      <c r="B461" s="11"/>
      <c r="C461" s="11"/>
      <c r="F461" s="12"/>
      <c r="G461" s="4"/>
    </row>
    <row r="462">
      <c r="B462" s="11"/>
      <c r="C462" s="11"/>
      <c r="F462" s="12"/>
      <c r="G462" s="4"/>
    </row>
    <row r="463">
      <c r="B463" s="11"/>
      <c r="C463" s="11"/>
      <c r="F463" s="12"/>
      <c r="G463" s="4"/>
    </row>
    <row r="464">
      <c r="B464" s="11"/>
      <c r="C464" s="11"/>
      <c r="F464" s="12"/>
      <c r="G464" s="4"/>
    </row>
    <row r="465">
      <c r="B465" s="11"/>
      <c r="C465" s="11"/>
      <c r="F465" s="12"/>
      <c r="G465" s="4"/>
    </row>
    <row r="466">
      <c r="B466" s="11"/>
      <c r="C466" s="11"/>
      <c r="F466" s="12"/>
      <c r="G466" s="4"/>
    </row>
    <row r="467">
      <c r="B467" s="11"/>
      <c r="C467" s="11"/>
      <c r="F467" s="12"/>
      <c r="G467" s="4"/>
    </row>
    <row r="468">
      <c r="B468" s="11"/>
      <c r="C468" s="11"/>
      <c r="F468" s="12"/>
      <c r="G468" s="4"/>
    </row>
    <row r="469">
      <c r="B469" s="11"/>
      <c r="C469" s="11"/>
      <c r="F469" s="12"/>
      <c r="G469" s="4"/>
    </row>
    <row r="470">
      <c r="B470" s="11"/>
      <c r="C470" s="11"/>
      <c r="F470" s="12"/>
      <c r="G470" s="4"/>
    </row>
    <row r="471">
      <c r="B471" s="11"/>
      <c r="C471" s="11"/>
      <c r="F471" s="12"/>
      <c r="G471" s="4"/>
    </row>
    <row r="472">
      <c r="B472" s="11"/>
      <c r="C472" s="11"/>
      <c r="F472" s="12"/>
      <c r="G472" s="4"/>
    </row>
    <row r="473">
      <c r="B473" s="11"/>
      <c r="C473" s="11"/>
      <c r="F473" s="12"/>
      <c r="G473" s="4"/>
    </row>
    <row r="474">
      <c r="B474" s="11"/>
      <c r="C474" s="11"/>
      <c r="F474" s="12"/>
      <c r="G474" s="4"/>
    </row>
    <row r="475">
      <c r="B475" s="11"/>
      <c r="C475" s="11"/>
      <c r="F475" s="12"/>
      <c r="G475" s="4"/>
    </row>
    <row r="476">
      <c r="B476" s="11"/>
      <c r="C476" s="11"/>
      <c r="F476" s="12"/>
      <c r="G476" s="4"/>
    </row>
    <row r="477">
      <c r="B477" s="11"/>
      <c r="C477" s="11"/>
      <c r="F477" s="12"/>
      <c r="G477" s="4"/>
    </row>
    <row r="478">
      <c r="B478" s="11"/>
      <c r="C478" s="11"/>
      <c r="F478" s="12"/>
      <c r="G478" s="4"/>
    </row>
    <row r="479">
      <c r="B479" s="11"/>
      <c r="C479" s="11"/>
      <c r="F479" s="12"/>
      <c r="G479" s="4"/>
    </row>
    <row r="480">
      <c r="B480" s="11"/>
      <c r="C480" s="11"/>
      <c r="F480" s="12"/>
      <c r="G480" s="4"/>
    </row>
    <row r="481">
      <c r="B481" s="11"/>
      <c r="C481" s="11"/>
      <c r="F481" s="12"/>
      <c r="G481" s="4"/>
    </row>
    <row r="482">
      <c r="B482" s="11"/>
      <c r="C482" s="11"/>
      <c r="F482" s="12"/>
      <c r="G482" s="4"/>
    </row>
    <row r="483">
      <c r="B483" s="11"/>
      <c r="C483" s="11"/>
      <c r="F483" s="12"/>
      <c r="G483" s="4"/>
    </row>
    <row r="484">
      <c r="B484" s="11"/>
      <c r="C484" s="11"/>
      <c r="F484" s="12"/>
      <c r="G484" s="4"/>
    </row>
    <row r="485">
      <c r="B485" s="11"/>
      <c r="C485" s="11"/>
      <c r="F485" s="12"/>
      <c r="G485" s="4"/>
    </row>
    <row r="486">
      <c r="B486" s="11"/>
      <c r="C486" s="11"/>
      <c r="F486" s="12"/>
      <c r="G486" s="4"/>
    </row>
    <row r="487">
      <c r="B487" s="11"/>
      <c r="C487" s="11"/>
      <c r="F487" s="12"/>
      <c r="G487" s="4"/>
    </row>
    <row r="488">
      <c r="B488" s="11"/>
      <c r="C488" s="11"/>
      <c r="F488" s="12"/>
      <c r="G488" s="4"/>
    </row>
    <row r="489">
      <c r="B489" s="11"/>
      <c r="C489" s="11"/>
      <c r="F489" s="12"/>
      <c r="G489" s="4"/>
    </row>
    <row r="490">
      <c r="B490" s="11"/>
      <c r="C490" s="11"/>
      <c r="F490" s="12"/>
      <c r="G490" s="4"/>
    </row>
    <row r="491">
      <c r="B491" s="11"/>
      <c r="C491" s="11"/>
      <c r="F491" s="12"/>
      <c r="G491" s="4"/>
    </row>
    <row r="492">
      <c r="B492" s="11"/>
      <c r="C492" s="11"/>
      <c r="F492" s="12"/>
      <c r="G492" s="4"/>
    </row>
    <row r="493">
      <c r="B493" s="11"/>
      <c r="C493" s="11"/>
      <c r="F493" s="12"/>
      <c r="G493" s="4"/>
    </row>
    <row r="494">
      <c r="B494" s="11"/>
      <c r="C494" s="11"/>
      <c r="F494" s="12"/>
      <c r="G494" s="4"/>
    </row>
    <row r="495">
      <c r="B495" s="11"/>
      <c r="C495" s="11"/>
      <c r="F495" s="12"/>
      <c r="G495" s="4"/>
    </row>
    <row r="496">
      <c r="B496" s="11"/>
      <c r="C496" s="11"/>
      <c r="F496" s="12"/>
      <c r="G496" s="4"/>
    </row>
    <row r="497">
      <c r="B497" s="11"/>
      <c r="C497" s="11"/>
      <c r="F497" s="12"/>
      <c r="G497" s="4"/>
    </row>
    <row r="498">
      <c r="B498" s="11"/>
      <c r="C498" s="11"/>
      <c r="F498" s="12"/>
      <c r="G498" s="4"/>
    </row>
    <row r="499">
      <c r="B499" s="11"/>
      <c r="C499" s="11"/>
      <c r="F499" s="12"/>
      <c r="G499" s="4"/>
    </row>
    <row r="500">
      <c r="B500" s="11"/>
      <c r="C500" s="11"/>
      <c r="F500" s="12"/>
      <c r="G500" s="4"/>
    </row>
    <row r="501">
      <c r="B501" s="11"/>
      <c r="C501" s="11"/>
      <c r="F501" s="12"/>
      <c r="G501" s="4"/>
    </row>
    <row r="502">
      <c r="B502" s="11"/>
      <c r="C502" s="11"/>
      <c r="F502" s="12"/>
      <c r="G502" s="4"/>
    </row>
    <row r="503">
      <c r="B503" s="11"/>
      <c r="C503" s="11"/>
      <c r="F503" s="12"/>
      <c r="G503" s="4"/>
    </row>
    <row r="504">
      <c r="B504" s="11"/>
      <c r="C504" s="11"/>
      <c r="F504" s="12"/>
      <c r="G504" s="4"/>
    </row>
    <row r="505">
      <c r="B505" s="11"/>
      <c r="C505" s="11"/>
      <c r="F505" s="12"/>
      <c r="G505" s="4"/>
    </row>
    <row r="506">
      <c r="B506" s="11"/>
      <c r="C506" s="11"/>
      <c r="F506" s="12"/>
      <c r="G506" s="4"/>
    </row>
    <row r="507">
      <c r="B507" s="11"/>
      <c r="C507" s="11"/>
      <c r="F507" s="12"/>
      <c r="G507" s="4"/>
    </row>
    <row r="508">
      <c r="B508" s="11"/>
      <c r="C508" s="11"/>
      <c r="F508" s="12"/>
      <c r="G508" s="4"/>
    </row>
    <row r="509">
      <c r="B509" s="11"/>
      <c r="C509" s="11"/>
      <c r="F509" s="12"/>
      <c r="G509" s="4"/>
    </row>
    <row r="510">
      <c r="B510" s="11"/>
      <c r="C510" s="11"/>
      <c r="F510" s="12"/>
      <c r="G510" s="4"/>
    </row>
    <row r="511">
      <c r="B511" s="11"/>
      <c r="C511" s="11"/>
      <c r="F511" s="12"/>
      <c r="G511" s="4"/>
    </row>
    <row r="512">
      <c r="B512" s="11"/>
      <c r="C512" s="11"/>
      <c r="F512" s="12"/>
      <c r="G512" s="4"/>
    </row>
    <row r="513">
      <c r="B513" s="11"/>
      <c r="C513" s="11"/>
      <c r="F513" s="12"/>
      <c r="G513" s="4"/>
    </row>
    <row r="514">
      <c r="B514" s="11"/>
      <c r="C514" s="11"/>
      <c r="F514" s="12"/>
      <c r="G514" s="4"/>
    </row>
    <row r="515">
      <c r="B515" s="11"/>
      <c r="C515" s="11"/>
      <c r="F515" s="12"/>
      <c r="G515" s="4"/>
    </row>
    <row r="516">
      <c r="B516" s="11"/>
      <c r="C516" s="11"/>
      <c r="F516" s="12"/>
      <c r="G516" s="4"/>
    </row>
    <row r="517">
      <c r="B517" s="11"/>
      <c r="C517" s="11"/>
      <c r="F517" s="12"/>
      <c r="G517" s="4"/>
    </row>
    <row r="518">
      <c r="B518" s="11"/>
      <c r="C518" s="11"/>
      <c r="F518" s="12"/>
      <c r="G518" s="4"/>
    </row>
    <row r="519">
      <c r="B519" s="11"/>
      <c r="C519" s="11"/>
      <c r="F519" s="12"/>
      <c r="G519" s="4"/>
    </row>
    <row r="520">
      <c r="B520" s="11"/>
      <c r="C520" s="11"/>
      <c r="F520" s="12"/>
      <c r="G520" s="4"/>
    </row>
    <row r="521">
      <c r="B521" s="11"/>
      <c r="C521" s="11"/>
      <c r="F521" s="12"/>
      <c r="G521" s="4"/>
    </row>
    <row r="522">
      <c r="B522" s="11"/>
      <c r="C522" s="11"/>
      <c r="F522" s="12"/>
      <c r="G522" s="4"/>
    </row>
    <row r="523">
      <c r="B523" s="11"/>
      <c r="C523" s="11"/>
      <c r="F523" s="12"/>
      <c r="G523" s="4"/>
    </row>
    <row r="524">
      <c r="B524" s="11"/>
      <c r="C524" s="11"/>
      <c r="F524" s="12"/>
      <c r="G524" s="4"/>
    </row>
    <row r="525">
      <c r="B525" s="11"/>
      <c r="C525" s="11"/>
      <c r="F525" s="12"/>
      <c r="G525" s="4"/>
    </row>
    <row r="526">
      <c r="B526" s="11"/>
      <c r="C526" s="11"/>
      <c r="F526" s="12"/>
      <c r="G526" s="4"/>
    </row>
    <row r="527">
      <c r="B527" s="11"/>
      <c r="C527" s="11"/>
      <c r="F527" s="12"/>
      <c r="G527" s="4"/>
    </row>
    <row r="528">
      <c r="B528" s="11"/>
      <c r="C528" s="11"/>
      <c r="F528" s="12"/>
      <c r="G528" s="4"/>
    </row>
    <row r="529">
      <c r="B529" s="11"/>
      <c r="C529" s="11"/>
      <c r="F529" s="12"/>
      <c r="G529" s="4"/>
    </row>
    <row r="530">
      <c r="B530" s="11"/>
      <c r="C530" s="11"/>
      <c r="F530" s="12"/>
      <c r="G530" s="4"/>
    </row>
    <row r="531">
      <c r="B531" s="11"/>
      <c r="C531" s="11"/>
      <c r="F531" s="12"/>
      <c r="G531" s="4"/>
    </row>
    <row r="532">
      <c r="B532" s="11"/>
      <c r="C532" s="11"/>
      <c r="F532" s="12"/>
      <c r="G532" s="4"/>
    </row>
    <row r="533">
      <c r="B533" s="11"/>
      <c r="C533" s="11"/>
      <c r="F533" s="12"/>
      <c r="G533" s="4"/>
    </row>
    <row r="534">
      <c r="B534" s="11"/>
      <c r="C534" s="11"/>
      <c r="F534" s="12"/>
      <c r="G534" s="4"/>
    </row>
    <row r="535">
      <c r="B535" s="11"/>
      <c r="C535" s="11"/>
      <c r="F535" s="12"/>
      <c r="G535" s="4"/>
    </row>
    <row r="536">
      <c r="B536" s="11"/>
      <c r="C536" s="11"/>
      <c r="F536" s="12"/>
      <c r="G536" s="4"/>
    </row>
    <row r="537">
      <c r="B537" s="11"/>
      <c r="C537" s="11"/>
      <c r="F537" s="12"/>
      <c r="G537" s="4"/>
    </row>
    <row r="538">
      <c r="B538" s="11"/>
      <c r="C538" s="11"/>
      <c r="F538" s="12"/>
      <c r="G538" s="4"/>
    </row>
    <row r="539">
      <c r="B539" s="11"/>
      <c r="C539" s="11"/>
      <c r="F539" s="12"/>
      <c r="G539" s="4"/>
    </row>
    <row r="540">
      <c r="B540" s="11"/>
      <c r="C540" s="11"/>
      <c r="F540" s="12"/>
      <c r="G540" s="4"/>
    </row>
    <row r="541">
      <c r="B541" s="11"/>
      <c r="C541" s="11"/>
      <c r="F541" s="12"/>
      <c r="G541" s="4"/>
    </row>
    <row r="542">
      <c r="B542" s="11"/>
      <c r="C542" s="11"/>
      <c r="F542" s="12"/>
      <c r="G542" s="4"/>
    </row>
    <row r="543">
      <c r="B543" s="11"/>
      <c r="C543" s="11"/>
      <c r="F543" s="12"/>
      <c r="G543" s="4"/>
    </row>
    <row r="544">
      <c r="B544" s="11"/>
      <c r="C544" s="11"/>
      <c r="F544" s="12"/>
      <c r="G544" s="4"/>
    </row>
    <row r="545">
      <c r="B545" s="11"/>
      <c r="C545" s="11"/>
      <c r="F545" s="12"/>
      <c r="G545" s="4"/>
    </row>
    <row r="546">
      <c r="B546" s="11"/>
      <c r="C546" s="11"/>
      <c r="F546" s="12"/>
      <c r="G546" s="4"/>
    </row>
    <row r="547">
      <c r="B547" s="11"/>
      <c r="C547" s="11"/>
      <c r="F547" s="12"/>
      <c r="G547" s="4"/>
    </row>
    <row r="548">
      <c r="B548" s="11"/>
      <c r="C548" s="11"/>
      <c r="F548" s="12"/>
      <c r="G548" s="4"/>
    </row>
    <row r="549">
      <c r="B549" s="11"/>
      <c r="C549" s="11"/>
      <c r="F549" s="12"/>
      <c r="G549" s="4"/>
    </row>
    <row r="550">
      <c r="B550" s="11"/>
      <c r="C550" s="11"/>
      <c r="F550" s="12"/>
      <c r="G550" s="4"/>
    </row>
    <row r="551">
      <c r="B551" s="11"/>
      <c r="C551" s="11"/>
      <c r="F551" s="12"/>
      <c r="G551" s="4"/>
    </row>
    <row r="552">
      <c r="B552" s="11"/>
      <c r="C552" s="11"/>
      <c r="F552" s="12"/>
      <c r="G552" s="4"/>
    </row>
    <row r="553">
      <c r="B553" s="11"/>
      <c r="C553" s="11"/>
      <c r="F553" s="12"/>
      <c r="G553" s="4"/>
    </row>
    <row r="554">
      <c r="B554" s="11"/>
      <c r="C554" s="11"/>
      <c r="F554" s="12"/>
      <c r="G554" s="4"/>
    </row>
    <row r="555">
      <c r="B555" s="11"/>
      <c r="C555" s="11"/>
      <c r="F555" s="12"/>
      <c r="G555" s="4"/>
    </row>
    <row r="556">
      <c r="B556" s="11"/>
      <c r="C556" s="11"/>
      <c r="F556" s="12"/>
      <c r="G556" s="4"/>
    </row>
    <row r="557">
      <c r="B557" s="11"/>
      <c r="C557" s="11"/>
      <c r="F557" s="12"/>
      <c r="G557" s="4"/>
    </row>
    <row r="558">
      <c r="B558" s="11"/>
      <c r="C558" s="11"/>
      <c r="F558" s="12"/>
      <c r="G558" s="4"/>
    </row>
    <row r="559">
      <c r="B559" s="11"/>
      <c r="C559" s="11"/>
      <c r="F559" s="12"/>
      <c r="G559" s="4"/>
    </row>
    <row r="560">
      <c r="B560" s="11"/>
      <c r="C560" s="11"/>
      <c r="F560" s="12"/>
      <c r="G560" s="4"/>
    </row>
    <row r="561">
      <c r="B561" s="11"/>
      <c r="C561" s="11"/>
      <c r="F561" s="12"/>
      <c r="G561" s="4"/>
    </row>
    <row r="562">
      <c r="B562" s="11"/>
      <c r="C562" s="11"/>
      <c r="F562" s="12"/>
      <c r="G562" s="4"/>
    </row>
    <row r="563">
      <c r="B563" s="11"/>
      <c r="C563" s="11"/>
      <c r="F563" s="12"/>
      <c r="G563" s="4"/>
    </row>
    <row r="564">
      <c r="B564" s="11"/>
      <c r="C564" s="11"/>
      <c r="F564" s="12"/>
      <c r="G564" s="4"/>
    </row>
    <row r="565">
      <c r="B565" s="11"/>
      <c r="C565" s="11"/>
      <c r="F565" s="12"/>
      <c r="G565" s="4"/>
    </row>
    <row r="566">
      <c r="B566" s="11"/>
      <c r="C566" s="11"/>
      <c r="F566" s="12"/>
      <c r="G566" s="4"/>
    </row>
    <row r="567">
      <c r="B567" s="11"/>
      <c r="C567" s="11"/>
      <c r="F567" s="12"/>
      <c r="G567" s="4"/>
    </row>
    <row r="568">
      <c r="B568" s="11"/>
      <c r="C568" s="11"/>
      <c r="F568" s="12"/>
      <c r="G568" s="4"/>
    </row>
    <row r="569">
      <c r="B569" s="11"/>
      <c r="C569" s="11"/>
      <c r="F569" s="12"/>
      <c r="G569" s="4"/>
    </row>
    <row r="570">
      <c r="B570" s="11"/>
      <c r="C570" s="11"/>
      <c r="F570" s="12"/>
      <c r="G570" s="4"/>
    </row>
    <row r="571">
      <c r="B571" s="11"/>
      <c r="C571" s="11"/>
      <c r="F571" s="12"/>
      <c r="G571" s="4"/>
    </row>
    <row r="572">
      <c r="B572" s="11"/>
      <c r="C572" s="11"/>
      <c r="F572" s="12"/>
      <c r="G572" s="4"/>
    </row>
    <row r="573">
      <c r="B573" s="11"/>
      <c r="C573" s="11"/>
      <c r="F573" s="12"/>
      <c r="G573" s="4"/>
    </row>
    <row r="574">
      <c r="B574" s="11"/>
      <c r="C574" s="11"/>
      <c r="F574" s="12"/>
      <c r="G574" s="4"/>
    </row>
    <row r="575">
      <c r="B575" s="11"/>
      <c r="C575" s="11"/>
      <c r="F575" s="12"/>
      <c r="G575" s="4"/>
    </row>
    <row r="576">
      <c r="B576" s="11"/>
      <c r="C576" s="11"/>
      <c r="F576" s="12"/>
      <c r="G576" s="4"/>
    </row>
    <row r="577">
      <c r="B577" s="11"/>
      <c r="C577" s="11"/>
      <c r="F577" s="12"/>
      <c r="G577" s="4"/>
    </row>
    <row r="578">
      <c r="B578" s="11"/>
      <c r="C578" s="11"/>
      <c r="F578" s="12"/>
      <c r="G578" s="4"/>
    </row>
    <row r="579">
      <c r="B579" s="11"/>
      <c r="C579" s="11"/>
      <c r="F579" s="12"/>
      <c r="G579" s="4"/>
    </row>
    <row r="580">
      <c r="B580" s="11"/>
      <c r="C580" s="11"/>
      <c r="F580" s="12"/>
      <c r="G580" s="4"/>
    </row>
    <row r="581">
      <c r="B581" s="11"/>
      <c r="C581" s="11"/>
      <c r="F581" s="12"/>
      <c r="G581" s="4"/>
    </row>
    <row r="582">
      <c r="B582" s="11"/>
      <c r="C582" s="11"/>
      <c r="F582" s="12"/>
      <c r="G582" s="4"/>
    </row>
    <row r="583">
      <c r="B583" s="11"/>
      <c r="C583" s="11"/>
      <c r="F583" s="12"/>
      <c r="G583" s="4"/>
    </row>
    <row r="584">
      <c r="B584" s="11"/>
      <c r="C584" s="11"/>
      <c r="F584" s="12"/>
      <c r="G584" s="4"/>
    </row>
    <row r="585">
      <c r="B585" s="11"/>
      <c r="C585" s="11"/>
      <c r="F585" s="12"/>
      <c r="G585" s="4"/>
    </row>
    <row r="586">
      <c r="B586" s="11"/>
      <c r="C586" s="11"/>
      <c r="F586" s="12"/>
      <c r="G586" s="4"/>
    </row>
    <row r="587">
      <c r="B587" s="11"/>
      <c r="C587" s="11"/>
      <c r="F587" s="12"/>
      <c r="G587" s="4"/>
    </row>
    <row r="588">
      <c r="B588" s="11"/>
      <c r="C588" s="11"/>
      <c r="F588" s="12"/>
      <c r="G588" s="4"/>
    </row>
    <row r="589">
      <c r="B589" s="11"/>
      <c r="C589" s="11"/>
      <c r="F589" s="12"/>
      <c r="G589" s="4"/>
    </row>
    <row r="590">
      <c r="B590" s="11"/>
      <c r="C590" s="11"/>
      <c r="F590" s="12"/>
      <c r="G590" s="4"/>
    </row>
    <row r="591">
      <c r="B591" s="11"/>
      <c r="C591" s="11"/>
      <c r="F591" s="12"/>
      <c r="G591" s="4"/>
    </row>
    <row r="592">
      <c r="B592" s="11"/>
      <c r="C592" s="11"/>
      <c r="F592" s="12"/>
      <c r="G592" s="4"/>
    </row>
    <row r="593">
      <c r="B593" s="11"/>
      <c r="C593" s="11"/>
      <c r="F593" s="12"/>
      <c r="G593" s="4"/>
    </row>
    <row r="594">
      <c r="B594" s="11"/>
      <c r="C594" s="11"/>
      <c r="F594" s="12"/>
      <c r="G594" s="4"/>
    </row>
    <row r="595">
      <c r="B595" s="11"/>
      <c r="C595" s="11"/>
      <c r="F595" s="12"/>
      <c r="G595" s="4"/>
    </row>
    <row r="596">
      <c r="B596" s="11"/>
      <c r="C596" s="11"/>
      <c r="F596" s="12"/>
      <c r="G596" s="4"/>
    </row>
    <row r="597">
      <c r="B597" s="11"/>
      <c r="C597" s="11"/>
      <c r="F597" s="12"/>
      <c r="G597" s="4"/>
    </row>
    <row r="598">
      <c r="B598" s="11"/>
      <c r="C598" s="11"/>
      <c r="F598" s="12"/>
      <c r="G598" s="4"/>
    </row>
    <row r="599">
      <c r="B599" s="11"/>
      <c r="C599" s="11"/>
      <c r="F599" s="12"/>
      <c r="G599" s="4"/>
    </row>
    <row r="600">
      <c r="B600" s="11"/>
      <c r="C600" s="11"/>
      <c r="F600" s="12"/>
      <c r="G600" s="4"/>
    </row>
    <row r="601">
      <c r="B601" s="11"/>
      <c r="C601" s="11"/>
      <c r="F601" s="12"/>
      <c r="G601" s="4"/>
    </row>
    <row r="602">
      <c r="B602" s="11"/>
      <c r="C602" s="11"/>
      <c r="F602" s="12"/>
      <c r="G602" s="4"/>
    </row>
    <row r="603">
      <c r="B603" s="11"/>
      <c r="C603" s="11"/>
      <c r="F603" s="12"/>
      <c r="G603" s="4"/>
    </row>
    <row r="604">
      <c r="B604" s="11"/>
      <c r="C604" s="11"/>
      <c r="F604" s="12"/>
      <c r="G604" s="4"/>
    </row>
    <row r="605">
      <c r="B605" s="11"/>
      <c r="C605" s="11"/>
      <c r="F605" s="12"/>
      <c r="G605" s="4"/>
    </row>
    <row r="606">
      <c r="B606" s="11"/>
      <c r="C606" s="11"/>
      <c r="F606" s="12"/>
      <c r="G606" s="4"/>
    </row>
    <row r="607">
      <c r="B607" s="11"/>
      <c r="C607" s="11"/>
      <c r="F607" s="12"/>
      <c r="G607" s="4"/>
    </row>
    <row r="608">
      <c r="B608" s="11"/>
      <c r="C608" s="11"/>
      <c r="F608" s="12"/>
      <c r="G608" s="4"/>
    </row>
    <row r="609">
      <c r="B609" s="11"/>
      <c r="C609" s="11"/>
      <c r="F609" s="12"/>
      <c r="G609" s="4"/>
    </row>
    <row r="610">
      <c r="B610" s="11"/>
      <c r="C610" s="11"/>
      <c r="F610" s="12"/>
      <c r="G610" s="4"/>
    </row>
    <row r="611">
      <c r="B611" s="11"/>
      <c r="C611" s="11"/>
      <c r="F611" s="12"/>
      <c r="G611" s="4"/>
    </row>
    <row r="612">
      <c r="B612" s="11"/>
      <c r="C612" s="11"/>
      <c r="F612" s="12"/>
      <c r="G612" s="4"/>
    </row>
    <row r="613">
      <c r="B613" s="11"/>
      <c r="C613" s="11"/>
      <c r="F613" s="12"/>
      <c r="G613" s="4"/>
    </row>
    <row r="614">
      <c r="B614" s="11"/>
      <c r="C614" s="11"/>
      <c r="F614" s="12"/>
      <c r="G614" s="4"/>
    </row>
    <row r="615">
      <c r="B615" s="11"/>
      <c r="C615" s="11"/>
      <c r="F615" s="12"/>
      <c r="G615" s="4"/>
    </row>
    <row r="616">
      <c r="B616" s="11"/>
      <c r="C616" s="11"/>
      <c r="F616" s="12"/>
      <c r="G616" s="4"/>
    </row>
    <row r="617">
      <c r="B617" s="11"/>
      <c r="C617" s="11"/>
      <c r="F617" s="12"/>
      <c r="G617" s="4"/>
    </row>
    <row r="618">
      <c r="B618" s="11"/>
      <c r="C618" s="11"/>
      <c r="F618" s="12"/>
      <c r="G618" s="4"/>
    </row>
    <row r="619">
      <c r="B619" s="11"/>
      <c r="C619" s="11"/>
      <c r="F619" s="12"/>
      <c r="G619" s="4"/>
    </row>
    <row r="620">
      <c r="B620" s="11"/>
      <c r="C620" s="11"/>
      <c r="F620" s="12"/>
      <c r="G620" s="4"/>
    </row>
    <row r="621">
      <c r="B621" s="11"/>
      <c r="C621" s="11"/>
      <c r="F621" s="12"/>
      <c r="G621" s="4"/>
    </row>
    <row r="622">
      <c r="B622" s="11"/>
      <c r="C622" s="11"/>
      <c r="F622" s="12"/>
      <c r="G622" s="4"/>
    </row>
    <row r="623">
      <c r="B623" s="11"/>
      <c r="C623" s="11"/>
      <c r="F623" s="12"/>
      <c r="G623" s="4"/>
    </row>
    <row r="624">
      <c r="B624" s="11"/>
      <c r="C624" s="11"/>
      <c r="F624" s="12"/>
      <c r="G624" s="4"/>
    </row>
    <row r="625">
      <c r="B625" s="11"/>
      <c r="C625" s="11"/>
      <c r="F625" s="12"/>
      <c r="G625" s="4"/>
    </row>
    <row r="626">
      <c r="B626" s="11"/>
      <c r="C626" s="11"/>
      <c r="F626" s="12"/>
      <c r="G626" s="4"/>
    </row>
    <row r="627">
      <c r="B627" s="11"/>
      <c r="C627" s="11"/>
      <c r="F627" s="12"/>
      <c r="G627" s="4"/>
    </row>
    <row r="628">
      <c r="B628" s="11"/>
      <c r="C628" s="11"/>
      <c r="F628" s="12"/>
      <c r="G628" s="4"/>
    </row>
    <row r="629">
      <c r="B629" s="11"/>
      <c r="C629" s="11"/>
      <c r="F629" s="12"/>
      <c r="G629" s="4"/>
    </row>
    <row r="630">
      <c r="B630" s="11"/>
      <c r="C630" s="11"/>
      <c r="F630" s="12"/>
      <c r="G630" s="4"/>
    </row>
    <row r="631">
      <c r="B631" s="11"/>
      <c r="C631" s="11"/>
      <c r="F631" s="12"/>
      <c r="G631" s="4"/>
    </row>
    <row r="632">
      <c r="B632" s="11"/>
      <c r="C632" s="11"/>
      <c r="F632" s="12"/>
      <c r="G632" s="4"/>
    </row>
    <row r="633">
      <c r="B633" s="11"/>
      <c r="C633" s="11"/>
      <c r="F633" s="12"/>
      <c r="G633" s="4"/>
    </row>
    <row r="634">
      <c r="B634" s="11"/>
      <c r="C634" s="11"/>
      <c r="F634" s="12"/>
      <c r="G634" s="4"/>
    </row>
    <row r="635">
      <c r="B635" s="11"/>
      <c r="C635" s="11"/>
      <c r="F635" s="12"/>
      <c r="G635" s="4"/>
    </row>
    <row r="636">
      <c r="B636" s="11"/>
      <c r="C636" s="11"/>
      <c r="F636" s="12"/>
      <c r="G636" s="4"/>
    </row>
    <row r="637">
      <c r="B637" s="11"/>
      <c r="C637" s="11"/>
      <c r="F637" s="12"/>
      <c r="G637" s="4"/>
    </row>
    <row r="638">
      <c r="B638" s="11"/>
      <c r="C638" s="11"/>
      <c r="F638" s="12"/>
      <c r="G638" s="4"/>
    </row>
    <row r="639">
      <c r="B639" s="11"/>
      <c r="C639" s="11"/>
      <c r="F639" s="12"/>
      <c r="G639" s="4"/>
    </row>
    <row r="640">
      <c r="B640" s="11"/>
      <c r="C640" s="11"/>
      <c r="F640" s="12"/>
      <c r="G640" s="4"/>
    </row>
    <row r="641">
      <c r="B641" s="11"/>
      <c r="C641" s="11"/>
      <c r="F641" s="12"/>
      <c r="G641" s="4"/>
    </row>
    <row r="642">
      <c r="B642" s="11"/>
      <c r="C642" s="11"/>
      <c r="F642" s="12"/>
      <c r="G642" s="4"/>
    </row>
    <row r="643">
      <c r="B643" s="11"/>
      <c r="C643" s="11"/>
      <c r="F643" s="12"/>
      <c r="G643" s="4"/>
    </row>
    <row r="644">
      <c r="B644" s="11"/>
      <c r="C644" s="11"/>
      <c r="F644" s="12"/>
      <c r="G644" s="4"/>
    </row>
    <row r="645">
      <c r="B645" s="11"/>
      <c r="C645" s="11"/>
      <c r="F645" s="12"/>
      <c r="G645" s="4"/>
    </row>
    <row r="646">
      <c r="B646" s="11"/>
      <c r="C646" s="11"/>
      <c r="F646" s="12"/>
      <c r="G646" s="4"/>
    </row>
    <row r="647">
      <c r="B647" s="11"/>
      <c r="C647" s="11"/>
      <c r="F647" s="12"/>
      <c r="G647" s="4"/>
    </row>
    <row r="648">
      <c r="B648" s="11"/>
      <c r="C648" s="11"/>
      <c r="F648" s="12"/>
      <c r="G648" s="4"/>
    </row>
    <row r="649">
      <c r="B649" s="11"/>
      <c r="C649" s="11"/>
      <c r="F649" s="12"/>
      <c r="G649" s="4"/>
    </row>
    <row r="650">
      <c r="B650" s="11"/>
      <c r="C650" s="11"/>
      <c r="F650" s="12"/>
      <c r="G650" s="4"/>
    </row>
    <row r="651">
      <c r="B651" s="11"/>
      <c r="C651" s="11"/>
      <c r="F651" s="12"/>
      <c r="G651" s="4"/>
    </row>
    <row r="652">
      <c r="B652" s="11"/>
      <c r="C652" s="11"/>
      <c r="F652" s="12"/>
      <c r="G652" s="4"/>
    </row>
    <row r="653">
      <c r="B653" s="11"/>
      <c r="C653" s="11"/>
      <c r="F653" s="12"/>
      <c r="G653" s="4"/>
    </row>
    <row r="654">
      <c r="B654" s="11"/>
      <c r="C654" s="11"/>
      <c r="F654" s="12"/>
      <c r="G654" s="4"/>
    </row>
    <row r="655">
      <c r="B655" s="11"/>
      <c r="C655" s="11"/>
      <c r="F655" s="12"/>
      <c r="G655" s="4"/>
    </row>
    <row r="656">
      <c r="B656" s="11"/>
      <c r="C656" s="11"/>
      <c r="F656" s="12"/>
      <c r="G656" s="4"/>
    </row>
    <row r="657">
      <c r="B657" s="11"/>
      <c r="C657" s="11"/>
      <c r="F657" s="12"/>
      <c r="G657" s="4"/>
    </row>
    <row r="658">
      <c r="B658" s="11"/>
      <c r="C658" s="11"/>
      <c r="F658" s="12"/>
      <c r="G658" s="4"/>
    </row>
    <row r="659">
      <c r="B659" s="11"/>
      <c r="C659" s="11"/>
      <c r="F659" s="12"/>
      <c r="G659" s="4"/>
    </row>
    <row r="660">
      <c r="B660" s="11"/>
      <c r="C660" s="11"/>
      <c r="F660" s="12"/>
      <c r="G660" s="4"/>
    </row>
    <row r="661">
      <c r="B661" s="11"/>
      <c r="C661" s="11"/>
      <c r="F661" s="12"/>
      <c r="G661" s="4"/>
    </row>
    <row r="662">
      <c r="B662" s="11"/>
      <c r="C662" s="11"/>
      <c r="F662" s="12"/>
      <c r="G662" s="4"/>
    </row>
    <row r="663">
      <c r="B663" s="11"/>
      <c r="C663" s="11"/>
      <c r="F663" s="12"/>
      <c r="G663" s="4"/>
    </row>
    <row r="664">
      <c r="B664" s="11"/>
      <c r="C664" s="11"/>
      <c r="F664" s="12"/>
      <c r="G664" s="4"/>
    </row>
    <row r="665">
      <c r="B665" s="11"/>
      <c r="C665" s="11"/>
      <c r="F665" s="12"/>
      <c r="G665" s="4"/>
    </row>
    <row r="666">
      <c r="B666" s="11"/>
      <c r="C666" s="11"/>
      <c r="F666" s="12"/>
      <c r="G666" s="4"/>
    </row>
    <row r="667">
      <c r="B667" s="11"/>
      <c r="C667" s="11"/>
      <c r="F667" s="12"/>
      <c r="G667" s="4"/>
    </row>
    <row r="668">
      <c r="B668" s="11"/>
      <c r="C668" s="11"/>
      <c r="F668" s="12"/>
      <c r="G668" s="4"/>
    </row>
    <row r="669">
      <c r="B669" s="11"/>
      <c r="C669" s="11"/>
      <c r="F669" s="12"/>
      <c r="G669" s="4"/>
    </row>
    <row r="670">
      <c r="B670" s="11"/>
      <c r="C670" s="11"/>
      <c r="F670" s="12"/>
      <c r="G670" s="4"/>
    </row>
    <row r="671">
      <c r="B671" s="11"/>
      <c r="C671" s="11"/>
      <c r="F671" s="12"/>
      <c r="G671" s="4"/>
    </row>
    <row r="672">
      <c r="B672" s="11"/>
      <c r="C672" s="11"/>
      <c r="F672" s="12"/>
      <c r="G672" s="4"/>
    </row>
    <row r="673">
      <c r="B673" s="11"/>
      <c r="C673" s="11"/>
      <c r="F673" s="12"/>
      <c r="G673" s="4"/>
    </row>
    <row r="674">
      <c r="B674" s="11"/>
      <c r="C674" s="11"/>
      <c r="F674" s="12"/>
      <c r="G674" s="4"/>
    </row>
    <row r="675">
      <c r="B675" s="11"/>
      <c r="C675" s="11"/>
      <c r="F675" s="12"/>
      <c r="G675" s="4"/>
    </row>
    <row r="676">
      <c r="B676" s="11"/>
      <c r="C676" s="11"/>
      <c r="F676" s="12"/>
      <c r="G676" s="4"/>
    </row>
    <row r="677">
      <c r="B677" s="11"/>
      <c r="C677" s="11"/>
      <c r="F677" s="12"/>
      <c r="G677" s="4"/>
    </row>
    <row r="678">
      <c r="B678" s="11"/>
      <c r="C678" s="11"/>
      <c r="F678" s="12"/>
      <c r="G678" s="4"/>
    </row>
    <row r="679">
      <c r="B679" s="11"/>
      <c r="C679" s="11"/>
      <c r="F679" s="12"/>
      <c r="G679" s="4"/>
    </row>
    <row r="680">
      <c r="B680" s="11"/>
      <c r="C680" s="11"/>
      <c r="F680" s="12"/>
      <c r="G680" s="4"/>
    </row>
    <row r="681">
      <c r="B681" s="11"/>
      <c r="C681" s="11"/>
      <c r="F681" s="12"/>
      <c r="G681" s="4"/>
    </row>
    <row r="682">
      <c r="B682" s="11"/>
      <c r="C682" s="11"/>
      <c r="F682" s="12"/>
      <c r="G682" s="4"/>
    </row>
    <row r="683">
      <c r="B683" s="11"/>
      <c r="C683" s="11"/>
      <c r="F683" s="12"/>
      <c r="G683" s="4"/>
    </row>
    <row r="684">
      <c r="B684" s="11"/>
      <c r="C684" s="11"/>
      <c r="F684" s="12"/>
      <c r="G684" s="4"/>
    </row>
    <row r="685">
      <c r="B685" s="11"/>
      <c r="C685" s="11"/>
      <c r="F685" s="12"/>
      <c r="G685" s="4"/>
    </row>
    <row r="686">
      <c r="B686" s="11"/>
      <c r="C686" s="11"/>
      <c r="F686" s="12"/>
      <c r="G686" s="4"/>
    </row>
    <row r="687">
      <c r="B687" s="11"/>
      <c r="C687" s="11"/>
      <c r="F687" s="12"/>
      <c r="G687" s="4"/>
    </row>
    <row r="688">
      <c r="B688" s="11"/>
      <c r="C688" s="11"/>
      <c r="F688" s="12"/>
      <c r="G688" s="4"/>
    </row>
    <row r="689">
      <c r="B689" s="11"/>
      <c r="C689" s="11"/>
      <c r="F689" s="12"/>
      <c r="G689" s="4"/>
    </row>
    <row r="690">
      <c r="B690" s="11"/>
      <c r="C690" s="11"/>
      <c r="F690" s="12"/>
      <c r="G690" s="4"/>
    </row>
    <row r="691">
      <c r="B691" s="11"/>
      <c r="C691" s="11"/>
      <c r="F691" s="12"/>
      <c r="G691" s="4"/>
    </row>
    <row r="692">
      <c r="B692" s="11"/>
      <c r="C692" s="11"/>
      <c r="F692" s="12"/>
      <c r="G692" s="4"/>
    </row>
    <row r="693">
      <c r="B693" s="11"/>
      <c r="C693" s="11"/>
      <c r="F693" s="12"/>
      <c r="G693" s="4"/>
    </row>
    <row r="694">
      <c r="B694" s="11"/>
      <c r="C694" s="11"/>
      <c r="F694" s="12"/>
      <c r="G694" s="4"/>
    </row>
    <row r="695">
      <c r="B695" s="11"/>
      <c r="C695" s="11"/>
      <c r="F695" s="12"/>
      <c r="G695" s="4"/>
    </row>
    <row r="696">
      <c r="B696" s="11"/>
      <c r="C696" s="11"/>
      <c r="F696" s="12"/>
      <c r="G696" s="4"/>
    </row>
    <row r="697">
      <c r="B697" s="11"/>
      <c r="C697" s="11"/>
      <c r="F697" s="12"/>
      <c r="G697" s="4"/>
    </row>
    <row r="698">
      <c r="B698" s="11"/>
      <c r="C698" s="11"/>
      <c r="F698" s="12"/>
      <c r="G698" s="4"/>
    </row>
    <row r="699">
      <c r="B699" s="11"/>
      <c r="C699" s="11"/>
      <c r="F699" s="12"/>
      <c r="G699" s="4"/>
    </row>
    <row r="700">
      <c r="B700" s="11"/>
      <c r="C700" s="11"/>
      <c r="F700" s="12"/>
      <c r="G700" s="4"/>
    </row>
    <row r="701">
      <c r="B701" s="11"/>
      <c r="C701" s="11"/>
      <c r="F701" s="12"/>
      <c r="G701" s="4"/>
    </row>
    <row r="702">
      <c r="B702" s="11"/>
      <c r="C702" s="11"/>
      <c r="F702" s="12"/>
      <c r="G702" s="4"/>
    </row>
    <row r="703">
      <c r="B703" s="11"/>
      <c r="C703" s="11"/>
      <c r="F703" s="12"/>
      <c r="G703" s="4"/>
    </row>
    <row r="704">
      <c r="B704" s="11"/>
      <c r="C704" s="11"/>
      <c r="F704" s="12"/>
      <c r="G704" s="4"/>
    </row>
    <row r="705">
      <c r="B705" s="11"/>
      <c r="C705" s="11"/>
      <c r="F705" s="12"/>
      <c r="G705" s="4"/>
    </row>
    <row r="706">
      <c r="B706" s="11"/>
      <c r="C706" s="11"/>
      <c r="F706" s="12"/>
      <c r="G706" s="4"/>
    </row>
    <row r="707">
      <c r="B707" s="11"/>
      <c r="C707" s="11"/>
      <c r="F707" s="12"/>
      <c r="G707" s="4"/>
    </row>
    <row r="708">
      <c r="B708" s="11"/>
      <c r="C708" s="11"/>
      <c r="F708" s="12"/>
      <c r="G708" s="4"/>
    </row>
    <row r="709">
      <c r="B709" s="11"/>
      <c r="C709" s="11"/>
      <c r="F709" s="12"/>
      <c r="G709" s="4"/>
    </row>
    <row r="710">
      <c r="B710" s="11"/>
      <c r="C710" s="11"/>
      <c r="F710" s="12"/>
      <c r="G710" s="4"/>
    </row>
    <row r="711">
      <c r="B711" s="11"/>
      <c r="C711" s="11"/>
      <c r="F711" s="12"/>
      <c r="G711" s="4"/>
    </row>
    <row r="712">
      <c r="B712" s="11"/>
      <c r="C712" s="11"/>
      <c r="F712" s="12"/>
      <c r="G712" s="4"/>
    </row>
    <row r="713">
      <c r="B713" s="11"/>
      <c r="C713" s="11"/>
      <c r="F713" s="12"/>
      <c r="G713" s="4"/>
    </row>
    <row r="714">
      <c r="B714" s="11"/>
      <c r="C714" s="11"/>
      <c r="F714" s="12"/>
      <c r="G714" s="4"/>
    </row>
    <row r="715">
      <c r="B715" s="11"/>
      <c r="C715" s="11"/>
      <c r="F715" s="12"/>
      <c r="G715" s="4"/>
    </row>
    <row r="716">
      <c r="B716" s="11"/>
      <c r="C716" s="11"/>
      <c r="F716" s="12"/>
      <c r="G716" s="4"/>
    </row>
    <row r="717">
      <c r="B717" s="11"/>
      <c r="C717" s="11"/>
      <c r="F717" s="12"/>
      <c r="G717" s="4"/>
    </row>
    <row r="718">
      <c r="B718" s="11"/>
      <c r="C718" s="11"/>
      <c r="F718" s="12"/>
      <c r="G718" s="4"/>
    </row>
    <row r="719">
      <c r="B719" s="11"/>
      <c r="C719" s="11"/>
      <c r="F719" s="12"/>
      <c r="G719" s="4"/>
    </row>
    <row r="720">
      <c r="B720" s="11"/>
      <c r="C720" s="11"/>
      <c r="F720" s="12"/>
      <c r="G720" s="4"/>
    </row>
    <row r="721">
      <c r="B721" s="11"/>
      <c r="C721" s="11"/>
      <c r="F721" s="12"/>
      <c r="G721" s="4"/>
    </row>
    <row r="722">
      <c r="B722" s="11"/>
      <c r="C722" s="11"/>
      <c r="F722" s="12"/>
      <c r="G722" s="4"/>
    </row>
    <row r="723">
      <c r="B723" s="11"/>
      <c r="C723" s="11"/>
      <c r="F723" s="12"/>
      <c r="G723" s="4"/>
    </row>
    <row r="724">
      <c r="B724" s="11"/>
      <c r="C724" s="11"/>
      <c r="F724" s="12"/>
      <c r="G724" s="4"/>
    </row>
    <row r="725">
      <c r="B725" s="11"/>
      <c r="C725" s="11"/>
      <c r="F725" s="12"/>
      <c r="G725" s="4"/>
    </row>
    <row r="726">
      <c r="B726" s="11"/>
      <c r="C726" s="11"/>
      <c r="F726" s="12"/>
      <c r="G726" s="4"/>
    </row>
    <row r="727">
      <c r="B727" s="11"/>
      <c r="C727" s="11"/>
      <c r="F727" s="12"/>
      <c r="G727" s="4"/>
    </row>
    <row r="728">
      <c r="B728" s="11"/>
      <c r="C728" s="11"/>
      <c r="F728" s="12"/>
      <c r="G728" s="4"/>
    </row>
    <row r="729">
      <c r="B729" s="11"/>
      <c r="C729" s="11"/>
      <c r="F729" s="12"/>
      <c r="G729" s="4"/>
    </row>
    <row r="730">
      <c r="B730" s="11"/>
      <c r="C730" s="11"/>
      <c r="F730" s="12"/>
      <c r="G730" s="4"/>
    </row>
    <row r="731">
      <c r="B731" s="11"/>
      <c r="C731" s="11"/>
      <c r="F731" s="12"/>
      <c r="G731" s="4"/>
    </row>
    <row r="732">
      <c r="B732" s="11"/>
      <c r="C732" s="11"/>
      <c r="F732" s="12"/>
      <c r="G732" s="4"/>
    </row>
    <row r="733">
      <c r="B733" s="11"/>
      <c r="C733" s="11"/>
      <c r="F733" s="12"/>
      <c r="G733" s="4"/>
    </row>
    <row r="734">
      <c r="B734" s="11"/>
      <c r="C734" s="11"/>
      <c r="F734" s="12"/>
      <c r="G734" s="4"/>
    </row>
    <row r="735">
      <c r="B735" s="11"/>
      <c r="C735" s="11"/>
      <c r="F735" s="12"/>
      <c r="G735" s="4"/>
    </row>
    <row r="736">
      <c r="B736" s="11"/>
      <c r="C736" s="11"/>
      <c r="F736" s="12"/>
      <c r="G736" s="4"/>
    </row>
    <row r="737">
      <c r="B737" s="11"/>
      <c r="C737" s="11"/>
      <c r="F737" s="12"/>
      <c r="G737" s="4"/>
    </row>
    <row r="738">
      <c r="B738" s="11"/>
      <c r="C738" s="11"/>
      <c r="F738" s="12"/>
      <c r="G738" s="4"/>
    </row>
    <row r="739">
      <c r="B739" s="11"/>
      <c r="C739" s="11"/>
      <c r="F739" s="12"/>
      <c r="G739" s="4"/>
    </row>
    <row r="740">
      <c r="B740" s="11"/>
      <c r="C740" s="11"/>
      <c r="F740" s="12"/>
      <c r="G740" s="4"/>
    </row>
    <row r="741">
      <c r="B741" s="11"/>
      <c r="C741" s="11"/>
      <c r="F741" s="12"/>
      <c r="G741" s="4"/>
    </row>
    <row r="742">
      <c r="B742" s="11"/>
      <c r="C742" s="11"/>
      <c r="F742" s="12"/>
      <c r="G742" s="4"/>
    </row>
    <row r="743">
      <c r="B743" s="11"/>
      <c r="C743" s="11"/>
      <c r="F743" s="12"/>
      <c r="G743" s="4"/>
    </row>
    <row r="744">
      <c r="B744" s="11"/>
      <c r="C744" s="11"/>
      <c r="F744" s="12"/>
      <c r="G744" s="4"/>
    </row>
    <row r="745">
      <c r="B745" s="11"/>
      <c r="C745" s="11"/>
      <c r="F745" s="12"/>
      <c r="G745" s="4"/>
    </row>
    <row r="746">
      <c r="B746" s="11"/>
      <c r="C746" s="11"/>
      <c r="F746" s="12"/>
      <c r="G746" s="4"/>
    </row>
    <row r="747">
      <c r="B747" s="11"/>
      <c r="C747" s="11"/>
      <c r="F747" s="12"/>
      <c r="G747" s="4"/>
    </row>
    <row r="748">
      <c r="B748" s="11"/>
      <c r="C748" s="11"/>
      <c r="F748" s="12"/>
      <c r="G748" s="4"/>
    </row>
    <row r="749">
      <c r="B749" s="11"/>
      <c r="C749" s="11"/>
      <c r="F749" s="12"/>
      <c r="G749" s="4"/>
    </row>
    <row r="750">
      <c r="B750" s="11"/>
      <c r="C750" s="11"/>
      <c r="F750" s="12"/>
      <c r="G750" s="4"/>
    </row>
    <row r="751">
      <c r="B751" s="11"/>
      <c r="C751" s="11"/>
      <c r="F751" s="12"/>
      <c r="G751" s="4"/>
    </row>
    <row r="752">
      <c r="B752" s="11"/>
      <c r="C752" s="11"/>
      <c r="F752" s="12"/>
      <c r="G752" s="4"/>
    </row>
    <row r="753">
      <c r="B753" s="11"/>
      <c r="C753" s="11"/>
      <c r="F753" s="12"/>
      <c r="G753" s="4"/>
    </row>
    <row r="754">
      <c r="B754" s="11"/>
      <c r="C754" s="11"/>
      <c r="F754" s="12"/>
      <c r="G754" s="4"/>
    </row>
    <row r="755">
      <c r="B755" s="11"/>
      <c r="C755" s="11"/>
      <c r="F755" s="12"/>
      <c r="G755" s="4"/>
    </row>
    <row r="756">
      <c r="B756" s="11"/>
      <c r="C756" s="11"/>
      <c r="F756" s="12"/>
      <c r="G756" s="4"/>
    </row>
    <row r="757">
      <c r="B757" s="11"/>
      <c r="C757" s="11"/>
      <c r="F757" s="12"/>
      <c r="G757" s="4"/>
    </row>
    <row r="758">
      <c r="B758" s="11"/>
      <c r="C758" s="11"/>
      <c r="F758" s="12"/>
      <c r="G758" s="4"/>
    </row>
    <row r="759">
      <c r="B759" s="11"/>
      <c r="C759" s="11"/>
      <c r="F759" s="12"/>
      <c r="G759" s="4"/>
    </row>
    <row r="760">
      <c r="B760" s="11"/>
      <c r="C760" s="11"/>
      <c r="F760" s="12"/>
      <c r="G760" s="4"/>
    </row>
    <row r="761">
      <c r="B761" s="11"/>
      <c r="C761" s="11"/>
      <c r="F761" s="12"/>
      <c r="G761" s="4"/>
    </row>
    <row r="762">
      <c r="B762" s="11"/>
      <c r="C762" s="11"/>
      <c r="F762" s="12"/>
      <c r="G762" s="4"/>
    </row>
    <row r="763">
      <c r="B763" s="11"/>
      <c r="C763" s="11"/>
      <c r="F763" s="12"/>
      <c r="G763" s="4"/>
    </row>
    <row r="764">
      <c r="B764" s="11"/>
      <c r="C764" s="11"/>
      <c r="F764" s="12"/>
      <c r="G764" s="4"/>
    </row>
    <row r="765">
      <c r="B765" s="11"/>
      <c r="C765" s="11"/>
      <c r="F765" s="12"/>
      <c r="G765" s="4"/>
    </row>
    <row r="766">
      <c r="B766" s="11"/>
      <c r="C766" s="11"/>
      <c r="F766" s="12"/>
      <c r="G766" s="4"/>
    </row>
    <row r="767">
      <c r="B767" s="11"/>
      <c r="C767" s="11"/>
      <c r="F767" s="12"/>
      <c r="G767" s="4"/>
    </row>
    <row r="768">
      <c r="B768" s="11"/>
      <c r="C768" s="11"/>
      <c r="F768" s="12"/>
      <c r="G768" s="4"/>
    </row>
    <row r="769">
      <c r="B769" s="11"/>
      <c r="C769" s="11"/>
      <c r="F769" s="12"/>
      <c r="G769" s="4"/>
    </row>
    <row r="770">
      <c r="B770" s="11"/>
      <c r="C770" s="11"/>
      <c r="F770" s="12"/>
      <c r="G770" s="4"/>
    </row>
    <row r="771">
      <c r="B771" s="11"/>
      <c r="C771" s="11"/>
      <c r="F771" s="12"/>
      <c r="G771" s="4"/>
    </row>
    <row r="772">
      <c r="B772" s="11"/>
      <c r="C772" s="11"/>
      <c r="F772" s="12"/>
      <c r="G772" s="4"/>
    </row>
    <row r="773">
      <c r="B773" s="11"/>
      <c r="C773" s="11"/>
      <c r="F773" s="12"/>
      <c r="G773" s="4"/>
    </row>
    <row r="774">
      <c r="B774" s="11"/>
      <c r="C774" s="11"/>
      <c r="F774" s="12"/>
      <c r="G774" s="4"/>
    </row>
    <row r="775">
      <c r="B775" s="11"/>
      <c r="C775" s="11"/>
      <c r="F775" s="12"/>
      <c r="G775" s="4"/>
    </row>
    <row r="776">
      <c r="B776" s="11"/>
      <c r="C776" s="11"/>
      <c r="F776" s="12"/>
      <c r="G776" s="4"/>
    </row>
    <row r="777">
      <c r="B777" s="11"/>
      <c r="C777" s="11"/>
      <c r="F777" s="12"/>
      <c r="G777" s="4"/>
    </row>
    <row r="778">
      <c r="B778" s="11"/>
      <c r="C778" s="11"/>
      <c r="F778" s="12"/>
      <c r="G778" s="4"/>
    </row>
    <row r="779">
      <c r="B779" s="11"/>
      <c r="C779" s="11"/>
      <c r="F779" s="12"/>
      <c r="G779" s="4"/>
    </row>
    <row r="780">
      <c r="B780" s="11"/>
      <c r="C780" s="11"/>
      <c r="F780" s="12"/>
      <c r="G780" s="4"/>
    </row>
    <row r="781">
      <c r="B781" s="11"/>
      <c r="C781" s="11"/>
      <c r="F781" s="12"/>
      <c r="G781" s="4"/>
    </row>
    <row r="782">
      <c r="B782" s="11"/>
      <c r="C782" s="11"/>
      <c r="F782" s="12"/>
      <c r="G782" s="4"/>
    </row>
    <row r="783">
      <c r="B783" s="11"/>
      <c r="C783" s="11"/>
      <c r="F783" s="12"/>
      <c r="G783" s="4"/>
    </row>
    <row r="784">
      <c r="B784" s="11"/>
      <c r="C784" s="11"/>
      <c r="F784" s="12"/>
      <c r="G784" s="4"/>
    </row>
    <row r="785">
      <c r="B785" s="11"/>
      <c r="C785" s="11"/>
      <c r="F785" s="12"/>
      <c r="G785" s="4"/>
    </row>
    <row r="786">
      <c r="B786" s="11"/>
      <c r="C786" s="11"/>
      <c r="F786" s="12"/>
      <c r="G786" s="4"/>
    </row>
    <row r="787">
      <c r="B787" s="11"/>
      <c r="C787" s="11"/>
      <c r="F787" s="12"/>
      <c r="G787" s="4"/>
    </row>
    <row r="788">
      <c r="B788" s="11"/>
      <c r="C788" s="11"/>
      <c r="F788" s="12"/>
      <c r="G788" s="4"/>
    </row>
    <row r="789">
      <c r="B789" s="11"/>
      <c r="C789" s="11"/>
      <c r="F789" s="12"/>
      <c r="G789" s="4"/>
    </row>
    <row r="790">
      <c r="B790" s="11"/>
      <c r="C790" s="11"/>
      <c r="F790" s="12"/>
      <c r="G790" s="4"/>
    </row>
    <row r="791">
      <c r="B791" s="11"/>
      <c r="C791" s="11"/>
      <c r="F791" s="12"/>
      <c r="G791" s="4"/>
    </row>
    <row r="792">
      <c r="B792" s="11"/>
      <c r="C792" s="11"/>
      <c r="F792" s="12"/>
      <c r="G792" s="4"/>
    </row>
    <row r="793">
      <c r="B793" s="11"/>
      <c r="C793" s="11"/>
      <c r="F793" s="12"/>
      <c r="G793" s="4"/>
    </row>
    <row r="794">
      <c r="B794" s="11"/>
      <c r="C794" s="11"/>
      <c r="F794" s="12"/>
      <c r="G794" s="4"/>
    </row>
    <row r="795">
      <c r="B795" s="11"/>
      <c r="C795" s="11"/>
      <c r="F795" s="12"/>
      <c r="G795" s="4"/>
    </row>
    <row r="796">
      <c r="B796" s="11"/>
      <c r="C796" s="11"/>
      <c r="F796" s="12"/>
      <c r="G796" s="4"/>
    </row>
    <row r="797">
      <c r="B797" s="11"/>
      <c r="C797" s="11"/>
      <c r="F797" s="12"/>
      <c r="G797" s="4"/>
    </row>
    <row r="798">
      <c r="B798" s="11"/>
      <c r="C798" s="11"/>
      <c r="F798" s="12"/>
      <c r="G798" s="4"/>
    </row>
    <row r="799">
      <c r="B799" s="11"/>
      <c r="C799" s="11"/>
      <c r="F799" s="12"/>
      <c r="G799" s="4"/>
    </row>
    <row r="800">
      <c r="B800" s="11"/>
      <c r="C800" s="11"/>
      <c r="F800" s="12"/>
      <c r="G800" s="4"/>
    </row>
    <row r="801">
      <c r="B801" s="11"/>
      <c r="C801" s="11"/>
      <c r="F801" s="12"/>
      <c r="G801" s="4"/>
    </row>
    <row r="802">
      <c r="B802" s="11"/>
      <c r="C802" s="11"/>
      <c r="F802" s="12"/>
      <c r="G802" s="4"/>
    </row>
    <row r="803">
      <c r="B803" s="11"/>
      <c r="C803" s="11"/>
      <c r="F803" s="12"/>
      <c r="G803" s="4"/>
    </row>
    <row r="804">
      <c r="B804" s="11"/>
      <c r="C804" s="11"/>
      <c r="F804" s="12"/>
      <c r="G804" s="4"/>
    </row>
    <row r="805">
      <c r="B805" s="11"/>
      <c r="C805" s="11"/>
      <c r="F805" s="12"/>
      <c r="G805" s="4"/>
    </row>
    <row r="806">
      <c r="B806" s="11"/>
      <c r="C806" s="11"/>
      <c r="F806" s="12"/>
      <c r="G806" s="4"/>
    </row>
    <row r="807">
      <c r="B807" s="11"/>
      <c r="C807" s="11"/>
      <c r="F807" s="12"/>
      <c r="G807" s="4"/>
    </row>
    <row r="808">
      <c r="B808" s="11"/>
      <c r="C808" s="11"/>
      <c r="F808" s="12"/>
      <c r="G808" s="4"/>
    </row>
    <row r="809">
      <c r="B809" s="11"/>
      <c r="C809" s="11"/>
      <c r="F809" s="12"/>
      <c r="G809" s="4"/>
    </row>
    <row r="810">
      <c r="B810" s="11"/>
      <c r="C810" s="11"/>
      <c r="F810" s="12"/>
      <c r="G810" s="4"/>
    </row>
    <row r="811">
      <c r="B811" s="11"/>
      <c r="C811" s="11"/>
      <c r="F811" s="12"/>
      <c r="G811" s="4"/>
    </row>
    <row r="812">
      <c r="B812" s="11"/>
      <c r="C812" s="11"/>
      <c r="F812" s="12"/>
      <c r="G812" s="4"/>
    </row>
    <row r="813">
      <c r="B813" s="11"/>
      <c r="C813" s="11"/>
      <c r="F813" s="12"/>
      <c r="G813" s="4"/>
    </row>
    <row r="814">
      <c r="B814" s="11"/>
      <c r="C814" s="11"/>
      <c r="F814" s="12"/>
      <c r="G814" s="4"/>
    </row>
    <row r="815">
      <c r="B815" s="11"/>
      <c r="C815" s="11"/>
      <c r="F815" s="12"/>
      <c r="G815" s="4"/>
    </row>
    <row r="816">
      <c r="B816" s="11"/>
      <c r="C816" s="11"/>
      <c r="F816" s="12"/>
      <c r="G816" s="4"/>
    </row>
    <row r="817">
      <c r="B817" s="11"/>
      <c r="C817" s="11"/>
      <c r="F817" s="12"/>
      <c r="G817" s="4"/>
    </row>
    <row r="818">
      <c r="B818" s="11"/>
      <c r="C818" s="11"/>
      <c r="F818" s="12"/>
      <c r="G818" s="4"/>
    </row>
    <row r="819">
      <c r="B819" s="11"/>
      <c r="C819" s="11"/>
      <c r="F819" s="12"/>
      <c r="G819" s="4"/>
    </row>
    <row r="820">
      <c r="B820" s="11"/>
      <c r="C820" s="11"/>
      <c r="F820" s="12"/>
      <c r="G820" s="4"/>
    </row>
    <row r="821">
      <c r="B821" s="11"/>
      <c r="C821" s="11"/>
      <c r="F821" s="12"/>
      <c r="G821" s="4"/>
    </row>
    <row r="822">
      <c r="B822" s="11"/>
      <c r="C822" s="11"/>
      <c r="F822" s="12"/>
      <c r="G822" s="4"/>
    </row>
    <row r="823">
      <c r="B823" s="11"/>
      <c r="C823" s="11"/>
      <c r="F823" s="12"/>
      <c r="G823" s="4"/>
    </row>
    <row r="824">
      <c r="B824" s="11"/>
      <c r="C824" s="11"/>
      <c r="F824" s="12"/>
      <c r="G824" s="4"/>
    </row>
    <row r="825">
      <c r="B825" s="11"/>
      <c r="C825" s="11"/>
      <c r="F825" s="12"/>
      <c r="G825" s="4"/>
    </row>
    <row r="826">
      <c r="B826" s="11"/>
      <c r="C826" s="11"/>
      <c r="F826" s="12"/>
      <c r="G826" s="4"/>
    </row>
    <row r="827">
      <c r="B827" s="11"/>
      <c r="C827" s="11"/>
      <c r="F827" s="12"/>
      <c r="G827" s="4"/>
    </row>
    <row r="828">
      <c r="B828" s="11"/>
      <c r="C828" s="11"/>
      <c r="F828" s="12"/>
      <c r="G828" s="4"/>
    </row>
    <row r="829">
      <c r="B829" s="11"/>
      <c r="C829" s="11"/>
      <c r="F829" s="12"/>
      <c r="G829" s="4"/>
    </row>
    <row r="830">
      <c r="B830" s="11"/>
      <c r="C830" s="11"/>
      <c r="F830" s="12"/>
      <c r="G830" s="4"/>
    </row>
    <row r="831">
      <c r="B831" s="11"/>
      <c r="C831" s="11"/>
      <c r="F831" s="12"/>
      <c r="G831" s="4"/>
    </row>
    <row r="832">
      <c r="B832" s="11"/>
      <c r="C832" s="11"/>
      <c r="F832" s="12"/>
      <c r="G832" s="4"/>
    </row>
    <row r="833">
      <c r="B833" s="11"/>
      <c r="C833" s="11"/>
      <c r="F833" s="12"/>
      <c r="G833" s="4"/>
    </row>
    <row r="834">
      <c r="B834" s="11"/>
      <c r="C834" s="11"/>
      <c r="F834" s="12"/>
      <c r="G834" s="4"/>
    </row>
    <row r="835">
      <c r="B835" s="11"/>
      <c r="C835" s="11"/>
      <c r="F835" s="12"/>
      <c r="G835" s="4"/>
    </row>
    <row r="836">
      <c r="B836" s="11"/>
      <c r="C836" s="11"/>
      <c r="F836" s="12"/>
      <c r="G836" s="4"/>
    </row>
    <row r="837">
      <c r="B837" s="11"/>
      <c r="C837" s="11"/>
      <c r="F837" s="12"/>
      <c r="G837" s="4"/>
    </row>
    <row r="838">
      <c r="B838" s="11"/>
      <c r="C838" s="11"/>
      <c r="F838" s="12"/>
      <c r="G838" s="4"/>
    </row>
    <row r="839">
      <c r="B839" s="11"/>
      <c r="C839" s="11"/>
      <c r="F839" s="12"/>
      <c r="G839" s="4"/>
    </row>
    <row r="840">
      <c r="B840" s="11"/>
      <c r="C840" s="11"/>
      <c r="F840" s="12"/>
      <c r="G840" s="4"/>
    </row>
    <row r="841">
      <c r="B841" s="11"/>
      <c r="C841" s="11"/>
      <c r="F841" s="12"/>
      <c r="G841" s="4"/>
    </row>
    <row r="842">
      <c r="B842" s="11"/>
      <c r="C842" s="11"/>
      <c r="F842" s="12"/>
      <c r="G842" s="4"/>
    </row>
    <row r="843">
      <c r="B843" s="11"/>
      <c r="C843" s="11"/>
      <c r="F843" s="12"/>
      <c r="G843" s="4"/>
    </row>
    <row r="844">
      <c r="B844" s="11"/>
      <c r="C844" s="11"/>
      <c r="F844" s="12"/>
      <c r="G844" s="4"/>
    </row>
    <row r="845">
      <c r="B845" s="11"/>
      <c r="C845" s="11"/>
      <c r="F845" s="12"/>
      <c r="G845" s="4"/>
    </row>
    <row r="846">
      <c r="B846" s="11"/>
      <c r="C846" s="11"/>
      <c r="F846" s="12"/>
      <c r="G846" s="4"/>
    </row>
    <row r="847">
      <c r="B847" s="11"/>
      <c r="C847" s="11"/>
      <c r="F847" s="12"/>
      <c r="G847" s="4"/>
    </row>
    <row r="848">
      <c r="B848" s="11"/>
      <c r="C848" s="11"/>
      <c r="F848" s="12"/>
      <c r="G848" s="4"/>
    </row>
    <row r="849">
      <c r="B849" s="11"/>
      <c r="C849" s="11"/>
      <c r="F849" s="12"/>
      <c r="G849" s="4"/>
    </row>
    <row r="850">
      <c r="B850" s="11"/>
      <c r="C850" s="11"/>
      <c r="F850" s="12"/>
      <c r="G850" s="4"/>
    </row>
    <row r="851">
      <c r="B851" s="11"/>
      <c r="C851" s="11"/>
      <c r="F851" s="12"/>
      <c r="G851" s="4"/>
    </row>
    <row r="852">
      <c r="B852" s="11"/>
      <c r="C852" s="11"/>
      <c r="F852" s="12"/>
      <c r="G852" s="4"/>
    </row>
    <row r="853">
      <c r="B853" s="11"/>
      <c r="C853" s="11"/>
      <c r="F853" s="12"/>
      <c r="G853" s="4"/>
    </row>
    <row r="854">
      <c r="B854" s="11"/>
      <c r="C854" s="11"/>
      <c r="F854" s="12"/>
      <c r="G854" s="4"/>
    </row>
    <row r="855">
      <c r="B855" s="11"/>
      <c r="C855" s="11"/>
      <c r="F855" s="12"/>
      <c r="G855" s="4"/>
    </row>
    <row r="856">
      <c r="B856" s="11"/>
      <c r="C856" s="11"/>
      <c r="F856" s="12"/>
      <c r="G856" s="4"/>
    </row>
    <row r="857">
      <c r="B857" s="11"/>
      <c r="C857" s="11"/>
      <c r="F857" s="12"/>
      <c r="G857" s="4"/>
    </row>
    <row r="858">
      <c r="B858" s="11"/>
      <c r="C858" s="11"/>
      <c r="F858" s="12"/>
      <c r="G858" s="4"/>
    </row>
    <row r="859">
      <c r="B859" s="11"/>
      <c r="C859" s="11"/>
      <c r="F859" s="12"/>
      <c r="G859" s="4"/>
    </row>
    <row r="860">
      <c r="B860" s="11"/>
      <c r="C860" s="11"/>
      <c r="F860" s="12"/>
      <c r="G860" s="4"/>
    </row>
    <row r="861">
      <c r="B861" s="11"/>
      <c r="C861" s="11"/>
      <c r="F861" s="12"/>
      <c r="G861" s="4"/>
    </row>
    <row r="862">
      <c r="B862" s="11"/>
      <c r="C862" s="11"/>
      <c r="F862" s="12"/>
      <c r="G862" s="4"/>
    </row>
    <row r="863">
      <c r="B863" s="11"/>
      <c r="C863" s="11"/>
      <c r="F863" s="12"/>
      <c r="G863" s="4"/>
    </row>
    <row r="864">
      <c r="B864" s="11"/>
      <c r="C864" s="11"/>
      <c r="F864" s="12"/>
      <c r="G864" s="4"/>
    </row>
    <row r="865">
      <c r="B865" s="11"/>
      <c r="C865" s="11"/>
      <c r="F865" s="12"/>
      <c r="G865" s="4"/>
    </row>
    <row r="866">
      <c r="B866" s="11"/>
      <c r="C866" s="11"/>
      <c r="F866" s="12"/>
      <c r="G866" s="4"/>
    </row>
    <row r="867">
      <c r="B867" s="11"/>
      <c r="C867" s="11"/>
      <c r="F867" s="12"/>
      <c r="G867" s="4"/>
    </row>
    <row r="868">
      <c r="B868" s="11"/>
      <c r="C868" s="11"/>
      <c r="F868" s="12"/>
      <c r="G868" s="4"/>
    </row>
    <row r="869">
      <c r="B869" s="11"/>
      <c r="C869" s="11"/>
      <c r="F869" s="12"/>
      <c r="G869" s="4"/>
    </row>
    <row r="870">
      <c r="B870" s="11"/>
      <c r="C870" s="11"/>
      <c r="F870" s="12"/>
      <c r="G870" s="4"/>
    </row>
    <row r="871">
      <c r="B871" s="11"/>
      <c r="C871" s="11"/>
      <c r="F871" s="12"/>
      <c r="G871" s="4"/>
    </row>
    <row r="872">
      <c r="B872" s="11"/>
      <c r="C872" s="11"/>
      <c r="F872" s="12"/>
      <c r="G872" s="4"/>
    </row>
    <row r="873">
      <c r="B873" s="11"/>
      <c r="C873" s="11"/>
      <c r="F873" s="12"/>
      <c r="G873" s="4"/>
    </row>
    <row r="874">
      <c r="B874" s="11"/>
      <c r="C874" s="11"/>
      <c r="F874" s="12"/>
      <c r="G874" s="4"/>
    </row>
    <row r="875">
      <c r="B875" s="11"/>
      <c r="C875" s="11"/>
      <c r="F875" s="12"/>
      <c r="G875" s="4"/>
    </row>
    <row r="876">
      <c r="B876" s="11"/>
      <c r="C876" s="11"/>
      <c r="F876" s="12"/>
      <c r="G876" s="4"/>
    </row>
    <row r="877">
      <c r="B877" s="11"/>
      <c r="C877" s="11"/>
      <c r="F877" s="12"/>
      <c r="G877" s="4"/>
    </row>
    <row r="878">
      <c r="B878" s="11"/>
      <c r="C878" s="11"/>
      <c r="F878" s="12"/>
      <c r="G878" s="4"/>
    </row>
    <row r="879">
      <c r="B879" s="11"/>
      <c r="C879" s="11"/>
      <c r="F879" s="12"/>
      <c r="G879" s="4"/>
    </row>
    <row r="880">
      <c r="B880" s="11"/>
      <c r="C880" s="11"/>
      <c r="F880" s="12"/>
      <c r="G880" s="4"/>
    </row>
    <row r="881">
      <c r="B881" s="11"/>
      <c r="C881" s="11"/>
      <c r="F881" s="12"/>
      <c r="G881" s="4"/>
    </row>
    <row r="882">
      <c r="B882" s="11"/>
      <c r="C882" s="11"/>
      <c r="F882" s="12"/>
      <c r="G882" s="4"/>
    </row>
    <row r="883">
      <c r="B883" s="11"/>
      <c r="C883" s="11"/>
      <c r="F883" s="12"/>
      <c r="G883" s="4"/>
    </row>
    <row r="884">
      <c r="B884" s="11"/>
      <c r="C884" s="11"/>
      <c r="F884" s="12"/>
      <c r="G884" s="4"/>
    </row>
    <row r="885">
      <c r="B885" s="11"/>
      <c r="C885" s="11"/>
      <c r="F885" s="12"/>
      <c r="G885" s="4"/>
    </row>
    <row r="886">
      <c r="B886" s="11"/>
      <c r="C886" s="11"/>
      <c r="F886" s="12"/>
      <c r="G886" s="4"/>
    </row>
    <row r="887">
      <c r="B887" s="11"/>
      <c r="C887" s="11"/>
      <c r="F887" s="12"/>
      <c r="G887" s="4"/>
    </row>
    <row r="888">
      <c r="B888" s="11"/>
      <c r="C888" s="11"/>
      <c r="F888" s="12"/>
      <c r="G888" s="4"/>
    </row>
    <row r="889">
      <c r="B889" s="11"/>
      <c r="C889" s="11"/>
      <c r="F889" s="12"/>
      <c r="G889" s="4"/>
    </row>
    <row r="890">
      <c r="B890" s="11"/>
      <c r="C890" s="11"/>
      <c r="F890" s="12"/>
      <c r="G890" s="4"/>
    </row>
    <row r="891">
      <c r="B891" s="11"/>
      <c r="C891" s="11"/>
      <c r="F891" s="12"/>
      <c r="G891" s="4"/>
    </row>
    <row r="892">
      <c r="B892" s="11"/>
      <c r="C892" s="11"/>
      <c r="F892" s="12"/>
      <c r="G892" s="4"/>
    </row>
    <row r="893">
      <c r="B893" s="11"/>
      <c r="C893" s="11"/>
      <c r="F893" s="12"/>
      <c r="G893" s="4"/>
    </row>
    <row r="894">
      <c r="B894" s="11"/>
      <c r="C894" s="11"/>
      <c r="F894" s="12"/>
      <c r="G894" s="4"/>
    </row>
    <row r="895">
      <c r="B895" s="11"/>
      <c r="C895" s="11"/>
      <c r="F895" s="12"/>
      <c r="G895" s="4"/>
    </row>
    <row r="896">
      <c r="B896" s="11"/>
      <c r="C896" s="11"/>
      <c r="F896" s="12"/>
      <c r="G896" s="4"/>
    </row>
    <row r="897">
      <c r="B897" s="11"/>
      <c r="C897" s="11"/>
      <c r="F897" s="12"/>
      <c r="G897" s="4"/>
    </row>
    <row r="898">
      <c r="B898" s="11"/>
      <c r="C898" s="11"/>
      <c r="F898" s="12"/>
      <c r="G898" s="4"/>
    </row>
    <row r="899">
      <c r="B899" s="11"/>
      <c r="C899" s="11"/>
      <c r="F899" s="12"/>
      <c r="G899" s="4"/>
    </row>
    <row r="900">
      <c r="B900" s="11"/>
      <c r="C900" s="11"/>
      <c r="F900" s="12"/>
      <c r="G900" s="4"/>
    </row>
    <row r="901">
      <c r="B901" s="11"/>
      <c r="C901" s="11"/>
      <c r="F901" s="12"/>
      <c r="G901" s="4"/>
    </row>
    <row r="902">
      <c r="B902" s="11"/>
      <c r="C902" s="11"/>
      <c r="F902" s="12"/>
      <c r="G902" s="4"/>
    </row>
    <row r="903">
      <c r="B903" s="11"/>
      <c r="C903" s="11"/>
      <c r="F903" s="12"/>
      <c r="G903" s="4"/>
    </row>
    <row r="904">
      <c r="B904" s="11"/>
      <c r="C904" s="11"/>
      <c r="F904" s="12"/>
      <c r="G904" s="4"/>
    </row>
    <row r="905">
      <c r="B905" s="11"/>
      <c r="C905" s="11"/>
      <c r="F905" s="12"/>
      <c r="G905" s="4"/>
    </row>
    <row r="906">
      <c r="B906" s="11"/>
      <c r="C906" s="11"/>
      <c r="F906" s="12"/>
      <c r="G906" s="4"/>
    </row>
    <row r="907">
      <c r="B907" s="11"/>
      <c r="C907" s="11"/>
      <c r="F907" s="12"/>
      <c r="G907" s="4"/>
    </row>
    <row r="908">
      <c r="B908" s="11"/>
      <c r="C908" s="11"/>
      <c r="F908" s="12"/>
      <c r="G908" s="4"/>
    </row>
    <row r="909">
      <c r="B909" s="11"/>
      <c r="C909" s="11"/>
      <c r="F909" s="12"/>
      <c r="G909" s="4"/>
    </row>
    <row r="910">
      <c r="B910" s="11"/>
      <c r="C910" s="11"/>
      <c r="F910" s="12"/>
      <c r="G910" s="4"/>
    </row>
    <row r="911">
      <c r="B911" s="11"/>
      <c r="C911" s="11"/>
      <c r="F911" s="12"/>
      <c r="G911" s="4"/>
    </row>
    <row r="912">
      <c r="B912" s="11"/>
      <c r="C912" s="11"/>
      <c r="F912" s="12"/>
      <c r="G912" s="4"/>
    </row>
    <row r="913">
      <c r="B913" s="11"/>
      <c r="C913" s="11"/>
      <c r="F913" s="12"/>
      <c r="G913" s="4"/>
    </row>
    <row r="914">
      <c r="B914" s="11"/>
      <c r="C914" s="11"/>
      <c r="F914" s="12"/>
      <c r="G914" s="4"/>
    </row>
    <row r="915">
      <c r="B915" s="11"/>
      <c r="C915" s="11"/>
      <c r="F915" s="12"/>
      <c r="G915" s="4"/>
    </row>
    <row r="916">
      <c r="B916" s="11"/>
      <c r="C916" s="11"/>
      <c r="F916" s="12"/>
      <c r="G916" s="4"/>
    </row>
    <row r="917">
      <c r="B917" s="11"/>
      <c r="C917" s="11"/>
      <c r="F917" s="12"/>
      <c r="G917" s="4"/>
    </row>
    <row r="918">
      <c r="B918" s="11"/>
      <c r="C918" s="11"/>
      <c r="F918" s="12"/>
      <c r="G918" s="4"/>
    </row>
    <row r="919">
      <c r="B919" s="11"/>
      <c r="C919" s="11"/>
      <c r="F919" s="12"/>
      <c r="G919" s="4"/>
    </row>
    <row r="920">
      <c r="B920" s="11"/>
      <c r="C920" s="11"/>
      <c r="F920" s="12"/>
      <c r="G920" s="4"/>
    </row>
    <row r="921">
      <c r="B921" s="11"/>
      <c r="C921" s="11"/>
      <c r="F921" s="12"/>
      <c r="G921" s="4"/>
    </row>
    <row r="922">
      <c r="B922" s="11"/>
      <c r="C922" s="11"/>
      <c r="F922" s="12"/>
      <c r="G922" s="4"/>
    </row>
    <row r="923">
      <c r="B923" s="11"/>
      <c r="C923" s="11"/>
      <c r="F923" s="12"/>
      <c r="G923" s="4"/>
    </row>
    <row r="924">
      <c r="B924" s="11"/>
      <c r="C924" s="11"/>
      <c r="F924" s="12"/>
      <c r="G924" s="4"/>
    </row>
    <row r="925">
      <c r="B925" s="11"/>
      <c r="C925" s="11"/>
      <c r="F925" s="12"/>
      <c r="G925" s="4"/>
    </row>
    <row r="926">
      <c r="B926" s="11"/>
      <c r="C926" s="11"/>
      <c r="F926" s="12"/>
      <c r="G926" s="4"/>
    </row>
    <row r="927">
      <c r="B927" s="11"/>
      <c r="C927" s="11"/>
      <c r="F927" s="12"/>
      <c r="G927" s="4"/>
    </row>
    <row r="928">
      <c r="B928" s="11"/>
      <c r="C928" s="11"/>
      <c r="F928" s="12"/>
      <c r="G928" s="4"/>
    </row>
    <row r="929">
      <c r="B929" s="11"/>
      <c r="C929" s="11"/>
      <c r="F929" s="12"/>
      <c r="G929" s="4"/>
    </row>
    <row r="930">
      <c r="B930" s="11"/>
      <c r="C930" s="11"/>
      <c r="F930" s="12"/>
      <c r="G930" s="4"/>
    </row>
    <row r="931">
      <c r="B931" s="11"/>
      <c r="C931" s="11"/>
      <c r="F931" s="12"/>
      <c r="G931" s="4"/>
    </row>
    <row r="932">
      <c r="B932" s="11"/>
      <c r="C932" s="11"/>
      <c r="F932" s="12"/>
      <c r="G932" s="4"/>
    </row>
    <row r="933">
      <c r="B933" s="11"/>
      <c r="C933" s="11"/>
      <c r="F933" s="12"/>
      <c r="G933" s="4"/>
    </row>
    <row r="934">
      <c r="B934" s="11"/>
      <c r="C934" s="11"/>
      <c r="F934" s="12"/>
      <c r="G934" s="4"/>
    </row>
    <row r="935">
      <c r="B935" s="11"/>
      <c r="C935" s="11"/>
      <c r="F935" s="12"/>
      <c r="G935" s="4"/>
    </row>
    <row r="936">
      <c r="B936" s="11"/>
      <c r="C936" s="11"/>
      <c r="F936" s="12"/>
      <c r="G936" s="4"/>
    </row>
    <row r="937">
      <c r="B937" s="11"/>
      <c r="C937" s="11"/>
      <c r="F937" s="12"/>
      <c r="G937" s="4"/>
    </row>
    <row r="938">
      <c r="B938" s="11"/>
      <c r="C938" s="11"/>
      <c r="F938" s="12"/>
      <c r="G938" s="4"/>
    </row>
    <row r="939">
      <c r="B939" s="11"/>
      <c r="C939" s="11"/>
      <c r="F939" s="12"/>
      <c r="G939" s="4"/>
    </row>
    <row r="940">
      <c r="B940" s="11"/>
      <c r="C940" s="11"/>
      <c r="F940" s="12"/>
      <c r="G940" s="4"/>
    </row>
    <row r="941">
      <c r="B941" s="11"/>
      <c r="C941" s="11"/>
      <c r="F941" s="12"/>
      <c r="G941" s="4"/>
    </row>
    <row r="942">
      <c r="B942" s="11"/>
      <c r="C942" s="11"/>
      <c r="F942" s="12"/>
      <c r="G942" s="4"/>
    </row>
    <row r="943">
      <c r="B943" s="11"/>
      <c r="C943" s="11"/>
      <c r="F943" s="12"/>
      <c r="G943" s="4"/>
    </row>
    <row r="944">
      <c r="B944" s="11"/>
      <c r="C944" s="11"/>
      <c r="F944" s="12"/>
      <c r="G944" s="4"/>
    </row>
    <row r="945">
      <c r="B945" s="11"/>
      <c r="C945" s="11"/>
      <c r="F945" s="12"/>
      <c r="G945" s="4"/>
    </row>
    <row r="946">
      <c r="B946" s="11"/>
      <c r="C946" s="11"/>
      <c r="F946" s="12"/>
      <c r="G946" s="4"/>
    </row>
    <row r="947">
      <c r="B947" s="11"/>
      <c r="C947" s="11"/>
      <c r="F947" s="12"/>
      <c r="G947" s="4"/>
    </row>
    <row r="948">
      <c r="B948" s="11"/>
      <c r="C948" s="11"/>
      <c r="F948" s="12"/>
      <c r="G948" s="4"/>
    </row>
    <row r="949">
      <c r="B949" s="11"/>
      <c r="C949" s="11"/>
      <c r="F949" s="12"/>
      <c r="G949" s="4"/>
    </row>
    <row r="950">
      <c r="B950" s="11"/>
      <c r="C950" s="11"/>
      <c r="F950" s="12"/>
      <c r="G950" s="4"/>
    </row>
    <row r="951">
      <c r="B951" s="11"/>
      <c r="C951" s="11"/>
      <c r="F951" s="12"/>
      <c r="G951" s="4"/>
    </row>
    <row r="952">
      <c r="B952" s="11"/>
      <c r="C952" s="11"/>
      <c r="F952" s="12"/>
      <c r="G952" s="4"/>
    </row>
    <row r="953">
      <c r="B953" s="11"/>
      <c r="C953" s="11"/>
      <c r="F953" s="12"/>
      <c r="G953" s="4"/>
    </row>
    <row r="954">
      <c r="B954" s="11"/>
      <c r="C954" s="11"/>
      <c r="F954" s="12"/>
      <c r="G954" s="4"/>
    </row>
    <row r="955">
      <c r="B955" s="11"/>
      <c r="C955" s="11"/>
      <c r="F955" s="12"/>
      <c r="G955" s="4"/>
    </row>
    <row r="956">
      <c r="B956" s="11"/>
      <c r="C956" s="11"/>
      <c r="F956" s="12"/>
      <c r="G956" s="4"/>
    </row>
    <row r="957">
      <c r="B957" s="11"/>
      <c r="C957" s="11"/>
      <c r="F957" s="12"/>
      <c r="G957" s="4"/>
    </row>
    <row r="958">
      <c r="B958" s="11"/>
      <c r="C958" s="11"/>
      <c r="F958" s="12"/>
      <c r="G958" s="4"/>
    </row>
    <row r="959">
      <c r="B959" s="11"/>
      <c r="C959" s="11"/>
      <c r="F959" s="12"/>
      <c r="G959" s="4"/>
    </row>
    <row r="960">
      <c r="B960" s="11"/>
      <c r="C960" s="11"/>
      <c r="F960" s="12"/>
      <c r="G960" s="4"/>
    </row>
    <row r="961">
      <c r="B961" s="11"/>
      <c r="C961" s="11"/>
      <c r="F961" s="12"/>
      <c r="G961" s="4"/>
    </row>
    <row r="962">
      <c r="B962" s="11"/>
      <c r="C962" s="11"/>
      <c r="F962" s="12"/>
      <c r="G962" s="4"/>
    </row>
    <row r="963">
      <c r="B963" s="11"/>
      <c r="C963" s="11"/>
      <c r="F963" s="12"/>
      <c r="G963" s="4"/>
    </row>
    <row r="964">
      <c r="B964" s="11"/>
      <c r="C964" s="11"/>
      <c r="F964" s="12"/>
      <c r="G964" s="4"/>
    </row>
    <row r="965">
      <c r="B965" s="11"/>
      <c r="C965" s="11"/>
      <c r="F965" s="12"/>
      <c r="G965" s="4"/>
    </row>
    <row r="966">
      <c r="B966" s="11"/>
      <c r="C966" s="11"/>
      <c r="F966" s="12"/>
      <c r="G966" s="4"/>
    </row>
    <row r="967">
      <c r="B967" s="11"/>
      <c r="C967" s="11"/>
      <c r="F967" s="12"/>
      <c r="G967" s="4"/>
    </row>
    <row r="968">
      <c r="B968" s="11"/>
      <c r="C968" s="11"/>
      <c r="F968" s="12"/>
      <c r="G968" s="4"/>
    </row>
    <row r="969">
      <c r="B969" s="11"/>
      <c r="C969" s="11"/>
      <c r="F969" s="12"/>
      <c r="G969" s="4"/>
    </row>
  </sheetData>
  <mergeCells count="32">
    <mergeCell ref="B2:C2"/>
    <mergeCell ref="B3:C3"/>
    <mergeCell ref="B7:C7"/>
    <mergeCell ref="B8:C8"/>
    <mergeCell ref="B10:C10"/>
    <mergeCell ref="B11:C11"/>
    <mergeCell ref="B12:C12"/>
    <mergeCell ref="B15:C15"/>
    <mergeCell ref="B16:C16"/>
    <mergeCell ref="B17:C17"/>
    <mergeCell ref="B18:C18"/>
    <mergeCell ref="B19:C19"/>
    <mergeCell ref="B20:C20"/>
    <mergeCell ref="B23:C23"/>
    <mergeCell ref="B24:C24"/>
    <mergeCell ref="B25:C25"/>
    <mergeCell ref="B26:C26"/>
    <mergeCell ref="B27:C27"/>
    <mergeCell ref="B31:C31"/>
    <mergeCell ref="B32:C32"/>
    <mergeCell ref="B33:C33"/>
    <mergeCell ref="B57:C57"/>
    <mergeCell ref="B58:C58"/>
    <mergeCell ref="B59:C59"/>
    <mergeCell ref="B60:C60"/>
    <mergeCell ref="B34:C34"/>
    <mergeCell ref="B35:C35"/>
    <mergeCell ref="B39:C39"/>
    <mergeCell ref="B43:C43"/>
    <mergeCell ref="B44:C44"/>
    <mergeCell ref="B45:C45"/>
    <mergeCell ref="B50:C50"/>
  </mergeCells>
  <conditionalFormatting sqref="B67">
    <cfRule type="colorScale" priority="1">
      <colorScale>
        <cfvo type="formula" val="0"/>
        <cfvo type="formula" val="0.5"/>
        <cfvo type="formula" val="1"/>
        <color rgb="FF57BB8A"/>
        <color rgb="FFFFD666"/>
        <color rgb="FFE67C73"/>
      </colorScale>
    </cfRule>
  </conditionalFormatting>
  <dataValidations>
    <dataValidation type="list" allowBlank="1" showErrorMessage="1" sqref="B3">
      <formula1>"1.4,4.0"</formula1>
    </dataValidation>
  </dataValidations>
  <hyperlinks>
    <hyperlink r:id="rId1" location="gid=194295002" ref="F10"/>
    <hyperlink r:id="rId2" location="gid=194295002" ref="F11"/>
    <hyperlink r:id="rId3" location="gid=194295002" ref="F12"/>
    <hyperlink r:id="rId4" location="gid=194295002" ref="F15"/>
    <hyperlink r:id="rId5" location="gid=194295002" ref="F16"/>
    <hyperlink r:id="rId6" location="gid=194295002" ref="F17"/>
    <hyperlink r:id="rId7" location="gid=194295002" ref="F18"/>
    <hyperlink r:id="rId8" location="gid=194295002" ref="F19"/>
    <hyperlink r:id="rId9" location="gid=194295002" ref="F20"/>
    <hyperlink r:id="rId10" ref="F23"/>
    <hyperlink r:id="rId11" ref="F31"/>
    <hyperlink r:id="rId12" ref="F32"/>
    <hyperlink r:id="rId13" ref="F34"/>
    <hyperlink r:id="rId14" ref="F35"/>
    <hyperlink r:id="rId15" ref="F44"/>
    <hyperlink r:id="rId16" ref="F57"/>
    <hyperlink r:id="rId17" ref="F59"/>
    <hyperlink r:id="rId18" location="gid=621551329" ref="F63"/>
    <hyperlink r:id="rId19" location="gid=621551329" ref="F64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10.13"/>
    <col customWidth="1" min="3" max="3" width="12.63"/>
    <col customWidth="1" min="4" max="5" width="10.13"/>
    <col customWidth="1" min="6" max="6" width="8.0"/>
    <col customWidth="1" min="7" max="7" width="8.25"/>
    <col customWidth="1" min="8" max="8" width="8.13"/>
    <col customWidth="1" hidden="1" min="9" max="9" width="4.63"/>
    <col customWidth="1" min="10" max="10" width="10.13"/>
    <col customWidth="1" min="11" max="11" width="7.75"/>
    <col customWidth="1" min="12" max="12" width="8.75"/>
    <col customWidth="1" min="13" max="13" width="3.63"/>
    <col customWidth="1" min="14" max="14" width="25.13"/>
    <col customWidth="1" min="15" max="15" width="15.13"/>
    <col customWidth="1" min="16" max="16" width="10.88"/>
    <col customWidth="1" min="17" max="26" width="10.13"/>
  </cols>
  <sheetData>
    <row r="1">
      <c r="A1" s="78" t="str">
        <f>IFERROR(IF(K4*L4*SUM(I3:I251)+COUNTA(I3:I251)=0,"Inputs",1/0),"YOU HAVE EDITED ROWS J K or L – PLEASE DO NOT DO THIS")</f>
        <v>Inputs</v>
      </c>
      <c r="B1" s="79" t="s">
        <v>83</v>
      </c>
      <c r="C1" s="80" t="s">
        <v>84</v>
      </c>
      <c r="D1" s="79" t="s">
        <v>85</v>
      </c>
      <c r="E1" s="79" t="s">
        <v>86</v>
      </c>
      <c r="F1" s="81" t="s">
        <v>87</v>
      </c>
      <c r="G1" s="81" t="s">
        <v>88</v>
      </c>
      <c r="H1" s="81" t="s">
        <v>89</v>
      </c>
      <c r="I1" s="82" t="s">
        <v>90</v>
      </c>
      <c r="J1" s="81" t="s">
        <v>91</v>
      </c>
      <c r="K1" s="83" t="s">
        <v>92</v>
      </c>
      <c r="L1" s="83" t="s">
        <v>93</v>
      </c>
      <c r="M1" s="81"/>
      <c r="N1" s="84" t="s">
        <v>94</v>
      </c>
      <c r="O1" s="84" t="s">
        <v>95</v>
      </c>
      <c r="P1" s="85" t="s">
        <v>96</v>
      </c>
      <c r="Q1" s="85" t="s">
        <v>97</v>
      </c>
      <c r="R1" s="84"/>
      <c r="S1" s="84"/>
      <c r="T1" s="84"/>
      <c r="U1" s="84"/>
      <c r="V1" s="84"/>
      <c r="W1" s="84"/>
      <c r="X1" s="84"/>
      <c r="Y1" s="84"/>
      <c r="Z1" s="84"/>
    </row>
    <row r="2" ht="27.0" customHeight="1">
      <c r="A2" s="86" t="s">
        <v>98</v>
      </c>
      <c r="B2" s="87"/>
      <c r="C2" s="87"/>
      <c r="D2" s="87"/>
      <c r="E2" s="87"/>
      <c r="F2" s="87"/>
      <c r="G2" s="87"/>
      <c r="H2" s="87"/>
      <c r="I2" s="88" t="s">
        <v>99</v>
      </c>
      <c r="J2" s="89"/>
      <c r="K2" s="90" t="s">
        <v>100</v>
      </c>
      <c r="M2" s="91"/>
      <c r="N2" s="87"/>
      <c r="O2" s="87"/>
      <c r="P2" s="87"/>
      <c r="Q2" s="92"/>
      <c r="R2" s="92"/>
      <c r="S2" s="87"/>
      <c r="T2" s="87"/>
      <c r="U2" s="87"/>
      <c r="V2" s="87"/>
      <c r="W2" s="87"/>
      <c r="X2" s="87"/>
      <c r="Y2" s="87"/>
      <c r="Z2" s="87"/>
    </row>
    <row r="3" ht="15.0" customHeight="1">
      <c r="A3" s="93" t="s">
        <v>101</v>
      </c>
      <c r="B3" s="49"/>
      <c r="C3" s="49"/>
      <c r="D3" s="49"/>
      <c r="E3" s="49"/>
      <c r="F3" s="49"/>
      <c r="G3" s="49"/>
      <c r="H3" s="49"/>
      <c r="I3" s="49"/>
      <c r="J3" s="49"/>
      <c r="K3" s="94" t="s">
        <v>102</v>
      </c>
      <c r="L3" s="94" t="s">
        <v>102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0" customHeight="1">
      <c r="A4" s="93" t="s">
        <v>103</v>
      </c>
      <c r="B4" s="49" t="s">
        <v>104</v>
      </c>
      <c r="C4" s="49"/>
      <c r="D4" s="49"/>
      <c r="E4" s="49"/>
      <c r="F4" s="49"/>
      <c r="G4" s="49"/>
      <c r="H4" s="49"/>
      <c r="I4" s="49"/>
      <c r="J4" s="49"/>
      <c r="K4" s="95" t="str">
        <f t="array" ref="K4:K223">SWITCH(C4:C223, 
"Normal", (D4:D223+E4:E223)/2, 
"Lognormal", EXP((LN(D4:D223)+LN(E4:E223))/2 + ((LN(E4:E223)-(LN(D4:D223)+LN(E4:E223))/2)/1.645)^2/2),
"Beta", F4:F223/(F4:F223+G4:G223),
"", "",
"output", "")</f>
        <v/>
      </c>
      <c r="L4" s="96" t="str">
        <f t="array" ref="L4:L223">SWITCH(C4:C223, "Normal", (D4:D223+E4:E223)/2, "Lognormal", EXP((LN(D4:D223)+LN(E4:E223))/2),
"Beta", "Not Implemented",
"", "",
"output", "")</f>
        <v/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0" customHeight="1">
      <c r="A5" s="93"/>
      <c r="B5" s="49"/>
      <c r="C5" s="49"/>
      <c r="D5" s="49"/>
      <c r="E5" s="49"/>
      <c r="F5" s="49"/>
      <c r="G5" s="49"/>
      <c r="H5" s="49"/>
      <c r="I5" s="49"/>
      <c r="J5" s="49"/>
      <c r="K5" s="94" t="s">
        <v>102</v>
      </c>
      <c r="L5" s="94" t="s">
        <v>102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0" customHeight="1">
      <c r="A6" s="93"/>
      <c r="B6" s="49"/>
      <c r="C6" s="49"/>
      <c r="D6" s="49"/>
      <c r="E6" s="49"/>
      <c r="F6" s="49"/>
      <c r="G6" s="49"/>
      <c r="H6" s="49"/>
      <c r="I6" s="49"/>
      <c r="J6" s="49"/>
      <c r="K6" s="94" t="s">
        <v>102</v>
      </c>
      <c r="L6" s="94" t="s">
        <v>102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7.0" customHeight="1">
      <c r="A7" s="86" t="s">
        <v>105</v>
      </c>
      <c r="B7" s="87"/>
      <c r="C7" s="87"/>
      <c r="D7" s="87"/>
      <c r="E7" s="87"/>
      <c r="F7" s="87"/>
      <c r="G7" s="87"/>
      <c r="H7" s="87"/>
      <c r="I7" s="87"/>
      <c r="J7" s="87"/>
      <c r="K7" s="97" t="s">
        <v>102</v>
      </c>
      <c r="L7" s="97" t="s">
        <v>102</v>
      </c>
      <c r="M7" s="87"/>
      <c r="N7" s="87"/>
      <c r="O7" s="87"/>
      <c r="P7" s="87"/>
      <c r="Q7" s="92"/>
      <c r="R7" s="92"/>
      <c r="S7" s="87"/>
      <c r="T7" s="87"/>
      <c r="U7" s="87"/>
      <c r="V7" s="87"/>
      <c r="W7" s="87"/>
      <c r="X7" s="87"/>
      <c r="Y7" s="87"/>
      <c r="Z7" s="87"/>
    </row>
    <row r="8">
      <c r="A8" s="98" t="s">
        <v>106</v>
      </c>
      <c r="B8" s="99"/>
      <c r="C8" s="99"/>
      <c r="D8" s="99"/>
      <c r="E8" s="99"/>
      <c r="F8" s="32"/>
      <c r="G8" s="32"/>
      <c r="H8" s="32"/>
      <c r="I8" s="32"/>
      <c r="J8" s="32"/>
      <c r="K8" s="100" t="s">
        <v>102</v>
      </c>
      <c r="L8" s="100" t="s">
        <v>102</v>
      </c>
      <c r="M8" s="32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2" t="s">
        <v>107</v>
      </c>
      <c r="B9" s="103"/>
      <c r="C9" s="104"/>
      <c r="D9" s="103"/>
      <c r="E9" s="103"/>
      <c r="F9" s="105"/>
      <c r="G9" s="105"/>
      <c r="H9" s="105"/>
      <c r="I9" s="106"/>
      <c r="J9" s="106" t="s">
        <v>4</v>
      </c>
      <c r="K9" s="107" t="s">
        <v>102</v>
      </c>
      <c r="L9" s="107" t="s">
        <v>102</v>
      </c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8" t="s">
        <v>108</v>
      </c>
      <c r="B10" s="109" t="str">
        <f>IFERROR(LOG(0.5,(1-B9)),"never")</f>
        <v>never</v>
      </c>
      <c r="C10" s="110"/>
      <c r="D10" s="111"/>
      <c r="E10" s="111"/>
      <c r="F10" s="112"/>
      <c r="G10" s="112"/>
      <c r="H10" s="112"/>
      <c r="I10" s="112"/>
      <c r="J10" s="112"/>
      <c r="K10" s="113" t="s">
        <v>102</v>
      </c>
      <c r="L10" s="113" t="s">
        <v>102</v>
      </c>
      <c r="M10" s="112"/>
      <c r="N10" s="114"/>
      <c r="O10" s="114"/>
      <c r="P10" s="115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59" t="s">
        <v>109</v>
      </c>
      <c r="B11" s="103">
        <v>0.9</v>
      </c>
      <c r="C11" s="104" t="s">
        <v>110</v>
      </c>
      <c r="D11" s="103">
        <v>0.85</v>
      </c>
      <c r="E11" s="103">
        <v>0.95</v>
      </c>
      <c r="F11" s="105"/>
      <c r="G11" s="105"/>
      <c r="H11" s="105"/>
      <c r="I11" s="51"/>
      <c r="J11" s="51" t="s">
        <v>4</v>
      </c>
      <c r="K11" s="116" t="e">
        <v>#DIV/0!</v>
      </c>
      <c r="L11" s="116" t="s">
        <v>111</v>
      </c>
      <c r="N11" s="117"/>
      <c r="O11" s="117"/>
    </row>
    <row r="12" ht="16.5" customHeight="1">
      <c r="A12" s="59" t="s">
        <v>112</v>
      </c>
      <c r="B12" s="118">
        <v>4.0</v>
      </c>
      <c r="C12" s="104" t="s">
        <v>113</v>
      </c>
      <c r="D12" s="118">
        <v>1.0</v>
      </c>
      <c r="E12" s="118">
        <v>6.0</v>
      </c>
      <c r="F12" s="105"/>
      <c r="G12" s="105"/>
      <c r="H12" s="105"/>
      <c r="I12" s="51"/>
      <c r="J12" s="51" t="s">
        <v>114</v>
      </c>
      <c r="K12" s="116">
        <v>3.5</v>
      </c>
      <c r="L12" s="116">
        <v>3.5</v>
      </c>
      <c r="N12" s="117"/>
      <c r="O12" s="117"/>
      <c r="Q12" s="119"/>
      <c r="R12" s="119"/>
      <c r="S12" s="119"/>
      <c r="T12" s="120"/>
    </row>
    <row r="13">
      <c r="A13" s="121" t="str">
        <f>"   In case useful: Total prob. change happens in timeframe ("&amp;B12&amp;"yrs)"</f>
        <v>   In case useful: Total prob. change happens in timeframe (4yrs)</v>
      </c>
      <c r="B13" s="122">
        <f>1-(1-B11)*(1-B9)^B12</f>
        <v>0.9</v>
      </c>
      <c r="C13" s="123"/>
      <c r="D13" s="123"/>
      <c r="E13" s="123"/>
      <c r="F13" s="123"/>
      <c r="G13" s="123"/>
      <c r="H13" s="123"/>
      <c r="I13" s="123"/>
      <c r="J13" s="123"/>
      <c r="K13" s="113" t="s">
        <v>102</v>
      </c>
      <c r="L13" s="113" t="s">
        <v>102</v>
      </c>
      <c r="M13" s="123"/>
      <c r="N13" s="123"/>
      <c r="O13" s="123"/>
      <c r="P13" s="115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>
      <c r="A14" s="102"/>
      <c r="B14" s="106"/>
      <c r="C14" s="106"/>
      <c r="D14" s="106"/>
      <c r="E14" s="106"/>
      <c r="F14" s="106"/>
      <c r="G14" s="106"/>
      <c r="H14" s="106"/>
      <c r="I14" s="106"/>
      <c r="J14" s="106"/>
      <c r="K14" s="107" t="s">
        <v>102</v>
      </c>
      <c r="L14" s="107" t="s">
        <v>102</v>
      </c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4"/>
      <c r="K15" s="116" t="s">
        <v>102</v>
      </c>
      <c r="L15" s="116" t="s">
        <v>102</v>
      </c>
    </row>
    <row r="16" ht="27.0" customHeight="1">
      <c r="A16" s="86" t="s">
        <v>115</v>
      </c>
      <c r="B16" s="87"/>
      <c r="C16" s="87"/>
      <c r="D16" s="87"/>
      <c r="E16" s="87"/>
      <c r="F16" s="87"/>
      <c r="G16" s="87"/>
      <c r="H16" s="87"/>
      <c r="I16" s="87"/>
      <c r="J16" s="87"/>
      <c r="K16" s="97" t="s">
        <v>102</v>
      </c>
      <c r="L16" s="97" t="s">
        <v>102</v>
      </c>
      <c r="M16" s="87"/>
      <c r="N16" s="87"/>
      <c r="O16" s="87"/>
      <c r="P16" s="87"/>
      <c r="Q16" s="92"/>
      <c r="R16" s="92"/>
      <c r="S16" s="87"/>
      <c r="T16" s="87"/>
      <c r="U16" s="87"/>
      <c r="V16" s="87"/>
      <c r="W16" s="87"/>
      <c r="X16" s="87"/>
      <c r="Y16" s="87"/>
      <c r="Z16" s="87"/>
    </row>
    <row r="17">
      <c r="A17" s="124" t="s">
        <v>116</v>
      </c>
      <c r="B17" s="125"/>
      <c r="C17" s="125"/>
      <c r="D17" s="125"/>
      <c r="E17" s="125"/>
      <c r="F17" s="126"/>
      <c r="G17" s="126"/>
      <c r="H17" s="126"/>
      <c r="I17" s="126"/>
      <c r="J17" s="126"/>
      <c r="K17" s="127" t="s">
        <v>102</v>
      </c>
      <c r="L17" s="127" t="s">
        <v>102</v>
      </c>
      <c r="M17" s="126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t="15.0" customHeight="1">
      <c r="A18" s="93" t="s">
        <v>117</v>
      </c>
      <c r="B18" s="129">
        <v>0.04</v>
      </c>
      <c r="C18" s="104"/>
      <c r="D18" s="129"/>
      <c r="E18" s="129"/>
      <c r="F18" s="105"/>
      <c r="G18" s="105"/>
      <c r="H18" s="105"/>
      <c r="I18" s="112"/>
      <c r="J18" s="112" t="s">
        <v>4</v>
      </c>
      <c r="K18" s="130" t="s">
        <v>102</v>
      </c>
      <c r="L18" s="130" t="s">
        <v>102</v>
      </c>
      <c r="M18" s="112"/>
      <c r="N18" s="117"/>
      <c r="O18" s="117"/>
    </row>
    <row r="19" ht="15.0" customHeight="1">
      <c r="A19" s="93"/>
      <c r="B19" s="49"/>
      <c r="C19" s="49"/>
      <c r="D19" s="49"/>
      <c r="E19" s="49"/>
      <c r="F19" s="49"/>
      <c r="G19" s="49"/>
      <c r="H19" s="49"/>
      <c r="I19" s="49"/>
      <c r="J19" s="49"/>
      <c r="K19" s="94" t="s">
        <v>102</v>
      </c>
      <c r="L19" s="94" t="s">
        <v>102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131" t="s">
        <v>118</v>
      </c>
      <c r="B20" s="132"/>
      <c r="C20" s="133"/>
      <c r="D20" s="132"/>
      <c r="E20" s="132"/>
      <c r="F20" s="134"/>
      <c r="G20" s="134"/>
      <c r="H20" s="134"/>
      <c r="I20" s="134"/>
      <c r="J20" s="132"/>
      <c r="K20" s="135" t="s">
        <v>102</v>
      </c>
      <c r="L20" s="135" t="s">
        <v>102</v>
      </c>
      <c r="M20" s="134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>
      <c r="A21" s="137" t="s">
        <v>119</v>
      </c>
      <c r="B21" s="138"/>
      <c r="C21" s="138"/>
      <c r="D21" s="138"/>
      <c r="E21" s="138"/>
      <c r="F21" s="139"/>
      <c r="G21" s="139"/>
      <c r="H21" s="139"/>
      <c r="I21" s="139"/>
      <c r="J21" s="139"/>
      <c r="K21" s="140" t="s">
        <v>102</v>
      </c>
      <c r="L21" s="140" t="s">
        <v>102</v>
      </c>
      <c r="M21" s="139"/>
      <c r="N21" s="141" t="s">
        <v>120</v>
      </c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93" t="s">
        <v>121</v>
      </c>
      <c r="B22" s="143">
        <v>1.0</v>
      </c>
      <c r="C22" s="144"/>
      <c r="D22" s="143"/>
      <c r="E22" s="143"/>
      <c r="F22" s="145"/>
      <c r="G22" s="145"/>
      <c r="H22" s="145"/>
      <c r="I22" s="112"/>
      <c r="J22" s="49" t="s">
        <v>122</v>
      </c>
      <c r="K22" s="113" t="s">
        <v>102</v>
      </c>
      <c r="L22" s="113" t="s">
        <v>102</v>
      </c>
      <c r="M22" s="112"/>
      <c r="N22" s="146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93" t="s">
        <v>123</v>
      </c>
      <c r="B23" s="143">
        <v>3.0</v>
      </c>
      <c r="C23" s="144" t="s">
        <v>113</v>
      </c>
      <c r="D23" s="143">
        <v>2.0</v>
      </c>
      <c r="E23" s="143">
        <v>4.0</v>
      </c>
      <c r="F23" s="147"/>
      <c r="G23" s="147"/>
      <c r="H23" s="147"/>
      <c r="I23" s="112"/>
      <c r="J23" s="112" t="s">
        <v>122</v>
      </c>
      <c r="K23" s="113">
        <v>3.0</v>
      </c>
      <c r="L23" s="113">
        <v>3.0</v>
      </c>
      <c r="M23" s="112"/>
      <c r="N23" s="148" t="s">
        <v>124</v>
      </c>
      <c r="O23" s="149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93" t="s">
        <v>125</v>
      </c>
      <c r="B24" s="150">
        <v>130000.0</v>
      </c>
      <c r="C24" s="144" t="s">
        <v>126</v>
      </c>
      <c r="D24" s="150">
        <v>100000.0</v>
      </c>
      <c r="E24" s="150">
        <v>170000.0</v>
      </c>
      <c r="F24" s="147"/>
      <c r="G24" s="147"/>
      <c r="H24" s="147"/>
      <c r="I24" s="112"/>
      <c r="J24" s="112" t="s">
        <v>24</v>
      </c>
      <c r="K24" s="151">
        <v>132090.95873405444</v>
      </c>
      <c r="L24" s="151">
        <v>130384.0481040531</v>
      </c>
      <c r="M24" s="112"/>
      <c r="N24" s="152" t="s">
        <v>9</v>
      </c>
      <c r="O24" s="149" t="s">
        <v>127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93" t="s">
        <v>128</v>
      </c>
      <c r="B25" s="150">
        <v>250000.0</v>
      </c>
      <c r="C25" s="144" t="s">
        <v>126</v>
      </c>
      <c r="D25" s="150">
        <v>150000.0</v>
      </c>
      <c r="E25" s="150">
        <v>400000.0</v>
      </c>
      <c r="F25" s="147"/>
      <c r="G25" s="147"/>
      <c r="H25" s="147"/>
      <c r="I25" s="112"/>
      <c r="J25" s="112" t="s">
        <v>24</v>
      </c>
      <c r="K25" s="113">
        <v>256079.76998779303</v>
      </c>
      <c r="L25" s="113">
        <v>244948.9742783178</v>
      </c>
      <c r="M25" s="112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59" t="s">
        <v>129</v>
      </c>
      <c r="B26" s="153">
        <f>B30*(1-B$18)^(B22-1)</f>
        <v>542800</v>
      </c>
      <c r="C26" s="154"/>
      <c r="D26" s="49"/>
      <c r="E26" s="49"/>
      <c r="F26" s="155"/>
      <c r="G26" s="155"/>
      <c r="H26" s="155"/>
      <c r="I26" s="155"/>
      <c r="J26" s="51" t="s">
        <v>24</v>
      </c>
      <c r="K26" s="107" t="s">
        <v>102</v>
      </c>
      <c r="L26" s="107" t="s">
        <v>102</v>
      </c>
      <c r="M26" s="155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7" t="s">
        <v>130</v>
      </c>
      <c r="B27" s="158">
        <f>(B25-B24)/(B23-B22)</f>
        <v>60000</v>
      </c>
      <c r="C27" s="159"/>
      <c r="D27" s="158"/>
      <c r="E27" s="158"/>
      <c r="F27" s="160"/>
      <c r="G27" s="160"/>
      <c r="H27" s="160"/>
      <c r="I27" s="160"/>
      <c r="J27" s="161" t="s">
        <v>24</v>
      </c>
      <c r="K27" s="162" t="s">
        <v>102</v>
      </c>
      <c r="L27" s="162" t="s">
        <v>102</v>
      </c>
      <c r="M27" s="160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</row>
    <row r="28">
      <c r="A28" s="164" t="s">
        <v>131</v>
      </c>
      <c r="B28" s="165">
        <f>B23-B22+1</f>
        <v>3</v>
      </c>
      <c r="C28" s="154"/>
      <c r="D28" s="165"/>
      <c r="E28" s="165"/>
      <c r="F28" s="155"/>
      <c r="G28" s="155"/>
      <c r="H28" s="155"/>
      <c r="I28" s="155"/>
      <c r="J28" s="166" t="s">
        <v>114</v>
      </c>
      <c r="K28" s="107" t="s">
        <v>102</v>
      </c>
      <c r="L28" s="107" t="s">
        <v>102</v>
      </c>
      <c r="M28" s="155"/>
      <c r="N28" s="51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64" t="s">
        <v>132</v>
      </c>
      <c r="B29" s="167">
        <f>(1-B$18)^B28</f>
        <v>0.884736</v>
      </c>
      <c r="C29" s="154"/>
      <c r="D29" s="167"/>
      <c r="E29" s="167"/>
      <c r="F29" s="155"/>
      <c r="G29" s="155"/>
      <c r="H29" s="155"/>
      <c r="I29" s="155"/>
      <c r="J29" s="166" t="s">
        <v>4</v>
      </c>
      <c r="K29" s="107" t="s">
        <v>102</v>
      </c>
      <c r="L29" s="107" t="s">
        <v>102</v>
      </c>
      <c r="M29" s="155"/>
      <c r="N29" s="51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64" t="s">
        <v>133</v>
      </c>
      <c r="B30" s="158">
        <f>((B24*((1-B29)) + B27*((1-B29)/(B$18)-1-(B28-1)*B29)) /(B$18))</f>
        <v>542800</v>
      </c>
      <c r="C30" s="154"/>
      <c r="D30" s="158"/>
      <c r="E30" s="158"/>
      <c r="F30" s="155"/>
      <c r="G30" s="155"/>
      <c r="H30" s="155"/>
      <c r="I30" s="155"/>
      <c r="J30" s="166" t="s">
        <v>24</v>
      </c>
      <c r="K30" s="107" t="s">
        <v>102</v>
      </c>
      <c r="L30" s="107" t="s">
        <v>102</v>
      </c>
      <c r="M30" s="155"/>
      <c r="N30" s="51" t="s">
        <v>134</v>
      </c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64" t="s">
        <v>135</v>
      </c>
      <c r="B31" s="158">
        <f>((B24*((1-(1-B$18)^(B23-B22+1))) + ((B25-B24)/(B23-B22))*((1-(1-B$18)^(B23-B22+1))/(B$18)-1-((B23-B22+1)-1)*(1-B$18)^(B23-B22+1))) /(B$18))     *(1-B$64)^(B22-1)</f>
        <v>542800</v>
      </c>
      <c r="C31" s="154"/>
      <c r="D31" s="158"/>
      <c r="E31" s="158"/>
      <c r="F31" s="155"/>
      <c r="G31" s="155"/>
      <c r="H31" s="155"/>
      <c r="I31" s="155"/>
      <c r="J31" s="166" t="s">
        <v>24</v>
      </c>
      <c r="K31" s="107" t="s">
        <v>102</v>
      </c>
      <c r="L31" s="107" t="s">
        <v>102</v>
      </c>
      <c r="M31" s="155"/>
      <c r="N31" s="51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68" t="s">
        <v>136</v>
      </c>
      <c r="B32" s="153">
        <f>IF(B$12&lt;B22,0, IF(B$12&gt;B23,B26, ((B24*((1-(1-B$18)^(B$12-B22+1))) + B27*((1-(1-B$18)^(B$12-B22+1))/(B$18)-1-((B$12-B22+1)-1)*(1-B$18)^(B$12-B22+1))) /(B$18))  *(1-B$18)^(B22-1)  ))</f>
        <v>542800</v>
      </c>
      <c r="C32" s="154"/>
      <c r="D32" s="49"/>
      <c r="E32" s="49"/>
      <c r="F32" s="155"/>
      <c r="G32" s="155"/>
      <c r="H32" s="155"/>
      <c r="I32" s="155"/>
      <c r="J32" s="51" t="s">
        <v>24</v>
      </c>
      <c r="K32" s="107" t="s">
        <v>102</v>
      </c>
      <c r="L32" s="107" t="s">
        <v>102</v>
      </c>
      <c r="M32" s="155"/>
      <c r="N32" s="51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ht="15.0" customHeight="1">
      <c r="A33" s="98" t="s">
        <v>137</v>
      </c>
      <c r="B33" s="169" t="s">
        <v>138</v>
      </c>
      <c r="C33" s="99"/>
      <c r="D33" s="99"/>
      <c r="E33" s="99"/>
      <c r="F33" s="32"/>
      <c r="G33" s="32"/>
      <c r="H33" s="32"/>
      <c r="I33" s="32"/>
      <c r="J33" s="169"/>
      <c r="K33" s="100" t="s">
        <v>102</v>
      </c>
      <c r="L33" s="100" t="s">
        <v>102</v>
      </c>
      <c r="M33" s="32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0" customHeight="1">
      <c r="A34" s="59" t="s">
        <v>139</v>
      </c>
      <c r="B34" s="170">
        <f>B23+1</f>
        <v>4</v>
      </c>
      <c r="C34" s="51"/>
      <c r="D34" s="49"/>
      <c r="E34" s="49"/>
      <c r="F34" s="51"/>
      <c r="G34" s="51"/>
      <c r="H34" s="51"/>
      <c r="I34" s="51"/>
      <c r="J34" s="51" t="s">
        <v>122</v>
      </c>
      <c r="K34" s="116" t="s">
        <v>102</v>
      </c>
      <c r="L34" s="116" t="s">
        <v>102</v>
      </c>
      <c r="M34" s="51"/>
      <c r="N34" s="51"/>
      <c r="O34" s="51"/>
    </row>
    <row r="35" ht="15.0" customHeight="1">
      <c r="A35" s="59" t="s">
        <v>140</v>
      </c>
      <c r="B35" s="171">
        <v>16.0</v>
      </c>
      <c r="C35" s="104" t="s">
        <v>126</v>
      </c>
      <c r="D35" s="171">
        <v>5.0</v>
      </c>
      <c r="E35" s="171">
        <v>35.0</v>
      </c>
      <c r="F35" s="105"/>
      <c r="G35" s="105"/>
      <c r="H35" s="105"/>
      <c r="I35" s="51"/>
      <c r="J35" s="51" t="s">
        <v>122</v>
      </c>
      <c r="K35" s="116">
        <v>15.757345950243517</v>
      </c>
      <c r="L35" s="116">
        <v>13.22875655532295</v>
      </c>
      <c r="M35" s="51"/>
      <c r="N35" s="172"/>
      <c r="O35" s="172"/>
    </row>
    <row r="36" ht="15.0" customHeight="1">
      <c r="A36" s="59" t="s">
        <v>141</v>
      </c>
      <c r="B36" s="150">
        <f>B25</f>
        <v>250000</v>
      </c>
      <c r="C36" s="51"/>
      <c r="D36" s="49"/>
      <c r="E36" s="49"/>
      <c r="F36" s="51"/>
      <c r="G36" s="51"/>
      <c r="H36" s="51"/>
      <c r="I36" s="112"/>
      <c r="J36" s="51" t="s">
        <v>24</v>
      </c>
      <c r="K36" s="116" t="s">
        <v>102</v>
      </c>
      <c r="L36" s="116" t="s">
        <v>102</v>
      </c>
      <c r="M36" s="51"/>
      <c r="N36" s="172"/>
      <c r="O36" s="172" t="s">
        <v>127</v>
      </c>
    </row>
    <row r="37" ht="15.0" customHeight="1">
      <c r="A37" s="59" t="s">
        <v>142</v>
      </c>
      <c r="B37" s="153">
        <f>(IF(B35="ongoing", B36/B$18, B36*((1-(1-B$18)^B35))/(B$18)) - B36*((1-(1-B$18)^(B34-1)))/(B$18))     *(1-B$18)^(B34-1)</f>
        <v>2014616.173</v>
      </c>
      <c r="C37" s="51"/>
      <c r="D37" s="49"/>
      <c r="E37" s="49"/>
      <c r="F37" s="51"/>
      <c r="G37" s="51"/>
      <c r="H37" s="51"/>
      <c r="I37" s="51"/>
      <c r="J37" s="51" t="s">
        <v>24</v>
      </c>
      <c r="K37" s="116" t="s">
        <v>102</v>
      </c>
      <c r="L37" s="116" t="s">
        <v>102</v>
      </c>
      <c r="M37" s="51"/>
      <c r="N37" s="51"/>
      <c r="O37" s="51"/>
    </row>
    <row r="38" ht="15.0" customHeight="1">
      <c r="A38" s="168" t="s">
        <v>143</v>
      </c>
      <c r="B38" s="153">
        <f>IF(B$12&lt;B34,0,IF(B$12&gt;B35,B37, B36*((1-(1-B$18)^B$12))/(B$18) - B36*((1-(1-B$18)^(B34-1)))/(B$18) )) *(1-B$18)^(B34-1)</f>
        <v>195689.4474</v>
      </c>
      <c r="C38" s="51"/>
      <c r="D38" s="49"/>
      <c r="E38" s="49"/>
      <c r="F38" s="51"/>
      <c r="G38" s="51"/>
      <c r="H38" s="51"/>
      <c r="I38" s="51"/>
      <c r="J38" s="173" t="s">
        <v>24</v>
      </c>
      <c r="K38" s="116" t="s">
        <v>102</v>
      </c>
      <c r="L38" s="116" t="s">
        <v>102</v>
      </c>
      <c r="M38" s="51"/>
      <c r="N38" s="51"/>
      <c r="O38" s="51"/>
    </row>
    <row r="39">
      <c r="A39" s="174"/>
      <c r="B39" s="175"/>
      <c r="C39" s="175"/>
      <c r="D39" s="175"/>
      <c r="E39" s="175"/>
      <c r="F39" s="155"/>
      <c r="G39" s="155"/>
      <c r="H39" s="155"/>
      <c r="I39" s="155"/>
      <c r="J39" s="155"/>
      <c r="K39" s="107" t="s">
        <v>102</v>
      </c>
      <c r="L39" s="107" t="s">
        <v>102</v>
      </c>
      <c r="M39" s="155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74"/>
      <c r="B40" s="175"/>
      <c r="C40" s="175"/>
      <c r="D40" s="175"/>
      <c r="E40" s="175"/>
      <c r="F40" s="155"/>
      <c r="G40" s="155"/>
      <c r="H40" s="155"/>
      <c r="I40" s="155"/>
      <c r="J40" s="155"/>
      <c r="K40" s="107" t="s">
        <v>102</v>
      </c>
      <c r="L40" s="107" t="s">
        <v>102</v>
      </c>
      <c r="M40" s="155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31" t="s">
        <v>144</v>
      </c>
      <c r="B41" s="133"/>
      <c r="C41" s="133"/>
      <c r="D41" s="133"/>
      <c r="E41" s="133"/>
      <c r="F41" s="134"/>
      <c r="G41" s="134"/>
      <c r="H41" s="134"/>
      <c r="I41" s="134"/>
      <c r="J41" s="134"/>
      <c r="K41" s="135" t="s">
        <v>102</v>
      </c>
      <c r="L41" s="135" t="s">
        <v>102</v>
      </c>
      <c r="M41" s="134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>
      <c r="A42" s="98" t="s">
        <v>145</v>
      </c>
      <c r="B42" s="99"/>
      <c r="C42" s="99"/>
      <c r="D42" s="99"/>
      <c r="E42" s="99"/>
      <c r="F42" s="32"/>
      <c r="G42" s="32"/>
      <c r="H42" s="32"/>
      <c r="I42" s="32"/>
      <c r="J42" s="32"/>
      <c r="K42" s="100" t="s">
        <v>102</v>
      </c>
      <c r="L42" s="100" t="s">
        <v>102</v>
      </c>
      <c r="M42" s="32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59" t="s">
        <v>146</v>
      </c>
      <c r="B43" s="176"/>
      <c r="C43" s="104"/>
      <c r="D43" s="177"/>
      <c r="E43" s="177"/>
      <c r="F43" s="105"/>
      <c r="G43" s="105"/>
      <c r="H43" s="105"/>
      <c r="I43" s="51"/>
      <c r="J43" s="51" t="s">
        <v>147</v>
      </c>
      <c r="K43" s="116" t="s">
        <v>102</v>
      </c>
      <c r="L43" s="116" t="s">
        <v>102</v>
      </c>
      <c r="M43" s="51"/>
      <c r="N43" s="172"/>
      <c r="O43" s="172"/>
      <c r="Q43" s="178"/>
      <c r="R43" s="178"/>
    </row>
    <row r="44">
      <c r="A44" s="59" t="s">
        <v>148</v>
      </c>
      <c r="B44" s="179"/>
      <c r="C44" s="104"/>
      <c r="D44" s="179"/>
      <c r="E44" s="179"/>
      <c r="F44" s="105"/>
      <c r="G44" s="105"/>
      <c r="H44" s="105"/>
      <c r="I44" s="51"/>
      <c r="J44" s="51" t="s">
        <v>24</v>
      </c>
      <c r="K44" s="116" t="s">
        <v>102</v>
      </c>
      <c r="L44" s="116" t="s">
        <v>102</v>
      </c>
      <c r="M44" s="51"/>
      <c r="N44" s="172"/>
      <c r="O44" s="172"/>
      <c r="P44" s="180"/>
      <c r="Q44" s="181"/>
      <c r="R44" s="178"/>
    </row>
    <row r="45">
      <c r="A45" s="59" t="s">
        <v>149</v>
      </c>
      <c r="B45" s="171"/>
      <c r="C45" s="104"/>
      <c r="D45" s="171"/>
      <c r="E45" s="171"/>
      <c r="F45" s="105"/>
      <c r="G45" s="105"/>
      <c r="H45" s="105"/>
      <c r="I45" s="51"/>
      <c r="J45" s="51" t="s">
        <v>150</v>
      </c>
      <c r="K45" s="116" t="s">
        <v>102</v>
      </c>
      <c r="L45" s="116" t="s">
        <v>102</v>
      </c>
      <c r="M45" s="51"/>
      <c r="N45" s="172"/>
      <c r="O45" s="172"/>
      <c r="P45" s="180"/>
      <c r="Q45" s="181"/>
      <c r="R45" s="178"/>
    </row>
    <row r="46">
      <c r="A46" s="59" t="s">
        <v>151</v>
      </c>
      <c r="B46" s="182">
        <f>B43+IF(B45="",0,B44/B45)</f>
        <v>0</v>
      </c>
      <c r="C46" s="183"/>
      <c r="D46" s="49"/>
      <c r="E46" s="49"/>
      <c r="F46" s="51"/>
      <c r="G46" s="51"/>
      <c r="H46" s="51"/>
      <c r="I46" s="51"/>
      <c r="J46" s="51" t="s">
        <v>147</v>
      </c>
      <c r="K46" s="116" t="s">
        <v>102</v>
      </c>
      <c r="L46" s="116" t="s">
        <v>102</v>
      </c>
      <c r="M46" s="51"/>
      <c r="N46" s="172"/>
      <c r="O46" s="172"/>
      <c r="P46" s="180"/>
      <c r="Q46" s="181"/>
      <c r="R46" s="178"/>
    </row>
    <row r="47">
      <c r="A47" s="59" t="s">
        <v>152</v>
      </c>
      <c r="B47" s="184" t="str">
        <f>B126</f>
        <v>#DIV/0!</v>
      </c>
      <c r="D47" s="49"/>
      <c r="E47" s="49"/>
      <c r="J47" s="51" t="s">
        <v>153</v>
      </c>
      <c r="K47" s="116" t="s">
        <v>102</v>
      </c>
      <c r="L47" s="116" t="s">
        <v>102</v>
      </c>
    </row>
    <row r="48">
      <c r="A48" s="59" t="s">
        <v>154</v>
      </c>
      <c r="B48" s="185" t="str">
        <f>B47*B46</f>
        <v>#DIV/0!</v>
      </c>
      <c r="C48" s="183"/>
      <c r="D48" s="49"/>
      <c r="E48" s="49"/>
      <c r="F48" s="51"/>
      <c r="G48" s="51"/>
      <c r="H48" s="51"/>
      <c r="I48" s="51"/>
      <c r="J48" s="51" t="s">
        <v>24</v>
      </c>
      <c r="K48" s="116" t="s">
        <v>102</v>
      </c>
      <c r="L48" s="116" t="s">
        <v>102</v>
      </c>
      <c r="M48" s="51"/>
      <c r="N48" s="172"/>
      <c r="O48" s="172"/>
      <c r="P48" s="180"/>
      <c r="Q48" s="181"/>
      <c r="R48" s="178"/>
    </row>
    <row r="49" ht="15.0" customHeight="1">
      <c r="A49" s="168" t="s">
        <v>155</v>
      </c>
      <c r="B49" s="176">
        <v>0.0</v>
      </c>
      <c r="C49" s="104"/>
      <c r="D49" s="176"/>
      <c r="E49" s="176"/>
      <c r="F49" s="105"/>
      <c r="G49" s="105"/>
      <c r="H49" s="105"/>
      <c r="I49" s="51"/>
      <c r="J49" s="173" t="s">
        <v>24</v>
      </c>
      <c r="K49" s="116" t="s">
        <v>102</v>
      </c>
      <c r="L49" s="116" t="s">
        <v>102</v>
      </c>
      <c r="M49" s="51"/>
      <c r="N49" s="51"/>
      <c r="O49" s="51"/>
    </row>
    <row r="50">
      <c r="A50" s="174"/>
      <c r="B50" s="186"/>
      <c r="C50" s="187"/>
      <c r="D50" s="186"/>
      <c r="E50" s="186"/>
      <c r="F50" s="155"/>
      <c r="G50" s="155"/>
      <c r="H50" s="155"/>
      <c r="I50" s="155"/>
      <c r="J50" s="155"/>
      <c r="K50" s="107" t="s">
        <v>102</v>
      </c>
      <c r="L50" s="107" t="s">
        <v>102</v>
      </c>
      <c r="M50" s="155"/>
      <c r="N50" s="51"/>
      <c r="O50" s="51"/>
      <c r="Q50" s="178"/>
      <c r="R50" s="178"/>
    </row>
    <row r="51">
      <c r="A51" s="131" t="s">
        <v>156</v>
      </c>
      <c r="B51" s="133"/>
      <c r="C51" s="133"/>
      <c r="D51" s="133"/>
      <c r="E51" s="133"/>
      <c r="F51" s="134"/>
      <c r="G51" s="134"/>
      <c r="H51" s="134"/>
      <c r="I51" s="134"/>
      <c r="J51" s="134"/>
      <c r="K51" s="135" t="s">
        <v>102</v>
      </c>
      <c r="L51" s="135" t="s">
        <v>102</v>
      </c>
      <c r="M51" s="134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>
      <c r="A52" s="59" t="s">
        <v>157</v>
      </c>
      <c r="B52" s="188" t="str">
        <f>B48+B37+B26</f>
        <v>#DIV/0!</v>
      </c>
      <c r="C52" s="187"/>
      <c r="D52" s="49"/>
      <c r="E52" s="49"/>
      <c r="F52" s="51"/>
      <c r="G52" s="51"/>
      <c r="H52" s="51"/>
      <c r="I52" s="51"/>
      <c r="J52" s="51" t="s">
        <v>24</v>
      </c>
      <c r="K52" s="107" t="s">
        <v>102</v>
      </c>
      <c r="L52" s="107" t="s">
        <v>102</v>
      </c>
      <c r="M52" s="51"/>
      <c r="N52" s="51"/>
      <c r="O52" s="51"/>
      <c r="Q52" s="178"/>
      <c r="R52" s="178"/>
    </row>
    <row r="53">
      <c r="A53" s="59" t="s">
        <v>158</v>
      </c>
      <c r="B53" s="188">
        <f>B49+B38+B32</f>
        <v>738489.4474</v>
      </c>
      <c r="C53" s="187"/>
      <c r="D53" s="49"/>
      <c r="E53" s="49"/>
      <c r="F53" s="155"/>
      <c r="G53" s="155"/>
      <c r="H53" s="155"/>
      <c r="I53" s="155"/>
      <c r="J53" s="173" t="s">
        <v>24</v>
      </c>
      <c r="K53" s="107" t="s">
        <v>102</v>
      </c>
      <c r="L53" s="107" t="s">
        <v>102</v>
      </c>
      <c r="M53" s="155"/>
      <c r="N53" s="51"/>
      <c r="O53" s="51"/>
      <c r="Q53" s="178"/>
      <c r="R53" s="178"/>
    </row>
    <row r="54">
      <c r="A54" s="174" t="s">
        <v>159</v>
      </c>
      <c r="B54" s="189" t="str">
        <f>B52+((1-B11)/B11)*B53</f>
        <v>#DIV/0!</v>
      </c>
      <c r="C54" s="187"/>
      <c r="D54" s="49"/>
      <c r="E54" s="49"/>
      <c r="F54" s="155"/>
      <c r="G54" s="155"/>
      <c r="H54" s="155"/>
      <c r="I54" s="155"/>
      <c r="J54" s="155" t="s">
        <v>24</v>
      </c>
      <c r="K54" s="107" t="s">
        <v>102</v>
      </c>
      <c r="L54" s="107" t="s">
        <v>102</v>
      </c>
      <c r="M54" s="155"/>
      <c r="N54" s="51"/>
      <c r="O54" s="51"/>
      <c r="Q54" s="178"/>
      <c r="R54" s="178"/>
    </row>
    <row r="55">
      <c r="A55" s="174"/>
      <c r="B55" s="186"/>
      <c r="C55" s="187"/>
      <c r="D55" s="186"/>
      <c r="E55" s="186"/>
      <c r="F55" s="155"/>
      <c r="G55" s="155"/>
      <c r="H55" s="155"/>
      <c r="I55" s="155"/>
      <c r="J55" s="155"/>
      <c r="K55" s="107" t="s">
        <v>102</v>
      </c>
      <c r="L55" s="107" t="s">
        <v>102</v>
      </c>
      <c r="M55" s="155"/>
      <c r="N55" s="51"/>
      <c r="O55" s="51"/>
      <c r="Q55" s="178"/>
      <c r="R55" s="178"/>
    </row>
    <row r="56">
      <c r="A56" s="131" t="s">
        <v>160</v>
      </c>
      <c r="B56" s="133"/>
      <c r="C56" s="133"/>
      <c r="D56" s="133"/>
      <c r="E56" s="133"/>
      <c r="F56" s="134"/>
      <c r="G56" s="134"/>
      <c r="H56" s="134"/>
      <c r="I56" s="134"/>
      <c r="J56" s="134"/>
      <c r="K56" s="135" t="s">
        <v>102</v>
      </c>
      <c r="L56" s="135" t="s">
        <v>102</v>
      </c>
      <c r="M56" s="134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>
      <c r="A57" s="59" t="s">
        <v>161</v>
      </c>
      <c r="B57" s="179">
        <v>0.0</v>
      </c>
      <c r="C57" s="104"/>
      <c r="D57" s="179"/>
      <c r="E57" s="179"/>
      <c r="F57" s="105"/>
      <c r="G57" s="105"/>
      <c r="H57" s="105"/>
      <c r="I57" s="51"/>
      <c r="J57" s="51" t="s">
        <v>162</v>
      </c>
      <c r="K57" s="116" t="s">
        <v>102</v>
      </c>
      <c r="L57" s="116" t="s">
        <v>102</v>
      </c>
      <c r="M57" s="51"/>
      <c r="O57" s="51"/>
      <c r="Q57" s="178"/>
      <c r="R57" s="178"/>
    </row>
    <row r="58">
      <c r="A58" s="59" t="s">
        <v>163</v>
      </c>
      <c r="B58" s="179">
        <v>0.0</v>
      </c>
      <c r="C58" s="104"/>
      <c r="D58" s="179"/>
      <c r="E58" s="179"/>
      <c r="F58" s="105"/>
      <c r="G58" s="105"/>
      <c r="H58" s="105"/>
      <c r="I58" s="51"/>
      <c r="J58" s="51" t="s">
        <v>162</v>
      </c>
      <c r="K58" s="116" t="s">
        <v>102</v>
      </c>
      <c r="L58" s="116" t="s">
        <v>102</v>
      </c>
      <c r="M58" s="51"/>
      <c r="N58" s="51"/>
      <c r="O58" s="51"/>
      <c r="Q58" s="178"/>
      <c r="R58" s="178"/>
    </row>
    <row r="59">
      <c r="A59" s="174"/>
      <c r="B59" s="190"/>
      <c r="C59" s="187"/>
      <c r="D59" s="190"/>
      <c r="E59" s="190"/>
      <c r="F59" s="155"/>
      <c r="G59" s="155"/>
      <c r="H59" s="155"/>
      <c r="I59" s="155"/>
      <c r="J59" s="155"/>
      <c r="K59" s="107" t="s">
        <v>102</v>
      </c>
      <c r="L59" s="107" t="s">
        <v>102</v>
      </c>
      <c r="M59" s="155"/>
      <c r="N59" s="172"/>
      <c r="O59" s="172"/>
      <c r="Q59" s="178"/>
      <c r="R59" s="178"/>
    </row>
    <row r="60">
      <c r="A60" s="174"/>
      <c r="B60" s="190"/>
      <c r="C60" s="187"/>
      <c r="D60" s="190"/>
      <c r="E60" s="190"/>
      <c r="F60" s="155"/>
      <c r="G60" s="155"/>
      <c r="H60" s="155"/>
      <c r="I60" s="155"/>
      <c r="J60" s="155"/>
      <c r="K60" s="107" t="s">
        <v>102</v>
      </c>
      <c r="L60" s="107" t="s">
        <v>102</v>
      </c>
      <c r="M60" s="155"/>
      <c r="N60" s="51"/>
      <c r="O60" s="51"/>
      <c r="Q60" s="178"/>
      <c r="R60" s="178"/>
    </row>
    <row r="61" ht="27.0" customHeight="1">
      <c r="A61" s="86" t="s">
        <v>164</v>
      </c>
      <c r="B61" s="87"/>
      <c r="C61" s="87"/>
      <c r="D61" s="87"/>
      <c r="E61" s="87"/>
      <c r="F61" s="87"/>
      <c r="G61" s="87"/>
      <c r="H61" s="87"/>
      <c r="I61" s="87"/>
      <c r="J61" s="87"/>
      <c r="K61" s="97" t="s">
        <v>102</v>
      </c>
      <c r="L61" s="97" t="s">
        <v>102</v>
      </c>
      <c r="M61" s="87"/>
      <c r="N61" s="87"/>
      <c r="O61" s="87"/>
      <c r="P61" s="87"/>
      <c r="Q61" s="92"/>
      <c r="R61" s="92"/>
      <c r="S61" s="87"/>
      <c r="T61" s="87"/>
      <c r="U61" s="87"/>
      <c r="V61" s="87"/>
      <c r="W61" s="87"/>
      <c r="X61" s="87"/>
      <c r="Y61" s="87"/>
      <c r="Z61" s="87"/>
    </row>
    <row r="62">
      <c r="A62" s="124" t="s">
        <v>165</v>
      </c>
      <c r="B62" s="125"/>
      <c r="C62" s="125"/>
      <c r="D62" s="125"/>
      <c r="E62" s="125"/>
      <c r="F62" s="126"/>
      <c r="G62" s="126"/>
      <c r="H62" s="126"/>
      <c r="I62" s="126"/>
      <c r="J62" s="126"/>
      <c r="K62" s="127" t="s">
        <v>102</v>
      </c>
      <c r="L62" s="127" t="s">
        <v>102</v>
      </c>
      <c r="M62" s="126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ht="15.0" customHeight="1">
      <c r="A63" s="93" t="s">
        <v>166</v>
      </c>
      <c r="B63" s="191">
        <f>1/2.3</f>
        <v>0.4347826087</v>
      </c>
      <c r="C63" s="104"/>
      <c r="D63" s="191"/>
      <c r="E63" s="191"/>
      <c r="F63" s="105"/>
      <c r="G63" s="105"/>
      <c r="H63" s="105"/>
      <c r="I63" s="192"/>
      <c r="J63" s="192" t="s">
        <v>2</v>
      </c>
      <c r="K63" s="193" t="s">
        <v>102</v>
      </c>
      <c r="L63" s="193" t="s">
        <v>102</v>
      </c>
      <c r="M63" s="192"/>
      <c r="N63" s="172"/>
    </row>
    <row r="64" ht="15.0" customHeight="1">
      <c r="A64" s="93" t="s">
        <v>167</v>
      </c>
      <c r="B64" s="129">
        <v>0.04</v>
      </c>
      <c r="C64" s="104"/>
      <c r="D64" s="129"/>
      <c r="E64" s="129"/>
      <c r="F64" s="105"/>
      <c r="G64" s="105"/>
      <c r="H64" s="105"/>
      <c r="I64" s="112"/>
      <c r="J64" s="112" t="s">
        <v>4</v>
      </c>
      <c r="K64" s="113" t="s">
        <v>102</v>
      </c>
      <c r="L64" s="113" t="s">
        <v>102</v>
      </c>
      <c r="M64" s="112"/>
      <c r="N64" s="117"/>
      <c r="O64" s="117"/>
    </row>
    <row r="65" ht="15.0" customHeight="1">
      <c r="A65" s="93"/>
      <c r="B65" s="49"/>
      <c r="C65" s="49"/>
      <c r="D65" s="49"/>
      <c r="E65" s="49"/>
      <c r="F65" s="49"/>
      <c r="G65" s="49"/>
      <c r="H65" s="49"/>
      <c r="I65" s="49"/>
      <c r="J65" s="49"/>
      <c r="K65" s="94" t="s">
        <v>102</v>
      </c>
      <c r="L65" s="94" t="s">
        <v>102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194" t="s">
        <v>168</v>
      </c>
      <c r="B66" s="133"/>
      <c r="C66" s="133"/>
      <c r="D66" s="133"/>
      <c r="E66" s="133"/>
      <c r="F66" s="134"/>
      <c r="G66" s="134"/>
      <c r="H66" s="134"/>
      <c r="I66" s="134"/>
      <c r="J66" s="195"/>
      <c r="K66" s="135" t="s">
        <v>102</v>
      </c>
      <c r="L66" s="135" t="s">
        <v>102</v>
      </c>
      <c r="M66" s="134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>
      <c r="A67" s="98" t="s">
        <v>145</v>
      </c>
      <c r="B67" s="99"/>
      <c r="C67" s="99"/>
      <c r="D67" s="99"/>
      <c r="E67" s="99"/>
      <c r="F67" s="32"/>
      <c r="G67" s="32"/>
      <c r="H67" s="32"/>
      <c r="I67" s="32"/>
      <c r="J67" s="32"/>
      <c r="K67" s="100" t="s">
        <v>102</v>
      </c>
      <c r="L67" s="100" t="s">
        <v>102</v>
      </c>
      <c r="M67" s="32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59" t="s">
        <v>169</v>
      </c>
      <c r="B68" s="196"/>
      <c r="C68" s="104"/>
      <c r="D68" s="196"/>
      <c r="E68" s="196"/>
      <c r="F68" s="105"/>
      <c r="G68" s="105"/>
      <c r="H68" s="105"/>
      <c r="I68" s="51"/>
      <c r="J68" s="51" t="s">
        <v>170</v>
      </c>
      <c r="K68" s="116" t="s">
        <v>102</v>
      </c>
      <c r="L68" s="116" t="s">
        <v>102</v>
      </c>
      <c r="M68" s="51"/>
      <c r="N68" s="172"/>
      <c r="O68" s="172"/>
      <c r="Q68" s="178"/>
      <c r="R68" s="178"/>
    </row>
    <row r="69">
      <c r="A69" s="59" t="s">
        <v>171</v>
      </c>
      <c r="B69" s="103"/>
      <c r="C69" s="104"/>
      <c r="D69" s="103"/>
      <c r="E69" s="103"/>
      <c r="F69" s="105"/>
      <c r="G69" s="105"/>
      <c r="H69" s="105"/>
      <c r="I69" s="51"/>
      <c r="J69" s="51" t="s">
        <v>172</v>
      </c>
      <c r="K69" s="116" t="s">
        <v>102</v>
      </c>
      <c r="L69" s="116" t="s">
        <v>102</v>
      </c>
      <c r="M69" s="51"/>
    </row>
    <row r="70">
      <c r="A70" s="59" t="s">
        <v>173</v>
      </c>
      <c r="B70" s="197"/>
      <c r="C70" s="104"/>
      <c r="D70" s="197"/>
      <c r="E70" s="197"/>
      <c r="F70" s="105"/>
      <c r="G70" s="105"/>
      <c r="H70" s="105"/>
      <c r="I70" s="51"/>
      <c r="J70" s="51" t="s">
        <v>174</v>
      </c>
      <c r="K70" s="116" t="s">
        <v>102</v>
      </c>
      <c r="L70" s="116" t="s">
        <v>102</v>
      </c>
      <c r="M70" s="51"/>
      <c r="N70" s="172"/>
      <c r="O70" s="172"/>
      <c r="P70" s="180"/>
    </row>
    <row r="71">
      <c r="A71" s="168" t="s">
        <v>175</v>
      </c>
      <c r="B71" s="103"/>
      <c r="C71" s="104"/>
      <c r="D71" s="103"/>
      <c r="E71" s="103"/>
      <c r="F71" s="105"/>
      <c r="G71" s="105"/>
      <c r="H71" s="105"/>
      <c r="I71" s="51"/>
      <c r="J71" s="51" t="s">
        <v>176</v>
      </c>
      <c r="K71" s="116" t="s">
        <v>102</v>
      </c>
      <c r="L71" s="116" t="s">
        <v>102</v>
      </c>
      <c r="M71" s="51"/>
      <c r="N71" s="172"/>
      <c r="O71" s="172"/>
      <c r="P71" s="178"/>
    </row>
    <row r="72">
      <c r="A72" s="168" t="s">
        <v>177</v>
      </c>
      <c r="B72" s="103"/>
      <c r="C72" s="104"/>
      <c r="D72" s="103"/>
      <c r="E72" s="103"/>
      <c r="F72" s="105"/>
      <c r="G72" s="105"/>
      <c r="H72" s="105"/>
      <c r="I72" s="51"/>
      <c r="J72" s="51" t="s">
        <v>176</v>
      </c>
      <c r="K72" s="116" t="s">
        <v>102</v>
      </c>
      <c r="L72" s="116" t="s">
        <v>102</v>
      </c>
      <c r="M72" s="51"/>
      <c r="N72" s="172"/>
      <c r="O72" s="172"/>
      <c r="P72" s="178"/>
    </row>
    <row r="73">
      <c r="A73" s="168" t="s">
        <v>178</v>
      </c>
      <c r="B73" s="198">
        <f>B70*(1+B71)*(1+B72)</f>
        <v>0</v>
      </c>
      <c r="C73" s="104"/>
      <c r="D73" s="49"/>
      <c r="E73" s="49"/>
      <c r="F73" s="51"/>
      <c r="G73" s="51"/>
      <c r="H73" s="51"/>
      <c r="I73" s="51"/>
      <c r="J73" s="51" t="s">
        <v>174</v>
      </c>
      <c r="K73" s="116" t="s">
        <v>102</v>
      </c>
      <c r="L73" s="116" t="s">
        <v>102</v>
      </c>
      <c r="M73" s="51"/>
      <c r="N73" s="172"/>
      <c r="O73" s="172"/>
      <c r="P73" s="178"/>
    </row>
    <row r="74">
      <c r="A74" s="59" t="s">
        <v>179</v>
      </c>
      <c r="B74" s="170"/>
      <c r="C74" s="104"/>
      <c r="D74" s="49"/>
      <c r="E74" s="49"/>
      <c r="F74" s="51"/>
      <c r="G74" s="51"/>
      <c r="H74" s="51"/>
      <c r="I74" s="51"/>
      <c r="J74" s="51" t="s">
        <v>180</v>
      </c>
      <c r="K74" s="116" t="s">
        <v>102</v>
      </c>
      <c r="L74" s="116" t="s">
        <v>102</v>
      </c>
      <c r="M74" s="51"/>
    </row>
    <row r="75">
      <c r="A75" s="98" t="s">
        <v>145</v>
      </c>
      <c r="B75" s="99"/>
      <c r="C75" s="99"/>
      <c r="D75" s="99"/>
      <c r="E75" s="99"/>
      <c r="F75" s="32"/>
      <c r="G75" s="32"/>
      <c r="H75" s="32"/>
      <c r="I75" s="32"/>
      <c r="J75" s="32"/>
      <c r="K75" s="100" t="s">
        <v>102</v>
      </c>
      <c r="L75" s="100" t="s">
        <v>102</v>
      </c>
      <c r="M75" s="32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59" t="s">
        <v>169</v>
      </c>
      <c r="B76" s="196"/>
      <c r="C76" s="104"/>
      <c r="D76" s="196"/>
      <c r="E76" s="196"/>
      <c r="F76" s="105"/>
      <c r="G76" s="105"/>
      <c r="H76" s="105"/>
      <c r="I76" s="51"/>
      <c r="J76" s="51" t="s">
        <v>170</v>
      </c>
      <c r="K76" s="116" t="s">
        <v>102</v>
      </c>
      <c r="L76" s="116" t="s">
        <v>102</v>
      </c>
      <c r="M76" s="51"/>
      <c r="N76" s="172"/>
      <c r="O76" s="172"/>
      <c r="Q76" s="178"/>
      <c r="R76" s="178"/>
    </row>
    <row r="77">
      <c r="A77" s="59" t="s">
        <v>171</v>
      </c>
      <c r="B77" s="103"/>
      <c r="C77" s="104"/>
      <c r="D77" s="103"/>
      <c r="E77" s="103"/>
      <c r="F77" s="105"/>
      <c r="G77" s="105"/>
      <c r="H77" s="105"/>
      <c r="I77" s="51"/>
      <c r="J77" s="51" t="s">
        <v>172</v>
      </c>
      <c r="K77" s="116" t="s">
        <v>102</v>
      </c>
      <c r="L77" s="116" t="s">
        <v>102</v>
      </c>
      <c r="M77" s="51"/>
    </row>
    <row r="78">
      <c r="A78" s="59" t="s">
        <v>179</v>
      </c>
      <c r="B78" s="170"/>
      <c r="C78" s="104"/>
      <c r="D78" s="49"/>
      <c r="E78" s="49"/>
      <c r="F78" s="51"/>
      <c r="G78" s="51"/>
      <c r="H78" s="51"/>
      <c r="I78" s="51"/>
      <c r="J78" s="51" t="s">
        <v>180</v>
      </c>
      <c r="K78" s="116" t="s">
        <v>102</v>
      </c>
      <c r="L78" s="116" t="s">
        <v>102</v>
      </c>
      <c r="M78" s="51"/>
    </row>
    <row r="79">
      <c r="A79" s="98" t="s">
        <v>53</v>
      </c>
      <c r="B79" s="99"/>
      <c r="C79" s="99"/>
      <c r="D79" s="99"/>
      <c r="E79" s="99"/>
      <c r="F79" s="32"/>
      <c r="G79" s="32"/>
      <c r="H79" s="32"/>
      <c r="I79" s="32"/>
      <c r="J79" s="32"/>
      <c r="K79" s="100" t="s">
        <v>102</v>
      </c>
      <c r="L79" s="100" t="s">
        <v>102</v>
      </c>
      <c r="M79" s="32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59" t="s">
        <v>181</v>
      </c>
      <c r="B80" s="199"/>
      <c r="C80" s="106"/>
      <c r="D80" s="49"/>
      <c r="E80" s="49"/>
      <c r="F80" s="51"/>
      <c r="G80" s="51"/>
      <c r="H80" s="51"/>
      <c r="I80" s="51"/>
      <c r="J80" s="51"/>
      <c r="K80" s="116" t="s">
        <v>102</v>
      </c>
      <c r="L80" s="116" t="s">
        <v>102</v>
      </c>
      <c r="M80" s="51"/>
    </row>
    <row r="81">
      <c r="A81" s="59" t="s">
        <v>182</v>
      </c>
      <c r="B81" s="118">
        <v>1.0</v>
      </c>
      <c r="C81" s="104"/>
      <c r="D81" s="118"/>
      <c r="E81" s="118"/>
      <c r="F81" s="105"/>
      <c r="G81" s="105"/>
      <c r="H81" s="105"/>
      <c r="I81" s="51"/>
      <c r="J81" s="51"/>
      <c r="K81" s="116" t="s">
        <v>102</v>
      </c>
      <c r="L81" s="116" t="s">
        <v>102</v>
      </c>
      <c r="M81" s="51"/>
    </row>
    <row r="82">
      <c r="A82" s="59" t="s">
        <v>183</v>
      </c>
      <c r="B82" s="118">
        <v>0.0</v>
      </c>
      <c r="C82" s="104"/>
      <c r="D82" s="118"/>
      <c r="E82" s="118"/>
      <c r="F82" s="105"/>
      <c r="G82" s="105"/>
      <c r="H82" s="105"/>
      <c r="I82" s="51"/>
      <c r="J82" s="51"/>
      <c r="K82" s="116" t="s">
        <v>102</v>
      </c>
      <c r="L82" s="116" t="s">
        <v>102</v>
      </c>
      <c r="M82" s="51"/>
    </row>
    <row r="83">
      <c r="A83" s="59" t="s">
        <v>184</v>
      </c>
      <c r="B83" s="200">
        <f>IF(B81="ongoing", B80/B$64, B80*((1-(1-B$64)^B81))/(B$64)) *(1-B$64)^(B82)</f>
        <v>0</v>
      </c>
      <c r="C83" s="106"/>
      <c r="D83" s="49"/>
      <c r="E83" s="49"/>
      <c r="F83" s="51"/>
      <c r="G83" s="51"/>
      <c r="H83" s="51"/>
      <c r="I83" s="51"/>
      <c r="J83" s="51"/>
      <c r="K83" s="116" t="s">
        <v>102</v>
      </c>
      <c r="L83" s="116" t="s">
        <v>102</v>
      </c>
      <c r="M83" s="51"/>
    </row>
    <row r="84">
      <c r="A84" s="59"/>
      <c r="B84" s="51"/>
      <c r="C84" s="106"/>
      <c r="D84" s="51"/>
      <c r="E84" s="51"/>
      <c r="F84" s="51"/>
      <c r="G84" s="51"/>
      <c r="H84" s="51"/>
      <c r="I84" s="51"/>
      <c r="J84" s="51"/>
      <c r="K84" s="116" t="s">
        <v>102</v>
      </c>
      <c r="L84" s="116" t="s">
        <v>102</v>
      </c>
      <c r="M84" s="51"/>
    </row>
    <row r="85">
      <c r="A85" s="131" t="s">
        <v>185</v>
      </c>
      <c r="B85" s="133"/>
      <c r="C85" s="133"/>
      <c r="D85" s="133"/>
      <c r="E85" s="133"/>
      <c r="F85" s="134"/>
      <c r="G85" s="134"/>
      <c r="H85" s="134"/>
      <c r="I85" s="134"/>
      <c r="J85" s="134"/>
      <c r="K85" s="135" t="s">
        <v>102</v>
      </c>
      <c r="L85" s="135" t="s">
        <v>102</v>
      </c>
      <c r="M85" s="134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>
      <c r="A86" s="59" t="s">
        <v>184</v>
      </c>
      <c r="B86" s="201"/>
      <c r="C86" s="106"/>
      <c r="D86" s="49"/>
      <c r="E86" s="49"/>
      <c r="F86" s="51"/>
      <c r="G86" s="51"/>
      <c r="H86" s="51"/>
      <c r="I86" s="51"/>
      <c r="J86" s="51"/>
      <c r="K86" s="116" t="s">
        <v>102</v>
      </c>
      <c r="L86" s="116" t="s">
        <v>102</v>
      </c>
      <c r="M86" s="51"/>
      <c r="N86" s="51"/>
      <c r="O86" s="51"/>
      <c r="P86" s="178"/>
    </row>
    <row r="87">
      <c r="A87" s="59"/>
      <c r="B87" s="51"/>
      <c r="C87" s="51"/>
      <c r="D87" s="51"/>
      <c r="E87" s="51"/>
      <c r="F87" s="51"/>
      <c r="G87" s="51"/>
      <c r="H87" s="51"/>
      <c r="I87" s="51"/>
      <c r="J87" s="51"/>
      <c r="K87" s="116" t="s">
        <v>102</v>
      </c>
      <c r="L87" s="116" t="s">
        <v>102</v>
      </c>
      <c r="M87" s="51"/>
      <c r="N87" s="172"/>
      <c r="O87" s="172"/>
      <c r="P87" s="178"/>
    </row>
    <row r="88">
      <c r="A88" s="131" t="s">
        <v>186</v>
      </c>
      <c r="B88" s="202" t="s">
        <v>187</v>
      </c>
      <c r="C88" s="133"/>
      <c r="D88" s="133"/>
      <c r="E88" s="133"/>
      <c r="F88" s="134"/>
      <c r="G88" s="134"/>
      <c r="H88" s="134"/>
      <c r="I88" s="134"/>
      <c r="J88" s="202"/>
      <c r="K88" s="135" t="s">
        <v>102</v>
      </c>
      <c r="L88" s="135" t="s">
        <v>102</v>
      </c>
      <c r="M88" s="134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>
      <c r="A89" s="59" t="s">
        <v>188</v>
      </c>
      <c r="B89" s="203"/>
      <c r="C89" s="104"/>
      <c r="D89" s="203"/>
      <c r="E89" s="203"/>
      <c r="F89" s="105"/>
      <c r="G89" s="105"/>
      <c r="H89" s="105"/>
      <c r="I89" s="51"/>
      <c r="J89" s="51" t="s">
        <v>189</v>
      </c>
      <c r="K89" s="116" t="s">
        <v>102</v>
      </c>
      <c r="L89" s="116" t="s">
        <v>102</v>
      </c>
      <c r="M89" s="51"/>
      <c r="N89" s="172"/>
      <c r="O89" s="172"/>
      <c r="P89" s="178"/>
    </row>
    <row r="90">
      <c r="A90" s="59" t="s">
        <v>190</v>
      </c>
      <c r="B90" s="203"/>
      <c r="C90" s="104"/>
      <c r="D90" s="203"/>
      <c r="E90" s="203"/>
      <c r="F90" s="105"/>
      <c r="G90" s="105"/>
      <c r="H90" s="105"/>
      <c r="I90" s="51"/>
      <c r="J90" s="51" t="s">
        <v>191</v>
      </c>
      <c r="K90" s="116" t="s">
        <v>102</v>
      </c>
      <c r="L90" s="116" t="s">
        <v>102</v>
      </c>
      <c r="M90" s="51"/>
      <c r="N90" s="172"/>
      <c r="O90" s="172"/>
      <c r="P90" s="178"/>
    </row>
    <row r="91">
      <c r="A91" s="174"/>
      <c r="B91" s="190"/>
      <c r="C91" s="187"/>
      <c r="D91" s="190"/>
      <c r="E91" s="190"/>
      <c r="F91" s="155"/>
      <c r="G91" s="155"/>
      <c r="H91" s="155"/>
      <c r="I91" s="155"/>
      <c r="J91" s="155"/>
      <c r="K91" s="107" t="s">
        <v>102</v>
      </c>
      <c r="L91" s="107" t="s">
        <v>102</v>
      </c>
      <c r="M91" s="155"/>
      <c r="N91" s="172"/>
      <c r="O91" s="172"/>
      <c r="Q91" s="178"/>
      <c r="R91" s="178"/>
    </row>
    <row r="92">
      <c r="A92" s="131" t="s">
        <v>192</v>
      </c>
      <c r="B92" s="202" t="s">
        <v>193</v>
      </c>
      <c r="C92" s="133"/>
      <c r="D92" s="202"/>
      <c r="E92" s="202"/>
      <c r="F92" s="134"/>
      <c r="G92" s="134"/>
      <c r="H92" s="134"/>
      <c r="I92" s="134"/>
      <c r="J92" s="202"/>
      <c r="K92" s="135" t="s">
        <v>102</v>
      </c>
      <c r="L92" s="135" t="s">
        <v>102</v>
      </c>
      <c r="M92" s="134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>
      <c r="A93" s="174" t="s">
        <v>194</v>
      </c>
      <c r="B93" s="200">
        <f>B89+B86+B83</f>
        <v>0</v>
      </c>
      <c r="C93" s="187"/>
      <c r="D93" s="49"/>
      <c r="E93" s="49"/>
      <c r="F93" s="155"/>
      <c r="G93" s="155"/>
      <c r="H93" s="155"/>
      <c r="I93" s="155"/>
      <c r="J93" s="51" t="s">
        <v>189</v>
      </c>
      <c r="K93" s="107" t="s">
        <v>102</v>
      </c>
      <c r="L93" s="107" t="s">
        <v>102</v>
      </c>
      <c r="M93" s="155"/>
      <c r="N93" s="172"/>
      <c r="O93" s="172"/>
      <c r="Q93" s="178"/>
      <c r="R93" s="178"/>
    </row>
    <row r="94">
      <c r="A94" s="59"/>
      <c r="B94" s="51"/>
      <c r="C94" s="187"/>
      <c r="D94" s="51"/>
      <c r="E94" s="51"/>
      <c r="F94" s="155"/>
      <c r="G94" s="155"/>
      <c r="H94" s="155"/>
      <c r="I94" s="155"/>
      <c r="J94" s="51"/>
      <c r="K94" s="107" t="s">
        <v>102</v>
      </c>
      <c r="L94" s="107" t="s">
        <v>102</v>
      </c>
      <c r="M94" s="155"/>
      <c r="N94" s="172"/>
      <c r="O94" s="172"/>
      <c r="Q94" s="178"/>
      <c r="R94" s="178"/>
    </row>
    <row r="95">
      <c r="A95" s="59"/>
      <c r="B95" s="51"/>
      <c r="C95" s="187"/>
      <c r="D95" s="51"/>
      <c r="E95" s="51"/>
      <c r="F95" s="155"/>
      <c r="G95" s="155"/>
      <c r="H95" s="155"/>
      <c r="I95" s="155"/>
      <c r="J95" s="51"/>
      <c r="K95" s="107" t="s">
        <v>102</v>
      </c>
      <c r="L95" s="107" t="s">
        <v>102</v>
      </c>
      <c r="M95" s="155"/>
      <c r="N95" s="51"/>
      <c r="O95" s="51"/>
      <c r="Q95" s="178"/>
      <c r="R95" s="178"/>
    </row>
    <row r="96" ht="27.0" customHeight="1">
      <c r="A96" s="86" t="s">
        <v>195</v>
      </c>
      <c r="B96" s="87"/>
      <c r="C96" s="87"/>
      <c r="D96" s="87"/>
      <c r="E96" s="87"/>
      <c r="F96" s="87"/>
      <c r="G96" s="87"/>
      <c r="H96" s="87"/>
      <c r="I96" s="87"/>
      <c r="J96" s="87"/>
      <c r="K96" s="97" t="s">
        <v>102</v>
      </c>
      <c r="L96" s="97" t="s">
        <v>102</v>
      </c>
      <c r="M96" s="87"/>
      <c r="N96" s="87"/>
      <c r="O96" s="87"/>
      <c r="P96" s="87"/>
      <c r="Q96" s="92"/>
      <c r="R96" s="92"/>
      <c r="S96" s="87"/>
      <c r="T96" s="87"/>
      <c r="U96" s="87"/>
      <c r="V96" s="87"/>
      <c r="W96" s="87"/>
      <c r="X96" s="87"/>
      <c r="Y96" s="87"/>
      <c r="Z96" s="87"/>
    </row>
    <row r="97">
      <c r="A97" s="124" t="s">
        <v>165</v>
      </c>
      <c r="B97" s="125"/>
      <c r="C97" s="125"/>
      <c r="D97" s="125"/>
      <c r="E97" s="125"/>
      <c r="F97" s="126"/>
      <c r="G97" s="126"/>
      <c r="H97" s="126"/>
      <c r="I97" s="126"/>
      <c r="J97" s="126"/>
      <c r="K97" s="127" t="s">
        <v>102</v>
      </c>
      <c r="L97" s="127" t="s">
        <v>102</v>
      </c>
      <c r="M97" s="126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59" t="s">
        <v>196</v>
      </c>
      <c r="B98" s="204"/>
      <c r="C98" s="104"/>
      <c r="D98" s="204"/>
      <c r="E98" s="204"/>
      <c r="F98" s="105"/>
      <c r="G98" s="105"/>
      <c r="H98" s="105"/>
      <c r="I98" s="51"/>
      <c r="J98" s="51" t="s">
        <v>4</v>
      </c>
      <c r="K98" s="116" t="s">
        <v>102</v>
      </c>
      <c r="L98" s="116" t="s">
        <v>102</v>
      </c>
      <c r="M98" s="51"/>
      <c r="N98" s="172"/>
      <c r="O98" s="172"/>
      <c r="P98" s="178"/>
    </row>
    <row r="99">
      <c r="A99" s="59" t="s">
        <v>197</v>
      </c>
      <c r="B99" s="204"/>
      <c r="C99" s="104"/>
      <c r="D99" s="204"/>
      <c r="E99" s="204"/>
      <c r="F99" s="105"/>
      <c r="G99" s="105"/>
      <c r="H99" s="105"/>
      <c r="I99" s="51"/>
      <c r="J99" s="51" t="s">
        <v>4</v>
      </c>
      <c r="K99" s="116" t="s">
        <v>102</v>
      </c>
      <c r="L99" s="116" t="s">
        <v>102</v>
      </c>
      <c r="M99" s="51"/>
      <c r="N99" s="51"/>
      <c r="O99" s="51"/>
      <c r="P99" s="178"/>
    </row>
    <row r="100">
      <c r="A100" s="93" t="s">
        <v>198</v>
      </c>
      <c r="B100" s="205">
        <f>B18-(B98+B99)</f>
        <v>0.04</v>
      </c>
      <c r="C100" s="187"/>
      <c r="D100" s="51"/>
      <c r="E100" s="51"/>
      <c r="F100" s="155"/>
      <c r="G100" s="155"/>
      <c r="H100" s="155"/>
      <c r="I100" s="155"/>
      <c r="J100" s="51"/>
      <c r="K100" s="113" t="s">
        <v>102</v>
      </c>
      <c r="L100" s="113" t="s">
        <v>102</v>
      </c>
      <c r="M100" s="112"/>
      <c r="N100" s="206"/>
      <c r="O100" s="206"/>
      <c r="P100" s="114"/>
      <c r="Q100" s="112"/>
      <c r="R100" s="112"/>
      <c r="S100" s="114"/>
      <c r="T100" s="114"/>
      <c r="U100" s="114"/>
      <c r="V100" s="114"/>
      <c r="W100" s="114"/>
      <c r="X100" s="114"/>
      <c r="Y100" s="114"/>
      <c r="Z100" s="114"/>
    </row>
    <row r="101">
      <c r="A101" s="93" t="s">
        <v>199</v>
      </c>
      <c r="B101" s="205">
        <f>B64+B9-(B98+B99)</f>
        <v>0.04</v>
      </c>
      <c r="C101" s="187"/>
      <c r="D101" s="51"/>
      <c r="E101" s="51"/>
      <c r="F101" s="155"/>
      <c r="G101" s="155"/>
      <c r="H101" s="155"/>
      <c r="I101" s="155"/>
      <c r="J101" s="51"/>
      <c r="K101" s="113" t="s">
        <v>102</v>
      </c>
      <c r="L101" s="113" t="s">
        <v>102</v>
      </c>
      <c r="M101" s="112"/>
      <c r="N101" s="206"/>
      <c r="O101" s="206"/>
      <c r="P101" s="114"/>
      <c r="Q101" s="112"/>
      <c r="R101" s="112"/>
      <c r="S101" s="114"/>
      <c r="T101" s="114"/>
      <c r="U101" s="114"/>
      <c r="V101" s="114"/>
      <c r="W101" s="114"/>
      <c r="X101" s="114"/>
      <c r="Y101" s="114"/>
      <c r="Z101" s="114"/>
    </row>
    <row r="102">
      <c r="A102" s="4"/>
      <c r="B102" s="51"/>
      <c r="C102" s="187"/>
      <c r="D102" s="51"/>
      <c r="E102" s="51"/>
      <c r="F102" s="155"/>
      <c r="G102" s="155"/>
      <c r="H102" s="155"/>
      <c r="I102" s="155"/>
      <c r="J102" s="51"/>
      <c r="K102" s="107" t="s">
        <v>102</v>
      </c>
      <c r="L102" s="107" t="s">
        <v>102</v>
      </c>
      <c r="M102" s="155"/>
      <c r="N102" s="172"/>
      <c r="O102" s="172"/>
      <c r="Q102" s="178"/>
      <c r="R102" s="178"/>
    </row>
    <row r="103">
      <c r="A103" s="194" t="s">
        <v>200</v>
      </c>
      <c r="B103" s="133"/>
      <c r="C103" s="133"/>
      <c r="D103" s="133"/>
      <c r="E103" s="133"/>
      <c r="F103" s="134"/>
      <c r="G103" s="134"/>
      <c r="H103" s="134"/>
      <c r="I103" s="134"/>
      <c r="J103" s="195"/>
      <c r="K103" s="135" t="s">
        <v>102</v>
      </c>
      <c r="L103" s="135" t="s">
        <v>102</v>
      </c>
      <c r="M103" s="134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>
      <c r="A104" s="98" t="s">
        <v>145</v>
      </c>
      <c r="B104" s="99"/>
      <c r="C104" s="99"/>
      <c r="D104" s="99"/>
      <c r="E104" s="99"/>
      <c r="F104" s="32"/>
      <c r="G104" s="32"/>
      <c r="H104" s="32"/>
      <c r="I104" s="32"/>
      <c r="J104" s="32"/>
      <c r="K104" s="100" t="s">
        <v>102</v>
      </c>
      <c r="L104" s="100" t="s">
        <v>102</v>
      </c>
      <c r="M104" s="32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59" t="s">
        <v>169</v>
      </c>
      <c r="B105" s="196"/>
      <c r="C105" s="104"/>
      <c r="D105" s="196"/>
      <c r="E105" s="196"/>
      <c r="F105" s="105"/>
      <c r="G105" s="105"/>
      <c r="H105" s="105"/>
      <c r="I105" s="51"/>
      <c r="J105" s="51" t="s">
        <v>170</v>
      </c>
      <c r="K105" s="116" t="s">
        <v>102</v>
      </c>
      <c r="L105" s="116" t="s">
        <v>102</v>
      </c>
      <c r="M105" s="51"/>
      <c r="N105" s="172"/>
      <c r="O105" s="172"/>
      <c r="Q105" s="178"/>
      <c r="R105" s="178"/>
    </row>
    <row r="106">
      <c r="A106" s="59" t="s">
        <v>171</v>
      </c>
      <c r="B106" s="103"/>
      <c r="C106" s="104"/>
      <c r="D106" s="103"/>
      <c r="E106" s="103"/>
      <c r="F106" s="105"/>
      <c r="G106" s="105"/>
      <c r="H106" s="105"/>
      <c r="I106" s="51"/>
      <c r="J106" s="51" t="s">
        <v>172</v>
      </c>
      <c r="K106" s="116" t="s">
        <v>102</v>
      </c>
      <c r="L106" s="116" t="s">
        <v>102</v>
      </c>
      <c r="M106" s="51"/>
    </row>
    <row r="107">
      <c r="A107" s="59" t="s">
        <v>179</v>
      </c>
      <c r="B107" s="170"/>
      <c r="C107" s="104"/>
      <c r="D107" s="49"/>
      <c r="E107" s="49"/>
      <c r="F107" s="51"/>
      <c r="G107" s="51"/>
      <c r="H107" s="51"/>
      <c r="I107" s="51"/>
      <c r="J107" s="51" t="s">
        <v>180</v>
      </c>
      <c r="K107" s="116" t="s">
        <v>102</v>
      </c>
      <c r="L107" s="116" t="s">
        <v>102</v>
      </c>
      <c r="M107" s="51"/>
    </row>
    <row r="108">
      <c r="A108" s="59"/>
      <c r="B108" s="187"/>
      <c r="C108" s="187"/>
      <c r="D108" s="187"/>
      <c r="E108" s="187"/>
      <c r="F108" s="155"/>
      <c r="G108" s="155"/>
      <c r="H108" s="155"/>
      <c r="I108" s="155"/>
      <c r="J108" s="155"/>
      <c r="K108" s="107" t="s">
        <v>102</v>
      </c>
      <c r="L108" s="107" t="s">
        <v>102</v>
      </c>
      <c r="M108" s="155"/>
      <c r="N108" s="51"/>
      <c r="O108" s="51"/>
      <c r="Q108" s="178"/>
      <c r="R108" s="178"/>
    </row>
    <row r="109">
      <c r="A109" s="131" t="s">
        <v>201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5" t="s">
        <v>102</v>
      </c>
      <c r="L109" s="135" t="s">
        <v>102</v>
      </c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>
      <c r="A110" s="137" t="s">
        <v>119</v>
      </c>
      <c r="B110" s="138"/>
      <c r="C110" s="138"/>
      <c r="D110" s="138"/>
      <c r="E110" s="138"/>
      <c r="F110" s="139"/>
      <c r="G110" s="139"/>
      <c r="H110" s="139"/>
      <c r="I110" s="139"/>
      <c r="J110" s="139"/>
      <c r="K110" s="140" t="s">
        <v>102</v>
      </c>
      <c r="L110" s="140" t="s">
        <v>102</v>
      </c>
      <c r="M110" s="139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93" t="s">
        <v>202</v>
      </c>
      <c r="B111" s="207">
        <v>0.0</v>
      </c>
      <c r="C111" s="144"/>
      <c r="D111" s="143"/>
      <c r="E111" s="143"/>
      <c r="F111" s="145"/>
      <c r="G111" s="145"/>
      <c r="H111" s="145"/>
      <c r="I111" s="112"/>
      <c r="J111" s="49" t="s">
        <v>122</v>
      </c>
      <c r="K111" s="113" t="s">
        <v>102</v>
      </c>
      <c r="L111" s="113" t="s">
        <v>102</v>
      </c>
      <c r="M111" s="112"/>
      <c r="N111" s="146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93" t="s">
        <v>203</v>
      </c>
      <c r="B112" s="207"/>
      <c r="C112" s="144"/>
      <c r="D112" s="208"/>
      <c r="E112" s="208"/>
      <c r="F112" s="147"/>
      <c r="G112" s="147"/>
      <c r="H112" s="147"/>
      <c r="I112" s="112"/>
      <c r="J112" s="112" t="s">
        <v>122</v>
      </c>
      <c r="K112" s="113" t="s">
        <v>102</v>
      </c>
      <c r="L112" s="113" t="s">
        <v>102</v>
      </c>
      <c r="M112" s="112"/>
      <c r="N112" s="149"/>
      <c r="O112" s="149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59" t="s">
        <v>204</v>
      </c>
      <c r="B113" s="207">
        <v>0.0</v>
      </c>
      <c r="C113" s="110"/>
      <c r="D113" s="143"/>
      <c r="E113" s="143"/>
      <c r="F113" s="147"/>
      <c r="G113" s="147"/>
      <c r="H113" s="147"/>
      <c r="I113" s="112"/>
      <c r="J113" s="209" t="s">
        <v>205</v>
      </c>
      <c r="K113" s="107" t="s">
        <v>102</v>
      </c>
      <c r="L113" s="107" t="s">
        <v>102</v>
      </c>
      <c r="M113" s="155"/>
      <c r="N113" s="172"/>
      <c r="O113" s="172"/>
      <c r="Q113" s="178"/>
      <c r="R113" s="178"/>
    </row>
    <row r="114">
      <c r="A114" s="59" t="s">
        <v>206</v>
      </c>
      <c r="B114" s="207"/>
      <c r="C114" s="110"/>
      <c r="D114" s="208"/>
      <c r="E114" s="208"/>
      <c r="F114" s="147"/>
      <c r="G114" s="147"/>
      <c r="H114" s="147"/>
      <c r="I114" s="112"/>
      <c r="J114" s="209" t="s">
        <v>205</v>
      </c>
      <c r="K114" s="107" t="s">
        <v>102</v>
      </c>
      <c r="L114" s="107" t="s">
        <v>102</v>
      </c>
      <c r="M114" s="155"/>
      <c r="N114" s="172"/>
      <c r="O114" s="172"/>
      <c r="Q114" s="178"/>
      <c r="R114" s="178"/>
    </row>
    <row r="115">
      <c r="A115" s="93" t="s">
        <v>207</v>
      </c>
      <c r="B115" s="200" t="str">
        <f>(B114-B113)/(B112-B111)</f>
        <v>#DIV/0!</v>
      </c>
      <c r="C115" s="110"/>
      <c r="D115" s="49"/>
      <c r="E115" s="49"/>
      <c r="F115" s="112"/>
      <c r="G115" s="112"/>
      <c r="H115" s="112"/>
      <c r="I115" s="112"/>
      <c r="J115" s="49"/>
      <c r="K115" s="113" t="s">
        <v>102</v>
      </c>
      <c r="L115" s="113" t="s">
        <v>102</v>
      </c>
      <c r="M115" s="112"/>
      <c r="N115" s="112"/>
      <c r="O115" s="112"/>
      <c r="P115" s="114"/>
      <c r="Q115" s="112"/>
      <c r="R115" s="112"/>
      <c r="S115" s="114"/>
      <c r="T115" s="114"/>
      <c r="U115" s="114"/>
      <c r="V115" s="114"/>
      <c r="W115" s="114"/>
      <c r="X115" s="114"/>
      <c r="Y115" s="114"/>
      <c r="Z115" s="114"/>
    </row>
    <row r="116">
      <c r="A116" s="59" t="s">
        <v>208</v>
      </c>
      <c r="B116" s="200" t="str">
        <f>((B113*((1-(1-B$100)^(B112-B111+1))) + B115*((1-(1-B$100)^(B112-B111+1))/(B$100)-1-((B112-B111+1)-1)*(1-B$100)^(B112-B111+1))) /(B$100))     *(1-B$100)^(B111-1)</f>
        <v>#DIV/0!</v>
      </c>
      <c r="C116" s="110"/>
      <c r="D116" s="49"/>
      <c r="E116" s="49"/>
      <c r="F116" s="112"/>
      <c r="G116" s="112"/>
      <c r="H116" s="112"/>
      <c r="I116" s="112"/>
      <c r="J116" s="49"/>
      <c r="K116" s="113" t="s">
        <v>102</v>
      </c>
      <c r="L116" s="113" t="s">
        <v>102</v>
      </c>
      <c r="M116" s="112"/>
      <c r="N116" s="112"/>
      <c r="O116" s="112"/>
      <c r="P116" s="114"/>
      <c r="Q116" s="112"/>
      <c r="R116" s="112"/>
      <c r="S116" s="114"/>
      <c r="T116" s="114"/>
      <c r="U116" s="114"/>
      <c r="V116" s="114"/>
      <c r="W116" s="114"/>
      <c r="X116" s="114"/>
      <c r="Y116" s="114"/>
      <c r="Z116" s="114"/>
    </row>
    <row r="117">
      <c r="A117" s="59" t="s">
        <v>209</v>
      </c>
      <c r="B117" s="200" t="str">
        <f>((B113*((1-(1-B$101)^(B112-B111+1))) + B115*((1-(1-B$101)^(B112-B111+1))/(B$101)-1-((B112-B111+1)-1)*(1-B$101)^(B112-B111+1))) /(B$101))     *(1-B$101)^(B111-1)</f>
        <v>#DIV/0!</v>
      </c>
      <c r="C117" s="110"/>
      <c r="D117" s="49"/>
      <c r="E117" s="49"/>
      <c r="F117" s="112"/>
      <c r="G117" s="112"/>
      <c r="H117" s="112"/>
      <c r="I117" s="112"/>
      <c r="J117" s="49"/>
      <c r="K117" s="113" t="s">
        <v>102</v>
      </c>
      <c r="L117" s="113" t="s">
        <v>102</v>
      </c>
      <c r="M117" s="112"/>
      <c r="N117" s="112"/>
      <c r="O117" s="112"/>
      <c r="P117" s="114"/>
      <c r="Q117" s="112"/>
      <c r="R117" s="112"/>
      <c r="S117" s="114"/>
      <c r="T117" s="114"/>
      <c r="U117" s="114"/>
      <c r="V117" s="114"/>
      <c r="W117" s="114"/>
      <c r="X117" s="114"/>
      <c r="Y117" s="114"/>
      <c r="Z117" s="114"/>
    </row>
    <row r="118" ht="15.0" customHeight="1">
      <c r="A118" s="98" t="s">
        <v>210</v>
      </c>
      <c r="B118" s="99"/>
      <c r="C118" s="99"/>
      <c r="D118" s="99"/>
      <c r="E118" s="99"/>
      <c r="F118" s="32"/>
      <c r="G118" s="32"/>
      <c r="H118" s="32"/>
      <c r="I118" s="32"/>
      <c r="J118" s="169"/>
      <c r="K118" s="100" t="s">
        <v>102</v>
      </c>
      <c r="L118" s="100" t="s">
        <v>102</v>
      </c>
      <c r="M118" s="32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59" t="s">
        <v>211</v>
      </c>
      <c r="B119" s="210">
        <f>B112+1</f>
        <v>1</v>
      </c>
      <c r="C119" s="144"/>
      <c r="D119" s="49"/>
      <c r="E119" s="49"/>
      <c r="F119" s="112"/>
      <c r="G119" s="112"/>
      <c r="H119" s="112"/>
      <c r="I119" s="112"/>
      <c r="J119" s="49" t="s">
        <v>122</v>
      </c>
      <c r="K119" s="107" t="s">
        <v>102</v>
      </c>
      <c r="L119" s="107" t="s">
        <v>102</v>
      </c>
      <c r="M119" s="155"/>
      <c r="N119" s="172"/>
      <c r="O119" s="172"/>
      <c r="Q119" s="178"/>
      <c r="R119" s="178"/>
    </row>
    <row r="120">
      <c r="A120" s="59" t="s">
        <v>212</v>
      </c>
      <c r="B120" s="171"/>
      <c r="C120" s="104"/>
      <c r="D120" s="171"/>
      <c r="E120" s="171"/>
      <c r="F120" s="147"/>
      <c r="G120" s="147"/>
      <c r="H120" s="147"/>
      <c r="I120" s="155"/>
      <c r="J120" s="112" t="s">
        <v>122</v>
      </c>
      <c r="K120" s="107" t="s">
        <v>102</v>
      </c>
      <c r="L120" s="107" t="s">
        <v>102</v>
      </c>
      <c r="M120" s="155"/>
      <c r="N120" s="172"/>
      <c r="O120" s="172"/>
      <c r="Q120" s="178"/>
      <c r="R120" s="178"/>
    </row>
    <row r="121">
      <c r="A121" s="59" t="s">
        <v>213</v>
      </c>
      <c r="B121" s="211" t="str">
        <f>B114</f>
        <v/>
      </c>
      <c r="C121" s="212"/>
      <c r="D121" s="211"/>
      <c r="E121" s="211"/>
      <c r="F121" s="147"/>
      <c r="G121" s="147"/>
      <c r="H121" s="147"/>
      <c r="I121" s="155"/>
      <c r="J121" s="209" t="s">
        <v>205</v>
      </c>
      <c r="K121" s="107" t="s">
        <v>102</v>
      </c>
      <c r="L121" s="107" t="s">
        <v>102</v>
      </c>
      <c r="M121" s="155"/>
      <c r="N121" s="172"/>
      <c r="O121" s="172"/>
      <c r="Q121" s="178"/>
      <c r="R121" s="178"/>
    </row>
    <row r="122">
      <c r="A122" s="59" t="s">
        <v>214</v>
      </c>
      <c r="B122" s="200">
        <f>IF(B120="ongoing", B121/B$100, B121*((1-(1-B$100)^B120))/(B$100)) - B121*((1-(1-B$100)^(B119-1)))/(B$100) </f>
        <v>0</v>
      </c>
      <c r="C122" s="110"/>
      <c r="D122" s="49"/>
      <c r="E122" s="49"/>
      <c r="F122" s="112"/>
      <c r="G122" s="112"/>
      <c r="H122" s="112"/>
      <c r="I122" s="155"/>
      <c r="J122" s="209" t="s">
        <v>205</v>
      </c>
      <c r="K122" s="107" t="s">
        <v>102</v>
      </c>
      <c r="L122" s="107" t="s">
        <v>102</v>
      </c>
      <c r="M122" s="155"/>
      <c r="N122" s="172"/>
      <c r="O122" s="172"/>
      <c r="Q122" s="178"/>
      <c r="R122" s="178"/>
    </row>
    <row r="123">
      <c r="A123" s="59" t="s">
        <v>215</v>
      </c>
      <c r="B123" s="200">
        <f>IF(B120="ongoing", B121/B$101, B121*((1-(1-B$101)^B120))/(B$101)) - B121*((1-(1-B$101)^(B119-1)))/(B$101) </f>
        <v>0</v>
      </c>
      <c r="C123" s="110"/>
      <c r="D123" s="49"/>
      <c r="E123" s="49"/>
      <c r="F123" s="112"/>
      <c r="G123" s="112"/>
      <c r="H123" s="112"/>
      <c r="I123" s="155"/>
      <c r="J123" s="209" t="s">
        <v>205</v>
      </c>
      <c r="K123" s="107" t="s">
        <v>102</v>
      </c>
      <c r="L123" s="107" t="s">
        <v>102</v>
      </c>
      <c r="M123" s="155"/>
      <c r="N123" s="172"/>
      <c r="O123" s="172"/>
      <c r="Q123" s="178"/>
      <c r="R123" s="178"/>
    </row>
    <row r="124">
      <c r="A124" s="174"/>
      <c r="B124" s="190"/>
      <c r="C124" s="187"/>
      <c r="D124" s="190"/>
      <c r="E124" s="190"/>
      <c r="F124" s="155"/>
      <c r="G124" s="155"/>
      <c r="H124" s="155"/>
      <c r="I124" s="155"/>
      <c r="J124" s="155"/>
      <c r="K124" s="107" t="s">
        <v>102</v>
      </c>
      <c r="L124" s="107" t="s">
        <v>102</v>
      </c>
      <c r="M124" s="155"/>
      <c r="N124" s="51"/>
      <c r="O124" s="51"/>
      <c r="Q124" s="178"/>
      <c r="R124" s="178"/>
    </row>
    <row r="125">
      <c r="A125" s="131" t="s">
        <v>216</v>
      </c>
      <c r="B125" s="134"/>
      <c r="C125" s="134"/>
      <c r="D125" s="134"/>
      <c r="E125" s="134"/>
      <c r="F125" s="134"/>
      <c r="G125" s="134"/>
      <c r="H125" s="134"/>
      <c r="I125" s="134"/>
      <c r="J125" s="134"/>
      <c r="K125" s="135" t="s">
        <v>102</v>
      </c>
      <c r="L125" s="135" t="s">
        <v>102</v>
      </c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>
      <c r="A126" s="59" t="s">
        <v>217</v>
      </c>
      <c r="B126" s="213" t="str">
        <f t="shared" ref="B126:B127" si="1">B122+B116</f>
        <v>#DIV/0!</v>
      </c>
      <c r="C126" s="212"/>
      <c r="D126" s="49"/>
      <c r="E126" s="49"/>
      <c r="F126" s="49"/>
      <c r="G126" s="49"/>
      <c r="H126" s="49"/>
      <c r="I126" s="155"/>
      <c r="J126" s="209" t="s">
        <v>205</v>
      </c>
      <c r="K126" s="107" t="s">
        <v>102</v>
      </c>
      <c r="L126" s="107" t="s">
        <v>102</v>
      </c>
      <c r="M126" s="155"/>
      <c r="N126" s="172"/>
      <c r="O126" s="172"/>
      <c r="Q126" s="178"/>
      <c r="R126" s="178"/>
    </row>
    <row r="127">
      <c r="A127" s="59" t="s">
        <v>218</v>
      </c>
      <c r="B127" s="213" t="str">
        <f t="shared" si="1"/>
        <v>#DIV/0!</v>
      </c>
      <c r="C127" s="187"/>
      <c r="D127" s="190"/>
      <c r="E127" s="190"/>
      <c r="F127" s="155"/>
      <c r="G127" s="155"/>
      <c r="H127" s="155"/>
      <c r="I127" s="155"/>
      <c r="J127" s="155"/>
      <c r="K127" s="107" t="s">
        <v>102</v>
      </c>
      <c r="L127" s="107" t="s">
        <v>102</v>
      </c>
      <c r="M127" s="155"/>
      <c r="N127" s="51"/>
      <c r="O127" s="51"/>
      <c r="Q127" s="178"/>
      <c r="R127" s="178"/>
    </row>
    <row r="128">
      <c r="A128" s="174"/>
      <c r="B128" s="190"/>
      <c r="C128" s="187"/>
      <c r="D128" s="190"/>
      <c r="E128" s="190"/>
      <c r="F128" s="155"/>
      <c r="G128" s="155"/>
      <c r="H128" s="155"/>
      <c r="I128" s="155"/>
      <c r="J128" s="155"/>
      <c r="K128" s="107" t="s">
        <v>102</v>
      </c>
      <c r="L128" s="107" t="s">
        <v>102</v>
      </c>
      <c r="M128" s="155"/>
      <c r="N128" s="51"/>
      <c r="O128" s="51"/>
      <c r="Q128" s="178"/>
      <c r="R128" s="178"/>
    </row>
    <row r="129">
      <c r="A129" s="174"/>
      <c r="B129" s="190"/>
      <c r="C129" s="187"/>
      <c r="D129" s="190"/>
      <c r="E129" s="190"/>
      <c r="F129" s="155"/>
      <c r="G129" s="155"/>
      <c r="H129" s="155"/>
      <c r="I129" s="155"/>
      <c r="J129" s="155"/>
      <c r="K129" s="107" t="s">
        <v>102</v>
      </c>
      <c r="L129" s="107" t="s">
        <v>102</v>
      </c>
      <c r="M129" s="155"/>
      <c r="N129" s="51"/>
      <c r="O129" s="51"/>
      <c r="Q129" s="178"/>
      <c r="R129" s="178"/>
    </row>
    <row r="130">
      <c r="A130" s="214" t="s">
        <v>219</v>
      </c>
      <c r="B130" s="215"/>
      <c r="C130" s="215"/>
      <c r="D130" s="215"/>
      <c r="E130" s="215"/>
      <c r="F130" s="215"/>
      <c r="G130" s="215"/>
      <c r="H130" s="215"/>
      <c r="I130" s="215"/>
      <c r="J130" s="215"/>
      <c r="K130" s="216" t="s">
        <v>102</v>
      </c>
      <c r="L130" s="216" t="s">
        <v>102</v>
      </c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102"/>
      <c r="B131" s="106"/>
      <c r="C131" s="106"/>
      <c r="D131" s="106"/>
      <c r="E131" s="106"/>
      <c r="F131" s="106"/>
      <c r="G131" s="106"/>
      <c r="H131" s="106"/>
      <c r="I131" s="106"/>
      <c r="J131" s="106"/>
      <c r="K131" s="107" t="s">
        <v>102</v>
      </c>
      <c r="L131" s="107" t="s">
        <v>102</v>
      </c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59" t="s">
        <v>220</v>
      </c>
      <c r="B132" s="184">
        <f>B93</f>
        <v>0</v>
      </c>
      <c r="C132" s="217"/>
      <c r="D132" s="106"/>
      <c r="E132" s="106"/>
      <c r="F132" s="51"/>
      <c r="G132" s="51"/>
      <c r="H132" s="51"/>
      <c r="I132" s="51"/>
      <c r="J132" s="51" t="s">
        <v>189</v>
      </c>
      <c r="K132" s="116" t="s">
        <v>102</v>
      </c>
      <c r="L132" s="116" t="s">
        <v>102</v>
      </c>
      <c r="N132" s="217"/>
    </row>
    <row r="133">
      <c r="A133" s="59"/>
      <c r="B133" s="217"/>
      <c r="C133" s="217"/>
      <c r="D133" s="106"/>
      <c r="E133" s="106"/>
      <c r="F133" s="51"/>
      <c r="G133" s="51"/>
      <c r="H133" s="51"/>
      <c r="I133" s="51"/>
      <c r="K133" s="116" t="s">
        <v>102</v>
      </c>
      <c r="L133" s="116" t="s">
        <v>102</v>
      </c>
      <c r="N133" s="217"/>
    </row>
    <row r="134">
      <c r="A134" s="98" t="s">
        <v>221</v>
      </c>
      <c r="B134" s="32"/>
      <c r="C134" s="217"/>
      <c r="D134" s="106"/>
      <c r="E134" s="106"/>
      <c r="F134" s="51"/>
      <c r="G134" s="51"/>
      <c r="H134" s="51"/>
      <c r="I134" s="51"/>
      <c r="J134" s="51"/>
      <c r="K134" s="116" t="s">
        <v>102</v>
      </c>
      <c r="L134" s="116" t="s">
        <v>102</v>
      </c>
      <c r="N134" s="217"/>
    </row>
    <row r="135">
      <c r="A135" s="59" t="s">
        <v>206</v>
      </c>
      <c r="B135" s="184" t="str">
        <f>B121</f>
        <v/>
      </c>
      <c r="C135" s="217"/>
      <c r="D135" s="106"/>
      <c r="E135" s="106"/>
      <c r="F135" s="51"/>
      <c r="G135" s="51"/>
      <c r="H135" s="51"/>
      <c r="I135" s="51"/>
      <c r="J135" s="51" t="s">
        <v>222</v>
      </c>
      <c r="K135" s="116" t="s">
        <v>102</v>
      </c>
      <c r="L135" s="116" t="s">
        <v>102</v>
      </c>
      <c r="N135" s="217"/>
    </row>
    <row r="136">
      <c r="A136" s="59" t="s">
        <v>223</v>
      </c>
      <c r="B136" s="184">
        <f>B135*B132</f>
        <v>0</v>
      </c>
      <c r="C136" s="217"/>
      <c r="D136" s="106"/>
      <c r="E136" s="106"/>
      <c r="F136" s="51"/>
      <c r="G136" s="51"/>
      <c r="H136" s="51"/>
      <c r="I136" s="51"/>
      <c r="J136" s="51" t="s">
        <v>224</v>
      </c>
      <c r="K136" s="116" t="s">
        <v>102</v>
      </c>
      <c r="L136" s="116" t="s">
        <v>102</v>
      </c>
      <c r="N136" s="217"/>
    </row>
    <row r="137">
      <c r="A137" s="59" t="s">
        <v>225</v>
      </c>
      <c r="B137" s="218">
        <f>B135*B46+B36</f>
        <v>250000</v>
      </c>
      <c r="C137" s="217"/>
      <c r="D137" s="106"/>
      <c r="E137" s="106"/>
      <c r="F137" s="51"/>
      <c r="G137" s="51"/>
      <c r="H137" s="51"/>
      <c r="I137" s="51"/>
      <c r="J137" s="51" t="s">
        <v>162</v>
      </c>
      <c r="K137" s="116" t="s">
        <v>102</v>
      </c>
      <c r="L137" s="116" t="s">
        <v>102</v>
      </c>
      <c r="N137" s="217"/>
    </row>
    <row r="138">
      <c r="A138" s="174" t="s">
        <v>226</v>
      </c>
      <c r="B138" s="219" t="str">
        <f>B137/B136</f>
        <v>#DIV/0!</v>
      </c>
      <c r="C138" s="217"/>
      <c r="D138" s="106"/>
      <c r="E138" s="106"/>
      <c r="F138" s="51"/>
      <c r="G138" s="51"/>
      <c r="H138" s="51"/>
      <c r="I138" s="51"/>
      <c r="J138" s="155" t="s">
        <v>227</v>
      </c>
      <c r="K138" s="116" t="s">
        <v>102</v>
      </c>
      <c r="L138" s="116" t="s">
        <v>102</v>
      </c>
      <c r="N138" s="217"/>
    </row>
    <row r="139">
      <c r="A139" s="59" t="s">
        <v>228</v>
      </c>
      <c r="B139" s="218" t="str">
        <f>1000*(1/B138)</f>
        <v>#DIV/0!</v>
      </c>
      <c r="C139" s="217"/>
      <c r="D139" s="106"/>
      <c r="E139" s="106"/>
      <c r="F139" s="51"/>
      <c r="G139" s="51"/>
      <c r="H139" s="51"/>
      <c r="I139" s="51"/>
      <c r="J139" s="51" t="s">
        <v>229</v>
      </c>
      <c r="K139" s="116" t="s">
        <v>102</v>
      </c>
      <c r="L139" s="116" t="s">
        <v>102</v>
      </c>
      <c r="N139" s="217"/>
    </row>
    <row r="140">
      <c r="A140" s="59"/>
      <c r="C140" s="217"/>
      <c r="D140" s="106"/>
      <c r="E140" s="106"/>
      <c r="F140" s="51"/>
      <c r="G140" s="51"/>
      <c r="H140" s="51"/>
      <c r="I140" s="51"/>
      <c r="K140" s="116" t="s">
        <v>102</v>
      </c>
      <c r="L140" s="116" t="s">
        <v>102</v>
      </c>
      <c r="N140" s="217"/>
    </row>
    <row r="141">
      <c r="A141" s="98" t="s">
        <v>230</v>
      </c>
      <c r="B141" s="32"/>
      <c r="C141" s="217"/>
      <c r="D141" s="106"/>
      <c r="E141" s="106"/>
      <c r="F141" s="51"/>
      <c r="G141" s="51"/>
      <c r="H141" s="51"/>
      <c r="I141" s="51"/>
      <c r="J141" s="51"/>
      <c r="K141" s="116" t="s">
        <v>102</v>
      </c>
      <c r="L141" s="116" t="s">
        <v>102</v>
      </c>
      <c r="N141" s="217"/>
    </row>
    <row r="142">
      <c r="A142" s="59" t="s">
        <v>231</v>
      </c>
      <c r="B142" s="184" t="str">
        <f>B$127</f>
        <v>#DIV/0!</v>
      </c>
      <c r="C142" s="217"/>
      <c r="D142" s="106"/>
      <c r="E142" s="106"/>
      <c r="F142" s="51"/>
      <c r="G142" s="51"/>
      <c r="H142" s="51"/>
      <c r="I142" s="51"/>
      <c r="J142" s="51" t="s">
        <v>205</v>
      </c>
      <c r="K142" s="116" t="s">
        <v>102</v>
      </c>
      <c r="L142" s="116" t="s">
        <v>102</v>
      </c>
      <c r="N142" s="217"/>
    </row>
    <row r="143">
      <c r="A143" s="59" t="s">
        <v>232</v>
      </c>
      <c r="B143" s="184" t="str">
        <f>B$132*B142</f>
        <v>#DIV/0!</v>
      </c>
      <c r="C143" s="217"/>
      <c r="D143" s="106"/>
      <c r="E143" s="106"/>
      <c r="F143" s="51"/>
      <c r="G143" s="51"/>
      <c r="H143" s="51"/>
      <c r="I143" s="51"/>
      <c r="J143" s="51" t="s">
        <v>233</v>
      </c>
      <c r="K143" s="116" t="s">
        <v>102</v>
      </c>
      <c r="L143" s="116" t="s">
        <v>102</v>
      </c>
      <c r="N143" s="217"/>
    </row>
    <row r="144">
      <c r="A144" s="59" t="s">
        <v>234</v>
      </c>
      <c r="B144" s="218" t="str">
        <f>B$54</f>
        <v>#DIV/0!</v>
      </c>
      <c r="C144" s="217"/>
      <c r="D144" s="106"/>
      <c r="E144" s="106"/>
      <c r="F144" s="51"/>
      <c r="G144" s="51"/>
      <c r="H144" s="51"/>
      <c r="I144" s="51"/>
      <c r="J144" s="51" t="s">
        <v>24</v>
      </c>
      <c r="K144" s="116" t="s">
        <v>102</v>
      </c>
      <c r="L144" s="116" t="s">
        <v>102</v>
      </c>
      <c r="N144" s="217"/>
    </row>
    <row r="145">
      <c r="A145" s="174" t="s">
        <v>235</v>
      </c>
      <c r="B145" s="219" t="str">
        <f>B144/B143</f>
        <v>#DIV/0!</v>
      </c>
      <c r="C145" s="217"/>
      <c r="D145" s="106"/>
      <c r="E145" s="106"/>
      <c r="F145" s="51"/>
      <c r="G145" s="51"/>
      <c r="H145" s="51"/>
      <c r="I145" s="51"/>
      <c r="J145" s="155" t="s">
        <v>227</v>
      </c>
      <c r="K145" s="116" t="s">
        <v>102</v>
      </c>
      <c r="L145" s="116" t="s">
        <v>102</v>
      </c>
      <c r="N145" s="217"/>
    </row>
    <row r="146">
      <c r="A146" s="59" t="s">
        <v>236</v>
      </c>
      <c r="B146" s="218" t="str">
        <f>1000*(1/B145)</f>
        <v>#DIV/0!</v>
      </c>
      <c r="C146" s="220" t="s">
        <v>237</v>
      </c>
      <c r="D146" s="106"/>
      <c r="E146" s="106"/>
      <c r="F146" s="51"/>
      <c r="G146" s="51"/>
      <c r="H146" s="51"/>
      <c r="I146" s="51"/>
      <c r="J146" s="51" t="s">
        <v>229</v>
      </c>
      <c r="K146" s="116" t="s">
        <v>102</v>
      </c>
      <c r="L146" s="116" t="s">
        <v>102</v>
      </c>
      <c r="N146" s="217"/>
    </row>
    <row r="147">
      <c r="A147" s="4"/>
      <c r="B147" s="221" t="str">
        <f>"Use this box ''B"&amp;CELL("row",B146)&amp;"'' ↑ for Dagger"</f>
        <v>Use this box ''B146'' ↑ for Dagger</v>
      </c>
      <c r="C147" s="222"/>
      <c r="D147" s="106"/>
      <c r="E147" s="106"/>
      <c r="F147" s="51"/>
      <c r="G147" s="51"/>
      <c r="H147" s="51"/>
      <c r="I147" s="51"/>
      <c r="J147" s="221"/>
      <c r="K147" s="116" t="s">
        <v>102</v>
      </c>
      <c r="L147" s="116" t="s">
        <v>102</v>
      </c>
      <c r="N147" s="222"/>
    </row>
    <row r="148">
      <c r="K148" s="223" t="s">
        <v>102</v>
      </c>
      <c r="L148" s="223" t="s">
        <v>102</v>
      </c>
    </row>
    <row r="149">
      <c r="A149" s="224"/>
      <c r="D149" s="106"/>
      <c r="E149" s="106"/>
      <c r="F149" s="225"/>
      <c r="G149" s="225"/>
      <c r="H149" s="225"/>
      <c r="I149" s="225"/>
      <c r="J149" s="225"/>
      <c r="K149" s="226" t="s">
        <v>102</v>
      </c>
      <c r="L149" s="226" t="s">
        <v>102</v>
      </c>
      <c r="M149" s="225"/>
    </row>
    <row r="150">
      <c r="A150" s="98" t="s">
        <v>238</v>
      </c>
      <c r="B150" s="32"/>
      <c r="C150" s="217"/>
      <c r="D150" s="106"/>
      <c r="E150" s="106"/>
      <c r="F150" s="51"/>
      <c r="G150" s="51"/>
      <c r="H150" s="51"/>
      <c r="I150" s="51"/>
      <c r="J150" s="51"/>
      <c r="K150" s="116" t="s">
        <v>102</v>
      </c>
      <c r="L150" s="116" t="s">
        <v>102</v>
      </c>
      <c r="N150" s="217"/>
    </row>
    <row r="151">
      <c r="A151" s="59" t="s">
        <v>231</v>
      </c>
      <c r="B151" s="184" t="str">
        <f>B$127</f>
        <v>#DIV/0!</v>
      </c>
      <c r="C151" s="217"/>
      <c r="D151" s="106"/>
      <c r="E151" s="106"/>
      <c r="F151" s="51"/>
      <c r="G151" s="51"/>
      <c r="H151" s="51"/>
      <c r="I151" s="51"/>
      <c r="J151" s="51" t="s">
        <v>205</v>
      </c>
      <c r="K151" s="116" t="s">
        <v>102</v>
      </c>
      <c r="L151" s="116" t="s">
        <v>102</v>
      </c>
      <c r="N151" s="217"/>
    </row>
    <row r="152">
      <c r="A152" s="59" t="s">
        <v>232</v>
      </c>
      <c r="B152" s="184" t="str">
        <f>B$132*B151</f>
        <v>#DIV/0!</v>
      </c>
      <c r="C152" s="217"/>
      <c r="D152" s="106"/>
      <c r="E152" s="106"/>
      <c r="F152" s="51"/>
      <c r="G152" s="51"/>
      <c r="H152" s="51"/>
      <c r="I152" s="51"/>
      <c r="J152" s="51" t="s">
        <v>233</v>
      </c>
      <c r="K152" s="116" t="s">
        <v>102</v>
      </c>
      <c r="L152" s="116" t="s">
        <v>102</v>
      </c>
      <c r="N152" s="217"/>
    </row>
    <row r="153">
      <c r="A153" s="59" t="s">
        <v>239</v>
      </c>
      <c r="B153" s="218" t="str">
        <f>B$52</f>
        <v>#DIV/0!</v>
      </c>
      <c r="C153" s="217"/>
      <c r="D153" s="106"/>
      <c r="E153" s="106"/>
      <c r="F153" s="51"/>
      <c r="G153" s="51"/>
      <c r="H153" s="51"/>
      <c r="I153" s="51"/>
      <c r="J153" s="51" t="s">
        <v>24</v>
      </c>
      <c r="K153" s="116" t="s">
        <v>102</v>
      </c>
      <c r="L153" s="116" t="s">
        <v>102</v>
      </c>
      <c r="N153" s="217"/>
    </row>
    <row r="154">
      <c r="A154" s="174" t="s">
        <v>235</v>
      </c>
      <c r="B154" s="219" t="str">
        <f>B153/B152</f>
        <v>#DIV/0!</v>
      </c>
      <c r="C154" s="217"/>
      <c r="D154" s="106"/>
      <c r="E154" s="106"/>
      <c r="F154" s="51"/>
      <c r="G154" s="51"/>
      <c r="H154" s="51"/>
      <c r="I154" s="51"/>
      <c r="J154" s="155" t="s">
        <v>227</v>
      </c>
      <c r="K154" s="116" t="s">
        <v>102</v>
      </c>
      <c r="L154" s="116" t="s">
        <v>102</v>
      </c>
      <c r="N154" s="217"/>
    </row>
    <row r="155">
      <c r="A155" s="59" t="s">
        <v>236</v>
      </c>
      <c r="B155" s="218" t="str">
        <f>1000*(1/B154)</f>
        <v>#DIV/0!</v>
      </c>
      <c r="C155" s="217"/>
      <c r="D155" s="106"/>
      <c r="E155" s="106"/>
      <c r="F155" s="51"/>
      <c r="G155" s="51"/>
      <c r="H155" s="51"/>
      <c r="I155" s="51"/>
      <c r="J155" s="51" t="s">
        <v>229</v>
      </c>
      <c r="K155" s="116" t="s">
        <v>102</v>
      </c>
      <c r="L155" s="116" t="s">
        <v>102</v>
      </c>
      <c r="N155" s="217"/>
    </row>
    <row r="156">
      <c r="A156" s="227"/>
      <c r="D156" s="106"/>
      <c r="E156" s="106"/>
      <c r="F156" s="225"/>
      <c r="G156" s="225"/>
      <c r="H156" s="225"/>
      <c r="I156" s="225"/>
      <c r="J156" s="225"/>
      <c r="K156" s="226" t="s">
        <v>102</v>
      </c>
      <c r="L156" s="226" t="s">
        <v>102</v>
      </c>
      <c r="M156" s="225"/>
    </row>
    <row r="157">
      <c r="A157" s="227"/>
      <c r="D157" s="106"/>
      <c r="E157" s="106"/>
      <c r="F157" s="225"/>
      <c r="G157" s="225"/>
      <c r="H157" s="225"/>
      <c r="I157" s="225"/>
      <c r="J157" s="225"/>
      <c r="K157" s="226" t="s">
        <v>102</v>
      </c>
      <c r="L157" s="226" t="s">
        <v>102</v>
      </c>
      <c r="M157" s="225"/>
    </row>
    <row r="158">
      <c r="A158" s="98" t="s">
        <v>240</v>
      </c>
      <c r="B158" s="32"/>
      <c r="C158" s="217"/>
      <c r="D158" s="106"/>
      <c r="E158" s="106"/>
      <c r="F158" s="51"/>
      <c r="G158" s="51"/>
      <c r="H158" s="51"/>
      <c r="I158" s="51"/>
      <c r="J158" s="51"/>
      <c r="K158" s="116" t="s">
        <v>102</v>
      </c>
      <c r="L158" s="116" t="s">
        <v>102</v>
      </c>
      <c r="N158" s="217"/>
    </row>
    <row r="159">
      <c r="A159" s="59" t="s">
        <v>231</v>
      </c>
      <c r="B159" s="184" t="str">
        <f>B$126</f>
        <v>#DIV/0!</v>
      </c>
      <c r="C159" s="217"/>
      <c r="D159" s="106"/>
      <c r="E159" s="106"/>
      <c r="F159" s="51"/>
      <c r="G159" s="51"/>
      <c r="H159" s="51"/>
      <c r="I159" s="51"/>
      <c r="J159" s="51" t="s">
        <v>205</v>
      </c>
      <c r="K159" s="116" t="s">
        <v>102</v>
      </c>
      <c r="L159" s="116" t="s">
        <v>102</v>
      </c>
      <c r="N159" s="217"/>
    </row>
    <row r="160">
      <c r="A160" s="59" t="s">
        <v>232</v>
      </c>
      <c r="B160" s="184" t="str">
        <f>B$132*B159</f>
        <v>#DIV/0!</v>
      </c>
      <c r="C160" s="217"/>
      <c r="D160" s="106"/>
      <c r="E160" s="106"/>
      <c r="F160" s="51"/>
      <c r="G160" s="51"/>
      <c r="H160" s="51"/>
      <c r="I160" s="51"/>
      <c r="J160" s="51" t="s">
        <v>233</v>
      </c>
      <c r="K160" s="116" t="s">
        <v>102</v>
      </c>
      <c r="L160" s="116" t="s">
        <v>102</v>
      </c>
      <c r="N160" s="217"/>
    </row>
    <row r="161">
      <c r="A161" s="59" t="s">
        <v>239</v>
      </c>
      <c r="B161" s="218" t="str">
        <f>B$54</f>
        <v>#DIV/0!</v>
      </c>
      <c r="C161" s="217"/>
      <c r="D161" s="106"/>
      <c r="E161" s="106"/>
      <c r="F161" s="51"/>
      <c r="G161" s="51"/>
      <c r="H161" s="51"/>
      <c r="I161" s="51"/>
      <c r="J161" s="51" t="s">
        <v>24</v>
      </c>
      <c r="K161" s="116" t="s">
        <v>102</v>
      </c>
      <c r="L161" s="116" t="s">
        <v>102</v>
      </c>
      <c r="N161" s="217"/>
    </row>
    <row r="162">
      <c r="A162" s="174" t="s">
        <v>235</v>
      </c>
      <c r="B162" s="219" t="str">
        <f>B161/B160</f>
        <v>#DIV/0!</v>
      </c>
      <c r="C162" s="217"/>
      <c r="D162" s="106"/>
      <c r="E162" s="106"/>
      <c r="F162" s="51"/>
      <c r="G162" s="51"/>
      <c r="H162" s="51"/>
      <c r="I162" s="51"/>
      <c r="J162" s="155" t="s">
        <v>227</v>
      </c>
      <c r="K162" s="116" t="s">
        <v>102</v>
      </c>
      <c r="L162" s="116" t="s">
        <v>102</v>
      </c>
      <c r="N162" s="217"/>
    </row>
    <row r="163">
      <c r="A163" s="59" t="s">
        <v>236</v>
      </c>
      <c r="B163" s="218" t="str">
        <f>1000*(1/B162)</f>
        <v>#DIV/0!</v>
      </c>
      <c r="C163" s="217"/>
      <c r="D163" s="106"/>
      <c r="E163" s="106"/>
      <c r="F163" s="51"/>
      <c r="G163" s="51"/>
      <c r="H163" s="51"/>
      <c r="I163" s="51"/>
      <c r="J163" s="51" t="s">
        <v>229</v>
      </c>
      <c r="K163" s="116" t="s">
        <v>102</v>
      </c>
      <c r="L163" s="116" t="s">
        <v>102</v>
      </c>
      <c r="N163" s="217"/>
    </row>
    <row r="164">
      <c r="A164" s="4"/>
      <c r="D164" s="106"/>
      <c r="E164" s="106"/>
      <c r="F164" s="225"/>
      <c r="G164" s="225"/>
      <c r="H164" s="225"/>
      <c r="I164" s="225"/>
      <c r="J164" s="225"/>
      <c r="K164" s="226" t="s">
        <v>102</v>
      </c>
      <c r="L164" s="226" t="s">
        <v>102</v>
      </c>
      <c r="M164" s="225"/>
    </row>
    <row r="165">
      <c r="A165" s="93"/>
      <c r="D165" s="106"/>
      <c r="E165" s="106"/>
      <c r="F165" s="114"/>
      <c r="G165" s="114"/>
      <c r="H165" s="114"/>
      <c r="I165" s="114"/>
      <c r="J165" s="114"/>
      <c r="K165" s="113" t="s">
        <v>102</v>
      </c>
      <c r="L165" s="113" t="s">
        <v>102</v>
      </c>
      <c r="M165" s="114"/>
    </row>
    <row r="166">
      <c r="A166" s="98" t="s">
        <v>241</v>
      </c>
      <c r="B166" s="32"/>
      <c r="D166" s="106"/>
      <c r="E166" s="106"/>
      <c r="F166" s="225"/>
      <c r="G166" s="225"/>
      <c r="H166" s="225"/>
      <c r="I166" s="225"/>
      <c r="J166" s="225"/>
      <c r="K166" s="226" t="s">
        <v>102</v>
      </c>
      <c r="L166" s="226" t="s">
        <v>102</v>
      </c>
      <c r="M166" s="225"/>
    </row>
    <row r="167">
      <c r="A167" s="93" t="s">
        <v>242</v>
      </c>
      <c r="B167" s="228" t="str">
        <f>1/B166*1000</f>
        <v>#DIV/0!</v>
      </c>
      <c r="D167" s="106"/>
      <c r="E167" s="106"/>
      <c r="F167" s="114"/>
      <c r="G167" s="114"/>
      <c r="H167" s="114"/>
      <c r="I167" s="114"/>
      <c r="J167" s="114"/>
      <c r="K167" s="113" t="s">
        <v>102</v>
      </c>
      <c r="L167" s="113" t="s">
        <v>102</v>
      </c>
      <c r="M167" s="114"/>
    </row>
    <row r="168">
      <c r="A168" s="229"/>
      <c r="D168" s="106"/>
      <c r="E168" s="106"/>
      <c r="F168" s="114"/>
      <c r="G168" s="114"/>
      <c r="H168" s="114"/>
      <c r="I168" s="114"/>
      <c r="J168" s="114"/>
      <c r="K168" s="113" t="s">
        <v>102</v>
      </c>
      <c r="L168" s="113" t="s">
        <v>102</v>
      </c>
      <c r="M168" s="114"/>
    </row>
    <row r="169">
      <c r="A169" s="4"/>
      <c r="D169" s="106"/>
      <c r="E169" s="106"/>
      <c r="F169" s="225"/>
      <c r="G169" s="225"/>
      <c r="H169" s="225"/>
      <c r="I169" s="225"/>
      <c r="J169" s="225"/>
      <c r="K169" s="226" t="s">
        <v>102</v>
      </c>
      <c r="L169" s="226" t="s">
        <v>102</v>
      </c>
      <c r="M169" s="225"/>
    </row>
    <row r="170">
      <c r="A170" s="4"/>
      <c r="D170" s="106"/>
      <c r="E170" s="106"/>
      <c r="F170" s="225"/>
      <c r="G170" s="225"/>
      <c r="H170" s="225"/>
      <c r="I170" s="225"/>
      <c r="J170" s="225"/>
      <c r="K170" s="226" t="s">
        <v>102</v>
      </c>
      <c r="L170" s="226" t="s">
        <v>102</v>
      </c>
      <c r="M170" s="225"/>
    </row>
    <row r="171">
      <c r="A171" s="4"/>
      <c r="D171" s="106"/>
      <c r="E171" s="106"/>
      <c r="F171" s="225"/>
      <c r="G171" s="225"/>
      <c r="H171" s="225"/>
      <c r="I171" s="225"/>
      <c r="J171" s="225"/>
      <c r="K171" s="226" t="s">
        <v>102</v>
      </c>
      <c r="L171" s="226" t="s">
        <v>102</v>
      </c>
      <c r="M171" s="225"/>
    </row>
    <row r="172">
      <c r="A172" s="4"/>
      <c r="D172" s="106"/>
      <c r="E172" s="106"/>
      <c r="F172" s="225"/>
      <c r="G172" s="225"/>
      <c r="H172" s="225"/>
      <c r="I172" s="225"/>
      <c r="J172" s="225"/>
      <c r="K172" s="226" t="s">
        <v>102</v>
      </c>
      <c r="L172" s="226" t="s">
        <v>102</v>
      </c>
      <c r="M172" s="225"/>
    </row>
    <row r="173">
      <c r="A173" s="4"/>
      <c r="D173" s="106"/>
      <c r="E173" s="106"/>
      <c r="F173" s="225"/>
      <c r="G173" s="225"/>
      <c r="H173" s="225"/>
      <c r="I173" s="225"/>
      <c r="J173" s="225"/>
      <c r="K173" s="226" t="s">
        <v>102</v>
      </c>
      <c r="L173" s="226" t="s">
        <v>102</v>
      </c>
      <c r="M173" s="225"/>
    </row>
    <row r="174">
      <c r="A174" s="4"/>
      <c r="D174" s="106"/>
      <c r="E174" s="106"/>
      <c r="F174" s="225"/>
      <c r="G174" s="225"/>
      <c r="H174" s="225"/>
      <c r="I174" s="225"/>
      <c r="J174" s="225"/>
      <c r="K174" s="226" t="s">
        <v>102</v>
      </c>
      <c r="L174" s="226" t="s">
        <v>102</v>
      </c>
      <c r="M174" s="225"/>
    </row>
    <row r="175">
      <c r="A175" s="4"/>
      <c r="D175" s="106"/>
      <c r="E175" s="106"/>
      <c r="F175" s="225"/>
      <c r="G175" s="225"/>
      <c r="H175" s="225"/>
      <c r="I175" s="225"/>
      <c r="J175" s="225"/>
      <c r="K175" s="226" t="s">
        <v>102</v>
      </c>
      <c r="L175" s="226" t="s">
        <v>102</v>
      </c>
      <c r="M175" s="225"/>
    </row>
    <row r="176">
      <c r="A176" s="4"/>
      <c r="D176" s="106"/>
      <c r="E176" s="106"/>
      <c r="F176" s="225"/>
      <c r="G176" s="225"/>
      <c r="H176" s="225"/>
      <c r="I176" s="225"/>
      <c r="J176" s="225"/>
      <c r="K176" s="226" t="s">
        <v>102</v>
      </c>
      <c r="L176" s="226" t="s">
        <v>102</v>
      </c>
      <c r="M176" s="225"/>
    </row>
    <row r="177">
      <c r="A177" s="4"/>
      <c r="D177" s="106"/>
      <c r="E177" s="106"/>
      <c r="F177" s="225"/>
      <c r="G177" s="225"/>
      <c r="H177" s="225"/>
      <c r="I177" s="225"/>
      <c r="J177" s="225"/>
      <c r="K177" s="226" t="s">
        <v>102</v>
      </c>
      <c r="L177" s="226" t="s">
        <v>102</v>
      </c>
      <c r="M177" s="225"/>
    </row>
    <row r="178">
      <c r="A178" s="4"/>
      <c r="D178" s="106"/>
      <c r="E178" s="106"/>
      <c r="F178" s="225"/>
      <c r="G178" s="225"/>
      <c r="H178" s="225"/>
      <c r="I178" s="225"/>
      <c r="J178" s="225"/>
      <c r="K178" s="226" t="s">
        <v>102</v>
      </c>
      <c r="L178" s="226" t="s">
        <v>102</v>
      </c>
      <c r="M178" s="225"/>
    </row>
    <row r="179">
      <c r="A179" s="4"/>
      <c r="D179" s="106"/>
      <c r="E179" s="106"/>
      <c r="F179" s="225"/>
      <c r="G179" s="225"/>
      <c r="H179" s="225"/>
      <c r="I179" s="225"/>
      <c r="J179" s="225"/>
      <c r="K179" s="226" t="s">
        <v>102</v>
      </c>
      <c r="L179" s="226" t="s">
        <v>102</v>
      </c>
      <c r="M179" s="225"/>
    </row>
    <row r="180">
      <c r="A180" s="4"/>
      <c r="D180" s="106"/>
      <c r="E180" s="106"/>
      <c r="F180" s="225"/>
      <c r="G180" s="225"/>
      <c r="H180" s="225"/>
      <c r="I180" s="225"/>
      <c r="J180" s="225"/>
      <c r="K180" s="226" t="s">
        <v>102</v>
      </c>
      <c r="L180" s="226" t="s">
        <v>102</v>
      </c>
      <c r="M180" s="225"/>
    </row>
    <row r="181">
      <c r="A181" s="4"/>
      <c r="D181" s="106"/>
      <c r="E181" s="106"/>
      <c r="F181" s="225"/>
      <c r="G181" s="225"/>
      <c r="H181" s="225"/>
      <c r="I181" s="225"/>
      <c r="J181" s="225"/>
      <c r="K181" s="226" t="s">
        <v>102</v>
      </c>
      <c r="L181" s="226" t="s">
        <v>102</v>
      </c>
      <c r="M181" s="225"/>
    </row>
    <row r="182">
      <c r="A182" s="4"/>
      <c r="D182" s="106"/>
      <c r="E182" s="106"/>
      <c r="F182" s="225"/>
      <c r="G182" s="225"/>
      <c r="H182" s="225"/>
      <c r="I182" s="225"/>
      <c r="J182" s="225"/>
      <c r="K182" s="226" t="s">
        <v>102</v>
      </c>
      <c r="L182" s="226" t="s">
        <v>102</v>
      </c>
      <c r="M182" s="225"/>
    </row>
    <row r="183">
      <c r="A183" s="4"/>
      <c r="D183" s="106"/>
      <c r="E183" s="106"/>
      <c r="F183" s="225"/>
      <c r="G183" s="225"/>
      <c r="H183" s="225"/>
      <c r="I183" s="225"/>
      <c r="J183" s="225"/>
      <c r="K183" s="226" t="s">
        <v>102</v>
      </c>
      <c r="L183" s="226" t="s">
        <v>102</v>
      </c>
      <c r="M183" s="225"/>
    </row>
    <row r="184">
      <c r="A184" s="4"/>
      <c r="D184" s="106"/>
      <c r="E184" s="106"/>
      <c r="F184" s="225"/>
      <c r="G184" s="225"/>
      <c r="H184" s="225"/>
      <c r="I184" s="225"/>
      <c r="J184" s="225"/>
      <c r="K184" s="226" t="s">
        <v>102</v>
      </c>
      <c r="L184" s="226" t="s">
        <v>102</v>
      </c>
      <c r="M184" s="225"/>
    </row>
    <row r="185">
      <c r="A185" s="4"/>
      <c r="D185" s="106"/>
      <c r="E185" s="106"/>
      <c r="F185" s="225"/>
      <c r="G185" s="225"/>
      <c r="H185" s="225"/>
      <c r="I185" s="225"/>
      <c r="J185" s="225"/>
      <c r="K185" s="226" t="s">
        <v>102</v>
      </c>
      <c r="L185" s="226" t="s">
        <v>102</v>
      </c>
      <c r="M185" s="225"/>
    </row>
    <row r="186">
      <c r="A186" s="4"/>
      <c r="D186" s="106"/>
      <c r="E186" s="106"/>
      <c r="F186" s="225"/>
      <c r="G186" s="225"/>
      <c r="H186" s="225"/>
      <c r="I186" s="225"/>
      <c r="J186" s="225"/>
      <c r="K186" s="226" t="s">
        <v>102</v>
      </c>
      <c r="L186" s="226" t="s">
        <v>102</v>
      </c>
      <c r="M186" s="225"/>
    </row>
    <row r="187">
      <c r="A187" s="4"/>
      <c r="D187" s="106"/>
      <c r="E187" s="106"/>
      <c r="F187" s="225"/>
      <c r="G187" s="225"/>
      <c r="H187" s="225"/>
      <c r="I187" s="225"/>
      <c r="J187" s="225"/>
      <c r="K187" s="226" t="s">
        <v>102</v>
      </c>
      <c r="L187" s="226" t="s">
        <v>102</v>
      </c>
      <c r="M187" s="225"/>
    </row>
    <row r="188">
      <c r="A188" s="4"/>
      <c r="D188" s="106"/>
      <c r="E188" s="106"/>
      <c r="F188" s="225"/>
      <c r="G188" s="225"/>
      <c r="H188" s="225"/>
      <c r="I188" s="225"/>
      <c r="J188" s="225"/>
      <c r="K188" s="226" t="s">
        <v>102</v>
      </c>
      <c r="L188" s="226" t="s">
        <v>102</v>
      </c>
      <c r="M188" s="225"/>
    </row>
    <row r="189">
      <c r="A189" s="4"/>
      <c r="D189" s="106"/>
      <c r="E189" s="106"/>
      <c r="F189" s="225"/>
      <c r="G189" s="225"/>
      <c r="H189" s="225"/>
      <c r="I189" s="225"/>
      <c r="J189" s="225"/>
      <c r="K189" s="226" t="s">
        <v>102</v>
      </c>
      <c r="L189" s="226" t="s">
        <v>102</v>
      </c>
      <c r="M189" s="225"/>
    </row>
    <row r="190">
      <c r="A190" s="4"/>
      <c r="D190" s="106"/>
      <c r="E190" s="106"/>
      <c r="F190" s="225"/>
      <c r="G190" s="225"/>
      <c r="H190" s="225"/>
      <c r="I190" s="225"/>
      <c r="J190" s="225"/>
      <c r="K190" s="226" t="s">
        <v>102</v>
      </c>
      <c r="L190" s="226" t="s">
        <v>102</v>
      </c>
      <c r="M190" s="225"/>
    </row>
    <row r="191">
      <c r="A191" s="4"/>
      <c r="D191" s="106"/>
      <c r="E191" s="106"/>
      <c r="F191" s="225"/>
      <c r="G191" s="225"/>
      <c r="H191" s="225"/>
      <c r="I191" s="225"/>
      <c r="J191" s="225"/>
      <c r="K191" s="226" t="s">
        <v>102</v>
      </c>
      <c r="L191" s="226" t="s">
        <v>102</v>
      </c>
      <c r="M191" s="225"/>
    </row>
    <row r="192">
      <c r="A192" s="4"/>
      <c r="D192" s="106"/>
      <c r="E192" s="106"/>
      <c r="F192" s="225"/>
      <c r="G192" s="225"/>
      <c r="H192" s="225"/>
      <c r="I192" s="225"/>
      <c r="J192" s="225"/>
      <c r="K192" s="226" t="s">
        <v>102</v>
      </c>
      <c r="L192" s="226" t="s">
        <v>102</v>
      </c>
      <c r="M192" s="225"/>
    </row>
    <row r="193">
      <c r="A193" s="4"/>
      <c r="D193" s="106"/>
      <c r="E193" s="106"/>
      <c r="F193" s="225"/>
      <c r="G193" s="225"/>
      <c r="H193" s="225"/>
      <c r="I193" s="225"/>
      <c r="J193" s="225"/>
      <c r="K193" s="226" t="s">
        <v>102</v>
      </c>
      <c r="L193" s="226" t="s">
        <v>102</v>
      </c>
      <c r="M193" s="225"/>
    </row>
    <row r="194">
      <c r="A194" s="4"/>
      <c r="D194" s="106"/>
      <c r="E194" s="106"/>
      <c r="F194" s="225"/>
      <c r="G194" s="225"/>
      <c r="H194" s="225"/>
      <c r="I194" s="225"/>
      <c r="J194" s="225"/>
      <c r="K194" s="226" t="s">
        <v>102</v>
      </c>
      <c r="L194" s="226" t="s">
        <v>102</v>
      </c>
      <c r="M194" s="225"/>
    </row>
    <row r="195">
      <c r="A195" s="4"/>
      <c r="D195" s="106"/>
      <c r="E195" s="106"/>
      <c r="F195" s="225"/>
      <c r="G195" s="225"/>
      <c r="H195" s="225"/>
      <c r="I195" s="225"/>
      <c r="J195" s="225"/>
      <c r="K195" s="226" t="s">
        <v>102</v>
      </c>
      <c r="L195" s="226" t="s">
        <v>102</v>
      </c>
      <c r="M195" s="225"/>
    </row>
    <row r="196">
      <c r="A196" s="4"/>
      <c r="D196" s="106"/>
      <c r="E196" s="106"/>
      <c r="F196" s="225"/>
      <c r="G196" s="225"/>
      <c r="H196" s="225"/>
      <c r="I196" s="225"/>
      <c r="J196" s="225"/>
      <c r="K196" s="226" t="s">
        <v>102</v>
      </c>
      <c r="L196" s="226" t="s">
        <v>102</v>
      </c>
      <c r="M196" s="225"/>
    </row>
    <row r="197">
      <c r="A197" s="4"/>
      <c r="D197" s="106"/>
      <c r="E197" s="106"/>
      <c r="F197" s="225"/>
      <c r="G197" s="225"/>
      <c r="H197" s="225"/>
      <c r="I197" s="225"/>
      <c r="J197" s="225"/>
      <c r="K197" s="226" t="s">
        <v>102</v>
      </c>
      <c r="L197" s="226" t="s">
        <v>102</v>
      </c>
      <c r="M197" s="225"/>
    </row>
    <row r="198">
      <c r="A198" s="4"/>
      <c r="D198" s="106"/>
      <c r="E198" s="106"/>
      <c r="F198" s="225"/>
      <c r="G198" s="225"/>
      <c r="H198" s="225"/>
      <c r="I198" s="225"/>
      <c r="J198" s="225"/>
      <c r="K198" s="226" t="s">
        <v>102</v>
      </c>
      <c r="L198" s="226" t="s">
        <v>102</v>
      </c>
      <c r="M198" s="225"/>
    </row>
    <row r="199">
      <c r="A199" s="4"/>
      <c r="D199" s="106"/>
      <c r="E199" s="106"/>
      <c r="F199" s="225"/>
      <c r="G199" s="225"/>
      <c r="H199" s="225"/>
      <c r="I199" s="225"/>
      <c r="J199" s="225"/>
      <c r="K199" s="226" t="s">
        <v>102</v>
      </c>
      <c r="L199" s="226" t="s">
        <v>102</v>
      </c>
      <c r="M199" s="225"/>
    </row>
    <row r="200">
      <c r="A200" s="4"/>
      <c r="D200" s="106"/>
      <c r="E200" s="106"/>
      <c r="F200" s="225"/>
      <c r="G200" s="225"/>
      <c r="H200" s="225"/>
      <c r="I200" s="225"/>
      <c r="J200" s="225"/>
      <c r="K200" s="226" t="s">
        <v>102</v>
      </c>
      <c r="L200" s="226" t="s">
        <v>102</v>
      </c>
      <c r="M200" s="225"/>
    </row>
    <row r="201">
      <c r="A201" s="4"/>
      <c r="D201" s="106"/>
      <c r="E201" s="106"/>
      <c r="F201" s="225"/>
      <c r="G201" s="225"/>
      <c r="H201" s="225"/>
      <c r="I201" s="225"/>
      <c r="J201" s="225"/>
      <c r="K201" s="226" t="s">
        <v>102</v>
      </c>
      <c r="L201" s="226" t="s">
        <v>102</v>
      </c>
      <c r="M201" s="225"/>
    </row>
    <row r="202">
      <c r="A202" s="4"/>
      <c r="D202" s="106"/>
      <c r="E202" s="106"/>
      <c r="F202" s="225"/>
      <c r="G202" s="225"/>
      <c r="H202" s="225"/>
      <c r="I202" s="225"/>
      <c r="J202" s="225"/>
      <c r="K202" s="226" t="s">
        <v>102</v>
      </c>
      <c r="L202" s="226" t="s">
        <v>102</v>
      </c>
      <c r="M202" s="225"/>
    </row>
    <row r="203">
      <c r="A203" s="4"/>
      <c r="D203" s="106"/>
      <c r="E203" s="106"/>
      <c r="F203" s="225"/>
      <c r="G203" s="225"/>
      <c r="H203" s="225"/>
      <c r="I203" s="225"/>
      <c r="J203" s="225"/>
      <c r="K203" s="226" t="s">
        <v>102</v>
      </c>
      <c r="L203" s="226" t="s">
        <v>102</v>
      </c>
      <c r="M203" s="225"/>
    </row>
    <row r="204">
      <c r="A204" s="4"/>
      <c r="D204" s="106"/>
      <c r="E204" s="106"/>
      <c r="F204" s="225"/>
      <c r="G204" s="225"/>
      <c r="H204" s="225"/>
      <c r="I204" s="225"/>
      <c r="J204" s="225"/>
      <c r="K204" s="226" t="s">
        <v>102</v>
      </c>
      <c r="L204" s="226" t="s">
        <v>102</v>
      </c>
      <c r="M204" s="225"/>
    </row>
    <row r="205">
      <c r="A205" s="4"/>
      <c r="D205" s="106"/>
      <c r="E205" s="106"/>
      <c r="F205" s="225"/>
      <c r="G205" s="225"/>
      <c r="H205" s="225"/>
      <c r="I205" s="225"/>
      <c r="J205" s="225"/>
      <c r="K205" s="226" t="s">
        <v>102</v>
      </c>
      <c r="L205" s="226" t="s">
        <v>102</v>
      </c>
      <c r="M205" s="225"/>
    </row>
    <row r="206">
      <c r="A206" s="4"/>
      <c r="D206" s="106"/>
      <c r="E206" s="106"/>
      <c r="F206" s="225"/>
      <c r="G206" s="225"/>
      <c r="H206" s="225"/>
      <c r="I206" s="225"/>
      <c r="J206" s="225"/>
      <c r="K206" s="226" t="s">
        <v>102</v>
      </c>
      <c r="L206" s="226" t="s">
        <v>102</v>
      </c>
      <c r="M206" s="225"/>
    </row>
    <row r="207">
      <c r="A207" s="4"/>
      <c r="D207" s="106"/>
      <c r="E207" s="106"/>
      <c r="F207" s="225"/>
      <c r="G207" s="225"/>
      <c r="H207" s="225"/>
      <c r="I207" s="225"/>
      <c r="J207" s="225"/>
      <c r="K207" s="226" t="s">
        <v>102</v>
      </c>
      <c r="L207" s="226" t="s">
        <v>102</v>
      </c>
      <c r="M207" s="225"/>
    </row>
    <row r="208">
      <c r="A208" s="4"/>
      <c r="D208" s="106"/>
      <c r="E208" s="106"/>
      <c r="F208" s="225"/>
      <c r="G208" s="225"/>
      <c r="H208" s="225"/>
      <c r="I208" s="225"/>
      <c r="J208" s="225"/>
      <c r="K208" s="226" t="s">
        <v>102</v>
      </c>
      <c r="L208" s="226" t="s">
        <v>102</v>
      </c>
      <c r="M208" s="225"/>
    </row>
    <row r="209">
      <c r="A209" s="4"/>
      <c r="D209" s="106"/>
      <c r="E209" s="106"/>
      <c r="F209" s="225"/>
      <c r="G209" s="225"/>
      <c r="H209" s="225"/>
      <c r="I209" s="225"/>
      <c r="J209" s="225"/>
      <c r="K209" s="226" t="s">
        <v>102</v>
      </c>
      <c r="L209" s="226" t="s">
        <v>102</v>
      </c>
      <c r="M209" s="225"/>
    </row>
    <row r="210">
      <c r="A210" s="4"/>
      <c r="D210" s="106"/>
      <c r="E210" s="106"/>
      <c r="F210" s="225"/>
      <c r="G210" s="225"/>
      <c r="H210" s="225"/>
      <c r="I210" s="225"/>
      <c r="J210" s="225"/>
      <c r="K210" s="226" t="s">
        <v>102</v>
      </c>
      <c r="L210" s="226" t="s">
        <v>102</v>
      </c>
      <c r="M210" s="225"/>
    </row>
    <row r="211">
      <c r="A211" s="4"/>
      <c r="D211" s="106"/>
      <c r="E211" s="106"/>
      <c r="F211" s="225"/>
      <c r="G211" s="225"/>
      <c r="H211" s="225"/>
      <c r="I211" s="225"/>
      <c r="J211" s="225"/>
      <c r="K211" s="226" t="s">
        <v>102</v>
      </c>
      <c r="L211" s="226" t="s">
        <v>102</v>
      </c>
      <c r="M211" s="225"/>
    </row>
    <row r="212">
      <c r="A212" s="4"/>
      <c r="D212" s="106"/>
      <c r="E212" s="106"/>
      <c r="F212" s="225"/>
      <c r="G212" s="225"/>
      <c r="H212" s="225"/>
      <c r="I212" s="225"/>
      <c r="J212" s="225"/>
      <c r="K212" s="226" t="s">
        <v>102</v>
      </c>
      <c r="L212" s="226" t="s">
        <v>102</v>
      </c>
      <c r="M212" s="225"/>
    </row>
    <row r="213">
      <c r="A213" s="4"/>
      <c r="D213" s="106"/>
      <c r="E213" s="106"/>
      <c r="F213" s="225"/>
      <c r="G213" s="225"/>
      <c r="H213" s="225"/>
      <c r="I213" s="225"/>
      <c r="J213" s="225"/>
      <c r="K213" s="226" t="s">
        <v>102</v>
      </c>
      <c r="L213" s="226" t="s">
        <v>102</v>
      </c>
      <c r="M213" s="225"/>
    </row>
    <row r="214">
      <c r="A214" s="4"/>
      <c r="D214" s="106"/>
      <c r="E214" s="106"/>
      <c r="F214" s="225"/>
      <c r="G214" s="225"/>
      <c r="H214" s="225"/>
      <c r="I214" s="225"/>
      <c r="J214" s="225"/>
      <c r="K214" s="226" t="s">
        <v>102</v>
      </c>
      <c r="L214" s="226" t="s">
        <v>102</v>
      </c>
      <c r="M214" s="225"/>
    </row>
    <row r="215">
      <c r="A215" s="4"/>
      <c r="D215" s="106"/>
      <c r="E215" s="106"/>
      <c r="F215" s="225"/>
      <c r="G215" s="225"/>
      <c r="H215" s="225"/>
      <c r="I215" s="225"/>
      <c r="J215" s="225"/>
      <c r="K215" s="226" t="s">
        <v>102</v>
      </c>
      <c r="L215" s="226" t="s">
        <v>102</v>
      </c>
      <c r="M215" s="225"/>
    </row>
    <row r="216">
      <c r="A216" s="4"/>
      <c r="D216" s="106"/>
      <c r="E216" s="106"/>
      <c r="F216" s="225"/>
      <c r="G216" s="225"/>
      <c r="H216" s="225"/>
      <c r="I216" s="225"/>
      <c r="J216" s="225"/>
      <c r="K216" s="226" t="s">
        <v>102</v>
      </c>
      <c r="L216" s="226" t="s">
        <v>102</v>
      </c>
      <c r="M216" s="225"/>
    </row>
    <row r="217">
      <c r="A217" s="4"/>
      <c r="D217" s="106"/>
      <c r="E217" s="106"/>
      <c r="F217" s="225"/>
      <c r="G217" s="225"/>
      <c r="H217" s="225"/>
      <c r="I217" s="225"/>
      <c r="J217" s="225"/>
      <c r="K217" s="226" t="s">
        <v>102</v>
      </c>
      <c r="L217" s="226" t="s">
        <v>102</v>
      </c>
      <c r="M217" s="225"/>
    </row>
    <row r="218">
      <c r="A218" s="4"/>
      <c r="D218" s="106"/>
      <c r="E218" s="106"/>
      <c r="F218" s="225"/>
      <c r="G218" s="225"/>
      <c r="H218" s="225"/>
      <c r="I218" s="225"/>
      <c r="J218" s="225"/>
      <c r="K218" s="226" t="s">
        <v>102</v>
      </c>
      <c r="L218" s="226" t="s">
        <v>102</v>
      </c>
      <c r="M218" s="225"/>
    </row>
    <row r="219">
      <c r="A219" s="4"/>
      <c r="D219" s="106"/>
      <c r="E219" s="106"/>
      <c r="F219" s="225"/>
      <c r="G219" s="225"/>
      <c r="H219" s="225"/>
      <c r="I219" s="225"/>
      <c r="J219" s="225"/>
      <c r="K219" s="226" t="s">
        <v>102</v>
      </c>
      <c r="L219" s="226" t="s">
        <v>102</v>
      </c>
      <c r="M219" s="225"/>
    </row>
    <row r="220">
      <c r="A220" s="4"/>
      <c r="D220" s="106"/>
      <c r="E220" s="106"/>
      <c r="F220" s="225"/>
      <c r="G220" s="225"/>
      <c r="H220" s="225"/>
      <c r="I220" s="225"/>
      <c r="J220" s="225"/>
      <c r="K220" s="226" t="s">
        <v>102</v>
      </c>
      <c r="L220" s="226" t="s">
        <v>102</v>
      </c>
      <c r="M220" s="225"/>
    </row>
    <row r="221">
      <c r="A221" s="4"/>
      <c r="D221" s="106"/>
      <c r="E221" s="106"/>
      <c r="F221" s="225"/>
      <c r="G221" s="225"/>
      <c r="H221" s="225"/>
      <c r="I221" s="225"/>
      <c r="J221" s="225"/>
      <c r="K221" s="226" t="s">
        <v>102</v>
      </c>
      <c r="L221" s="226" t="s">
        <v>102</v>
      </c>
      <c r="M221" s="225"/>
    </row>
    <row r="222">
      <c r="A222" s="4"/>
      <c r="D222" s="106"/>
      <c r="E222" s="106"/>
      <c r="F222" s="225"/>
      <c r="G222" s="225"/>
      <c r="H222" s="225"/>
      <c r="I222" s="225"/>
      <c r="J222" s="225"/>
      <c r="K222" s="226" t="s">
        <v>102</v>
      </c>
      <c r="L222" s="226" t="s">
        <v>102</v>
      </c>
      <c r="M222" s="225"/>
    </row>
    <row r="223">
      <c r="A223" s="4"/>
      <c r="D223" s="106"/>
      <c r="E223" s="106"/>
      <c r="F223" s="225"/>
      <c r="G223" s="225"/>
      <c r="H223" s="225"/>
      <c r="I223" s="225"/>
      <c r="J223" s="225"/>
      <c r="K223" s="226" t="s">
        <v>102</v>
      </c>
      <c r="L223" s="226" t="s">
        <v>102</v>
      </c>
      <c r="M223" s="225"/>
    </row>
    <row r="224">
      <c r="A224" s="4"/>
      <c r="D224" s="106"/>
      <c r="E224" s="106"/>
      <c r="F224" s="225"/>
      <c r="G224" s="225"/>
      <c r="H224" s="225"/>
      <c r="I224" s="225"/>
      <c r="J224" s="225"/>
      <c r="K224" s="226"/>
      <c r="L224" s="226"/>
      <c r="M224" s="225"/>
    </row>
    <row r="225">
      <c r="A225" s="4"/>
      <c r="D225" s="106"/>
      <c r="E225" s="106"/>
      <c r="F225" s="225"/>
      <c r="G225" s="225"/>
      <c r="H225" s="225"/>
      <c r="I225" s="225"/>
      <c r="J225" s="225"/>
      <c r="K225" s="226"/>
      <c r="L225" s="226"/>
      <c r="M225" s="225"/>
    </row>
    <row r="226">
      <c r="A226" s="4"/>
      <c r="D226" s="106"/>
      <c r="E226" s="106"/>
      <c r="F226" s="225"/>
      <c r="G226" s="225"/>
      <c r="H226" s="225"/>
      <c r="I226" s="225"/>
      <c r="J226" s="225"/>
      <c r="K226" s="226"/>
      <c r="L226" s="226"/>
      <c r="M226" s="225"/>
    </row>
    <row r="227">
      <c r="A227" s="4"/>
      <c r="D227" s="106"/>
      <c r="E227" s="106"/>
      <c r="F227" s="225"/>
      <c r="G227" s="225"/>
      <c r="H227" s="225"/>
      <c r="I227" s="225"/>
      <c r="J227" s="225"/>
      <c r="K227" s="226"/>
      <c r="L227" s="226"/>
      <c r="M227" s="225"/>
    </row>
    <row r="228">
      <c r="A228" s="4"/>
      <c r="D228" s="106"/>
      <c r="E228" s="106"/>
      <c r="F228" s="225"/>
      <c r="G228" s="225"/>
      <c r="H228" s="225"/>
      <c r="I228" s="225"/>
      <c r="J228" s="225"/>
      <c r="K228" s="226"/>
      <c r="L228" s="226"/>
      <c r="M228" s="225"/>
    </row>
    <row r="229">
      <c r="A229" s="4"/>
      <c r="D229" s="106"/>
      <c r="E229" s="106"/>
      <c r="F229" s="225"/>
      <c r="G229" s="225"/>
      <c r="H229" s="225"/>
      <c r="I229" s="225"/>
      <c r="J229" s="225"/>
      <c r="K229" s="226"/>
      <c r="L229" s="226"/>
      <c r="M229" s="225"/>
    </row>
    <row r="230">
      <c r="A230" s="4"/>
      <c r="D230" s="106"/>
      <c r="E230" s="106"/>
      <c r="F230" s="225"/>
      <c r="G230" s="225"/>
      <c r="H230" s="225"/>
      <c r="I230" s="225"/>
      <c r="J230" s="225"/>
      <c r="K230" s="226"/>
      <c r="L230" s="226"/>
      <c r="M230" s="225"/>
    </row>
    <row r="231">
      <c r="A231" s="4"/>
      <c r="D231" s="106"/>
      <c r="E231" s="106"/>
      <c r="F231" s="225"/>
      <c r="G231" s="225"/>
      <c r="H231" s="225"/>
      <c r="I231" s="225"/>
      <c r="J231" s="225"/>
      <c r="K231" s="226"/>
      <c r="L231" s="226"/>
      <c r="M231" s="225"/>
    </row>
    <row r="232">
      <c r="A232" s="4"/>
      <c r="D232" s="106"/>
      <c r="E232" s="106"/>
      <c r="F232" s="225"/>
      <c r="G232" s="225"/>
      <c r="H232" s="225"/>
      <c r="I232" s="225"/>
      <c r="J232" s="225"/>
      <c r="K232" s="226"/>
      <c r="L232" s="226"/>
      <c r="M232" s="225"/>
    </row>
    <row r="233">
      <c r="A233" s="4"/>
      <c r="D233" s="106"/>
      <c r="E233" s="106"/>
      <c r="F233" s="225"/>
      <c r="G233" s="225"/>
      <c r="H233" s="225"/>
      <c r="I233" s="225"/>
      <c r="J233" s="225"/>
      <c r="K233" s="226"/>
      <c r="L233" s="226"/>
      <c r="M233" s="225"/>
    </row>
    <row r="234">
      <c r="A234" s="4"/>
      <c r="D234" s="106"/>
      <c r="E234" s="106"/>
      <c r="F234" s="225"/>
      <c r="G234" s="225"/>
      <c r="H234" s="225"/>
      <c r="I234" s="225"/>
      <c r="J234" s="225"/>
      <c r="K234" s="226"/>
      <c r="L234" s="226"/>
      <c r="M234" s="225"/>
    </row>
    <row r="235">
      <c r="A235" s="4"/>
      <c r="D235" s="106"/>
      <c r="E235" s="106"/>
      <c r="F235" s="225"/>
      <c r="G235" s="225"/>
      <c r="H235" s="225"/>
      <c r="I235" s="225"/>
      <c r="J235" s="225"/>
      <c r="K235" s="226"/>
      <c r="L235" s="226"/>
      <c r="M235" s="225"/>
    </row>
    <row r="236">
      <c r="A236" s="4"/>
      <c r="D236" s="106"/>
      <c r="E236" s="106"/>
      <c r="F236" s="225"/>
      <c r="G236" s="225"/>
      <c r="H236" s="225"/>
      <c r="I236" s="225"/>
      <c r="J236" s="225"/>
      <c r="K236" s="226"/>
      <c r="L236" s="226"/>
      <c r="M236" s="225"/>
    </row>
    <row r="237">
      <c r="A237" s="4"/>
      <c r="D237" s="106"/>
      <c r="E237" s="106"/>
      <c r="F237" s="225"/>
      <c r="G237" s="225"/>
      <c r="H237" s="225"/>
      <c r="I237" s="225"/>
      <c r="J237" s="225"/>
      <c r="K237" s="226"/>
      <c r="L237" s="226"/>
      <c r="M237" s="225"/>
    </row>
    <row r="238">
      <c r="A238" s="4"/>
      <c r="D238" s="106"/>
      <c r="E238" s="106"/>
      <c r="F238" s="225"/>
      <c r="G238" s="225"/>
      <c r="H238" s="225"/>
      <c r="I238" s="225"/>
      <c r="J238" s="225"/>
      <c r="K238" s="226"/>
      <c r="L238" s="226"/>
      <c r="M238" s="225"/>
    </row>
    <row r="239">
      <c r="A239" s="4"/>
      <c r="D239" s="106"/>
      <c r="E239" s="106"/>
      <c r="F239" s="225"/>
      <c r="G239" s="225"/>
      <c r="H239" s="225"/>
      <c r="I239" s="225"/>
      <c r="J239" s="225"/>
      <c r="K239" s="226"/>
      <c r="L239" s="226"/>
      <c r="M239" s="225"/>
    </row>
    <row r="240">
      <c r="A240" s="4"/>
      <c r="D240" s="106"/>
      <c r="E240" s="106"/>
      <c r="F240" s="225"/>
      <c r="G240" s="225"/>
      <c r="H240" s="225"/>
      <c r="I240" s="225"/>
      <c r="J240" s="225"/>
      <c r="K240" s="226"/>
      <c r="L240" s="226"/>
      <c r="M240" s="225"/>
    </row>
    <row r="241">
      <c r="A241" s="4"/>
      <c r="D241" s="106"/>
      <c r="E241" s="106"/>
      <c r="F241" s="225"/>
      <c r="G241" s="225"/>
      <c r="H241" s="225"/>
      <c r="I241" s="225"/>
      <c r="J241" s="225"/>
      <c r="K241" s="226"/>
      <c r="L241" s="226"/>
      <c r="M241" s="225"/>
    </row>
    <row r="242">
      <c r="A242" s="4"/>
      <c r="D242" s="106"/>
      <c r="E242" s="106"/>
      <c r="F242" s="225"/>
      <c r="G242" s="225"/>
      <c r="H242" s="225"/>
      <c r="I242" s="225"/>
      <c r="J242" s="225"/>
      <c r="K242" s="226"/>
      <c r="L242" s="226"/>
      <c r="M242" s="225"/>
    </row>
    <row r="243">
      <c r="A243" s="4"/>
      <c r="D243" s="106"/>
      <c r="E243" s="106"/>
      <c r="F243" s="225"/>
      <c r="G243" s="225"/>
      <c r="H243" s="225"/>
      <c r="I243" s="225"/>
      <c r="J243" s="225"/>
      <c r="K243" s="226"/>
      <c r="L243" s="226"/>
      <c r="M243" s="225"/>
    </row>
    <row r="244">
      <c r="A244" s="4"/>
      <c r="D244" s="106"/>
      <c r="E244" s="106"/>
      <c r="F244" s="225"/>
      <c r="G244" s="225"/>
      <c r="H244" s="225"/>
      <c r="I244" s="225"/>
      <c r="J244" s="225"/>
      <c r="K244" s="226"/>
      <c r="L244" s="226"/>
      <c r="M244" s="225"/>
    </row>
    <row r="245">
      <c r="A245" s="4"/>
      <c r="D245" s="106"/>
      <c r="E245" s="106"/>
      <c r="F245" s="225"/>
      <c r="G245" s="225"/>
      <c r="H245" s="225"/>
      <c r="I245" s="225"/>
      <c r="J245" s="225"/>
      <c r="K245" s="226"/>
      <c r="L245" s="226"/>
      <c r="M245" s="225"/>
    </row>
    <row r="246">
      <c r="A246" s="4"/>
      <c r="D246" s="106"/>
      <c r="E246" s="106"/>
      <c r="F246" s="225"/>
      <c r="G246" s="225"/>
      <c r="H246" s="225"/>
      <c r="I246" s="225"/>
      <c r="J246" s="225"/>
      <c r="K246" s="226"/>
      <c r="L246" s="226"/>
      <c r="M246" s="225"/>
    </row>
    <row r="247">
      <c r="A247" s="4"/>
      <c r="D247" s="106"/>
      <c r="E247" s="106"/>
      <c r="F247" s="225"/>
      <c r="G247" s="225"/>
      <c r="H247" s="225"/>
      <c r="I247" s="225"/>
      <c r="J247" s="225"/>
      <c r="K247" s="226"/>
      <c r="L247" s="226"/>
      <c r="M247" s="225"/>
    </row>
    <row r="248">
      <c r="A248" s="4"/>
      <c r="D248" s="106"/>
      <c r="E248" s="106"/>
      <c r="F248" s="225"/>
      <c r="G248" s="225"/>
      <c r="H248" s="225"/>
      <c r="I248" s="225"/>
      <c r="J248" s="225"/>
      <c r="K248" s="226"/>
      <c r="L248" s="226"/>
      <c r="M248" s="225"/>
    </row>
    <row r="249">
      <c r="A249" s="4"/>
      <c r="D249" s="106"/>
      <c r="E249" s="106"/>
      <c r="F249" s="225"/>
      <c r="G249" s="225"/>
      <c r="H249" s="225"/>
      <c r="I249" s="225"/>
      <c r="J249" s="225"/>
      <c r="K249" s="226"/>
      <c r="L249" s="226"/>
      <c r="M249" s="225"/>
    </row>
    <row r="250">
      <c r="A250" s="4"/>
      <c r="D250" s="106"/>
      <c r="E250" s="106"/>
      <c r="F250" s="225"/>
      <c r="G250" s="225"/>
      <c r="H250" s="225"/>
      <c r="I250" s="225"/>
      <c r="J250" s="225"/>
      <c r="K250" s="226"/>
      <c r="L250" s="226"/>
      <c r="M250" s="225"/>
    </row>
    <row r="251">
      <c r="A251" s="4"/>
      <c r="D251" s="106"/>
      <c r="E251" s="106"/>
      <c r="F251" s="225"/>
      <c r="G251" s="225"/>
      <c r="H251" s="225"/>
      <c r="I251" s="225"/>
      <c r="J251" s="225"/>
      <c r="K251" s="226"/>
      <c r="L251" s="226"/>
      <c r="M251" s="225"/>
    </row>
  </sheetData>
  <mergeCells count="1">
    <mergeCell ref="K2:L2"/>
  </mergeCells>
  <conditionalFormatting sqref="A1">
    <cfRule type="beginsWith" dxfId="0" priority="1" operator="beginsWith" text="You have">
      <formula>LEFT((A1),LEN("You have"))=("You have")</formula>
    </cfRule>
  </conditionalFormatting>
  <dataValidations>
    <dataValidation type="decimal" operator="greaterThan" allowBlank="1" showDropDown="1" showInputMessage="1" prompt="Effective discount rate should be greater than 0% or costs and impacts will not be measurable" sqref="B100:B101">
      <formula1>0.0</formula1>
    </dataValidation>
    <dataValidation type="list" allowBlank="1" showErrorMessage="1" sqref="C9:C12 C18 C22:C25 C35 C43:C45 C49 C57:C58 C63:C64 C68:C74 C76:C78 C81:C82 C89:C90 C98:C99 C105:C107 C111:C112 C119:C121 C126">
      <formula1>"Normal,LogNormal,Beta,Uniform,PERT"</formula1>
    </dataValidation>
  </dataValidations>
  <drawing r:id="rId2"/>
  <legacyDrawing r:id="rId3"/>
</worksheet>
</file>