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LD" sheetId="1" r:id="rId5"/>
    <sheet state="visible" name="Info" sheetId="2" r:id="rId6"/>
    <sheet state="visible" name="Main CEA" sheetId="3" r:id="rId7"/>
    <sheet state="visible" name="Livestock production" sheetId="4" r:id="rId8"/>
    <sheet state="visible" name="Adjusted high-innovation scenar" sheetId="5" r:id="rId9"/>
    <sheet state="visible" name="GFIs spending" sheetId="6" r:id="rId10"/>
    <sheet state="visible" name="Animal production data (tonnage"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Because Vivid Economics' low-innovation scenario assumed a case where R&amp;D would only be driven by market forces, we adjusted its projections of livestock production downward because APs already receive public funding and our best guess is that this will continue to be true. We also adjusted livestock production under its high-innovation scenario upward because it is our impression that Vivid Economics' estimates for cultivated meat production may be too optimistic. 
Source:
https://www.climateworks.org/wp-content/uploads/2021/11/GINAs-Protein-Diversity.pdf
"Low-innovation scenario represents market-driven progress in the absence of public sector support"
https://rethinkpriorities.org/publications/forecasts-estimate-limited-cultured-meat-production-through-2050
"Despite some variation, the majority of probabilities were for low production volumes. The aggregated probabilities from our panel include a 54% probability that less than 100,000 metric tons of cultured meat (where &gt;51% of the “meat” is produced directly from animal cells) will be produced and sold at any price in a 12-month period before the end of 2051."</t>
      </text>
    </comment>
    <comment authorId="0" ref="A4">
      <text>
        <t xml:space="preserve">We assume that GFI's spending from 2016 to 2022 (the present) impacts future emissions by influencing AP R&amp;D. Our assumption may underestimate GFI's impact because some of the research that receives funding from GFI could have an impact on emissions that extends beyond our estimated timelines.
Sources:
https://projects.propublica.org/nonprofits/organizations/810840578
Correspondence with GFI, 2021-09-21
Correspondence with GFI, 2022-05-23</t>
      </text>
    </comment>
    <comment authorId="0" ref="A7">
      <text>
        <t xml:space="preserve">We assumed that securing public funding for AP R&amp;D could change the probability of moving to a high-innovation scenario by 5 to 20%. We used those endpoints as bounds for the worst- and best-case scenarios and the average for our best guess.</t>
      </text>
    </comment>
    <comment authorId="0" ref="A8">
      <text>
        <t xml:space="preserve">We assume that GFI's work on securing public funding changes the probability of moving from a low- to a high-innovation scenario by some small percentage given that there are many actors working in APs.
We assume that this percentage is lower than its percent impact on directly supporting R&amp;D and expanding the talent pool because it is not guaranteed that GFI's advocacy will lead to increased funding. We estimated that this percentage would be between 0.5% and 2.5%. We used the average for our best-guess scenario.</t>
      </text>
    </comment>
    <comment authorId="0" ref="A10">
      <text>
        <t xml:space="preserve">We think on average that GFI's forward-looking work will be as effective as its historic work.</t>
      </text>
    </comment>
    <comment authorId="0" ref="A13">
      <text>
        <t xml:space="preserve">We assumed that any marginal impact that GFI had would counterfactually have happened sometime over the next 5 to 20 years. We used the endpoints of this range as our worst and best cases, and used the average as our best guess.</t>
      </text>
    </comment>
    <comment authorId="0" ref="A14">
      <text>
        <t xml:space="preserve">We estimated livestock production under the high- and adjusted low-innovation scenarios and assumed that GFI increases the likelihood of a high-innovation scenario occurring by some percentage.
Source: https://www.climateworks.org/wp-content/uploads/2021/11/GINAs-Protein-Diversity.pdf</t>
      </text>
    </comment>
    <comment authorId="0" ref="A46">
      <text>
        <t xml:space="preserve">According to Vivid Economics' model for livestock production and greenhouse gas emissions, investing in alternative proteins would lead to at least a 5Gt (5 billion tons) reduction in CO2e per year by 2050. We used this difference to estimate CO2e emitted per million metric ton of livestock produced.
Source: Vivid Economics. (2021). (rep.). Global Innovation Needs Assessment, Protein diversity. Retrieved August 11, 2022, from https://www.climateworks.org/wp-content/uploads/2021/11/GINAs-Protein-Diversity.pdf. 
"By 2050, the alternative proteins transition could save more than 5Gt CO2 eq/year."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Because Vivid Economics' low-innovation scenario assumed a case where R&amp;D would only be driven by market forces, we adjusted its projections of livestock production downward because APs already receive public funding and our best guess is that this will continue to be true. We also adjusted livestock production under its high-innovation scenario upward because it is our impression that Vivid Economics' estimates for cultivated meat production may be too optimistic. 
Source:
https://www.climateworks.org/wp-content/uploads/2021/11/GINAs-Protein-Diversity.pdf
"Low-innovation scenario represents market-driven progress in the absence of public sector support"
https://rethinkpriorities.org/publications/forecasts-estimate-limited-cultured-meat-production-through-2050
"Despite some variation, the majority of probabilities were for low production volumes. The aggregated probabilities from our panel include a 54% probability that less than 100,000 metric tons of cultured meat (where &gt;51% of the “meat” is produced directly from animal cells) will be produced and sold at any price in a 12-month period before the end of 2051."</t>
      </text>
    </comment>
    <comment authorId="0" ref="A4">
      <text>
        <t xml:space="preserve">We assume that GFI's spending from 2016 to 2022 (the present) impacts future emissions by influencing AP R&amp;D. Our assumption may underestimate GFI's impact because some of the research that receives funding from GFI could have an impact on emissions that extends beyond our estimated timelines.
Sources:
https://projects.propublica.org/nonprofits/organizations/810840578
Correspondence with GFI, 2021-09-21
Correspondence with GFI, 2022-05-23</t>
      </text>
    </comment>
    <comment authorId="0" ref="A9">
      <text>
        <t xml:space="preserve">We assumed that securing public funding for AP R&amp;D could change the probability of moving to a high-innovation scenario by 5 to 20%. We used those endpoints as bounds for the worst- and best-case scenarios and the average for our best guess.</t>
      </text>
    </comment>
    <comment authorId="0" ref="A10">
      <text>
        <t xml:space="preserve">We assume that GFI's work on securing public funding changes the probability of moving from a low- to a high-innovation scenario by some small percentage given that there are many actors working in APs.
We assume that this percentage is lower than its percent impact on directly supporting R&amp;D and expanding the talent pool because it is not guaranteed that GFI's advocacy will lead to increased funding. We estimated that this percentage would be between 0.5% and 2.5%. We used the average for our best-guess scenario.</t>
      </text>
    </comment>
    <comment authorId="0" ref="A12">
      <text>
        <t xml:space="preserve">We think on average that GFI's forward-looking work will be as effective as its historic work.</t>
      </text>
    </comment>
    <comment authorId="0" ref="A15">
      <text>
        <t xml:space="preserve">We assumed that any marginal impact that GFI had would counterfactually have happened sometime over the next 5 to 20 years. We used the endpoints of this range as our worst and best cases, and used the average as our best guess.</t>
      </text>
    </comment>
    <comment authorId="0" ref="A16">
      <text>
        <t xml:space="preserve">We estimated livestock production under the high- and adjusted low-innovation scenarios and assumed that GFI increases the likelihood of a high-innovation scenario occurring by some percentage.
Source: https://www.climateworks.org/wp-content/uploads/2021/11/GINAs-Protein-Diversity.pdf</t>
      </text>
    </comment>
    <comment authorId="0" ref="A48">
      <text>
        <t xml:space="preserve">According to Vivid Economics' model for livestock production and greenhouse gas emissions, investing in alternative proteins would lead to at least a 5Gt (5 billion tons) reduction in CO2e per year by 2050. We used this difference to estimate CO2e emitted per million metric ton of livestock produced.
Source: Vivid Economics. (2021). (rep.). Global Innovation Needs Assessment, Protein diversity. Retrieved August 11, 2022, from https://www.climateworks.org/wp-content/uploads/2021/11/GINAs-Protein-Diversity.pdf. 
"By 2050, the alternative proteins transition could save more than 5Gt CO2 eq/year."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Sources: Vivid Economics. (2021). (rep.). Global Innovation Needs Assessment, Protein diversity. Retrieved August 11, 2022, from https://www.climateworks.org/wp-content/uploads/2021/11/GINAs-Protein-Diversity.pdf.
Vivid Economics. (2021). (rep.). Global Innovation Needs Assessment, Energy and land use synthesis report. Retrieved August 11, 2022, from https://www.climateworks.org/wp-content/uploads/2021/10/GINAs-Energy-and-land-use-synthesis-report-10-12-21.pdf.</t>
      </text>
    </comment>
    <comment authorId="0" ref="B4">
      <text>
        <t xml:space="preserve">Livestock production was listed in terms of DMt/yr in the original figure. According to a source familiar with the report, this is a typo and should be listed as Mt/yr (megaton per year or million metric tons per year).
Source:
Vivid Economics. (2021). (rep.). Global Innovation Needs Assessment, Protein diversity. Retrieved August 11, 2022, from https://www.climateworks.org/wp-content/uploads/2021/11/GINAs-Protein-Diversity.pdf. 
Figure 2. Effects of alternative proteins innovation on livestock and crop production.</t>
      </text>
    </comment>
    <comment authorId="0" ref="B5">
      <text>
        <t xml:space="preserve">The high- and low-innovation livestock production values were from the Vivid Economics reports. 
For calculations for the adjusted high innovation scenario, please see "Livestock + dairy production."
Source:
Vivid Economics. (2021). (rep.). Global Innovation Needs Assessment, Protein diversity. Retrieved August 11, 2022, from https://www.climateworks.org/wp-content/uploads/2021/11/GINAs-Protein-Diversity.pdf. 
Figure 2. Effects of alternative proteins innovation on livestock and crop production.</t>
      </text>
    </comment>
    <comment authorId="0" ref="C5">
      <text>
        <t xml:space="preserve">The high- and low-innovation livestock production values were from the Vivid Economics reports. 
For calculations for the adjusted high innovation scenario, please see "Livestock + dairy production."
Source:
Vivid Economics. (2021). (rep.). Global Innovation Needs Assessment, Protein diversity. Retrieved August 11, 2022, from https://www.climateworks.org/wp-content/uploads/2021/11/GINAs-Protein-Diversity.pdf. 
Figure 2. Effects of alternative proteins innovation on livestock and crop production.</t>
      </text>
    </comment>
    <comment authorId="0" ref="D5">
      <text>
        <t xml:space="preserve">We adjusted the high-innovation case upwards because we believe that Vivid Economics may be too optimistic about the cellular agriculture production volumes. 
For calculations for the adjusted high innovation scenario, please see "Adjusted high-innovation scenario."
Source:
Vivid Economics. (2021). (rep.). Global Innovation Needs Assessment, Protein diversity. Retrieved August 11, 2022, from https://www.climateworks.org/wp-content/uploads/2021/11/GINAs-Protein-Diversity.pdf. 
Figure 2. Effects of alternative proteins innovation on livestock and crop production.</t>
      </text>
    </comment>
    <comment authorId="0" ref="E5">
      <text>
        <t xml:space="preserve">We adjusted the low-innovation case downward because Vivid Economics' scenario considers a case where AP R&amp;D is solely market-driven, which is unlikely to be true.
Our best guess for the adjusted low-innovation case is the average between the low-innovation scenario and our adjusted high-innovation scenario.</t>
      </text>
    </comment>
    <comment authorId="0" ref="C41">
      <text>
        <t xml:space="preserve">According to the source we used, greenhouse reduction in 2050 is over 5Gt (5 billion metric tons) of CO2-equivalent. We assumed a value of 5Gt.
Source: Vivid Economics. (2021). (rep.). Global Innovation Needs Assessment, Protein diversity. Retrieved August 11, 2022, from https://www.climateworks.org/wp-content/uploads/2021/11/GINAs-Protein-Diversity.pdf. 
"By 2050, the alternative proteins transition could save more than 5Gt CO2 eq/year."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Source: Vivid Economics. (2021). (rep.). Global Innovation Needs Assessment, Protein diversity. Retrieved August 11, 2022, from https://www.climateworks.org/wp-content/uploads/2021/11/GINAs-Protein-Diversity.pdf. 
Figure 3. Decline of animal source foods (including dairy) in the high-innovation scenario in alternative proteins.</t>
      </text>
    </comment>
    <comment authorId="0" ref="C4">
      <text>
        <t xml:space="preserve">Source:
Vivid Economics. (2021). (rep.). Global Innovation Needs Assessment, Protein diversity. Retrieved August 11, 2022, from https://www.climateworks.org/wp-content/uploads/2021/11/GINAs-Protein-Diversity.pdf. 
Figure 2. Effects of alternative proteins innovation on livestock and crop production.</t>
      </text>
    </comment>
    <comment authorId="0" ref="D4">
      <text>
        <t xml:space="preserve">Calculation</t>
      </text>
    </comment>
    <comment authorId="0" ref="E4">
      <text>
        <t xml:space="preserve">Source: Vivid Economics. (2021). (rep.). Global Innovation Needs Assessment, Protein diversity. Retrieved August 11, 2022, from https://www.climateworks.org/wp-content/uploads/2021/11/GINAs-Protein-Diversity.pdf. 
Figure 3. Decline of animal source foods (including dairy) in the high-innovation scenario in alternative proteins.</t>
      </text>
    </comment>
    <comment authorId="0" ref="F4">
      <text>
        <t xml:space="preserve">Calculation</t>
      </text>
    </comment>
    <comment authorId="0" ref="G4">
      <text>
        <t xml:space="preserve">Calculation.
We assumed that the ratio of dairy to livestock would be the same for cellular agriculture as it is for conventional livestock. This may overestimate cultivated meat production because it is our impression that cultivated dairy production is easier than cultivated meat production.</t>
      </text>
    </comment>
    <comment authorId="0" ref="H4">
      <text>
        <t xml:space="preserve">Calculation.
Based on projections from Rethink Priorities' forecasts for cultivated meat production, we believe that it is unlikely that cultivated meat production will exceed 100,000 tons by 2040. Therefore, we adjusted cellular agriculture production downward. See cell B28 for an explanation of our adjustment constant.
Source: https://rethinkpriorities.org/publications/forecasts-estimate-limited-cultured-meat-production-through-2050
"Despite some variation, the majority of probabilities were for low production volumes. The aggregated probabilities from our panel include a 54% probability that less than 100,000 metric tons of cultured meat (where &gt;51% of the “meat” is produced directly from animal cells) will be produced and sold at any price in a 12-month period before the end of 2051."</t>
      </text>
    </comment>
    <comment authorId="0" ref="I4">
      <text>
        <t xml:space="preserve">Calculation.
We assumed that Vivid Economics' projection for total livestock production is accurate but that it is too optimistic about cellular agriculture production. We assumed that a large share of its projected cellular agriculture production will actually be conventional livestock. We adjusted its conventional livestock projections by adding the difference between "Cellular agriculture, livestock only" and  "Adjusted cellular agriculture, livestock only" to "Conventional livestock."</t>
      </text>
    </comment>
    <comment authorId="0" ref="B27">
      <text>
        <t xml:space="preserve">Guess.
We used 10^-4 as our adjustment factor, which led to a projected 15,000 tons of cultivated meat by 2040. We believe that this projected value is plausible based on Rethink Priorities' forecasts, which predicts that cultivated meat production will be limited in 2040. We preferred to err on the side of being more conservative in our estimates.
Source: https://rethinkpriorities.org/publications/forecasts-estimate-limited-cultured-meat-production-through-2050
"Despite some variation, the majority of probabilities were for low production volumes. The aggregated probabilities from our panel include a 54% probability that less than 100,000 metric tons of cultured meat (where &gt;51% of the “meat” is produced directly from animal cells) will be produced and sold at any price in a 12-month period before the end of 2051."</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Source:
Fiscal year ending Dec. 2016
Total Revenue: $2,957,969
https://projects.propublica.org/nonprofits/organizations/810840578</t>
      </text>
    </comment>
    <comment authorId="0" ref="A6">
      <text>
        <t xml:space="preserve">Source:
Fiscal year ending Dec. 2017
Total Revenue: $5,291,596
https://projects.propublica.org/nonprofits/organizations/810840578</t>
      </text>
    </comment>
    <comment authorId="0" ref="A7">
      <text>
        <t xml:space="preserve">Source:
Fiscal year ending Dec. 2018
Total Revenue: $8,359,313
https://projects.propublica.org/nonprofits/organizations/810840578</t>
      </text>
    </comment>
    <comment authorId="0" ref="A8">
      <text>
        <t xml:space="preserve">Source:
Fiscal year ending Dec. 2019
Total Revenue: $21,598,428
https://projects.propublica.org/nonprofits/organizations/810840578</t>
      </text>
    </comment>
    <comment authorId="0" ref="A9">
      <text>
        <t xml:space="preserve">Source:
Fiscal year ending Dec. 2020
Total Revenue: $18,923,594
https://projects.propublica.org/nonprofits/organizations/810840578</t>
      </text>
    </comment>
    <comment authorId="0" ref="A10">
      <text>
        <t xml:space="preserve">Source: Correspondence with GFI, 2021-09-21</t>
      </text>
    </comment>
    <comment authorId="0" ref="A11">
      <text>
        <t xml:space="preserve">Source: Correspondence with GFI, 2022-05-23</t>
      </text>
    </comment>
  </commentList>
</comments>
</file>

<file path=xl/sharedStrings.xml><?xml version="1.0" encoding="utf-8"?>
<sst xmlns="http://schemas.openxmlformats.org/spreadsheetml/2006/main" count="551" uniqueCount="340">
  <si>
    <r>
      <rPr>
        <b/>
      </rPr>
      <t>Notes:</t>
    </r>
    <r>
      <rPr>
        <b val="0"/>
      </rPr>
      <t xml:space="preserve"> This is a copy of the "best guess" CEA of </t>
    </r>
    <r>
      <rPr>
        <b val="0"/>
        <color rgb="FF1155CC"/>
        <u/>
      </rPr>
      <t>GFI created by Giving Green</t>
    </r>
    <r>
      <rPr>
        <b/>
      </rPr>
      <t xml:space="preserve"> </t>
    </r>
    <r>
      <rPr>
        <b val="0"/>
      </rPr>
      <t>focused on the impact of GFI securing public fundng for alt protein R&amp;D. This CEA only focuses on meat producing land animals as the original analysis that Giving Green's CEA was based on only considered "livestock". Note that this has a global focus.
The only differences I have made are:
1. I have used a 1.4% discount for future benefits.
2. I model animal welfare impacts in addition to the climate impacts that were already modelled by Giving Green.</t>
    </r>
  </si>
  <si>
    <t>Parameter</t>
  </si>
  <si>
    <t>Notes</t>
  </si>
  <si>
    <t>Source</t>
  </si>
  <si>
    <t>Cost</t>
  </si>
  <si>
    <t>GFI's budget, 2016-2022</t>
  </si>
  <si>
    <t>Total spending over 2016-2022 period</t>
  </si>
  <si>
    <t>Giving Green CEA</t>
  </si>
  <si>
    <t>Discounts</t>
  </si>
  <si>
    <t>Change in probability of moving from low- to high-innovation scenario due to securing public funding for AP R&amp;D</t>
  </si>
  <si>
    <t>Guess - 5-20%</t>
  </si>
  <si>
    <t>Percent impact that GFI has on securing public funding for AP R&amp;D</t>
  </si>
  <si>
    <t>Guess - 0.5-2.5%</t>
  </si>
  <si>
    <t>Change in probability of moving to the high-innovation scenario due to GFI</t>
  </si>
  <si>
    <t>Calculation</t>
  </si>
  <si>
    <t>Effectiveness adjustment for marginal donation going to international efforts instead of US-based R&amp;D</t>
  </si>
  <si>
    <t>Guess</t>
  </si>
  <si>
    <t>Impacts</t>
  </si>
  <si>
    <t>Best guess</t>
  </si>
  <si>
    <t># of years before the high-innovation scenario is roughly similar to BAU in the absence of GFI</t>
  </si>
  <si>
    <t>The difference in livestock production between adjusted high- and adjusted low-innovation scenarios over years of interest (million tons per year)</t>
  </si>
  <si>
    <t>Animal impacts</t>
  </si>
  <si>
    <t>Number of animals</t>
  </si>
  <si>
    <t>% of livestock production made up by beef cows</t>
  </si>
  <si>
    <t>Using global average</t>
  </si>
  <si>
    <t>Data from OWID - see "Copy of Land animal numbers" tab</t>
  </si>
  <si>
    <t>% of livestock production made up by pigs</t>
  </si>
  <si>
    <t>% of livestock production made up by poultry</t>
  </si>
  <si>
    <t>% of livestock production made up by sheep and goats</t>
  </si>
  <si>
    <t>Difference in livestock production - million tons of beef</t>
  </si>
  <si>
    <t>-</t>
  </si>
  <si>
    <t>Difference in livestock production - million tons of pork</t>
  </si>
  <si>
    <t>Difference in livestock production - million tons of poultry meat</t>
  </si>
  <si>
    <t>Difference in livestock production - million tons of sheep and goat meat</t>
  </si>
  <si>
    <t>Beef cattle impacted per kg of beef</t>
  </si>
  <si>
    <t>Data from Faunalytics</t>
  </si>
  <si>
    <t>https://osf.io/dkst3</t>
  </si>
  <si>
    <t>Pigs impacted per kg of pork</t>
  </si>
  <si>
    <t>Chickens* impacted per kg of poultry meat</t>
  </si>
  <si>
    <t>Data from Faunalytics
*Using chicken as a proxy for all poultry as this is the most produced poultry animal.</t>
  </si>
  <si>
    <t>Sheep* impacted per kg of sheep and goat meat</t>
  </si>
  <si>
    <t>Best guess - average of cattle and pigs
*Using sheep as a proxy as we have more information on sheep</t>
  </si>
  <si>
    <t>Number of cows impacted by difference in livestock production</t>
  </si>
  <si>
    <t>Number of pigs impacted by difference in livestock production</t>
  </si>
  <si>
    <t>Number of chickens impacted by difference in livestock production</t>
  </si>
  <si>
    <t>Number of sheep impacted by difference in livestock production</t>
  </si>
  <si>
    <t>SADs averted</t>
  </si>
  <si>
    <t>SADs per beef cow</t>
  </si>
  <si>
    <t>Note that this SADs estimate is based on a quick estimate only</t>
  </si>
  <si>
    <t>https://docs.google.com/spreadsheets/d/1_q1jrOiOSs6BNohV5wq5wFrBor1NSkv19AuvV69lPtI/edit?gid=1626888811#gid=1626888811</t>
  </si>
  <si>
    <t>SADs per pig</t>
  </si>
  <si>
    <t>Note that this doesn't account for impacts on sows</t>
  </si>
  <si>
    <t>SADs per chicken</t>
  </si>
  <si>
    <t>Assumes broilers are fast growing</t>
  </si>
  <si>
    <t>SADs per sheep</t>
  </si>
  <si>
    <t>SADs averted by difference in beef cow production</t>
  </si>
  <si>
    <t>SADs averted by difference in pig production</t>
  </si>
  <si>
    <t>SADs averted by difference in chicken cow production</t>
  </si>
  <si>
    <t>SADs averted by difference in sheep cow production</t>
  </si>
  <si>
    <t>Expected value of animal impacts (total SADs averted due to intervention)</t>
  </si>
  <si>
    <t>Climate impacts</t>
  </si>
  <si>
    <t>Conversion factor between emissions and livestock production (tCO2e per million metric ton)</t>
  </si>
  <si>
    <t>Difference in tCO2e between adjusted high- and low-innovation scenarios(tCO2e)</t>
  </si>
  <si>
    <t>Expected value of climate impacts (tCO2e removed/avoided due to intervention)</t>
  </si>
  <si>
    <t>Cost-effectiveness</t>
  </si>
  <si>
    <t>$ per tCO2e</t>
  </si>
  <si>
    <t>SADs/$</t>
  </si>
  <si>
    <t>Securing Scale-up Funding for the Alternative Protein Industry - Cost-effectiveness BOTEC</t>
  </si>
  <si>
    <r>
      <rPr>
        <rFont val="Inter"/>
        <color rgb="FF1155CC"/>
        <u/>
      </rPr>
      <t>Main CEA</t>
    </r>
    <r>
      <rPr>
        <rFont val="Inter"/>
      </rPr>
      <t xml:space="preserve"> tab is an adaptation of Giving Green (</t>
    </r>
    <r>
      <rPr>
        <rFont val="Inter"/>
        <color rgb="FF1155CC"/>
        <u/>
      </rPr>
      <t>2022</t>
    </r>
    <r>
      <rPr>
        <rFont val="Inter"/>
      </rPr>
      <t xml:space="preserve">) CEA, Livestock production, adjusted high-innovation scenario, and GFI's spending are lifted from Giving Green - all errors our own. </t>
    </r>
  </si>
  <si>
    <r>
      <rPr>
        <b/>
      </rPr>
      <t>Notes:</t>
    </r>
    <r>
      <rPr>
        <b val="0"/>
      </rPr>
      <t xml:space="preserve"> This is a copy of the "best guess" CEA of </t>
    </r>
    <r>
      <rPr>
        <b val="0"/>
        <color rgb="FF1155CC"/>
        <u/>
      </rPr>
      <t>GFI created by Giving Green</t>
    </r>
    <r>
      <rPr>
        <b/>
      </rPr>
      <t xml:space="preserve"> </t>
    </r>
    <r>
      <rPr>
        <b val="0"/>
      </rPr>
      <t xml:space="preserve">focused on the impact of GFI securing public fundng for alt protein R&amp;D. This CEA only focuses on meat producing land animals as the original analysis that Giving Green's CEA was based on only considered "livestock". Note that this has a global focus.
</t>
    </r>
    <r>
      <rPr>
        <b/>
      </rPr>
      <t xml:space="preserve">The only differences I have made are:
</t>
    </r>
    <r>
      <rPr>
        <b val="0"/>
      </rPr>
      <t>1. I have used a 1.4% discount for future benefits.
2. I model animal welfare impacts in addition to the climate impacts that were already modelled by Giving Green.
3. In this copy of the CEA I also play around with some adjustments to the model detailed in rows 63-73.</t>
    </r>
  </si>
  <si>
    <t>% of GFI budget spent on lobbying</t>
  </si>
  <si>
    <t>Note that this also includes lobbying on labelling and creating a clear regulatory pathway for cultivated products</t>
  </si>
  <si>
    <t>GFI 2023 Form 990</t>
  </si>
  <si>
    <t>GFI's budget, 2016-2022 spent on lobbying</t>
  </si>
  <si>
    <t>Using global weighted average</t>
  </si>
  <si>
    <r>
      <rPr/>
      <t>Data from OWID - see "</t>
    </r>
    <r>
      <rPr>
        <color rgb="FF1155CC"/>
        <u/>
      </rPr>
      <t>Animal production data (tonnage)</t>
    </r>
    <r>
      <rPr/>
      <t>" tab</t>
    </r>
  </si>
  <si>
    <r>
      <rPr/>
      <t>Data from OWID - see "</t>
    </r>
    <r>
      <rPr>
        <color rgb="FF1155CC"/>
        <u/>
      </rPr>
      <t>Animal production data (tonnage)</t>
    </r>
    <r>
      <rPr/>
      <t>" tab</t>
    </r>
  </si>
  <si>
    <r>
      <rPr/>
      <t>Data from OWID - see "</t>
    </r>
    <r>
      <rPr>
        <color rgb="FF1155CC"/>
        <u/>
      </rPr>
      <t>Animal production data (tonnage)</t>
    </r>
    <r>
      <rPr/>
      <t>" tab</t>
    </r>
  </si>
  <si>
    <r>
      <rPr/>
      <t>Data from OWID - see "</t>
    </r>
    <r>
      <rPr>
        <color rgb="FF1155CC"/>
        <u/>
      </rPr>
      <t>Animal production data (tonnage)</t>
    </r>
    <r>
      <rPr/>
      <t>" tab</t>
    </r>
  </si>
  <si>
    <t>SADs averted by difference in chicken production</t>
  </si>
  <si>
    <t>SADs averted by difference in sheep production</t>
  </si>
  <si>
    <t>Commercialization adjustments</t>
  </si>
  <si>
    <t>$B of global public spending on R&amp;D needed to unlock the full benefits of alternative proteins</t>
  </si>
  <si>
    <t>Original needs assessment used by Giving Green states: "To unlock the full benefits of alternative proteins, global public spending on RD&amp;D and on commercialization needs to increase to at least US$4.4 billion and US$5.7 billion per year, respectively."</t>
  </si>
  <si>
    <t>https://www.climateworks.org/wp-content/uploads/2021/11/GINAs-Protein-Diversity.pdf</t>
  </si>
  <si>
    <t>$B of global public spending on commercialization needed to unlock the full benefits of alternative proteins</t>
  </si>
  <si>
    <t xml:space="preserve">Additional funding generated per dollar spent on loan guarantees </t>
  </si>
  <si>
    <t xml:space="preserve">$0.65 was generated for each dollar invested into loan guarantees </t>
  </si>
  <si>
    <t>https://www.sciencedirect.com/science/article/abs/pii/S0378426615001533#:~:text=rights%20and%20content-,Abstract,for%20SMEs%20by%20US$%200.65.</t>
  </si>
  <si>
    <t>Value of commercialization funding compared to R&amp;D funding</t>
  </si>
  <si>
    <t>Estimate 1 - No adjustments</t>
  </si>
  <si>
    <t>Meets climate bar ($33/tCO2e)</t>
  </si>
  <si>
    <t>Doesn't meet animal bar (8 SADs/$)</t>
  </si>
  <si>
    <t>Estimate 2 - Based on budget spent on lobbying rather than total budget</t>
  </si>
  <si>
    <t>Meets climate bar</t>
  </si>
  <si>
    <t>Meets animal bar</t>
  </si>
  <si>
    <t>Estimate 3 - Total budget adjusted for value of commercialization funding</t>
  </si>
  <si>
    <t>Estimate 4 - Lobbying budget adjusted for value of commercialization funding</t>
  </si>
  <si>
    <r>
      <rPr>
        <rFont val="Arial"/>
        <b/>
        <color theme="1"/>
      </rPr>
      <t xml:space="preserve">Notes: </t>
    </r>
    <r>
      <rPr>
        <rFont val="Arial"/>
        <b val="0"/>
        <color theme="1"/>
      </rPr>
      <t>Data on livestock production under high- and low-innovation scenarios were extracted from Vivid Economics' report on protein innovation. The high-innovation scenario considers high investment into AP R&amp;D while the low-innovation scenario only considers market-driven AP R&amp;D. We believe that Vivid Economics' estimates for cellular agriculture production are optimistic so we adjusted production under the high-innovation case upwards (see "Adjusted high-innovation scenario"). We also believe that the low-innovation scenario may be unrealistic because there has been increased public funding for APs and they do not solely rely on market forces. Therefore we adjusted livestock production under the low innovation scenario downward. We assumed that the adjusted low-innovation livestock production would be the average between the adjusted high- and low-innovation scenarios.</t>
    </r>
  </si>
  <si>
    <t>Table 1: Projections of livestock production under high- and low-innovation scenarios.</t>
  </si>
  <si>
    <t>Livestock production (million metric tons per year)</t>
  </si>
  <si>
    <t>Year</t>
  </si>
  <si>
    <t>High innovation</t>
  </si>
  <si>
    <t>Low innovation</t>
  </si>
  <si>
    <t>High innovation (adj)</t>
  </si>
  <si>
    <t>Low innovation (adj)</t>
  </si>
  <si>
    <t>Difference</t>
  </si>
  <si>
    <r>
      <rPr>
        <rFont val="Arial"/>
        <b/>
        <color theme="1"/>
      </rPr>
      <t xml:space="preserve">Table 2: </t>
    </r>
    <r>
      <rPr>
        <rFont val="Arial"/>
        <b/>
        <color theme="1"/>
      </rPr>
      <t>Calculating the conversion factor between emissions and livestock production</t>
    </r>
  </si>
  <si>
    <t>Difference in high- and low-innovation scenarios' livestock production in 2050 (million metric tons/yr)</t>
  </si>
  <si>
    <t>Greenhouse reduction in 2050 (tCO2e)</t>
  </si>
  <si>
    <t>Input</t>
  </si>
  <si>
    <t>Conversion factor between emissions and livestock production (tCO2e/million metric tons)</t>
  </si>
  <si>
    <r>
      <rPr>
        <rFont val="Arial"/>
        <b/>
        <color theme="1"/>
      </rPr>
      <t xml:space="preserve">Note: </t>
    </r>
    <r>
      <rPr>
        <rFont val="Arial"/>
        <color theme="1"/>
      </rPr>
      <t>We adjusted Vivid Economics' estimates for conventional livestock production under the high-innovation scenario upward because we believe that its model may be too optimistic about cultivated meat production.</t>
    </r>
  </si>
  <si>
    <r>
      <rPr>
        <rFont val="Arial"/>
        <b/>
        <color theme="1"/>
      </rPr>
      <t xml:space="preserve">Table 1: </t>
    </r>
    <r>
      <rPr>
        <rFont val="Arial"/>
        <b/>
        <color theme="1"/>
      </rPr>
      <t>Calculations for cellular agriculture and conventional livestock production (high-innovation scenario) (million metric tons per year)</t>
    </r>
  </si>
  <si>
    <t>Conventional livestock and dairy</t>
  </si>
  <si>
    <t>Conventional livestock</t>
  </si>
  <si>
    <t>Conventional dairy</t>
  </si>
  <si>
    <t>Conventional livestock and dairy + cellular agriculture</t>
  </si>
  <si>
    <t>Cellular agriculture, livestock and dairy</t>
  </si>
  <si>
    <t>Cellular agriculture, livestock only</t>
  </si>
  <si>
    <t>Adjusted cellular agriculture, livestock only</t>
  </si>
  <si>
    <t>Adjusted conventional livestock</t>
  </si>
  <si>
    <t>Adjustment factor</t>
  </si>
  <si>
    <r>
      <rPr>
        <rFont val="Arial"/>
        <b/>
        <color theme="1"/>
      </rPr>
      <t>Note:</t>
    </r>
    <r>
      <rPr>
        <rFont val="Arial"/>
        <b val="0"/>
        <color theme="1"/>
      </rPr>
      <t xml:space="preserve"> Information on GFI's annual revenue.</t>
    </r>
  </si>
  <si>
    <r>
      <rPr>
        <rFont val="Arial"/>
        <b/>
        <color theme="1"/>
      </rPr>
      <t xml:space="preserve">Table 2: </t>
    </r>
    <r>
      <rPr>
        <rFont val="Arial"/>
        <b val="0"/>
        <color theme="1"/>
      </rPr>
      <t>GFI's budget, assuming that its spending increases linearly</t>
    </r>
  </si>
  <si>
    <t>Spending</t>
  </si>
  <si>
    <t>Note</t>
  </si>
  <si>
    <t>Country</t>
  </si>
  <si>
    <t>Sheep and goat (tonnes)</t>
  </si>
  <si>
    <t>Beef and buffalo (tonnes)</t>
  </si>
  <si>
    <t>Pig (tonnes)</t>
  </si>
  <si>
    <t>Poultry (tonnes)</t>
  </si>
  <si>
    <t>Total tonnage produced</t>
  </si>
  <si>
    <t>% of world production</t>
  </si>
  <si>
    <t>% sheep production</t>
  </si>
  <si>
    <t>% beef production</t>
  </si>
  <si>
    <t>% pig production</t>
  </si>
  <si>
    <t>% poultry production</t>
  </si>
  <si>
    <t>Afghanistan</t>
  </si>
  <si>
    <t>Source:</t>
  </si>
  <si>
    <t>Albania</t>
  </si>
  <si>
    <t>https://ourworldindata.org/meat-production</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</si>
  <si>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</si>
  <si>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</si>
  <si>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</si>
  <si>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</si>
  <si>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</si>
  <si>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</si>
  <si>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</si>
  <si>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</si>
  <si>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</si>
  <si>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</si>
  <si>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</si>
  <si>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</si>
  <si>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</si>
  <si>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</si>
  <si>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</si>
  <si>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</si>
  <si>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</si>
  <si>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</si>
  <si>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</si>
  <si>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</si>
  <si>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</si>
  <si>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</si>
  <si>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</si>
  <si>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</si>
  <si>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</si>
  <si>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</si>
  <si>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</si>
  <si>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</si>
  <si>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Cape Verde</t>
  </si>
  <si>
    <t>Central African Republic</t>
  </si>
  <si>
    <t>Chad</t>
  </si>
  <si>
    <t>Chile</t>
  </si>
  <si>
    <t>China</t>
  </si>
  <si>
    <t>Colombia</t>
  </si>
  <si>
    <t>Comoros</t>
  </si>
  <si>
    <t>Congo</t>
  </si>
  <si>
    <t>Cook Islands</t>
  </si>
  <si>
    <t>Costa Rica</t>
  </si>
  <si>
    <t>Cote d'Ivoire</t>
  </si>
  <si>
    <t>Croatia</t>
  </si>
  <si>
    <t>Cuba</t>
  </si>
  <si>
    <t>Cyprus</t>
  </si>
  <si>
    <t>Czechia</t>
  </si>
  <si>
    <t>Democratic Republic of Congo</t>
  </si>
  <si>
    <t>Denmark</t>
  </si>
  <si>
    <t>Djibouti</t>
  </si>
  <si>
    <t>Dominica</t>
  </si>
  <si>
    <t>Dominican Republic</t>
  </si>
  <si>
    <t>East Timor</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</si>
  <si>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</si>
  <si>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</si>
  <si>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</si>
  <si>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</si>
  <si>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</si>
  <si>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</si>
  <si>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</si>
  <si>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</si>
  <si>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</si>
  <si>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</si>
  <si>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</si>
  <si>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</si>
  <si>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</si>
  <si>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</si>
  <si>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</si>
  <si>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</si>
  <si>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</si>
  <si>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</si>
  <si>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Greece</t>
  </si>
  <si>
    <t>Grenada</t>
  </si>
  <si>
    <t>Guatemala</t>
  </si>
  <si>
    <t>Guinea</t>
  </si>
  <si>
    <t>Guinea-Bissau</t>
  </si>
  <si>
    <t>Guyana</t>
  </si>
  <si>
    <t>Haiti</t>
  </si>
  <si>
    <t>Honduras</t>
  </si>
  <si>
    <t>Hong Kong</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</si>
  <si>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</si>
  <si>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</si>
  <si>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</si>
  <si>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</si>
  <si>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</si>
  <si>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</si>
  <si>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</si>
  <si>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</si>
  <si>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</si>
  <si>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</si>
  <si>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</si>
  <si>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</si>
  <si>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</si>
  <si>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</si>
  <si>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</si>
  <si>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</si>
  <si>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</si>
  <si>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</si>
  <si>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</si>
  <si>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</si>
  <si>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</si>
  <si>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</si>
  <si>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</si>
  <si>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</si>
  <si>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Luxembourg</t>
  </si>
  <si>
    <t>Macao</t>
  </si>
  <si>
    <t>Madagascar</t>
  </si>
  <si>
    <t>Malawi</t>
  </si>
  <si>
    <t>Malaysia</t>
  </si>
  <si>
    <t>Mali</t>
  </si>
  <si>
    <t>Malta</t>
  </si>
  <si>
    <t>Mauritania</t>
  </si>
  <si>
    <t>Mauritius</t>
  </si>
  <si>
    <t>Melanesia</t>
  </si>
  <si>
    <t>Mexico</t>
  </si>
  <si>
    <t>Micronesia (country)</t>
  </si>
  <si>
    <t>Moldova</t>
  </si>
  <si>
    <t>Mongolia</t>
  </si>
  <si>
    <t>Montenegro</t>
  </si>
  <si>
    <t>Morocco</t>
  </si>
  <si>
    <t>Mozambique</t>
  </si>
  <si>
    <t>Myanmar</t>
  </si>
  <si>
    <t>Namibia</t>
  </si>
  <si>
    <t>Nauru</t>
  </si>
  <si>
    <t>Nepal</t>
  </si>
  <si>
    <t>Netherlands</t>
  </si>
  <si>
    <t>New Caledonia</t>
  </si>
  <si>
    <t>New Zealand</t>
  </si>
  <si>
    <t>Nicaragua</t>
  </si>
  <si>
    <t>Niger</t>
  </si>
  <si>
    <t>Nigeria</t>
  </si>
  <si>
    <t>Niue</t>
  </si>
  <si>
    <t>North Korea</t>
  </si>
  <si>
    <t>North Macedonia</t>
  </si>
  <si>
    <t>Norway</t>
  </si>
  <si>
    <t>Oceania</t>
  </si>
  <si>
    <t>Oman</t>
  </si>
  <si>
    <t>Pakistan</t>
  </si>
  <si>
    <t>Palestine</t>
  </si>
  <si>
    <t>Panama</t>
  </si>
  <si>
    <t>Papua New Guinea</t>
  </si>
  <si>
    <t>Paraguay</t>
  </si>
  <si>
    <t>Peru</t>
  </si>
  <si>
    <t>Philippines</t>
  </si>
  <si>
    <t>Poland</t>
  </si>
  <si>
    <t>Polynesia</t>
  </si>
  <si>
    <t>Portugal</t>
  </si>
  <si>
    <t>Puerto Rico</t>
  </si>
  <si>
    <t>Qatar</t>
  </si>
  <si>
    <t>Romania</t>
  </si>
  <si>
    <t>Russia</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</si>
  <si>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</si>
  <si>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</si>
  <si>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</si>
  <si>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</si>
  <si>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</si>
  <si>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</si>
  <si>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</si>
  <si>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</si>
  <si>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</si>
  <si>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</si>
  <si>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</si>
  <si>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</si>
  <si>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</si>
  <si>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</si>
  <si>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</si>
  <si>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</si>
  <si>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</si>
  <si>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</si>
  <si>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</si>
  <si>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</si>
  <si>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</si>
  <si>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</si>
  <si>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</si>
  <si>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</si>
  <si>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</si>
  <si>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</si>
  <si>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</si>
  <si>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</si>
  <si>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</si>
  <si>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</si>
  <si>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Togo</t>
  </si>
  <si>
    <t>Tokelau</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</si>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</sst>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
    <numFmt numFmtId="165" formatCode="0.0%"/>
    <numFmt numFmtId="166" formatCode="#,##0.0000"/>
    <numFmt numFmtId="167" formatCode="#,##0.0"/>
    <numFmt numFmtId="168" formatCode="&quot;$&quot;#,##0.00"/>
    <numFmt numFmtId="169" formatCode="[$$]#,##0.0"/>
  </numFmts>
  <fonts count="21">
    <font>
      <sz val="10.0"/>
      <color rgb="FF000000"/>
      <name val="Arial"/>
      <scheme val="minor"/>
    </font>
    <font>
      <b/>
      <u/>
      <color rgb="FF0000FF"/>
    </font>
    <font>
      <b/>
      <color theme="1"/>
      <name val="Arial"/>
      <scheme val="minor"/>
    </font>
    <font>
      <color theme="1"/>
      <name val="Arial"/>
      <scheme val="minor"/>
    </font>
    <font>
      <i/>
      <color theme="1"/>
      <name val="Arial"/>
      <scheme val="minor"/>
    </font>
    <font>
      <b/>
      <i/>
      <color theme="1"/>
      <name val="Arial"/>
      <scheme val="minor"/>
    </font>
    <font>
      <color theme="1"/>
      <name val="Arial"/>
    </font>
    <font>
      <u/>
      <color theme="1"/>
      <name val="Arial"/>
      <scheme val="minor"/>
    </font>
    <font>
      <u/>
      <color theme="1"/>
      <name val="Arial"/>
      <scheme val="minor"/>
    </font>
    <font>
      <u/>
      <color rgb="FF0000FF"/>
    </font>
    <font>
      <b/>
      <sz val="13.0"/>
      <color rgb="FFFFFFFF"/>
      <name val="Inter"/>
    </font>
    <font>
      <b/>
      <color theme="1"/>
      <name val="Inter"/>
    </font>
    <font>
      <u/>
      <color rgb="FF0000FF"/>
      <name val="Inter"/>
    </font>
    <font>
      <u/>
      <color rgb="FF0000FF"/>
    </font>
    <font>
      <u/>
      <color rgb="FF0000FF"/>
    </font>
    <font>
      <u/>
      <color rgb="FF1155CC"/>
      <name val="Arial"/>
    </font>
    <font>
      <u/>
      <color theme="1"/>
      <name val="Arial"/>
      <scheme val="minor"/>
    </font>
    <font>
      <b/>
      <color rgb="FFFFFFFF"/>
      <name val="Arial"/>
      <scheme val="minor"/>
    </font>
    <font>
      <b/>
      <i/>
      <color rgb="FFFFFFFF"/>
      <name val="Arial"/>
      <scheme val="minor"/>
    </font>
    <font>
      <b/>
      <color theme="1"/>
      <name val="Arial"/>
    </font>
    <font>
      <b/>
      <color rgb="FFFFFFFF"/>
      <name val="Arial"/>
    </font>
  </fonts>
  <fills count="11">
    <fill>
      <patternFill patternType="none"/>
    </fill>
    <fill>
      <patternFill patternType="lightGray"/>
    </fill>
    <fill>
      <patternFill patternType="solid">
        <fgColor rgb="FFEFEFEF"/>
        <bgColor rgb="FFEFEFEF"/>
      </patternFill>
    </fill>
    <fill>
      <patternFill patternType="solid">
        <fgColor rgb="FFFCE5CD"/>
        <bgColor rgb="FFFCE5CD"/>
      </patternFill>
    </fill>
    <fill>
      <patternFill patternType="solid">
        <fgColor rgb="FFFFD966"/>
        <bgColor rgb="FFFFD966"/>
      </patternFill>
    </fill>
    <fill>
      <patternFill patternType="solid">
        <fgColor rgb="FFC9DAF8"/>
        <bgColor rgb="FFC9DAF8"/>
      </patternFill>
    </fill>
    <fill>
      <patternFill patternType="solid">
        <fgColor rgb="FF801C31"/>
        <bgColor rgb="FF801C31"/>
      </patternFill>
    </fill>
    <fill>
      <patternFill patternType="solid">
        <fgColor rgb="FFD9EAD3"/>
        <bgColor rgb="FFD9EAD3"/>
      </patternFill>
    </fill>
    <fill>
      <patternFill patternType="solid">
        <fgColor rgb="FFF4CCCC"/>
        <bgColor rgb="FFF4CCCC"/>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readingOrder="0"/>
    </xf>
    <xf borderId="0" fillId="0" fontId="4" numFmtId="164"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2" fontId="5" numFmtId="0" xfId="0" applyAlignment="1" applyFill="1" applyFont="1">
      <alignment readingOrder="0"/>
    </xf>
    <xf borderId="0" fillId="2" fontId="3" numFmtId="164" xfId="0" applyAlignment="1" applyFont="1" applyNumberFormat="1">
      <alignment readingOrder="0"/>
    </xf>
    <xf borderId="0" fillId="2" fontId="3" numFmtId="0" xfId="0" applyAlignment="1" applyFont="1">
      <alignment readingOrder="0" shrinkToFit="0" wrapText="1"/>
    </xf>
    <xf borderId="0" fillId="2" fontId="3" numFmtId="0" xfId="0" applyFont="1"/>
    <xf borderId="0" fillId="3" fontId="3" numFmtId="164" xfId="0" applyAlignment="1" applyFill="1" applyFont="1" applyNumberFormat="1">
      <alignment readingOrder="0"/>
    </xf>
    <xf borderId="0" fillId="0" fontId="3" numFmtId="0" xfId="0" applyAlignment="1" applyFont="1">
      <alignment readingOrder="0" shrinkToFit="0" wrapText="1"/>
    </xf>
    <xf borderId="0" fillId="0" fontId="3" numFmtId="164" xfId="0" applyAlignment="1" applyFont="1" applyNumberFormat="1">
      <alignment readingOrder="0"/>
    </xf>
    <xf borderId="0" fillId="2" fontId="5" numFmtId="0" xfId="0" applyAlignment="1" applyFont="1">
      <alignment readingOrder="0" shrinkToFit="0" wrapText="1"/>
    </xf>
    <xf borderId="0" fillId="2" fontId="3" numFmtId="3" xfId="0" applyFont="1" applyNumberFormat="1"/>
    <xf borderId="0" fillId="2" fontId="3" numFmtId="0" xfId="0" applyAlignment="1" applyFont="1">
      <alignment readingOrder="0"/>
    </xf>
    <xf borderId="0" fillId="4" fontId="3" numFmtId="9" xfId="0" applyAlignment="1" applyFill="1" applyFont="1" applyNumberFormat="1">
      <alignment readingOrder="0"/>
    </xf>
    <xf borderId="0" fillId="4" fontId="3" numFmtId="165" xfId="0" applyAlignment="1" applyFont="1" applyNumberFormat="1">
      <alignment readingOrder="0"/>
    </xf>
    <xf borderId="0" fillId="5" fontId="3" numFmtId="10" xfId="0" applyAlignment="1" applyFill="1" applyFont="1" applyNumberFormat="1">
      <alignment readingOrder="0"/>
    </xf>
    <xf borderId="0" fillId="0" fontId="6" numFmtId="0" xfId="0" applyAlignment="1" applyFont="1">
      <alignment readingOrder="0" shrinkToFit="0" vertical="bottom" wrapText="1"/>
    </xf>
    <xf borderId="0" fillId="4" fontId="3" numFmtId="3" xfId="0" applyAlignment="1" applyFont="1" applyNumberFormat="1">
      <alignment readingOrder="0"/>
    </xf>
    <xf borderId="0" fillId="2" fontId="3" numFmtId="0" xfId="0" applyAlignment="1" applyFont="1">
      <alignment shrinkToFit="0" wrapText="1"/>
    </xf>
    <xf borderId="0" fillId="5" fontId="3" numFmtId="4" xfId="0" applyFont="1" applyNumberFormat="1"/>
    <xf borderId="0" fillId="0" fontId="3" numFmtId="4" xfId="0" applyFont="1" applyNumberFormat="1"/>
    <xf borderId="0" fillId="2" fontId="7" numFmtId="0" xfId="0" applyAlignment="1" applyFont="1">
      <alignment readingOrder="0" shrinkToFit="0" wrapText="1"/>
    </xf>
    <xf borderId="0" fillId="2" fontId="3" numFmtId="4" xfId="0" applyFont="1" applyNumberFormat="1"/>
    <xf borderId="0" fillId="0" fontId="8" numFmtId="0" xfId="0" applyAlignment="1" applyFont="1">
      <alignment readingOrder="0" shrinkToFit="0" wrapText="1"/>
    </xf>
    <xf borderId="0" fillId="3" fontId="3" numFmtId="10" xfId="0" applyFont="1" applyNumberFormat="1"/>
    <xf borderId="0" fillId="0" fontId="3" numFmtId="0" xfId="0" applyAlignment="1" applyFont="1">
      <alignment readingOrder="0" shrinkToFit="0" wrapText="0"/>
    </xf>
    <xf borderId="0" fillId="5" fontId="3" numFmtId="3" xfId="0" applyFont="1" applyNumberFormat="1"/>
    <xf borderId="0" fillId="3" fontId="3" numFmtId="166" xfId="0" applyAlignment="1" applyFont="1" applyNumberFormat="1">
      <alignment readingOrder="0"/>
    </xf>
    <xf borderId="0" fillId="0" fontId="9" numFmtId="0" xfId="0" applyAlignment="1" applyFont="1">
      <alignment readingOrder="0"/>
    </xf>
    <xf borderId="0" fillId="4" fontId="3" numFmtId="166" xfId="0" applyAlignment="1" applyFont="1" applyNumberFormat="1">
      <alignment readingOrder="0"/>
    </xf>
    <xf borderId="0" fillId="5" fontId="3" numFmtId="3" xfId="0" applyAlignment="1" applyFont="1" applyNumberFormat="1">
      <alignment readingOrder="0"/>
    </xf>
    <xf borderId="0" fillId="0" fontId="3" numFmtId="3" xfId="0" applyAlignment="1" applyFont="1" applyNumberFormat="1">
      <alignment readingOrder="0"/>
    </xf>
    <xf borderId="0" fillId="3" fontId="3" numFmtId="167" xfId="0" applyAlignment="1" applyFont="1" applyNumberFormat="1">
      <alignment readingOrder="0"/>
    </xf>
    <xf borderId="0" fillId="0" fontId="3" numFmtId="3" xfId="0" applyFont="1" applyNumberFormat="1"/>
    <xf borderId="0" fillId="5" fontId="3" numFmtId="168" xfId="0" applyAlignment="1" applyFont="1" applyNumberFormat="1">
      <alignment readingOrder="0"/>
    </xf>
    <xf borderId="0" fillId="6" fontId="10" numFmtId="0" xfId="0" applyAlignment="1" applyFill="1" applyFont="1">
      <alignment readingOrder="0" vertical="center"/>
    </xf>
    <xf borderId="0" fillId="6" fontId="11" numFmtId="0" xfId="0" applyAlignment="1" applyFont="1">
      <alignment vertical="center"/>
    </xf>
    <xf borderId="0" fillId="0" fontId="12" numFmtId="0" xfId="0" applyAlignment="1" applyFont="1">
      <alignment readingOrder="0"/>
    </xf>
    <xf borderId="0" fillId="0" fontId="2" numFmtId="0" xfId="0" applyAlignment="1" applyFont="1">
      <alignment readingOrder="0"/>
    </xf>
    <xf borderId="0" fillId="0" fontId="5" numFmtId="164" xfId="0" applyAlignment="1" applyFont="1" applyNumberFormat="1">
      <alignment readingOrder="0"/>
    </xf>
    <xf borderId="0" fillId="0" fontId="5" numFmtId="0" xfId="0" applyAlignment="1" applyFont="1">
      <alignment readingOrder="0" shrinkToFit="0" wrapText="1"/>
    </xf>
    <xf borderId="0" fillId="0" fontId="5" numFmtId="0" xfId="0" applyAlignment="1" applyFont="1">
      <alignment readingOrder="0"/>
    </xf>
    <xf borderId="0" fillId="0" fontId="2" numFmtId="0" xfId="0" applyFont="1"/>
    <xf borderId="0" fillId="3" fontId="3" numFmtId="10" xfId="0" applyAlignment="1" applyFont="1" applyNumberFormat="1">
      <alignment readingOrder="0"/>
    </xf>
    <xf borderId="0" fillId="0" fontId="13" numFmtId="0" xfId="0" applyAlignment="1" applyFont="1">
      <alignment readingOrder="0"/>
    </xf>
    <xf borderId="0" fillId="5" fontId="3" numFmtId="164" xfId="0" applyAlignment="1" applyFont="1" applyNumberFormat="1">
      <alignment readingOrder="0"/>
    </xf>
    <xf borderId="0" fillId="0" fontId="14" numFmtId="0" xfId="0" applyAlignment="1" applyFont="1">
      <alignment readingOrder="0" shrinkToFit="0" wrapText="0"/>
    </xf>
    <xf borderId="0" fillId="2" fontId="5" numFmtId="0" xfId="0" applyAlignment="1" applyFont="1">
      <alignment readingOrder="0" shrinkToFit="0" wrapText="1"/>
    </xf>
    <xf borderId="0" fillId="3" fontId="3" numFmtId="169" xfId="0" applyAlignment="1" applyFont="1" applyNumberFormat="1">
      <alignment readingOrder="0"/>
    </xf>
    <xf borderId="0" fillId="0" fontId="6" numFmtId="0" xfId="0" applyAlignment="1" applyFont="1">
      <alignment shrinkToFit="0" vertical="bottom" wrapText="1"/>
    </xf>
    <xf borderId="0" fillId="3" fontId="6" numFmtId="9" xfId="0" applyAlignment="1" applyFont="1" applyNumberFormat="1">
      <alignment horizontal="right" vertical="bottom"/>
    </xf>
    <xf borderId="0" fillId="0" fontId="6" numFmtId="0" xfId="0" applyAlignment="1" applyFont="1">
      <alignment vertical="bottom"/>
    </xf>
    <xf borderId="0" fillId="0" fontId="15" numFmtId="0" xfId="0" applyAlignment="1" applyFont="1">
      <alignment shrinkToFit="0" vertical="bottom" wrapText="0"/>
    </xf>
    <xf borderId="0" fillId="0" fontId="6" numFmtId="0" xfId="0" applyAlignment="1" applyFont="1">
      <alignment vertical="bottom"/>
    </xf>
    <xf borderId="0" fillId="5" fontId="3" numFmtId="167" xfId="0" applyAlignment="1" applyFont="1" applyNumberFormat="1">
      <alignment readingOrder="0"/>
    </xf>
    <xf borderId="0" fillId="0" fontId="16" numFmtId="0" xfId="0" applyAlignment="1" applyFont="1">
      <alignment readingOrder="0"/>
    </xf>
    <xf borderId="0" fillId="0" fontId="3" numFmtId="168" xfId="0" applyAlignment="1" applyFont="1" applyNumberFormat="1">
      <alignment readingOrder="0"/>
    </xf>
    <xf borderId="0" fillId="7" fontId="3" numFmtId="0" xfId="0" applyAlignment="1" applyFill="1" applyFont="1">
      <alignment readingOrder="0"/>
    </xf>
    <xf borderId="0" fillId="8" fontId="3" numFmtId="0" xfId="0" applyAlignment="1" applyFill="1" applyFont="1">
      <alignment readingOrder="0"/>
    </xf>
    <xf borderId="0" fillId="0" fontId="2" numFmtId="0" xfId="0" applyAlignment="1" applyFont="1">
      <alignment readingOrder="0" shrinkToFit="0" wrapText="1"/>
    </xf>
    <xf borderId="0" fillId="0" fontId="3" numFmtId="1" xfId="0" applyAlignment="1" applyFont="1" applyNumberFormat="1">
      <alignment readingOrder="0" shrinkToFit="0" wrapText="1"/>
    </xf>
    <xf borderId="0" fillId="6" fontId="17" numFmtId="0" xfId="0" applyAlignment="1" applyFont="1">
      <alignment readingOrder="0"/>
    </xf>
    <xf borderId="0" fillId="6" fontId="17" numFmtId="1" xfId="0" applyAlignment="1" applyFont="1" applyNumberFormat="1">
      <alignment readingOrder="0" shrinkToFit="0" wrapText="1"/>
    </xf>
    <xf borderId="0" fillId="6" fontId="17" numFmtId="1" xfId="0" applyAlignment="1" applyFont="1" applyNumberFormat="1">
      <alignment readingOrder="0"/>
    </xf>
    <xf borderId="0" fillId="6" fontId="17" numFmtId="0" xfId="0" applyAlignment="1" applyFont="1">
      <alignment readingOrder="0" shrinkToFit="0" wrapText="1"/>
    </xf>
    <xf borderId="0" fillId="9" fontId="3" numFmtId="0" xfId="0" applyAlignment="1" applyFill="1" applyFont="1">
      <alignment readingOrder="0"/>
    </xf>
    <xf borderId="0" fillId="9" fontId="3" numFmtId="1" xfId="0" applyAlignment="1" applyFont="1" applyNumberFormat="1">
      <alignment readingOrder="0"/>
    </xf>
    <xf borderId="0" fillId="9" fontId="3" numFmtId="1" xfId="0" applyFont="1" applyNumberFormat="1"/>
    <xf borderId="0" fillId="9" fontId="3" numFmtId="0" xfId="0" applyAlignment="1" applyFont="1">
      <alignment readingOrder="0"/>
    </xf>
    <xf borderId="0" fillId="10" fontId="3" numFmtId="0" xfId="0" applyAlignment="1" applyFill="1" applyFont="1">
      <alignment readingOrder="0"/>
    </xf>
    <xf borderId="0" fillId="10" fontId="3" numFmtId="1" xfId="0" applyAlignment="1" applyFont="1" applyNumberFormat="1">
      <alignment readingOrder="0"/>
    </xf>
    <xf borderId="0" fillId="10" fontId="3" numFmtId="1" xfId="0" applyFont="1" applyNumberFormat="1"/>
    <xf borderId="0" fillId="10" fontId="3" numFmtId="0" xfId="0" applyAlignment="1" applyFont="1">
      <alignment readingOrder="0"/>
    </xf>
    <xf borderId="0" fillId="0" fontId="3" numFmtId="4" xfId="0" applyAlignment="1" applyFont="1" applyNumberFormat="1">
      <alignment shrinkToFit="0" wrapText="1"/>
    </xf>
    <xf borderId="0" fillId="6" fontId="18" numFmtId="0" xfId="0" applyAlignment="1" applyFont="1">
      <alignment horizontal="right" readingOrder="0"/>
    </xf>
    <xf borderId="0" fillId="0" fontId="3" numFmtId="0" xfId="0" applyAlignment="1" applyFont="1">
      <alignment readingOrder="0" shrinkToFit="0" wrapText="1"/>
    </xf>
    <xf borderId="0" fillId="0" fontId="3" numFmtId="1" xfId="0" applyAlignment="1" applyFont="1" applyNumberFormat="1">
      <alignment readingOrder="0"/>
    </xf>
    <xf borderId="0" fillId="0" fontId="3" numFmtId="0" xfId="0" applyAlignment="1" applyFont="1">
      <alignment readingOrder="0"/>
    </xf>
    <xf borderId="0" fillId="0" fontId="3" numFmtId="3" xfId="0" applyFont="1" applyNumberFormat="1"/>
    <xf borderId="0" fillId="0" fontId="19" numFmtId="0" xfId="0" applyAlignment="1" applyFont="1">
      <alignment readingOrder="0" shrinkToFit="0" vertical="bottom" wrapText="1"/>
    </xf>
    <xf borderId="0" fillId="6" fontId="20" numFmtId="0" xfId="0" applyAlignment="1" applyFont="1">
      <alignment shrinkToFit="0" vertical="bottom" wrapText="1"/>
    </xf>
    <xf borderId="0" fillId="6" fontId="20" numFmtId="0" xfId="0" applyAlignment="1" applyFont="1">
      <alignment readingOrder="0" shrinkToFit="0" vertical="bottom" wrapText="1"/>
    </xf>
    <xf borderId="0" fillId="0" fontId="6" numFmtId="1" xfId="0" applyAlignment="1" applyFont="1" applyNumberFormat="1">
      <alignment horizontal="right" shrinkToFit="0" vertical="bottom" wrapText="1"/>
    </xf>
    <xf borderId="0" fillId="0" fontId="6" numFmtId="1" xfId="0" applyAlignment="1" applyFont="1" applyNumberFormat="1">
      <alignment horizontal="right" readingOrder="0" shrinkToFit="0" vertical="bottom" wrapText="1"/>
    </xf>
    <xf borderId="0" fillId="0" fontId="6" numFmtId="1" xfId="0" applyAlignment="1" applyFont="1" applyNumberFormat="1">
      <alignment horizontal="right" vertical="bottom"/>
    </xf>
    <xf borderId="0" fillId="0" fontId="6" numFmtId="1" xfId="0" applyAlignment="1" applyFont="1" applyNumberFormat="1">
      <alignment vertical="bottom"/>
    </xf>
    <xf borderId="0" fillId="0" fontId="3" numFmtId="2" xfId="0" applyFont="1" applyNumberFormat="1"/>
    <xf borderId="0" fillId="0" fontId="3" numFmtId="1" xfId="0" applyFont="1" applyNumberFormat="1"/>
    <xf borderId="0" fillId="0" fontId="6" numFmtId="1" xfId="0" applyAlignment="1" applyFont="1" applyNumberFormat="1">
      <alignment horizontal="right" shrinkToFit="0" vertical="bottom" wrapText="1"/>
    </xf>
    <xf borderId="0" fillId="6" fontId="17" numFmtId="164" xfId="0" applyAlignment="1" applyFont="1" applyNumberFormat="1">
      <alignment readingOrder="0"/>
    </xf>
    <xf borderId="0" fillId="0" fontId="3" numFmtId="164" xfId="0" applyAlignment="1" applyFont="1" applyNumberFormat="1">
      <alignment readingOrder="0"/>
    </xf>
    <xf borderId="0" fillId="0" fontId="3" numFmtId="164" xfId="0" applyFont="1" applyNumberFormat="1"/>
    <xf borderId="0" fillId="0" fontId="3" numFmtId="164" xfId="0" applyFont="1" applyNumberFormat="1"/>
    <xf borderId="0" fillId="0" fontId="19" numFmtId="0" xfId="0" applyAlignment="1" applyFont="1">
      <alignment vertical="bottom"/>
    </xf>
    <xf borderId="0" fillId="0" fontId="19" numFmtId="1" xfId="0" applyAlignment="1" applyFont="1" applyNumberFormat="1">
      <alignment shrinkToFit="0" vertical="bottom" wrapText="1"/>
    </xf>
    <xf borderId="0" fillId="0" fontId="6" numFmtId="0" xfId="0" applyAlignment="1" applyFont="1">
      <alignment horizontal="right" vertical="bottom"/>
    </xf>
    <xf borderId="0" fillId="0" fontId="6" numFmtId="3" xfId="0" applyAlignment="1" applyFont="1" applyNumberFormat="1">
      <alignment horizontal="right" vertical="bottom"/>
    </xf>
    <xf borderId="0" fillId="0" fontId="3" numFmtId="10" xfId="0" applyFont="1" applyNumberFormat="1"/>
    <xf borderId="0" fillId="0" fontId="6" numFmtId="3" xfId="0" applyAlignment="1" applyFont="1" applyNumberFormat="1">
      <alignment vertical="bottom"/>
    </xf>
    <xf borderId="0" fillId="0" fontId="2" numFmtId="3" xfId="0" applyFont="1" applyNumberFormat="1"/>
    <xf borderId="0" fillId="0" fontId="2" numFmtId="10" xfId="0" applyFont="1" applyNumberForma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3">
    <tableStyle count="3" pivot="0" name="Livestock production-style">
      <tableStyleElement dxfId="1" type="headerRow"/>
      <tableStyleElement dxfId="2" type="firstRowStripe"/>
      <tableStyleElement dxfId="3" type="secondRowStripe"/>
    </tableStyle>
    <tableStyle count="2" pivot="0" name="Adjusted high-innovation scenar-style">
      <tableStyleElement dxfId="2" type="firstRowStripe"/>
      <tableStyleElement dxfId="3" type="secondRowStripe"/>
    </tableStyle>
    <tableStyle count="2" pivot="0" name="GFIs spending-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'Livestock production'!$B$5</c:f>
            </c:strRef>
          </c:tx>
          <c:spPr>
            <a:ln cmpd="sng">
              <a:solidFill>
                <a:srgbClr val="4285F4"/>
              </a:solidFill>
            </a:ln>
          </c:spPr>
          <c:marker>
            <c:symbol val="none"/>
          </c:marker>
          <c:cat>
            <c:strRef>
              <c:f>'Livestock production'!$A$6:$A$36</c:f>
            </c:strRef>
          </c:cat>
          <c:val>
            <c:numRef>
              <c:f>'Livestock production'!$B$6:$B$36</c:f>
              <c:numCache/>
            </c:numRef>
          </c:val>
          <c:smooth val="0"/>
        </c:ser>
        <c:ser>
          <c:idx val="1"/>
          <c:order val="1"/>
          <c:tx>
            <c:strRef>
              <c:f>'Livestock production'!$C$5</c:f>
            </c:strRef>
          </c:tx>
          <c:spPr>
            <a:ln cmpd="sng">
              <a:solidFill>
                <a:srgbClr val="EA4335"/>
              </a:solidFill>
              <a:prstDash val="lgDash"/>
            </a:ln>
          </c:spPr>
          <c:marker>
            <c:symbol val="none"/>
          </c:marker>
          <c:cat>
            <c:strRef>
              <c:f>'Livestock production'!$A$6:$A$36</c:f>
            </c:strRef>
          </c:cat>
          <c:val>
            <c:numRef>
              <c:f>'Livestock production'!$C$6:$C$36</c:f>
              <c:numCache/>
            </c:numRef>
          </c:val>
          <c:smooth val="0"/>
        </c:ser>
        <c:ser>
          <c:idx val="2"/>
          <c:order val="2"/>
          <c:tx>
            <c:strRef>
              <c:f>'Livestock production'!$D$5</c:f>
            </c:strRef>
          </c:tx>
          <c:spPr>
            <a:ln cmpd="sng">
              <a:solidFill>
                <a:srgbClr val="FBBC04"/>
              </a:solidFill>
              <a:prstDash val="lgDashDot"/>
            </a:ln>
          </c:spPr>
          <c:marker>
            <c:symbol val="none"/>
          </c:marker>
          <c:cat>
            <c:strRef>
              <c:f>'Livestock production'!$A$6:$A$36</c:f>
            </c:strRef>
          </c:cat>
          <c:val>
            <c:numRef>
              <c:f>'Livestock production'!$D$6:$D$36</c:f>
              <c:numCache/>
            </c:numRef>
          </c:val>
          <c:smooth val="0"/>
        </c:ser>
        <c:ser>
          <c:idx val="3"/>
          <c:order val="3"/>
          <c:tx>
            <c:strRef>
              <c:f>'Livestock production'!$E$5</c:f>
            </c:strRef>
          </c:tx>
          <c:spPr>
            <a:ln cmpd="sng">
              <a:solidFill>
                <a:srgbClr val="34A853"/>
              </a:solidFill>
              <a:prstDash val="sysDot"/>
            </a:ln>
          </c:spPr>
          <c:marker>
            <c:symbol val="none"/>
          </c:marker>
          <c:cat>
            <c:strRef>
              <c:f>'Livestock production'!$A$6:$A$36</c:f>
            </c:strRef>
          </c:cat>
          <c:val>
            <c:numRef>
              <c:f>'Livestock production'!$E$6:$E$36</c:f>
              <c:numCache/>
            </c:numRef>
          </c:val>
          <c:smooth val="0"/>
        </c:ser>
        <c:axId val="1550353552"/>
        <c:axId val="1143882074"/>
      </c:lineChart>
      <c:catAx>
        <c:axId val="15503535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143882074"/>
      </c:catAx>
      <c:valAx>
        <c:axId val="11438820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Livestock production (Mt/yr)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0353552"/>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257175</xdr:colOff>
      <xdr:row>2</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9:C42" displayName="Table_1" name="Table_1" id="1">
  <tableColumns count="3">
    <tableColumn name="Column1" id="1"/>
    <tableColumn name="Column2" id="2"/>
    <tableColumn name="Column3" id="3"/>
  </tableColumns>
  <tableStyleInfo name="Livestock productio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5:I25"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djusted high-innovation scenar-style" showColumnStripes="0" showFirstColumn="1" showLastColumn="1" showRowStripes="1"/>
</table>
</file>

<file path=xl/tables/table3.xml><?xml version="1.0" encoding="utf-8"?>
<table xmlns="http://schemas.openxmlformats.org/spreadsheetml/2006/main" headerRowCount="0" ref="A5:C11" displayName="Table_3" name="Table_3" id="3">
  <tableColumns count="3">
    <tableColumn name="Column1" id="1"/>
    <tableColumn name="Column2" id="2"/>
    <tableColumn name="Column3" id="3"/>
  </tableColumns>
  <tableStyleInfo name="GFIs spend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Sq3416O2-GlYxuT883DM4-TkuD55jGEQdgq_cZTGooA/edit?gid=0" TargetMode="External"/><Relationship Id="rId3" Type="http://schemas.openxmlformats.org/officeDocument/2006/relationships/hyperlink" Target="https://osf.io/dkst3" TargetMode="External"/><Relationship Id="rId4" Type="http://schemas.openxmlformats.org/officeDocument/2006/relationships/hyperlink" Target="https://osf.io/dkst3"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ocs.google.com/spreadsheets/d/1_q1jrOiOSs6BNohV5wq5wFrBor1NSkv19AuvV69lPtI/edit?gid=1626888811" TargetMode="External"/><Relationship Id="rId5" Type="http://schemas.openxmlformats.org/officeDocument/2006/relationships/hyperlink" Target="https://osf.io/dkst3" TargetMode="External"/><Relationship Id="rId6" Type="http://schemas.openxmlformats.org/officeDocument/2006/relationships/hyperlink" Target="https://docs.google.com/spreadsheets/d/1_q1jrOiOSs6BNohV5wq5wFrBor1NSkv19AuvV69lPtI/edit?gid=1626888811" TargetMode="External"/><Relationship Id="rId7" Type="http://schemas.openxmlformats.org/officeDocument/2006/relationships/hyperlink" Target="https://docs.google.com/spreadsheets/d/1_q1jrOiOSs6BNohV5wq5wFrBor1NSkv19AuvV69lPtI/edit?gid=1626888811" TargetMode="External"/><Relationship Id="rId8" Type="http://schemas.openxmlformats.org/officeDocument/2006/relationships/hyperlink" Target="https://docs.google.com/spreadsheets/d/1_q1jrOiOSs6BNohV5wq5wFrBor1NSkv19AuvV69lPtI/edit?gid=162688881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climateworks.org/wp-content/uploads/2021/11/GINAs-Protein-Diversity.pdf" TargetMode="External"/><Relationship Id="rId10" Type="http://schemas.openxmlformats.org/officeDocument/2006/relationships/hyperlink" Target="https://docs.google.com/spreadsheets/d/1_q1jrOiOSs6BNohV5wq5wFrBor1NSkv19AuvV69lPtI/edit?gid=1626888811" TargetMode="External"/><Relationship Id="rId13" Type="http://schemas.openxmlformats.org/officeDocument/2006/relationships/hyperlink" Target="https://www.sciencedirect.com/science/article/abs/pii/S0378426615001533" TargetMode="External"/><Relationship Id="rId12" Type="http://schemas.openxmlformats.org/officeDocument/2006/relationships/hyperlink" Target="https://www.climateworks.org/wp-content/uploads/2021/11/GINAs-Protein-Diversity.pdf" TargetMode="External"/><Relationship Id="rId1" Type="http://schemas.openxmlformats.org/officeDocument/2006/relationships/comments" Target="../comments2.xml"/><Relationship Id="rId2" Type="http://schemas.openxmlformats.org/officeDocument/2006/relationships/hyperlink" Target="https://docs.google.com/spreadsheets/d/1Sq3416O2-GlYxuT883DM4-TkuD55jGEQdgq_cZTGooA/edit?gid=0" TargetMode="External"/><Relationship Id="rId3" Type="http://schemas.openxmlformats.org/officeDocument/2006/relationships/hyperlink" Target="https://gfi.org/wp-content/uploads/2024/11/GFI-2023-990.pdf" TargetMode="External"/><Relationship Id="rId4" Type="http://schemas.openxmlformats.org/officeDocument/2006/relationships/hyperlink" Target="https://osf.io/dkst3" TargetMode="External"/><Relationship Id="rId9" Type="http://schemas.openxmlformats.org/officeDocument/2006/relationships/hyperlink" Target="https://docs.google.com/spreadsheets/d/1_q1jrOiOSs6BNohV5wq5wFrBor1NSkv19AuvV69lPtI/edit?gid=1626888811" TargetMode="External"/><Relationship Id="rId15" Type="http://schemas.openxmlformats.org/officeDocument/2006/relationships/vmlDrawing" Target="../drawings/vmlDrawing2.vml"/><Relationship Id="rId14" Type="http://schemas.openxmlformats.org/officeDocument/2006/relationships/drawing" Target="../drawings/drawing3.xml"/><Relationship Id="rId5" Type="http://schemas.openxmlformats.org/officeDocument/2006/relationships/hyperlink" Target="https://osf.io/dkst3" TargetMode="External"/><Relationship Id="rId6" Type="http://schemas.openxmlformats.org/officeDocument/2006/relationships/hyperlink" Target="https://osf.io/dkst3" TargetMode="External"/><Relationship Id="rId7" Type="http://schemas.openxmlformats.org/officeDocument/2006/relationships/hyperlink" Target="https://docs.google.com/spreadsheets/d/1_q1jrOiOSs6BNohV5wq5wFrBor1NSkv19AuvV69lPtI/edit?gid=1626888811" TargetMode="External"/><Relationship Id="rId8" Type="http://schemas.openxmlformats.org/officeDocument/2006/relationships/hyperlink" Target="https://docs.google.com/spreadsheets/d/1_q1jrOiOSs6BNohV5wq5wFrBor1NSkv19AuvV69lPtI/edit?gid=1626888811"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 Id="rId5"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hyperlink" Target="https://ourworldindata.org/meat-production"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38"/>
    <col customWidth="1" min="2" max="2" width="16.5"/>
    <col customWidth="1" min="3" max="3" width="58.13"/>
  </cols>
  <sheetData>
    <row r="1">
      <c r="A1" s="1" t="s">
        <v>0</v>
      </c>
      <c r="D1" s="2"/>
      <c r="E1" s="2"/>
    </row>
    <row r="2">
      <c r="A2" s="3"/>
      <c r="B2" s="4" t="s">
        <v>1</v>
      </c>
      <c r="C2" s="5" t="s">
        <v>2</v>
      </c>
      <c r="D2" s="6" t="s">
        <v>3</v>
      </c>
    </row>
    <row r="3">
      <c r="A3" s="7" t="s">
        <v>4</v>
      </c>
      <c r="B3" s="8"/>
      <c r="C3" s="9"/>
      <c r="D3" s="10"/>
      <c r="E3" s="10"/>
      <c r="F3" s="10"/>
      <c r="G3" s="10"/>
      <c r="H3" s="10"/>
      <c r="I3" s="10"/>
      <c r="J3" s="10"/>
      <c r="K3" s="10"/>
      <c r="L3" s="10"/>
      <c r="M3" s="10"/>
      <c r="N3" s="10"/>
      <c r="O3" s="10"/>
      <c r="P3" s="10"/>
      <c r="Q3" s="10"/>
      <c r="R3" s="10"/>
      <c r="S3" s="10"/>
      <c r="T3" s="10"/>
      <c r="U3" s="10"/>
      <c r="V3" s="10"/>
      <c r="W3" s="10"/>
      <c r="X3" s="10"/>
    </row>
    <row r="4">
      <c r="A4" s="3" t="s">
        <v>5</v>
      </c>
      <c r="B4" s="11">
        <f>sum('GFIs spending'!B5:B11)</f>
        <v>101130900</v>
      </c>
      <c r="C4" s="12" t="s">
        <v>6</v>
      </c>
      <c r="D4" s="3" t="s">
        <v>7</v>
      </c>
    </row>
    <row r="5">
      <c r="A5" s="3"/>
      <c r="B5" s="13"/>
      <c r="C5" s="12"/>
      <c r="D5" s="3"/>
    </row>
    <row r="6">
      <c r="A6" s="14" t="s">
        <v>8</v>
      </c>
      <c r="B6" s="15"/>
      <c r="C6" s="9"/>
      <c r="D6" s="16"/>
      <c r="E6" s="10"/>
      <c r="F6" s="10"/>
      <c r="G6" s="10"/>
      <c r="H6" s="10"/>
      <c r="I6" s="10"/>
      <c r="J6" s="10"/>
      <c r="K6" s="10"/>
      <c r="L6" s="10"/>
      <c r="M6" s="10"/>
      <c r="N6" s="10"/>
      <c r="O6" s="10"/>
      <c r="P6" s="10"/>
      <c r="Q6" s="10"/>
      <c r="R6" s="10"/>
      <c r="S6" s="10"/>
      <c r="T6" s="10"/>
      <c r="U6" s="10"/>
      <c r="V6" s="10"/>
      <c r="W6" s="10"/>
      <c r="X6" s="10"/>
    </row>
    <row r="7">
      <c r="A7" s="12" t="s">
        <v>9</v>
      </c>
      <c r="B7" s="17">
        <f>AVERAGE(5%,20%)</f>
        <v>0.125</v>
      </c>
      <c r="C7" s="12" t="s">
        <v>10</v>
      </c>
    </row>
    <row r="8">
      <c r="A8" s="12" t="s">
        <v>11</v>
      </c>
      <c r="B8" s="18">
        <f>AVERAGE(0.5%,2.5%)</f>
        <v>0.015</v>
      </c>
      <c r="C8" s="12" t="s">
        <v>12</v>
      </c>
    </row>
    <row r="9">
      <c r="A9" s="12" t="s">
        <v>13</v>
      </c>
      <c r="B9" s="19">
        <f>B7*B8</f>
        <v>0.001875</v>
      </c>
      <c r="C9" s="20" t="s">
        <v>14</v>
      </c>
    </row>
    <row r="10">
      <c r="A10" s="12" t="s">
        <v>15</v>
      </c>
      <c r="B10" s="21">
        <v>1.0</v>
      </c>
      <c r="C10" s="20" t="s">
        <v>16</v>
      </c>
    </row>
    <row r="11">
      <c r="A11" s="3"/>
      <c r="B11" s="13"/>
      <c r="C11" s="12"/>
      <c r="D11" s="3"/>
    </row>
    <row r="12">
      <c r="A12" s="7" t="s">
        <v>17</v>
      </c>
      <c r="B12" s="16" t="s">
        <v>18</v>
      </c>
      <c r="C12" s="22"/>
      <c r="D12" s="10"/>
      <c r="E12" s="10"/>
      <c r="F12" s="10"/>
      <c r="G12" s="10"/>
      <c r="H12" s="10"/>
      <c r="I12" s="10"/>
      <c r="J12" s="10"/>
      <c r="K12" s="10"/>
      <c r="L12" s="10"/>
      <c r="M12" s="10"/>
      <c r="N12" s="10"/>
      <c r="O12" s="10"/>
      <c r="P12" s="10"/>
      <c r="Q12" s="10"/>
      <c r="R12" s="10"/>
      <c r="S12" s="10"/>
      <c r="T12" s="10"/>
      <c r="U12" s="10"/>
      <c r="V12" s="10"/>
      <c r="W12" s="10"/>
      <c r="X12" s="10"/>
    </row>
    <row r="13">
      <c r="A13" s="12" t="s">
        <v>19</v>
      </c>
      <c r="B13" s="21">
        <v>15.0</v>
      </c>
      <c r="C13" s="12" t="s">
        <v>16</v>
      </c>
      <c r="D13" s="3" t="s">
        <v>7</v>
      </c>
    </row>
    <row r="14">
      <c r="A14" s="12" t="s">
        <v>20</v>
      </c>
      <c r="B14" s="23">
        <f t="array" ref="B14">NPV(0.014,'Livestock production'!F8:F21)</f>
        <v>378.3548188</v>
      </c>
      <c r="C14" s="12" t="s">
        <v>14</v>
      </c>
      <c r="D14" s="3" t="s">
        <v>7</v>
      </c>
    </row>
    <row r="15">
      <c r="A15" s="12"/>
      <c r="B15" s="24"/>
      <c r="C15" s="12"/>
      <c r="D15" s="3"/>
    </row>
    <row r="16">
      <c r="A16" s="25" t="s">
        <v>21</v>
      </c>
      <c r="B16" s="26"/>
      <c r="C16" s="9"/>
      <c r="D16" s="16"/>
      <c r="E16" s="10"/>
      <c r="F16" s="10"/>
      <c r="G16" s="10"/>
      <c r="H16" s="10"/>
      <c r="I16" s="10"/>
      <c r="J16" s="10"/>
      <c r="K16" s="10"/>
      <c r="L16" s="10"/>
      <c r="M16" s="10"/>
      <c r="N16" s="10"/>
      <c r="O16" s="10"/>
      <c r="P16" s="10"/>
      <c r="Q16" s="10"/>
      <c r="R16" s="10"/>
      <c r="S16" s="10"/>
      <c r="T16" s="10"/>
      <c r="U16" s="10"/>
      <c r="V16" s="10"/>
      <c r="W16" s="10"/>
      <c r="X16" s="10"/>
    </row>
    <row r="17">
      <c r="A17" s="27" t="s">
        <v>22</v>
      </c>
      <c r="B17" s="24"/>
      <c r="C17" s="12"/>
      <c r="D17" s="3"/>
    </row>
    <row r="18">
      <c r="A18" s="12" t="s">
        <v>23</v>
      </c>
      <c r="B18" s="28" t="str">
        <f>'Land animal numbers'!L201</f>
        <v>#REF!</v>
      </c>
      <c r="C18" s="3" t="s">
        <v>24</v>
      </c>
      <c r="D18" s="29" t="s">
        <v>25</v>
      </c>
    </row>
    <row r="19">
      <c r="A19" s="12" t="s">
        <v>26</v>
      </c>
      <c r="B19" s="28" t="str">
        <f>'Land animal numbers'!K201</f>
        <v>#REF!</v>
      </c>
      <c r="C19" s="3" t="s">
        <v>24</v>
      </c>
      <c r="D19" s="29" t="s">
        <v>25</v>
      </c>
    </row>
    <row r="20">
      <c r="A20" s="12" t="s">
        <v>27</v>
      </c>
      <c r="B20" s="28" t="str">
        <f>'Land animal numbers'!R201</f>
        <v>#REF!</v>
      </c>
      <c r="C20" s="3" t="s">
        <v>24</v>
      </c>
      <c r="D20" s="29" t="s">
        <v>25</v>
      </c>
    </row>
    <row r="21">
      <c r="A21" s="12" t="s">
        <v>28</v>
      </c>
      <c r="B21" s="28" t="str">
        <f>'Land animal numbers'!S201</f>
        <v>#REF!</v>
      </c>
      <c r="C21" s="3" t="s">
        <v>24</v>
      </c>
      <c r="D21" s="29" t="s">
        <v>25</v>
      </c>
    </row>
    <row r="22">
      <c r="A22" s="12" t="s">
        <v>29</v>
      </c>
      <c r="B22" s="30" t="str">
        <f t="shared" ref="B22:B25" si="1">$B$14*B18</f>
        <v>#REF!</v>
      </c>
      <c r="C22" s="12" t="s">
        <v>14</v>
      </c>
      <c r="D22" s="3" t="s">
        <v>30</v>
      </c>
    </row>
    <row r="23">
      <c r="A23" s="12" t="s">
        <v>31</v>
      </c>
      <c r="B23" s="30" t="str">
        <f t="shared" si="1"/>
        <v>#REF!</v>
      </c>
      <c r="C23" s="12" t="s">
        <v>14</v>
      </c>
      <c r="D23" s="3" t="s">
        <v>30</v>
      </c>
    </row>
    <row r="24">
      <c r="A24" s="12" t="s">
        <v>32</v>
      </c>
      <c r="B24" s="30" t="str">
        <f t="shared" si="1"/>
        <v>#REF!</v>
      </c>
      <c r="C24" s="12" t="s">
        <v>14</v>
      </c>
      <c r="D24" s="3" t="s">
        <v>30</v>
      </c>
    </row>
    <row r="25">
      <c r="A25" s="12" t="s">
        <v>33</v>
      </c>
      <c r="B25" s="30" t="str">
        <f t="shared" si="1"/>
        <v>#REF!</v>
      </c>
      <c r="C25" s="12" t="s">
        <v>14</v>
      </c>
      <c r="D25" s="3" t="s">
        <v>30</v>
      </c>
    </row>
    <row r="26">
      <c r="A26" s="12" t="s">
        <v>34</v>
      </c>
      <c r="B26" s="31">
        <v>0.002744</v>
      </c>
      <c r="C26" s="12" t="s">
        <v>35</v>
      </c>
      <c r="D26" s="32" t="s">
        <v>36</v>
      </c>
    </row>
    <row r="27">
      <c r="A27" s="12" t="s">
        <v>37</v>
      </c>
      <c r="B27" s="31">
        <v>0.010401</v>
      </c>
      <c r="C27" s="12" t="s">
        <v>35</v>
      </c>
      <c r="D27" s="32" t="s">
        <v>36</v>
      </c>
    </row>
    <row r="28">
      <c r="A28" s="12" t="s">
        <v>38</v>
      </c>
      <c r="B28" s="31">
        <v>0.57586</v>
      </c>
      <c r="C28" s="12" t="s">
        <v>39</v>
      </c>
      <c r="D28" s="32" t="s">
        <v>36</v>
      </c>
    </row>
    <row r="29">
      <c r="A29" s="12" t="s">
        <v>40</v>
      </c>
      <c r="B29" s="33">
        <f>AVERAGE(B26:B27)</f>
        <v>0.0065725</v>
      </c>
      <c r="C29" s="12" t="s">
        <v>41</v>
      </c>
      <c r="D29" s="3" t="s">
        <v>30</v>
      </c>
    </row>
    <row r="30">
      <c r="A30" s="12" t="s">
        <v>42</v>
      </c>
      <c r="B30" s="34" t="str">
        <f t="shared" ref="B30:B33" si="2">B22*1000000000*B26</f>
        <v>#REF!</v>
      </c>
      <c r="C30" s="12" t="s">
        <v>14</v>
      </c>
      <c r="D30" s="3" t="s">
        <v>30</v>
      </c>
    </row>
    <row r="31">
      <c r="A31" s="12" t="s">
        <v>43</v>
      </c>
      <c r="B31" s="34" t="str">
        <f t="shared" si="2"/>
        <v>#REF!</v>
      </c>
      <c r="C31" s="12" t="s">
        <v>14</v>
      </c>
      <c r="D31" s="3" t="s">
        <v>30</v>
      </c>
    </row>
    <row r="32">
      <c r="A32" s="12" t="s">
        <v>44</v>
      </c>
      <c r="B32" s="34" t="str">
        <f t="shared" si="2"/>
        <v>#REF!</v>
      </c>
      <c r="C32" s="12" t="s">
        <v>14</v>
      </c>
      <c r="D32" s="3" t="s">
        <v>30</v>
      </c>
    </row>
    <row r="33">
      <c r="A33" s="12" t="s">
        <v>45</v>
      </c>
      <c r="B33" s="34" t="str">
        <f t="shared" si="2"/>
        <v>#REF!</v>
      </c>
      <c r="C33" s="12" t="s">
        <v>14</v>
      </c>
      <c r="D33" s="3" t="s">
        <v>30</v>
      </c>
    </row>
    <row r="34">
      <c r="A34" s="27" t="s">
        <v>46</v>
      </c>
      <c r="B34" s="35"/>
      <c r="C34" s="12"/>
      <c r="D34" s="3"/>
    </row>
    <row r="35">
      <c r="A35" s="12" t="s">
        <v>47</v>
      </c>
      <c r="B35" s="36">
        <v>21.9</v>
      </c>
      <c r="C35" s="12" t="s">
        <v>48</v>
      </c>
      <c r="D35" s="32" t="s">
        <v>49</v>
      </c>
    </row>
    <row r="36">
      <c r="A36" s="12" t="s">
        <v>50</v>
      </c>
      <c r="B36" s="36">
        <v>9.0</v>
      </c>
      <c r="C36" s="12" t="s">
        <v>51</v>
      </c>
      <c r="D36" s="32" t="s">
        <v>49</v>
      </c>
    </row>
    <row r="37">
      <c r="A37" s="12" t="s">
        <v>52</v>
      </c>
      <c r="B37" s="36">
        <v>1.5</v>
      </c>
      <c r="C37" s="12" t="s">
        <v>53</v>
      </c>
      <c r="D37" s="32" t="s">
        <v>49</v>
      </c>
    </row>
    <row r="38">
      <c r="A38" s="12" t="s">
        <v>54</v>
      </c>
      <c r="B38" s="36">
        <v>2.5</v>
      </c>
      <c r="C38" s="12" t="s">
        <v>48</v>
      </c>
      <c r="D38" s="32" t="s">
        <v>49</v>
      </c>
    </row>
    <row r="39">
      <c r="A39" s="12" t="s">
        <v>55</v>
      </c>
      <c r="B39" s="34" t="str">
        <f t="shared" ref="B39:B42" si="3">B30*B35</f>
        <v>#REF!</v>
      </c>
      <c r="C39" s="12" t="s">
        <v>14</v>
      </c>
      <c r="D39" s="3" t="s">
        <v>30</v>
      </c>
    </row>
    <row r="40">
      <c r="A40" s="12" t="s">
        <v>56</v>
      </c>
      <c r="B40" s="34" t="str">
        <f t="shared" si="3"/>
        <v>#REF!</v>
      </c>
      <c r="C40" s="12" t="s">
        <v>14</v>
      </c>
      <c r="D40" s="3" t="s">
        <v>30</v>
      </c>
    </row>
    <row r="41">
      <c r="A41" s="12" t="s">
        <v>57</v>
      </c>
      <c r="B41" s="34" t="str">
        <f t="shared" si="3"/>
        <v>#REF!</v>
      </c>
      <c r="C41" s="12" t="s">
        <v>14</v>
      </c>
      <c r="D41" s="3" t="s">
        <v>30</v>
      </c>
    </row>
    <row r="42">
      <c r="A42" s="12" t="s">
        <v>58</v>
      </c>
      <c r="B42" s="34" t="str">
        <f t="shared" si="3"/>
        <v>#REF!</v>
      </c>
      <c r="C42" s="12" t="s">
        <v>14</v>
      </c>
      <c r="D42" s="3" t="s">
        <v>30</v>
      </c>
    </row>
    <row r="43">
      <c r="A43" s="12" t="s">
        <v>59</v>
      </c>
      <c r="B43" s="34" t="str">
        <f>SUM(B39:B42)*B9</f>
        <v>#REF!</v>
      </c>
      <c r="C43" s="12" t="s">
        <v>14</v>
      </c>
      <c r="D43" s="3" t="s">
        <v>30</v>
      </c>
    </row>
    <row r="44">
      <c r="A44" s="12"/>
      <c r="B44" s="24"/>
      <c r="C44" s="12"/>
      <c r="D44" s="3"/>
    </row>
    <row r="45">
      <c r="A45" s="25" t="s">
        <v>60</v>
      </c>
      <c r="B45" s="26"/>
      <c r="C45" s="9"/>
      <c r="D45" s="16"/>
      <c r="E45" s="10"/>
      <c r="F45" s="10"/>
      <c r="G45" s="10"/>
      <c r="H45" s="10"/>
      <c r="I45" s="10"/>
      <c r="J45" s="10"/>
      <c r="K45" s="10"/>
      <c r="L45" s="10"/>
      <c r="M45" s="10"/>
      <c r="N45" s="10"/>
      <c r="O45" s="10"/>
      <c r="P45" s="10"/>
      <c r="Q45" s="10"/>
      <c r="R45" s="10"/>
      <c r="S45" s="10"/>
      <c r="T45" s="10"/>
      <c r="U45" s="10"/>
      <c r="V45" s="10"/>
      <c r="W45" s="10"/>
      <c r="X45" s="10"/>
    </row>
    <row r="46">
      <c r="A46" s="12" t="s">
        <v>61</v>
      </c>
      <c r="B46" s="30">
        <f>'Livestock production'!B42</f>
        <v>14015572.86</v>
      </c>
      <c r="C46" s="12" t="s">
        <v>14</v>
      </c>
      <c r="D46" s="3" t="s">
        <v>30</v>
      </c>
    </row>
    <row r="47">
      <c r="A47" s="12" t="s">
        <v>62</v>
      </c>
      <c r="B47" s="30">
        <f>B14*B46</f>
        <v>5302859529</v>
      </c>
      <c r="C47" s="12" t="s">
        <v>14</v>
      </c>
      <c r="D47" s="3" t="s">
        <v>30</v>
      </c>
    </row>
    <row r="48">
      <c r="A48" s="12" t="s">
        <v>63</v>
      </c>
      <c r="B48" s="30">
        <f>B9*B47*B10</f>
        <v>9942861.617</v>
      </c>
      <c r="C48" s="20" t="s">
        <v>14</v>
      </c>
      <c r="D48" s="3" t="s">
        <v>30</v>
      </c>
    </row>
    <row r="49">
      <c r="A49" s="12"/>
      <c r="B49" s="37"/>
      <c r="C49" s="20"/>
    </row>
    <row r="50">
      <c r="A50" s="7" t="s">
        <v>64</v>
      </c>
      <c r="B50" s="10"/>
      <c r="C50" s="10"/>
      <c r="D50" s="10"/>
      <c r="E50" s="10"/>
      <c r="F50" s="10"/>
      <c r="G50" s="10"/>
      <c r="H50" s="10"/>
      <c r="I50" s="10"/>
      <c r="J50" s="10"/>
      <c r="K50" s="10"/>
      <c r="L50" s="10"/>
      <c r="M50" s="10"/>
      <c r="N50" s="10"/>
      <c r="O50" s="10"/>
      <c r="P50" s="10"/>
      <c r="Q50" s="10"/>
      <c r="R50" s="10"/>
      <c r="S50" s="10"/>
      <c r="T50" s="10"/>
      <c r="U50" s="10"/>
      <c r="V50" s="10"/>
      <c r="W50" s="10"/>
      <c r="X50" s="10"/>
    </row>
    <row r="51">
      <c r="A51" s="3" t="s">
        <v>65</v>
      </c>
      <c r="B51" s="38">
        <f>$B$4/B48</f>
        <v>10.17120663</v>
      </c>
      <c r="C51" s="20" t="s">
        <v>14</v>
      </c>
      <c r="D51" s="3" t="s">
        <v>30</v>
      </c>
    </row>
    <row r="52">
      <c r="A52" s="3" t="s">
        <v>66</v>
      </c>
      <c r="B52" s="23" t="str">
        <f>B43/B4</f>
        <v>#REF!</v>
      </c>
      <c r="C52" s="20" t="s">
        <v>14</v>
      </c>
      <c r="D52" s="3" t="s">
        <v>30</v>
      </c>
    </row>
  </sheetData>
  <mergeCells count="1">
    <mergeCell ref="A1:C1"/>
  </mergeCells>
  <hyperlinks>
    <hyperlink r:id="rId2" location="gid=0" ref="A1"/>
    <hyperlink r:id="rId3" ref="D26"/>
    <hyperlink r:id="rId4" ref="D27"/>
    <hyperlink r:id="rId5" ref="D28"/>
    <hyperlink r:id="rId6" location="gid=1626888811" ref="D35"/>
    <hyperlink r:id="rId7" location="gid=1626888811" ref="D36"/>
    <hyperlink r:id="rId8" location="gid=1626888811" ref="D37"/>
    <hyperlink r:id="rId9" location="gid=1626888811" ref="D38"/>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39.0" customHeight="1">
      <c r="A1" s="39" t="s">
        <v>67</v>
      </c>
      <c r="B1" s="40"/>
      <c r="C1" s="40"/>
      <c r="D1" s="40"/>
      <c r="E1" s="40"/>
      <c r="F1" s="40"/>
      <c r="G1" s="40"/>
      <c r="H1" s="40"/>
      <c r="I1" s="40"/>
      <c r="J1" s="40"/>
      <c r="K1" s="40"/>
      <c r="L1" s="40"/>
      <c r="M1" s="40"/>
      <c r="N1" s="40"/>
      <c r="O1" s="40"/>
      <c r="P1" s="40"/>
      <c r="Q1" s="40"/>
      <c r="R1" s="40"/>
      <c r="S1" s="40"/>
      <c r="T1" s="40"/>
      <c r="U1" s="40"/>
      <c r="V1" s="40"/>
      <c r="W1" s="40"/>
      <c r="X1" s="40"/>
      <c r="Y1" s="40"/>
      <c r="Z1" s="40"/>
    </row>
    <row r="2">
      <c r="A2" s="41" t="s">
        <v>68</v>
      </c>
    </row>
    <row r="3">
      <c r="A3" s="3"/>
    </row>
  </sheetData>
  <hyperlinks>
    <hyperlink display="Main CEA tab is an adaptation of Giving Green (2022) CEA, Livestock production, adjusted high-innovation scenario, and GFI's spending are lifted from Giving Green - all errors our own. " location="'Main CEA'!A1" ref="A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38"/>
    <col customWidth="1" min="2" max="2" width="16.5"/>
    <col customWidth="1" min="3" max="3" width="58.13"/>
    <col customWidth="1" min="4" max="4" width="52.0"/>
    <col customWidth="1" min="5" max="5" width="27.63"/>
  </cols>
  <sheetData>
    <row r="1">
      <c r="A1" s="1" t="s">
        <v>69</v>
      </c>
      <c r="E1" s="2"/>
    </row>
    <row r="2">
      <c r="A2" s="42"/>
      <c r="B2" s="43" t="s">
        <v>1</v>
      </c>
      <c r="C2" s="44" t="s">
        <v>2</v>
      </c>
      <c r="D2" s="45" t="s">
        <v>3</v>
      </c>
      <c r="E2" s="46"/>
      <c r="F2" s="46"/>
      <c r="G2" s="46"/>
      <c r="H2" s="46"/>
      <c r="I2" s="46"/>
      <c r="J2" s="46"/>
      <c r="K2" s="46"/>
      <c r="L2" s="46"/>
      <c r="M2" s="46"/>
      <c r="N2" s="46"/>
      <c r="O2" s="46"/>
      <c r="P2" s="46"/>
      <c r="Q2" s="46"/>
      <c r="R2" s="46"/>
      <c r="S2" s="46"/>
      <c r="T2" s="46"/>
      <c r="U2" s="46"/>
      <c r="V2" s="46"/>
      <c r="W2" s="46"/>
      <c r="X2" s="46"/>
    </row>
    <row r="3">
      <c r="A3" s="7" t="s">
        <v>4</v>
      </c>
      <c r="B3" s="8"/>
      <c r="C3" s="9"/>
      <c r="D3" s="10"/>
      <c r="E3" s="10"/>
      <c r="F3" s="10"/>
      <c r="G3" s="10"/>
      <c r="H3" s="10"/>
      <c r="I3" s="10"/>
      <c r="J3" s="10"/>
      <c r="K3" s="10"/>
      <c r="L3" s="10"/>
      <c r="M3" s="10"/>
      <c r="N3" s="10"/>
      <c r="O3" s="10"/>
      <c r="P3" s="10"/>
      <c r="Q3" s="10"/>
      <c r="R3" s="10"/>
      <c r="S3" s="10"/>
      <c r="T3" s="10"/>
      <c r="U3" s="10"/>
      <c r="V3" s="10"/>
      <c r="W3" s="10"/>
      <c r="X3" s="10"/>
    </row>
    <row r="4">
      <c r="A4" s="3" t="s">
        <v>5</v>
      </c>
      <c r="B4" s="11">
        <f>sum('GFIs spending'!B5:B11)</f>
        <v>101130900</v>
      </c>
      <c r="C4" s="12" t="s">
        <v>6</v>
      </c>
      <c r="D4" s="3" t="s">
        <v>7</v>
      </c>
    </row>
    <row r="5">
      <c r="A5" s="3" t="s">
        <v>70</v>
      </c>
      <c r="B5" s="47">
        <f>(3497823/31037374)</f>
        <v>0.1126971309</v>
      </c>
      <c r="C5" s="12" t="s">
        <v>71</v>
      </c>
      <c r="D5" s="48" t="s">
        <v>72</v>
      </c>
    </row>
    <row r="6">
      <c r="A6" s="3" t="s">
        <v>73</v>
      </c>
      <c r="B6" s="49">
        <f>B4*B5</f>
        <v>11397162.27</v>
      </c>
      <c r="C6" s="12" t="s">
        <v>14</v>
      </c>
      <c r="D6" s="3" t="s">
        <v>30</v>
      </c>
    </row>
    <row r="7">
      <c r="A7" s="3"/>
      <c r="B7" s="13"/>
      <c r="C7" s="12"/>
      <c r="D7" s="3"/>
    </row>
    <row r="8">
      <c r="A8" s="14" t="s">
        <v>8</v>
      </c>
      <c r="B8" s="15"/>
      <c r="C8" s="9"/>
      <c r="D8" s="16"/>
      <c r="E8" s="10"/>
      <c r="F8" s="10"/>
      <c r="G8" s="10"/>
      <c r="H8" s="10"/>
      <c r="I8" s="10"/>
      <c r="J8" s="10"/>
      <c r="K8" s="10"/>
      <c r="L8" s="10"/>
      <c r="M8" s="10"/>
      <c r="N8" s="10"/>
      <c r="O8" s="10"/>
      <c r="P8" s="10"/>
      <c r="Q8" s="10"/>
      <c r="R8" s="10"/>
      <c r="S8" s="10"/>
      <c r="T8" s="10"/>
      <c r="U8" s="10"/>
      <c r="V8" s="10"/>
      <c r="W8" s="10"/>
      <c r="X8" s="10"/>
    </row>
    <row r="9">
      <c r="A9" s="12" t="s">
        <v>9</v>
      </c>
      <c r="B9" s="18">
        <f>AVERAGE(5%,20%)</f>
        <v>0.125</v>
      </c>
      <c r="C9" s="12" t="s">
        <v>10</v>
      </c>
      <c r="D9" s="3" t="s">
        <v>7</v>
      </c>
    </row>
    <row r="10">
      <c r="A10" s="12" t="s">
        <v>11</v>
      </c>
      <c r="B10" s="18">
        <f>AVERAGE(0.5%,2.5%)</f>
        <v>0.015</v>
      </c>
      <c r="C10" s="12" t="s">
        <v>12</v>
      </c>
      <c r="D10" s="3" t="s">
        <v>7</v>
      </c>
    </row>
    <row r="11">
      <c r="A11" s="12" t="s">
        <v>13</v>
      </c>
      <c r="B11" s="19">
        <f>B9*B10</f>
        <v>0.001875</v>
      </c>
      <c r="C11" s="20" t="s">
        <v>14</v>
      </c>
      <c r="D11" s="3" t="s">
        <v>30</v>
      </c>
    </row>
    <row r="12">
      <c r="A12" s="12" t="s">
        <v>15</v>
      </c>
      <c r="B12" s="21">
        <v>1.0</v>
      </c>
      <c r="C12" s="20" t="s">
        <v>16</v>
      </c>
      <c r="D12" s="3" t="s">
        <v>7</v>
      </c>
    </row>
    <row r="13">
      <c r="A13" s="3"/>
      <c r="B13" s="13"/>
      <c r="C13" s="12"/>
      <c r="D13" s="3"/>
    </row>
    <row r="14">
      <c r="A14" s="7" t="s">
        <v>17</v>
      </c>
      <c r="B14" s="16" t="s">
        <v>18</v>
      </c>
      <c r="C14" s="22"/>
      <c r="D14" s="10"/>
      <c r="E14" s="10"/>
      <c r="F14" s="10"/>
      <c r="G14" s="10"/>
      <c r="H14" s="10"/>
      <c r="I14" s="10"/>
      <c r="J14" s="10"/>
      <c r="K14" s="10"/>
      <c r="L14" s="10"/>
      <c r="M14" s="10"/>
      <c r="N14" s="10"/>
      <c r="O14" s="10"/>
      <c r="P14" s="10"/>
      <c r="Q14" s="10"/>
      <c r="R14" s="10"/>
      <c r="S14" s="10"/>
      <c r="T14" s="10"/>
      <c r="U14" s="10"/>
      <c r="V14" s="10"/>
      <c r="W14" s="10"/>
      <c r="X14" s="10"/>
    </row>
    <row r="15">
      <c r="A15" s="12" t="s">
        <v>19</v>
      </c>
      <c r="B15" s="21">
        <v>15.0</v>
      </c>
      <c r="C15" s="12" t="s">
        <v>16</v>
      </c>
      <c r="D15" s="3" t="s">
        <v>7</v>
      </c>
    </row>
    <row r="16">
      <c r="A16" s="12" t="s">
        <v>20</v>
      </c>
      <c r="B16" s="23">
        <f t="array" ref="B16">NPV(0.014,'Livestock production'!F8:F21)</f>
        <v>378.3548188</v>
      </c>
      <c r="C16" s="12" t="s">
        <v>14</v>
      </c>
      <c r="D16" s="3" t="s">
        <v>7</v>
      </c>
    </row>
    <row r="17">
      <c r="A17" s="12"/>
      <c r="B17" s="24"/>
      <c r="C17" s="12"/>
      <c r="D17" s="3"/>
    </row>
    <row r="18">
      <c r="A18" s="25" t="s">
        <v>21</v>
      </c>
      <c r="B18" s="26"/>
      <c r="C18" s="9"/>
      <c r="D18" s="16"/>
      <c r="E18" s="10"/>
      <c r="F18" s="10"/>
      <c r="G18" s="10"/>
      <c r="H18" s="10"/>
      <c r="I18" s="10"/>
      <c r="J18" s="10"/>
      <c r="K18" s="10"/>
      <c r="L18" s="10"/>
      <c r="M18" s="10"/>
      <c r="N18" s="10"/>
      <c r="O18" s="10"/>
      <c r="P18" s="10"/>
      <c r="Q18" s="10"/>
      <c r="R18" s="10"/>
      <c r="S18" s="10"/>
      <c r="T18" s="10"/>
      <c r="U18" s="10"/>
      <c r="V18" s="10"/>
      <c r="W18" s="10"/>
      <c r="X18" s="10"/>
    </row>
    <row r="19">
      <c r="A19" s="27" t="s">
        <v>22</v>
      </c>
      <c r="B19" s="24"/>
      <c r="C19" s="12"/>
      <c r="D19" s="3"/>
    </row>
    <row r="20">
      <c r="A20" s="12" t="s">
        <v>23</v>
      </c>
      <c r="B20" s="28">
        <f>'Animal production data (tonnage'!J202</f>
        <v>0.2147436817</v>
      </c>
      <c r="C20" s="3" t="s">
        <v>74</v>
      </c>
      <c r="D20" s="50" t="s">
        <v>75</v>
      </c>
    </row>
    <row r="21">
      <c r="A21" s="12" t="s">
        <v>26</v>
      </c>
      <c r="B21" s="28">
        <f>'Animal production data (tonnage'!K202</f>
        <v>0.3376136903</v>
      </c>
      <c r="C21" s="3" t="s">
        <v>74</v>
      </c>
      <c r="D21" s="50" t="s">
        <v>76</v>
      </c>
    </row>
    <row r="22">
      <c r="A22" s="12" t="s">
        <v>27</v>
      </c>
      <c r="B22" s="28">
        <f>'Animal production data (tonnage'!L202</f>
        <v>0.3929012059</v>
      </c>
      <c r="C22" s="3" t="s">
        <v>74</v>
      </c>
      <c r="D22" s="50" t="s">
        <v>77</v>
      </c>
    </row>
    <row r="23">
      <c r="A23" s="12" t="s">
        <v>28</v>
      </c>
      <c r="B23" s="28">
        <f>'Animal production data (tonnage'!I202</f>
        <v>0.05474142213</v>
      </c>
      <c r="C23" s="3" t="s">
        <v>74</v>
      </c>
      <c r="D23" s="50" t="s">
        <v>78</v>
      </c>
    </row>
    <row r="24">
      <c r="A24" s="12" t="s">
        <v>29</v>
      </c>
      <c r="B24" s="30">
        <f t="shared" ref="B24:B27" si="1">$B$16*B20</f>
        <v>81.24930676</v>
      </c>
      <c r="C24" s="12" t="s">
        <v>14</v>
      </c>
      <c r="D24" s="3" t="s">
        <v>30</v>
      </c>
    </row>
    <row r="25">
      <c r="A25" s="12" t="s">
        <v>31</v>
      </c>
      <c r="B25" s="30">
        <f t="shared" si="1"/>
        <v>127.7377666</v>
      </c>
      <c r="C25" s="12" t="s">
        <v>14</v>
      </c>
      <c r="D25" s="3" t="s">
        <v>30</v>
      </c>
    </row>
    <row r="26">
      <c r="A26" s="12" t="s">
        <v>32</v>
      </c>
      <c r="B26" s="30">
        <f t="shared" si="1"/>
        <v>148.6560646</v>
      </c>
      <c r="C26" s="12" t="s">
        <v>14</v>
      </c>
      <c r="D26" s="3" t="s">
        <v>30</v>
      </c>
    </row>
    <row r="27">
      <c r="A27" s="12" t="s">
        <v>33</v>
      </c>
      <c r="B27" s="30">
        <f t="shared" si="1"/>
        <v>20.71168085</v>
      </c>
      <c r="C27" s="12" t="s">
        <v>14</v>
      </c>
      <c r="D27" s="3" t="s">
        <v>30</v>
      </c>
    </row>
    <row r="28">
      <c r="A28" s="12" t="s">
        <v>34</v>
      </c>
      <c r="B28" s="31">
        <v>0.002744</v>
      </c>
      <c r="C28" s="12" t="s">
        <v>35</v>
      </c>
      <c r="D28" s="32" t="s">
        <v>36</v>
      </c>
    </row>
    <row r="29">
      <c r="A29" s="12" t="s">
        <v>37</v>
      </c>
      <c r="B29" s="31">
        <v>0.010401</v>
      </c>
      <c r="C29" s="12" t="s">
        <v>35</v>
      </c>
      <c r="D29" s="32" t="s">
        <v>36</v>
      </c>
    </row>
    <row r="30">
      <c r="A30" s="12" t="s">
        <v>38</v>
      </c>
      <c r="B30" s="31">
        <v>0.57586</v>
      </c>
      <c r="C30" s="12" t="s">
        <v>39</v>
      </c>
      <c r="D30" s="32" t="s">
        <v>36</v>
      </c>
    </row>
    <row r="31">
      <c r="A31" s="12" t="s">
        <v>40</v>
      </c>
      <c r="B31" s="33">
        <f>AVERAGE(B28:B29)</f>
        <v>0.0065725</v>
      </c>
      <c r="C31" s="12" t="s">
        <v>41</v>
      </c>
      <c r="D31" s="3" t="s">
        <v>30</v>
      </c>
    </row>
    <row r="32">
      <c r="A32" s="12" t="s">
        <v>42</v>
      </c>
      <c r="B32" s="34">
        <f t="shared" ref="B32:B35" si="2">B24*1000000000*B28</f>
        <v>222948097.8</v>
      </c>
      <c r="C32" s="12" t="s">
        <v>14</v>
      </c>
      <c r="D32" s="3" t="s">
        <v>30</v>
      </c>
    </row>
    <row r="33">
      <c r="A33" s="12" t="s">
        <v>43</v>
      </c>
      <c r="B33" s="34">
        <f t="shared" si="2"/>
        <v>1328600511</v>
      </c>
      <c r="C33" s="12" t="s">
        <v>14</v>
      </c>
      <c r="D33" s="3" t="s">
        <v>30</v>
      </c>
      <c r="E33" s="37"/>
    </row>
    <row r="34">
      <c r="A34" s="12" t="s">
        <v>44</v>
      </c>
      <c r="B34" s="34">
        <f t="shared" si="2"/>
        <v>85605081334</v>
      </c>
      <c r="C34" s="12" t="s">
        <v>14</v>
      </c>
      <c r="D34" s="3" t="s">
        <v>30</v>
      </c>
    </row>
    <row r="35">
      <c r="A35" s="12" t="s">
        <v>45</v>
      </c>
      <c r="B35" s="34">
        <f t="shared" si="2"/>
        <v>136127522.4</v>
      </c>
      <c r="C35" s="12" t="s">
        <v>14</v>
      </c>
      <c r="D35" s="3" t="s">
        <v>30</v>
      </c>
    </row>
    <row r="36">
      <c r="A36" s="27" t="s">
        <v>46</v>
      </c>
      <c r="B36" s="35"/>
      <c r="C36" s="12"/>
      <c r="D36" s="3"/>
    </row>
    <row r="37">
      <c r="A37" s="12" t="s">
        <v>47</v>
      </c>
      <c r="B37" s="36">
        <v>21.9</v>
      </c>
      <c r="C37" s="12" t="s">
        <v>48</v>
      </c>
      <c r="D37" s="32" t="s">
        <v>49</v>
      </c>
    </row>
    <row r="38">
      <c r="A38" s="12" t="s">
        <v>50</v>
      </c>
      <c r="B38" s="36">
        <v>9.0</v>
      </c>
      <c r="C38" s="12" t="s">
        <v>51</v>
      </c>
      <c r="D38" s="32" t="s">
        <v>49</v>
      </c>
    </row>
    <row r="39">
      <c r="A39" s="12" t="s">
        <v>52</v>
      </c>
      <c r="B39" s="36">
        <v>1.5</v>
      </c>
      <c r="C39" s="12" t="s">
        <v>53</v>
      </c>
      <c r="D39" s="32" t="s">
        <v>49</v>
      </c>
    </row>
    <row r="40">
      <c r="A40" s="12" t="s">
        <v>54</v>
      </c>
      <c r="B40" s="36">
        <v>2.5</v>
      </c>
      <c r="C40" s="12" t="s">
        <v>48</v>
      </c>
      <c r="D40" s="32" t="s">
        <v>49</v>
      </c>
    </row>
    <row r="41">
      <c r="A41" s="12" t="s">
        <v>55</v>
      </c>
      <c r="B41" s="34">
        <f t="shared" ref="B41:B44" si="3">B32*B37</f>
        <v>4882563341</v>
      </c>
      <c r="C41" s="12" t="s">
        <v>14</v>
      </c>
      <c r="D41" s="3" t="s">
        <v>30</v>
      </c>
    </row>
    <row r="42">
      <c r="A42" s="12" t="s">
        <v>56</v>
      </c>
      <c r="B42" s="34">
        <f t="shared" si="3"/>
        <v>11957404595</v>
      </c>
      <c r="C42" s="12" t="s">
        <v>14</v>
      </c>
      <c r="D42" s="3" t="s">
        <v>30</v>
      </c>
    </row>
    <row r="43">
      <c r="A43" s="12" t="s">
        <v>79</v>
      </c>
      <c r="B43" s="34">
        <f t="shared" si="3"/>
        <v>128407622001</v>
      </c>
      <c r="C43" s="12" t="s">
        <v>14</v>
      </c>
      <c r="D43" s="3" t="s">
        <v>30</v>
      </c>
    </row>
    <row r="44">
      <c r="A44" s="12" t="s">
        <v>80</v>
      </c>
      <c r="B44" s="34">
        <f t="shared" si="3"/>
        <v>340318806</v>
      </c>
      <c r="C44" s="12" t="s">
        <v>14</v>
      </c>
      <c r="D44" s="3" t="s">
        <v>30</v>
      </c>
    </row>
    <row r="45">
      <c r="A45" s="12" t="s">
        <v>59</v>
      </c>
      <c r="B45" s="34">
        <f>SUM(B41:B44)*B11</f>
        <v>272977328.9</v>
      </c>
      <c r="C45" s="12" t="s">
        <v>14</v>
      </c>
      <c r="D45" s="3" t="s">
        <v>30</v>
      </c>
    </row>
    <row r="46">
      <c r="A46" s="12"/>
      <c r="B46" s="24"/>
      <c r="C46" s="12"/>
      <c r="D46" s="3"/>
    </row>
    <row r="47">
      <c r="A47" s="25" t="s">
        <v>60</v>
      </c>
      <c r="B47" s="26"/>
      <c r="C47" s="9"/>
      <c r="D47" s="16"/>
      <c r="E47" s="10"/>
      <c r="F47" s="10"/>
      <c r="G47" s="10"/>
      <c r="H47" s="10"/>
      <c r="I47" s="10"/>
      <c r="J47" s="10"/>
      <c r="K47" s="10"/>
      <c r="L47" s="10"/>
      <c r="M47" s="10"/>
      <c r="N47" s="10"/>
      <c r="O47" s="10"/>
      <c r="P47" s="10"/>
      <c r="Q47" s="10"/>
      <c r="R47" s="10"/>
      <c r="S47" s="10"/>
      <c r="T47" s="10"/>
      <c r="U47" s="10"/>
      <c r="V47" s="10"/>
      <c r="W47" s="10"/>
      <c r="X47" s="10"/>
    </row>
    <row r="48">
      <c r="A48" s="12" t="s">
        <v>61</v>
      </c>
      <c r="B48" s="30">
        <f>'Livestock production'!B42</f>
        <v>14015572.86</v>
      </c>
      <c r="C48" s="12" t="s">
        <v>14</v>
      </c>
      <c r="D48" s="3" t="s">
        <v>30</v>
      </c>
    </row>
    <row r="49">
      <c r="A49" s="12" t="s">
        <v>62</v>
      </c>
      <c r="B49" s="30">
        <f>B16*B48</f>
        <v>5302859529</v>
      </c>
      <c r="C49" s="12" t="s">
        <v>14</v>
      </c>
      <c r="D49" s="3" t="s">
        <v>30</v>
      </c>
    </row>
    <row r="50">
      <c r="A50" s="12" t="s">
        <v>63</v>
      </c>
      <c r="B50" s="30">
        <f>B11*B49*B12</f>
        <v>9942861.617</v>
      </c>
      <c r="C50" s="20" t="s">
        <v>14</v>
      </c>
      <c r="D50" s="3" t="s">
        <v>30</v>
      </c>
    </row>
    <row r="51">
      <c r="A51" s="12"/>
      <c r="B51" s="37"/>
      <c r="C51" s="20"/>
      <c r="D51" s="3"/>
    </row>
    <row r="52">
      <c r="A52" s="51" t="s">
        <v>81</v>
      </c>
      <c r="B52" s="26"/>
      <c r="C52" s="9"/>
      <c r="D52" s="16"/>
      <c r="E52" s="10"/>
      <c r="F52" s="10"/>
      <c r="G52" s="10"/>
      <c r="H52" s="10"/>
      <c r="I52" s="10"/>
      <c r="J52" s="10"/>
      <c r="K52" s="10"/>
      <c r="L52" s="10"/>
      <c r="M52" s="10"/>
      <c r="N52" s="10"/>
      <c r="O52" s="10"/>
      <c r="P52" s="10"/>
      <c r="Q52" s="10"/>
      <c r="R52" s="10"/>
      <c r="S52" s="10"/>
      <c r="T52" s="10"/>
      <c r="U52" s="10"/>
      <c r="V52" s="10"/>
      <c r="W52" s="10"/>
      <c r="X52" s="10"/>
    </row>
    <row r="53">
      <c r="A53" s="12" t="s">
        <v>82</v>
      </c>
      <c r="B53" s="52">
        <v>4.4</v>
      </c>
      <c r="C53" s="20" t="s">
        <v>83</v>
      </c>
      <c r="D53" s="32" t="s">
        <v>84</v>
      </c>
    </row>
    <row r="54">
      <c r="A54" s="12" t="s">
        <v>85</v>
      </c>
      <c r="B54" s="52">
        <v>5.7</v>
      </c>
      <c r="C54" s="20" t="s">
        <v>83</v>
      </c>
      <c r="D54" s="32" t="s">
        <v>84</v>
      </c>
    </row>
    <row r="55">
      <c r="A55" s="53" t="s">
        <v>86</v>
      </c>
      <c r="B55" s="54">
        <v>1.65</v>
      </c>
      <c r="C55" s="55" t="s">
        <v>87</v>
      </c>
      <c r="D55" s="56" t="s">
        <v>88</v>
      </c>
      <c r="E55" s="57"/>
      <c r="F55" s="57"/>
    </row>
    <row r="56">
      <c r="A56" s="12" t="s">
        <v>89</v>
      </c>
      <c r="B56" s="58">
        <f>(B54/B53)*B55</f>
        <v>2.1375</v>
      </c>
      <c r="C56" s="20" t="s">
        <v>14</v>
      </c>
      <c r="D56" s="3" t="s">
        <v>30</v>
      </c>
    </row>
    <row r="57">
      <c r="A57" s="12"/>
      <c r="B57" s="37"/>
      <c r="C57" s="20"/>
    </row>
    <row r="58">
      <c r="A58" s="7" t="s">
        <v>64</v>
      </c>
      <c r="B58" s="10"/>
      <c r="C58" s="10"/>
      <c r="D58" s="10"/>
      <c r="E58" s="10"/>
      <c r="F58" s="10"/>
      <c r="G58" s="10"/>
      <c r="H58" s="10"/>
      <c r="I58" s="10"/>
      <c r="J58" s="10"/>
      <c r="K58" s="10"/>
      <c r="L58" s="10"/>
      <c r="M58" s="10"/>
      <c r="N58" s="10"/>
      <c r="O58" s="10"/>
      <c r="P58" s="10"/>
      <c r="Q58" s="10"/>
      <c r="R58" s="10"/>
      <c r="S58" s="10"/>
      <c r="T58" s="10"/>
      <c r="U58" s="10"/>
      <c r="V58" s="10"/>
      <c r="W58" s="10"/>
      <c r="X58" s="10"/>
    </row>
    <row r="59">
      <c r="A59" s="59" t="s">
        <v>90</v>
      </c>
      <c r="B59" s="60"/>
      <c r="C59" s="20"/>
      <c r="D59" s="3"/>
    </row>
    <row r="60">
      <c r="A60" s="3" t="s">
        <v>65</v>
      </c>
      <c r="B60" s="38">
        <f>$B$4/B50</f>
        <v>10.17120663</v>
      </c>
      <c r="C60" s="20" t="s">
        <v>14</v>
      </c>
      <c r="D60" s="3" t="s">
        <v>30</v>
      </c>
      <c r="E60" s="61" t="s">
        <v>91</v>
      </c>
    </row>
    <row r="61">
      <c r="A61" s="3" t="s">
        <v>66</v>
      </c>
      <c r="B61" s="23">
        <f>B45/B4</f>
        <v>2.699247499</v>
      </c>
      <c r="C61" s="20" t="s">
        <v>14</v>
      </c>
      <c r="D61" s="3" t="s">
        <v>30</v>
      </c>
      <c r="E61" s="62" t="s">
        <v>92</v>
      </c>
    </row>
    <row r="63">
      <c r="A63" s="59" t="s">
        <v>93</v>
      </c>
    </row>
    <row r="64">
      <c r="A64" s="3" t="s">
        <v>65</v>
      </c>
      <c r="B64" s="38">
        <f>B6/B50</f>
        <v>1.146265805</v>
      </c>
      <c r="C64" s="20" t="s">
        <v>14</v>
      </c>
      <c r="D64" s="3" t="s">
        <v>30</v>
      </c>
      <c r="E64" s="61" t="s">
        <v>94</v>
      </c>
    </row>
    <row r="65">
      <c r="A65" s="3" t="s">
        <v>66</v>
      </c>
      <c r="B65" s="23">
        <f>B45/B6</f>
        <v>23.95134178</v>
      </c>
      <c r="C65" s="20" t="s">
        <v>14</v>
      </c>
      <c r="D65" s="3" t="s">
        <v>30</v>
      </c>
      <c r="E65" s="61" t="s">
        <v>95</v>
      </c>
    </row>
    <row r="67">
      <c r="A67" s="59" t="s">
        <v>96</v>
      </c>
    </row>
    <row r="68">
      <c r="A68" s="3" t="s">
        <v>65</v>
      </c>
      <c r="B68" s="38">
        <f>B4/($B$50*$B$56)</f>
        <v>4.758459242</v>
      </c>
      <c r="C68" s="20" t="s">
        <v>14</v>
      </c>
      <c r="D68" s="3" t="s">
        <v>30</v>
      </c>
      <c r="E68" s="61" t="s">
        <v>94</v>
      </c>
    </row>
    <row r="69">
      <c r="A69" s="3" t="s">
        <v>66</v>
      </c>
      <c r="B69" s="23">
        <f>($B$45*$B$56)/B4</f>
        <v>5.769641529</v>
      </c>
      <c r="C69" s="20" t="s">
        <v>14</v>
      </c>
      <c r="D69" s="3" t="s">
        <v>30</v>
      </c>
      <c r="E69" s="62" t="s">
        <v>92</v>
      </c>
    </row>
    <row r="71">
      <c r="A71" s="59" t="s">
        <v>97</v>
      </c>
    </row>
    <row r="72">
      <c r="A72" s="3" t="s">
        <v>65</v>
      </c>
      <c r="B72" s="38">
        <f>B6/($B$50*$B$56)</f>
        <v>0.536264704</v>
      </c>
      <c r="C72" s="20" t="s">
        <v>14</v>
      </c>
      <c r="D72" s="3" t="s">
        <v>30</v>
      </c>
      <c r="E72" s="61" t="s">
        <v>94</v>
      </c>
    </row>
    <row r="73">
      <c r="A73" s="3" t="s">
        <v>66</v>
      </c>
      <c r="B73" s="23">
        <f>($B$45*$B$56)/B6</f>
        <v>51.19599305</v>
      </c>
      <c r="C73" s="20" t="s">
        <v>14</v>
      </c>
      <c r="D73" s="3" t="s">
        <v>30</v>
      </c>
      <c r="E73" s="61" t="s">
        <v>95</v>
      </c>
    </row>
  </sheetData>
  <mergeCells count="1">
    <mergeCell ref="A1:D1"/>
  </mergeCells>
  <hyperlinks>
    <hyperlink r:id="rId2" location="gid=0" ref="A1"/>
    <hyperlink r:id="rId3" ref="D5"/>
    <hyperlink display="Data from OWID - see &quot;Animal production data (tonnage)&quot; tab" location="'Animal production data (tonnage'!A1" ref="D20"/>
    <hyperlink display="Data from OWID - see &quot;Animal production data (tonnage)&quot; tab" location="'Animal production data (tonnage'!A1" ref="D21"/>
    <hyperlink display="Data from OWID - see &quot;Animal production data (tonnage)&quot; tab" location="'Animal production data (tonnage'!A1" ref="D22"/>
    <hyperlink display="Data from OWID - see &quot;Animal production data (tonnage)&quot; tab" location="'Animal production data (tonnage'!A1" ref="D23"/>
    <hyperlink r:id="rId4" ref="D28"/>
    <hyperlink r:id="rId5" ref="D29"/>
    <hyperlink r:id="rId6" ref="D30"/>
    <hyperlink r:id="rId7" location="gid=1626888811" ref="D37"/>
    <hyperlink r:id="rId8" location="gid=1626888811" ref="D38"/>
    <hyperlink r:id="rId9" location="gid=1626888811" ref="D39"/>
    <hyperlink r:id="rId10" location="gid=1626888811" ref="D40"/>
    <hyperlink r:id="rId11" ref="D53"/>
    <hyperlink r:id="rId12" ref="D54"/>
    <hyperlink r:id="rId13" location=":~:text=rights%20and%20content-,Abstract,for%20SMEs%20by%20US$%200.65." ref="D55"/>
  </hyperlinks>
  <drawing r:id="rId14"/>
  <legacy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63" t="s">
        <v>98</v>
      </c>
    </row>
    <row r="2">
      <c r="A2" s="3"/>
      <c r="B2" s="64"/>
      <c r="C2" s="64"/>
    </row>
    <row r="3">
      <c r="A3" s="2" t="s">
        <v>99</v>
      </c>
    </row>
    <row r="4">
      <c r="A4" s="65"/>
      <c r="B4" s="66" t="s">
        <v>100</v>
      </c>
      <c r="F4" s="66"/>
    </row>
    <row r="5">
      <c r="A5" s="65" t="s">
        <v>101</v>
      </c>
      <c r="B5" s="65" t="s">
        <v>102</v>
      </c>
      <c r="C5" s="67" t="s">
        <v>103</v>
      </c>
      <c r="D5" s="68" t="s">
        <v>104</v>
      </c>
      <c r="E5" s="68" t="s">
        <v>105</v>
      </c>
      <c r="F5" s="68" t="s">
        <v>106</v>
      </c>
    </row>
    <row r="6">
      <c r="A6" s="69">
        <v>2020.0</v>
      </c>
      <c r="B6" s="70">
        <v>326.785714285714</v>
      </c>
      <c r="C6" s="70">
        <v>326.785714285714</v>
      </c>
      <c r="D6" s="71">
        <f>'Adjusted high-innovation scenar'!I5</f>
        <v>326.7857143</v>
      </c>
      <c r="E6" s="70">
        <f t="shared" ref="E6:E26" si="1">AVERAGE(C6:D6)</f>
        <v>326.7857143</v>
      </c>
      <c r="F6" s="72"/>
    </row>
    <row r="7">
      <c r="A7" s="73">
        <v>2021.0</v>
      </c>
      <c r="B7" s="74">
        <v>326.785714285714</v>
      </c>
      <c r="C7" s="74">
        <v>335.069444444444</v>
      </c>
      <c r="D7" s="75">
        <f>'Adjusted high-innovation scenar'!I6</f>
        <v>326.7857143</v>
      </c>
      <c r="E7" s="74">
        <f t="shared" si="1"/>
        <v>330.9275794</v>
      </c>
      <c r="F7" s="76"/>
    </row>
    <row r="8">
      <c r="A8" s="69">
        <v>2022.0</v>
      </c>
      <c r="B8" s="70">
        <v>326.785714285714</v>
      </c>
      <c r="C8" s="70">
        <v>341.269841269841</v>
      </c>
      <c r="D8" s="71">
        <f>'Adjusted high-innovation scenar'!I7</f>
        <v>326.7857143</v>
      </c>
      <c r="E8" s="70">
        <f t="shared" si="1"/>
        <v>334.0277778</v>
      </c>
      <c r="F8" s="70">
        <f t="shared" ref="F8:F26" si="2">E8-D8</f>
        <v>7.242063492</v>
      </c>
    </row>
    <row r="9">
      <c r="A9" s="73">
        <v>2023.0</v>
      </c>
      <c r="B9" s="74">
        <v>326.785714285714</v>
      </c>
      <c r="C9" s="74">
        <v>348.710317460317</v>
      </c>
      <c r="D9" s="75">
        <f>'Adjusted high-innovation scenar'!I8</f>
        <v>326.7857143</v>
      </c>
      <c r="E9" s="74">
        <f t="shared" si="1"/>
        <v>337.7480159</v>
      </c>
      <c r="F9" s="74">
        <f t="shared" si="2"/>
        <v>10.96230159</v>
      </c>
    </row>
    <row r="10">
      <c r="A10" s="69">
        <v>2024.0</v>
      </c>
      <c r="B10" s="70">
        <v>326.785714285714</v>
      </c>
      <c r="C10" s="70">
        <v>354.910714285714</v>
      </c>
      <c r="D10" s="71">
        <f>'Adjusted high-innovation scenar'!I9</f>
        <v>326.7857143</v>
      </c>
      <c r="E10" s="70">
        <f t="shared" si="1"/>
        <v>340.8482143</v>
      </c>
      <c r="F10" s="70">
        <f t="shared" si="2"/>
        <v>14.0625</v>
      </c>
    </row>
    <row r="11">
      <c r="A11" s="73">
        <v>2025.0</v>
      </c>
      <c r="B11" s="74">
        <v>326.785714285714</v>
      </c>
      <c r="C11" s="74">
        <v>362.35119047619</v>
      </c>
      <c r="D11" s="75">
        <f>'Adjusted high-innovation scenar'!I10</f>
        <v>326.7857143</v>
      </c>
      <c r="E11" s="74">
        <f t="shared" si="1"/>
        <v>344.5684524</v>
      </c>
      <c r="F11" s="74">
        <f t="shared" si="2"/>
        <v>17.7827381</v>
      </c>
    </row>
    <row r="12">
      <c r="A12" s="69">
        <v>2026.0</v>
      </c>
      <c r="B12" s="70">
        <v>321.428571428571</v>
      </c>
      <c r="C12" s="70">
        <v>369.791666666666</v>
      </c>
      <c r="D12" s="71">
        <f>'Adjusted high-innovation scenar'!I11</f>
        <v>324.0522157</v>
      </c>
      <c r="E12" s="70">
        <f t="shared" si="1"/>
        <v>346.9219412</v>
      </c>
      <c r="F12" s="70">
        <f t="shared" si="2"/>
        <v>22.86972546</v>
      </c>
    </row>
    <row r="13">
      <c r="A13" s="73">
        <v>2027.0</v>
      </c>
      <c r="B13" s="74">
        <v>312.5</v>
      </c>
      <c r="C13" s="74">
        <v>375.992063492063</v>
      </c>
      <c r="D13" s="75">
        <f>'Adjusted high-innovation scenar'!I12</f>
        <v>320.3444038</v>
      </c>
      <c r="E13" s="74">
        <f t="shared" si="1"/>
        <v>348.1682336</v>
      </c>
      <c r="F13" s="74">
        <f t="shared" si="2"/>
        <v>27.82382986</v>
      </c>
    </row>
    <row r="14">
      <c r="A14" s="69">
        <v>2028.0</v>
      </c>
      <c r="B14" s="70">
        <v>305.357142857142</v>
      </c>
      <c r="C14" s="70">
        <v>382.19246031746</v>
      </c>
      <c r="D14" s="71">
        <f>'Adjusted high-innovation scenar'!I13</f>
        <v>321.0821183</v>
      </c>
      <c r="E14" s="70">
        <f t="shared" si="1"/>
        <v>351.6372893</v>
      </c>
      <c r="F14" s="70">
        <f t="shared" si="2"/>
        <v>30.55517099</v>
      </c>
    </row>
    <row r="15">
      <c r="A15" s="73">
        <v>2029.0</v>
      </c>
      <c r="B15" s="74">
        <v>298.214285714285</v>
      </c>
      <c r="C15" s="74">
        <v>388.392857142857</v>
      </c>
      <c r="D15" s="75">
        <f>'Adjusted high-innovation scenar'!I14</f>
        <v>323.1724567</v>
      </c>
      <c r="E15" s="74">
        <f t="shared" si="1"/>
        <v>355.7826569</v>
      </c>
      <c r="F15" s="74">
        <f t="shared" si="2"/>
        <v>32.6102002</v>
      </c>
    </row>
    <row r="16">
      <c r="A16" s="69">
        <v>2030.0</v>
      </c>
      <c r="B16" s="70">
        <v>289.285714285714</v>
      </c>
      <c r="C16" s="70">
        <v>395.833333333333</v>
      </c>
      <c r="D16" s="71">
        <f>'Adjusted high-innovation scenar'!I15</f>
        <v>324.6247786</v>
      </c>
      <c r="E16" s="70">
        <f t="shared" si="1"/>
        <v>360.229056</v>
      </c>
      <c r="F16" s="70">
        <f t="shared" si="2"/>
        <v>35.60427736</v>
      </c>
    </row>
    <row r="17">
      <c r="A17" s="73">
        <v>2031.0</v>
      </c>
      <c r="B17" s="74">
        <v>276.785714285714</v>
      </c>
      <c r="C17" s="74">
        <v>400.79365079365</v>
      </c>
      <c r="D17" s="75">
        <f>'Adjusted high-innovation scenar'!I16</f>
        <v>323.1327538</v>
      </c>
      <c r="E17" s="74">
        <f t="shared" si="1"/>
        <v>361.9632023</v>
      </c>
      <c r="F17" s="74">
        <f t="shared" si="2"/>
        <v>38.83044852</v>
      </c>
    </row>
    <row r="18">
      <c r="A18" s="69">
        <v>2032.0</v>
      </c>
      <c r="B18" s="70">
        <v>262.5</v>
      </c>
      <c r="C18" s="70">
        <v>405.753968253968</v>
      </c>
      <c r="D18" s="71">
        <f>'Adjusted high-innovation scenar'!I17</f>
        <v>321.1235787</v>
      </c>
      <c r="E18" s="70">
        <f t="shared" si="1"/>
        <v>363.4387735</v>
      </c>
      <c r="F18" s="70">
        <f t="shared" si="2"/>
        <v>42.31519479</v>
      </c>
    </row>
    <row r="19">
      <c r="A19" s="73">
        <v>2033.0</v>
      </c>
      <c r="B19" s="74">
        <v>248.214285714285</v>
      </c>
      <c r="C19" s="74">
        <v>411.954365079365</v>
      </c>
      <c r="D19" s="75">
        <f>'Adjusted high-innovation scenar'!I18</f>
        <v>320.2692915</v>
      </c>
      <c r="E19" s="74">
        <f t="shared" si="1"/>
        <v>366.1118283</v>
      </c>
      <c r="F19" s="74">
        <f t="shared" si="2"/>
        <v>45.8425368</v>
      </c>
    </row>
    <row r="20">
      <c r="A20" s="69">
        <v>2034.0</v>
      </c>
      <c r="B20" s="70">
        <v>232.142857142857</v>
      </c>
      <c r="C20" s="70">
        <v>418.154761904761</v>
      </c>
      <c r="D20" s="71">
        <f>'Adjusted high-innovation scenar'!I19</f>
        <v>316.55</v>
      </c>
      <c r="E20" s="70">
        <f t="shared" si="1"/>
        <v>367.352381</v>
      </c>
      <c r="F20" s="70">
        <f t="shared" si="2"/>
        <v>50.80238095</v>
      </c>
    </row>
    <row r="21">
      <c r="A21" s="73">
        <v>2035.0</v>
      </c>
      <c r="B21" s="74">
        <v>219.642857142857</v>
      </c>
      <c r="C21" s="74">
        <v>423.115079365079</v>
      </c>
      <c r="D21" s="75">
        <f>'Adjusted high-innovation scenar'!I20</f>
        <v>316.9598995</v>
      </c>
      <c r="E21" s="74">
        <f t="shared" si="1"/>
        <v>370.0374894</v>
      </c>
      <c r="F21" s="74">
        <f t="shared" si="2"/>
        <v>53.07758994</v>
      </c>
    </row>
    <row r="22">
      <c r="A22" s="69">
        <v>2036.0</v>
      </c>
      <c r="B22" s="70">
        <v>212.5</v>
      </c>
      <c r="C22" s="70">
        <v>429.315476190476</v>
      </c>
      <c r="D22" s="71">
        <f>'Adjusted high-innovation scenar'!I21</f>
        <v>318.739375</v>
      </c>
      <c r="E22" s="70">
        <f t="shared" si="1"/>
        <v>374.0274256</v>
      </c>
      <c r="F22" s="70">
        <f t="shared" si="2"/>
        <v>55.2880506</v>
      </c>
    </row>
    <row r="23">
      <c r="A23" s="73">
        <v>2037.0</v>
      </c>
      <c r="B23" s="74">
        <v>207.142857142857</v>
      </c>
      <c r="C23" s="74">
        <v>435.515873015872</v>
      </c>
      <c r="D23" s="75">
        <f>'Adjusted high-innovation scenar'!I22</f>
        <v>324.5560464</v>
      </c>
      <c r="E23" s="74">
        <f t="shared" si="1"/>
        <v>380.0359597</v>
      </c>
      <c r="F23" s="74">
        <f t="shared" si="2"/>
        <v>55.47991331</v>
      </c>
    </row>
    <row r="24">
      <c r="A24" s="69">
        <v>2038.0</v>
      </c>
      <c r="B24" s="70">
        <v>201.785714285714</v>
      </c>
      <c r="C24" s="70">
        <v>441.716269841269</v>
      </c>
      <c r="D24" s="71">
        <f>'Adjusted high-innovation scenar'!I23</f>
        <v>330.5439838</v>
      </c>
      <c r="E24" s="70">
        <f t="shared" si="1"/>
        <v>386.1301268</v>
      </c>
      <c r="F24" s="70">
        <f t="shared" si="2"/>
        <v>55.58614303</v>
      </c>
      <c r="G24" s="77"/>
    </row>
    <row r="25">
      <c r="A25" s="73">
        <v>2039.0</v>
      </c>
      <c r="B25" s="74">
        <v>194.642857142857</v>
      </c>
      <c r="C25" s="74">
        <v>446.676587301587</v>
      </c>
      <c r="D25" s="75">
        <f>'Adjusted high-innovation scenar'!I24</f>
        <v>334.983535</v>
      </c>
      <c r="E25" s="74">
        <f t="shared" si="1"/>
        <v>390.8300611</v>
      </c>
      <c r="F25" s="74">
        <f t="shared" si="2"/>
        <v>55.84652616</v>
      </c>
    </row>
    <row r="26">
      <c r="A26" s="69">
        <v>2040.0</v>
      </c>
      <c r="B26" s="70">
        <v>189.285714285714</v>
      </c>
      <c r="C26" s="70">
        <v>452.876984126984</v>
      </c>
      <c r="D26" s="71">
        <f>'Adjusted high-innovation scenar'!I25</f>
        <v>337.807567</v>
      </c>
      <c r="E26" s="70">
        <f t="shared" si="1"/>
        <v>395.3422755</v>
      </c>
      <c r="F26" s="70">
        <f t="shared" si="2"/>
        <v>57.53470858</v>
      </c>
    </row>
    <row r="27">
      <c r="A27" s="73">
        <v>2041.0</v>
      </c>
      <c r="B27" s="74">
        <v>182.142857142857</v>
      </c>
      <c r="C27" s="74">
        <v>459.07738095238</v>
      </c>
      <c r="E27" s="76"/>
      <c r="F27" s="76"/>
    </row>
    <row r="28">
      <c r="A28" s="69">
        <v>2042.0</v>
      </c>
      <c r="B28" s="70">
        <v>173.214285714285</v>
      </c>
      <c r="C28" s="70">
        <v>465.277777777777</v>
      </c>
      <c r="E28" s="72"/>
      <c r="F28" s="72"/>
    </row>
    <row r="29">
      <c r="A29" s="73">
        <v>2043.0</v>
      </c>
      <c r="B29" s="74">
        <v>167.857142857142</v>
      </c>
      <c r="C29" s="74">
        <v>468.998015873015</v>
      </c>
      <c r="E29" s="76"/>
      <c r="F29" s="76"/>
    </row>
    <row r="30">
      <c r="A30" s="69">
        <v>2044.0</v>
      </c>
      <c r="B30" s="70">
        <v>158.928571428571</v>
      </c>
      <c r="C30" s="70">
        <v>475.198412698412</v>
      </c>
      <c r="E30" s="72"/>
      <c r="F30" s="72"/>
    </row>
    <row r="31">
      <c r="A31" s="73">
        <v>2045.0</v>
      </c>
      <c r="B31" s="74">
        <v>151.785714285714</v>
      </c>
      <c r="C31" s="74">
        <v>480.15873015873</v>
      </c>
      <c r="E31" s="76"/>
      <c r="F31" s="76"/>
    </row>
    <row r="32">
      <c r="A32" s="69">
        <v>2046.0</v>
      </c>
      <c r="B32" s="70">
        <v>151.785714285714</v>
      </c>
      <c r="C32" s="70">
        <v>485.119047619047</v>
      </c>
      <c r="E32" s="72"/>
      <c r="F32" s="72"/>
    </row>
    <row r="33">
      <c r="A33" s="73">
        <v>2047.0</v>
      </c>
      <c r="B33" s="74">
        <v>151.785714285714</v>
      </c>
      <c r="C33" s="74">
        <v>490.079365079365</v>
      </c>
      <c r="E33" s="76"/>
      <c r="F33" s="76"/>
    </row>
    <row r="34">
      <c r="A34" s="69">
        <v>2048.0</v>
      </c>
      <c r="B34" s="70">
        <v>151.785714285714</v>
      </c>
      <c r="C34" s="70">
        <v>495.039682539682</v>
      </c>
      <c r="E34" s="72"/>
      <c r="F34" s="72"/>
    </row>
    <row r="35">
      <c r="A35" s="73">
        <v>2049.0</v>
      </c>
      <c r="B35" s="74">
        <v>150.0</v>
      </c>
      <c r="C35" s="74">
        <v>499.999999999999</v>
      </c>
      <c r="E35" s="76"/>
      <c r="F35" s="76"/>
    </row>
    <row r="36">
      <c r="A36" s="69">
        <v>2050.0</v>
      </c>
      <c r="B36" s="70">
        <v>148.214285714285</v>
      </c>
      <c r="C36" s="70">
        <v>504.960317460317</v>
      </c>
      <c r="E36" s="72"/>
      <c r="F36" s="72"/>
    </row>
    <row r="38">
      <c r="A38" s="2" t="s">
        <v>107</v>
      </c>
      <c r="D38" s="2"/>
      <c r="E38" s="2"/>
      <c r="F38" s="2"/>
    </row>
    <row r="39">
      <c r="A39" s="68"/>
      <c r="B39" s="78" t="s">
        <v>1</v>
      </c>
      <c r="C39" s="78" t="s">
        <v>2</v>
      </c>
      <c r="E39" s="6"/>
      <c r="F39" s="6"/>
    </row>
    <row r="40">
      <c r="A40" s="79" t="s">
        <v>108</v>
      </c>
      <c r="B40" s="80">
        <f>C36-B36</f>
        <v>356.7460317</v>
      </c>
      <c r="C40" s="81" t="s">
        <v>14</v>
      </c>
      <c r="E40" s="3"/>
      <c r="F40" s="3"/>
      <c r="H40" s="24"/>
    </row>
    <row r="41">
      <c r="A41" s="79" t="s">
        <v>109</v>
      </c>
      <c r="B41" s="82">
        <f>5*10^9</f>
        <v>5000000000</v>
      </c>
      <c r="C41" s="81" t="s">
        <v>110</v>
      </c>
      <c r="D41" s="37"/>
    </row>
    <row r="42">
      <c r="A42" s="79" t="s">
        <v>111</v>
      </c>
      <c r="B42" s="82">
        <f>B41/$B$40</f>
        <v>14015572.86</v>
      </c>
      <c r="C42" s="81" t="s">
        <v>14</v>
      </c>
      <c r="D42" s="37"/>
      <c r="E42" s="3"/>
      <c r="F42" s="3"/>
    </row>
    <row r="43">
      <c r="A43" s="12"/>
    </row>
  </sheetData>
  <mergeCells count="4">
    <mergeCell ref="A1:L1"/>
    <mergeCell ref="A3:F3"/>
    <mergeCell ref="B4:E4"/>
    <mergeCell ref="A38:C38"/>
  </mergeCell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0" t="s">
        <v>112</v>
      </c>
    </row>
    <row r="2">
      <c r="C2" s="20"/>
      <c r="D2" s="20"/>
      <c r="E2" s="20"/>
      <c r="F2" s="20"/>
      <c r="G2" s="20"/>
    </row>
    <row r="3">
      <c r="A3" s="83" t="s">
        <v>113</v>
      </c>
    </row>
    <row r="4">
      <c r="A4" s="84" t="s">
        <v>101</v>
      </c>
      <c r="B4" s="85" t="s">
        <v>114</v>
      </c>
      <c r="C4" s="85" t="s">
        <v>115</v>
      </c>
      <c r="D4" s="85" t="s">
        <v>116</v>
      </c>
      <c r="E4" s="85" t="s">
        <v>117</v>
      </c>
      <c r="F4" s="85" t="s">
        <v>118</v>
      </c>
      <c r="G4" s="85" t="s">
        <v>119</v>
      </c>
      <c r="H4" s="68" t="s">
        <v>120</v>
      </c>
      <c r="I4" s="68" t="s">
        <v>121</v>
      </c>
    </row>
    <row r="5">
      <c r="A5" s="86">
        <v>2019.97516209476</v>
      </c>
      <c r="B5" s="86">
        <v>434.663341645885</v>
      </c>
      <c r="C5" s="87">
        <v>326.785714285714</v>
      </c>
      <c r="D5" s="86">
        <f t="shared" ref="D5:D25" si="1">B5-C5</f>
        <v>107.8776274</v>
      </c>
      <c r="E5" s="86">
        <v>434.663341645885</v>
      </c>
      <c r="F5" s="88">
        <f t="shared" ref="F5:F25" si="2">E5-B5</f>
        <v>0</v>
      </c>
      <c r="G5" s="89">
        <f t="shared" ref="G5:G25" si="3">C5/B5*F5</f>
        <v>0</v>
      </c>
      <c r="H5" s="90">
        <f t="shared" ref="H5:H25" si="4">$B$27*G5</f>
        <v>0</v>
      </c>
      <c r="I5" s="91">
        <f t="shared" ref="I5:I25" si="5">(G5-H5)+C5</f>
        <v>326.7857143</v>
      </c>
    </row>
    <row r="6">
      <c r="A6" s="86">
        <v>2020.97516209476</v>
      </c>
      <c r="B6" s="86">
        <v>434.663341645885</v>
      </c>
      <c r="C6" s="87">
        <v>326.785714285714</v>
      </c>
      <c r="D6" s="86">
        <f t="shared" si="1"/>
        <v>107.8776274</v>
      </c>
      <c r="E6" s="86">
        <v>434.663341645885</v>
      </c>
      <c r="F6" s="88">
        <f t="shared" si="2"/>
        <v>0</v>
      </c>
      <c r="G6" s="89">
        <f t="shared" si="3"/>
        <v>0</v>
      </c>
      <c r="H6" s="90">
        <f t="shared" si="4"/>
        <v>0</v>
      </c>
      <c r="I6" s="91">
        <f t="shared" si="5"/>
        <v>326.7857143</v>
      </c>
    </row>
    <row r="7">
      <c r="A7" s="86">
        <v>2022.01506234413</v>
      </c>
      <c r="B7" s="86">
        <v>436.408977556109</v>
      </c>
      <c r="C7" s="87">
        <v>326.785714285714</v>
      </c>
      <c r="D7" s="86">
        <f t="shared" si="1"/>
        <v>109.6232633</v>
      </c>
      <c r="E7" s="86">
        <v>436.408977556109</v>
      </c>
      <c r="F7" s="88">
        <f t="shared" si="2"/>
        <v>0</v>
      </c>
      <c r="G7" s="89">
        <f t="shared" si="3"/>
        <v>0</v>
      </c>
      <c r="H7" s="90">
        <f t="shared" si="4"/>
        <v>0</v>
      </c>
      <c r="I7" s="91">
        <f t="shared" si="5"/>
        <v>326.7857143</v>
      </c>
    </row>
    <row r="8">
      <c r="A8" s="86">
        <v>2022.97506234413</v>
      </c>
      <c r="B8" s="86">
        <v>436.408977556109</v>
      </c>
      <c r="C8" s="87">
        <v>326.785714285714</v>
      </c>
      <c r="D8" s="86">
        <f t="shared" si="1"/>
        <v>109.6232633</v>
      </c>
      <c r="E8" s="86">
        <v>436.408977556109</v>
      </c>
      <c r="F8" s="88">
        <f t="shared" si="2"/>
        <v>0</v>
      </c>
      <c r="G8" s="89">
        <f t="shared" si="3"/>
        <v>0</v>
      </c>
      <c r="H8" s="90">
        <f t="shared" si="4"/>
        <v>0</v>
      </c>
      <c r="I8" s="91">
        <f t="shared" si="5"/>
        <v>326.7857143</v>
      </c>
    </row>
    <row r="9">
      <c r="A9" s="86">
        <v>2023.97506234413</v>
      </c>
      <c r="B9" s="86">
        <v>436.408977556109</v>
      </c>
      <c r="C9" s="87">
        <v>326.785714285714</v>
      </c>
      <c r="D9" s="86">
        <f t="shared" si="1"/>
        <v>109.6232633</v>
      </c>
      <c r="E9" s="86">
        <v>436.408977556109</v>
      </c>
      <c r="F9" s="88">
        <f t="shared" si="2"/>
        <v>0</v>
      </c>
      <c r="G9" s="89">
        <f t="shared" si="3"/>
        <v>0</v>
      </c>
      <c r="H9" s="90">
        <f t="shared" si="4"/>
        <v>0</v>
      </c>
      <c r="I9" s="91">
        <f t="shared" si="5"/>
        <v>326.7857143</v>
      </c>
    </row>
    <row r="10">
      <c r="A10" s="86">
        <v>2024.97506234413</v>
      </c>
      <c r="B10" s="86">
        <v>436.408977556109</v>
      </c>
      <c r="C10" s="87">
        <v>326.785714285714</v>
      </c>
      <c r="D10" s="86">
        <f t="shared" si="1"/>
        <v>109.6232633</v>
      </c>
      <c r="E10" s="86">
        <v>436.408977556109</v>
      </c>
      <c r="F10" s="88">
        <f t="shared" si="2"/>
        <v>0</v>
      </c>
      <c r="G10" s="89">
        <f t="shared" si="3"/>
        <v>0</v>
      </c>
      <c r="H10" s="90">
        <f t="shared" si="4"/>
        <v>0</v>
      </c>
      <c r="I10" s="91">
        <f t="shared" si="5"/>
        <v>326.7857143</v>
      </c>
    </row>
    <row r="11">
      <c r="A11" s="86">
        <v>2026.01556109725</v>
      </c>
      <c r="B11" s="86">
        <v>427.680798004987</v>
      </c>
      <c r="C11" s="87">
        <v>321.428571428571</v>
      </c>
      <c r="D11" s="86">
        <f t="shared" si="1"/>
        <v>106.2522266</v>
      </c>
      <c r="E11" s="86">
        <v>431.172069825436</v>
      </c>
      <c r="F11" s="88">
        <f t="shared" si="2"/>
        <v>3.49127182</v>
      </c>
      <c r="G11" s="89">
        <f t="shared" si="3"/>
        <v>2.623906706</v>
      </c>
      <c r="H11" s="90">
        <f t="shared" si="4"/>
        <v>0.0002623906706</v>
      </c>
      <c r="I11" s="91">
        <f t="shared" si="5"/>
        <v>324.0522157</v>
      </c>
    </row>
    <row r="12">
      <c r="A12" s="86">
        <v>2026.97615960099</v>
      </c>
      <c r="B12" s="86">
        <v>417.20698254364</v>
      </c>
      <c r="C12" s="87">
        <v>312.5</v>
      </c>
      <c r="D12" s="86">
        <f t="shared" si="1"/>
        <v>104.7069825</v>
      </c>
      <c r="E12" s="86">
        <v>427.680798004987</v>
      </c>
      <c r="F12" s="88">
        <f t="shared" si="2"/>
        <v>10.47381546</v>
      </c>
      <c r="G12" s="89">
        <f t="shared" si="3"/>
        <v>7.845188285</v>
      </c>
      <c r="H12" s="90">
        <f t="shared" si="4"/>
        <v>0.0007845188285</v>
      </c>
      <c r="I12" s="91">
        <f t="shared" si="5"/>
        <v>320.3444038</v>
      </c>
    </row>
    <row r="13">
      <c r="A13" s="86">
        <v>2027.97675810473</v>
      </c>
      <c r="B13" s="86">
        <v>406.733167082294</v>
      </c>
      <c r="C13" s="87">
        <v>305.357142857142</v>
      </c>
      <c r="D13" s="86">
        <f t="shared" si="1"/>
        <v>101.3760242</v>
      </c>
      <c r="E13" s="86">
        <v>427.680798004987</v>
      </c>
      <c r="F13" s="88">
        <f t="shared" si="2"/>
        <v>20.94763092</v>
      </c>
      <c r="G13" s="89">
        <f t="shared" si="3"/>
        <v>15.72654813</v>
      </c>
      <c r="H13" s="90">
        <f t="shared" si="4"/>
        <v>0.001572654813</v>
      </c>
      <c r="I13" s="91">
        <f t="shared" si="5"/>
        <v>321.0821183</v>
      </c>
    </row>
    <row r="14">
      <c r="A14" s="86">
        <v>2028.97735660847</v>
      </c>
      <c r="B14" s="86">
        <v>396.259351620947</v>
      </c>
      <c r="C14" s="87">
        <v>298.214285714285</v>
      </c>
      <c r="D14" s="86">
        <f t="shared" si="1"/>
        <v>98.04506591</v>
      </c>
      <c r="E14" s="86">
        <v>429.426433915212</v>
      </c>
      <c r="F14" s="88">
        <f t="shared" si="2"/>
        <v>33.16708229</v>
      </c>
      <c r="G14" s="89">
        <f t="shared" si="3"/>
        <v>24.96066709</v>
      </c>
      <c r="H14" s="90">
        <f t="shared" si="4"/>
        <v>0.002496066709</v>
      </c>
      <c r="I14" s="91">
        <f t="shared" si="5"/>
        <v>323.1724567</v>
      </c>
    </row>
    <row r="15">
      <c r="A15" s="86">
        <v>2029.97795511221</v>
      </c>
      <c r="B15" s="86">
        <v>385.785536159601</v>
      </c>
      <c r="C15" s="87">
        <v>289.285714285714</v>
      </c>
      <c r="D15" s="86">
        <f t="shared" si="1"/>
        <v>96.49982187</v>
      </c>
      <c r="E15" s="86">
        <v>432.91770573566</v>
      </c>
      <c r="F15" s="88">
        <f t="shared" si="2"/>
        <v>47.13216958</v>
      </c>
      <c r="G15" s="89">
        <f t="shared" si="3"/>
        <v>35.34259858</v>
      </c>
      <c r="H15" s="90">
        <f t="shared" si="4"/>
        <v>0.003534259858</v>
      </c>
      <c r="I15" s="91">
        <f t="shared" si="5"/>
        <v>324.6247786</v>
      </c>
    </row>
    <row r="16">
      <c r="A16" s="86">
        <v>2030.9791521197</v>
      </c>
      <c r="B16" s="86">
        <v>364.837905236907</v>
      </c>
      <c r="C16" s="87">
        <v>276.785714285714</v>
      </c>
      <c r="D16" s="86">
        <f t="shared" si="1"/>
        <v>88.05219095</v>
      </c>
      <c r="E16" s="86">
        <v>425.935162094763</v>
      </c>
      <c r="F16" s="88">
        <f t="shared" si="2"/>
        <v>61.09725686</v>
      </c>
      <c r="G16" s="89">
        <f t="shared" si="3"/>
        <v>46.35167464</v>
      </c>
      <c r="H16" s="90">
        <f t="shared" si="4"/>
        <v>0.004635167464</v>
      </c>
      <c r="I16" s="91">
        <f t="shared" si="5"/>
        <v>323.1327538</v>
      </c>
    </row>
    <row r="17">
      <c r="A17" s="86">
        <v>2032.02034912718</v>
      </c>
      <c r="B17" s="86">
        <v>343.890274314214</v>
      </c>
      <c r="C17" s="87">
        <v>262.5</v>
      </c>
      <c r="D17" s="86">
        <f t="shared" si="1"/>
        <v>81.39027431</v>
      </c>
      <c r="E17" s="86">
        <v>420.698254364089</v>
      </c>
      <c r="F17" s="88">
        <f t="shared" si="2"/>
        <v>76.80798005</v>
      </c>
      <c r="G17" s="89">
        <f t="shared" si="3"/>
        <v>58.62944162</v>
      </c>
      <c r="H17" s="90">
        <f t="shared" si="4"/>
        <v>0.005862944162</v>
      </c>
      <c r="I17" s="91">
        <f t="shared" si="5"/>
        <v>321.1235787</v>
      </c>
    </row>
    <row r="18">
      <c r="A18" s="86">
        <v>2032.98144638403</v>
      </c>
      <c r="B18" s="86">
        <v>324.688279301745</v>
      </c>
      <c r="C18" s="87">
        <v>248.214285714285</v>
      </c>
      <c r="D18" s="86">
        <f t="shared" si="1"/>
        <v>76.47399359</v>
      </c>
      <c r="E18" s="86">
        <v>418.952618453865</v>
      </c>
      <c r="F18" s="88">
        <f t="shared" si="2"/>
        <v>94.26433915</v>
      </c>
      <c r="G18" s="89">
        <f t="shared" si="3"/>
        <v>72.06221198</v>
      </c>
      <c r="H18" s="90">
        <f t="shared" si="4"/>
        <v>0.007206221198</v>
      </c>
      <c r="I18" s="91">
        <f t="shared" si="5"/>
        <v>320.2692915</v>
      </c>
    </row>
    <row r="19">
      <c r="A19" s="86">
        <v>2033.98244389027</v>
      </c>
      <c r="B19" s="86">
        <v>307.231920199501</v>
      </c>
      <c r="C19" s="87">
        <v>232.142857142857</v>
      </c>
      <c r="D19" s="86">
        <f t="shared" si="1"/>
        <v>75.08906306</v>
      </c>
      <c r="E19" s="86">
        <v>418.952618453865</v>
      </c>
      <c r="F19" s="88">
        <f t="shared" si="2"/>
        <v>111.7206983</v>
      </c>
      <c r="G19" s="89">
        <f t="shared" si="3"/>
        <v>84.41558442</v>
      </c>
      <c r="H19" s="90">
        <f t="shared" si="4"/>
        <v>0.008441558442</v>
      </c>
      <c r="I19" s="91">
        <f t="shared" si="5"/>
        <v>316.55</v>
      </c>
    </row>
    <row r="20">
      <c r="A20" s="86">
        <v>2034.98334164588</v>
      </c>
      <c r="B20" s="86">
        <v>291.521197007481</v>
      </c>
      <c r="C20" s="87">
        <v>219.642857142857</v>
      </c>
      <c r="D20" s="86">
        <f t="shared" si="1"/>
        <v>71.87833986</v>
      </c>
      <c r="E20" s="86">
        <v>420.698254364089</v>
      </c>
      <c r="F20" s="88">
        <f t="shared" si="2"/>
        <v>129.1770574</v>
      </c>
      <c r="G20" s="89">
        <f t="shared" si="3"/>
        <v>97.32677502</v>
      </c>
      <c r="H20" s="90">
        <f t="shared" si="4"/>
        <v>0.009732677502</v>
      </c>
      <c r="I20" s="91">
        <f t="shared" si="5"/>
        <v>316.9598995</v>
      </c>
    </row>
    <row r="21">
      <c r="A21" s="86">
        <v>2036.023840399</v>
      </c>
      <c r="B21" s="86">
        <v>282.793017456359</v>
      </c>
      <c r="C21" s="87">
        <v>212.5</v>
      </c>
      <c r="D21" s="86">
        <f t="shared" si="1"/>
        <v>70.29301746</v>
      </c>
      <c r="E21" s="86">
        <v>424.189526184538</v>
      </c>
      <c r="F21" s="88">
        <f t="shared" si="2"/>
        <v>141.3965087</v>
      </c>
      <c r="G21" s="89">
        <f t="shared" si="3"/>
        <v>106.25</v>
      </c>
      <c r="H21" s="90">
        <f t="shared" si="4"/>
        <v>0.010625</v>
      </c>
      <c r="I21" s="91">
        <f t="shared" si="5"/>
        <v>318.739375</v>
      </c>
    </row>
    <row r="22">
      <c r="A22" s="86">
        <v>2036.98433915211</v>
      </c>
      <c r="B22" s="86">
        <v>274.064837905236</v>
      </c>
      <c r="C22" s="87">
        <v>207.142857142857</v>
      </c>
      <c r="D22" s="86">
        <f t="shared" si="1"/>
        <v>66.92198076</v>
      </c>
      <c r="E22" s="86">
        <v>429.426433915212</v>
      </c>
      <c r="F22" s="88">
        <f t="shared" si="2"/>
        <v>155.361596</v>
      </c>
      <c r="G22" s="89">
        <f t="shared" si="3"/>
        <v>117.4249318</v>
      </c>
      <c r="H22" s="90">
        <f t="shared" si="4"/>
        <v>0.01174249318</v>
      </c>
      <c r="I22" s="91">
        <f t="shared" si="5"/>
        <v>324.5560464</v>
      </c>
    </row>
    <row r="23">
      <c r="A23" s="86">
        <v>2037.98483790523</v>
      </c>
      <c r="B23" s="86">
        <v>265.336658354114</v>
      </c>
      <c r="C23" s="87">
        <v>201.785714285714</v>
      </c>
      <c r="D23" s="86">
        <f t="shared" si="1"/>
        <v>63.55094407</v>
      </c>
      <c r="E23" s="86">
        <v>434.663341645885</v>
      </c>
      <c r="F23" s="88">
        <f t="shared" si="2"/>
        <v>169.3266833</v>
      </c>
      <c r="G23" s="89">
        <f t="shared" si="3"/>
        <v>128.7711466</v>
      </c>
      <c r="H23" s="90">
        <f t="shared" si="4"/>
        <v>0.01287711466</v>
      </c>
      <c r="I23" s="91">
        <f t="shared" si="5"/>
        <v>330.5439838</v>
      </c>
    </row>
    <row r="24">
      <c r="A24" s="86">
        <v>2038.98533665835</v>
      </c>
      <c r="B24" s="86">
        <v>256.608478802992</v>
      </c>
      <c r="C24" s="87">
        <v>194.642857142857</v>
      </c>
      <c r="D24" s="86">
        <f t="shared" si="1"/>
        <v>61.96562166</v>
      </c>
      <c r="E24" s="86">
        <v>441.645885286783</v>
      </c>
      <c r="F24" s="88">
        <f t="shared" si="2"/>
        <v>185.0374065</v>
      </c>
      <c r="G24" s="89">
        <f t="shared" si="3"/>
        <v>140.3547133</v>
      </c>
      <c r="H24" s="90">
        <f t="shared" si="4"/>
        <v>0.01403547133</v>
      </c>
      <c r="I24" s="91">
        <f t="shared" si="5"/>
        <v>334.983535</v>
      </c>
    </row>
    <row r="25">
      <c r="A25" s="86">
        <v>2039.98563591022</v>
      </c>
      <c r="B25" s="86">
        <v>251.371571072319</v>
      </c>
      <c r="C25" s="87">
        <v>189.285714285714</v>
      </c>
      <c r="D25" s="86">
        <f t="shared" si="1"/>
        <v>62.08585679</v>
      </c>
      <c r="E25" s="86">
        <v>448.62842892768</v>
      </c>
      <c r="F25" s="88">
        <f t="shared" si="2"/>
        <v>197.2568579</v>
      </c>
      <c r="G25" s="89">
        <f t="shared" si="3"/>
        <v>148.5367063</v>
      </c>
      <c r="H25" s="90">
        <f t="shared" si="4"/>
        <v>0.01485367063</v>
      </c>
      <c r="I25" s="91">
        <f t="shared" si="5"/>
        <v>337.807567</v>
      </c>
    </row>
    <row r="26">
      <c r="D26" s="92"/>
    </row>
    <row r="27">
      <c r="A27" s="20" t="s">
        <v>122</v>
      </c>
      <c r="B27" s="20">
        <f>10^-4</f>
        <v>0.0001</v>
      </c>
      <c r="D27" s="92"/>
    </row>
    <row r="28">
      <c r="D28" s="92"/>
    </row>
    <row r="29">
      <c r="D29" s="92"/>
    </row>
    <row r="30">
      <c r="D30" s="92"/>
    </row>
    <row r="31">
      <c r="D31" s="92"/>
    </row>
    <row r="32">
      <c r="D32" s="92"/>
    </row>
    <row r="33">
      <c r="D33" s="92"/>
    </row>
    <row r="34">
      <c r="D34" s="92"/>
    </row>
    <row r="35">
      <c r="D35" s="92"/>
    </row>
  </sheetData>
  <mergeCells count="2">
    <mergeCell ref="A1:I1"/>
    <mergeCell ref="A3:I3"/>
  </mergeCells>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75"/>
    <col customWidth="1" min="2" max="2" width="26.0"/>
    <col customWidth="1" min="3" max="3" width="35.63"/>
  </cols>
  <sheetData>
    <row r="1">
      <c r="A1" s="2" t="s">
        <v>123</v>
      </c>
    </row>
    <row r="2">
      <c r="A2" s="3"/>
      <c r="B2" s="13"/>
    </row>
    <row r="3">
      <c r="A3" s="2" t="s">
        <v>124</v>
      </c>
    </row>
    <row r="4">
      <c r="A4" s="65" t="s">
        <v>101</v>
      </c>
      <c r="B4" s="93" t="s">
        <v>125</v>
      </c>
      <c r="C4" s="65" t="s">
        <v>126</v>
      </c>
    </row>
    <row r="5">
      <c r="A5" s="81">
        <v>2016.0</v>
      </c>
      <c r="B5" s="94">
        <v>2957969.0</v>
      </c>
      <c r="C5" s="81" t="s">
        <v>110</v>
      </c>
    </row>
    <row r="6">
      <c r="A6" s="81">
        <v>2017.0</v>
      </c>
      <c r="B6" s="94">
        <v>5291596.0</v>
      </c>
      <c r="C6" s="81" t="s">
        <v>110</v>
      </c>
    </row>
    <row r="7">
      <c r="A7" s="81">
        <v>2018.0</v>
      </c>
      <c r="B7" s="94">
        <v>8359313.0</v>
      </c>
      <c r="C7" s="81" t="s">
        <v>110</v>
      </c>
    </row>
    <row r="8">
      <c r="A8" s="81">
        <v>2019.0</v>
      </c>
      <c r="B8" s="94">
        <v>2.1598428E7</v>
      </c>
      <c r="C8" s="81" t="s">
        <v>110</v>
      </c>
    </row>
    <row r="9">
      <c r="A9" s="81">
        <v>2020.0</v>
      </c>
      <c r="B9" s="94">
        <v>1.8923594E7</v>
      </c>
      <c r="C9" s="81" t="s">
        <v>110</v>
      </c>
    </row>
    <row r="10">
      <c r="A10" s="81">
        <v>2021.0</v>
      </c>
      <c r="B10" s="95">
        <f>(9+5)*10^6</f>
        <v>14000000</v>
      </c>
      <c r="C10" s="81" t="s">
        <v>110</v>
      </c>
    </row>
    <row r="11">
      <c r="A11" s="81">
        <v>2022.0</v>
      </c>
      <c r="B11" s="95">
        <f>30*10^6</f>
        <v>30000000</v>
      </c>
      <c r="C11" s="81" t="s">
        <v>110</v>
      </c>
    </row>
    <row r="12">
      <c r="B12" s="96"/>
    </row>
    <row r="13">
      <c r="B13" s="96"/>
    </row>
    <row r="14">
      <c r="B14" s="96"/>
    </row>
    <row r="15">
      <c r="B15" s="96"/>
    </row>
    <row r="16">
      <c r="B16" s="96"/>
    </row>
    <row r="17">
      <c r="B17" s="96"/>
    </row>
    <row r="18">
      <c r="B18" s="96"/>
    </row>
    <row r="19">
      <c r="B19" s="96"/>
    </row>
    <row r="20">
      <c r="C20" s="96"/>
    </row>
    <row r="21">
      <c r="C21" s="96"/>
    </row>
    <row r="22">
      <c r="B22" s="96"/>
      <c r="C22" s="96"/>
    </row>
    <row r="24">
      <c r="B24" s="96"/>
    </row>
    <row r="25">
      <c r="B25" s="96"/>
    </row>
    <row r="26">
      <c r="B26" s="96"/>
    </row>
    <row r="27">
      <c r="B27" s="96"/>
    </row>
    <row r="28">
      <c r="B28" s="96"/>
    </row>
    <row r="29">
      <c r="B29" s="96"/>
    </row>
    <row r="30">
      <c r="B30" s="96"/>
    </row>
    <row r="31">
      <c r="B31" s="96"/>
    </row>
    <row r="32">
      <c r="B32" s="96"/>
    </row>
    <row r="33">
      <c r="B33" s="96"/>
    </row>
    <row r="34">
      <c r="B34" s="96"/>
    </row>
    <row r="35">
      <c r="B35" s="96"/>
    </row>
    <row r="36">
      <c r="B36" s="96"/>
    </row>
    <row r="37">
      <c r="B37" s="96"/>
    </row>
    <row r="38">
      <c r="B38" s="96"/>
    </row>
    <row r="39">
      <c r="B39" s="96"/>
    </row>
    <row r="40">
      <c r="B40" s="96"/>
    </row>
    <row r="41">
      <c r="B41" s="96"/>
    </row>
    <row r="42">
      <c r="B42" s="96"/>
    </row>
    <row r="43">
      <c r="B43" s="96"/>
    </row>
    <row r="44">
      <c r="B44" s="96"/>
    </row>
    <row r="45">
      <c r="B45" s="96"/>
    </row>
    <row r="46">
      <c r="B46" s="96"/>
    </row>
    <row r="47">
      <c r="B47" s="96"/>
    </row>
    <row r="48">
      <c r="B48" s="96"/>
    </row>
    <row r="49">
      <c r="B49" s="96"/>
    </row>
    <row r="50">
      <c r="B50" s="96"/>
    </row>
    <row r="51">
      <c r="B51" s="96"/>
    </row>
    <row r="52">
      <c r="B52" s="96"/>
    </row>
    <row r="53">
      <c r="B53" s="96"/>
    </row>
    <row r="54">
      <c r="B54" s="96"/>
    </row>
    <row r="55">
      <c r="B55" s="96"/>
    </row>
    <row r="56">
      <c r="B56" s="96"/>
    </row>
    <row r="57">
      <c r="B57" s="96"/>
    </row>
    <row r="58">
      <c r="B58" s="96"/>
    </row>
    <row r="59">
      <c r="B59" s="96"/>
    </row>
    <row r="60">
      <c r="B60" s="96"/>
    </row>
    <row r="61">
      <c r="B61" s="96"/>
    </row>
    <row r="62">
      <c r="B62" s="96"/>
    </row>
    <row r="63">
      <c r="B63" s="96"/>
    </row>
    <row r="64">
      <c r="B64" s="96"/>
    </row>
    <row r="65">
      <c r="B65" s="96"/>
    </row>
    <row r="66">
      <c r="B66" s="96"/>
    </row>
    <row r="67">
      <c r="B67" s="96"/>
    </row>
    <row r="68">
      <c r="B68" s="96"/>
    </row>
    <row r="69">
      <c r="B69" s="96"/>
    </row>
    <row r="70">
      <c r="B70" s="96"/>
    </row>
    <row r="71">
      <c r="B71" s="96"/>
    </row>
    <row r="72">
      <c r="B72" s="96"/>
    </row>
    <row r="73">
      <c r="B73" s="96"/>
    </row>
    <row r="74">
      <c r="B74" s="96"/>
    </row>
    <row r="75">
      <c r="B75" s="96"/>
    </row>
    <row r="76">
      <c r="B76" s="96"/>
    </row>
    <row r="77">
      <c r="B77" s="96"/>
    </row>
    <row r="78">
      <c r="B78" s="96"/>
    </row>
    <row r="79">
      <c r="B79" s="96"/>
    </row>
    <row r="80">
      <c r="B80" s="96"/>
    </row>
    <row r="81">
      <c r="B81" s="96"/>
    </row>
    <row r="82">
      <c r="B82" s="96"/>
    </row>
    <row r="83">
      <c r="B83" s="96"/>
    </row>
    <row r="84">
      <c r="B84" s="96"/>
    </row>
    <row r="85">
      <c r="B85" s="96"/>
    </row>
    <row r="86">
      <c r="B86" s="96"/>
    </row>
    <row r="87">
      <c r="B87" s="96"/>
    </row>
    <row r="88">
      <c r="B88" s="96"/>
    </row>
    <row r="89">
      <c r="B89" s="96"/>
    </row>
    <row r="90">
      <c r="B90" s="96"/>
    </row>
    <row r="91">
      <c r="B91" s="96"/>
    </row>
    <row r="92">
      <c r="B92" s="96"/>
    </row>
    <row r="93">
      <c r="B93" s="96"/>
    </row>
    <row r="94">
      <c r="B94" s="96"/>
    </row>
    <row r="95">
      <c r="B95" s="96"/>
    </row>
    <row r="96">
      <c r="B96" s="96"/>
    </row>
    <row r="97">
      <c r="B97" s="96"/>
    </row>
    <row r="98">
      <c r="B98" s="96"/>
    </row>
    <row r="99">
      <c r="B99" s="96"/>
    </row>
    <row r="100">
      <c r="B100" s="96"/>
    </row>
    <row r="101">
      <c r="B101" s="96"/>
    </row>
    <row r="102">
      <c r="B102" s="96"/>
    </row>
    <row r="103">
      <c r="B103" s="96"/>
    </row>
    <row r="104">
      <c r="B104" s="96"/>
    </row>
    <row r="105">
      <c r="B105" s="96"/>
    </row>
    <row r="106">
      <c r="B106" s="96"/>
    </row>
    <row r="107">
      <c r="B107" s="96"/>
    </row>
    <row r="108">
      <c r="B108" s="96"/>
    </row>
    <row r="109">
      <c r="B109" s="96"/>
    </row>
    <row r="110">
      <c r="B110" s="96"/>
    </row>
    <row r="111">
      <c r="B111" s="96"/>
    </row>
    <row r="112">
      <c r="B112" s="96"/>
    </row>
    <row r="113">
      <c r="B113" s="96"/>
    </row>
    <row r="114">
      <c r="B114" s="96"/>
    </row>
    <row r="115">
      <c r="B115" s="96"/>
    </row>
    <row r="116">
      <c r="B116" s="96"/>
    </row>
    <row r="117">
      <c r="B117" s="96"/>
    </row>
    <row r="118">
      <c r="B118" s="96"/>
    </row>
    <row r="119">
      <c r="B119" s="96"/>
    </row>
    <row r="120">
      <c r="B120" s="96"/>
    </row>
    <row r="121">
      <c r="B121" s="96"/>
    </row>
    <row r="122">
      <c r="B122" s="96"/>
    </row>
    <row r="123">
      <c r="B123" s="96"/>
    </row>
    <row r="124">
      <c r="B124" s="96"/>
    </row>
    <row r="125">
      <c r="B125" s="96"/>
    </row>
    <row r="126">
      <c r="B126" s="96"/>
    </row>
    <row r="127">
      <c r="B127" s="96"/>
    </row>
    <row r="128">
      <c r="B128" s="96"/>
    </row>
    <row r="129">
      <c r="B129" s="96"/>
    </row>
    <row r="130">
      <c r="B130" s="96"/>
    </row>
    <row r="131">
      <c r="B131" s="96"/>
    </row>
    <row r="132">
      <c r="B132" s="96"/>
    </row>
    <row r="133">
      <c r="B133" s="96"/>
    </row>
    <row r="134">
      <c r="B134" s="96"/>
    </row>
    <row r="135">
      <c r="B135" s="96"/>
    </row>
    <row r="136">
      <c r="B136" s="96"/>
    </row>
    <row r="137">
      <c r="B137" s="96"/>
    </row>
    <row r="138">
      <c r="B138" s="96"/>
    </row>
    <row r="139">
      <c r="B139" s="96"/>
    </row>
    <row r="140">
      <c r="B140" s="96"/>
    </row>
    <row r="141">
      <c r="B141" s="96"/>
    </row>
    <row r="142">
      <c r="B142" s="96"/>
    </row>
    <row r="143">
      <c r="B143" s="96"/>
    </row>
    <row r="144">
      <c r="B144" s="96"/>
    </row>
    <row r="145">
      <c r="B145" s="96"/>
    </row>
    <row r="146">
      <c r="B146" s="96"/>
    </row>
    <row r="147">
      <c r="B147" s="96"/>
    </row>
    <row r="148">
      <c r="B148" s="96"/>
    </row>
    <row r="149">
      <c r="B149" s="96"/>
    </row>
    <row r="150">
      <c r="B150" s="96"/>
    </row>
    <row r="151">
      <c r="B151" s="96"/>
    </row>
    <row r="152">
      <c r="B152" s="96"/>
    </row>
    <row r="153">
      <c r="B153" s="96"/>
    </row>
    <row r="154">
      <c r="B154" s="96"/>
    </row>
    <row r="155">
      <c r="B155" s="96"/>
    </row>
    <row r="156">
      <c r="B156" s="96"/>
    </row>
    <row r="157">
      <c r="B157" s="96"/>
    </row>
    <row r="158">
      <c r="B158" s="96"/>
    </row>
    <row r="159">
      <c r="B159" s="96"/>
    </row>
    <row r="160">
      <c r="B160" s="96"/>
    </row>
    <row r="161">
      <c r="B161" s="96"/>
    </row>
    <row r="162">
      <c r="B162" s="96"/>
    </row>
    <row r="163">
      <c r="B163" s="96"/>
    </row>
    <row r="164">
      <c r="B164" s="96"/>
    </row>
    <row r="165">
      <c r="B165" s="96"/>
    </row>
    <row r="166">
      <c r="B166" s="96"/>
    </row>
    <row r="167">
      <c r="B167" s="96"/>
    </row>
    <row r="168">
      <c r="B168" s="96"/>
    </row>
    <row r="169">
      <c r="B169" s="96"/>
    </row>
    <row r="170">
      <c r="B170" s="96"/>
    </row>
    <row r="171">
      <c r="B171" s="96"/>
    </row>
    <row r="172">
      <c r="B172" s="96"/>
    </row>
    <row r="173">
      <c r="B173" s="96"/>
    </row>
    <row r="174">
      <c r="B174" s="96"/>
    </row>
    <row r="175">
      <c r="B175" s="96"/>
    </row>
    <row r="176">
      <c r="B176" s="96"/>
    </row>
    <row r="177">
      <c r="B177" s="96"/>
    </row>
    <row r="178">
      <c r="B178" s="96"/>
    </row>
    <row r="179">
      <c r="B179" s="96"/>
    </row>
    <row r="180">
      <c r="B180" s="96"/>
    </row>
    <row r="181">
      <c r="B181" s="96"/>
    </row>
    <row r="182">
      <c r="B182" s="96"/>
    </row>
    <row r="183">
      <c r="B183" s="96"/>
    </row>
    <row r="184">
      <c r="B184" s="96"/>
    </row>
    <row r="185">
      <c r="B185" s="96"/>
    </row>
    <row r="186">
      <c r="B186" s="96"/>
    </row>
    <row r="187">
      <c r="B187" s="96"/>
    </row>
    <row r="188">
      <c r="B188" s="96"/>
    </row>
    <row r="189">
      <c r="B189" s="96"/>
    </row>
    <row r="190">
      <c r="B190" s="96"/>
    </row>
    <row r="191">
      <c r="B191" s="96"/>
    </row>
    <row r="192">
      <c r="B192" s="96"/>
    </row>
    <row r="193">
      <c r="B193" s="96"/>
    </row>
    <row r="194">
      <c r="B194" s="96"/>
    </row>
    <row r="195">
      <c r="B195" s="96"/>
    </row>
    <row r="196">
      <c r="B196" s="96"/>
    </row>
    <row r="197">
      <c r="B197" s="96"/>
    </row>
    <row r="198">
      <c r="B198" s="96"/>
    </row>
    <row r="199">
      <c r="B199" s="96"/>
    </row>
    <row r="200">
      <c r="B200" s="96"/>
    </row>
    <row r="201">
      <c r="B201" s="96"/>
    </row>
    <row r="202">
      <c r="B202" s="96"/>
    </row>
    <row r="203">
      <c r="B203" s="96"/>
    </row>
    <row r="204">
      <c r="B204" s="96"/>
    </row>
    <row r="205">
      <c r="B205" s="96"/>
    </row>
    <row r="206">
      <c r="B206" s="96"/>
    </row>
    <row r="207">
      <c r="B207" s="96"/>
    </row>
    <row r="208">
      <c r="B208" s="96"/>
    </row>
    <row r="209">
      <c r="B209" s="96"/>
    </row>
    <row r="210">
      <c r="B210" s="96"/>
    </row>
    <row r="211">
      <c r="B211" s="96"/>
    </row>
    <row r="212">
      <c r="B212" s="96"/>
    </row>
    <row r="213">
      <c r="B213" s="96"/>
    </row>
    <row r="214">
      <c r="B214" s="96"/>
    </row>
    <row r="215">
      <c r="B215" s="96"/>
    </row>
    <row r="216">
      <c r="B216" s="96"/>
    </row>
    <row r="217">
      <c r="B217" s="96"/>
    </row>
    <row r="218">
      <c r="B218" s="96"/>
    </row>
    <row r="219">
      <c r="B219" s="96"/>
    </row>
    <row r="220">
      <c r="B220" s="96"/>
    </row>
    <row r="221">
      <c r="B221" s="96"/>
    </row>
    <row r="222">
      <c r="B222" s="96"/>
    </row>
    <row r="223">
      <c r="B223" s="96"/>
    </row>
    <row r="224">
      <c r="B224" s="96"/>
    </row>
    <row r="225">
      <c r="B225" s="96"/>
    </row>
    <row r="226">
      <c r="B226" s="96"/>
    </row>
    <row r="227">
      <c r="B227" s="96"/>
    </row>
    <row r="228">
      <c r="B228" s="96"/>
    </row>
    <row r="229">
      <c r="B229" s="96"/>
    </row>
    <row r="230">
      <c r="B230" s="96"/>
    </row>
    <row r="231">
      <c r="B231" s="96"/>
    </row>
    <row r="232">
      <c r="B232" s="96"/>
    </row>
    <row r="233">
      <c r="B233" s="96"/>
    </row>
    <row r="234">
      <c r="B234" s="96"/>
    </row>
    <row r="235">
      <c r="B235" s="96"/>
    </row>
    <row r="236">
      <c r="B236" s="96"/>
    </row>
    <row r="237">
      <c r="B237" s="96"/>
    </row>
    <row r="238">
      <c r="B238" s="96"/>
    </row>
    <row r="239">
      <c r="B239" s="96"/>
    </row>
    <row r="240">
      <c r="B240" s="96"/>
    </row>
    <row r="241">
      <c r="B241" s="96"/>
    </row>
    <row r="242">
      <c r="B242" s="96"/>
    </row>
    <row r="243">
      <c r="B243" s="96"/>
    </row>
    <row r="244">
      <c r="B244" s="96"/>
    </row>
    <row r="245">
      <c r="B245" s="96"/>
    </row>
    <row r="246">
      <c r="B246" s="96"/>
    </row>
    <row r="247">
      <c r="B247" s="96"/>
    </row>
    <row r="248">
      <c r="B248" s="96"/>
    </row>
    <row r="249">
      <c r="B249" s="96"/>
    </row>
    <row r="250">
      <c r="B250" s="96"/>
    </row>
    <row r="251">
      <c r="B251" s="96"/>
    </row>
    <row r="252">
      <c r="B252" s="96"/>
    </row>
    <row r="253">
      <c r="B253" s="96"/>
    </row>
    <row r="254">
      <c r="B254" s="96"/>
    </row>
    <row r="255">
      <c r="B255" s="96"/>
    </row>
    <row r="256">
      <c r="B256" s="96"/>
    </row>
    <row r="257">
      <c r="B257" s="96"/>
    </row>
    <row r="258">
      <c r="B258" s="96"/>
    </row>
    <row r="259">
      <c r="B259" s="96"/>
    </row>
    <row r="260">
      <c r="B260" s="96"/>
    </row>
    <row r="261">
      <c r="B261" s="96"/>
    </row>
    <row r="262">
      <c r="B262" s="96"/>
    </row>
    <row r="263">
      <c r="B263" s="96"/>
    </row>
    <row r="264">
      <c r="B264" s="96"/>
    </row>
    <row r="265">
      <c r="B265" s="96"/>
    </row>
    <row r="266">
      <c r="B266" s="96"/>
    </row>
    <row r="267">
      <c r="B267" s="96"/>
    </row>
    <row r="268">
      <c r="B268" s="96"/>
    </row>
    <row r="269">
      <c r="B269" s="96"/>
    </row>
    <row r="270">
      <c r="B270" s="96"/>
    </row>
    <row r="271">
      <c r="B271" s="96"/>
    </row>
    <row r="272">
      <c r="B272" s="96"/>
    </row>
    <row r="273">
      <c r="B273" s="96"/>
    </row>
    <row r="274">
      <c r="B274" s="96"/>
    </row>
    <row r="275">
      <c r="B275" s="96"/>
    </row>
    <row r="276">
      <c r="B276" s="96"/>
    </row>
    <row r="277">
      <c r="B277" s="96"/>
    </row>
    <row r="278">
      <c r="B278" s="96"/>
    </row>
    <row r="279">
      <c r="B279" s="96"/>
    </row>
    <row r="280">
      <c r="B280" s="96"/>
    </row>
    <row r="281">
      <c r="B281" s="96"/>
    </row>
    <row r="282">
      <c r="B282" s="96"/>
    </row>
    <row r="283">
      <c r="B283" s="96"/>
    </row>
    <row r="284">
      <c r="B284" s="96"/>
    </row>
    <row r="285">
      <c r="B285" s="96"/>
    </row>
    <row r="286">
      <c r="B286" s="96"/>
    </row>
    <row r="287">
      <c r="B287" s="96"/>
    </row>
    <row r="288">
      <c r="B288" s="96"/>
    </row>
    <row r="289">
      <c r="B289" s="96"/>
    </row>
    <row r="290">
      <c r="B290" s="96"/>
    </row>
    <row r="291">
      <c r="B291" s="96"/>
    </row>
    <row r="292">
      <c r="B292" s="96"/>
    </row>
    <row r="293">
      <c r="B293" s="96"/>
    </row>
    <row r="294">
      <c r="B294" s="96"/>
    </row>
    <row r="295">
      <c r="B295" s="96"/>
    </row>
    <row r="296">
      <c r="B296" s="96"/>
    </row>
    <row r="297">
      <c r="B297" s="96"/>
    </row>
    <row r="298">
      <c r="B298" s="96"/>
    </row>
    <row r="299">
      <c r="B299" s="96"/>
    </row>
    <row r="300">
      <c r="B300" s="96"/>
    </row>
    <row r="301">
      <c r="B301" s="96"/>
    </row>
    <row r="302">
      <c r="B302" s="96"/>
    </row>
    <row r="303">
      <c r="B303" s="96"/>
    </row>
    <row r="304">
      <c r="B304" s="96"/>
    </row>
    <row r="305">
      <c r="B305" s="96"/>
    </row>
    <row r="306">
      <c r="B306" s="96"/>
    </row>
    <row r="307">
      <c r="B307" s="96"/>
    </row>
    <row r="308">
      <c r="B308" s="96"/>
    </row>
    <row r="309">
      <c r="B309" s="96"/>
    </row>
    <row r="310">
      <c r="B310" s="96"/>
    </row>
    <row r="311">
      <c r="B311" s="96"/>
    </row>
    <row r="312">
      <c r="B312" s="96"/>
    </row>
    <row r="313">
      <c r="B313" s="96"/>
    </row>
    <row r="314">
      <c r="B314" s="96"/>
    </row>
    <row r="315">
      <c r="B315" s="96"/>
    </row>
    <row r="316">
      <c r="B316" s="96"/>
    </row>
    <row r="317">
      <c r="B317" s="96"/>
    </row>
    <row r="318">
      <c r="B318" s="96"/>
    </row>
    <row r="319">
      <c r="B319" s="96"/>
    </row>
    <row r="320">
      <c r="B320" s="96"/>
    </row>
    <row r="321">
      <c r="B321" s="96"/>
    </row>
    <row r="322">
      <c r="B322" s="96"/>
    </row>
    <row r="323">
      <c r="B323" s="96"/>
    </row>
    <row r="324">
      <c r="B324" s="96"/>
    </row>
    <row r="325">
      <c r="B325" s="96"/>
    </row>
    <row r="326">
      <c r="B326" s="96"/>
    </row>
    <row r="327">
      <c r="B327" s="96"/>
    </row>
    <row r="328">
      <c r="B328" s="96"/>
    </row>
    <row r="329">
      <c r="B329" s="96"/>
    </row>
    <row r="330">
      <c r="B330" s="96"/>
    </row>
    <row r="331">
      <c r="B331" s="96"/>
    </row>
    <row r="332">
      <c r="B332" s="96"/>
    </row>
    <row r="333">
      <c r="B333" s="96"/>
    </row>
    <row r="334">
      <c r="B334" s="96"/>
    </row>
    <row r="335">
      <c r="B335" s="96"/>
    </row>
    <row r="336">
      <c r="B336" s="96"/>
    </row>
    <row r="337">
      <c r="B337" s="96"/>
    </row>
    <row r="338">
      <c r="B338" s="96"/>
    </row>
    <row r="339">
      <c r="B339" s="96"/>
    </row>
    <row r="340">
      <c r="B340" s="96"/>
    </row>
    <row r="341">
      <c r="B341" s="96"/>
    </row>
    <row r="342">
      <c r="B342" s="96"/>
    </row>
    <row r="343">
      <c r="B343" s="96"/>
    </row>
    <row r="344">
      <c r="B344" s="96"/>
    </row>
    <row r="345">
      <c r="B345" s="96"/>
    </row>
    <row r="346">
      <c r="B346" s="96"/>
    </row>
    <row r="347">
      <c r="B347" s="96"/>
    </row>
    <row r="348">
      <c r="B348" s="96"/>
    </row>
    <row r="349">
      <c r="B349" s="96"/>
    </row>
    <row r="350">
      <c r="B350" s="96"/>
    </row>
    <row r="351">
      <c r="B351" s="96"/>
    </row>
    <row r="352">
      <c r="B352" s="96"/>
    </row>
    <row r="353">
      <c r="B353" s="96"/>
    </row>
    <row r="354">
      <c r="B354" s="96"/>
    </row>
    <row r="355">
      <c r="B355" s="96"/>
    </row>
    <row r="356">
      <c r="B356" s="96"/>
    </row>
    <row r="357">
      <c r="B357" s="96"/>
    </row>
    <row r="358">
      <c r="B358" s="96"/>
    </row>
    <row r="359">
      <c r="B359" s="96"/>
    </row>
    <row r="360">
      <c r="B360" s="96"/>
    </row>
    <row r="361">
      <c r="B361" s="96"/>
    </row>
    <row r="362">
      <c r="B362" s="96"/>
    </row>
    <row r="363">
      <c r="B363" s="96"/>
    </row>
    <row r="364">
      <c r="B364" s="96"/>
    </row>
    <row r="365">
      <c r="B365" s="96"/>
    </row>
    <row r="366">
      <c r="B366" s="96"/>
    </row>
    <row r="367">
      <c r="B367" s="96"/>
    </row>
    <row r="368">
      <c r="B368" s="96"/>
    </row>
    <row r="369">
      <c r="B369" s="96"/>
    </row>
    <row r="370">
      <c r="B370" s="96"/>
    </row>
    <row r="371">
      <c r="B371" s="96"/>
    </row>
    <row r="372">
      <c r="B372" s="96"/>
    </row>
    <row r="373">
      <c r="B373" s="96"/>
    </row>
    <row r="374">
      <c r="B374" s="96"/>
    </row>
    <row r="375">
      <c r="B375" s="96"/>
    </row>
    <row r="376">
      <c r="B376" s="96"/>
    </row>
    <row r="377">
      <c r="B377" s="96"/>
    </row>
    <row r="378">
      <c r="B378" s="96"/>
    </row>
    <row r="379">
      <c r="B379" s="96"/>
    </row>
    <row r="380">
      <c r="B380" s="96"/>
    </row>
    <row r="381">
      <c r="B381" s="96"/>
    </row>
    <row r="382">
      <c r="B382" s="96"/>
    </row>
    <row r="383">
      <c r="B383" s="96"/>
    </row>
    <row r="384">
      <c r="B384" s="96"/>
    </row>
    <row r="385">
      <c r="B385" s="96"/>
    </row>
    <row r="386">
      <c r="B386" s="96"/>
    </row>
    <row r="387">
      <c r="B387" s="96"/>
    </row>
    <row r="388">
      <c r="B388" s="96"/>
    </row>
    <row r="389">
      <c r="B389" s="96"/>
    </row>
    <row r="390">
      <c r="B390" s="96"/>
    </row>
    <row r="391">
      <c r="B391" s="96"/>
    </row>
    <row r="392">
      <c r="B392" s="96"/>
    </row>
    <row r="393">
      <c r="B393" s="96"/>
    </row>
    <row r="394">
      <c r="B394" s="96"/>
    </row>
    <row r="395">
      <c r="B395" s="96"/>
    </row>
    <row r="396">
      <c r="B396" s="96"/>
    </row>
    <row r="397">
      <c r="B397" s="96"/>
    </row>
    <row r="398">
      <c r="B398" s="96"/>
    </row>
    <row r="399">
      <c r="B399" s="96"/>
    </row>
    <row r="400">
      <c r="B400" s="96"/>
    </row>
    <row r="401">
      <c r="B401" s="96"/>
    </row>
    <row r="402">
      <c r="B402" s="96"/>
    </row>
    <row r="403">
      <c r="B403" s="96"/>
    </row>
    <row r="404">
      <c r="B404" s="96"/>
    </row>
    <row r="405">
      <c r="B405" s="96"/>
    </row>
    <row r="406">
      <c r="B406" s="96"/>
    </row>
    <row r="407">
      <c r="B407" s="96"/>
    </row>
    <row r="408">
      <c r="B408" s="96"/>
    </row>
    <row r="409">
      <c r="B409" s="96"/>
    </row>
    <row r="410">
      <c r="B410" s="96"/>
    </row>
    <row r="411">
      <c r="B411" s="96"/>
    </row>
    <row r="412">
      <c r="B412" s="96"/>
    </row>
    <row r="413">
      <c r="B413" s="96"/>
    </row>
    <row r="414">
      <c r="B414" s="96"/>
    </row>
    <row r="415">
      <c r="B415" s="96"/>
    </row>
    <row r="416">
      <c r="B416" s="96"/>
    </row>
    <row r="417">
      <c r="B417" s="96"/>
    </row>
    <row r="418">
      <c r="B418" s="96"/>
    </row>
    <row r="419">
      <c r="B419" s="96"/>
    </row>
    <row r="420">
      <c r="B420" s="96"/>
    </row>
    <row r="421">
      <c r="B421" s="96"/>
    </row>
    <row r="422">
      <c r="B422" s="96"/>
    </row>
    <row r="423">
      <c r="B423" s="96"/>
    </row>
    <row r="424">
      <c r="B424" s="96"/>
    </row>
    <row r="425">
      <c r="B425" s="96"/>
    </row>
    <row r="426">
      <c r="B426" s="96"/>
    </row>
    <row r="427">
      <c r="B427" s="96"/>
    </row>
    <row r="428">
      <c r="B428" s="96"/>
    </row>
    <row r="429">
      <c r="B429" s="96"/>
    </row>
    <row r="430">
      <c r="B430" s="96"/>
    </row>
    <row r="431">
      <c r="B431" s="96"/>
    </row>
    <row r="432">
      <c r="B432" s="96"/>
    </row>
    <row r="433">
      <c r="B433" s="96"/>
    </row>
    <row r="434">
      <c r="B434" s="96"/>
    </row>
    <row r="435">
      <c r="B435" s="96"/>
    </row>
    <row r="436">
      <c r="B436" s="96"/>
    </row>
    <row r="437">
      <c r="B437" s="96"/>
    </row>
    <row r="438">
      <c r="B438" s="96"/>
    </row>
    <row r="439">
      <c r="B439" s="96"/>
    </row>
    <row r="440">
      <c r="B440" s="96"/>
    </row>
    <row r="441">
      <c r="B441" s="96"/>
    </row>
    <row r="442">
      <c r="B442" s="96"/>
    </row>
    <row r="443">
      <c r="B443" s="96"/>
    </row>
    <row r="444">
      <c r="B444" s="96"/>
    </row>
    <row r="445">
      <c r="B445" s="96"/>
    </row>
    <row r="446">
      <c r="B446" s="96"/>
    </row>
    <row r="447">
      <c r="B447" s="96"/>
    </row>
    <row r="448">
      <c r="B448" s="96"/>
    </row>
    <row r="449">
      <c r="B449" s="96"/>
    </row>
    <row r="450">
      <c r="B450" s="96"/>
    </row>
    <row r="451">
      <c r="B451" s="96"/>
    </row>
    <row r="452">
      <c r="B452" s="96"/>
    </row>
    <row r="453">
      <c r="B453" s="96"/>
    </row>
    <row r="454">
      <c r="B454" s="96"/>
    </row>
    <row r="455">
      <c r="B455" s="96"/>
    </row>
    <row r="456">
      <c r="B456" s="96"/>
    </row>
    <row r="457">
      <c r="B457" s="96"/>
    </row>
    <row r="458">
      <c r="B458" s="96"/>
    </row>
    <row r="459">
      <c r="B459" s="96"/>
    </row>
    <row r="460">
      <c r="B460" s="96"/>
    </row>
    <row r="461">
      <c r="B461" s="96"/>
    </row>
    <row r="462">
      <c r="B462" s="96"/>
    </row>
    <row r="463">
      <c r="B463" s="96"/>
    </row>
    <row r="464">
      <c r="B464" s="96"/>
    </row>
    <row r="465">
      <c r="B465" s="96"/>
    </row>
    <row r="466">
      <c r="B466" s="96"/>
    </row>
    <row r="467">
      <c r="B467" s="96"/>
    </row>
    <row r="468">
      <c r="B468" s="96"/>
    </row>
    <row r="469">
      <c r="B469" s="96"/>
    </row>
    <row r="470">
      <c r="B470" s="96"/>
    </row>
    <row r="471">
      <c r="B471" s="96"/>
    </row>
    <row r="472">
      <c r="B472" s="96"/>
    </row>
    <row r="473">
      <c r="B473" s="96"/>
    </row>
    <row r="474">
      <c r="B474" s="96"/>
    </row>
    <row r="475">
      <c r="B475" s="96"/>
    </row>
    <row r="476">
      <c r="B476" s="96"/>
    </row>
    <row r="477">
      <c r="B477" s="96"/>
    </row>
    <row r="478">
      <c r="B478" s="96"/>
    </row>
    <row r="479">
      <c r="B479" s="96"/>
    </row>
    <row r="480">
      <c r="B480" s="96"/>
    </row>
    <row r="481">
      <c r="B481" s="96"/>
    </row>
    <row r="482">
      <c r="B482" s="96"/>
    </row>
    <row r="483">
      <c r="B483" s="96"/>
    </row>
    <row r="484">
      <c r="B484" s="96"/>
    </row>
    <row r="485">
      <c r="B485" s="96"/>
    </row>
    <row r="486">
      <c r="B486" s="96"/>
    </row>
    <row r="487">
      <c r="B487" s="96"/>
    </row>
    <row r="488">
      <c r="B488" s="96"/>
    </row>
    <row r="489">
      <c r="B489" s="96"/>
    </row>
    <row r="490">
      <c r="B490" s="96"/>
    </row>
    <row r="491">
      <c r="B491" s="96"/>
    </row>
    <row r="492">
      <c r="B492" s="96"/>
    </row>
    <row r="493">
      <c r="B493" s="96"/>
    </row>
    <row r="494">
      <c r="B494" s="96"/>
    </row>
    <row r="495">
      <c r="B495" s="96"/>
    </row>
    <row r="496">
      <c r="B496" s="96"/>
    </row>
    <row r="497">
      <c r="B497" s="96"/>
    </row>
    <row r="498">
      <c r="B498" s="96"/>
    </row>
    <row r="499">
      <c r="B499" s="96"/>
    </row>
    <row r="500">
      <c r="B500" s="96"/>
    </row>
    <row r="501">
      <c r="B501" s="96"/>
    </row>
    <row r="502">
      <c r="B502" s="96"/>
    </row>
    <row r="503">
      <c r="B503" s="96"/>
    </row>
    <row r="504">
      <c r="B504" s="96"/>
    </row>
    <row r="505">
      <c r="B505" s="96"/>
    </row>
    <row r="506">
      <c r="B506" s="96"/>
    </row>
    <row r="507">
      <c r="B507" s="96"/>
    </row>
    <row r="508">
      <c r="B508" s="96"/>
    </row>
    <row r="509">
      <c r="B509" s="96"/>
    </row>
    <row r="510">
      <c r="B510" s="96"/>
    </row>
    <row r="511">
      <c r="B511" s="96"/>
    </row>
    <row r="512">
      <c r="B512" s="96"/>
    </row>
    <row r="513">
      <c r="B513" s="96"/>
    </row>
    <row r="514">
      <c r="B514" s="96"/>
    </row>
    <row r="515">
      <c r="B515" s="96"/>
    </row>
    <row r="516">
      <c r="B516" s="96"/>
    </row>
    <row r="517">
      <c r="B517" s="96"/>
    </row>
    <row r="518">
      <c r="B518" s="96"/>
    </row>
    <row r="519">
      <c r="B519" s="96"/>
    </row>
    <row r="520">
      <c r="B520" s="96"/>
    </row>
    <row r="521">
      <c r="B521" s="96"/>
    </row>
    <row r="522">
      <c r="B522" s="96"/>
    </row>
    <row r="523">
      <c r="B523" s="96"/>
    </row>
    <row r="524">
      <c r="B524" s="96"/>
    </row>
    <row r="525">
      <c r="B525" s="96"/>
    </row>
    <row r="526">
      <c r="B526" s="96"/>
    </row>
    <row r="527">
      <c r="B527" s="96"/>
    </row>
    <row r="528">
      <c r="B528" s="96"/>
    </row>
    <row r="529">
      <c r="B529" s="96"/>
    </row>
    <row r="530">
      <c r="B530" s="96"/>
    </row>
    <row r="531">
      <c r="B531" s="96"/>
    </row>
    <row r="532">
      <c r="B532" s="96"/>
    </row>
    <row r="533">
      <c r="B533" s="96"/>
    </row>
    <row r="534">
      <c r="B534" s="96"/>
    </row>
    <row r="535">
      <c r="B535" s="96"/>
    </row>
    <row r="536">
      <c r="B536" s="96"/>
    </row>
    <row r="537">
      <c r="B537" s="96"/>
    </row>
    <row r="538">
      <c r="B538" s="96"/>
    </row>
    <row r="539">
      <c r="B539" s="96"/>
    </row>
    <row r="540">
      <c r="B540" s="96"/>
    </row>
    <row r="541">
      <c r="B541" s="96"/>
    </row>
    <row r="542">
      <c r="B542" s="96"/>
    </row>
    <row r="543">
      <c r="B543" s="96"/>
    </row>
    <row r="544">
      <c r="B544" s="96"/>
    </row>
    <row r="545">
      <c r="B545" s="96"/>
    </row>
    <row r="546">
      <c r="B546" s="96"/>
    </row>
    <row r="547">
      <c r="B547" s="96"/>
    </row>
    <row r="548">
      <c r="B548" s="96"/>
    </row>
    <row r="549">
      <c r="B549" s="96"/>
    </row>
    <row r="550">
      <c r="B550" s="96"/>
    </row>
    <row r="551">
      <c r="B551" s="96"/>
    </row>
    <row r="552">
      <c r="B552" s="96"/>
    </row>
    <row r="553">
      <c r="B553" s="96"/>
    </row>
    <row r="554">
      <c r="B554" s="96"/>
    </row>
    <row r="555">
      <c r="B555" s="96"/>
    </row>
    <row r="556">
      <c r="B556" s="96"/>
    </row>
    <row r="557">
      <c r="B557" s="96"/>
    </row>
    <row r="558">
      <c r="B558" s="96"/>
    </row>
    <row r="559">
      <c r="B559" s="96"/>
    </row>
    <row r="560">
      <c r="B560" s="96"/>
    </row>
    <row r="561">
      <c r="B561" s="96"/>
    </row>
    <row r="562">
      <c r="B562" s="96"/>
    </row>
    <row r="563">
      <c r="B563" s="96"/>
    </row>
    <row r="564">
      <c r="B564" s="96"/>
    </row>
    <row r="565">
      <c r="B565" s="96"/>
    </row>
    <row r="566">
      <c r="B566" s="96"/>
    </row>
    <row r="567">
      <c r="B567" s="96"/>
    </row>
    <row r="568">
      <c r="B568" s="96"/>
    </row>
    <row r="569">
      <c r="B569" s="96"/>
    </row>
    <row r="570">
      <c r="B570" s="96"/>
    </row>
    <row r="571">
      <c r="B571" s="96"/>
    </row>
    <row r="572">
      <c r="B572" s="96"/>
    </row>
    <row r="573">
      <c r="B573" s="96"/>
    </row>
    <row r="574">
      <c r="B574" s="96"/>
    </row>
    <row r="575">
      <c r="B575" s="96"/>
    </row>
    <row r="576">
      <c r="B576" s="96"/>
    </row>
    <row r="577">
      <c r="B577" s="96"/>
    </row>
    <row r="578">
      <c r="B578" s="96"/>
    </row>
    <row r="579">
      <c r="B579" s="96"/>
    </row>
    <row r="580">
      <c r="B580" s="96"/>
    </row>
    <row r="581">
      <c r="B581" s="96"/>
    </row>
    <row r="582">
      <c r="B582" s="96"/>
    </row>
    <row r="583">
      <c r="B583" s="96"/>
    </row>
    <row r="584">
      <c r="B584" s="96"/>
    </row>
    <row r="585">
      <c r="B585" s="96"/>
    </row>
    <row r="586">
      <c r="B586" s="96"/>
    </row>
    <row r="587">
      <c r="B587" s="96"/>
    </row>
    <row r="588">
      <c r="B588" s="96"/>
    </row>
    <row r="589">
      <c r="B589" s="96"/>
    </row>
    <row r="590">
      <c r="B590" s="96"/>
    </row>
    <row r="591">
      <c r="B591" s="96"/>
    </row>
    <row r="592">
      <c r="B592" s="96"/>
    </row>
    <row r="593">
      <c r="B593" s="96"/>
    </row>
    <row r="594">
      <c r="B594" s="96"/>
    </row>
    <row r="595">
      <c r="B595" s="96"/>
    </row>
    <row r="596">
      <c r="B596" s="96"/>
    </row>
    <row r="597">
      <c r="B597" s="96"/>
    </row>
    <row r="598">
      <c r="B598" s="96"/>
    </row>
    <row r="599">
      <c r="B599" s="96"/>
    </row>
    <row r="600">
      <c r="B600" s="96"/>
    </row>
    <row r="601">
      <c r="B601" s="96"/>
    </row>
    <row r="602">
      <c r="B602" s="96"/>
    </row>
    <row r="603">
      <c r="B603" s="96"/>
    </row>
    <row r="604">
      <c r="B604" s="96"/>
    </row>
    <row r="605">
      <c r="B605" s="96"/>
    </row>
    <row r="606">
      <c r="B606" s="96"/>
    </row>
    <row r="607">
      <c r="B607" s="96"/>
    </row>
    <row r="608">
      <c r="B608" s="96"/>
    </row>
    <row r="609">
      <c r="B609" s="96"/>
    </row>
    <row r="610">
      <c r="B610" s="96"/>
    </row>
    <row r="611">
      <c r="B611" s="96"/>
    </row>
    <row r="612">
      <c r="B612" s="96"/>
    </row>
    <row r="613">
      <c r="B613" s="96"/>
    </row>
    <row r="614">
      <c r="B614" s="96"/>
    </row>
    <row r="615">
      <c r="B615" s="96"/>
    </row>
    <row r="616">
      <c r="B616" s="96"/>
    </row>
    <row r="617">
      <c r="B617" s="96"/>
    </row>
    <row r="618">
      <c r="B618" s="96"/>
    </row>
    <row r="619">
      <c r="B619" s="96"/>
    </row>
    <row r="620">
      <c r="B620" s="96"/>
    </row>
    <row r="621">
      <c r="B621" s="96"/>
    </row>
    <row r="622">
      <c r="B622" s="96"/>
    </row>
    <row r="623">
      <c r="B623" s="96"/>
    </row>
    <row r="624">
      <c r="B624" s="96"/>
    </row>
    <row r="625">
      <c r="B625" s="96"/>
    </row>
    <row r="626">
      <c r="B626" s="96"/>
    </row>
    <row r="627">
      <c r="B627" s="96"/>
    </row>
    <row r="628">
      <c r="B628" s="96"/>
    </row>
    <row r="629">
      <c r="B629" s="96"/>
    </row>
    <row r="630">
      <c r="B630" s="96"/>
    </row>
    <row r="631">
      <c r="B631" s="96"/>
    </row>
    <row r="632">
      <c r="B632" s="96"/>
    </row>
    <row r="633">
      <c r="B633" s="96"/>
    </row>
    <row r="634">
      <c r="B634" s="96"/>
    </row>
    <row r="635">
      <c r="B635" s="96"/>
    </row>
    <row r="636">
      <c r="B636" s="96"/>
    </row>
    <row r="637">
      <c r="B637" s="96"/>
    </row>
    <row r="638">
      <c r="B638" s="96"/>
    </row>
    <row r="639">
      <c r="B639" s="96"/>
    </row>
    <row r="640">
      <c r="B640" s="96"/>
    </row>
    <row r="641">
      <c r="B641" s="96"/>
    </row>
    <row r="642">
      <c r="B642" s="96"/>
    </row>
    <row r="643">
      <c r="B643" s="96"/>
    </row>
    <row r="644">
      <c r="B644" s="96"/>
    </row>
    <row r="645">
      <c r="B645" s="96"/>
    </row>
    <row r="646">
      <c r="B646" s="96"/>
    </row>
    <row r="647">
      <c r="B647" s="96"/>
    </row>
    <row r="648">
      <c r="B648" s="96"/>
    </row>
    <row r="649">
      <c r="B649" s="96"/>
    </row>
    <row r="650">
      <c r="B650" s="96"/>
    </row>
    <row r="651">
      <c r="B651" s="96"/>
    </row>
    <row r="652">
      <c r="B652" s="96"/>
    </row>
    <row r="653">
      <c r="B653" s="96"/>
    </row>
    <row r="654">
      <c r="B654" s="96"/>
    </row>
    <row r="655">
      <c r="B655" s="96"/>
    </row>
    <row r="656">
      <c r="B656" s="96"/>
    </row>
    <row r="657">
      <c r="B657" s="96"/>
    </row>
    <row r="658">
      <c r="B658" s="96"/>
    </row>
    <row r="659">
      <c r="B659" s="96"/>
    </row>
    <row r="660">
      <c r="B660" s="96"/>
    </row>
    <row r="661">
      <c r="B661" s="96"/>
    </row>
    <row r="662">
      <c r="B662" s="96"/>
    </row>
    <row r="663">
      <c r="B663" s="96"/>
    </row>
    <row r="664">
      <c r="B664" s="96"/>
    </row>
    <row r="665">
      <c r="B665" s="96"/>
    </row>
    <row r="666">
      <c r="B666" s="96"/>
    </row>
    <row r="667">
      <c r="B667" s="96"/>
    </row>
    <row r="668">
      <c r="B668" s="96"/>
    </row>
    <row r="669">
      <c r="B669" s="96"/>
    </row>
    <row r="670">
      <c r="B670" s="96"/>
    </row>
    <row r="671">
      <c r="B671" s="96"/>
    </row>
    <row r="672">
      <c r="B672" s="96"/>
    </row>
    <row r="673">
      <c r="B673" s="96"/>
    </row>
    <row r="674">
      <c r="B674" s="96"/>
    </row>
    <row r="675">
      <c r="B675" s="96"/>
    </row>
    <row r="676">
      <c r="B676" s="96"/>
    </row>
    <row r="677">
      <c r="B677" s="96"/>
    </row>
    <row r="678">
      <c r="B678" s="96"/>
    </row>
    <row r="679">
      <c r="B679" s="96"/>
    </row>
    <row r="680">
      <c r="B680" s="96"/>
    </row>
    <row r="681">
      <c r="B681" s="96"/>
    </row>
    <row r="682">
      <c r="B682" s="96"/>
    </row>
    <row r="683">
      <c r="B683" s="96"/>
    </row>
    <row r="684">
      <c r="B684" s="96"/>
    </row>
    <row r="685">
      <c r="B685" s="96"/>
    </row>
    <row r="686">
      <c r="B686" s="96"/>
    </row>
    <row r="687">
      <c r="B687" s="96"/>
    </row>
    <row r="688">
      <c r="B688" s="96"/>
    </row>
    <row r="689">
      <c r="B689" s="96"/>
    </row>
    <row r="690">
      <c r="B690" s="96"/>
    </row>
    <row r="691">
      <c r="B691" s="96"/>
    </row>
    <row r="692">
      <c r="B692" s="96"/>
    </row>
    <row r="693">
      <c r="B693" s="96"/>
    </row>
    <row r="694">
      <c r="B694" s="96"/>
    </row>
    <row r="695">
      <c r="B695" s="96"/>
    </row>
    <row r="696">
      <c r="B696" s="96"/>
    </row>
    <row r="697">
      <c r="B697" s="96"/>
    </row>
    <row r="698">
      <c r="B698" s="96"/>
    </row>
    <row r="699">
      <c r="B699" s="96"/>
    </row>
    <row r="700">
      <c r="B700" s="96"/>
    </row>
    <row r="701">
      <c r="B701" s="96"/>
    </row>
    <row r="702">
      <c r="B702" s="96"/>
    </row>
    <row r="703">
      <c r="B703" s="96"/>
    </row>
    <row r="704">
      <c r="B704" s="96"/>
    </row>
    <row r="705">
      <c r="B705" s="96"/>
    </row>
    <row r="706">
      <c r="B706" s="96"/>
    </row>
    <row r="707">
      <c r="B707" s="96"/>
    </row>
    <row r="708">
      <c r="B708" s="96"/>
    </row>
    <row r="709">
      <c r="B709" s="96"/>
    </row>
    <row r="710">
      <c r="B710" s="96"/>
    </row>
    <row r="711">
      <c r="B711" s="96"/>
    </row>
    <row r="712">
      <c r="B712" s="96"/>
    </row>
    <row r="713">
      <c r="B713" s="96"/>
    </row>
    <row r="714">
      <c r="B714" s="96"/>
    </row>
    <row r="715">
      <c r="B715" s="96"/>
    </row>
    <row r="716">
      <c r="B716" s="96"/>
    </row>
    <row r="717">
      <c r="B717" s="96"/>
    </row>
    <row r="718">
      <c r="B718" s="96"/>
    </row>
    <row r="719">
      <c r="B719" s="96"/>
    </row>
    <row r="720">
      <c r="B720" s="96"/>
    </row>
    <row r="721">
      <c r="B721" s="96"/>
    </row>
    <row r="722">
      <c r="B722" s="96"/>
    </row>
    <row r="723">
      <c r="B723" s="96"/>
    </row>
    <row r="724">
      <c r="B724" s="96"/>
    </row>
    <row r="725">
      <c r="B725" s="96"/>
    </row>
    <row r="726">
      <c r="B726" s="96"/>
    </row>
    <row r="727">
      <c r="B727" s="96"/>
    </row>
    <row r="728">
      <c r="B728" s="96"/>
    </row>
    <row r="729">
      <c r="B729" s="96"/>
    </row>
    <row r="730">
      <c r="B730" s="96"/>
    </row>
    <row r="731">
      <c r="B731" s="96"/>
    </row>
    <row r="732">
      <c r="B732" s="96"/>
    </row>
    <row r="733">
      <c r="B733" s="96"/>
    </row>
    <row r="734">
      <c r="B734" s="96"/>
    </row>
    <row r="735">
      <c r="B735" s="96"/>
    </row>
    <row r="736">
      <c r="B736" s="96"/>
    </row>
    <row r="737">
      <c r="B737" s="96"/>
    </row>
    <row r="738">
      <c r="B738" s="96"/>
    </row>
    <row r="739">
      <c r="B739" s="96"/>
    </row>
    <row r="740">
      <c r="B740" s="96"/>
    </row>
    <row r="741">
      <c r="B741" s="96"/>
    </row>
    <row r="742">
      <c r="B742" s="96"/>
    </row>
    <row r="743">
      <c r="B743" s="96"/>
    </row>
    <row r="744">
      <c r="B744" s="96"/>
    </row>
    <row r="745">
      <c r="B745" s="96"/>
    </row>
    <row r="746">
      <c r="B746" s="96"/>
    </row>
    <row r="747">
      <c r="B747" s="96"/>
    </row>
    <row r="748">
      <c r="B748" s="96"/>
    </row>
    <row r="749">
      <c r="B749" s="96"/>
    </row>
    <row r="750">
      <c r="B750" s="96"/>
    </row>
    <row r="751">
      <c r="B751" s="96"/>
    </row>
    <row r="752">
      <c r="B752" s="96"/>
    </row>
    <row r="753">
      <c r="B753" s="96"/>
    </row>
    <row r="754">
      <c r="B754" s="96"/>
    </row>
    <row r="755">
      <c r="B755" s="96"/>
    </row>
    <row r="756">
      <c r="B756" s="96"/>
    </row>
    <row r="757">
      <c r="B757" s="96"/>
    </row>
    <row r="758">
      <c r="B758" s="96"/>
    </row>
    <row r="759">
      <c r="B759" s="96"/>
    </row>
    <row r="760">
      <c r="B760" s="96"/>
    </row>
    <row r="761">
      <c r="B761" s="96"/>
    </row>
    <row r="762">
      <c r="B762" s="96"/>
    </row>
    <row r="763">
      <c r="B763" s="96"/>
    </row>
    <row r="764">
      <c r="B764" s="96"/>
    </row>
    <row r="765">
      <c r="B765" s="96"/>
    </row>
    <row r="766">
      <c r="B766" s="96"/>
    </row>
    <row r="767">
      <c r="B767" s="96"/>
    </row>
    <row r="768">
      <c r="B768" s="96"/>
    </row>
    <row r="769">
      <c r="B769" s="96"/>
    </row>
    <row r="770">
      <c r="B770" s="96"/>
    </row>
    <row r="771">
      <c r="B771" s="96"/>
    </row>
    <row r="772">
      <c r="B772" s="96"/>
    </row>
    <row r="773">
      <c r="B773" s="96"/>
    </row>
    <row r="774">
      <c r="B774" s="96"/>
    </row>
    <row r="775">
      <c r="B775" s="96"/>
    </row>
    <row r="776">
      <c r="B776" s="96"/>
    </row>
    <row r="777">
      <c r="B777" s="96"/>
    </row>
    <row r="778">
      <c r="B778" s="96"/>
    </row>
    <row r="779">
      <c r="B779" s="96"/>
    </row>
    <row r="780">
      <c r="B780" s="96"/>
    </row>
    <row r="781">
      <c r="B781" s="96"/>
    </row>
    <row r="782">
      <c r="B782" s="96"/>
    </row>
    <row r="783">
      <c r="B783" s="96"/>
    </row>
    <row r="784">
      <c r="B784" s="96"/>
    </row>
    <row r="785">
      <c r="B785" s="96"/>
    </row>
    <row r="786">
      <c r="B786" s="96"/>
    </row>
    <row r="787">
      <c r="B787" s="96"/>
    </row>
    <row r="788">
      <c r="B788" s="96"/>
    </row>
    <row r="789">
      <c r="B789" s="96"/>
    </row>
    <row r="790">
      <c r="B790" s="96"/>
    </row>
    <row r="791">
      <c r="B791" s="96"/>
    </row>
    <row r="792">
      <c r="B792" s="96"/>
    </row>
    <row r="793">
      <c r="B793" s="96"/>
    </row>
    <row r="794">
      <c r="B794" s="96"/>
    </row>
    <row r="795">
      <c r="B795" s="96"/>
    </row>
    <row r="796">
      <c r="B796" s="96"/>
    </row>
    <row r="797">
      <c r="B797" s="96"/>
    </row>
    <row r="798">
      <c r="B798" s="96"/>
    </row>
    <row r="799">
      <c r="B799" s="96"/>
    </row>
    <row r="800">
      <c r="B800" s="96"/>
    </row>
    <row r="801">
      <c r="B801" s="96"/>
    </row>
    <row r="802">
      <c r="B802" s="96"/>
    </row>
    <row r="803">
      <c r="B803" s="96"/>
    </row>
    <row r="804">
      <c r="B804" s="96"/>
    </row>
    <row r="805">
      <c r="B805" s="96"/>
    </row>
    <row r="806">
      <c r="B806" s="96"/>
    </row>
    <row r="807">
      <c r="B807" s="96"/>
    </row>
    <row r="808">
      <c r="B808" s="96"/>
    </row>
    <row r="809">
      <c r="B809" s="96"/>
    </row>
    <row r="810">
      <c r="B810" s="96"/>
    </row>
    <row r="811">
      <c r="B811" s="96"/>
    </row>
    <row r="812">
      <c r="B812" s="96"/>
    </row>
    <row r="813">
      <c r="B813" s="96"/>
    </row>
    <row r="814">
      <c r="B814" s="96"/>
    </row>
    <row r="815">
      <c r="B815" s="96"/>
    </row>
    <row r="816">
      <c r="B816" s="96"/>
    </row>
    <row r="817">
      <c r="B817" s="96"/>
    </row>
    <row r="818">
      <c r="B818" s="96"/>
    </row>
    <row r="819">
      <c r="B819" s="96"/>
    </row>
    <row r="820">
      <c r="B820" s="96"/>
    </row>
    <row r="821">
      <c r="B821" s="96"/>
    </row>
    <row r="822">
      <c r="B822" s="96"/>
    </row>
    <row r="823">
      <c r="B823" s="96"/>
    </row>
    <row r="824">
      <c r="B824" s="96"/>
    </row>
    <row r="825">
      <c r="B825" s="96"/>
    </row>
    <row r="826">
      <c r="B826" s="96"/>
    </row>
    <row r="827">
      <c r="B827" s="96"/>
    </row>
    <row r="828">
      <c r="B828" s="96"/>
    </row>
    <row r="829">
      <c r="B829" s="96"/>
    </row>
    <row r="830">
      <c r="B830" s="96"/>
    </row>
    <row r="831">
      <c r="B831" s="96"/>
    </row>
    <row r="832">
      <c r="B832" s="96"/>
    </row>
    <row r="833">
      <c r="B833" s="96"/>
    </row>
    <row r="834">
      <c r="B834" s="96"/>
    </row>
    <row r="835">
      <c r="B835" s="96"/>
    </row>
    <row r="836">
      <c r="B836" s="96"/>
    </row>
    <row r="837">
      <c r="B837" s="96"/>
    </row>
    <row r="838">
      <c r="B838" s="96"/>
    </row>
    <row r="839">
      <c r="B839" s="96"/>
    </row>
    <row r="840">
      <c r="B840" s="96"/>
    </row>
    <row r="841">
      <c r="B841" s="96"/>
    </row>
    <row r="842">
      <c r="B842" s="96"/>
    </row>
    <row r="843">
      <c r="B843" s="96"/>
    </row>
    <row r="844">
      <c r="B844" s="96"/>
    </row>
    <row r="845">
      <c r="B845" s="96"/>
    </row>
    <row r="846">
      <c r="B846" s="96"/>
    </row>
    <row r="847">
      <c r="B847" s="96"/>
    </row>
    <row r="848">
      <c r="B848" s="96"/>
    </row>
    <row r="849">
      <c r="B849" s="96"/>
    </row>
    <row r="850">
      <c r="B850" s="96"/>
    </row>
    <row r="851">
      <c r="B851" s="96"/>
    </row>
    <row r="852">
      <c r="B852" s="96"/>
    </row>
    <row r="853">
      <c r="B853" s="96"/>
    </row>
    <row r="854">
      <c r="B854" s="96"/>
    </row>
    <row r="855">
      <c r="B855" s="96"/>
    </row>
    <row r="856">
      <c r="B856" s="96"/>
    </row>
    <row r="857">
      <c r="B857" s="96"/>
    </row>
    <row r="858">
      <c r="B858" s="96"/>
    </row>
    <row r="859">
      <c r="B859" s="96"/>
    </row>
    <row r="860">
      <c r="B860" s="96"/>
    </row>
    <row r="861">
      <c r="B861" s="96"/>
    </row>
    <row r="862">
      <c r="B862" s="96"/>
    </row>
    <row r="863">
      <c r="B863" s="96"/>
    </row>
    <row r="864">
      <c r="B864" s="96"/>
    </row>
    <row r="865">
      <c r="B865" s="96"/>
    </row>
    <row r="866">
      <c r="B866" s="96"/>
    </row>
    <row r="867">
      <c r="B867" s="96"/>
    </row>
    <row r="868">
      <c r="B868" s="96"/>
    </row>
    <row r="869">
      <c r="B869" s="96"/>
    </row>
    <row r="870">
      <c r="B870" s="96"/>
    </row>
    <row r="871">
      <c r="B871" s="96"/>
    </row>
    <row r="872">
      <c r="B872" s="96"/>
    </row>
    <row r="873">
      <c r="B873" s="96"/>
    </row>
    <row r="874">
      <c r="B874" s="96"/>
    </row>
    <row r="875">
      <c r="B875" s="96"/>
    </row>
    <row r="876">
      <c r="B876" s="96"/>
    </row>
    <row r="877">
      <c r="B877" s="96"/>
    </row>
    <row r="878">
      <c r="B878" s="96"/>
    </row>
    <row r="879">
      <c r="B879" s="96"/>
    </row>
    <row r="880">
      <c r="B880" s="96"/>
    </row>
    <row r="881">
      <c r="B881" s="96"/>
    </row>
    <row r="882">
      <c r="B882" s="96"/>
    </row>
    <row r="883">
      <c r="B883" s="96"/>
    </row>
    <row r="884">
      <c r="B884" s="96"/>
    </row>
    <row r="885">
      <c r="B885" s="96"/>
    </row>
    <row r="886">
      <c r="B886" s="96"/>
    </row>
    <row r="887">
      <c r="B887" s="96"/>
    </row>
    <row r="888">
      <c r="B888" s="96"/>
    </row>
    <row r="889">
      <c r="B889" s="96"/>
    </row>
    <row r="890">
      <c r="B890" s="96"/>
    </row>
    <row r="891">
      <c r="B891" s="96"/>
    </row>
    <row r="892">
      <c r="B892" s="96"/>
    </row>
    <row r="893">
      <c r="B893" s="96"/>
    </row>
    <row r="894">
      <c r="B894" s="96"/>
    </row>
    <row r="895">
      <c r="B895" s="96"/>
    </row>
    <row r="896">
      <c r="B896" s="96"/>
    </row>
    <row r="897">
      <c r="B897" s="96"/>
    </row>
    <row r="898">
      <c r="B898" s="96"/>
    </row>
    <row r="899">
      <c r="B899" s="96"/>
    </row>
    <row r="900">
      <c r="B900" s="96"/>
    </row>
    <row r="901">
      <c r="B901" s="96"/>
    </row>
    <row r="902">
      <c r="B902" s="96"/>
    </row>
    <row r="903">
      <c r="B903" s="96"/>
    </row>
    <row r="904">
      <c r="B904" s="96"/>
    </row>
    <row r="905">
      <c r="B905" s="96"/>
    </row>
    <row r="906">
      <c r="B906" s="96"/>
    </row>
    <row r="907">
      <c r="B907" s="96"/>
    </row>
    <row r="908">
      <c r="B908" s="96"/>
    </row>
    <row r="909">
      <c r="B909" s="96"/>
    </row>
    <row r="910">
      <c r="B910" s="96"/>
    </row>
    <row r="911">
      <c r="B911" s="96"/>
    </row>
    <row r="912">
      <c r="B912" s="96"/>
    </row>
    <row r="913">
      <c r="B913" s="96"/>
    </row>
    <row r="914">
      <c r="B914" s="96"/>
    </row>
    <row r="915">
      <c r="B915" s="96"/>
    </row>
    <row r="916">
      <c r="B916" s="96"/>
    </row>
    <row r="917">
      <c r="B917" s="96"/>
    </row>
    <row r="918">
      <c r="B918" s="96"/>
    </row>
    <row r="919">
      <c r="B919" s="96"/>
    </row>
    <row r="920">
      <c r="B920" s="96"/>
    </row>
    <row r="921">
      <c r="B921" s="96"/>
    </row>
    <row r="922">
      <c r="B922" s="96"/>
    </row>
    <row r="923">
      <c r="B923" s="96"/>
    </row>
    <row r="924">
      <c r="B924" s="96"/>
    </row>
    <row r="925">
      <c r="B925" s="96"/>
    </row>
    <row r="926">
      <c r="B926" s="96"/>
    </row>
    <row r="927">
      <c r="B927" s="96"/>
    </row>
    <row r="928">
      <c r="B928" s="96"/>
    </row>
    <row r="929">
      <c r="B929" s="96"/>
    </row>
    <row r="930">
      <c r="B930" s="96"/>
    </row>
    <row r="931">
      <c r="B931" s="96"/>
    </row>
    <row r="932">
      <c r="B932" s="96"/>
    </row>
    <row r="933">
      <c r="B933" s="96"/>
    </row>
    <row r="934">
      <c r="B934" s="96"/>
    </row>
    <row r="935">
      <c r="B935" s="96"/>
    </row>
    <row r="936">
      <c r="B936" s="96"/>
    </row>
    <row r="937">
      <c r="B937" s="96"/>
    </row>
    <row r="938">
      <c r="B938" s="96"/>
    </row>
    <row r="939">
      <c r="B939" s="96"/>
    </row>
    <row r="940">
      <c r="B940" s="96"/>
    </row>
    <row r="941">
      <c r="B941" s="96"/>
    </row>
    <row r="942">
      <c r="B942" s="96"/>
    </row>
    <row r="943">
      <c r="B943" s="96"/>
    </row>
    <row r="944">
      <c r="B944" s="96"/>
    </row>
    <row r="945">
      <c r="B945" s="96"/>
    </row>
    <row r="946">
      <c r="B946" s="96"/>
    </row>
    <row r="947">
      <c r="B947" s="96"/>
    </row>
    <row r="948">
      <c r="B948" s="96"/>
    </row>
    <row r="949">
      <c r="B949" s="96"/>
    </row>
    <row r="950">
      <c r="B950" s="96"/>
    </row>
    <row r="951">
      <c r="B951" s="96"/>
    </row>
    <row r="952">
      <c r="B952" s="96"/>
    </row>
    <row r="953">
      <c r="B953" s="96"/>
    </row>
    <row r="954">
      <c r="B954" s="96"/>
    </row>
    <row r="955">
      <c r="B955" s="96"/>
    </row>
    <row r="956">
      <c r="B956" s="96"/>
    </row>
    <row r="957">
      <c r="B957" s="96"/>
    </row>
    <row r="958">
      <c r="B958" s="96"/>
    </row>
    <row r="959">
      <c r="B959" s="96"/>
    </row>
    <row r="960">
      <c r="B960" s="96"/>
    </row>
    <row r="961">
      <c r="B961" s="96"/>
    </row>
    <row r="962">
      <c r="B962" s="96"/>
    </row>
    <row r="963">
      <c r="B963" s="96"/>
    </row>
    <row r="964">
      <c r="B964" s="96"/>
    </row>
    <row r="965">
      <c r="B965" s="96"/>
    </row>
    <row r="966">
      <c r="B966" s="96"/>
    </row>
    <row r="967">
      <c r="B967" s="96"/>
    </row>
    <row r="968">
      <c r="B968" s="96"/>
    </row>
    <row r="969">
      <c r="B969" s="96"/>
    </row>
    <row r="970">
      <c r="B970" s="96"/>
    </row>
    <row r="971">
      <c r="B971" s="96"/>
    </row>
    <row r="972">
      <c r="B972" s="96"/>
    </row>
    <row r="973">
      <c r="B973" s="96"/>
    </row>
    <row r="974">
      <c r="B974" s="96"/>
    </row>
    <row r="975">
      <c r="B975" s="96"/>
    </row>
    <row r="976">
      <c r="B976" s="96"/>
    </row>
    <row r="977">
      <c r="B977" s="96"/>
    </row>
    <row r="978">
      <c r="B978" s="96"/>
    </row>
    <row r="979">
      <c r="B979" s="96"/>
    </row>
    <row r="980">
      <c r="B980" s="96"/>
    </row>
    <row r="981">
      <c r="B981" s="96"/>
    </row>
    <row r="982">
      <c r="B982" s="96"/>
    </row>
    <row r="983">
      <c r="B983" s="96"/>
    </row>
    <row r="984">
      <c r="B984" s="96"/>
    </row>
    <row r="985">
      <c r="B985" s="96"/>
    </row>
    <row r="986">
      <c r="B986" s="96"/>
    </row>
    <row r="987">
      <c r="B987" s="96"/>
    </row>
    <row r="988">
      <c r="B988" s="96"/>
    </row>
    <row r="989">
      <c r="B989" s="96"/>
    </row>
    <row r="990">
      <c r="B990" s="96"/>
    </row>
    <row r="991">
      <c r="B991" s="96"/>
    </row>
    <row r="992">
      <c r="B992" s="96"/>
    </row>
    <row r="993">
      <c r="B993" s="96"/>
    </row>
    <row r="994">
      <c r="B994" s="96"/>
    </row>
    <row r="995">
      <c r="B995" s="96"/>
    </row>
    <row r="996">
      <c r="B996" s="96"/>
    </row>
    <row r="997">
      <c r="B997" s="96"/>
    </row>
    <row r="998">
      <c r="B998" s="96"/>
    </row>
    <row r="999">
      <c r="B999" s="96"/>
    </row>
    <row r="1000">
      <c r="B1000" s="96"/>
    </row>
  </sheetData>
  <mergeCells count="2">
    <mergeCell ref="A1:C1"/>
    <mergeCell ref="A3:C3"/>
  </mergeCells>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7" t="s">
        <v>127</v>
      </c>
      <c r="B1" s="97" t="s">
        <v>101</v>
      </c>
      <c r="C1" s="98" t="s">
        <v>128</v>
      </c>
      <c r="D1" s="98" t="s">
        <v>129</v>
      </c>
      <c r="E1" s="98" t="s">
        <v>130</v>
      </c>
      <c r="F1" s="98" t="s">
        <v>131</v>
      </c>
      <c r="G1" s="2" t="s">
        <v>132</v>
      </c>
      <c r="H1" s="2" t="s">
        <v>133</v>
      </c>
      <c r="I1" s="2" t="s">
        <v>134</v>
      </c>
      <c r="J1" s="2" t="s">
        <v>135</v>
      </c>
      <c r="K1" s="2" t="s">
        <v>136</v>
      </c>
      <c r="L1" s="2" t="s">
        <v>137</v>
      </c>
    </row>
    <row r="2">
      <c r="A2" s="57" t="s">
        <v>138</v>
      </c>
      <c r="B2" s="99">
        <v>2023.0</v>
      </c>
      <c r="C2" s="100">
        <v>148165.64</v>
      </c>
      <c r="D2" s="100">
        <v>71330.38</v>
      </c>
      <c r="E2" s="100">
        <v>0.0</v>
      </c>
      <c r="F2" s="100">
        <v>28796.08</v>
      </c>
      <c r="G2" s="37">
        <f t="shared" ref="G2:G201" si="2">SUM(C2:F2)</f>
        <v>248292.1</v>
      </c>
      <c r="H2" s="101">
        <f t="shared" ref="H2:H201" si="3">G2/$G$202</f>
        <v>0.0006686176011</v>
      </c>
      <c r="I2" s="101">
        <f t="shared" ref="I2:L2" si="1">C2/$G2</f>
        <v>0.5967392438</v>
      </c>
      <c r="J2" s="101">
        <f t="shared" si="1"/>
        <v>0.2872841303</v>
      </c>
      <c r="K2" s="101">
        <f t="shared" si="1"/>
        <v>0</v>
      </c>
      <c r="L2" s="101">
        <f t="shared" si="1"/>
        <v>0.1159766259</v>
      </c>
      <c r="N2" s="3" t="s">
        <v>139</v>
      </c>
    </row>
    <row r="3">
      <c r="A3" s="57" t="s">
        <v>140</v>
      </c>
      <c r="B3" s="99">
        <v>2023.0</v>
      </c>
      <c r="C3" s="100">
        <v>23138.0</v>
      </c>
      <c r="D3" s="100">
        <v>28412.0</v>
      </c>
      <c r="E3" s="100">
        <v>6532.0</v>
      </c>
      <c r="F3" s="100">
        <v>17967.0</v>
      </c>
      <c r="G3" s="37">
        <f t="shared" si="2"/>
        <v>76049</v>
      </c>
      <c r="H3" s="101">
        <f t="shared" si="3"/>
        <v>0.0002047898421</v>
      </c>
      <c r="I3" s="101">
        <f t="shared" ref="I3:L3" si="4">C3/$G3</f>
        <v>0.3042512065</v>
      </c>
      <c r="J3" s="101">
        <f t="shared" si="4"/>
        <v>0.3736012308</v>
      </c>
      <c r="K3" s="101">
        <f t="shared" si="4"/>
        <v>0.08589199069</v>
      </c>
      <c r="L3" s="101">
        <f t="shared" si="4"/>
        <v>0.2362555721</v>
      </c>
      <c r="N3" s="32" t="s">
        <v>141</v>
      </c>
    </row>
    <row r="4">
      <c r="A4" s="57" t="s">
        <v>142</v>
      </c>
      <c r="B4" s="99">
        <v>2023.0</v>
      </c>
      <c r="C4" s="100">
        <v>398936.97</v>
      </c>
      <c r="D4" s="100">
        <v>138000.0</v>
      </c>
      <c r="E4" s="100">
        <v>106.59</v>
      </c>
      <c r="F4" s="100">
        <v>458093.9</v>
      </c>
      <c r="G4" s="37">
        <f t="shared" si="2"/>
        <v>995137.46</v>
      </c>
      <c r="H4" s="101">
        <f t="shared" si="3"/>
        <v>0.002679772821</v>
      </c>
      <c r="I4" s="101">
        <f t="shared" ref="I4:L4" si="5">C4/$G4</f>
        <v>0.4008862956</v>
      </c>
      <c r="J4" s="101">
        <f t="shared" si="5"/>
        <v>0.1386743094</v>
      </c>
      <c r="K4" s="101">
        <f t="shared" si="5"/>
        <v>0.0001071108307</v>
      </c>
      <c r="L4" s="101">
        <f t="shared" si="5"/>
        <v>0.4603322841</v>
      </c>
    </row>
    <row r="5">
      <c r="A5" s="57" t="s">
        <v>143</v>
      </c>
      <c r="B5" s="99">
        <v>2023.0</v>
      </c>
      <c r="C5" s="100">
        <v>23704.96</v>
      </c>
      <c r="D5" s="100">
        <v>105926.0</v>
      </c>
      <c r="E5" s="100">
        <v>179370.55</v>
      </c>
      <c r="F5" s="100">
        <v>60236.37</v>
      </c>
      <c r="G5" s="37">
        <f t="shared" si="2"/>
        <v>369237.88</v>
      </c>
      <c r="H5" s="101">
        <f t="shared" si="3"/>
        <v>0.0009943085003</v>
      </c>
      <c r="I5" s="101">
        <f t="shared" ref="I5:L5" si="6">C5/$G5</f>
        <v>0.06419969695</v>
      </c>
      <c r="J5" s="101">
        <f t="shared" si="6"/>
        <v>0.2868773919</v>
      </c>
      <c r="K5" s="101">
        <f t="shared" si="6"/>
        <v>0.4857858842</v>
      </c>
      <c r="L5" s="101">
        <f t="shared" si="6"/>
        <v>0.163137027</v>
      </c>
    </row>
    <row r="6">
      <c r="A6" s="57" t="s">
        <v>144</v>
      </c>
      <c r="B6" s="99">
        <v>2023.0</v>
      </c>
      <c r="C6" s="100">
        <v>3.64</v>
      </c>
      <c r="D6" s="100">
        <v>39.61</v>
      </c>
      <c r="E6" s="100">
        <v>44.09</v>
      </c>
      <c r="F6" s="100">
        <v>17.06</v>
      </c>
      <c r="G6" s="37">
        <f t="shared" si="2"/>
        <v>104.4</v>
      </c>
      <c r="H6" s="101">
        <f t="shared" si="3"/>
        <v>0.0000002811353142</v>
      </c>
      <c r="I6" s="101">
        <f t="shared" ref="I6:L6" si="7">C6/$G6</f>
        <v>0.03486590038</v>
      </c>
      <c r="J6" s="101">
        <f t="shared" si="7"/>
        <v>0.3794061303</v>
      </c>
      <c r="K6" s="101">
        <f t="shared" si="7"/>
        <v>0.4223180077</v>
      </c>
      <c r="L6" s="101">
        <f t="shared" si="7"/>
        <v>0.1634099617</v>
      </c>
    </row>
    <row r="7">
      <c r="A7" s="57" t="s">
        <v>145</v>
      </c>
      <c r="B7" s="99">
        <v>2023.0</v>
      </c>
      <c r="C7" s="100">
        <v>50204.78</v>
      </c>
      <c r="D7" s="100">
        <v>3287045.8</v>
      </c>
      <c r="E7" s="100">
        <v>762163.56</v>
      </c>
      <c r="F7" s="100">
        <v>2328563.0</v>
      </c>
      <c r="G7" s="37">
        <f t="shared" si="2"/>
        <v>6427977.14</v>
      </c>
      <c r="H7" s="101">
        <f t="shared" si="3"/>
        <v>0.01730968748</v>
      </c>
      <c r="I7" s="101">
        <f t="shared" ref="I7:L7" si="8">C7/$G7</f>
        <v>0.007810354472</v>
      </c>
      <c r="J7" s="101">
        <f t="shared" si="8"/>
        <v>0.5113655087</v>
      </c>
      <c r="K7" s="101">
        <f t="shared" si="8"/>
        <v>0.1185697372</v>
      </c>
      <c r="L7" s="101">
        <f t="shared" si="8"/>
        <v>0.3622543997</v>
      </c>
    </row>
    <row r="8">
      <c r="A8" s="57" t="s">
        <v>146</v>
      </c>
      <c r="B8" s="99">
        <v>2023.0</v>
      </c>
      <c r="C8" s="100">
        <v>10926.35</v>
      </c>
      <c r="D8" s="100">
        <v>60500.0</v>
      </c>
      <c r="E8" s="100">
        <v>15100.0</v>
      </c>
      <c r="F8" s="100">
        <v>13800.0</v>
      </c>
      <c r="G8" s="37">
        <f t="shared" si="2"/>
        <v>100326.35</v>
      </c>
      <c r="H8" s="101">
        <f t="shared" si="3"/>
        <v>0.0002701655166</v>
      </c>
      <c r="I8" s="101">
        <f t="shared" ref="I8:L8" si="9">C8/$G8</f>
        <v>0.1089080785</v>
      </c>
      <c r="J8" s="101">
        <f t="shared" si="9"/>
        <v>0.6030320051</v>
      </c>
      <c r="K8" s="101">
        <f t="shared" si="9"/>
        <v>0.1505088145</v>
      </c>
      <c r="L8" s="101">
        <f t="shared" si="9"/>
        <v>0.137551102</v>
      </c>
    </row>
    <row r="9">
      <c r="A9" s="57" t="s">
        <v>147</v>
      </c>
      <c r="B9" s="99">
        <v>2023.0</v>
      </c>
      <c r="C9" s="100">
        <v>887021.0</v>
      </c>
      <c r="D9" s="100">
        <v>2236234.0</v>
      </c>
      <c r="E9" s="100">
        <v>466466.0</v>
      </c>
      <c r="F9" s="100">
        <v>1463274.4</v>
      </c>
      <c r="G9" s="37">
        <f t="shared" si="2"/>
        <v>5052995.4</v>
      </c>
      <c r="H9" s="101">
        <f t="shared" si="3"/>
        <v>0.01360704454</v>
      </c>
      <c r="I9" s="101">
        <f t="shared" ref="I9:L9" si="10">C9/$G9</f>
        <v>0.1755435993</v>
      </c>
      <c r="J9" s="101">
        <f t="shared" si="10"/>
        <v>0.4425561124</v>
      </c>
      <c r="K9" s="101">
        <f t="shared" si="10"/>
        <v>0.09231474859</v>
      </c>
      <c r="L9" s="101">
        <f t="shared" si="10"/>
        <v>0.2895855397</v>
      </c>
    </row>
    <row r="10">
      <c r="A10" s="57" t="s">
        <v>148</v>
      </c>
      <c r="B10" s="99">
        <v>2023.0</v>
      </c>
      <c r="C10" s="100">
        <v>7590.0</v>
      </c>
      <c r="D10" s="100">
        <v>204580.0</v>
      </c>
      <c r="E10" s="100">
        <v>454260.0</v>
      </c>
      <c r="F10" s="100">
        <v>149492.14</v>
      </c>
      <c r="G10" s="37">
        <f t="shared" si="2"/>
        <v>815922.14</v>
      </c>
      <c r="H10" s="101">
        <f t="shared" si="3"/>
        <v>0.002197169801</v>
      </c>
      <c r="I10" s="101">
        <f t="shared" ref="I10:L10" si="11">C10/$G10</f>
        <v>0.009302358188</v>
      </c>
      <c r="J10" s="101">
        <f t="shared" si="11"/>
        <v>0.2507347086</v>
      </c>
      <c r="K10" s="101">
        <f t="shared" si="11"/>
        <v>0.5567442992</v>
      </c>
      <c r="L10" s="101">
        <f t="shared" si="11"/>
        <v>0.1832186341</v>
      </c>
    </row>
    <row r="11">
      <c r="A11" s="57" t="s">
        <v>149</v>
      </c>
      <c r="B11" s="99">
        <v>2023.0</v>
      </c>
      <c r="C11" s="100">
        <v>88946.0</v>
      </c>
      <c r="D11" s="100">
        <v>152787.0</v>
      </c>
      <c r="E11" s="100">
        <v>492.0</v>
      </c>
      <c r="F11" s="100">
        <v>137501.0</v>
      </c>
      <c r="G11" s="37">
        <f t="shared" si="2"/>
        <v>379726</v>
      </c>
      <c r="H11" s="101">
        <f t="shared" si="3"/>
        <v>0.001022551612</v>
      </c>
      <c r="I11" s="101">
        <f t="shared" ref="I11:L11" si="12">C11/$G11</f>
        <v>0.2342373185</v>
      </c>
      <c r="J11" s="101">
        <f t="shared" si="12"/>
        <v>0.4023611762</v>
      </c>
      <c r="K11" s="101">
        <f t="shared" si="12"/>
        <v>0.001295671089</v>
      </c>
      <c r="L11" s="101">
        <f t="shared" si="12"/>
        <v>0.3621058342</v>
      </c>
    </row>
    <row r="12">
      <c r="A12" s="57" t="s">
        <v>150</v>
      </c>
      <c r="B12" s="99">
        <v>2023.0</v>
      </c>
      <c r="C12" s="100">
        <v>104.42</v>
      </c>
      <c r="D12" s="100">
        <v>18.65</v>
      </c>
      <c r="E12" s="100">
        <v>323.92</v>
      </c>
      <c r="F12" s="100">
        <v>6003.87</v>
      </c>
      <c r="G12" s="37">
        <f t="shared" si="2"/>
        <v>6450.86</v>
      </c>
      <c r="H12" s="101">
        <f t="shared" si="3"/>
        <v>0.00001737130798</v>
      </c>
      <c r="I12" s="101">
        <f t="shared" ref="I12:L12" si="13">C12/$G12</f>
        <v>0.01618698902</v>
      </c>
      <c r="J12" s="101">
        <f t="shared" si="13"/>
        <v>0.00289108739</v>
      </c>
      <c r="K12" s="101">
        <f t="shared" si="13"/>
        <v>0.05021345991</v>
      </c>
      <c r="L12" s="101">
        <f t="shared" si="13"/>
        <v>0.9307084637</v>
      </c>
    </row>
    <row r="13">
      <c r="A13" s="57" t="s">
        <v>151</v>
      </c>
      <c r="B13" s="99">
        <v>2023.0</v>
      </c>
      <c r="C13" s="100">
        <v>26694.03</v>
      </c>
      <c r="D13" s="100">
        <v>782.41</v>
      </c>
      <c r="E13" s="100">
        <v>0.0</v>
      </c>
      <c r="F13" s="100">
        <v>8788.63</v>
      </c>
      <c r="G13" s="37">
        <f t="shared" si="2"/>
        <v>36265.07</v>
      </c>
      <c r="H13" s="101">
        <f t="shared" si="3"/>
        <v>0.00009765701006</v>
      </c>
      <c r="I13" s="101">
        <f t="shared" ref="I13:L13" si="14">C13/$G13</f>
        <v>0.7360810278</v>
      </c>
      <c r="J13" s="101">
        <f t="shared" si="14"/>
        <v>0.02157475499</v>
      </c>
      <c r="K13" s="101">
        <f t="shared" si="14"/>
        <v>0</v>
      </c>
      <c r="L13" s="101">
        <f t="shared" si="14"/>
        <v>0.2423442172</v>
      </c>
    </row>
    <row r="14">
      <c r="A14" s="57" t="s">
        <v>152</v>
      </c>
      <c r="B14" s="99">
        <v>2023.0</v>
      </c>
      <c r="C14" s="100">
        <v>247632.56</v>
      </c>
      <c r="D14" s="100">
        <v>209642.11</v>
      </c>
      <c r="E14" s="100">
        <v>0.0</v>
      </c>
      <c r="F14" s="100">
        <v>291126.4</v>
      </c>
      <c r="G14" s="37">
        <f t="shared" si="2"/>
        <v>748401.07</v>
      </c>
      <c r="H14" s="101">
        <f t="shared" si="3"/>
        <v>0.00201534454</v>
      </c>
      <c r="I14" s="101">
        <f t="shared" ref="I14:L14" si="15">C14/$G14</f>
        <v>0.3308821565</v>
      </c>
      <c r="J14" s="101">
        <f t="shared" si="15"/>
        <v>0.280120003</v>
      </c>
      <c r="K14" s="101">
        <f t="shared" si="15"/>
        <v>0</v>
      </c>
      <c r="L14" s="101">
        <f t="shared" si="15"/>
        <v>0.3889978404</v>
      </c>
    </row>
    <row r="15">
      <c r="A15" s="57" t="s">
        <v>153</v>
      </c>
      <c r="B15" s="99">
        <v>2023.0</v>
      </c>
      <c r="C15" s="100">
        <v>124.0</v>
      </c>
      <c r="D15" s="100">
        <v>166.06</v>
      </c>
      <c r="E15" s="100">
        <v>2575.87</v>
      </c>
      <c r="F15" s="100">
        <v>15184.04</v>
      </c>
      <c r="G15" s="37">
        <f t="shared" si="2"/>
        <v>18049.97</v>
      </c>
      <c r="H15" s="101">
        <f t="shared" si="3"/>
        <v>0.00004860616847</v>
      </c>
      <c r="I15" s="101">
        <f t="shared" ref="I15:L15" si="16">C15/$G15</f>
        <v>0.006869817512</v>
      </c>
      <c r="J15" s="101">
        <f t="shared" si="16"/>
        <v>0.009200015291</v>
      </c>
      <c r="K15" s="101">
        <f t="shared" si="16"/>
        <v>0.1427077164</v>
      </c>
      <c r="L15" s="101">
        <f t="shared" si="16"/>
        <v>0.8412224508</v>
      </c>
    </row>
    <row r="16">
      <c r="A16" s="57" t="s">
        <v>154</v>
      </c>
      <c r="B16" s="99">
        <v>2023.0</v>
      </c>
      <c r="C16" s="100">
        <v>1000.0</v>
      </c>
      <c r="D16" s="100">
        <v>375000.0</v>
      </c>
      <c r="E16" s="100">
        <v>375200.0</v>
      </c>
      <c r="F16" s="100">
        <v>483554.56</v>
      </c>
      <c r="G16" s="37">
        <f t="shared" si="2"/>
        <v>1234754.56</v>
      </c>
      <c r="H16" s="101">
        <f t="shared" si="3"/>
        <v>0.003325029801</v>
      </c>
      <c r="I16" s="101">
        <f t="shared" ref="I16:L16" si="17">C16/$G16</f>
        <v>0.0008098775517</v>
      </c>
      <c r="J16" s="101">
        <f t="shared" si="17"/>
        <v>0.3037040819</v>
      </c>
      <c r="K16" s="101">
        <f t="shared" si="17"/>
        <v>0.3038660574</v>
      </c>
      <c r="L16" s="101">
        <f t="shared" si="17"/>
        <v>0.3916199832</v>
      </c>
    </row>
    <row r="17">
      <c r="A17" s="57" t="s">
        <v>155</v>
      </c>
      <c r="B17" s="99">
        <v>2023.0</v>
      </c>
      <c r="C17" s="100">
        <v>2290.0</v>
      </c>
      <c r="D17" s="100">
        <v>240180.0</v>
      </c>
      <c r="E17" s="100">
        <v>929820.0</v>
      </c>
      <c r="F17" s="100">
        <v>428160.0</v>
      </c>
      <c r="G17" s="37">
        <f t="shared" si="2"/>
        <v>1600450</v>
      </c>
      <c r="H17" s="101">
        <f t="shared" si="3"/>
        <v>0.004309798982</v>
      </c>
      <c r="I17" s="101">
        <f t="shared" ref="I17:L17" si="18">C17/$G17</f>
        <v>0.001430847574</v>
      </c>
      <c r="J17" s="101">
        <f t="shared" si="18"/>
        <v>0.1500702927</v>
      </c>
      <c r="K17" s="101">
        <f t="shared" si="18"/>
        <v>0.580974101</v>
      </c>
      <c r="L17" s="101">
        <f t="shared" si="18"/>
        <v>0.2675247587</v>
      </c>
    </row>
    <row r="18">
      <c r="A18" s="57" t="s">
        <v>156</v>
      </c>
      <c r="B18" s="99">
        <v>2023.0</v>
      </c>
      <c r="C18" s="100">
        <v>129.95</v>
      </c>
      <c r="D18" s="100">
        <v>1891.0</v>
      </c>
      <c r="E18" s="100">
        <v>2220.0</v>
      </c>
      <c r="F18" s="100">
        <v>22370.75</v>
      </c>
      <c r="G18" s="37">
        <f t="shared" si="2"/>
        <v>26611.7</v>
      </c>
      <c r="H18" s="101">
        <f t="shared" si="3"/>
        <v>0.0000716617686</v>
      </c>
      <c r="I18" s="101">
        <f t="shared" ref="I18:L18" si="19">C18/$G18</f>
        <v>0.004883190476</v>
      </c>
      <c r="J18" s="101">
        <f t="shared" si="19"/>
        <v>0.0710589703</v>
      </c>
      <c r="K18" s="101">
        <f t="shared" si="19"/>
        <v>0.0834219535</v>
      </c>
      <c r="L18" s="101">
        <f t="shared" si="19"/>
        <v>0.8406358857</v>
      </c>
    </row>
    <row r="19">
      <c r="A19" s="57" t="s">
        <v>157</v>
      </c>
      <c r="B19" s="99">
        <v>2023.0</v>
      </c>
      <c r="C19" s="100">
        <v>27664.0</v>
      </c>
      <c r="D19" s="100">
        <v>42980.0</v>
      </c>
      <c r="E19" s="100">
        <v>11630.0</v>
      </c>
      <c r="F19" s="100">
        <v>9675.16</v>
      </c>
      <c r="G19" s="37">
        <f t="shared" si="2"/>
        <v>91949.16</v>
      </c>
      <c r="H19" s="101">
        <f t="shared" si="3"/>
        <v>0.0002476068582</v>
      </c>
      <c r="I19" s="101">
        <f t="shared" ref="I19:L19" si="20">C19/$G19</f>
        <v>0.3008619111</v>
      </c>
      <c r="J19" s="101">
        <f t="shared" si="20"/>
        <v>0.4674322202</v>
      </c>
      <c r="K19" s="101">
        <f t="shared" si="20"/>
        <v>0.1264829391</v>
      </c>
      <c r="L19" s="101">
        <f t="shared" si="20"/>
        <v>0.1052229297</v>
      </c>
    </row>
    <row r="20">
      <c r="A20" s="57" t="s">
        <v>158</v>
      </c>
      <c r="B20" s="99">
        <v>2023.0</v>
      </c>
      <c r="C20" s="100">
        <v>253.19</v>
      </c>
      <c r="D20" s="100">
        <v>1607.15</v>
      </c>
      <c r="E20" s="100">
        <v>1590.47</v>
      </c>
      <c r="F20" s="100">
        <v>1165.12</v>
      </c>
      <c r="G20" s="37">
        <f t="shared" si="2"/>
        <v>4615.93</v>
      </c>
      <c r="H20" s="101">
        <f t="shared" si="3"/>
        <v>0.00001243008555</v>
      </c>
      <c r="I20" s="101">
        <f t="shared" ref="I20:L20" si="21">C20/$G20</f>
        <v>0.05485135173</v>
      </c>
      <c r="J20" s="101">
        <f t="shared" si="21"/>
        <v>0.3481746907</v>
      </c>
      <c r="K20" s="101">
        <f t="shared" si="21"/>
        <v>0.3445611177</v>
      </c>
      <c r="L20" s="101">
        <f t="shared" si="21"/>
        <v>0.2524128399</v>
      </c>
    </row>
    <row r="21">
      <c r="A21" s="57" t="s">
        <v>159</v>
      </c>
      <c r="B21" s="99">
        <v>2023.0</v>
      </c>
      <c r="C21" s="100">
        <v>40841.0</v>
      </c>
      <c r="D21" s="100">
        <v>326596.0</v>
      </c>
      <c r="E21" s="100">
        <v>128257.0</v>
      </c>
      <c r="F21" s="100">
        <v>549800.0</v>
      </c>
      <c r="G21" s="37">
        <f t="shared" si="2"/>
        <v>1045494</v>
      </c>
      <c r="H21" s="101">
        <f t="shared" si="3"/>
        <v>0.002815376286</v>
      </c>
      <c r="I21" s="101">
        <f t="shared" ref="I21:L21" si="22">C21/$G21</f>
        <v>0.03906383011</v>
      </c>
      <c r="J21" s="101">
        <f t="shared" si="22"/>
        <v>0.3123843848</v>
      </c>
      <c r="K21" s="101">
        <f t="shared" si="22"/>
        <v>0.122675979</v>
      </c>
      <c r="L21" s="101">
        <f t="shared" si="22"/>
        <v>0.5258758061</v>
      </c>
    </row>
    <row r="22">
      <c r="A22" s="57" t="s">
        <v>160</v>
      </c>
      <c r="B22" s="99">
        <v>2023.0</v>
      </c>
      <c r="C22" s="100">
        <v>1365.0</v>
      </c>
      <c r="D22" s="100">
        <v>10125.0</v>
      </c>
      <c r="E22" s="100">
        <v>6819.0</v>
      </c>
      <c r="F22" s="100">
        <v>70708.0</v>
      </c>
      <c r="G22" s="37">
        <f t="shared" si="2"/>
        <v>89017</v>
      </c>
      <c r="H22" s="101">
        <f t="shared" si="3"/>
        <v>0.0002397109413</v>
      </c>
      <c r="I22" s="101">
        <f t="shared" ref="I22:L22" si="23">C22/$G22</f>
        <v>0.01533414966</v>
      </c>
      <c r="J22" s="101">
        <f t="shared" si="23"/>
        <v>0.1137423189</v>
      </c>
      <c r="K22" s="101">
        <f t="shared" si="23"/>
        <v>0.07660334543</v>
      </c>
      <c r="L22" s="101">
        <f t="shared" si="23"/>
        <v>0.794320186</v>
      </c>
    </row>
    <row r="23">
      <c r="A23" s="57" t="s">
        <v>161</v>
      </c>
      <c r="B23" s="99">
        <v>2023.0</v>
      </c>
      <c r="C23" s="100">
        <v>5493.5</v>
      </c>
      <c r="D23" s="100">
        <v>68756.0</v>
      </c>
      <c r="E23" s="100">
        <v>989.0</v>
      </c>
      <c r="F23" s="100">
        <v>1474.9</v>
      </c>
      <c r="G23" s="37">
        <f t="shared" si="2"/>
        <v>76713.4</v>
      </c>
      <c r="H23" s="101">
        <f t="shared" si="3"/>
        <v>0.0002065789829</v>
      </c>
      <c r="I23" s="101">
        <f t="shared" ref="I23:L23" si="24">C23/$G23</f>
        <v>0.07161069644</v>
      </c>
      <c r="J23" s="101">
        <f t="shared" si="24"/>
        <v>0.8962710556</v>
      </c>
      <c r="K23" s="101">
        <f t="shared" si="24"/>
        <v>0.0128921414</v>
      </c>
      <c r="L23" s="101">
        <f t="shared" si="24"/>
        <v>0.01922610652</v>
      </c>
    </row>
    <row r="24">
      <c r="A24" s="57" t="s">
        <v>162</v>
      </c>
      <c r="B24" s="99">
        <v>2023.0</v>
      </c>
      <c r="C24" s="100">
        <v>149175.33</v>
      </c>
      <c r="D24" s="100">
        <v>1.116E7</v>
      </c>
      <c r="E24" s="100">
        <v>5298566.0</v>
      </c>
      <c r="F24" s="100">
        <v>1.4971015E7</v>
      </c>
      <c r="G24" s="37">
        <f t="shared" si="2"/>
        <v>31578756.33</v>
      </c>
      <c r="H24" s="101">
        <f t="shared" si="3"/>
        <v>0.08503739066</v>
      </c>
      <c r="I24" s="101">
        <f t="shared" ref="I24:L24" si="25">C24/$G24</f>
        <v>0.004723914028</v>
      </c>
      <c r="J24" s="101">
        <f t="shared" si="25"/>
        <v>0.3534021379</v>
      </c>
      <c r="K24" s="101">
        <f t="shared" si="25"/>
        <v>0.1677889384</v>
      </c>
      <c r="L24" s="101">
        <f t="shared" si="25"/>
        <v>0.4740850097</v>
      </c>
    </row>
    <row r="25">
      <c r="A25" s="57" t="s">
        <v>163</v>
      </c>
      <c r="B25" s="99">
        <v>2023.0</v>
      </c>
      <c r="C25" s="100">
        <v>51.98</v>
      </c>
      <c r="D25" s="100">
        <v>1516.84</v>
      </c>
      <c r="E25" s="100">
        <v>30.29</v>
      </c>
      <c r="F25" s="100">
        <v>29161.13</v>
      </c>
      <c r="G25" s="37">
        <f t="shared" si="2"/>
        <v>30760.24</v>
      </c>
      <c r="H25" s="101">
        <f t="shared" si="3"/>
        <v>0.00008283323505</v>
      </c>
      <c r="I25" s="101">
        <f t="shared" ref="I25:L25" si="26">C25/$G25</f>
        <v>0.001689843772</v>
      </c>
      <c r="J25" s="101">
        <f t="shared" si="26"/>
        <v>0.04931170888</v>
      </c>
      <c r="K25" s="101">
        <f t="shared" si="26"/>
        <v>0.0009847127331</v>
      </c>
      <c r="L25" s="101">
        <f t="shared" si="26"/>
        <v>0.9480137346</v>
      </c>
    </row>
    <row r="26">
      <c r="A26" s="57" t="s">
        <v>164</v>
      </c>
      <c r="B26" s="99">
        <v>2023.0</v>
      </c>
      <c r="C26" s="100">
        <v>9220.0</v>
      </c>
      <c r="D26" s="100">
        <v>17373.0</v>
      </c>
      <c r="E26" s="100">
        <v>79630.0</v>
      </c>
      <c r="F26" s="102"/>
      <c r="G26" s="37">
        <f t="shared" si="2"/>
        <v>106223</v>
      </c>
      <c r="H26" s="101">
        <f t="shared" si="3"/>
        <v>0.0002860444108</v>
      </c>
      <c r="I26" s="101">
        <f t="shared" ref="I26:L26" si="27">C26/$G26</f>
        <v>0.08679852763</v>
      </c>
      <c r="J26" s="101">
        <f t="shared" si="27"/>
        <v>0.1635521497</v>
      </c>
      <c r="K26" s="101">
        <f t="shared" si="27"/>
        <v>0.7496493227</v>
      </c>
      <c r="L26" s="101">
        <f t="shared" si="27"/>
        <v>0</v>
      </c>
    </row>
    <row r="27">
      <c r="A27" s="57" t="s">
        <v>165</v>
      </c>
      <c r="B27" s="99">
        <v>2023.0</v>
      </c>
      <c r="C27" s="100">
        <v>50976.95</v>
      </c>
      <c r="D27" s="100">
        <v>132162.31</v>
      </c>
      <c r="E27" s="100">
        <v>184788.77</v>
      </c>
      <c r="F27" s="100">
        <v>152711.0</v>
      </c>
      <c r="G27" s="37">
        <f t="shared" si="2"/>
        <v>520639.03</v>
      </c>
      <c r="H27" s="101">
        <f t="shared" si="3"/>
        <v>0.00140201166</v>
      </c>
      <c r="I27" s="101">
        <f t="shared" ref="I27:L27" si="28">C27/$G27</f>
        <v>0.09791227139</v>
      </c>
      <c r="J27" s="101">
        <f t="shared" si="28"/>
        <v>0.2538463357</v>
      </c>
      <c r="K27" s="101">
        <f t="shared" si="28"/>
        <v>0.3549268483</v>
      </c>
      <c r="L27" s="101">
        <f t="shared" si="28"/>
        <v>0.2933145446</v>
      </c>
    </row>
    <row r="28">
      <c r="A28" s="57" t="s">
        <v>166</v>
      </c>
      <c r="B28" s="99">
        <v>2023.0</v>
      </c>
      <c r="C28" s="100">
        <v>4179.28</v>
      </c>
      <c r="D28" s="100">
        <v>16155.77</v>
      </c>
      <c r="E28" s="100">
        <v>12301.97</v>
      </c>
      <c r="F28" s="100">
        <v>9229.33</v>
      </c>
      <c r="G28" s="37">
        <f t="shared" si="2"/>
        <v>41866.35</v>
      </c>
      <c r="H28" s="101">
        <f t="shared" si="3"/>
        <v>0.0001127405121</v>
      </c>
      <c r="I28" s="101">
        <f t="shared" ref="I28:L28" si="29">C28/$G28</f>
        <v>0.09982432192</v>
      </c>
      <c r="J28" s="101">
        <f t="shared" si="29"/>
        <v>0.3858891449</v>
      </c>
      <c r="K28" s="101">
        <f t="shared" si="29"/>
        <v>0.2938390856</v>
      </c>
      <c r="L28" s="101">
        <f t="shared" si="29"/>
        <v>0.2204474477</v>
      </c>
    </row>
    <row r="29">
      <c r="A29" s="57" t="s">
        <v>167</v>
      </c>
      <c r="B29" s="99">
        <v>2023.0</v>
      </c>
      <c r="C29" s="100">
        <v>0.0</v>
      </c>
      <c r="D29" s="100">
        <v>58979.71</v>
      </c>
      <c r="E29" s="100">
        <v>103584.95</v>
      </c>
      <c r="F29" s="100">
        <v>26803.2</v>
      </c>
      <c r="G29" s="37">
        <f t="shared" si="2"/>
        <v>189367.86</v>
      </c>
      <c r="H29" s="101">
        <f t="shared" si="3"/>
        <v>0.0005099424601</v>
      </c>
      <c r="I29" s="101">
        <f t="shared" ref="I29:L29" si="30">C29/$G29</f>
        <v>0</v>
      </c>
      <c r="J29" s="101">
        <f t="shared" si="30"/>
        <v>0.311455756</v>
      </c>
      <c r="K29" s="101">
        <f t="shared" si="30"/>
        <v>0.547003858</v>
      </c>
      <c r="L29" s="101">
        <f t="shared" si="30"/>
        <v>0.141540386</v>
      </c>
    </row>
    <row r="30">
      <c r="A30" s="57" t="s">
        <v>168</v>
      </c>
      <c r="B30" s="99">
        <v>2023.0</v>
      </c>
      <c r="C30" s="100">
        <v>44230.36</v>
      </c>
      <c r="D30" s="100">
        <v>120841.82</v>
      </c>
      <c r="E30" s="100">
        <v>50155.2</v>
      </c>
      <c r="F30" s="100">
        <v>117851.96</v>
      </c>
      <c r="G30" s="37">
        <f t="shared" si="2"/>
        <v>333079.34</v>
      </c>
      <c r="H30" s="101">
        <f t="shared" si="3"/>
        <v>0.0008969383613</v>
      </c>
      <c r="I30" s="101">
        <f t="shared" ref="I30:L30" si="31">C30/$G30</f>
        <v>0.1327922651</v>
      </c>
      <c r="J30" s="101">
        <f t="shared" si="31"/>
        <v>0.3628019078</v>
      </c>
      <c r="K30" s="101">
        <f t="shared" si="31"/>
        <v>0.1505803392</v>
      </c>
      <c r="L30" s="101">
        <f t="shared" si="31"/>
        <v>0.3538254879</v>
      </c>
    </row>
    <row r="31">
      <c r="A31" s="57" t="s">
        <v>169</v>
      </c>
      <c r="B31" s="99">
        <v>2023.0</v>
      </c>
      <c r="C31" s="100">
        <v>17647.0</v>
      </c>
      <c r="D31" s="100">
        <v>1347831.0</v>
      </c>
      <c r="E31" s="100">
        <v>2286725.0</v>
      </c>
      <c r="F31" s="100">
        <v>1585931.6</v>
      </c>
      <c r="G31" s="37">
        <f t="shared" si="2"/>
        <v>5238134.6</v>
      </c>
      <c r="H31" s="101">
        <f t="shared" si="3"/>
        <v>0.01410559978</v>
      </c>
      <c r="I31" s="101">
        <f t="shared" ref="I31:L31" si="32">C31/$G31</f>
        <v>0.003368947411</v>
      </c>
      <c r="J31" s="101">
        <f t="shared" si="32"/>
        <v>0.2573112573</v>
      </c>
      <c r="K31" s="101">
        <f t="shared" si="32"/>
        <v>0.4365533104</v>
      </c>
      <c r="L31" s="101">
        <f t="shared" si="32"/>
        <v>0.3027664848</v>
      </c>
    </row>
    <row r="32">
      <c r="A32" s="57" t="s">
        <v>170</v>
      </c>
      <c r="B32" s="99">
        <v>2023.0</v>
      </c>
      <c r="C32" s="100">
        <v>756.58</v>
      </c>
      <c r="D32" s="100">
        <v>705.76</v>
      </c>
      <c r="E32" s="100">
        <v>2542.63</v>
      </c>
      <c r="F32" s="100">
        <v>557.11</v>
      </c>
      <c r="G32" s="37">
        <f t="shared" si="2"/>
        <v>4562.08</v>
      </c>
      <c r="H32" s="101">
        <f t="shared" si="3"/>
        <v>0.00001228507466</v>
      </c>
      <c r="I32" s="101">
        <f t="shared" ref="I32:L32" si="33">C32/$G32</f>
        <v>0.1658410199</v>
      </c>
      <c r="J32" s="101">
        <f t="shared" si="33"/>
        <v>0.1547013643</v>
      </c>
      <c r="K32" s="101">
        <f t="shared" si="33"/>
        <v>0.5573400729</v>
      </c>
      <c r="L32" s="101">
        <f t="shared" si="33"/>
        <v>0.1221175429</v>
      </c>
    </row>
    <row r="33">
      <c r="A33" s="57" t="s">
        <v>171</v>
      </c>
      <c r="B33" s="99">
        <v>2023.0</v>
      </c>
      <c r="C33" s="100">
        <v>24603.73</v>
      </c>
      <c r="D33" s="100">
        <v>104706.11</v>
      </c>
      <c r="E33" s="100">
        <v>19353.44</v>
      </c>
      <c r="F33" s="100">
        <v>6439.79</v>
      </c>
      <c r="G33" s="37">
        <f t="shared" si="2"/>
        <v>155103.07</v>
      </c>
      <c r="H33" s="101">
        <f t="shared" si="3"/>
        <v>0.000417671938</v>
      </c>
      <c r="I33" s="101">
        <f t="shared" ref="I33:L33" si="34">C33/$G33</f>
        <v>0.1586282593</v>
      </c>
      <c r="J33" s="101">
        <f t="shared" si="34"/>
        <v>0.6750743876</v>
      </c>
      <c r="K33" s="101">
        <f t="shared" si="34"/>
        <v>0.1247779299</v>
      </c>
      <c r="L33" s="101">
        <f t="shared" si="34"/>
        <v>0.04151942318</v>
      </c>
    </row>
    <row r="34">
      <c r="A34" s="57" t="s">
        <v>172</v>
      </c>
      <c r="B34" s="99">
        <v>2023.0</v>
      </c>
      <c r="C34" s="100">
        <v>396602.22</v>
      </c>
      <c r="D34" s="100">
        <v>554249.75</v>
      </c>
      <c r="E34" s="100">
        <v>2467.72</v>
      </c>
      <c r="F34" s="100">
        <v>6538.31</v>
      </c>
      <c r="G34" s="37">
        <f t="shared" si="2"/>
        <v>959858</v>
      </c>
      <c r="H34" s="101">
        <f t="shared" si="3"/>
        <v>0.002584769928</v>
      </c>
      <c r="I34" s="101">
        <f t="shared" ref="I34:L34" si="35">C34/$G34</f>
        <v>0.41318843</v>
      </c>
      <c r="J34" s="101">
        <f t="shared" si="35"/>
        <v>0.5774289009</v>
      </c>
      <c r="K34" s="101">
        <f t="shared" si="35"/>
        <v>0.002570921949</v>
      </c>
      <c r="L34" s="101">
        <f t="shared" si="35"/>
        <v>0.006811747154</v>
      </c>
    </row>
    <row r="35">
      <c r="A35" s="57" t="s">
        <v>173</v>
      </c>
      <c r="B35" s="99">
        <v>2023.0</v>
      </c>
      <c r="C35" s="100">
        <v>13711.43</v>
      </c>
      <c r="D35" s="100">
        <v>187564.11</v>
      </c>
      <c r="E35" s="100">
        <v>582651.6</v>
      </c>
      <c r="F35" s="100">
        <v>759948.3</v>
      </c>
      <c r="G35" s="37">
        <f t="shared" si="2"/>
        <v>1543875.44</v>
      </c>
      <c r="H35" s="101">
        <f t="shared" si="3"/>
        <v>0.004157451216</v>
      </c>
      <c r="I35" s="101">
        <f t="shared" ref="I35:L35" si="36">C35/$G35</f>
        <v>0.008881176321</v>
      </c>
      <c r="J35" s="101">
        <f t="shared" si="36"/>
        <v>0.1214891468</v>
      </c>
      <c r="K35" s="101">
        <f t="shared" si="36"/>
        <v>0.3773954717</v>
      </c>
      <c r="L35" s="101">
        <f t="shared" si="36"/>
        <v>0.4922342051</v>
      </c>
    </row>
    <row r="36">
      <c r="A36" s="57" t="s">
        <v>174</v>
      </c>
      <c r="B36" s="99">
        <v>2023.0</v>
      </c>
      <c r="C36" s="100">
        <v>5312600.0</v>
      </c>
      <c r="D36" s="100">
        <v>7526800.0</v>
      </c>
      <c r="E36" s="100">
        <v>5.79432E7</v>
      </c>
      <c r="F36" s="100">
        <v>2.563E7</v>
      </c>
      <c r="G36" s="37">
        <f t="shared" si="2"/>
        <v>96412600</v>
      </c>
      <c r="H36" s="101">
        <f t="shared" si="3"/>
        <v>0.2596263084</v>
      </c>
      <c r="I36" s="101">
        <f t="shared" ref="I36:L36" si="37">C36/$G36</f>
        <v>0.05510275628</v>
      </c>
      <c r="J36" s="101">
        <f t="shared" si="37"/>
        <v>0.07806863418</v>
      </c>
      <c r="K36" s="101">
        <f t="shared" si="37"/>
        <v>0.6009919865</v>
      </c>
      <c r="L36" s="101">
        <f t="shared" si="37"/>
        <v>0.265836623</v>
      </c>
    </row>
    <row r="37">
      <c r="A37" s="57" t="s">
        <v>175</v>
      </c>
      <c r="B37" s="99">
        <v>2023.0</v>
      </c>
      <c r="C37" s="100">
        <v>902.0</v>
      </c>
      <c r="D37" s="100">
        <v>718630.0</v>
      </c>
      <c r="E37" s="100">
        <v>550959.0</v>
      </c>
      <c r="F37" s="100">
        <v>1817130.0</v>
      </c>
      <c r="G37" s="37">
        <f t="shared" si="2"/>
        <v>3087621</v>
      </c>
      <c r="H37" s="101">
        <f t="shared" si="3"/>
        <v>0.008314552683</v>
      </c>
      <c r="I37" s="101">
        <f t="shared" ref="I37:L37" si="38">C37/$G37</f>
        <v>0.0002921343002</v>
      </c>
      <c r="J37" s="101">
        <f t="shared" si="38"/>
        <v>0.2327455345</v>
      </c>
      <c r="K37" s="101">
        <f t="shared" si="38"/>
        <v>0.1784412659</v>
      </c>
      <c r="L37" s="101">
        <f t="shared" si="38"/>
        <v>0.5885210652</v>
      </c>
    </row>
    <row r="38">
      <c r="A38" s="57" t="s">
        <v>176</v>
      </c>
      <c r="B38" s="99">
        <v>2023.0</v>
      </c>
      <c r="C38" s="100">
        <v>473.14</v>
      </c>
      <c r="D38" s="100">
        <v>1233.44</v>
      </c>
      <c r="E38" s="100">
        <v>0.0</v>
      </c>
      <c r="F38" s="100">
        <v>576.7</v>
      </c>
      <c r="G38" s="37">
        <f t="shared" si="2"/>
        <v>2283.28</v>
      </c>
      <c r="H38" s="101">
        <f t="shared" si="3"/>
        <v>0.000006148569352</v>
      </c>
      <c r="I38" s="101">
        <f t="shared" ref="I38:L38" si="39">C38/$G38</f>
        <v>0.2072194387</v>
      </c>
      <c r="J38" s="101">
        <f t="shared" si="39"/>
        <v>0.5402053187</v>
      </c>
      <c r="K38" s="101">
        <f t="shared" si="39"/>
        <v>0</v>
      </c>
      <c r="L38" s="101">
        <f t="shared" si="39"/>
        <v>0.2525752426</v>
      </c>
    </row>
    <row r="39">
      <c r="A39" s="57" t="s">
        <v>177</v>
      </c>
      <c r="B39" s="99">
        <v>2023.0</v>
      </c>
      <c r="C39" s="100">
        <v>1507.84</v>
      </c>
      <c r="D39" s="100">
        <v>5402.7</v>
      </c>
      <c r="E39" s="100">
        <v>1238.95</v>
      </c>
      <c r="F39" s="100">
        <v>7026.81</v>
      </c>
      <c r="G39" s="37">
        <f t="shared" si="2"/>
        <v>15176.3</v>
      </c>
      <c r="H39" s="101">
        <f t="shared" si="3"/>
        <v>0.00004086775737</v>
      </c>
      <c r="I39" s="101">
        <f t="shared" ref="I39:L39" si="40">C39/$G39</f>
        <v>0.09935491523</v>
      </c>
      <c r="J39" s="101">
        <f t="shared" si="40"/>
        <v>0.355995862</v>
      </c>
      <c r="K39" s="101">
        <f t="shared" si="40"/>
        <v>0.08163715794</v>
      </c>
      <c r="L39" s="101">
        <f t="shared" si="40"/>
        <v>0.4630120649</v>
      </c>
    </row>
    <row r="40">
      <c r="A40" s="57" t="s">
        <v>178</v>
      </c>
      <c r="B40" s="99">
        <v>2023.0</v>
      </c>
      <c r="C40" s="100">
        <v>5.09</v>
      </c>
      <c r="D40" s="100">
        <v>7.13</v>
      </c>
      <c r="E40" s="100">
        <v>385.23</v>
      </c>
      <c r="F40" s="100">
        <v>44.98</v>
      </c>
      <c r="G40" s="37">
        <f t="shared" si="2"/>
        <v>442.43</v>
      </c>
      <c r="H40" s="101">
        <f t="shared" si="3"/>
        <v>0.000001191405144</v>
      </c>
      <c r="I40" s="101">
        <f t="shared" ref="I40:L40" si="41">C40/$G40</f>
        <v>0.0115046448</v>
      </c>
      <c r="J40" s="101">
        <f t="shared" si="41"/>
        <v>0.0161155437</v>
      </c>
      <c r="K40" s="101">
        <f t="shared" si="41"/>
        <v>0.8707140113</v>
      </c>
      <c r="L40" s="101">
        <f t="shared" si="41"/>
        <v>0.1016658002</v>
      </c>
    </row>
    <row r="41">
      <c r="A41" s="57" t="s">
        <v>179</v>
      </c>
      <c r="B41" s="99">
        <v>2023.0</v>
      </c>
      <c r="C41" s="100">
        <v>275.31</v>
      </c>
      <c r="D41" s="100">
        <v>86510.36</v>
      </c>
      <c r="E41" s="100">
        <v>67486.18</v>
      </c>
      <c r="F41" s="100">
        <v>148800.0</v>
      </c>
      <c r="G41" s="37">
        <f t="shared" si="2"/>
        <v>303071.85</v>
      </c>
      <c r="H41" s="101">
        <f t="shared" si="3"/>
        <v>0.0008161321819</v>
      </c>
      <c r="I41" s="101">
        <f t="shared" ref="I41:L41" si="42">C41/$G41</f>
        <v>0.000908398454</v>
      </c>
      <c r="J41" s="101">
        <f t="shared" si="42"/>
        <v>0.2854450521</v>
      </c>
      <c r="K41" s="101">
        <f t="shared" si="42"/>
        <v>0.2226738643</v>
      </c>
      <c r="L41" s="101">
        <f t="shared" si="42"/>
        <v>0.4909726852</v>
      </c>
    </row>
    <row r="42">
      <c r="A42" s="57" t="s">
        <v>180</v>
      </c>
      <c r="B42" s="99">
        <v>2023.0</v>
      </c>
      <c r="C42" s="100">
        <v>21845.14</v>
      </c>
      <c r="D42" s="100">
        <v>24437.02</v>
      </c>
      <c r="E42" s="100">
        <v>10631.91</v>
      </c>
      <c r="F42" s="100">
        <v>118616.89</v>
      </c>
      <c r="G42" s="37">
        <f t="shared" si="2"/>
        <v>175530.96</v>
      </c>
      <c r="H42" s="101">
        <f t="shared" si="3"/>
        <v>0.0004726815287</v>
      </c>
      <c r="I42" s="101">
        <f t="shared" ref="I42:L42" si="43">C42/$G42</f>
        <v>0.1244517776</v>
      </c>
      <c r="J42" s="101">
        <f t="shared" si="43"/>
        <v>0.1392177198</v>
      </c>
      <c r="K42" s="101">
        <f t="shared" si="43"/>
        <v>0.06056999859</v>
      </c>
      <c r="L42" s="101">
        <f t="shared" si="43"/>
        <v>0.675760504</v>
      </c>
    </row>
    <row r="43">
      <c r="A43" s="57" t="s">
        <v>181</v>
      </c>
      <c r="B43" s="99">
        <v>2023.0</v>
      </c>
      <c r="C43" s="100">
        <v>7070.0</v>
      </c>
      <c r="D43" s="100">
        <v>41180.0</v>
      </c>
      <c r="E43" s="100">
        <v>110870.0</v>
      </c>
      <c r="F43" s="100">
        <v>65414.82</v>
      </c>
      <c r="G43" s="37">
        <f t="shared" si="2"/>
        <v>224534.82</v>
      </c>
      <c r="H43" s="101">
        <f t="shared" si="3"/>
        <v>0.0006046424059</v>
      </c>
      <c r="I43" s="101">
        <f t="shared" ref="I43:L43" si="44">C43/$G43</f>
        <v>0.03148732121</v>
      </c>
      <c r="J43" s="101">
        <f t="shared" si="44"/>
        <v>0.1834013985</v>
      </c>
      <c r="K43" s="101">
        <f t="shared" si="44"/>
        <v>0.4937764218</v>
      </c>
      <c r="L43" s="101">
        <f t="shared" si="44"/>
        <v>0.2913348584</v>
      </c>
    </row>
    <row r="44">
      <c r="A44" s="57" t="s">
        <v>182</v>
      </c>
      <c r="B44" s="99">
        <v>2023.0</v>
      </c>
      <c r="C44" s="100">
        <v>18852.19</v>
      </c>
      <c r="D44" s="100">
        <v>77971.81</v>
      </c>
      <c r="E44" s="100">
        <v>214420.14</v>
      </c>
      <c r="F44" s="100">
        <v>24000.0</v>
      </c>
      <c r="G44" s="37">
        <f t="shared" si="2"/>
        <v>335244.14</v>
      </c>
      <c r="H44" s="101">
        <f t="shared" si="3"/>
        <v>0.0009027678798</v>
      </c>
      <c r="I44" s="101">
        <f t="shared" ref="I44:L44" si="45">C44/$G44</f>
        <v>0.05623421188</v>
      </c>
      <c r="J44" s="101">
        <f t="shared" si="45"/>
        <v>0.2325821713</v>
      </c>
      <c r="K44" s="101">
        <f t="shared" si="45"/>
        <v>0.6395939986</v>
      </c>
      <c r="L44" s="101">
        <f t="shared" si="45"/>
        <v>0.07158961824</v>
      </c>
    </row>
    <row r="45">
      <c r="A45" s="57" t="s">
        <v>183</v>
      </c>
      <c r="B45" s="99">
        <v>2023.0</v>
      </c>
      <c r="C45" s="100">
        <v>4760.0</v>
      </c>
      <c r="D45" s="100">
        <v>5060.0</v>
      </c>
      <c r="E45" s="100">
        <v>37310.0</v>
      </c>
      <c r="F45" s="100">
        <v>27770.0</v>
      </c>
      <c r="G45" s="37">
        <f t="shared" si="2"/>
        <v>74900</v>
      </c>
      <c r="H45" s="101">
        <f t="shared" si="3"/>
        <v>0.0002016957379</v>
      </c>
      <c r="I45" s="101">
        <f t="shared" ref="I45:L45" si="46">C45/$G45</f>
        <v>0.06355140187</v>
      </c>
      <c r="J45" s="101">
        <f t="shared" si="46"/>
        <v>0.06755674232</v>
      </c>
      <c r="K45" s="101">
        <f t="shared" si="46"/>
        <v>0.4981308411</v>
      </c>
      <c r="L45" s="101">
        <f t="shared" si="46"/>
        <v>0.3707610147</v>
      </c>
    </row>
    <row r="46">
      <c r="A46" s="57" t="s">
        <v>184</v>
      </c>
      <c r="B46" s="99">
        <v>2023.0</v>
      </c>
      <c r="C46" s="100">
        <v>3030.0</v>
      </c>
      <c r="D46" s="100">
        <v>72410.0</v>
      </c>
      <c r="E46" s="100">
        <v>205550.0</v>
      </c>
      <c r="F46" s="100">
        <v>165915.0</v>
      </c>
      <c r="G46" s="37">
        <f t="shared" si="2"/>
        <v>446905</v>
      </c>
      <c r="H46" s="101">
        <f t="shared" si="3"/>
        <v>0.001203455724</v>
      </c>
      <c r="I46" s="101">
        <f t="shared" ref="I46:L46" si="47">C46/$G46</f>
        <v>0.006779964422</v>
      </c>
      <c r="J46" s="101">
        <f t="shared" si="47"/>
        <v>0.1620254864</v>
      </c>
      <c r="K46" s="101">
        <f t="shared" si="47"/>
        <v>0.4599411508</v>
      </c>
      <c r="L46" s="101">
        <f t="shared" si="47"/>
        <v>0.3712533984</v>
      </c>
    </row>
    <row r="47">
      <c r="A47" s="57" t="s">
        <v>185</v>
      </c>
      <c r="B47" s="99">
        <v>2023.0</v>
      </c>
      <c r="C47" s="100">
        <v>21125.33</v>
      </c>
      <c r="D47" s="100">
        <v>25613.99</v>
      </c>
      <c r="E47" s="100">
        <v>27636.03</v>
      </c>
      <c r="F47" s="100">
        <v>10000.0</v>
      </c>
      <c r="G47" s="37">
        <f t="shared" si="2"/>
        <v>84375.35</v>
      </c>
      <c r="H47" s="101">
        <f t="shared" si="3"/>
        <v>0.0002272115952</v>
      </c>
      <c r="I47" s="101">
        <f t="shared" ref="I47:L47" si="48">C47/$G47</f>
        <v>0.2503732429</v>
      </c>
      <c r="J47" s="101">
        <f t="shared" si="48"/>
        <v>0.3035719556</v>
      </c>
      <c r="K47" s="101">
        <f t="shared" si="48"/>
        <v>0.3275367747</v>
      </c>
      <c r="L47" s="101">
        <f t="shared" si="48"/>
        <v>0.1185180269</v>
      </c>
    </row>
    <row r="48">
      <c r="A48" s="57" t="s">
        <v>186</v>
      </c>
      <c r="B48" s="99">
        <v>2023.0</v>
      </c>
      <c r="C48" s="100">
        <v>1210.0</v>
      </c>
      <c r="D48" s="100">
        <v>118640.0</v>
      </c>
      <c r="E48" s="100">
        <v>1288590.0</v>
      </c>
      <c r="F48" s="100">
        <v>159191.7</v>
      </c>
      <c r="G48" s="37">
        <f t="shared" si="2"/>
        <v>1567631.7</v>
      </c>
      <c r="H48" s="101">
        <f t="shared" si="3"/>
        <v>0.004221423665</v>
      </c>
      <c r="I48" s="101">
        <f t="shared" ref="I48:L48" si="49">C48/$G48</f>
        <v>0.0007718649731</v>
      </c>
      <c r="J48" s="101">
        <f t="shared" si="49"/>
        <v>0.07568104166</v>
      </c>
      <c r="K48" s="101">
        <f t="shared" si="49"/>
        <v>0.8219979221</v>
      </c>
      <c r="L48" s="101">
        <f t="shared" si="49"/>
        <v>0.1015491713</v>
      </c>
    </row>
    <row r="49">
      <c r="A49" s="57" t="s">
        <v>187</v>
      </c>
      <c r="B49" s="99">
        <v>2023.0</v>
      </c>
      <c r="C49" s="100">
        <v>4535.66</v>
      </c>
      <c r="D49" s="100">
        <v>6532.63</v>
      </c>
      <c r="E49" s="100">
        <v>0.0</v>
      </c>
      <c r="F49" s="100">
        <v>0.0</v>
      </c>
      <c r="G49" s="37">
        <f t="shared" si="2"/>
        <v>11068.29</v>
      </c>
      <c r="H49" s="101">
        <f t="shared" si="3"/>
        <v>0.00002980543283</v>
      </c>
      <c r="I49" s="101">
        <f t="shared" ref="I49:L49" si="50">C49/$G49</f>
        <v>0.4097886846</v>
      </c>
      <c r="J49" s="101">
        <f t="shared" si="50"/>
        <v>0.5902113154</v>
      </c>
      <c r="K49" s="101">
        <f t="shared" si="50"/>
        <v>0</v>
      </c>
      <c r="L49" s="101">
        <f t="shared" si="50"/>
        <v>0</v>
      </c>
    </row>
    <row r="50">
      <c r="A50" s="57" t="s">
        <v>188</v>
      </c>
      <c r="B50" s="99">
        <v>2023.0</v>
      </c>
      <c r="C50" s="100">
        <v>67.44</v>
      </c>
      <c r="D50" s="100">
        <v>552.67</v>
      </c>
      <c r="E50" s="100">
        <v>423.3</v>
      </c>
      <c r="F50" s="100">
        <v>373.29</v>
      </c>
      <c r="G50" s="37">
        <f t="shared" si="2"/>
        <v>1416.7</v>
      </c>
      <c r="H50" s="101">
        <f t="shared" si="3"/>
        <v>0.000003814984671</v>
      </c>
      <c r="I50" s="101">
        <f t="shared" ref="I50:L50" si="51">C50/$G50</f>
        <v>0.0476035858</v>
      </c>
      <c r="J50" s="101">
        <f t="shared" si="51"/>
        <v>0.3901108209</v>
      </c>
      <c r="K50" s="101">
        <f t="shared" si="51"/>
        <v>0.2987929696</v>
      </c>
      <c r="L50" s="101">
        <f t="shared" si="51"/>
        <v>0.2634926237</v>
      </c>
    </row>
    <row r="51">
      <c r="A51" s="57" t="s">
        <v>189</v>
      </c>
      <c r="B51" s="99">
        <v>2023.0</v>
      </c>
      <c r="C51" s="100">
        <v>1789.26</v>
      </c>
      <c r="D51" s="100">
        <v>63161.2</v>
      </c>
      <c r="E51" s="100">
        <v>85445.62</v>
      </c>
      <c r="F51" s="100">
        <v>391322.44</v>
      </c>
      <c r="G51" s="37">
        <f t="shared" si="2"/>
        <v>541718.52</v>
      </c>
      <c r="H51" s="101">
        <f t="shared" si="3"/>
        <v>0.001458775923</v>
      </c>
      <c r="I51" s="101">
        <f t="shared" ref="I51:L51" si="52">C51/$G51</f>
        <v>0.003302933044</v>
      </c>
      <c r="J51" s="101">
        <f t="shared" si="52"/>
        <v>0.1165941308</v>
      </c>
      <c r="K51" s="101">
        <f t="shared" si="52"/>
        <v>0.1577306606</v>
      </c>
      <c r="L51" s="101">
        <f t="shared" si="52"/>
        <v>0.7223722756</v>
      </c>
    </row>
    <row r="52">
      <c r="A52" s="57" t="s">
        <v>190</v>
      </c>
      <c r="B52" s="99">
        <v>2023.0</v>
      </c>
      <c r="C52" s="100">
        <v>491.27</v>
      </c>
      <c r="D52" s="100">
        <v>2019.72</v>
      </c>
      <c r="E52" s="100">
        <v>10743.55</v>
      </c>
      <c r="F52" s="100">
        <v>694.2</v>
      </c>
      <c r="G52" s="37">
        <f t="shared" si="2"/>
        <v>13948.74</v>
      </c>
      <c r="H52" s="101">
        <f t="shared" si="3"/>
        <v>0.00003756210156</v>
      </c>
      <c r="I52" s="101">
        <f t="shared" ref="I52:L52" si="53">C52/$G52</f>
        <v>0.03521966859</v>
      </c>
      <c r="J52" s="101">
        <f t="shared" si="53"/>
        <v>0.144795874</v>
      </c>
      <c r="K52" s="101">
        <f t="shared" si="53"/>
        <v>0.7702165213</v>
      </c>
      <c r="L52" s="101">
        <f t="shared" si="53"/>
        <v>0.04976793603</v>
      </c>
    </row>
    <row r="53">
      <c r="A53" s="57" t="s">
        <v>191</v>
      </c>
      <c r="B53" s="99">
        <v>2023.0</v>
      </c>
      <c r="C53" s="100">
        <v>7494.9</v>
      </c>
      <c r="D53" s="100">
        <v>209054.88</v>
      </c>
      <c r="E53" s="100">
        <v>213862.0</v>
      </c>
      <c r="F53" s="100">
        <v>565722.1</v>
      </c>
      <c r="G53" s="37">
        <f t="shared" si="2"/>
        <v>996133.88</v>
      </c>
      <c r="H53" s="101">
        <f t="shared" si="3"/>
        <v>0.002682456048</v>
      </c>
      <c r="I53" s="101">
        <f t="shared" ref="I53:L53" si="54">C53/$G53</f>
        <v>0.007523988643</v>
      </c>
      <c r="J53" s="101">
        <f t="shared" si="54"/>
        <v>0.2098662481</v>
      </c>
      <c r="K53" s="101">
        <f t="shared" si="54"/>
        <v>0.2146920251</v>
      </c>
      <c r="L53" s="101">
        <f t="shared" si="54"/>
        <v>0.5679177381</v>
      </c>
    </row>
    <row r="54">
      <c r="A54" s="57" t="s">
        <v>192</v>
      </c>
      <c r="B54" s="99">
        <v>2023.0</v>
      </c>
      <c r="C54" s="100">
        <v>62963.43</v>
      </c>
      <c r="D54" s="100">
        <v>663451.94</v>
      </c>
      <c r="E54" s="100">
        <v>705.68</v>
      </c>
      <c r="F54" s="100">
        <v>2159751.2</v>
      </c>
      <c r="G54" s="37">
        <f t="shared" si="2"/>
        <v>2886872.25</v>
      </c>
      <c r="H54" s="101">
        <f t="shared" si="3"/>
        <v>0.007773963</v>
      </c>
      <c r="I54" s="101">
        <f t="shared" ref="I54:L54" si="55">C54/$G54</f>
        <v>0.02181025849</v>
      </c>
      <c r="J54" s="101">
        <f t="shared" si="55"/>
        <v>0.2298168684</v>
      </c>
      <c r="K54" s="101">
        <f t="shared" si="55"/>
        <v>0.0002444444849</v>
      </c>
      <c r="L54" s="101">
        <f t="shared" si="55"/>
        <v>0.7481284286</v>
      </c>
    </row>
    <row r="55">
      <c r="A55" s="57" t="s">
        <v>193</v>
      </c>
      <c r="B55" s="99">
        <v>2023.0</v>
      </c>
      <c r="C55" s="100">
        <v>114.15</v>
      </c>
      <c r="D55" s="100">
        <v>17969.66</v>
      </c>
      <c r="E55" s="100">
        <v>3718.36</v>
      </c>
      <c r="F55" s="100">
        <v>165303.16</v>
      </c>
      <c r="G55" s="37">
        <f t="shared" si="2"/>
        <v>187105.33</v>
      </c>
      <c r="H55" s="101">
        <f t="shared" si="3"/>
        <v>0.0005038497677</v>
      </c>
      <c r="I55" s="101">
        <f t="shared" ref="I55:L55" si="56">C55/$G55</f>
        <v>0.0006100841702</v>
      </c>
      <c r="J55" s="101">
        <f t="shared" si="56"/>
        <v>0.09604034262</v>
      </c>
      <c r="K55" s="101">
        <f t="shared" si="56"/>
        <v>0.01987308432</v>
      </c>
      <c r="L55" s="101">
        <f t="shared" si="56"/>
        <v>0.8834764889</v>
      </c>
    </row>
    <row r="56">
      <c r="A56" s="57" t="s">
        <v>194</v>
      </c>
      <c r="B56" s="99">
        <v>2023.0</v>
      </c>
      <c r="C56" s="100">
        <v>157.45</v>
      </c>
      <c r="D56" s="100">
        <v>48.75</v>
      </c>
      <c r="E56" s="100">
        <v>184.09</v>
      </c>
      <c r="F56" s="100">
        <v>262.24</v>
      </c>
      <c r="G56" s="37">
        <f t="shared" si="2"/>
        <v>652.53</v>
      </c>
      <c r="H56" s="101">
        <f t="shared" si="3"/>
        <v>0.0000017571765</v>
      </c>
      <c r="I56" s="101">
        <f t="shared" ref="I56:L56" si="57">C56/$G56</f>
        <v>0.2412915881</v>
      </c>
      <c r="J56" s="101">
        <f t="shared" si="57"/>
        <v>0.07470920877</v>
      </c>
      <c r="K56" s="101">
        <f t="shared" si="57"/>
        <v>0.2821172973</v>
      </c>
      <c r="L56" s="101">
        <f t="shared" si="57"/>
        <v>0.4018819058</v>
      </c>
    </row>
    <row r="57">
      <c r="A57" s="57" t="s">
        <v>195</v>
      </c>
      <c r="B57" s="99">
        <v>2023.0</v>
      </c>
      <c r="C57" s="100">
        <v>13102.58</v>
      </c>
      <c r="D57" s="100">
        <v>24588.18</v>
      </c>
      <c r="E57" s="100">
        <v>0.0</v>
      </c>
      <c r="F57" s="100">
        <v>1140.21</v>
      </c>
      <c r="G57" s="37">
        <f t="shared" si="2"/>
        <v>38830.97</v>
      </c>
      <c r="H57" s="101">
        <f t="shared" si="3"/>
        <v>0.0001045666375</v>
      </c>
      <c r="I57" s="101">
        <f t="shared" ref="I57:L57" si="58">C57/$G57</f>
        <v>0.3374260288</v>
      </c>
      <c r="J57" s="101">
        <f t="shared" si="58"/>
        <v>0.6332105533</v>
      </c>
      <c r="K57" s="101">
        <f t="shared" si="58"/>
        <v>0</v>
      </c>
      <c r="L57" s="101">
        <f t="shared" si="58"/>
        <v>0.02936341791</v>
      </c>
    </row>
    <row r="58">
      <c r="A58" s="57" t="s">
        <v>196</v>
      </c>
      <c r="B58" s="99">
        <v>2023.0</v>
      </c>
      <c r="C58" s="100">
        <v>280.0</v>
      </c>
      <c r="D58" s="100">
        <v>7950.0</v>
      </c>
      <c r="E58" s="100">
        <v>39470.0</v>
      </c>
      <c r="F58" s="100">
        <v>23300.0</v>
      </c>
      <c r="G58" s="37">
        <f t="shared" si="2"/>
        <v>71000</v>
      </c>
      <c r="H58" s="101">
        <f t="shared" si="3"/>
        <v>0.0001911935566</v>
      </c>
      <c r="I58" s="101">
        <f t="shared" ref="I58:L58" si="59">C58/$G58</f>
        <v>0.003943661972</v>
      </c>
      <c r="J58" s="101">
        <f t="shared" si="59"/>
        <v>0.111971831</v>
      </c>
      <c r="K58" s="101">
        <f t="shared" si="59"/>
        <v>0.555915493</v>
      </c>
      <c r="L58" s="101">
        <f t="shared" si="59"/>
        <v>0.3281690141</v>
      </c>
    </row>
    <row r="59">
      <c r="A59" s="57" t="s">
        <v>197</v>
      </c>
      <c r="B59" s="99">
        <v>2023.0</v>
      </c>
      <c r="C59" s="100">
        <v>3284.61</v>
      </c>
      <c r="D59" s="100">
        <v>14150.55</v>
      </c>
      <c r="E59" s="100">
        <v>1774.38</v>
      </c>
      <c r="F59" s="100">
        <v>2822.93</v>
      </c>
      <c r="G59" s="37">
        <f t="shared" si="2"/>
        <v>22032.47</v>
      </c>
      <c r="H59" s="101">
        <f t="shared" si="3"/>
        <v>0.00005933051128</v>
      </c>
      <c r="I59" s="101">
        <f t="shared" ref="I59:L59" si="60">C59/$G59</f>
        <v>0.1490804254</v>
      </c>
      <c r="J59" s="101">
        <f t="shared" si="60"/>
        <v>0.6422589024</v>
      </c>
      <c r="K59" s="101">
        <f t="shared" si="60"/>
        <v>0.08053477436</v>
      </c>
      <c r="L59" s="101">
        <f t="shared" si="60"/>
        <v>0.1281258978</v>
      </c>
    </row>
    <row r="60">
      <c r="A60" s="57" t="s">
        <v>198</v>
      </c>
      <c r="B60" s="99">
        <v>2023.0</v>
      </c>
      <c r="C60" s="100">
        <v>271976.9</v>
      </c>
      <c r="D60" s="100">
        <v>431703.94</v>
      </c>
      <c r="E60" s="100">
        <v>2383.69</v>
      </c>
      <c r="F60" s="100">
        <v>64342.25</v>
      </c>
      <c r="G60" s="37">
        <f t="shared" si="2"/>
        <v>770406.78</v>
      </c>
      <c r="H60" s="101">
        <f t="shared" si="3"/>
        <v>0.00207460299</v>
      </c>
      <c r="I60" s="101">
        <f t="shared" ref="I60:L60" si="61">C60/$G60</f>
        <v>0.3530302524</v>
      </c>
      <c r="J60" s="101">
        <f t="shared" si="61"/>
        <v>0.5603584382</v>
      </c>
      <c r="K60" s="101">
        <f t="shared" si="61"/>
        <v>0.003094066747</v>
      </c>
      <c r="L60" s="101">
        <f t="shared" si="61"/>
        <v>0.08351724267</v>
      </c>
    </row>
    <row r="61">
      <c r="A61" s="57" t="s">
        <v>199</v>
      </c>
      <c r="B61" s="99">
        <v>2023.0</v>
      </c>
      <c r="C61" s="100">
        <v>619.99</v>
      </c>
      <c r="D61" s="100">
        <v>75.66</v>
      </c>
      <c r="E61" s="100">
        <v>0.0</v>
      </c>
      <c r="F61" s="100">
        <v>0.0</v>
      </c>
      <c r="G61" s="37">
        <f t="shared" si="2"/>
        <v>695.65</v>
      </c>
      <c r="H61" s="101">
        <f t="shared" si="3"/>
        <v>0.000001873292925</v>
      </c>
      <c r="I61" s="101">
        <f t="shared" ref="I61:L61" si="62">C61/$G61</f>
        <v>0.8912384101</v>
      </c>
      <c r="J61" s="101">
        <f t="shared" si="62"/>
        <v>0.1087615899</v>
      </c>
      <c r="K61" s="101">
        <f t="shared" si="62"/>
        <v>0</v>
      </c>
      <c r="L61" s="101">
        <f t="shared" si="62"/>
        <v>0</v>
      </c>
    </row>
    <row r="62">
      <c r="A62" s="57" t="s">
        <v>200</v>
      </c>
      <c r="B62" s="99">
        <v>2023.0</v>
      </c>
      <c r="C62" s="100">
        <v>736.0</v>
      </c>
      <c r="D62" s="100">
        <v>4575.0</v>
      </c>
      <c r="E62" s="100">
        <v>1086.0</v>
      </c>
      <c r="F62" s="100">
        <v>42915.99</v>
      </c>
      <c r="G62" s="37">
        <f t="shared" si="2"/>
        <v>49312.99</v>
      </c>
      <c r="H62" s="101">
        <f t="shared" si="3"/>
        <v>0.0001327933232</v>
      </c>
      <c r="I62" s="101">
        <f t="shared" ref="I62:L62" si="63">C62/$G62</f>
        <v>0.01492507349</v>
      </c>
      <c r="J62" s="101">
        <f t="shared" si="63"/>
        <v>0.09277474353</v>
      </c>
      <c r="K62" s="101">
        <f t="shared" si="63"/>
        <v>0.02202259486</v>
      </c>
      <c r="L62" s="101">
        <f t="shared" si="63"/>
        <v>0.8702775881</v>
      </c>
    </row>
    <row r="63">
      <c r="A63" s="57" t="s">
        <v>201</v>
      </c>
      <c r="B63" s="99">
        <v>2023.0</v>
      </c>
      <c r="C63" s="100">
        <v>1110.0</v>
      </c>
      <c r="D63" s="100">
        <v>85390.0</v>
      </c>
      <c r="E63" s="100">
        <v>158470.0</v>
      </c>
      <c r="F63" s="100">
        <v>143580.0</v>
      </c>
      <c r="G63" s="37">
        <f t="shared" si="2"/>
        <v>388550</v>
      </c>
      <c r="H63" s="101">
        <f t="shared" si="3"/>
        <v>0.001046313471</v>
      </c>
      <c r="I63" s="101">
        <f t="shared" ref="I63:L63" si="64">C63/$G63</f>
        <v>0.00285677519</v>
      </c>
      <c r="J63" s="101">
        <f t="shared" si="64"/>
        <v>0.2197657959</v>
      </c>
      <c r="K63" s="101">
        <f t="shared" si="64"/>
        <v>0.4078496976</v>
      </c>
      <c r="L63" s="101">
        <f t="shared" si="64"/>
        <v>0.3695277313</v>
      </c>
    </row>
    <row r="64">
      <c r="A64" s="57" t="s">
        <v>202</v>
      </c>
      <c r="B64" s="99">
        <v>2023.0</v>
      </c>
      <c r="C64" s="100">
        <v>78700.0</v>
      </c>
      <c r="D64" s="100">
        <v>1301420.0</v>
      </c>
      <c r="E64" s="100">
        <v>2062460.0</v>
      </c>
      <c r="F64" s="100">
        <v>1506138.0</v>
      </c>
      <c r="G64" s="37">
        <f t="shared" si="2"/>
        <v>4948718</v>
      </c>
      <c r="H64" s="101">
        <f t="shared" si="3"/>
        <v>0.01332623937</v>
      </c>
      <c r="I64" s="101">
        <f t="shared" ref="I64:L64" si="65">C64/$G64</f>
        <v>0.01590310864</v>
      </c>
      <c r="J64" s="101">
        <f t="shared" si="65"/>
        <v>0.2629812408</v>
      </c>
      <c r="K64" s="101">
        <f t="shared" si="65"/>
        <v>0.4167665242</v>
      </c>
      <c r="L64" s="101">
        <f t="shared" si="65"/>
        <v>0.3043491264</v>
      </c>
    </row>
    <row r="65">
      <c r="A65" s="57" t="s">
        <v>203</v>
      </c>
      <c r="B65" s="99">
        <v>2023.0</v>
      </c>
      <c r="C65" s="100">
        <v>72.32</v>
      </c>
      <c r="D65" s="100">
        <v>172.42</v>
      </c>
      <c r="E65" s="100">
        <v>892.71</v>
      </c>
      <c r="F65" s="100">
        <v>583.1</v>
      </c>
      <c r="G65" s="37">
        <f t="shared" si="2"/>
        <v>1720.55</v>
      </c>
      <c r="H65" s="101">
        <f t="shared" si="3"/>
        <v>0.000004633212308</v>
      </c>
      <c r="I65" s="101">
        <f t="shared" ref="I65:L65" si="66">C65/$G65</f>
        <v>0.04203307082</v>
      </c>
      <c r="J65" s="101">
        <f t="shared" si="66"/>
        <v>0.1002121415</v>
      </c>
      <c r="K65" s="101">
        <f t="shared" si="66"/>
        <v>0.51885153</v>
      </c>
      <c r="L65" s="101">
        <f t="shared" si="66"/>
        <v>0.3389032577</v>
      </c>
    </row>
    <row r="66">
      <c r="A66" s="57" t="s">
        <v>204</v>
      </c>
      <c r="B66" s="99">
        <v>2023.0</v>
      </c>
      <c r="C66" s="100">
        <v>1205.81</v>
      </c>
      <c r="D66" s="100">
        <v>875.39</v>
      </c>
      <c r="E66" s="100">
        <v>3586.34</v>
      </c>
      <c r="F66" s="100">
        <v>4192.79</v>
      </c>
      <c r="G66" s="37">
        <f t="shared" si="2"/>
        <v>9860.33</v>
      </c>
      <c r="H66" s="101">
        <f t="shared" si="3"/>
        <v>0.00002655255721</v>
      </c>
      <c r="I66" s="101">
        <f t="shared" ref="I66:L66" si="67">C66/$G66</f>
        <v>0.1222890106</v>
      </c>
      <c r="J66" s="101">
        <f t="shared" si="67"/>
        <v>0.08877897596</v>
      </c>
      <c r="K66" s="101">
        <f t="shared" si="67"/>
        <v>0.3637139933</v>
      </c>
      <c r="L66" s="101">
        <f t="shared" si="67"/>
        <v>0.4252180201</v>
      </c>
    </row>
    <row r="67">
      <c r="A67" s="57" t="s">
        <v>205</v>
      </c>
      <c r="B67" s="99">
        <v>2023.0</v>
      </c>
      <c r="C67" s="100">
        <v>1671.99</v>
      </c>
      <c r="D67" s="100">
        <v>2375.45</v>
      </c>
      <c r="E67" s="100">
        <v>631.49</v>
      </c>
      <c r="F67" s="100">
        <v>1058.81</v>
      </c>
      <c r="G67" s="37">
        <f t="shared" si="2"/>
        <v>5737.74</v>
      </c>
      <c r="H67" s="101">
        <f t="shared" si="3"/>
        <v>0.00001545097067</v>
      </c>
      <c r="I67" s="101">
        <f t="shared" ref="I67:L67" si="68">C67/$G67</f>
        <v>0.2914021897</v>
      </c>
      <c r="J67" s="101">
        <f t="shared" si="68"/>
        <v>0.4140044687</v>
      </c>
      <c r="K67" s="101">
        <f t="shared" si="68"/>
        <v>0.1100590128</v>
      </c>
      <c r="L67" s="101">
        <f t="shared" si="68"/>
        <v>0.1845343288</v>
      </c>
    </row>
    <row r="68">
      <c r="A68" s="57" t="s">
        <v>206</v>
      </c>
      <c r="B68" s="99">
        <v>2023.0</v>
      </c>
      <c r="C68" s="100">
        <v>5000.0</v>
      </c>
      <c r="D68" s="100">
        <v>22700.0</v>
      </c>
      <c r="E68" s="100">
        <v>25800.0</v>
      </c>
      <c r="F68" s="100">
        <v>24700.0</v>
      </c>
      <c r="G68" s="37">
        <f t="shared" si="2"/>
        <v>78200</v>
      </c>
      <c r="H68" s="101">
        <f t="shared" si="3"/>
        <v>0.000210582199</v>
      </c>
      <c r="I68" s="101">
        <f t="shared" ref="I68:L68" si="69">C68/$G68</f>
        <v>0.06393861893</v>
      </c>
      <c r="J68" s="101">
        <f t="shared" si="69"/>
        <v>0.2902813299</v>
      </c>
      <c r="K68" s="101">
        <f t="shared" si="69"/>
        <v>0.3299232737</v>
      </c>
      <c r="L68" s="101">
        <f t="shared" si="69"/>
        <v>0.3158567775</v>
      </c>
    </row>
    <row r="69">
      <c r="A69" s="57" t="s">
        <v>207</v>
      </c>
      <c r="B69" s="99">
        <v>2023.0</v>
      </c>
      <c r="C69" s="100">
        <v>30800.0</v>
      </c>
      <c r="D69" s="100">
        <v>1004600.0</v>
      </c>
      <c r="E69" s="100">
        <v>4209580.0</v>
      </c>
      <c r="F69" s="100">
        <v>1530600.0</v>
      </c>
      <c r="G69" s="37">
        <f t="shared" si="2"/>
        <v>6775580</v>
      </c>
      <c r="H69" s="101">
        <f t="shared" si="3"/>
        <v>0.01824573575</v>
      </c>
      <c r="I69" s="101">
        <f t="shared" ref="I69:L69" si="70">C69/$G69</f>
        <v>0.004545736306</v>
      </c>
      <c r="J69" s="101">
        <f t="shared" si="70"/>
        <v>0.1482677498</v>
      </c>
      <c r="K69" s="101">
        <f t="shared" si="70"/>
        <v>0.6212870337</v>
      </c>
      <c r="L69" s="101">
        <f t="shared" si="70"/>
        <v>0.2258994802</v>
      </c>
    </row>
    <row r="70">
      <c r="A70" s="57" t="s">
        <v>208</v>
      </c>
      <c r="B70" s="99">
        <v>2023.0</v>
      </c>
      <c r="C70" s="100">
        <v>62495.93</v>
      </c>
      <c r="D70" s="100">
        <v>30406.7</v>
      </c>
      <c r="E70" s="100">
        <v>32093.86</v>
      </c>
      <c r="F70" s="100">
        <v>74374.06</v>
      </c>
      <c r="G70" s="37">
        <f t="shared" si="2"/>
        <v>199370.55</v>
      </c>
      <c r="H70" s="101">
        <f t="shared" si="3"/>
        <v>0.0005368783738</v>
      </c>
      <c r="I70" s="101">
        <f t="shared" ref="I70:L70" si="71">C70/$G70</f>
        <v>0.3134662065</v>
      </c>
      <c r="J70" s="101">
        <f t="shared" si="71"/>
        <v>0.1525134981</v>
      </c>
      <c r="K70" s="101">
        <f t="shared" si="71"/>
        <v>0.1609759315</v>
      </c>
      <c r="L70" s="101">
        <f t="shared" si="71"/>
        <v>0.3730443639</v>
      </c>
    </row>
    <row r="71">
      <c r="A71" s="57" t="s">
        <v>209</v>
      </c>
      <c r="B71" s="99">
        <v>2023.0</v>
      </c>
      <c r="C71" s="100">
        <v>72840.0</v>
      </c>
      <c r="D71" s="100">
        <v>42917.0</v>
      </c>
      <c r="E71" s="100">
        <v>70900.0</v>
      </c>
      <c r="F71" s="100">
        <v>273850.0</v>
      </c>
      <c r="G71" s="37">
        <f t="shared" si="2"/>
        <v>460507</v>
      </c>
      <c r="H71" s="101">
        <f t="shared" si="3"/>
        <v>0.001240084101</v>
      </c>
      <c r="I71" s="101">
        <f t="shared" ref="I71:L71" si="72">C71/$G71</f>
        <v>0.1581734914</v>
      </c>
      <c r="J71" s="101">
        <f t="shared" si="72"/>
        <v>0.09319510887</v>
      </c>
      <c r="K71" s="101">
        <f t="shared" si="72"/>
        <v>0.1539607433</v>
      </c>
      <c r="L71" s="101">
        <f t="shared" si="72"/>
        <v>0.5946706565</v>
      </c>
    </row>
    <row r="72">
      <c r="A72" s="57" t="s">
        <v>210</v>
      </c>
      <c r="B72" s="99">
        <v>2023.0</v>
      </c>
      <c r="C72" s="100">
        <v>310.87</v>
      </c>
      <c r="D72" s="100">
        <v>132.2</v>
      </c>
      <c r="E72" s="100">
        <v>718.68</v>
      </c>
      <c r="F72" s="100">
        <v>723.9</v>
      </c>
      <c r="G72" s="37">
        <f t="shared" si="2"/>
        <v>1885.65</v>
      </c>
      <c r="H72" s="101">
        <f t="shared" si="3"/>
        <v>0.000005077804649</v>
      </c>
      <c r="I72" s="101">
        <f t="shared" ref="I72:L72" si="73">C72/$G72</f>
        <v>0.1648609233</v>
      </c>
      <c r="J72" s="101">
        <f t="shared" si="73"/>
        <v>0.07010845067</v>
      </c>
      <c r="K72" s="101">
        <f t="shared" si="73"/>
        <v>0.3811311749</v>
      </c>
      <c r="L72" s="101">
        <f t="shared" si="73"/>
        <v>0.3838994511</v>
      </c>
    </row>
    <row r="73">
      <c r="A73" s="57" t="s">
        <v>211</v>
      </c>
      <c r="B73" s="99">
        <v>2023.0</v>
      </c>
      <c r="C73" s="100">
        <v>2206.11</v>
      </c>
      <c r="D73" s="100">
        <v>212380.39</v>
      </c>
      <c r="E73" s="100">
        <v>43448.0</v>
      </c>
      <c r="F73" s="100">
        <v>468799.5</v>
      </c>
      <c r="G73" s="37">
        <f t="shared" si="2"/>
        <v>726834</v>
      </c>
      <c r="H73" s="101">
        <f t="shared" si="3"/>
        <v>0.001957267289</v>
      </c>
      <c r="I73" s="101">
        <f t="shared" ref="I73:L73" si="74">C73/$G73</f>
        <v>0.003035232254</v>
      </c>
      <c r="J73" s="101">
        <f t="shared" si="74"/>
        <v>0.2921993055</v>
      </c>
      <c r="K73" s="101">
        <f t="shared" si="74"/>
        <v>0.05977706051</v>
      </c>
      <c r="L73" s="101">
        <f t="shared" si="74"/>
        <v>0.6449884018</v>
      </c>
    </row>
    <row r="74">
      <c r="A74" s="57" t="s">
        <v>212</v>
      </c>
      <c r="B74" s="99">
        <v>2023.0</v>
      </c>
      <c r="C74" s="100">
        <v>30064.71</v>
      </c>
      <c r="D74" s="100">
        <v>88955.74</v>
      </c>
      <c r="E74" s="100">
        <v>4621.47</v>
      </c>
      <c r="F74" s="100">
        <v>14807.42</v>
      </c>
      <c r="G74" s="37">
        <f t="shared" si="2"/>
        <v>138449.34</v>
      </c>
      <c r="H74" s="101">
        <f t="shared" si="3"/>
        <v>0.0003728256581</v>
      </c>
      <c r="I74" s="101">
        <f t="shared" ref="I74:L74" si="75">C74/$G74</f>
        <v>0.2171531479</v>
      </c>
      <c r="J74" s="101">
        <f t="shared" si="75"/>
        <v>0.6425147278</v>
      </c>
      <c r="K74" s="101">
        <f t="shared" si="75"/>
        <v>0.03338022413</v>
      </c>
      <c r="L74" s="101">
        <f t="shared" si="75"/>
        <v>0.1069519002</v>
      </c>
    </row>
    <row r="75">
      <c r="A75" s="57" t="s">
        <v>213</v>
      </c>
      <c r="B75" s="99">
        <v>2023.0</v>
      </c>
      <c r="C75" s="100">
        <v>2165.94</v>
      </c>
      <c r="D75" s="100">
        <v>7759.59</v>
      </c>
      <c r="E75" s="100">
        <v>11673.62</v>
      </c>
      <c r="F75" s="100">
        <v>3248.65</v>
      </c>
      <c r="G75" s="37">
        <f t="shared" si="2"/>
        <v>24847.8</v>
      </c>
      <c r="H75" s="101">
        <f t="shared" si="3"/>
        <v>0.00006691182051</v>
      </c>
      <c r="I75" s="101">
        <f t="shared" ref="I75:L75" si="76">C75/$G75</f>
        <v>0.08716828049</v>
      </c>
      <c r="J75" s="101">
        <f t="shared" si="76"/>
        <v>0.3122847898</v>
      </c>
      <c r="K75" s="101">
        <f t="shared" si="76"/>
        <v>0.4698049727</v>
      </c>
      <c r="L75" s="101">
        <f t="shared" si="76"/>
        <v>0.130741957</v>
      </c>
    </row>
    <row r="76">
      <c r="A76" s="57" t="s">
        <v>214</v>
      </c>
      <c r="B76" s="99">
        <v>2023.0</v>
      </c>
      <c r="C76" s="100">
        <v>837.17</v>
      </c>
      <c r="D76" s="100">
        <v>2085.72</v>
      </c>
      <c r="E76" s="100">
        <v>860.4</v>
      </c>
      <c r="F76" s="100">
        <v>62528.0</v>
      </c>
      <c r="G76" s="37">
        <f t="shared" si="2"/>
        <v>66311.29</v>
      </c>
      <c r="H76" s="101">
        <f t="shared" si="3"/>
        <v>0.0001785674842</v>
      </c>
      <c r="I76" s="101">
        <f t="shared" ref="I76:L76" si="77">C76/$G76</f>
        <v>0.01262484865</v>
      </c>
      <c r="J76" s="101">
        <f t="shared" si="77"/>
        <v>0.03145346743</v>
      </c>
      <c r="K76" s="101">
        <f t="shared" si="77"/>
        <v>0.01297516607</v>
      </c>
      <c r="L76" s="101">
        <f t="shared" si="77"/>
        <v>0.9429465179</v>
      </c>
    </row>
    <row r="77">
      <c r="A77" s="57" t="s">
        <v>215</v>
      </c>
      <c r="B77" s="99">
        <v>2023.0</v>
      </c>
      <c r="C77" s="100">
        <v>7003.0</v>
      </c>
      <c r="D77" s="100">
        <v>51083.06</v>
      </c>
      <c r="E77" s="100">
        <v>31199.45</v>
      </c>
      <c r="F77" s="100">
        <v>9427.65</v>
      </c>
      <c r="G77" s="37">
        <f t="shared" si="2"/>
        <v>98713.16</v>
      </c>
      <c r="H77" s="101">
        <f t="shared" si="3"/>
        <v>0.0002658214105</v>
      </c>
      <c r="I77" s="101">
        <f t="shared" ref="I77:L77" si="78">C77/$G77</f>
        <v>0.0709429219</v>
      </c>
      <c r="J77" s="101">
        <f t="shared" si="78"/>
        <v>0.5174898666</v>
      </c>
      <c r="K77" s="101">
        <f t="shared" si="78"/>
        <v>0.3160617085</v>
      </c>
      <c r="L77" s="101">
        <f t="shared" si="78"/>
        <v>0.09550550301</v>
      </c>
    </row>
    <row r="78">
      <c r="A78" s="57" t="s">
        <v>216</v>
      </c>
      <c r="B78" s="99">
        <v>2023.0</v>
      </c>
      <c r="C78" s="100">
        <v>254.15</v>
      </c>
      <c r="D78" s="100">
        <v>66000.0</v>
      </c>
      <c r="E78" s="100">
        <v>8245.06</v>
      </c>
      <c r="F78" s="100">
        <v>241391.44</v>
      </c>
      <c r="G78" s="37">
        <f t="shared" si="2"/>
        <v>315890.65</v>
      </c>
      <c r="H78" s="101">
        <f t="shared" si="3"/>
        <v>0.0008506515053</v>
      </c>
      <c r="I78" s="101">
        <f t="shared" ref="I78:L78" si="79">C78/$G78</f>
        <v>0.000804550562</v>
      </c>
      <c r="J78" s="101">
        <f t="shared" si="79"/>
        <v>0.2089330596</v>
      </c>
      <c r="K78" s="101">
        <f t="shared" si="79"/>
        <v>0.02610099413</v>
      </c>
      <c r="L78" s="101">
        <f t="shared" si="79"/>
        <v>0.7641613957</v>
      </c>
    </row>
    <row r="79">
      <c r="A79" s="57" t="s">
        <v>217</v>
      </c>
      <c r="B79" s="99">
        <v>2023.0</v>
      </c>
      <c r="C79" s="100">
        <v>78.9</v>
      </c>
      <c r="D79" s="100">
        <v>6000.0</v>
      </c>
      <c r="E79" s="100">
        <v>123609.24</v>
      </c>
      <c r="F79" s="100">
        <v>24230.05</v>
      </c>
      <c r="G79" s="37">
        <f t="shared" si="2"/>
        <v>153918.19</v>
      </c>
      <c r="H79" s="101">
        <f t="shared" si="3"/>
        <v>0.0004144812137</v>
      </c>
      <c r="I79" s="101">
        <f t="shared" ref="I79:L79" si="80">C79/$G79</f>
        <v>0.0005126099781</v>
      </c>
      <c r="J79" s="101">
        <f t="shared" si="80"/>
        <v>0.03898174738</v>
      </c>
      <c r="K79" s="101">
        <f t="shared" si="80"/>
        <v>0.803084028</v>
      </c>
      <c r="L79" s="101">
        <f t="shared" si="80"/>
        <v>0.1574216147</v>
      </c>
    </row>
    <row r="80">
      <c r="A80" s="57" t="s">
        <v>218</v>
      </c>
      <c r="B80" s="99">
        <v>2023.0</v>
      </c>
      <c r="C80" s="100">
        <v>1370.0</v>
      </c>
      <c r="D80" s="100">
        <v>24180.0</v>
      </c>
      <c r="E80" s="100">
        <v>427030.0</v>
      </c>
      <c r="F80" s="100">
        <v>510751.97</v>
      </c>
      <c r="G80" s="37">
        <f t="shared" si="2"/>
        <v>963331.97</v>
      </c>
      <c r="H80" s="101">
        <f t="shared" si="3"/>
        <v>0.002594124867</v>
      </c>
      <c r="I80" s="101">
        <f t="shared" ref="I80:L80" si="81">C80/$G80</f>
        <v>0.001422147341</v>
      </c>
      <c r="J80" s="101">
        <f t="shared" si="81"/>
        <v>0.02510038154</v>
      </c>
      <c r="K80" s="101">
        <f t="shared" si="81"/>
        <v>0.4432843644</v>
      </c>
      <c r="L80" s="101">
        <f t="shared" si="81"/>
        <v>0.5301931067</v>
      </c>
    </row>
    <row r="81">
      <c r="A81" s="57" t="s">
        <v>219</v>
      </c>
      <c r="B81" s="99">
        <v>2023.0</v>
      </c>
      <c r="C81" s="100">
        <v>8403.0</v>
      </c>
      <c r="D81" s="100">
        <v>4885.0</v>
      </c>
      <c r="E81" s="100">
        <v>6215.0</v>
      </c>
      <c r="F81" s="100">
        <v>9663.0</v>
      </c>
      <c r="G81" s="37">
        <f t="shared" si="2"/>
        <v>29166</v>
      </c>
      <c r="H81" s="101">
        <f t="shared" si="3"/>
        <v>0.00007854015877</v>
      </c>
      <c r="I81" s="101">
        <f t="shared" ref="I81:L81" si="82">C81/$G81</f>
        <v>0.2881094425</v>
      </c>
      <c r="J81" s="101">
        <f t="shared" si="82"/>
        <v>0.1674895426</v>
      </c>
      <c r="K81" s="101">
        <f t="shared" si="82"/>
        <v>0.2130905849</v>
      </c>
      <c r="L81" s="101">
        <f t="shared" si="82"/>
        <v>0.33131043</v>
      </c>
    </row>
    <row r="82">
      <c r="A82" s="57" t="s">
        <v>220</v>
      </c>
      <c r="B82" s="99">
        <v>2023.0</v>
      </c>
      <c r="C82" s="100">
        <v>2730390.0</v>
      </c>
      <c r="D82" s="100">
        <v>4470000.0</v>
      </c>
      <c r="E82" s="100">
        <v>374730.56</v>
      </c>
      <c r="F82" s="100">
        <v>5063410.0</v>
      </c>
      <c r="G82" s="37">
        <f t="shared" si="2"/>
        <v>12638530.56</v>
      </c>
      <c r="H82" s="101">
        <f t="shared" si="3"/>
        <v>0.03403388181</v>
      </c>
      <c r="I82" s="101">
        <f t="shared" ref="I82:L82" si="83">C82/$G82</f>
        <v>0.2160369821</v>
      </c>
      <c r="J82" s="101">
        <f t="shared" si="83"/>
        <v>0.353680357</v>
      </c>
      <c r="K82" s="101">
        <f t="shared" si="83"/>
        <v>0.02964985195</v>
      </c>
      <c r="L82" s="101">
        <f t="shared" si="83"/>
        <v>0.400632809</v>
      </c>
    </row>
    <row r="83">
      <c r="A83" s="57" t="s">
        <v>221</v>
      </c>
      <c r="B83" s="99">
        <v>2023.0</v>
      </c>
      <c r="C83" s="100">
        <v>114314.19</v>
      </c>
      <c r="D83" s="100">
        <v>525617.6</v>
      </c>
      <c r="E83" s="100">
        <v>154351.77</v>
      </c>
      <c r="F83" s="100">
        <v>4493520.0</v>
      </c>
      <c r="G83" s="37">
        <f t="shared" si="2"/>
        <v>5287803.56</v>
      </c>
      <c r="H83" s="101">
        <f t="shared" si="3"/>
        <v>0.01423935168</v>
      </c>
      <c r="I83" s="101">
        <f t="shared" ref="I83:L83" si="84">C83/$G83</f>
        <v>0.02161846383</v>
      </c>
      <c r="J83" s="101">
        <f t="shared" si="84"/>
        <v>0.09940187718</v>
      </c>
      <c r="K83" s="101">
        <f t="shared" si="84"/>
        <v>0.02919014828</v>
      </c>
      <c r="L83" s="101">
        <f t="shared" si="84"/>
        <v>0.8497895107</v>
      </c>
    </row>
    <row r="84">
      <c r="A84" s="57" t="s">
        <v>222</v>
      </c>
      <c r="B84" s="99">
        <v>2023.0</v>
      </c>
      <c r="C84" s="100">
        <v>271868.28</v>
      </c>
      <c r="D84" s="100">
        <v>254723.86</v>
      </c>
      <c r="E84" s="100">
        <v>0.0</v>
      </c>
      <c r="F84" s="100">
        <v>2078310.8</v>
      </c>
      <c r="G84" s="37">
        <f t="shared" si="2"/>
        <v>2604902.94</v>
      </c>
      <c r="H84" s="101">
        <f t="shared" si="3"/>
        <v>0.007014657152</v>
      </c>
      <c r="I84" s="101">
        <f t="shared" ref="I84:L84" si="85">C84/$G84</f>
        <v>0.1043679117</v>
      </c>
      <c r="J84" s="101">
        <f t="shared" si="85"/>
        <v>0.09778631522</v>
      </c>
      <c r="K84" s="101">
        <f t="shared" si="85"/>
        <v>0</v>
      </c>
      <c r="L84" s="101">
        <f t="shared" si="85"/>
        <v>0.7978457731</v>
      </c>
    </row>
    <row r="85">
      <c r="A85" s="57" t="s">
        <v>223</v>
      </c>
      <c r="B85" s="99">
        <v>2023.0</v>
      </c>
      <c r="C85" s="100">
        <v>55744.44</v>
      </c>
      <c r="D85" s="100">
        <v>42244.21</v>
      </c>
      <c r="E85" s="100">
        <v>0.0</v>
      </c>
      <c r="F85" s="100">
        <v>232414.89</v>
      </c>
      <c r="G85" s="37">
        <f t="shared" si="2"/>
        <v>330403.54</v>
      </c>
      <c r="H85" s="101">
        <f t="shared" si="3"/>
        <v>0.0008897327878</v>
      </c>
      <c r="I85" s="101">
        <f t="shared" ref="I85:L85" si="86">C85/$G85</f>
        <v>0.1687162311</v>
      </c>
      <c r="J85" s="101">
        <f t="shared" si="86"/>
        <v>0.1278564086</v>
      </c>
      <c r="K85" s="101">
        <f t="shared" si="86"/>
        <v>0</v>
      </c>
      <c r="L85" s="101">
        <f t="shared" si="86"/>
        <v>0.7034273604</v>
      </c>
    </row>
    <row r="86">
      <c r="A86" s="57" t="s">
        <v>224</v>
      </c>
      <c r="B86" s="99">
        <v>2023.0</v>
      </c>
      <c r="C86" s="100">
        <v>69720.0</v>
      </c>
      <c r="D86" s="100">
        <v>599520.0</v>
      </c>
      <c r="E86" s="100">
        <v>300520.0</v>
      </c>
      <c r="F86" s="100">
        <v>142472.14</v>
      </c>
      <c r="G86" s="37">
        <f t="shared" si="2"/>
        <v>1112232.14</v>
      </c>
      <c r="H86" s="101">
        <f t="shared" si="3"/>
        <v>0.00299509322</v>
      </c>
      <c r="I86" s="101">
        <f t="shared" ref="I86:L86" si="87">C86/$G86</f>
        <v>0.06268475572</v>
      </c>
      <c r="J86" s="101">
        <f t="shared" si="87"/>
        <v>0.5390241645</v>
      </c>
      <c r="K86" s="101">
        <f t="shared" si="87"/>
        <v>0.2701953928</v>
      </c>
      <c r="L86" s="101">
        <f t="shared" si="87"/>
        <v>0.1280956869</v>
      </c>
    </row>
    <row r="87">
      <c r="A87" s="57" t="s">
        <v>225</v>
      </c>
      <c r="B87" s="99">
        <v>2023.0</v>
      </c>
      <c r="C87" s="100">
        <v>41834.0</v>
      </c>
      <c r="D87" s="100">
        <v>162270.0</v>
      </c>
      <c r="E87" s="100">
        <v>10893.0</v>
      </c>
      <c r="F87" s="100">
        <v>681278.0</v>
      </c>
      <c r="G87" s="37">
        <f t="shared" si="2"/>
        <v>896275</v>
      </c>
      <c r="H87" s="101">
        <f t="shared" si="3"/>
        <v>0.002413549366</v>
      </c>
      <c r="I87" s="101">
        <f t="shared" ref="I87:L87" si="88">C87/$G87</f>
        <v>0.04667540654</v>
      </c>
      <c r="J87" s="101">
        <f t="shared" si="88"/>
        <v>0.1810493431</v>
      </c>
      <c r="K87" s="101">
        <f t="shared" si="88"/>
        <v>0.01215363588</v>
      </c>
      <c r="L87" s="101">
        <f t="shared" si="88"/>
        <v>0.7601216145</v>
      </c>
    </row>
    <row r="88">
      <c r="A88" s="57" t="s">
        <v>226</v>
      </c>
      <c r="B88" s="99">
        <v>2023.0</v>
      </c>
      <c r="C88" s="100">
        <v>29120.0</v>
      </c>
      <c r="D88" s="100">
        <v>801096.9</v>
      </c>
      <c r="E88" s="100">
        <v>1221120.0</v>
      </c>
      <c r="F88" s="100">
        <v>1328476.5</v>
      </c>
      <c r="G88" s="37">
        <f t="shared" si="2"/>
        <v>3379813.4</v>
      </c>
      <c r="H88" s="101">
        <f t="shared" si="3"/>
        <v>0.009101387953</v>
      </c>
      <c r="I88" s="101">
        <f t="shared" ref="I88:L88" si="89">C88/$G88</f>
        <v>0.008615860272</v>
      </c>
      <c r="J88" s="101">
        <f t="shared" si="89"/>
        <v>0.2370240026</v>
      </c>
      <c r="K88" s="101">
        <f t="shared" si="89"/>
        <v>0.3612980527</v>
      </c>
      <c r="L88" s="101">
        <f t="shared" si="89"/>
        <v>0.3930620844</v>
      </c>
    </row>
    <row r="89">
      <c r="A89" s="57" t="s">
        <v>227</v>
      </c>
      <c r="B89" s="99">
        <v>2023.0</v>
      </c>
      <c r="C89" s="100">
        <v>488.0</v>
      </c>
      <c r="D89" s="100">
        <v>7805.0</v>
      </c>
      <c r="E89" s="100">
        <v>9194.0</v>
      </c>
      <c r="F89" s="100">
        <v>137752.0</v>
      </c>
      <c r="G89" s="37">
        <f t="shared" si="2"/>
        <v>155239</v>
      </c>
      <c r="H89" s="101">
        <f t="shared" si="3"/>
        <v>0.0004180379794</v>
      </c>
      <c r="I89" s="101">
        <f t="shared" ref="I89:L89" si="90">C89/$G89</f>
        <v>0.003143539961</v>
      </c>
      <c r="J89" s="101">
        <f t="shared" si="90"/>
        <v>0.05027731433</v>
      </c>
      <c r="K89" s="101">
        <f t="shared" si="90"/>
        <v>0.0592248082</v>
      </c>
      <c r="L89" s="101">
        <f t="shared" si="90"/>
        <v>0.8873543375</v>
      </c>
    </row>
    <row r="90">
      <c r="A90" s="57" t="s">
        <v>228</v>
      </c>
      <c r="B90" s="99">
        <v>2023.0</v>
      </c>
      <c r="C90" s="100">
        <v>251.03</v>
      </c>
      <c r="D90" s="100">
        <v>501585.0</v>
      </c>
      <c r="E90" s="100">
        <v>1293835.0</v>
      </c>
      <c r="F90" s="100">
        <v>2384263.5</v>
      </c>
      <c r="G90" s="37">
        <f t="shared" si="2"/>
        <v>4179934.53</v>
      </c>
      <c r="H90" s="101">
        <f t="shared" si="3"/>
        <v>0.01125600774</v>
      </c>
      <c r="I90" s="101">
        <f t="shared" ref="I90:L90" si="91">C90/$G90</f>
        <v>0.00006005596456</v>
      </c>
      <c r="J90" s="101">
        <f t="shared" si="91"/>
        <v>0.119998291</v>
      </c>
      <c r="K90" s="101">
        <f t="shared" si="91"/>
        <v>0.3095347524</v>
      </c>
      <c r="L90" s="101">
        <f t="shared" si="91"/>
        <v>0.5704069006</v>
      </c>
    </row>
    <row r="91">
      <c r="A91" s="57" t="s">
        <v>229</v>
      </c>
      <c r="B91" s="99">
        <v>2023.0</v>
      </c>
      <c r="C91" s="100">
        <v>27322.72</v>
      </c>
      <c r="D91" s="100">
        <v>33335.47</v>
      </c>
      <c r="E91" s="100">
        <v>0.0</v>
      </c>
      <c r="F91" s="100">
        <v>254450.11</v>
      </c>
      <c r="G91" s="37">
        <f t="shared" si="2"/>
        <v>315108.3</v>
      </c>
      <c r="H91" s="101">
        <f t="shared" si="3"/>
        <v>0.0008485447408</v>
      </c>
      <c r="I91" s="101">
        <f t="shared" ref="I91:L91" si="92">C91/$G91</f>
        <v>0.08670898228</v>
      </c>
      <c r="J91" s="101">
        <f t="shared" si="92"/>
        <v>0.1057905171</v>
      </c>
      <c r="K91" s="101">
        <f t="shared" si="92"/>
        <v>0</v>
      </c>
      <c r="L91" s="101">
        <f t="shared" si="92"/>
        <v>0.8075005006</v>
      </c>
    </row>
    <row r="92">
      <c r="A92" s="57" t="s">
        <v>230</v>
      </c>
      <c r="B92" s="99">
        <v>2023.0</v>
      </c>
      <c r="C92" s="100">
        <v>153909.67</v>
      </c>
      <c r="D92" s="100">
        <v>399339.3</v>
      </c>
      <c r="E92" s="100">
        <v>55440.73</v>
      </c>
      <c r="F92" s="100">
        <v>342276.47</v>
      </c>
      <c r="G92" s="37">
        <f t="shared" si="2"/>
        <v>950966.17</v>
      </c>
      <c r="H92" s="101">
        <f t="shared" si="3"/>
        <v>0.002560825412</v>
      </c>
      <c r="I92" s="101">
        <f t="shared" ref="I92:L92" si="93">C92/$G92</f>
        <v>0.1618455786</v>
      </c>
      <c r="J92" s="101">
        <f t="shared" si="93"/>
        <v>0.4199300802</v>
      </c>
      <c r="K92" s="101">
        <f t="shared" si="93"/>
        <v>0.05829937147</v>
      </c>
      <c r="L92" s="101">
        <f t="shared" si="93"/>
        <v>0.3599249698</v>
      </c>
    </row>
    <row r="93">
      <c r="A93" s="57" t="s">
        <v>231</v>
      </c>
      <c r="B93" s="99">
        <v>2023.0</v>
      </c>
      <c r="C93" s="100">
        <v>129212.0</v>
      </c>
      <c r="D93" s="100">
        <v>237907.0</v>
      </c>
      <c r="E93" s="100">
        <v>40055.0</v>
      </c>
      <c r="F93" s="100">
        <v>93622.0</v>
      </c>
      <c r="G93" s="37">
        <f t="shared" si="2"/>
        <v>500796</v>
      </c>
      <c r="H93" s="101">
        <f t="shared" si="3"/>
        <v>0.001348577019</v>
      </c>
      <c r="I93" s="101">
        <f t="shared" ref="I93:L93" si="94">C93/$G93</f>
        <v>0.2580132429</v>
      </c>
      <c r="J93" s="101">
        <f t="shared" si="94"/>
        <v>0.4750577081</v>
      </c>
      <c r="K93" s="101">
        <f t="shared" si="94"/>
        <v>0.07998266759</v>
      </c>
      <c r="L93" s="101">
        <f t="shared" si="94"/>
        <v>0.1869463814</v>
      </c>
    </row>
    <row r="94">
      <c r="A94" s="57" t="s">
        <v>232</v>
      </c>
      <c r="B94" s="99">
        <v>2023.0</v>
      </c>
      <c r="C94" s="100">
        <v>0.0</v>
      </c>
      <c r="D94" s="100">
        <v>0.0</v>
      </c>
      <c r="E94" s="100">
        <v>1075.82</v>
      </c>
      <c r="F94" s="100">
        <v>1040.24</v>
      </c>
      <c r="G94" s="37">
        <f t="shared" si="2"/>
        <v>2116.06</v>
      </c>
      <c r="H94" s="101">
        <f t="shared" si="3"/>
        <v>0.000005698268133</v>
      </c>
      <c r="I94" s="101">
        <f t="shared" ref="I94:L94" si="95">C94/$G94</f>
        <v>0</v>
      </c>
      <c r="J94" s="101">
        <f t="shared" si="95"/>
        <v>0</v>
      </c>
      <c r="K94" s="101">
        <f t="shared" si="95"/>
        <v>0.508407134</v>
      </c>
      <c r="L94" s="101">
        <f t="shared" si="95"/>
        <v>0.491592866</v>
      </c>
    </row>
    <row r="95">
      <c r="A95" s="57" t="s">
        <v>233</v>
      </c>
      <c r="B95" s="99">
        <v>2023.0</v>
      </c>
      <c r="C95" s="100">
        <v>53533.63</v>
      </c>
      <c r="D95" s="100">
        <v>2292.62</v>
      </c>
      <c r="E95" s="100">
        <v>0.0</v>
      </c>
      <c r="F95" s="100">
        <v>61000.0</v>
      </c>
      <c r="G95" s="37">
        <f t="shared" si="2"/>
        <v>116826.25</v>
      </c>
      <c r="H95" s="101">
        <f t="shared" si="3"/>
        <v>0.0003145975527</v>
      </c>
      <c r="I95" s="101">
        <f t="shared" ref="I95:L95" si="96">C95/$G95</f>
        <v>0.4582328886</v>
      </c>
      <c r="J95" s="101">
        <f t="shared" si="96"/>
        <v>0.01962418549</v>
      </c>
      <c r="K95" s="101">
        <f t="shared" si="96"/>
        <v>0</v>
      </c>
      <c r="L95" s="101">
        <f t="shared" si="96"/>
        <v>0.5221429259</v>
      </c>
    </row>
    <row r="96">
      <c r="A96" s="57" t="s">
        <v>234</v>
      </c>
      <c r="B96" s="99">
        <v>2023.0</v>
      </c>
      <c r="C96" s="100">
        <v>85038.03</v>
      </c>
      <c r="D96" s="100">
        <v>126600.0</v>
      </c>
      <c r="E96" s="100">
        <v>6900.0</v>
      </c>
      <c r="F96" s="100">
        <v>13900.0</v>
      </c>
      <c r="G96" s="37">
        <f t="shared" si="2"/>
        <v>232438.03</v>
      </c>
      <c r="H96" s="101">
        <f t="shared" si="3"/>
        <v>0.0006259246993</v>
      </c>
      <c r="I96" s="101">
        <f t="shared" ref="I96:L96" si="97">C96/$G96</f>
        <v>0.3658524812</v>
      </c>
      <c r="J96" s="101">
        <f t="shared" si="97"/>
        <v>0.5446613018</v>
      </c>
      <c r="K96" s="101">
        <f t="shared" si="97"/>
        <v>0.02968533161</v>
      </c>
      <c r="L96" s="101">
        <f t="shared" si="97"/>
        <v>0.05980088542</v>
      </c>
    </row>
    <row r="97">
      <c r="A97" s="57" t="s">
        <v>235</v>
      </c>
      <c r="B97" s="99">
        <v>2023.0</v>
      </c>
      <c r="C97" s="100">
        <v>3151.47</v>
      </c>
      <c r="D97" s="100">
        <v>66296.59</v>
      </c>
      <c r="E97" s="100">
        <v>103454.45</v>
      </c>
      <c r="F97" s="100">
        <v>46103.25</v>
      </c>
      <c r="G97" s="37">
        <f t="shared" si="2"/>
        <v>219005.76</v>
      </c>
      <c r="H97" s="101">
        <f t="shared" si="3"/>
        <v>0.0005897533828</v>
      </c>
      <c r="I97" s="101">
        <f t="shared" ref="I97:L97" si="98">C97/$G97</f>
        <v>0.0143898955</v>
      </c>
      <c r="J97" s="101">
        <f t="shared" si="98"/>
        <v>0.3027161934</v>
      </c>
      <c r="K97" s="101">
        <f t="shared" si="98"/>
        <v>0.4723823246</v>
      </c>
      <c r="L97" s="101">
        <f t="shared" si="98"/>
        <v>0.2105115865</v>
      </c>
    </row>
    <row r="98">
      <c r="A98" s="57" t="s">
        <v>236</v>
      </c>
      <c r="B98" s="99">
        <v>2023.0</v>
      </c>
      <c r="C98" s="100">
        <v>860.0</v>
      </c>
      <c r="D98" s="100">
        <v>17960.0</v>
      </c>
      <c r="E98" s="100">
        <v>33320.0</v>
      </c>
      <c r="F98" s="100">
        <v>37080.0</v>
      </c>
      <c r="G98" s="37">
        <f t="shared" si="2"/>
        <v>89220</v>
      </c>
      <c r="H98" s="101">
        <f t="shared" si="3"/>
        <v>0.0002402575933</v>
      </c>
      <c r="I98" s="101">
        <f t="shared" ref="I98:L98" si="99">C98/$G98</f>
        <v>0.009639094373</v>
      </c>
      <c r="J98" s="101">
        <f t="shared" si="99"/>
        <v>0.2013001569</v>
      </c>
      <c r="K98" s="101">
        <f t="shared" si="99"/>
        <v>0.3734588657</v>
      </c>
      <c r="L98" s="101">
        <f t="shared" si="99"/>
        <v>0.415601883</v>
      </c>
    </row>
    <row r="99">
      <c r="A99" s="57" t="s">
        <v>237</v>
      </c>
      <c r="B99" s="99">
        <v>2023.0</v>
      </c>
      <c r="C99" s="100">
        <v>7860.76</v>
      </c>
      <c r="D99" s="100">
        <v>45542.7</v>
      </c>
      <c r="E99" s="100">
        <v>747.21</v>
      </c>
      <c r="F99" s="100">
        <v>121706.9</v>
      </c>
      <c r="G99" s="37">
        <f t="shared" si="2"/>
        <v>175857.57</v>
      </c>
      <c r="H99" s="101">
        <f t="shared" si="3"/>
        <v>0.000473561046</v>
      </c>
      <c r="I99" s="101">
        <f t="shared" ref="I99:L99" si="100">C99/$G99</f>
        <v>0.04469958274</v>
      </c>
      <c r="J99" s="101">
        <f t="shared" si="100"/>
        <v>0.2589749193</v>
      </c>
      <c r="K99" s="101">
        <f t="shared" si="100"/>
        <v>0.004248949875</v>
      </c>
      <c r="L99" s="101">
        <f t="shared" si="100"/>
        <v>0.6920765481</v>
      </c>
    </row>
    <row r="100">
      <c r="A100" s="57" t="s">
        <v>238</v>
      </c>
      <c r="B100" s="99">
        <v>2023.0</v>
      </c>
      <c r="C100" s="100">
        <v>804.71</v>
      </c>
      <c r="D100" s="100">
        <v>1266.63</v>
      </c>
      <c r="E100" s="100">
        <v>723.05</v>
      </c>
      <c r="F100" s="100">
        <v>494.88</v>
      </c>
      <c r="G100" s="37">
        <f t="shared" si="2"/>
        <v>3289.27</v>
      </c>
      <c r="H100" s="101">
        <f t="shared" si="3"/>
        <v>0.00000885756662</v>
      </c>
      <c r="I100" s="101">
        <f t="shared" ref="I100:L100" si="101">C100/$G100</f>
        <v>0.2446469885</v>
      </c>
      <c r="J100" s="101">
        <f t="shared" si="101"/>
        <v>0.3850793641</v>
      </c>
      <c r="K100" s="101">
        <f t="shared" si="101"/>
        <v>0.2198208113</v>
      </c>
      <c r="L100" s="101">
        <f t="shared" si="101"/>
        <v>0.150452836</v>
      </c>
    </row>
    <row r="101">
      <c r="A101" s="57" t="s">
        <v>239</v>
      </c>
      <c r="B101" s="99">
        <v>2023.0</v>
      </c>
      <c r="C101" s="100">
        <v>1954.95</v>
      </c>
      <c r="D101" s="100">
        <v>1192.6</v>
      </c>
      <c r="E101" s="100">
        <v>9718.19</v>
      </c>
      <c r="F101" s="100">
        <v>15104.23</v>
      </c>
      <c r="G101" s="37">
        <f t="shared" si="2"/>
        <v>27969.97</v>
      </c>
      <c r="H101" s="101">
        <f t="shared" si="3"/>
        <v>0.00007531940906</v>
      </c>
      <c r="I101" s="101">
        <f t="shared" ref="I101:L101" si="102">C101/$G101</f>
        <v>0.06989460482</v>
      </c>
      <c r="J101" s="101">
        <f t="shared" si="102"/>
        <v>0.04263858703</v>
      </c>
      <c r="K101" s="101">
        <f t="shared" si="102"/>
        <v>0.3474508553</v>
      </c>
      <c r="L101" s="101">
        <f t="shared" si="102"/>
        <v>0.5400159528</v>
      </c>
    </row>
    <row r="102">
      <c r="A102" s="57" t="s">
        <v>240</v>
      </c>
      <c r="B102" s="99">
        <v>2023.0</v>
      </c>
      <c r="C102" s="100">
        <v>41277.98</v>
      </c>
      <c r="D102" s="100">
        <v>6481.73</v>
      </c>
      <c r="E102" s="100">
        <v>0.0</v>
      </c>
      <c r="F102" s="100">
        <v>131077.19</v>
      </c>
      <c r="G102" s="37">
        <f t="shared" si="2"/>
        <v>178836.9</v>
      </c>
      <c r="H102" s="101">
        <f t="shared" si="3"/>
        <v>0.0004815839854</v>
      </c>
      <c r="I102" s="101">
        <f t="shared" ref="I102:L102" si="103">C102/$G102</f>
        <v>0.2308135513</v>
      </c>
      <c r="J102" s="101">
        <f t="shared" si="103"/>
        <v>0.03624380651</v>
      </c>
      <c r="K102" s="101">
        <f t="shared" si="103"/>
        <v>0</v>
      </c>
      <c r="L102" s="101">
        <f t="shared" si="103"/>
        <v>0.7329426422</v>
      </c>
    </row>
    <row r="103">
      <c r="A103" s="57" t="s">
        <v>241</v>
      </c>
      <c r="B103" s="99">
        <v>2023.0</v>
      </c>
      <c r="C103" s="100">
        <v>980.0</v>
      </c>
      <c r="D103" s="100">
        <v>45990.0</v>
      </c>
      <c r="E103" s="100">
        <v>66720.0</v>
      </c>
      <c r="F103" s="100">
        <v>86991.51</v>
      </c>
      <c r="G103" s="37">
        <f t="shared" si="2"/>
        <v>200681.51</v>
      </c>
      <c r="H103" s="101">
        <f t="shared" si="3"/>
        <v>0.0005404086147</v>
      </c>
      <c r="I103" s="101">
        <f t="shared" ref="I103:L103" si="104">C103/$G103</f>
        <v>0.004883359708</v>
      </c>
      <c r="J103" s="101">
        <f t="shared" si="104"/>
        <v>0.2291690949</v>
      </c>
      <c r="K103" s="101">
        <f t="shared" si="104"/>
        <v>0.3324671017</v>
      </c>
      <c r="L103" s="101">
        <f t="shared" si="104"/>
        <v>0.4334804437</v>
      </c>
    </row>
    <row r="104">
      <c r="A104" s="57" t="s">
        <v>242</v>
      </c>
      <c r="B104" s="99">
        <v>2023.0</v>
      </c>
      <c r="C104" s="100">
        <v>60.0</v>
      </c>
      <c r="D104" s="100">
        <v>9580.0</v>
      </c>
      <c r="E104" s="100">
        <v>11590.0</v>
      </c>
      <c r="F104" s="100">
        <v>0.0</v>
      </c>
      <c r="G104" s="37">
        <f t="shared" si="2"/>
        <v>21230</v>
      </c>
      <c r="H104" s="101">
        <f t="shared" si="3"/>
        <v>0.0000571695663</v>
      </c>
      <c r="I104" s="101">
        <f t="shared" ref="I104:L104" si="105">C104/$G104</f>
        <v>0.002826189355</v>
      </c>
      <c r="J104" s="101">
        <f t="shared" si="105"/>
        <v>0.4512482336</v>
      </c>
      <c r="K104" s="101">
        <f t="shared" si="105"/>
        <v>0.545925577</v>
      </c>
      <c r="L104" s="101">
        <f t="shared" si="105"/>
        <v>0</v>
      </c>
    </row>
    <row r="105">
      <c r="A105" s="57" t="s">
        <v>243</v>
      </c>
      <c r="B105" s="99">
        <v>2023.0</v>
      </c>
      <c r="C105" s="100">
        <v>27.01</v>
      </c>
      <c r="D105" s="100">
        <v>731.08</v>
      </c>
      <c r="E105" s="100">
        <v>5000.0</v>
      </c>
      <c r="F105" s="100">
        <v>3260.72</v>
      </c>
      <c r="G105" s="37">
        <f t="shared" si="2"/>
        <v>9018.81</v>
      </c>
      <c r="H105" s="101">
        <f t="shared" si="3"/>
        <v>0.00002428645578</v>
      </c>
      <c r="I105" s="101">
        <f t="shared" ref="I105:L105" si="106">C105/$G105</f>
        <v>0.002994851871</v>
      </c>
      <c r="J105" s="101">
        <f t="shared" si="106"/>
        <v>0.08106169217</v>
      </c>
      <c r="K105" s="101">
        <f t="shared" si="106"/>
        <v>0.5543968661</v>
      </c>
      <c r="L105" s="101">
        <f t="shared" si="106"/>
        <v>0.3615465898</v>
      </c>
    </row>
    <row r="106">
      <c r="A106" s="57" t="s">
        <v>244</v>
      </c>
      <c r="B106" s="99">
        <v>2023.0</v>
      </c>
      <c r="C106" s="100">
        <v>5956.06</v>
      </c>
      <c r="D106" s="100">
        <v>29975.01</v>
      </c>
      <c r="E106" s="100">
        <v>31399.78</v>
      </c>
      <c r="F106" s="100">
        <v>90794.97</v>
      </c>
      <c r="G106" s="37">
        <f t="shared" si="2"/>
        <v>158125.82</v>
      </c>
      <c r="H106" s="101">
        <f t="shared" si="3"/>
        <v>0.0004258118017</v>
      </c>
      <c r="I106" s="101">
        <f t="shared" ref="I106:L106" si="107">C106/$G106</f>
        <v>0.03766658728</v>
      </c>
      <c r="J106" s="101">
        <f t="shared" si="107"/>
        <v>0.1895642976</v>
      </c>
      <c r="K106" s="101">
        <f t="shared" si="107"/>
        <v>0.198574654</v>
      </c>
      <c r="L106" s="101">
        <f t="shared" si="107"/>
        <v>0.5741944611</v>
      </c>
    </row>
    <row r="107">
      <c r="A107" s="57" t="s">
        <v>245</v>
      </c>
      <c r="B107" s="99">
        <v>2023.0</v>
      </c>
      <c r="C107" s="100">
        <v>61360.4</v>
      </c>
      <c r="D107" s="100">
        <v>68197.98</v>
      </c>
      <c r="E107" s="100">
        <v>367717.9</v>
      </c>
      <c r="F107" s="100">
        <v>102278.16</v>
      </c>
      <c r="G107" s="37">
        <f t="shared" si="2"/>
        <v>599554.44</v>
      </c>
      <c r="H107" s="101">
        <f t="shared" si="3"/>
        <v>0.001614520363</v>
      </c>
      <c r="I107" s="101">
        <f t="shared" ref="I107:L107" si="108">C107/$G107</f>
        <v>0.1023433335</v>
      </c>
      <c r="J107" s="101">
        <f t="shared" si="108"/>
        <v>0.1137477691</v>
      </c>
      <c r="K107" s="101">
        <f t="shared" si="108"/>
        <v>0.6133186171</v>
      </c>
      <c r="L107" s="101">
        <f t="shared" si="108"/>
        <v>0.1705902803</v>
      </c>
    </row>
    <row r="108">
      <c r="A108" s="57" t="s">
        <v>246</v>
      </c>
      <c r="B108" s="99">
        <v>2023.0</v>
      </c>
      <c r="C108" s="100">
        <v>4368.36</v>
      </c>
      <c r="D108" s="100">
        <v>38667.25</v>
      </c>
      <c r="E108" s="100">
        <v>147419.31</v>
      </c>
      <c r="F108" s="100">
        <v>1631941.2</v>
      </c>
      <c r="G108" s="37">
        <f t="shared" si="2"/>
        <v>1822396.12</v>
      </c>
      <c r="H108" s="101">
        <f t="shared" si="3"/>
        <v>0.004907470363</v>
      </c>
      <c r="I108" s="101">
        <f t="shared" ref="I108:L108" si="109">C108/$G108</f>
        <v>0.002397041978</v>
      </c>
      <c r="J108" s="101">
        <f t="shared" si="109"/>
        <v>0.02121780747</v>
      </c>
      <c r="K108" s="101">
        <f t="shared" si="109"/>
        <v>0.08089312109</v>
      </c>
      <c r="L108" s="101">
        <f t="shared" si="109"/>
        <v>0.8954920295</v>
      </c>
    </row>
    <row r="109">
      <c r="A109" s="57" t="s">
        <v>247</v>
      </c>
      <c r="B109" s="99">
        <v>2023.0</v>
      </c>
      <c r="C109" s="100">
        <v>16873.58</v>
      </c>
      <c r="D109" s="100">
        <v>59465.02</v>
      </c>
      <c r="E109" s="100">
        <v>785.02</v>
      </c>
      <c r="F109" s="100">
        <v>61467.94</v>
      </c>
      <c r="G109" s="37">
        <f t="shared" si="2"/>
        <v>138591.56</v>
      </c>
      <c r="H109" s="101">
        <f t="shared" si="3"/>
        <v>0.0003732086377</v>
      </c>
      <c r="I109" s="101">
        <f t="shared" ref="I109:L109" si="110">C109/$G109</f>
        <v>0.1217504154</v>
      </c>
      <c r="J109" s="101">
        <f t="shared" si="110"/>
        <v>0.4290666762</v>
      </c>
      <c r="K109" s="101">
        <f t="shared" si="110"/>
        <v>0.005664269888</v>
      </c>
      <c r="L109" s="101">
        <f t="shared" si="110"/>
        <v>0.4435186385</v>
      </c>
    </row>
    <row r="110">
      <c r="A110" s="57" t="s">
        <v>248</v>
      </c>
      <c r="B110" s="99">
        <v>2023.0</v>
      </c>
      <c r="C110" s="100">
        <v>190.0</v>
      </c>
      <c r="D110" s="100">
        <v>1100.0</v>
      </c>
      <c r="E110" s="100">
        <v>3960.0</v>
      </c>
      <c r="F110" s="100">
        <v>4740.0</v>
      </c>
      <c r="G110" s="37">
        <f t="shared" si="2"/>
        <v>9990</v>
      </c>
      <c r="H110" s="101">
        <f t="shared" si="3"/>
        <v>0.00002690174128</v>
      </c>
      <c r="I110" s="101">
        <f t="shared" ref="I110:L110" si="111">C110/$G110</f>
        <v>0.01901901902</v>
      </c>
      <c r="J110" s="101">
        <f t="shared" si="111"/>
        <v>0.1101101101</v>
      </c>
      <c r="K110" s="101">
        <f t="shared" si="111"/>
        <v>0.3963963964</v>
      </c>
      <c r="L110" s="101">
        <f t="shared" si="111"/>
        <v>0.4744744745</v>
      </c>
    </row>
    <row r="111">
      <c r="A111" s="57" t="s">
        <v>249</v>
      </c>
      <c r="B111" s="99">
        <v>2023.0</v>
      </c>
      <c r="C111" s="100">
        <v>63169.62</v>
      </c>
      <c r="D111" s="100">
        <v>31579.48</v>
      </c>
      <c r="E111" s="100">
        <v>0.0</v>
      </c>
      <c r="F111" s="100">
        <v>4911.39</v>
      </c>
      <c r="G111" s="37">
        <f t="shared" si="2"/>
        <v>99660.49</v>
      </c>
      <c r="H111" s="101">
        <f t="shared" si="3"/>
        <v>0.0002683724442</v>
      </c>
      <c r="I111" s="101">
        <f t="shared" ref="I111:L111" si="112">C111/$G111</f>
        <v>0.6338481779</v>
      </c>
      <c r="J111" s="101">
        <f t="shared" si="112"/>
        <v>0.3168706074</v>
      </c>
      <c r="K111" s="101">
        <f t="shared" si="112"/>
        <v>0</v>
      </c>
      <c r="L111" s="101">
        <f t="shared" si="112"/>
        <v>0.04928121465</v>
      </c>
    </row>
    <row r="112">
      <c r="A112" s="57" t="s">
        <v>250</v>
      </c>
      <c r="B112" s="99">
        <v>2023.0</v>
      </c>
      <c r="C112" s="100">
        <v>52.91</v>
      </c>
      <c r="D112" s="100">
        <v>2049.0</v>
      </c>
      <c r="E112" s="100">
        <v>572.0</v>
      </c>
      <c r="F112" s="100">
        <v>59298.02</v>
      </c>
      <c r="G112" s="37">
        <f t="shared" si="2"/>
        <v>61971.93</v>
      </c>
      <c r="H112" s="101">
        <f t="shared" si="3"/>
        <v>0.0001668821649</v>
      </c>
      <c r="I112" s="101">
        <f t="shared" ref="I112:L112" si="113">C112/$G112</f>
        <v>0.0008537736359</v>
      </c>
      <c r="J112" s="101">
        <f t="shared" si="113"/>
        <v>0.03306335626</v>
      </c>
      <c r="K112" s="101">
        <f t="shared" si="113"/>
        <v>0.009229985253</v>
      </c>
      <c r="L112" s="101">
        <f t="shared" si="113"/>
        <v>0.9568528848</v>
      </c>
    </row>
    <row r="113">
      <c r="A113" s="57" t="s">
        <v>251</v>
      </c>
      <c r="B113" s="99">
        <v>2023.0</v>
      </c>
      <c r="C113" s="100">
        <v>799.41</v>
      </c>
      <c r="D113" s="100">
        <v>13169.06</v>
      </c>
      <c r="E113" s="100">
        <v>92524.4</v>
      </c>
      <c r="F113" s="100">
        <v>51545.01</v>
      </c>
      <c r="G113" s="37">
        <f t="shared" si="2"/>
        <v>158037.88</v>
      </c>
      <c r="H113" s="101">
        <f t="shared" si="3"/>
        <v>0.000425574991</v>
      </c>
      <c r="I113" s="101">
        <f t="shared" ref="I113:L113" si="114">C113/$G113</f>
        <v>0.00505834424</v>
      </c>
      <c r="J113" s="101">
        <f t="shared" si="114"/>
        <v>0.08332850327</v>
      </c>
      <c r="K113" s="101">
        <f t="shared" si="114"/>
        <v>0.5854571069</v>
      </c>
      <c r="L113" s="101">
        <f t="shared" si="114"/>
        <v>0.3261560456</v>
      </c>
    </row>
    <row r="114">
      <c r="A114" s="57" t="s">
        <v>252</v>
      </c>
      <c r="B114" s="99">
        <v>2023.0</v>
      </c>
      <c r="C114" s="100">
        <v>109485.72</v>
      </c>
      <c r="D114" s="100">
        <v>2214927.8</v>
      </c>
      <c r="E114" s="100">
        <v>1768525.2</v>
      </c>
      <c r="F114" s="100">
        <v>3906962.5</v>
      </c>
      <c r="G114" s="37">
        <f t="shared" si="2"/>
        <v>7999901.22</v>
      </c>
      <c r="H114" s="101">
        <f t="shared" si="3"/>
        <v>0.02154266996</v>
      </c>
      <c r="I114" s="101">
        <f t="shared" ref="I114:L114" si="115">C114/$G114</f>
        <v>0.01368588399</v>
      </c>
      <c r="J114" s="101">
        <f t="shared" si="115"/>
        <v>0.2768693936</v>
      </c>
      <c r="K114" s="101">
        <f t="shared" si="115"/>
        <v>0.2210683796</v>
      </c>
      <c r="L114" s="101">
        <f t="shared" si="115"/>
        <v>0.4883763427</v>
      </c>
    </row>
    <row r="115">
      <c r="A115" s="57" t="s">
        <v>253</v>
      </c>
      <c r="B115" s="99">
        <v>2023.0</v>
      </c>
      <c r="C115" s="100">
        <v>13.4</v>
      </c>
      <c r="D115" s="100">
        <v>250.18</v>
      </c>
      <c r="E115" s="100">
        <v>1056.3</v>
      </c>
      <c r="F115" s="100">
        <v>161.24</v>
      </c>
      <c r="G115" s="37">
        <f t="shared" si="2"/>
        <v>1481.12</v>
      </c>
      <c r="H115" s="101">
        <f t="shared" si="3"/>
        <v>0.000003988459163</v>
      </c>
      <c r="I115" s="101">
        <f t="shared" ref="I115:L115" si="116">C115/$G115</f>
        <v>0.009047207519</v>
      </c>
      <c r="J115" s="101">
        <f t="shared" si="116"/>
        <v>0.1689127147</v>
      </c>
      <c r="K115" s="101">
        <f t="shared" si="116"/>
        <v>0.7131765151</v>
      </c>
      <c r="L115" s="101">
        <f t="shared" si="116"/>
        <v>0.1088635627</v>
      </c>
    </row>
    <row r="116">
      <c r="A116" s="57" t="s">
        <v>254</v>
      </c>
      <c r="B116" s="99">
        <v>2023.0</v>
      </c>
      <c r="C116" s="100">
        <v>507.6</v>
      </c>
      <c r="D116" s="100">
        <v>2187.2</v>
      </c>
      <c r="E116" s="100">
        <v>22248.1</v>
      </c>
      <c r="F116" s="100">
        <v>46425.52</v>
      </c>
      <c r="G116" s="37">
        <f t="shared" si="2"/>
        <v>71368.42</v>
      </c>
      <c r="H116" s="101">
        <f t="shared" si="3"/>
        <v>0.0001921856627</v>
      </c>
      <c r="I116" s="101">
        <f t="shared" ref="I116:L116" si="117">C116/$G116</f>
        <v>0.007112389485</v>
      </c>
      <c r="J116" s="101">
        <f t="shared" si="117"/>
        <v>0.03064660812</v>
      </c>
      <c r="K116" s="101">
        <f t="shared" si="117"/>
        <v>0.3117359191</v>
      </c>
      <c r="L116" s="101">
        <f t="shared" si="117"/>
        <v>0.6505050833</v>
      </c>
    </row>
    <row r="117">
      <c r="A117" s="57" t="s">
        <v>255</v>
      </c>
      <c r="B117" s="99">
        <v>2023.0</v>
      </c>
      <c r="C117" s="100">
        <v>281232.0</v>
      </c>
      <c r="D117" s="100">
        <v>151185.0</v>
      </c>
      <c r="E117" s="100">
        <v>683.0</v>
      </c>
      <c r="F117" s="100">
        <v>160.0</v>
      </c>
      <c r="G117" s="37">
        <f t="shared" si="2"/>
        <v>433260</v>
      </c>
      <c r="H117" s="101">
        <f t="shared" si="3"/>
        <v>0.001166711554</v>
      </c>
      <c r="I117" s="101">
        <f t="shared" ref="I117:L117" si="118">C117/$G117</f>
        <v>0.6491067719</v>
      </c>
      <c r="J117" s="101">
        <f t="shared" si="118"/>
        <v>0.3489475142</v>
      </c>
      <c r="K117" s="101">
        <f t="shared" si="118"/>
        <v>0.001576420625</v>
      </c>
      <c r="L117" s="101">
        <f t="shared" si="118"/>
        <v>0.000369293265</v>
      </c>
    </row>
    <row r="118">
      <c r="A118" s="57" t="s">
        <v>256</v>
      </c>
      <c r="B118" s="99">
        <v>2023.0</v>
      </c>
      <c r="C118" s="100">
        <v>1003.45</v>
      </c>
      <c r="D118" s="100">
        <v>3306.3</v>
      </c>
      <c r="E118" s="100">
        <v>3682.97</v>
      </c>
      <c r="F118" s="100">
        <v>1852.96</v>
      </c>
      <c r="G118" s="37">
        <f t="shared" si="2"/>
        <v>9845.68</v>
      </c>
      <c r="H118" s="101">
        <f t="shared" si="3"/>
        <v>0.00002651310671</v>
      </c>
      <c r="I118" s="101">
        <f t="shared" ref="I118:L118" si="119">C118/$G118</f>
        <v>0.1019177954</v>
      </c>
      <c r="J118" s="101">
        <f t="shared" si="119"/>
        <v>0.3358122547</v>
      </c>
      <c r="K118" s="101">
        <f t="shared" si="119"/>
        <v>0.3740696427</v>
      </c>
      <c r="L118" s="101">
        <f t="shared" si="119"/>
        <v>0.1882003071</v>
      </c>
    </row>
    <row r="119">
      <c r="A119" s="57" t="s">
        <v>257</v>
      </c>
      <c r="B119" s="99">
        <v>2023.0</v>
      </c>
      <c r="C119" s="100">
        <v>191400.0</v>
      </c>
      <c r="D119" s="100">
        <v>256850.0</v>
      </c>
      <c r="E119" s="100">
        <v>621.94</v>
      </c>
      <c r="F119" s="100">
        <v>700000.0</v>
      </c>
      <c r="G119" s="37">
        <f t="shared" si="2"/>
        <v>1148871.94</v>
      </c>
      <c r="H119" s="101">
        <f t="shared" si="3"/>
        <v>0.003093759328</v>
      </c>
      <c r="I119" s="101">
        <f t="shared" ref="I119:L119" si="120">C119/$G119</f>
        <v>0.1665982024</v>
      </c>
      <c r="J119" s="101">
        <f t="shared" si="120"/>
        <v>0.2235671279</v>
      </c>
      <c r="K119" s="101">
        <f t="shared" si="120"/>
        <v>0.0005413484117</v>
      </c>
      <c r="L119" s="101">
        <f t="shared" si="120"/>
        <v>0.6092933212</v>
      </c>
    </row>
    <row r="120">
      <c r="A120" s="57" t="s">
        <v>258</v>
      </c>
      <c r="B120" s="99">
        <v>2023.0</v>
      </c>
      <c r="C120" s="100">
        <v>3925.0</v>
      </c>
      <c r="D120" s="100">
        <v>21136.0</v>
      </c>
      <c r="E120" s="100">
        <v>106798.69</v>
      </c>
      <c r="F120" s="100">
        <v>156521.42</v>
      </c>
      <c r="G120" s="37">
        <f t="shared" si="2"/>
        <v>288381.11</v>
      </c>
      <c r="H120" s="101">
        <f t="shared" si="3"/>
        <v>0.000776571973</v>
      </c>
      <c r="I120" s="101">
        <f t="shared" ref="I120:L120" si="121">C120/$G120</f>
        <v>0.01361046152</v>
      </c>
      <c r="J120" s="101">
        <f t="shared" si="121"/>
        <v>0.07329190182</v>
      </c>
      <c r="K120" s="101">
        <f t="shared" si="121"/>
        <v>0.370338716</v>
      </c>
      <c r="L120" s="101">
        <f t="shared" si="121"/>
        <v>0.5427589207</v>
      </c>
    </row>
    <row r="121">
      <c r="A121" s="57" t="s">
        <v>259</v>
      </c>
      <c r="B121" s="99">
        <v>2023.0</v>
      </c>
      <c r="C121" s="100">
        <v>12000.0</v>
      </c>
      <c r="D121" s="100">
        <v>138617.98</v>
      </c>
      <c r="E121" s="100">
        <v>330000.0</v>
      </c>
      <c r="F121" s="100">
        <v>682532.8</v>
      </c>
      <c r="G121" s="37">
        <f t="shared" si="2"/>
        <v>1163150.78</v>
      </c>
      <c r="H121" s="101">
        <f t="shared" si="3"/>
        <v>0.003132210345</v>
      </c>
      <c r="I121" s="101">
        <f t="shared" ref="I121:L121" si="122">C121/$G121</f>
        <v>0.01031680519</v>
      </c>
      <c r="J121" s="101">
        <f t="shared" si="122"/>
        <v>0.1191745579</v>
      </c>
      <c r="K121" s="101">
        <f t="shared" si="122"/>
        <v>0.2837121426</v>
      </c>
      <c r="L121" s="101">
        <f t="shared" si="122"/>
        <v>0.5867964943</v>
      </c>
    </row>
    <row r="122">
      <c r="A122" s="57" t="s">
        <v>260</v>
      </c>
      <c r="B122" s="99">
        <v>2023.0</v>
      </c>
      <c r="C122" s="100">
        <v>12526.23</v>
      </c>
      <c r="D122" s="100">
        <v>41382.03</v>
      </c>
      <c r="E122" s="100">
        <v>6647.12</v>
      </c>
      <c r="F122" s="100">
        <v>17054.51</v>
      </c>
      <c r="G122" s="37">
        <f t="shared" si="2"/>
        <v>77609.89</v>
      </c>
      <c r="H122" s="101">
        <f t="shared" si="3"/>
        <v>0.0002089931112</v>
      </c>
      <c r="I122" s="101">
        <f t="shared" ref="I122:L122" si="123">C122/$G122</f>
        <v>0.1613999195</v>
      </c>
      <c r="J122" s="101">
        <f t="shared" si="123"/>
        <v>0.5332056262</v>
      </c>
      <c r="K122" s="101">
        <f t="shared" si="123"/>
        <v>0.0856478472</v>
      </c>
      <c r="L122" s="101">
        <f t="shared" si="123"/>
        <v>0.219746607</v>
      </c>
    </row>
    <row r="123">
      <c r="A123" s="57" t="s">
        <v>261</v>
      </c>
      <c r="B123" s="99">
        <v>2023.0</v>
      </c>
      <c r="C123" s="100">
        <v>0.0</v>
      </c>
      <c r="D123" s="100">
        <v>0.0</v>
      </c>
      <c r="E123" s="100">
        <v>74.35</v>
      </c>
      <c r="F123" s="100">
        <v>4.02</v>
      </c>
      <c r="G123" s="37">
        <f t="shared" si="2"/>
        <v>78.37</v>
      </c>
      <c r="H123" s="101">
        <f t="shared" si="3"/>
        <v>0.0000002110399864</v>
      </c>
      <c r="I123" s="101">
        <f t="shared" ref="I123:L123" si="124">C123/$G123</f>
        <v>0</v>
      </c>
      <c r="J123" s="101">
        <f t="shared" si="124"/>
        <v>0</v>
      </c>
      <c r="K123" s="101">
        <f t="shared" si="124"/>
        <v>0.9487048616</v>
      </c>
      <c r="L123" s="101">
        <f t="shared" si="124"/>
        <v>0.05129513845</v>
      </c>
    </row>
    <row r="124">
      <c r="A124" s="57" t="s">
        <v>262</v>
      </c>
      <c r="B124" s="99">
        <v>2023.0</v>
      </c>
      <c r="C124" s="100">
        <v>79035.85</v>
      </c>
      <c r="D124" s="100">
        <v>116503.45</v>
      </c>
      <c r="E124" s="100">
        <v>32533.07</v>
      </c>
      <c r="F124" s="100">
        <v>202013.11</v>
      </c>
      <c r="G124" s="37">
        <f t="shared" si="2"/>
        <v>430085.48</v>
      </c>
      <c r="H124" s="101">
        <f t="shared" si="3"/>
        <v>0.001158162994</v>
      </c>
      <c r="I124" s="101">
        <f t="shared" ref="I124:L124" si="125">C124/$G124</f>
        <v>0.183767771</v>
      </c>
      <c r="J124" s="101">
        <f t="shared" si="125"/>
        <v>0.2708844065</v>
      </c>
      <c r="K124" s="101">
        <f t="shared" si="125"/>
        <v>0.07564326515</v>
      </c>
      <c r="L124" s="101">
        <f t="shared" si="125"/>
        <v>0.4697045573</v>
      </c>
    </row>
    <row r="125">
      <c r="A125" s="57" t="s">
        <v>263</v>
      </c>
      <c r="B125" s="99">
        <v>2023.0</v>
      </c>
      <c r="C125" s="100">
        <v>20610.0</v>
      </c>
      <c r="D125" s="100">
        <v>437390.0</v>
      </c>
      <c r="E125" s="100">
        <v>1463460.0</v>
      </c>
      <c r="F125" s="100">
        <v>1096490.1</v>
      </c>
      <c r="G125" s="37">
        <f t="shared" si="2"/>
        <v>3017950.1</v>
      </c>
      <c r="H125" s="101">
        <f t="shared" si="3"/>
        <v>0.008126938216</v>
      </c>
      <c r="I125" s="101">
        <f t="shared" ref="I125:L125" si="126">C125/$G125</f>
        <v>0.006829138759</v>
      </c>
      <c r="J125" s="101">
        <f t="shared" si="126"/>
        <v>0.1449295003</v>
      </c>
      <c r="K125" s="101">
        <f t="shared" si="126"/>
        <v>0.4849185545</v>
      </c>
      <c r="L125" s="101">
        <f t="shared" si="126"/>
        <v>0.3633228064</v>
      </c>
    </row>
    <row r="126">
      <c r="A126" s="57" t="s">
        <v>264</v>
      </c>
      <c r="B126" s="99">
        <v>2023.0</v>
      </c>
      <c r="C126" s="100">
        <v>10.0</v>
      </c>
      <c r="D126" s="100">
        <v>3068.29</v>
      </c>
      <c r="E126" s="100">
        <v>3136.28</v>
      </c>
      <c r="F126" s="100">
        <v>969.32</v>
      </c>
      <c r="G126" s="37">
        <f t="shared" si="2"/>
        <v>7183.89</v>
      </c>
      <c r="H126" s="101">
        <f t="shared" si="3"/>
        <v>0.00001934526027</v>
      </c>
      <c r="I126" s="101">
        <f t="shared" ref="I126:L126" si="127">C126/$G126</f>
        <v>0.001392003497</v>
      </c>
      <c r="J126" s="101">
        <f t="shared" si="127"/>
        <v>0.4271070409</v>
      </c>
      <c r="K126" s="101">
        <f t="shared" si="127"/>
        <v>0.4365712727</v>
      </c>
      <c r="L126" s="101">
        <f t="shared" si="127"/>
        <v>0.1349296829</v>
      </c>
    </row>
    <row r="127">
      <c r="A127" s="57" t="s">
        <v>265</v>
      </c>
      <c r="B127" s="99">
        <v>2023.0</v>
      </c>
      <c r="C127" s="100">
        <v>443064.0</v>
      </c>
      <c r="D127" s="100">
        <v>748444.0</v>
      </c>
      <c r="E127" s="100">
        <v>42312.0</v>
      </c>
      <c r="F127" s="100">
        <v>230114.42</v>
      </c>
      <c r="G127" s="37">
        <f t="shared" si="2"/>
        <v>1463934.42</v>
      </c>
      <c r="H127" s="101">
        <f t="shared" si="3"/>
        <v>0.003942180682</v>
      </c>
      <c r="I127" s="101">
        <f t="shared" ref="I127:L127" si="128">C127/$G127</f>
        <v>0.3026529016</v>
      </c>
      <c r="J127" s="101">
        <f t="shared" si="128"/>
        <v>0.5112551422</v>
      </c>
      <c r="K127" s="101">
        <f t="shared" si="128"/>
        <v>0.02890293405</v>
      </c>
      <c r="L127" s="101">
        <f t="shared" si="128"/>
        <v>0.1571890222</v>
      </c>
    </row>
    <row r="128">
      <c r="A128" s="57" t="s">
        <v>266</v>
      </c>
      <c r="B128" s="99">
        <v>2023.0</v>
      </c>
      <c r="C128" s="100">
        <v>61.88</v>
      </c>
      <c r="D128" s="100">
        <v>152223.48</v>
      </c>
      <c r="E128" s="100">
        <v>14874.09</v>
      </c>
      <c r="F128" s="100">
        <v>163310.34</v>
      </c>
      <c r="G128" s="37">
        <f t="shared" si="2"/>
        <v>330469.79</v>
      </c>
      <c r="H128" s="101">
        <f t="shared" si="3"/>
        <v>0.0008899111902</v>
      </c>
      <c r="I128" s="101">
        <f t="shared" ref="I128:L128" si="129">C128/$G128</f>
        <v>0.0001872485833</v>
      </c>
      <c r="J128" s="101">
        <f t="shared" si="129"/>
        <v>0.4606275206</v>
      </c>
      <c r="K128" s="101">
        <f t="shared" si="129"/>
        <v>0.04500892502</v>
      </c>
      <c r="L128" s="101">
        <f t="shared" si="129"/>
        <v>0.4941763058</v>
      </c>
    </row>
    <row r="129">
      <c r="A129" s="57" t="s">
        <v>267</v>
      </c>
      <c r="B129" s="99">
        <v>2023.0</v>
      </c>
      <c r="C129" s="100">
        <v>45048.69</v>
      </c>
      <c r="D129" s="100">
        <v>69369.55</v>
      </c>
      <c r="E129" s="100">
        <v>1509.23</v>
      </c>
      <c r="F129" s="100">
        <v>20384.86</v>
      </c>
      <c r="G129" s="37">
        <f t="shared" si="2"/>
        <v>136312.33</v>
      </c>
      <c r="H129" s="101">
        <f t="shared" si="3"/>
        <v>0.0003670709744</v>
      </c>
      <c r="I129" s="101">
        <f t="shared" ref="I129:L129" si="130">C129/$G129</f>
        <v>0.3304814025</v>
      </c>
      <c r="J129" s="101">
        <f t="shared" si="130"/>
        <v>0.5089015058</v>
      </c>
      <c r="K129" s="101">
        <f t="shared" si="130"/>
        <v>0.01107185241</v>
      </c>
      <c r="L129" s="101">
        <f t="shared" si="130"/>
        <v>0.1495452392</v>
      </c>
    </row>
    <row r="130">
      <c r="A130" s="57" t="s">
        <v>268</v>
      </c>
      <c r="B130" s="99">
        <v>2023.0</v>
      </c>
      <c r="C130" s="100">
        <v>427037.53</v>
      </c>
      <c r="D130" s="100">
        <v>317593.66</v>
      </c>
      <c r="E130" s="100">
        <v>364872.44</v>
      </c>
      <c r="F130" s="100">
        <v>324135.97</v>
      </c>
      <c r="G130" s="37">
        <f t="shared" si="2"/>
        <v>1433639.6</v>
      </c>
      <c r="H130" s="101">
        <f t="shared" si="3"/>
        <v>0.003860600761</v>
      </c>
      <c r="I130" s="101">
        <f t="shared" ref="I130:L130" si="131">C130/$G130</f>
        <v>0.2978695134</v>
      </c>
      <c r="J130" s="101">
        <f t="shared" si="131"/>
        <v>0.2215296369</v>
      </c>
      <c r="K130" s="101">
        <f t="shared" si="131"/>
        <v>0.2545077856</v>
      </c>
      <c r="L130" s="101">
        <f t="shared" si="131"/>
        <v>0.2260930641</v>
      </c>
    </row>
    <row r="131">
      <c r="A131" s="57" t="s">
        <v>269</v>
      </c>
      <c r="B131" s="99">
        <v>2023.0</v>
      </c>
      <c r="C131" s="100">
        <v>0.0</v>
      </c>
      <c r="D131" s="100">
        <v>1.85</v>
      </c>
      <c r="E131" s="100">
        <v>68.33</v>
      </c>
      <c r="F131" s="100">
        <v>25.51</v>
      </c>
      <c r="G131" s="37">
        <f t="shared" si="2"/>
        <v>95.69</v>
      </c>
      <c r="H131" s="101">
        <f t="shared" si="3"/>
        <v>0.0000002576804427</v>
      </c>
      <c r="I131" s="101">
        <f t="shared" ref="I131:L131" si="132">C131/$G131</f>
        <v>0</v>
      </c>
      <c r="J131" s="101">
        <f t="shared" si="132"/>
        <v>0.01933326366</v>
      </c>
      <c r="K131" s="101">
        <f t="shared" si="132"/>
        <v>0.714076706</v>
      </c>
      <c r="L131" s="101">
        <f t="shared" si="132"/>
        <v>0.2665900303</v>
      </c>
    </row>
    <row r="132">
      <c r="A132" s="57" t="s">
        <v>270</v>
      </c>
      <c r="B132" s="99">
        <v>2023.0</v>
      </c>
      <c r="C132" s="100">
        <v>15076.54</v>
      </c>
      <c r="D132" s="100">
        <v>20640.33</v>
      </c>
      <c r="E132" s="100">
        <v>111606.81</v>
      </c>
      <c r="F132" s="100">
        <v>25928.11</v>
      </c>
      <c r="G132" s="37">
        <f t="shared" si="2"/>
        <v>173251.79</v>
      </c>
      <c r="H132" s="101">
        <f t="shared" si="3"/>
        <v>0.0004665440271</v>
      </c>
      <c r="I132" s="101">
        <f t="shared" ref="I132:L132" si="133">C132/$G132</f>
        <v>0.08702097681</v>
      </c>
      <c r="J132" s="101">
        <f t="shared" si="133"/>
        <v>0.119134873</v>
      </c>
      <c r="K132" s="101">
        <f t="shared" si="133"/>
        <v>0.6441884958</v>
      </c>
      <c r="L132" s="101">
        <f t="shared" si="133"/>
        <v>0.1496556544</v>
      </c>
    </row>
    <row r="133">
      <c r="A133" s="57" t="s">
        <v>271</v>
      </c>
      <c r="B133" s="99">
        <v>2023.0</v>
      </c>
      <c r="C133" s="100">
        <v>3891.0</v>
      </c>
      <c r="D133" s="100">
        <v>4024.0</v>
      </c>
      <c r="E133" s="100">
        <v>12080.0</v>
      </c>
      <c r="F133" s="100">
        <v>2074.0</v>
      </c>
      <c r="G133" s="37">
        <f t="shared" si="2"/>
        <v>22069</v>
      </c>
      <c r="H133" s="101">
        <f t="shared" si="3"/>
        <v>0.00005942888171</v>
      </c>
      <c r="I133" s="101">
        <f t="shared" ref="I133:L133" si="134">C133/$G133</f>
        <v>0.176310662</v>
      </c>
      <c r="J133" s="101">
        <f t="shared" si="134"/>
        <v>0.1823372151</v>
      </c>
      <c r="K133" s="101">
        <f t="shared" si="134"/>
        <v>0.5473741447</v>
      </c>
      <c r="L133" s="101">
        <f t="shared" si="134"/>
        <v>0.09397797816</v>
      </c>
    </row>
    <row r="134">
      <c r="A134" s="57" t="s">
        <v>272</v>
      </c>
      <c r="B134" s="99">
        <v>2023.0</v>
      </c>
      <c r="C134" s="100">
        <v>22714.0</v>
      </c>
      <c r="D134" s="100">
        <v>90559.0</v>
      </c>
      <c r="E134" s="100">
        <v>131163.0</v>
      </c>
      <c r="F134" s="100">
        <v>117149.0</v>
      </c>
      <c r="G134" s="37">
        <f t="shared" si="2"/>
        <v>361585</v>
      </c>
      <c r="H134" s="101">
        <f t="shared" si="3"/>
        <v>0.0009737003123</v>
      </c>
      <c r="I134" s="101">
        <f t="shared" ref="I134:L134" si="135">C134/$G134</f>
        <v>0.06281787132</v>
      </c>
      <c r="J134" s="101">
        <f t="shared" si="135"/>
        <v>0.2504501016</v>
      </c>
      <c r="K134" s="101">
        <f t="shared" si="135"/>
        <v>0.3627445829</v>
      </c>
      <c r="L134" s="101">
        <f t="shared" si="135"/>
        <v>0.3239874442</v>
      </c>
    </row>
    <row r="135">
      <c r="A135" s="57" t="s">
        <v>273</v>
      </c>
      <c r="B135" s="99">
        <v>2023.0</v>
      </c>
      <c r="C135" s="100">
        <v>1331004.8</v>
      </c>
      <c r="D135" s="100">
        <v>2999997.5</v>
      </c>
      <c r="E135" s="100">
        <v>608223.44</v>
      </c>
      <c r="F135" s="100">
        <v>1747494.0</v>
      </c>
      <c r="G135" s="37">
        <f t="shared" si="2"/>
        <v>6686719.74</v>
      </c>
      <c r="H135" s="101">
        <f t="shared" si="3"/>
        <v>0.01800644689</v>
      </c>
      <c r="I135" s="101">
        <f t="shared" ref="I135:L135" si="136">C135/$G135</f>
        <v>0.1990519794</v>
      </c>
      <c r="J135" s="101">
        <f t="shared" si="136"/>
        <v>0.448650103</v>
      </c>
      <c r="K135" s="101">
        <f t="shared" si="136"/>
        <v>0.09095991213</v>
      </c>
      <c r="L135" s="101">
        <f t="shared" si="136"/>
        <v>0.2613380055</v>
      </c>
    </row>
    <row r="136">
      <c r="A136" s="57" t="s">
        <v>274</v>
      </c>
      <c r="B136" s="99">
        <v>2023.0</v>
      </c>
      <c r="C136" s="100">
        <v>51121.13</v>
      </c>
      <c r="D136" s="100">
        <v>15216.4</v>
      </c>
      <c r="E136" s="100">
        <v>0.0</v>
      </c>
      <c r="F136" s="100">
        <v>6855.67</v>
      </c>
      <c r="G136" s="37">
        <f t="shared" si="2"/>
        <v>73193.2</v>
      </c>
      <c r="H136" s="101">
        <f t="shared" si="3"/>
        <v>0.0001970995525</v>
      </c>
      <c r="I136" s="101">
        <f t="shared" ref="I136:L136" si="137">C136/$G136</f>
        <v>0.6984409754</v>
      </c>
      <c r="J136" s="101">
        <f t="shared" si="137"/>
        <v>0.2078936295</v>
      </c>
      <c r="K136" s="101">
        <f t="shared" si="137"/>
        <v>0</v>
      </c>
      <c r="L136" s="101">
        <f t="shared" si="137"/>
        <v>0.09366539515</v>
      </c>
    </row>
    <row r="137">
      <c r="A137" s="57" t="s">
        <v>275</v>
      </c>
      <c r="B137" s="99">
        <v>2023.0</v>
      </c>
      <c r="C137" s="100">
        <v>799000.0</v>
      </c>
      <c r="D137" s="100">
        <v>2379000.0</v>
      </c>
      <c r="E137" s="100">
        <v>0.0</v>
      </c>
      <c r="F137" s="100">
        <v>2165017.8</v>
      </c>
      <c r="G137" s="37">
        <f t="shared" si="2"/>
        <v>5343017.8</v>
      </c>
      <c r="H137" s="101">
        <f t="shared" si="3"/>
        <v>0.01438803629</v>
      </c>
      <c r="I137" s="101">
        <f t="shared" ref="I137:L137" si="138">C137/$G137</f>
        <v>0.1495409579</v>
      </c>
      <c r="J137" s="101">
        <f t="shared" si="138"/>
        <v>0.4452539911</v>
      </c>
      <c r="K137" s="101">
        <f t="shared" si="138"/>
        <v>0</v>
      </c>
      <c r="L137" s="101">
        <f t="shared" si="138"/>
        <v>0.405205051</v>
      </c>
    </row>
    <row r="138">
      <c r="A138" s="57" t="s">
        <v>276</v>
      </c>
      <c r="B138" s="99">
        <v>2023.0</v>
      </c>
      <c r="C138" s="100">
        <v>16797.33</v>
      </c>
      <c r="D138" s="100">
        <v>14368.03</v>
      </c>
      <c r="E138" s="100">
        <v>0.0</v>
      </c>
      <c r="F138" s="100">
        <v>37471.2</v>
      </c>
      <c r="G138" s="37">
        <f t="shared" si="2"/>
        <v>68636.56</v>
      </c>
      <c r="H138" s="101">
        <f t="shared" si="3"/>
        <v>0.0001848291271</v>
      </c>
      <c r="I138" s="101">
        <f t="shared" ref="I138:L138" si="139">C138/$G138</f>
        <v>0.2447286111</v>
      </c>
      <c r="J138" s="101">
        <f t="shared" si="139"/>
        <v>0.2093349375</v>
      </c>
      <c r="K138" s="101">
        <f t="shared" si="139"/>
        <v>0</v>
      </c>
      <c r="L138" s="101">
        <f t="shared" si="139"/>
        <v>0.5459364514</v>
      </c>
    </row>
    <row r="139">
      <c r="A139" s="57" t="s">
        <v>277</v>
      </c>
      <c r="B139" s="99">
        <v>2023.0</v>
      </c>
      <c r="C139" s="100">
        <v>0.0</v>
      </c>
      <c r="D139" s="100">
        <v>72665.25</v>
      </c>
      <c r="E139" s="100">
        <v>35559.76</v>
      </c>
      <c r="F139" s="100">
        <v>235706.88</v>
      </c>
      <c r="G139" s="37">
        <f t="shared" si="2"/>
        <v>343931.89</v>
      </c>
      <c r="H139" s="101">
        <f t="shared" si="3"/>
        <v>0.000926162835</v>
      </c>
      <c r="I139" s="101">
        <f t="shared" ref="I139:L139" si="140">C139/$G139</f>
        <v>0</v>
      </c>
      <c r="J139" s="101">
        <f t="shared" si="140"/>
        <v>0.2112780237</v>
      </c>
      <c r="K139" s="101">
        <f t="shared" si="140"/>
        <v>0.1033918663</v>
      </c>
      <c r="L139" s="101">
        <f t="shared" si="140"/>
        <v>0.68533011</v>
      </c>
    </row>
    <row r="140">
      <c r="A140" s="57" t="s">
        <v>278</v>
      </c>
      <c r="B140" s="99">
        <v>2023.0</v>
      </c>
      <c r="C140" s="100">
        <v>43.1</v>
      </c>
      <c r="D140" s="100">
        <v>2743.15</v>
      </c>
      <c r="E140" s="100">
        <v>82827.01</v>
      </c>
      <c r="F140" s="100">
        <v>6860.37</v>
      </c>
      <c r="G140" s="37">
        <f t="shared" si="2"/>
        <v>92473.63</v>
      </c>
      <c r="H140" s="101">
        <f t="shared" si="3"/>
        <v>0.0002490191861</v>
      </c>
      <c r="I140" s="101">
        <f t="shared" ref="I140:L140" si="141">C140/$G140</f>
        <v>0.0004660788162</v>
      </c>
      <c r="J140" s="101">
        <f t="shared" si="141"/>
        <v>0.02966413236</v>
      </c>
      <c r="K140" s="101">
        <f t="shared" si="141"/>
        <v>0.8956824773</v>
      </c>
      <c r="L140" s="101">
        <f t="shared" si="141"/>
        <v>0.07418731156</v>
      </c>
    </row>
    <row r="141">
      <c r="A141" s="57" t="s">
        <v>279</v>
      </c>
      <c r="B141" s="99">
        <v>2023.0</v>
      </c>
      <c r="C141" s="100">
        <v>2707.46</v>
      </c>
      <c r="D141" s="100">
        <v>462482.2</v>
      </c>
      <c r="E141" s="100">
        <v>67685.57</v>
      </c>
      <c r="F141" s="100">
        <v>78387.86</v>
      </c>
      <c r="G141" s="37">
        <f t="shared" si="2"/>
        <v>611263.09</v>
      </c>
      <c r="H141" s="101">
        <f t="shared" si="3"/>
        <v>0.0016460502</v>
      </c>
      <c r="I141" s="101">
        <f t="shared" ref="I141:L141" si="142">C141/$G141</f>
        <v>0.004429287559</v>
      </c>
      <c r="J141" s="101">
        <f t="shared" si="142"/>
        <v>0.7566008934</v>
      </c>
      <c r="K141" s="101">
        <f t="shared" si="142"/>
        <v>0.1107306675</v>
      </c>
      <c r="L141" s="101">
        <f t="shared" si="142"/>
        <v>0.1282391515</v>
      </c>
    </row>
    <row r="142">
      <c r="A142" s="57" t="s">
        <v>280</v>
      </c>
      <c r="B142" s="99">
        <v>2023.0</v>
      </c>
      <c r="C142" s="100">
        <v>38631.39</v>
      </c>
      <c r="D142" s="100">
        <v>198722.98</v>
      </c>
      <c r="E142" s="100">
        <v>200449.75</v>
      </c>
      <c r="F142" s="100">
        <v>1781472.8</v>
      </c>
      <c r="G142" s="37">
        <f t="shared" si="2"/>
        <v>2219276.92</v>
      </c>
      <c r="H142" s="101">
        <f t="shared" si="3"/>
        <v>0.00597621757</v>
      </c>
      <c r="I142" s="101">
        <f t="shared" ref="I142:L142" si="143">C142/$G142</f>
        <v>0.01740719675</v>
      </c>
      <c r="J142" s="101">
        <f t="shared" si="143"/>
        <v>0.08954402139</v>
      </c>
      <c r="K142" s="101">
        <f t="shared" si="143"/>
        <v>0.09032209915</v>
      </c>
      <c r="L142" s="101">
        <f t="shared" si="143"/>
        <v>0.8027266827</v>
      </c>
    </row>
    <row r="143">
      <c r="A143" s="57" t="s">
        <v>281</v>
      </c>
      <c r="B143" s="99">
        <v>2023.0</v>
      </c>
      <c r="C143" s="100">
        <v>29755.22</v>
      </c>
      <c r="D143" s="100">
        <v>178592.06</v>
      </c>
      <c r="E143" s="100">
        <v>1276901.8</v>
      </c>
      <c r="F143" s="100">
        <v>1534565.2</v>
      </c>
      <c r="G143" s="37">
        <f t="shared" si="2"/>
        <v>3019814.28</v>
      </c>
      <c r="H143" s="101">
        <f t="shared" si="3"/>
        <v>0.008131958205</v>
      </c>
      <c r="I143" s="101">
        <f t="shared" ref="I143:L143" si="144">C143/$G143</f>
        <v>0.009853327801</v>
      </c>
      <c r="J143" s="101">
        <f t="shared" si="144"/>
        <v>0.05914008063</v>
      </c>
      <c r="K143" s="101">
        <f t="shared" si="144"/>
        <v>0.4228411689</v>
      </c>
      <c r="L143" s="101">
        <f t="shared" si="144"/>
        <v>0.5081654227</v>
      </c>
    </row>
    <row r="144">
      <c r="A144" s="57" t="s">
        <v>282</v>
      </c>
      <c r="B144" s="99">
        <v>2023.0</v>
      </c>
      <c r="C144" s="100">
        <v>1400.0</v>
      </c>
      <c r="D144" s="100">
        <v>514770.0</v>
      </c>
      <c r="E144" s="100">
        <v>1776140.0</v>
      </c>
      <c r="F144" s="100">
        <v>2758118.8</v>
      </c>
      <c r="G144" s="37">
        <f t="shared" si="2"/>
        <v>5050428.8</v>
      </c>
      <c r="H144" s="101">
        <f t="shared" si="3"/>
        <v>0.01360013302</v>
      </c>
      <c r="I144" s="101">
        <f t="shared" ref="I144:L144" si="145">C144/$G144</f>
        <v>0.0002772041851</v>
      </c>
      <c r="J144" s="101">
        <f t="shared" si="145"/>
        <v>0.1019259988</v>
      </c>
      <c r="K144" s="101">
        <f t="shared" si="145"/>
        <v>0.3516810295</v>
      </c>
      <c r="L144" s="101">
        <f t="shared" si="145"/>
        <v>0.5461157674</v>
      </c>
    </row>
    <row r="145">
      <c r="A145" s="57" t="s">
        <v>283</v>
      </c>
      <c r="B145" s="99">
        <v>2023.0</v>
      </c>
      <c r="C145" s="100">
        <v>106.9</v>
      </c>
      <c r="D145" s="100">
        <v>1900.18</v>
      </c>
      <c r="E145" s="100">
        <v>4714.57</v>
      </c>
      <c r="F145" s="100">
        <v>1354.75</v>
      </c>
      <c r="G145" s="37">
        <f t="shared" si="2"/>
        <v>8076.4</v>
      </c>
      <c r="H145" s="101">
        <f t="shared" si="3"/>
        <v>0.000021748671</v>
      </c>
      <c r="I145" s="101">
        <f t="shared" ref="I145:L145" si="146">C145/$G145</f>
        <v>0.01323609529</v>
      </c>
      <c r="J145" s="101">
        <f t="shared" si="146"/>
        <v>0.2352756178</v>
      </c>
      <c r="K145" s="101">
        <f t="shared" si="146"/>
        <v>0.5837464712</v>
      </c>
      <c r="L145" s="101">
        <f t="shared" si="146"/>
        <v>0.1677418157</v>
      </c>
    </row>
    <row r="146">
      <c r="A146" s="57" t="s">
        <v>284</v>
      </c>
      <c r="B146" s="99">
        <v>2023.0</v>
      </c>
      <c r="C146" s="100">
        <v>13470.0</v>
      </c>
      <c r="D146" s="100">
        <v>98420.0</v>
      </c>
      <c r="E146" s="100">
        <v>356460.0</v>
      </c>
      <c r="F146" s="100">
        <v>379450.0</v>
      </c>
      <c r="G146" s="37">
        <f t="shared" si="2"/>
        <v>847800</v>
      </c>
      <c r="H146" s="101">
        <f t="shared" si="3"/>
        <v>0.002283012638</v>
      </c>
      <c r="I146" s="101">
        <f t="shared" ref="I146:L146" si="147">C146/$G146</f>
        <v>0.01588818117</v>
      </c>
      <c r="J146" s="101">
        <f t="shared" si="147"/>
        <v>0.1160887002</v>
      </c>
      <c r="K146" s="101">
        <f t="shared" si="147"/>
        <v>0.420452937</v>
      </c>
      <c r="L146" s="101">
        <f t="shared" si="147"/>
        <v>0.4475701816</v>
      </c>
    </row>
    <row r="147">
      <c r="A147" s="57" t="s">
        <v>285</v>
      </c>
      <c r="B147" s="99">
        <v>2023.0</v>
      </c>
      <c r="C147" s="100">
        <v>52.64</v>
      </c>
      <c r="D147" s="100">
        <v>5315.25</v>
      </c>
      <c r="E147" s="100">
        <v>7575.08</v>
      </c>
      <c r="F147" s="100">
        <v>18000.0</v>
      </c>
      <c r="G147" s="37">
        <f t="shared" si="2"/>
        <v>30942.97</v>
      </c>
      <c r="H147" s="101">
        <f t="shared" si="3"/>
        <v>0.00008332530263</v>
      </c>
      <c r="I147" s="101">
        <f t="shared" ref="I147:L147" si="148">C147/$G147</f>
        <v>0.001701194165</v>
      </c>
      <c r="J147" s="101">
        <f t="shared" si="148"/>
        <v>0.1717756893</v>
      </c>
      <c r="K147" s="101">
        <f t="shared" si="148"/>
        <v>0.2448077867</v>
      </c>
      <c r="L147" s="101">
        <f t="shared" si="148"/>
        <v>0.5817153298</v>
      </c>
    </row>
    <row r="148">
      <c r="A148" s="57" t="s">
        <v>286</v>
      </c>
      <c r="B148" s="99">
        <v>2023.0</v>
      </c>
      <c r="C148" s="100">
        <v>2009.1</v>
      </c>
      <c r="D148" s="100">
        <v>376.8</v>
      </c>
      <c r="E148" s="100">
        <v>0.0</v>
      </c>
      <c r="F148" s="100">
        <v>29035.0</v>
      </c>
      <c r="G148" s="37">
        <f t="shared" si="2"/>
        <v>31420.9</v>
      </c>
      <c r="H148" s="101">
        <f t="shared" si="3"/>
        <v>0.00008461230455</v>
      </c>
      <c r="I148" s="101">
        <f t="shared" ref="I148:L148" si="149">C148/$G148</f>
        <v>0.06394151663</v>
      </c>
      <c r="J148" s="101">
        <f t="shared" si="149"/>
        <v>0.01199201805</v>
      </c>
      <c r="K148" s="101">
        <f t="shared" si="149"/>
        <v>0</v>
      </c>
      <c r="L148" s="101">
        <f t="shared" si="149"/>
        <v>0.9240664653</v>
      </c>
    </row>
    <row r="149">
      <c r="A149" s="57" t="s">
        <v>287</v>
      </c>
      <c r="B149" s="99">
        <v>2023.0</v>
      </c>
      <c r="C149" s="100">
        <v>59000.0</v>
      </c>
      <c r="D149" s="100">
        <v>78060.0</v>
      </c>
      <c r="E149" s="100">
        <v>329670.0</v>
      </c>
      <c r="F149" s="100">
        <v>475450.0</v>
      </c>
      <c r="G149" s="37">
        <f t="shared" si="2"/>
        <v>942180</v>
      </c>
      <c r="H149" s="101">
        <f t="shared" si="3"/>
        <v>0.002537165425</v>
      </c>
      <c r="I149" s="101">
        <f t="shared" ref="I149:L149" si="150">C149/$G149</f>
        <v>0.06262073065</v>
      </c>
      <c r="J149" s="101">
        <f t="shared" si="150"/>
        <v>0.08285041075</v>
      </c>
      <c r="K149" s="101">
        <f t="shared" si="150"/>
        <v>0.3499012927</v>
      </c>
      <c r="L149" s="101">
        <f t="shared" si="150"/>
        <v>0.5046275659</v>
      </c>
    </row>
    <row r="150">
      <c r="A150" s="57" t="s">
        <v>288</v>
      </c>
      <c r="B150" s="99">
        <v>2023.0</v>
      </c>
      <c r="C150" s="100">
        <v>207290.0</v>
      </c>
      <c r="D150" s="100">
        <v>1659600.0</v>
      </c>
      <c r="E150" s="100">
        <v>4719700.0</v>
      </c>
      <c r="F150" s="100">
        <v>5339500.0</v>
      </c>
      <c r="G150" s="37">
        <f t="shared" si="2"/>
        <v>11926090</v>
      </c>
      <c r="H150" s="101">
        <f t="shared" si="3"/>
        <v>0.03211537414</v>
      </c>
      <c r="I150" s="101">
        <f t="shared" ref="I150:L150" si="151">C150/$G150</f>
        <v>0.0173812205</v>
      </c>
      <c r="J150" s="101">
        <f t="shared" si="151"/>
        <v>0.1391570917</v>
      </c>
      <c r="K150" s="101">
        <f t="shared" si="151"/>
        <v>0.3957457977</v>
      </c>
      <c r="L150" s="101">
        <f t="shared" si="151"/>
        <v>0.4477158901</v>
      </c>
    </row>
    <row r="151">
      <c r="A151" s="57" t="s">
        <v>289</v>
      </c>
      <c r="B151" s="99">
        <v>2023.0</v>
      </c>
      <c r="C151" s="100">
        <v>13757.15</v>
      </c>
      <c r="D151" s="100">
        <v>37878.04</v>
      </c>
      <c r="E151" s="100">
        <v>9145.44</v>
      </c>
      <c r="F151" s="100">
        <v>11350.61</v>
      </c>
      <c r="G151" s="37">
        <f t="shared" si="2"/>
        <v>72131.24</v>
      </c>
      <c r="H151" s="101">
        <f t="shared" si="3"/>
        <v>0.0001942398355</v>
      </c>
      <c r="I151" s="101">
        <f t="shared" ref="I151:L151" si="152">C151/$G151</f>
        <v>0.1907238805</v>
      </c>
      <c r="J151" s="101">
        <f t="shared" si="152"/>
        <v>0.5251266996</v>
      </c>
      <c r="K151" s="101">
        <f t="shared" si="152"/>
        <v>0.126788892</v>
      </c>
      <c r="L151" s="101">
        <f t="shared" si="152"/>
        <v>0.1573605278</v>
      </c>
    </row>
    <row r="152">
      <c r="A152" s="57" t="s">
        <v>290</v>
      </c>
      <c r="B152" s="99">
        <v>2023.0</v>
      </c>
      <c r="C152" s="100">
        <v>27.0</v>
      </c>
      <c r="D152" s="100">
        <v>48.0</v>
      </c>
      <c r="E152" s="100">
        <v>54.0</v>
      </c>
      <c r="F152" s="100">
        <v>49.05</v>
      </c>
      <c r="G152" s="37">
        <f t="shared" si="2"/>
        <v>178.05</v>
      </c>
      <c r="H152" s="101">
        <f t="shared" si="3"/>
        <v>0.0000004794649684</v>
      </c>
      <c r="I152" s="101">
        <f t="shared" ref="I152:L152" si="153">C152/$G152</f>
        <v>0.151642797</v>
      </c>
      <c r="J152" s="101">
        <f t="shared" si="153"/>
        <v>0.2695871946</v>
      </c>
      <c r="K152" s="101">
        <f t="shared" si="153"/>
        <v>0.3032855939</v>
      </c>
      <c r="L152" s="101">
        <f t="shared" si="153"/>
        <v>0.2754844145</v>
      </c>
    </row>
    <row r="153">
      <c r="A153" s="57" t="s">
        <v>291</v>
      </c>
      <c r="B153" s="99">
        <v>2023.0</v>
      </c>
      <c r="C153" s="100">
        <v>159.96</v>
      </c>
      <c r="D153" s="100">
        <v>408.36</v>
      </c>
      <c r="E153" s="100">
        <v>1016.46</v>
      </c>
      <c r="F153" s="100">
        <v>1316.92</v>
      </c>
      <c r="G153" s="37">
        <f t="shared" si="2"/>
        <v>2901.7</v>
      </c>
      <c r="H153" s="101">
        <f t="shared" si="3"/>
        <v>0.000007813892159</v>
      </c>
      <c r="I153" s="101">
        <f t="shared" ref="I153:L153" si="154">C153/$G153</f>
        <v>0.05512630527</v>
      </c>
      <c r="J153" s="101">
        <f t="shared" si="154"/>
        <v>0.1407312954</v>
      </c>
      <c r="K153" s="101">
        <f t="shared" si="154"/>
        <v>0.3502981011</v>
      </c>
      <c r="L153" s="101">
        <f t="shared" si="154"/>
        <v>0.4538442982</v>
      </c>
    </row>
    <row r="154">
      <c r="A154" s="57" t="s">
        <v>292</v>
      </c>
      <c r="B154" s="99">
        <v>2023.0</v>
      </c>
      <c r="C154" s="100">
        <v>74.0</v>
      </c>
      <c r="D154" s="100">
        <v>209.0</v>
      </c>
      <c r="E154" s="100">
        <v>386.55</v>
      </c>
      <c r="F154" s="100">
        <v>198.0</v>
      </c>
      <c r="G154" s="37">
        <f t="shared" si="2"/>
        <v>867.55</v>
      </c>
      <c r="H154" s="101">
        <f t="shared" si="3"/>
        <v>0.000002336196761</v>
      </c>
      <c r="I154" s="101">
        <f t="shared" ref="I154:L154" si="155">C154/$G154</f>
        <v>0.08529767737</v>
      </c>
      <c r="J154" s="101">
        <f t="shared" si="155"/>
        <v>0.240908305</v>
      </c>
      <c r="K154" s="101">
        <f t="shared" si="155"/>
        <v>0.4455650971</v>
      </c>
      <c r="L154" s="101">
        <f t="shared" si="155"/>
        <v>0.2282289205</v>
      </c>
    </row>
    <row r="155">
      <c r="A155" s="57" t="s">
        <v>293</v>
      </c>
      <c r="B155" s="99">
        <v>2023.0</v>
      </c>
      <c r="C155" s="100">
        <v>0.0</v>
      </c>
      <c r="D155" s="100">
        <v>1368.6</v>
      </c>
      <c r="E155" s="100">
        <v>1416.0</v>
      </c>
      <c r="F155" s="100">
        <v>364.5</v>
      </c>
      <c r="G155" s="37">
        <f t="shared" si="2"/>
        <v>3149.1</v>
      </c>
      <c r="H155" s="101">
        <f t="shared" si="3"/>
        <v>0.000008480107453</v>
      </c>
      <c r="I155" s="101">
        <f t="shared" ref="I155:L155" si="156">C155/$G155</f>
        <v>0</v>
      </c>
      <c r="J155" s="101">
        <f t="shared" si="156"/>
        <v>0.434600362</v>
      </c>
      <c r="K155" s="101">
        <f t="shared" si="156"/>
        <v>0.4496522816</v>
      </c>
      <c r="L155" s="101">
        <f t="shared" si="156"/>
        <v>0.1157473564</v>
      </c>
    </row>
    <row r="156">
      <c r="A156" s="57" t="s">
        <v>294</v>
      </c>
      <c r="B156" s="99">
        <v>2023.0</v>
      </c>
      <c r="C156" s="100">
        <v>14.9</v>
      </c>
      <c r="D156" s="100">
        <v>374.25</v>
      </c>
      <c r="E156" s="100">
        <v>753.72</v>
      </c>
      <c r="F156" s="100">
        <v>586.13</v>
      </c>
      <c r="G156" s="37">
        <f t="shared" si="2"/>
        <v>1729</v>
      </c>
      <c r="H156" s="101">
        <f t="shared" si="3"/>
        <v>0.000004655967034</v>
      </c>
      <c r="I156" s="101">
        <f t="shared" ref="I156:L156" si="157">C156/$G156</f>
        <v>0.008617698091</v>
      </c>
      <c r="J156" s="101">
        <f t="shared" si="157"/>
        <v>0.216454598</v>
      </c>
      <c r="K156" s="101">
        <f t="shared" si="157"/>
        <v>0.4359282822</v>
      </c>
      <c r="L156" s="101">
        <f t="shared" si="157"/>
        <v>0.3389994216</v>
      </c>
    </row>
    <row r="157">
      <c r="A157" s="57" t="s">
        <v>295</v>
      </c>
      <c r="B157" s="99">
        <v>2023.0</v>
      </c>
      <c r="C157" s="100">
        <v>192914.0</v>
      </c>
      <c r="D157" s="100">
        <v>42000.0</v>
      </c>
      <c r="E157" s="100">
        <v>0.0</v>
      </c>
      <c r="F157" s="100">
        <v>1150386.8</v>
      </c>
      <c r="G157" s="37">
        <f t="shared" si="2"/>
        <v>1385300.8</v>
      </c>
      <c r="H157" s="101">
        <f t="shared" si="3"/>
        <v>0.003730430802</v>
      </c>
      <c r="I157" s="101">
        <f t="shared" ref="I157:L157" si="158">C157/$G157</f>
        <v>0.1392578421</v>
      </c>
      <c r="J157" s="101">
        <f t="shared" si="158"/>
        <v>0.03031832509</v>
      </c>
      <c r="K157" s="101">
        <f t="shared" si="158"/>
        <v>0</v>
      </c>
      <c r="L157" s="101">
        <f t="shared" si="158"/>
        <v>0.8304238329</v>
      </c>
    </row>
    <row r="158">
      <c r="A158" s="57" t="s">
        <v>296</v>
      </c>
      <c r="B158" s="99">
        <v>2023.0</v>
      </c>
      <c r="C158" s="100">
        <v>61707.1</v>
      </c>
      <c r="D158" s="100">
        <v>85345.36</v>
      </c>
      <c r="E158" s="100">
        <v>20820.32</v>
      </c>
      <c r="F158" s="100">
        <v>148471.53</v>
      </c>
      <c r="G158" s="37">
        <f t="shared" si="2"/>
        <v>316344.31</v>
      </c>
      <c r="H158" s="101">
        <f t="shared" si="3"/>
        <v>0.0008518731514</v>
      </c>
      <c r="I158" s="101">
        <f t="shared" ref="I158:L158" si="159">C158/$G158</f>
        <v>0.1950630944</v>
      </c>
      <c r="J158" s="101">
        <f t="shared" si="159"/>
        <v>0.2697862971</v>
      </c>
      <c r="K158" s="101">
        <f t="shared" si="159"/>
        <v>0.06581537692</v>
      </c>
      <c r="L158" s="101">
        <f t="shared" si="159"/>
        <v>0.4693352316</v>
      </c>
    </row>
    <row r="159">
      <c r="A159" s="57" t="s">
        <v>297</v>
      </c>
      <c r="B159" s="99">
        <v>2023.0</v>
      </c>
      <c r="C159" s="100">
        <v>32732.0</v>
      </c>
      <c r="D159" s="100">
        <v>74986.0</v>
      </c>
      <c r="E159" s="100">
        <v>295215.0</v>
      </c>
      <c r="F159" s="100">
        <v>126506.0</v>
      </c>
      <c r="G159" s="37">
        <f t="shared" si="2"/>
        <v>529439</v>
      </c>
      <c r="H159" s="101">
        <f t="shared" si="3"/>
        <v>0.001425708809</v>
      </c>
      <c r="I159" s="101">
        <f t="shared" ref="I159:L159" si="160">C159/$G159</f>
        <v>0.06182393061</v>
      </c>
      <c r="J159" s="101">
        <f t="shared" si="160"/>
        <v>0.141632936</v>
      </c>
      <c r="K159" s="101">
        <f t="shared" si="160"/>
        <v>0.5575996479</v>
      </c>
      <c r="L159" s="101">
        <f t="shared" si="160"/>
        <v>0.2389434855</v>
      </c>
    </row>
    <row r="160">
      <c r="A160" s="57" t="s">
        <v>298</v>
      </c>
      <c r="B160" s="99">
        <v>2023.0</v>
      </c>
      <c r="C160" s="100">
        <v>22.29</v>
      </c>
      <c r="D160" s="100">
        <v>11.16</v>
      </c>
      <c r="E160" s="100">
        <v>757.56</v>
      </c>
      <c r="F160" s="100">
        <v>1108.9</v>
      </c>
      <c r="G160" s="37">
        <f t="shared" si="2"/>
        <v>1899.91</v>
      </c>
      <c r="H160" s="101">
        <f t="shared" si="3"/>
        <v>0.000005116204932</v>
      </c>
      <c r="I160" s="101">
        <f t="shared" ref="I160:L160" si="161">C160/$G160</f>
        <v>0.01173213468</v>
      </c>
      <c r="J160" s="101">
        <f t="shared" si="161"/>
        <v>0.005873962451</v>
      </c>
      <c r="K160" s="101">
        <f t="shared" si="161"/>
        <v>0.3987346769</v>
      </c>
      <c r="L160" s="101">
        <f t="shared" si="161"/>
        <v>0.583659226</v>
      </c>
    </row>
    <row r="161">
      <c r="A161" s="57" t="s">
        <v>299</v>
      </c>
      <c r="B161" s="99">
        <v>2023.0</v>
      </c>
      <c r="C161" s="100">
        <v>4050.65</v>
      </c>
      <c r="D161" s="100">
        <v>11055.36</v>
      </c>
      <c r="E161" s="100">
        <v>1731.28</v>
      </c>
      <c r="F161" s="100">
        <v>21906.47</v>
      </c>
      <c r="G161" s="37">
        <f t="shared" si="2"/>
        <v>38743.76</v>
      </c>
      <c r="H161" s="101">
        <f t="shared" si="3"/>
        <v>0.0001043317926</v>
      </c>
      <c r="I161" s="101">
        <f t="shared" ref="I161:L161" si="162">C161/$G161</f>
        <v>0.1045497391</v>
      </c>
      <c r="J161" s="101">
        <f t="shared" si="162"/>
        <v>0.2853455627</v>
      </c>
      <c r="K161" s="101">
        <f t="shared" si="162"/>
        <v>0.04468538934</v>
      </c>
      <c r="L161" s="101">
        <f t="shared" si="162"/>
        <v>0.5654193088</v>
      </c>
    </row>
    <row r="162">
      <c r="A162" s="57" t="s">
        <v>300</v>
      </c>
      <c r="B162" s="99">
        <v>2023.0</v>
      </c>
      <c r="C162" s="100">
        <v>22.01</v>
      </c>
      <c r="D162" s="100">
        <v>36.52</v>
      </c>
      <c r="E162" s="100">
        <v>12257.24</v>
      </c>
      <c r="F162" s="100">
        <v>49183.44</v>
      </c>
      <c r="G162" s="37">
        <f t="shared" si="2"/>
        <v>61499.21</v>
      </c>
      <c r="H162" s="101">
        <f t="shared" si="3"/>
        <v>0.0001656091928</v>
      </c>
      <c r="I162" s="101">
        <f t="shared" ref="I162:L162" si="163">C162/$G162</f>
        <v>0.0003578907762</v>
      </c>
      <c r="J162" s="101">
        <f t="shared" si="163"/>
        <v>0.0005938287663</v>
      </c>
      <c r="K162" s="101">
        <f t="shared" si="163"/>
        <v>0.1993072757</v>
      </c>
      <c r="L162" s="101">
        <f t="shared" si="163"/>
        <v>0.7997410048</v>
      </c>
    </row>
    <row r="163">
      <c r="A163" s="57" t="s">
        <v>301</v>
      </c>
      <c r="B163" s="99">
        <v>2023.0</v>
      </c>
      <c r="C163" s="100">
        <v>700.0</v>
      </c>
      <c r="D163" s="100">
        <v>10320.0</v>
      </c>
      <c r="E163" s="100">
        <v>53600.0</v>
      </c>
      <c r="F163" s="100">
        <v>74510.0</v>
      </c>
      <c r="G163" s="37">
        <f t="shared" si="2"/>
        <v>139130</v>
      </c>
      <c r="H163" s="101">
        <f t="shared" si="3"/>
        <v>0.000374658585</v>
      </c>
      <c r="I163" s="101">
        <f t="shared" ref="I163:L163" si="164">C163/$G163</f>
        <v>0.005031265723</v>
      </c>
      <c r="J163" s="101">
        <f t="shared" si="164"/>
        <v>0.0741752318</v>
      </c>
      <c r="K163" s="101">
        <f t="shared" si="164"/>
        <v>0.3852512039</v>
      </c>
      <c r="L163" s="101">
        <f t="shared" si="164"/>
        <v>0.5355422986</v>
      </c>
    </row>
    <row r="164">
      <c r="A164" s="57" t="s">
        <v>302</v>
      </c>
      <c r="B164" s="99">
        <v>2023.0</v>
      </c>
      <c r="C164" s="100">
        <v>1760.0</v>
      </c>
      <c r="D164" s="100">
        <v>33270.0</v>
      </c>
      <c r="E164" s="100">
        <v>23190.0</v>
      </c>
      <c r="F164" s="100">
        <v>75250.0</v>
      </c>
      <c r="G164" s="37">
        <f t="shared" si="2"/>
        <v>133470</v>
      </c>
      <c r="H164" s="101">
        <f t="shared" si="3"/>
        <v>0.0003594169578</v>
      </c>
      <c r="I164" s="101">
        <f t="shared" ref="I164:L164" si="165">C164/$G164</f>
        <v>0.01318648385</v>
      </c>
      <c r="J164" s="101">
        <f t="shared" si="165"/>
        <v>0.2492694988</v>
      </c>
      <c r="K164" s="101">
        <f t="shared" si="165"/>
        <v>0.1737469094</v>
      </c>
      <c r="L164" s="101">
        <f t="shared" si="165"/>
        <v>0.563797108</v>
      </c>
    </row>
    <row r="165">
      <c r="A165" s="57" t="s">
        <v>303</v>
      </c>
      <c r="B165" s="99">
        <v>2023.0</v>
      </c>
      <c r="C165" s="100">
        <v>0.0</v>
      </c>
      <c r="D165" s="100">
        <v>776.62</v>
      </c>
      <c r="E165" s="100">
        <v>2575.41</v>
      </c>
      <c r="F165" s="100">
        <v>285.03</v>
      </c>
      <c r="G165" s="37">
        <f t="shared" si="2"/>
        <v>3637.06</v>
      </c>
      <c r="H165" s="101">
        <f t="shared" si="3"/>
        <v>0.000009794118832</v>
      </c>
      <c r="I165" s="101">
        <f t="shared" ref="I165:L165" si="166">C165/$G165</f>
        <v>0</v>
      </c>
      <c r="J165" s="101">
        <f t="shared" si="166"/>
        <v>0.2135296091</v>
      </c>
      <c r="K165" s="101">
        <f t="shared" si="166"/>
        <v>0.7081021484</v>
      </c>
      <c r="L165" s="101">
        <f t="shared" si="166"/>
        <v>0.07836824248</v>
      </c>
    </row>
    <row r="166">
      <c r="A166" s="57" t="s">
        <v>304</v>
      </c>
      <c r="B166" s="99">
        <v>2023.0</v>
      </c>
      <c r="C166" s="100">
        <v>79849.94</v>
      </c>
      <c r="D166" s="100">
        <v>52880.3</v>
      </c>
      <c r="E166" s="100">
        <v>100.63</v>
      </c>
      <c r="F166" s="100">
        <v>4049.12</v>
      </c>
      <c r="G166" s="37">
        <f t="shared" si="2"/>
        <v>136879.99</v>
      </c>
      <c r="H166" s="101">
        <f t="shared" si="3"/>
        <v>0.0003685996073</v>
      </c>
      <c r="I166" s="101">
        <f t="shared" ref="I166:L166" si="167">C166/$G166</f>
        <v>0.5833572898</v>
      </c>
      <c r="J166" s="101">
        <f t="shared" si="167"/>
        <v>0.3863260072</v>
      </c>
      <c r="K166" s="101">
        <f t="shared" si="167"/>
        <v>0.0007351695452</v>
      </c>
      <c r="L166" s="101">
        <f t="shared" si="167"/>
        <v>0.02958153343</v>
      </c>
    </row>
    <row r="167">
      <c r="A167" s="57" t="s">
        <v>305</v>
      </c>
      <c r="B167" s="99">
        <v>2023.0</v>
      </c>
      <c r="C167" s="100">
        <v>152250.0</v>
      </c>
      <c r="D167" s="100">
        <v>1032360.0</v>
      </c>
      <c r="E167" s="100">
        <v>353280.0</v>
      </c>
      <c r="F167" s="100">
        <v>1867424.0</v>
      </c>
      <c r="G167" s="37">
        <f t="shared" si="2"/>
        <v>3405314</v>
      </c>
      <c r="H167" s="101">
        <f t="shared" si="3"/>
        <v>0.009170057677</v>
      </c>
      <c r="I167" s="101">
        <f t="shared" ref="I167:L167" si="168">C167/$G167</f>
        <v>0.04470953339</v>
      </c>
      <c r="J167" s="101">
        <f t="shared" si="168"/>
        <v>0.3031614706</v>
      </c>
      <c r="K167" s="101">
        <f t="shared" si="168"/>
        <v>0.103743737</v>
      </c>
      <c r="L167" s="101">
        <f t="shared" si="168"/>
        <v>0.548385259</v>
      </c>
    </row>
    <row r="168">
      <c r="A168" s="57" t="s">
        <v>306</v>
      </c>
      <c r="B168" s="99">
        <v>2023.0</v>
      </c>
      <c r="C168" s="100">
        <v>1941.45</v>
      </c>
      <c r="D168" s="100">
        <v>345000.0</v>
      </c>
      <c r="E168" s="100">
        <v>1435000.0</v>
      </c>
      <c r="F168" s="100">
        <v>982085.6</v>
      </c>
      <c r="G168" s="37">
        <f t="shared" si="2"/>
        <v>2764027.05</v>
      </c>
      <c r="H168" s="101">
        <f t="shared" si="3"/>
        <v>0.007443157215</v>
      </c>
      <c r="I168" s="101">
        <f t="shared" ref="I168:L168" si="169">C168/$G168</f>
        <v>0.0007023990594</v>
      </c>
      <c r="J168" s="101">
        <f t="shared" si="169"/>
        <v>0.1248178812</v>
      </c>
      <c r="K168" s="101">
        <f t="shared" si="169"/>
        <v>0.5191700277</v>
      </c>
      <c r="L168" s="101">
        <f t="shared" si="169"/>
        <v>0.3553096921</v>
      </c>
    </row>
    <row r="169">
      <c r="A169" s="57" t="s">
        <v>307</v>
      </c>
      <c r="B169" s="99">
        <v>2023.0</v>
      </c>
      <c r="C169" s="100">
        <v>38072.88</v>
      </c>
      <c r="D169" s="100">
        <v>142655.98</v>
      </c>
      <c r="E169" s="100">
        <v>0.0</v>
      </c>
      <c r="F169" s="100">
        <v>52506.16</v>
      </c>
      <c r="G169" s="37">
        <f t="shared" si="2"/>
        <v>233235.02</v>
      </c>
      <c r="H169" s="101">
        <f t="shared" si="3"/>
        <v>0.0006280708874</v>
      </c>
      <c r="I169" s="101">
        <f t="shared" ref="I169:L169" si="170">C169/$G169</f>
        <v>0.163238265</v>
      </c>
      <c r="J169" s="101">
        <f t="shared" si="170"/>
        <v>0.6116404818</v>
      </c>
      <c r="K169" s="101">
        <f t="shared" si="170"/>
        <v>0</v>
      </c>
      <c r="L169" s="101">
        <f t="shared" si="170"/>
        <v>0.2251212532</v>
      </c>
    </row>
    <row r="170">
      <c r="A170" s="57" t="s">
        <v>308</v>
      </c>
      <c r="B170" s="99">
        <v>2023.0</v>
      </c>
      <c r="C170" s="100">
        <v>114200.0</v>
      </c>
      <c r="D170" s="100">
        <v>697830.0</v>
      </c>
      <c r="E170" s="100">
        <v>4870710.0</v>
      </c>
      <c r="F170" s="100">
        <v>1628030.0</v>
      </c>
      <c r="G170" s="37">
        <f t="shared" si="2"/>
        <v>7310770</v>
      </c>
      <c r="H170" s="101">
        <f t="shared" si="3"/>
        <v>0.01968693124</v>
      </c>
      <c r="I170" s="101">
        <f t="shared" ref="I170:L170" si="171">C170/$G170</f>
        <v>0.0156207896</v>
      </c>
      <c r="J170" s="101">
        <f t="shared" si="171"/>
        <v>0.09545232582</v>
      </c>
      <c r="K170" s="101">
        <f t="shared" si="171"/>
        <v>0.6662376193</v>
      </c>
      <c r="L170" s="101">
        <f t="shared" si="171"/>
        <v>0.2226892653</v>
      </c>
    </row>
    <row r="171">
      <c r="A171" s="57" t="s">
        <v>309</v>
      </c>
      <c r="B171" s="99">
        <v>2023.0</v>
      </c>
      <c r="C171" s="100">
        <v>2750.0</v>
      </c>
      <c r="D171" s="100">
        <v>27300.0</v>
      </c>
      <c r="E171" s="100">
        <v>910.39</v>
      </c>
      <c r="F171" s="100">
        <v>236130.94</v>
      </c>
      <c r="G171" s="37">
        <f t="shared" si="2"/>
        <v>267091.33</v>
      </c>
      <c r="H171" s="101">
        <f t="shared" si="3"/>
        <v>0.0007192414271</v>
      </c>
      <c r="I171" s="101">
        <f t="shared" ref="I171:L171" si="172">C171/$G171</f>
        <v>0.01029610358</v>
      </c>
      <c r="J171" s="101">
        <f t="shared" si="172"/>
        <v>0.1022122283</v>
      </c>
      <c r="K171" s="101">
        <f t="shared" si="172"/>
        <v>0.003408534451</v>
      </c>
      <c r="L171" s="101">
        <f t="shared" si="172"/>
        <v>0.8840831337</v>
      </c>
    </row>
    <row r="172">
      <c r="A172" s="57" t="s">
        <v>310</v>
      </c>
      <c r="B172" s="99">
        <v>2023.0</v>
      </c>
      <c r="C172" s="100">
        <v>378739.3</v>
      </c>
      <c r="D172" s="100">
        <v>371139.1</v>
      </c>
      <c r="E172" s="100">
        <v>0.0</v>
      </c>
      <c r="F172" s="100">
        <v>90561.35</v>
      </c>
      <c r="G172" s="37">
        <f t="shared" si="2"/>
        <v>840439.75</v>
      </c>
      <c r="H172" s="101">
        <f t="shared" si="3"/>
        <v>0.002263192464</v>
      </c>
      <c r="I172" s="101">
        <f t="shared" ref="I172:L172" si="173">C172/$G172</f>
        <v>0.4506442014</v>
      </c>
      <c r="J172" s="101">
        <f t="shared" si="173"/>
        <v>0.4416010785</v>
      </c>
      <c r="K172" s="101">
        <f t="shared" si="173"/>
        <v>0</v>
      </c>
      <c r="L172" s="101">
        <f t="shared" si="173"/>
        <v>0.1077547201</v>
      </c>
    </row>
    <row r="173">
      <c r="A173" s="57" t="s">
        <v>311</v>
      </c>
      <c r="B173" s="99">
        <v>2023.0</v>
      </c>
      <c r="C173" s="100">
        <v>18.25</v>
      </c>
      <c r="D173" s="100">
        <v>1652.64</v>
      </c>
      <c r="E173" s="100">
        <v>2175.94</v>
      </c>
      <c r="F173" s="100">
        <v>10031.43</v>
      </c>
      <c r="G173" s="37">
        <f t="shared" si="2"/>
        <v>13878.26</v>
      </c>
      <c r="H173" s="101">
        <f t="shared" si="3"/>
        <v>0.0000373723083</v>
      </c>
      <c r="I173" s="101">
        <f t="shared" ref="I173:L173" si="174">C173/$G173</f>
        <v>0.001315006348</v>
      </c>
      <c r="J173" s="101">
        <f t="shared" si="174"/>
        <v>0.1190812105</v>
      </c>
      <c r="K173" s="101">
        <f t="shared" si="174"/>
        <v>0.1567876665</v>
      </c>
      <c r="L173" s="101">
        <f t="shared" si="174"/>
        <v>0.7228161167</v>
      </c>
    </row>
    <row r="174">
      <c r="A174" s="57" t="s">
        <v>312</v>
      </c>
      <c r="B174" s="99">
        <v>2023.0</v>
      </c>
      <c r="C174" s="100">
        <v>5130.0</v>
      </c>
      <c r="D174" s="100">
        <v>139640.0</v>
      </c>
      <c r="E174" s="100">
        <v>244660.0</v>
      </c>
      <c r="F174" s="100">
        <v>171560.0</v>
      </c>
      <c r="G174" s="37">
        <f t="shared" si="2"/>
        <v>560990</v>
      </c>
      <c r="H174" s="101">
        <f t="shared" si="3"/>
        <v>0.001510671455</v>
      </c>
      <c r="I174" s="101">
        <f t="shared" ref="I174:L174" si="175">C174/$G174</f>
        <v>0.009144548031</v>
      </c>
      <c r="J174" s="101">
        <f t="shared" si="175"/>
        <v>0.248917093</v>
      </c>
      <c r="K174" s="101">
        <f t="shared" si="175"/>
        <v>0.436121856</v>
      </c>
      <c r="L174" s="101">
        <f t="shared" si="175"/>
        <v>0.305816503</v>
      </c>
    </row>
    <row r="175">
      <c r="A175" s="57" t="s">
        <v>313</v>
      </c>
      <c r="B175" s="99">
        <v>2023.0</v>
      </c>
      <c r="C175" s="100">
        <v>5690.06</v>
      </c>
      <c r="D175" s="100">
        <v>143843.0</v>
      </c>
      <c r="E175" s="100">
        <v>219485.55</v>
      </c>
      <c r="F175" s="100">
        <v>110470.0</v>
      </c>
      <c r="G175" s="37">
        <f t="shared" si="2"/>
        <v>479488.61</v>
      </c>
      <c r="H175" s="101">
        <f t="shared" si="3"/>
        <v>0.001291199052</v>
      </c>
      <c r="I175" s="101">
        <f t="shared" ref="I175:L175" si="176">C175/$G175</f>
        <v>0.01186693465</v>
      </c>
      <c r="J175" s="101">
        <f t="shared" si="176"/>
        <v>0.2999925275</v>
      </c>
      <c r="K175" s="101">
        <f t="shared" si="176"/>
        <v>0.4577492466</v>
      </c>
      <c r="L175" s="101">
        <f t="shared" si="176"/>
        <v>0.2303912913</v>
      </c>
    </row>
    <row r="176">
      <c r="A176" s="57" t="s">
        <v>314</v>
      </c>
      <c r="B176" s="99">
        <v>2023.0</v>
      </c>
      <c r="C176" s="100">
        <v>209600.0</v>
      </c>
      <c r="D176" s="100">
        <v>42423.0</v>
      </c>
      <c r="E176" s="100">
        <v>0.0</v>
      </c>
      <c r="F176" s="100">
        <v>106330.0</v>
      </c>
      <c r="G176" s="37">
        <f t="shared" si="2"/>
        <v>358353</v>
      </c>
      <c r="H176" s="101">
        <f t="shared" si="3"/>
        <v>0.0009649969662</v>
      </c>
      <c r="I176" s="101">
        <f t="shared" ref="I176:L176" si="177">C176/$G176</f>
        <v>0.5848981312</v>
      </c>
      <c r="J176" s="101">
        <f t="shared" si="177"/>
        <v>0.1183832701</v>
      </c>
      <c r="K176" s="101">
        <f t="shared" si="177"/>
        <v>0</v>
      </c>
      <c r="L176" s="101">
        <f t="shared" si="177"/>
        <v>0.2967185987</v>
      </c>
    </row>
    <row r="177">
      <c r="A177" s="57" t="s">
        <v>315</v>
      </c>
      <c r="B177" s="99">
        <v>2023.0</v>
      </c>
      <c r="C177" s="100">
        <v>1317.05</v>
      </c>
      <c r="D177" s="100">
        <v>8464.15</v>
      </c>
      <c r="E177" s="100">
        <v>795000.0</v>
      </c>
      <c r="F177" s="100">
        <v>749022.44</v>
      </c>
      <c r="G177" s="37">
        <f t="shared" si="2"/>
        <v>1553803.64</v>
      </c>
      <c r="H177" s="101">
        <f t="shared" si="3"/>
        <v>0.004184186538</v>
      </c>
      <c r="I177" s="101">
        <f t="shared" ref="I177:L177" si="178">C177/$G177</f>
        <v>0.0008476296271</v>
      </c>
      <c r="J177" s="101">
        <f t="shared" si="178"/>
        <v>0.00544737429</v>
      </c>
      <c r="K177" s="101">
        <f t="shared" si="178"/>
        <v>0.5116476622</v>
      </c>
      <c r="L177" s="101">
        <f t="shared" si="178"/>
        <v>0.4820573338</v>
      </c>
    </row>
    <row r="178">
      <c r="A178" s="57" t="s">
        <v>316</v>
      </c>
      <c r="B178" s="99">
        <v>2023.0</v>
      </c>
      <c r="C178" s="100">
        <v>65927.72</v>
      </c>
      <c r="D178" s="100">
        <v>248205.23</v>
      </c>
      <c r="E178" s="100">
        <v>10.17</v>
      </c>
      <c r="F178" s="100">
        <v>19097.44</v>
      </c>
      <c r="G178" s="37">
        <f t="shared" si="2"/>
        <v>333240.56</v>
      </c>
      <c r="H178" s="101">
        <f t="shared" si="3"/>
        <v>0.0008973725053</v>
      </c>
      <c r="I178" s="101">
        <f t="shared" ref="I178:L178" si="179">C178/$G178</f>
        <v>0.1978382223</v>
      </c>
      <c r="J178" s="101">
        <f t="shared" si="179"/>
        <v>0.7448229891</v>
      </c>
      <c r="K178" s="101">
        <f t="shared" si="179"/>
        <v>0.00003051849391</v>
      </c>
      <c r="L178" s="101">
        <f t="shared" si="179"/>
        <v>0.05730827004</v>
      </c>
    </row>
    <row r="179">
      <c r="A179" s="57" t="s">
        <v>317</v>
      </c>
      <c r="B179" s="99">
        <v>2023.0</v>
      </c>
      <c r="C179" s="100">
        <v>113780.0</v>
      </c>
      <c r="D179" s="100">
        <v>544984.0</v>
      </c>
      <c r="E179" s="100">
        <v>47583.0</v>
      </c>
      <c r="F179" s="100">
        <v>98240.15</v>
      </c>
      <c r="G179" s="37">
        <f t="shared" si="2"/>
        <v>804587.15</v>
      </c>
      <c r="H179" s="101">
        <f t="shared" si="3"/>
        <v>0.002166646181</v>
      </c>
      <c r="I179" s="101">
        <f t="shared" ref="I179:L179" si="180">C179/$G179</f>
        <v>0.1414141402</v>
      </c>
      <c r="J179" s="101">
        <f t="shared" si="180"/>
        <v>0.6773461396</v>
      </c>
      <c r="K179" s="101">
        <f t="shared" si="180"/>
        <v>0.05913964696</v>
      </c>
      <c r="L179" s="101">
        <f t="shared" si="180"/>
        <v>0.1221000733</v>
      </c>
    </row>
    <row r="180">
      <c r="A180" s="57" t="s">
        <v>318</v>
      </c>
      <c r="B180" s="99">
        <v>2023.0</v>
      </c>
      <c r="C180" s="100">
        <v>2053.27</v>
      </c>
      <c r="D180" s="100">
        <v>155725.84</v>
      </c>
      <c r="E180" s="100">
        <v>914634.75</v>
      </c>
      <c r="F180" s="100">
        <v>1915829.1</v>
      </c>
      <c r="G180" s="37">
        <f t="shared" si="2"/>
        <v>2988242.96</v>
      </c>
      <c r="H180" s="101">
        <f t="shared" si="3"/>
        <v>0.008046940839</v>
      </c>
      <c r="I180" s="101">
        <f t="shared" ref="I180:L180" si="181">C180/$G180</f>
        <v>0.0006871161507</v>
      </c>
      <c r="J180" s="101">
        <f t="shared" si="181"/>
        <v>0.05211284426</v>
      </c>
      <c r="K180" s="101">
        <f t="shared" si="181"/>
        <v>0.3060777729</v>
      </c>
      <c r="L180" s="101">
        <f t="shared" si="181"/>
        <v>0.6411222667</v>
      </c>
    </row>
    <row r="181">
      <c r="A181" s="57" t="s">
        <v>319</v>
      </c>
      <c r="B181" s="99">
        <v>2023.0</v>
      </c>
      <c r="C181" s="100">
        <v>14972.54</v>
      </c>
      <c r="D181" s="100">
        <v>5202.46</v>
      </c>
      <c r="E181" s="100">
        <v>14701.93</v>
      </c>
      <c r="F181" s="100">
        <v>33079.17</v>
      </c>
      <c r="G181" s="37">
        <f t="shared" si="2"/>
        <v>67956.1</v>
      </c>
      <c r="H181" s="101">
        <f t="shared" si="3"/>
        <v>0.0001829967388</v>
      </c>
      <c r="I181" s="101">
        <f t="shared" ref="I181:L181" si="182">C181/$G181</f>
        <v>0.2203266521</v>
      </c>
      <c r="J181" s="101">
        <f t="shared" si="182"/>
        <v>0.07655618848</v>
      </c>
      <c r="K181" s="101">
        <f t="shared" si="182"/>
        <v>0.2163445224</v>
      </c>
      <c r="L181" s="101">
        <f t="shared" si="182"/>
        <v>0.486772637</v>
      </c>
    </row>
    <row r="182">
      <c r="A182" s="57" t="s">
        <v>320</v>
      </c>
      <c r="B182" s="99">
        <v>2023.0</v>
      </c>
      <c r="C182" s="100">
        <v>0.0</v>
      </c>
      <c r="D182" s="100">
        <v>0.0</v>
      </c>
      <c r="E182" s="100">
        <v>44.91</v>
      </c>
      <c r="F182" s="100">
        <v>4.85</v>
      </c>
      <c r="G182" s="37">
        <f t="shared" si="2"/>
        <v>49.76</v>
      </c>
      <c r="H182" s="101">
        <f t="shared" si="3"/>
        <v>0.0000001339970617</v>
      </c>
      <c r="I182" s="101">
        <f t="shared" ref="I182:L182" si="183">C182/$G182</f>
        <v>0</v>
      </c>
      <c r="J182" s="101">
        <f t="shared" si="183"/>
        <v>0</v>
      </c>
      <c r="K182" s="101">
        <f t="shared" si="183"/>
        <v>0.9025321543</v>
      </c>
      <c r="L182" s="101">
        <f t="shared" si="183"/>
        <v>0.09746784566</v>
      </c>
    </row>
    <row r="183">
      <c r="A183" s="57" t="s">
        <v>321</v>
      </c>
      <c r="B183" s="99">
        <v>2023.0</v>
      </c>
      <c r="C183" s="100">
        <v>29.48</v>
      </c>
      <c r="D183" s="100">
        <v>350.19</v>
      </c>
      <c r="E183" s="100">
        <v>1780.16</v>
      </c>
      <c r="F183" s="100">
        <v>268.4</v>
      </c>
      <c r="G183" s="37">
        <f t="shared" si="2"/>
        <v>2428.23</v>
      </c>
      <c r="H183" s="101">
        <f t="shared" si="3"/>
        <v>0.000006538900423</v>
      </c>
      <c r="I183" s="101">
        <f t="shared" ref="I183:L183" si="184">C183/$G183</f>
        <v>0.01214053035</v>
      </c>
      <c r="J183" s="101">
        <f t="shared" si="184"/>
        <v>0.1442161574</v>
      </c>
      <c r="K183" s="101">
        <f t="shared" si="184"/>
        <v>0.7331101255</v>
      </c>
      <c r="L183" s="101">
        <f t="shared" si="184"/>
        <v>0.1105331867</v>
      </c>
    </row>
    <row r="184">
      <c r="A184" s="57" t="s">
        <v>322</v>
      </c>
      <c r="B184" s="99">
        <v>2023.0</v>
      </c>
      <c r="C184" s="100">
        <v>173.0</v>
      </c>
      <c r="D184" s="100">
        <v>1042.53</v>
      </c>
      <c r="E184" s="100">
        <v>1890.0</v>
      </c>
      <c r="F184" s="100">
        <v>50141.0</v>
      </c>
      <c r="G184" s="37">
        <f t="shared" si="2"/>
        <v>53246.53</v>
      </c>
      <c r="H184" s="101">
        <f t="shared" si="3"/>
        <v>0.0001433858232</v>
      </c>
      <c r="I184" s="101">
        <f t="shared" ref="I184:L184" si="185">C184/$G184</f>
        <v>0.003249038012</v>
      </c>
      <c r="J184" s="101">
        <f t="shared" si="185"/>
        <v>0.01957930404</v>
      </c>
      <c r="K184" s="101">
        <f t="shared" si="185"/>
        <v>0.03549527077</v>
      </c>
      <c r="L184" s="101">
        <f t="shared" si="185"/>
        <v>0.9416763872</v>
      </c>
    </row>
    <row r="185">
      <c r="A185" s="57" t="s">
        <v>323</v>
      </c>
      <c r="B185" s="99">
        <v>2023.0</v>
      </c>
      <c r="C185" s="100">
        <v>68411.68</v>
      </c>
      <c r="D185" s="100">
        <v>49843.15</v>
      </c>
      <c r="E185" s="100">
        <v>121.36</v>
      </c>
      <c r="F185" s="100">
        <v>247325.7</v>
      </c>
      <c r="G185" s="37">
        <f t="shared" si="2"/>
        <v>365701.89</v>
      </c>
      <c r="H185" s="101">
        <f t="shared" si="3"/>
        <v>0.0009847865495</v>
      </c>
      <c r="I185" s="101">
        <f t="shared" ref="I185:L185" si="186">C185/$G185</f>
        <v>0.1870695281</v>
      </c>
      <c r="J185" s="101">
        <f t="shared" si="186"/>
        <v>0.1362944829</v>
      </c>
      <c r="K185" s="101">
        <f t="shared" si="186"/>
        <v>0.0003318549981</v>
      </c>
      <c r="L185" s="101">
        <f t="shared" si="186"/>
        <v>0.6763041339</v>
      </c>
    </row>
    <row r="186">
      <c r="A186" s="57" t="s">
        <v>324</v>
      </c>
      <c r="B186" s="99">
        <v>2023.0</v>
      </c>
      <c r="C186" s="100">
        <v>698054.44</v>
      </c>
      <c r="D186" s="100">
        <v>1685992.5</v>
      </c>
      <c r="E186" s="100">
        <v>0.0</v>
      </c>
      <c r="F186" s="100">
        <v>2380559.5</v>
      </c>
      <c r="G186" s="37">
        <f t="shared" si="2"/>
        <v>4764606.44</v>
      </c>
      <c r="H186" s="101">
        <f t="shared" si="3"/>
        <v>0.01283045143</v>
      </c>
      <c r="I186" s="101">
        <f t="shared" ref="I186:L186" si="187">C186/$G186</f>
        <v>0.1465083106</v>
      </c>
      <c r="J186" s="101">
        <f t="shared" si="187"/>
        <v>0.353857663</v>
      </c>
      <c r="K186" s="101">
        <f t="shared" si="187"/>
        <v>0</v>
      </c>
      <c r="L186" s="101">
        <f t="shared" si="187"/>
        <v>0.4996340264</v>
      </c>
    </row>
    <row r="187">
      <c r="A187" s="57" t="s">
        <v>325</v>
      </c>
      <c r="B187" s="99">
        <v>2023.0</v>
      </c>
      <c r="C187" s="100">
        <v>140920.0</v>
      </c>
      <c r="D187" s="100">
        <v>187235.39</v>
      </c>
      <c r="E187" s="100">
        <v>245.63</v>
      </c>
      <c r="F187" s="100">
        <v>23720.45</v>
      </c>
      <c r="G187" s="37">
        <f t="shared" si="2"/>
        <v>352121.47</v>
      </c>
      <c r="H187" s="101">
        <f t="shared" si="3"/>
        <v>0.0009482162847</v>
      </c>
      <c r="I187" s="101">
        <f t="shared" ref="I187:L187" si="188">C187/$G187</f>
        <v>0.400202805</v>
      </c>
      <c r="J187" s="101">
        <f t="shared" si="188"/>
        <v>0.5317352276</v>
      </c>
      <c r="K187" s="101">
        <f t="shared" si="188"/>
        <v>0.0006975717783</v>
      </c>
      <c r="L187" s="101">
        <f t="shared" si="188"/>
        <v>0.06736439559</v>
      </c>
    </row>
    <row r="188">
      <c r="A188" s="57" t="s">
        <v>326</v>
      </c>
      <c r="B188" s="99">
        <v>2023.0</v>
      </c>
      <c r="C188" s="100">
        <v>0.0</v>
      </c>
      <c r="D188" s="100">
        <v>0.0</v>
      </c>
      <c r="E188" s="100">
        <v>127.23</v>
      </c>
      <c r="F188" s="100">
        <v>63.41</v>
      </c>
      <c r="G188" s="37">
        <f t="shared" si="2"/>
        <v>190.64</v>
      </c>
      <c r="H188" s="101">
        <f t="shared" si="3"/>
        <v>0.0000005133681639</v>
      </c>
      <c r="I188" s="101">
        <f t="shared" ref="I188:L188" si="189">C188/$G188</f>
        <v>0</v>
      </c>
      <c r="J188" s="101">
        <f t="shared" si="189"/>
        <v>0</v>
      </c>
      <c r="K188" s="101">
        <f t="shared" si="189"/>
        <v>0.6673835501</v>
      </c>
      <c r="L188" s="101">
        <f t="shared" si="189"/>
        <v>0.3326164499</v>
      </c>
    </row>
    <row r="189">
      <c r="A189" s="57" t="s">
        <v>327</v>
      </c>
      <c r="B189" s="99">
        <v>2023.0</v>
      </c>
      <c r="C189" s="100">
        <v>37207.34</v>
      </c>
      <c r="D189" s="100">
        <v>233070.0</v>
      </c>
      <c r="E189" s="100">
        <v>134966.31</v>
      </c>
      <c r="F189" s="100">
        <v>92231.24</v>
      </c>
      <c r="G189" s="37">
        <f t="shared" si="2"/>
        <v>497474.89</v>
      </c>
      <c r="H189" s="101">
        <f t="shared" si="3"/>
        <v>0.001339633712</v>
      </c>
      <c r="I189" s="101">
        <f t="shared" ref="I189:L189" si="190">C189/$G189</f>
        <v>0.07479239806</v>
      </c>
      <c r="J189" s="101">
        <f t="shared" si="190"/>
        <v>0.4685060587</v>
      </c>
      <c r="K189" s="101">
        <f t="shared" si="190"/>
        <v>0.2713027586</v>
      </c>
      <c r="L189" s="101">
        <f t="shared" si="190"/>
        <v>0.1853987847</v>
      </c>
    </row>
    <row r="190">
      <c r="A190" s="57" t="s">
        <v>328</v>
      </c>
      <c r="B190" s="99">
        <v>2023.0</v>
      </c>
      <c r="C190" s="100">
        <v>11900.0</v>
      </c>
      <c r="D190" s="100">
        <v>256900.0</v>
      </c>
      <c r="E190" s="100">
        <v>638200.0</v>
      </c>
      <c r="F190" s="100">
        <v>1316800.0</v>
      </c>
      <c r="G190" s="37">
        <f t="shared" si="2"/>
        <v>2223800</v>
      </c>
      <c r="H190" s="101">
        <f t="shared" si="3"/>
        <v>0.005988397623</v>
      </c>
      <c r="I190" s="101">
        <f t="shared" ref="I190:L190" si="191">C190/$G190</f>
        <v>0.005351200648</v>
      </c>
      <c r="J190" s="101">
        <f t="shared" si="191"/>
        <v>0.1155229787</v>
      </c>
      <c r="K190" s="101">
        <f t="shared" si="191"/>
        <v>0.2869862398</v>
      </c>
      <c r="L190" s="101">
        <f t="shared" si="191"/>
        <v>0.5921395809</v>
      </c>
    </row>
    <row r="191">
      <c r="A191" s="57" t="s">
        <v>329</v>
      </c>
      <c r="B191" s="99">
        <v>2023.0</v>
      </c>
      <c r="C191" s="100">
        <v>63682.53</v>
      </c>
      <c r="D191" s="100">
        <v>20158.89</v>
      </c>
      <c r="E191" s="100">
        <v>0.0</v>
      </c>
      <c r="F191" s="100">
        <v>60000.0</v>
      </c>
      <c r="G191" s="37">
        <f t="shared" si="2"/>
        <v>143841.42</v>
      </c>
      <c r="H191" s="101">
        <f t="shared" si="3"/>
        <v>0.0003873458124</v>
      </c>
      <c r="I191" s="101">
        <f t="shared" ref="I191:L191" si="192">C191/$G191</f>
        <v>0.4427273452</v>
      </c>
      <c r="J191" s="101">
        <f t="shared" si="192"/>
        <v>0.1401466281</v>
      </c>
      <c r="K191" s="101">
        <f t="shared" si="192"/>
        <v>0</v>
      </c>
      <c r="L191" s="101">
        <f t="shared" si="192"/>
        <v>0.4171260267</v>
      </c>
    </row>
    <row r="192">
      <c r="A192" s="57" t="s">
        <v>330</v>
      </c>
      <c r="B192" s="99">
        <v>2023.0</v>
      </c>
      <c r="C192" s="100">
        <v>286000.0</v>
      </c>
      <c r="D192" s="100">
        <v>900600.0</v>
      </c>
      <c r="E192" s="100">
        <v>926400.0</v>
      </c>
      <c r="F192" s="100">
        <v>1981682.8</v>
      </c>
      <c r="G192" s="37">
        <f t="shared" si="2"/>
        <v>4094682.8</v>
      </c>
      <c r="H192" s="101">
        <f t="shared" si="3"/>
        <v>0.01102643617</v>
      </c>
      <c r="I192" s="101">
        <f t="shared" ref="I192:L192" si="193">C192/$G192</f>
        <v>0.06984668019</v>
      </c>
      <c r="J192" s="101">
        <f t="shared" si="193"/>
        <v>0.2199437768</v>
      </c>
      <c r="K192" s="101">
        <f t="shared" si="193"/>
        <v>0.2262446312</v>
      </c>
      <c r="L192" s="101">
        <f t="shared" si="193"/>
        <v>0.4839649118</v>
      </c>
    </row>
    <row r="193">
      <c r="A193" s="57" t="s">
        <v>331</v>
      </c>
      <c r="B193" s="99">
        <v>2023.0</v>
      </c>
      <c r="C193" s="100">
        <v>70665.32</v>
      </c>
      <c r="D193" s="100">
        <v>1.2285731E7</v>
      </c>
      <c r="E193" s="100">
        <v>1.2391146E7</v>
      </c>
      <c r="F193" s="100">
        <v>2.2443418E7</v>
      </c>
      <c r="G193" s="37">
        <f t="shared" si="2"/>
        <v>47190960.32</v>
      </c>
      <c r="H193" s="101">
        <f t="shared" si="3"/>
        <v>0.1270789795</v>
      </c>
      <c r="I193" s="101">
        <f t="shared" ref="I193:L193" si="194">C193/$G193</f>
        <v>0.001497433397</v>
      </c>
      <c r="J193" s="101">
        <f t="shared" si="194"/>
        <v>0.2603407711</v>
      </c>
      <c r="K193" s="101">
        <f t="shared" si="194"/>
        <v>0.2625745676</v>
      </c>
      <c r="L193" s="101">
        <f t="shared" si="194"/>
        <v>0.4755872279</v>
      </c>
    </row>
    <row r="194">
      <c r="A194" s="57" t="s">
        <v>332</v>
      </c>
      <c r="B194" s="99">
        <v>2023.0</v>
      </c>
      <c r="C194" s="100">
        <v>22285.43</v>
      </c>
      <c r="D194" s="100">
        <v>599000.0</v>
      </c>
      <c r="E194" s="100">
        <v>12608.0</v>
      </c>
      <c r="F194" s="100">
        <v>74218.0</v>
      </c>
      <c r="G194" s="37">
        <f t="shared" si="2"/>
        <v>708111.43</v>
      </c>
      <c r="H194" s="101">
        <f t="shared" si="3"/>
        <v>0.001906849898</v>
      </c>
      <c r="I194" s="101">
        <f t="shared" ref="I194:L194" si="195">C194/$G194</f>
        <v>0.03147164282</v>
      </c>
      <c r="J194" s="101">
        <f t="shared" si="195"/>
        <v>0.8459120622</v>
      </c>
      <c r="K194" s="101">
        <f t="shared" si="195"/>
        <v>0.01780510731</v>
      </c>
      <c r="L194" s="101">
        <f t="shared" si="195"/>
        <v>0.1048111877</v>
      </c>
    </row>
    <row r="195">
      <c r="A195" s="57" t="s">
        <v>333</v>
      </c>
      <c r="B195" s="99">
        <v>2023.0</v>
      </c>
      <c r="C195" s="100">
        <v>243500.0</v>
      </c>
      <c r="D195" s="100">
        <v>1084978.2</v>
      </c>
      <c r="E195" s="100">
        <v>2881.67</v>
      </c>
      <c r="F195" s="100">
        <v>170184.0</v>
      </c>
      <c r="G195" s="37">
        <f t="shared" si="2"/>
        <v>1501543.87</v>
      </c>
      <c r="H195" s="101">
        <f t="shared" si="3"/>
        <v>0.004043457929</v>
      </c>
      <c r="I195" s="101">
        <f t="shared" ref="I195:L195" si="196">C195/$G195</f>
        <v>0.1621664241</v>
      </c>
      <c r="J195" s="101">
        <f t="shared" si="196"/>
        <v>0.722575092</v>
      </c>
      <c r="K195" s="101">
        <f t="shared" si="196"/>
        <v>0.001919138067</v>
      </c>
      <c r="L195" s="101">
        <f t="shared" si="196"/>
        <v>0.1133393459</v>
      </c>
    </row>
    <row r="196">
      <c r="A196" s="57" t="s">
        <v>334</v>
      </c>
      <c r="B196" s="99">
        <v>2023.0</v>
      </c>
      <c r="C196" s="100">
        <v>10.32</v>
      </c>
      <c r="D196" s="100">
        <v>2006.0</v>
      </c>
      <c r="E196" s="100">
        <v>2899.69</v>
      </c>
      <c r="F196" s="100">
        <v>514.29</v>
      </c>
      <c r="G196" s="37">
        <f t="shared" si="2"/>
        <v>5430.3</v>
      </c>
      <c r="H196" s="101">
        <f t="shared" si="3"/>
        <v>0.00001462307564</v>
      </c>
      <c r="I196" s="101">
        <f t="shared" ref="I196:L196" si="197">C196/$G196</f>
        <v>0.001900447489</v>
      </c>
      <c r="J196" s="101">
        <f t="shared" si="197"/>
        <v>0.3694086883</v>
      </c>
      <c r="K196" s="101">
        <f t="shared" si="197"/>
        <v>0.5339833895</v>
      </c>
      <c r="L196" s="101">
        <f t="shared" si="197"/>
        <v>0.09470747473</v>
      </c>
    </row>
    <row r="197">
      <c r="A197" s="57" t="s">
        <v>335</v>
      </c>
      <c r="B197" s="99">
        <v>2023.0</v>
      </c>
      <c r="C197" s="100">
        <v>8954.98</v>
      </c>
      <c r="D197" s="100">
        <v>370512.12</v>
      </c>
      <c r="E197" s="100">
        <v>112952.57</v>
      </c>
      <c r="F197" s="100">
        <v>479672.0</v>
      </c>
      <c r="G197" s="37">
        <f t="shared" si="2"/>
        <v>972091.67</v>
      </c>
      <c r="H197" s="101">
        <f t="shared" si="3"/>
        <v>0.002617713574</v>
      </c>
      <c r="I197" s="101">
        <f t="shared" ref="I197:L197" si="198">C197/$G197</f>
        <v>0.00921207359</v>
      </c>
      <c r="J197" s="101">
        <f t="shared" si="198"/>
        <v>0.3811493622</v>
      </c>
      <c r="K197" s="101">
        <f t="shared" si="198"/>
        <v>0.1161953893</v>
      </c>
      <c r="L197" s="101">
        <f t="shared" si="198"/>
        <v>0.493443175</v>
      </c>
    </row>
    <row r="198">
      <c r="A198" s="57" t="s">
        <v>336</v>
      </c>
      <c r="B198" s="99">
        <v>2023.0</v>
      </c>
      <c r="C198" s="100">
        <v>23944.49</v>
      </c>
      <c r="D198" s="100">
        <v>336800.0</v>
      </c>
      <c r="E198" s="100">
        <v>3549000.0</v>
      </c>
      <c r="F198" s="100">
        <v>1739936.6</v>
      </c>
      <c r="G198" s="37">
        <f t="shared" si="2"/>
        <v>5649681.09</v>
      </c>
      <c r="H198" s="101">
        <f t="shared" si="3"/>
        <v>0.01521383974</v>
      </c>
      <c r="I198" s="101">
        <f t="shared" ref="I198:L198" si="199">C198/$G198</f>
        <v>0.004238202054</v>
      </c>
      <c r="J198" s="101">
        <f t="shared" si="199"/>
        <v>0.05961398434</v>
      </c>
      <c r="K198" s="101">
        <f t="shared" si="199"/>
        <v>0.6281770499</v>
      </c>
      <c r="L198" s="101">
        <f t="shared" si="199"/>
        <v>0.3079707637</v>
      </c>
    </row>
    <row r="199">
      <c r="A199" s="57" t="s">
        <v>337</v>
      </c>
      <c r="B199" s="99">
        <v>2023.0</v>
      </c>
      <c r="C199" s="100">
        <v>137693.92</v>
      </c>
      <c r="D199" s="100">
        <v>77605.76</v>
      </c>
      <c r="E199" s="100">
        <v>0.0</v>
      </c>
      <c r="F199" s="100">
        <v>203797.05</v>
      </c>
      <c r="G199" s="37">
        <f t="shared" si="2"/>
        <v>419096.73</v>
      </c>
      <c r="H199" s="101">
        <f t="shared" si="3"/>
        <v>0.001128571752</v>
      </c>
      <c r="I199" s="101">
        <f t="shared" ref="I199:L199" si="200">C199/$G199</f>
        <v>0.3285492588</v>
      </c>
      <c r="J199" s="101">
        <f t="shared" si="200"/>
        <v>0.1851738619</v>
      </c>
      <c r="K199" s="101">
        <f t="shared" si="200"/>
        <v>0</v>
      </c>
      <c r="L199" s="101">
        <f t="shared" si="200"/>
        <v>0.4862768793</v>
      </c>
    </row>
    <row r="200">
      <c r="A200" s="57" t="s">
        <v>338</v>
      </c>
      <c r="B200" s="99">
        <v>2023.0</v>
      </c>
      <c r="C200" s="100">
        <v>18053.59</v>
      </c>
      <c r="D200" s="100">
        <v>208783.2</v>
      </c>
      <c r="E200" s="100">
        <v>26404.72</v>
      </c>
      <c r="F200" s="100">
        <v>50992.14</v>
      </c>
      <c r="G200" s="37">
        <f t="shared" si="2"/>
        <v>304233.65</v>
      </c>
      <c r="H200" s="101">
        <f t="shared" si="3"/>
        <v>0.0008192607548</v>
      </c>
      <c r="I200" s="101">
        <f t="shared" ref="I200:L200" si="201">C200/$G200</f>
        <v>0.05934120042</v>
      </c>
      <c r="J200" s="101">
        <f t="shared" si="201"/>
        <v>0.6862593931</v>
      </c>
      <c r="K200" s="101">
        <f t="shared" si="201"/>
        <v>0.08679092533</v>
      </c>
      <c r="L200" s="101">
        <f t="shared" si="201"/>
        <v>0.1676084812</v>
      </c>
    </row>
    <row r="201">
      <c r="A201" s="57" t="s">
        <v>339</v>
      </c>
      <c r="B201" s="99">
        <v>2023.0</v>
      </c>
      <c r="C201" s="100">
        <v>37816.56</v>
      </c>
      <c r="D201" s="100">
        <v>743164.4</v>
      </c>
      <c r="E201" s="100">
        <v>15991.79</v>
      </c>
      <c r="F201" s="100">
        <v>97957.17</v>
      </c>
      <c r="G201" s="37">
        <f t="shared" si="2"/>
        <v>894929.92</v>
      </c>
      <c r="H201" s="101">
        <f t="shared" si="3"/>
        <v>0.002409927244</v>
      </c>
      <c r="I201" s="101">
        <f t="shared" ref="I201:L201" si="202">C201/$G201</f>
        <v>0.04225644842</v>
      </c>
      <c r="J201" s="101">
        <f t="shared" si="202"/>
        <v>0.8304163079</v>
      </c>
      <c r="K201" s="101">
        <f t="shared" si="202"/>
        <v>0.01786932099</v>
      </c>
      <c r="L201" s="101">
        <f t="shared" si="202"/>
        <v>0.1094579227</v>
      </c>
    </row>
    <row r="202">
      <c r="C202" s="37"/>
      <c r="D202" s="37"/>
      <c r="E202" s="37"/>
      <c r="F202" s="37"/>
      <c r="G202" s="103">
        <f>SUM(G2:G201)</f>
        <v>371351426.6</v>
      </c>
      <c r="H202" s="101"/>
      <c r="I202" s="104">
        <f>IFERROR(__xludf.DUMMYFUNCTION("AVERAGE.WEIGHTED(I2:I201,$H$2:$H$201)"),0.05474142213174702)</f>
        <v>0.05474142213</v>
      </c>
      <c r="J202" s="104">
        <f>IFERROR(__xludf.DUMMYFUNCTION("AVERAGE.WEIGHTED(J2:J201,$H$2:$H$201)"),0.2147436816679707)</f>
        <v>0.2147436817</v>
      </c>
      <c r="K202" s="104">
        <f>IFERROR(__xludf.DUMMYFUNCTION("AVERAGE.WEIGHTED(K2:K201,$H$2:$H$201)"),0.3376136903115392)</f>
        <v>0.3376136903</v>
      </c>
      <c r="L202" s="104">
        <f>IFERROR(__xludf.DUMMYFUNCTION("AVERAGE.WEIGHTED(L2:L201,$H$2:$H$201)"),0.39290120588874305)</f>
        <v>0.3929012059</v>
      </c>
    </row>
  </sheetData>
  <hyperlinks>
    <hyperlink r:id="rId1" ref="N3"/>
  </hyperlinks>
  <drawing r:id="rId2"/>
</worksheet>
</file>