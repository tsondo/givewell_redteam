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EA" sheetId="1" r:id="rId5"/>
    <sheet state="visible" name="Calculations" sheetId="2" r:id="rId6"/>
    <sheet state="visible" name="Cost Estimates" sheetId="3" r:id="rId7"/>
  </sheets>
  <definedNames/>
  <calcPr/>
</workbook>
</file>

<file path=xl/sharedStrings.xml><?xml version="1.0" encoding="utf-8"?>
<sst xmlns="http://schemas.openxmlformats.org/spreadsheetml/2006/main" count="310" uniqueCount="208">
  <si>
    <t>Inputs</t>
  </si>
  <si>
    <t>Expected</t>
  </si>
  <si>
    <t>Description</t>
  </si>
  <si>
    <t>Source</t>
  </si>
  <si>
    <t>Costs</t>
  </si>
  <si>
    <t>Fixed Costs - Year 1</t>
  </si>
  <si>
    <t>Best guess (Held constant in all CEAs)</t>
  </si>
  <si>
    <t>-</t>
  </si>
  <si>
    <t xml:space="preserve">Fixed Costs - Scale </t>
  </si>
  <si>
    <t xml:space="preserve">Start up costs - FACILITY SET UP </t>
  </si>
  <si>
    <t xml:space="preserve">See Cost Estimates, for ~11,000 capacity </t>
  </si>
  <si>
    <t>Start up costs - TRAINING P/TREATMENT adj. for turnover</t>
  </si>
  <si>
    <t>See Cost Estimates</t>
  </si>
  <si>
    <t xml:space="preserve">Cost estimate p/treatment - In Hospital </t>
  </si>
  <si>
    <t xml:space="preserve">Population Data &amp; Other Baselines </t>
  </si>
  <si>
    <t xml:space="preserve">Karachi, Sindh, Pakistan </t>
  </si>
  <si>
    <t>Approximation of number of births in a large facility x year</t>
  </si>
  <si>
    <t>A large hospital has registered 7,700 births and I think there are larger ones</t>
  </si>
  <si>
    <t>Frequency of Stillbirths in a Tertiary Care Hospital, Karachi - PMC</t>
  </si>
  <si>
    <t>Lahore, Punjab, Pakistan</t>
  </si>
  <si>
    <t>Live births reported in 2018 in Sir Ganga Ram Hospital Lahore</t>
  </si>
  <si>
    <t>https://www.pc.gov.pk/uploads/crvs_reports/Vital_Statistics_Punja_3-11-20.pdf</t>
  </si>
  <si>
    <t xml:space="preserve">Peshawar, Khyber Pakhtunkhwa, Pakistan  </t>
  </si>
  <si>
    <t>36,460 deliveries were conducted over the 9 year period in the largest tertiary care hospital in Pakistan</t>
  </si>
  <si>
    <t>TRENDS IN MATERNAL MORTALITY IN TERTIARY CARE HOSPITAL IN PESHAWAR - PAKISTAN</t>
  </si>
  <si>
    <t xml:space="preserve">Quetta, Balochistan, Pakistan </t>
  </si>
  <si>
    <t xml:space="preserve"> 33,396 at Department of Obstetrics and Gynecology unit-4 Bolan Medical Complex Hospital, Quetta, from 1st January 2012 to 31st December, 2016,</t>
  </si>
  <si>
    <t>Trial of Labour after one Caesarean Section-Five year Experience in a Tertiary Care Hospital, Quetta | Journal of The Society of Obstetricians and Gynaecologists of Pakistan</t>
  </si>
  <si>
    <t>KC Treatment, Effects &amp; Low Birth Weight Risks</t>
  </si>
  <si>
    <t>Risk of Death for Low Birth Weight (neonatal)</t>
  </si>
  <si>
    <t>Average of estimates, see calculations</t>
  </si>
  <si>
    <t>Mortality Reduction effect due to KC (by discharge)</t>
  </si>
  <si>
    <t>Kangaroo mother care for preterm or low birth weight infants: A systematic review and meta-analysis</t>
  </si>
  <si>
    <t>Disability weight of being LBW</t>
  </si>
  <si>
    <t>Disability weight for "Low birth weight - All sequelae"</t>
  </si>
  <si>
    <t xml:space="preserve">GLOBAL BURDEN OF DISEASE 2004 UPDATE: DISABILITY WEIGHTS FOR DISEASES AND CONDITIONS </t>
  </si>
  <si>
    <t>Life expectancy in Pakistan</t>
  </si>
  <si>
    <t>Our World in Data, 2021</t>
  </si>
  <si>
    <t>Morbidity and developmental impact of LBW (DALYs)</t>
  </si>
  <si>
    <t xml:space="preserve">There is substantial evidence that KC has an effect on morbidity, see report </t>
  </si>
  <si>
    <t xml:space="preserve">2022 LSGH - 275 KMC Report DRAFT MF </t>
  </si>
  <si>
    <t>Morbidity effects</t>
  </si>
  <si>
    <t>As a best guess, we take the reduction in the risk of sepsis - "There was a 15% reduction in severe infection/sepsis at the latest follow-up (RR 0.85, 95% CI 0.79 to 0.92; 9 trials, 9847 infants; moderate certainty evidence)"</t>
  </si>
  <si>
    <t>https://www.medrxiv.org/content/10.1101/2022.09.14.22279053v1.full.pdf</t>
  </si>
  <si>
    <t xml:space="preserve">Expected KMC </t>
  </si>
  <si>
    <t>"70% of preterm and low-birthweight babies are estimated to be suitable for KMC"</t>
  </si>
  <si>
    <t>https://apps.who.int/iris/rest/bitstreams/1148441/retrieve</t>
  </si>
  <si>
    <t xml:space="preserve">Low Birth Weight Prevalence </t>
  </si>
  <si>
    <t>Constructed with Demographic and Health Survey Data, see Calculations</t>
  </si>
  <si>
    <t>Pakistan Demographic and Health Survey 2017-18 [FR354]</t>
  </si>
  <si>
    <t>Timing</t>
  </si>
  <si>
    <t>Time spent preparing intervention (year)</t>
  </si>
  <si>
    <t xml:space="preserve">Timing to scale in treatment (year) </t>
  </si>
  <si>
    <t>Number of years charity runs for if unsuccessful</t>
  </si>
  <si>
    <t>If after 3 years it looks unlikely the charity will be successful, we assume they will end the operation. Costs after this point will therefore be incurred probabilistically.</t>
  </si>
  <si>
    <t xml:space="preserve">% of population reached at scale </t>
  </si>
  <si>
    <t>Assumes ward can intake all potential patients</t>
  </si>
  <si>
    <t>Other Assumptions</t>
  </si>
  <si>
    <t>Discount rate</t>
  </si>
  <si>
    <t>DALY per neonate death averted</t>
  </si>
  <si>
    <t>Copy of 2017 GiveWell Cost-Effectiveness Analysis — "standard" moral weights version</t>
  </si>
  <si>
    <t>Probability of success - Chance charity is able to align stakeholders and set up wards</t>
  </si>
  <si>
    <t>This is a fairly complex intervention, so I expect it to be at the lower end</t>
  </si>
  <si>
    <t xml:space="preserve">Baseline Coverage of KC </t>
  </si>
  <si>
    <t>This is an extremely rough proxy, based on the report % of newborns who were put immediately after birth on the skin of the mother's chest</t>
  </si>
  <si>
    <t>Chance change would have happened anyways</t>
  </si>
  <si>
    <t>This is a subjective best guess</t>
  </si>
  <si>
    <t xml:space="preserve">Calculations - Karachi, Sindh, Pakistan </t>
  </si>
  <si>
    <t>Year</t>
  </si>
  <si>
    <t>Scale</t>
  </si>
  <si>
    <t xml:space="preserve">Fixed Costs </t>
  </si>
  <si>
    <t>Start Up costs</t>
  </si>
  <si>
    <t>Variable Costs</t>
  </si>
  <si>
    <t>Total Costs</t>
  </si>
  <si>
    <t>Number of treatments</t>
  </si>
  <si>
    <t>Deaths Averted</t>
  </si>
  <si>
    <t>DALYs Averted</t>
  </si>
  <si>
    <t>Calculations - Lahore, Punjab, Pakistan</t>
  </si>
  <si>
    <t xml:space="preserve">Calculations - Peshawar, Khyber Pakhtunkhwa, Pakistan  </t>
  </si>
  <si>
    <t xml:space="preserve">Calculations - Quetta, Balochistan, Pakistan </t>
  </si>
  <si>
    <t>Results</t>
  </si>
  <si>
    <t>Deaths averted</t>
  </si>
  <si>
    <t>DALYs averted</t>
  </si>
  <si>
    <t>Cost</t>
  </si>
  <si>
    <t xml:space="preserve">USD / DALY </t>
  </si>
  <si>
    <t>USD / DALY</t>
  </si>
  <si>
    <t>Average</t>
  </si>
  <si>
    <t>4 Center Program (Charity fixed costs only once)</t>
  </si>
  <si>
    <t>Total reach</t>
  </si>
  <si>
    <t>DALY/$1000</t>
  </si>
  <si>
    <t>Weighted Low Birth Weight Prevalence based on Demographic and Health Se</t>
  </si>
  <si>
    <t>Age of Mother</t>
  </si>
  <si>
    <t>Percentage less than 2.5 kg among weighed</t>
  </si>
  <si>
    <t>Number of births in sample</t>
  </si>
  <si>
    <t xml:space="preserve">&lt;20 </t>
  </si>
  <si>
    <t>20-34</t>
  </si>
  <si>
    <t>35-49</t>
  </si>
  <si>
    <t>Estimate</t>
  </si>
  <si>
    <t xml:space="preserve">Weighted Low Birth Weight Counterfactual Mortality </t>
  </si>
  <si>
    <t>Item</t>
  </si>
  <si>
    <t>Figure</t>
  </si>
  <si>
    <t>n</t>
  </si>
  <si>
    <t>Notes</t>
  </si>
  <si>
    <t>Estimate 1</t>
  </si>
  <si>
    <t>Periurban setting - Bangladesh / Retrospective Cohort Study (n=776)</t>
  </si>
  <si>
    <t>Neonatal mortality of low-birth-weight infants in Bangladesh. - PMC</t>
  </si>
  <si>
    <t>Estimate 2</t>
  </si>
  <si>
    <t>Community-based - South Ethiopia / Mixed-method (n=885)</t>
  </si>
  <si>
    <t>Magnitude and Risk of Dying among Low Birth Weight Neonates in Rural Ethiopia: A Community-Based Cross-Sectional Study - PMC</t>
  </si>
  <si>
    <t>Estimate 3</t>
  </si>
  <si>
    <t>Public Hospitals - Ethiopia / Prospective Cohort Study (n=216)</t>
  </si>
  <si>
    <t>The Kaplan Meier estimates of mortality and its predictors among newborns admitted with low birth weight at public hospitals in Ethiopia | PLOS ONE</t>
  </si>
  <si>
    <t xml:space="preserve">Estimate 4 </t>
  </si>
  <si>
    <t>n/a</t>
  </si>
  <si>
    <t>Meta-analysis</t>
  </si>
  <si>
    <t>https://academic.oup.com/trstmh/article-abstract/95/6/569/1905057?redirectedFrom=fulltext&amp;login=false#no-access-message</t>
  </si>
  <si>
    <t xml:space="preserve">Estimate </t>
  </si>
  <si>
    <t>(Weighted (by n) average of estimates 1-3 + Estimate 4) / 2</t>
  </si>
  <si>
    <t xml:space="preserve">Estimates </t>
  </si>
  <si>
    <t>1. r.i.c.e model // VARIABLE TREATMENT COSTS</t>
  </si>
  <si>
    <t xml:space="preserve">Source </t>
  </si>
  <si>
    <t>P/Treatment</t>
  </si>
  <si>
    <t>Uttar Pradesh, India</t>
  </si>
  <si>
    <t>Internal</t>
  </si>
  <si>
    <t>2. Incremental costs per treatment reported in India  // VARIABLE TREATMENT COSTS</t>
  </si>
  <si>
    <t>Average 3 Indian States</t>
  </si>
  <si>
    <t>Incremental costs of scaling up kangaroo mother care: Results from implementation research in Ethiopia and India - - Acta Paediatrica - Wiley Online Library</t>
  </si>
  <si>
    <t>3. Costs per treatment calculated from study // VARIABLE TREATMENT COSTS</t>
  </si>
  <si>
    <t xml:space="preserve">Salaries </t>
  </si>
  <si>
    <t>Other variable</t>
  </si>
  <si>
    <t>Number in treatment arm</t>
  </si>
  <si>
    <t>4. My estimate // VARIABLE TREATMENT COSTS</t>
  </si>
  <si>
    <t>Nurse Salary Estimates</t>
  </si>
  <si>
    <t>Estimate 1 PKR</t>
  </si>
  <si>
    <t xml:space="preserve">Average Annual Salary for Nurse 2-5 years experience </t>
  </si>
  <si>
    <t>Staff Nurse Average Salary in Pakistan 2023 - The Complete Guide</t>
  </si>
  <si>
    <t>Estimate 2 PKR</t>
  </si>
  <si>
    <t xml:space="preserve">Annual Salary for Assistant Nurse or Midwive </t>
  </si>
  <si>
    <t xml:space="preserve">LiST Costing Tool </t>
  </si>
  <si>
    <t>Average USD</t>
  </si>
  <si>
    <t>Manager Salary Estimates</t>
  </si>
  <si>
    <t xml:space="preserve">Average </t>
  </si>
  <si>
    <t>Nurse Average Salary in Pakistan 2023 - The Complete Guide</t>
  </si>
  <si>
    <t xml:space="preserve">Annual Salary for Nurse </t>
  </si>
  <si>
    <t>Estimate of nurse need and manager need per treatment</t>
  </si>
  <si>
    <t xml:space="preserve">Nurse ratio p/treatment </t>
  </si>
  <si>
    <t xml:space="preserve">r.i.c.e ratio is ~15 x ~540 treatments </t>
  </si>
  <si>
    <t>Manager ratio p/treatment</t>
  </si>
  <si>
    <t>r.i.c.e ratio is ~4 x ~540 treatments</t>
  </si>
  <si>
    <t>Assistant ratio/ptreatment</t>
  </si>
  <si>
    <t xml:space="preserve">r.i.c.e ratio is ~11 ~540 treatments. </t>
  </si>
  <si>
    <t xml:space="preserve">Variable costs p/treatment </t>
  </si>
  <si>
    <t>Additional consumables</t>
  </si>
  <si>
    <t xml:space="preserve">KMC garments (e.g.,cloth wraps) 2 USD + Other consumables 1 USD + Parent education literature 0.63 USD  </t>
  </si>
  <si>
    <t>The cost-savings of implementing kangaroo mother care in Nicaragua</t>
  </si>
  <si>
    <t>Treatment</t>
  </si>
  <si>
    <t>I assume 50% cost of nurse for assistant</t>
  </si>
  <si>
    <t>5. WHO Guideline breakdown - followed guidelines for assumed 100 treated // VARIABLE TREATMENT COSTS</t>
  </si>
  <si>
    <t xml:space="preserve">Beds needed p/100 treated (rounded) </t>
  </si>
  <si>
    <t xml:space="preserve">Expected KMC x (Average length of stay / 365) x 1.5 // 1.5 to account for fluctuations, according to document // Average length of stay is 6.61 days - average of three sources cited </t>
  </si>
  <si>
    <t>Safety, Effectiveness and Barriers to Follow-up Using an ‘Early Discharge’ Kangaroo Care Policy in a Resource Poor Setting</t>
  </si>
  <si>
    <t>Kangaroo care in pre-term or low birth weight babies in a postnatal ward</t>
  </si>
  <si>
    <t>Maternal experience of intermittent kangaroo mother care for late preterm infants: a mixed-methods study in four postnatal wards in China - PMC</t>
  </si>
  <si>
    <t>Number staff needed p/100 treated (rounded)</t>
  </si>
  <si>
    <t xml:space="preserve">Total beds needed / 8 x (# shifts/day) x (7/#days worked/week) // For a basic KMC ward assume 1 nurse or equivalent staff for 8–10 beds </t>
  </si>
  <si>
    <t xml:space="preserve">Staff cost per treated + Additional Consumables </t>
  </si>
  <si>
    <t>Costs of Nurse and Additional consumables from 4. My Estimate</t>
  </si>
  <si>
    <t>Final estimate // VARIABLE TREATMENT COSTS</t>
  </si>
  <si>
    <t xml:space="preserve">Total </t>
  </si>
  <si>
    <t>Number</t>
  </si>
  <si>
    <t>Weight</t>
  </si>
  <si>
    <t xml:space="preserve">Estimate 1 </t>
  </si>
  <si>
    <t xml:space="preserve">We think that this is likely to be the most accurate depiction of a programme like this. </t>
  </si>
  <si>
    <t xml:space="preserve">Estimate 2 </t>
  </si>
  <si>
    <t>Estimate 4</t>
  </si>
  <si>
    <t>Estimate 5</t>
  </si>
  <si>
    <t>Final</t>
  </si>
  <si>
    <t>1. Kangaroo Mothercare DIB - Cameroon // START UP COSTS</t>
  </si>
  <si>
    <t xml:space="preserve">Median Infrastructure Investment </t>
  </si>
  <si>
    <t>We believe that this median estimate may represent costs for a 400 bed hospital, but its a very rudimentary guess</t>
  </si>
  <si>
    <t>CAMEROON</t>
  </si>
  <si>
    <t>Average cost p/ clinician trained</t>
  </si>
  <si>
    <t>2. KC Scale up - NICARAGUA // START UP COSTS</t>
  </si>
  <si>
    <t xml:space="preserve">15-day training session at the regional KMC training center in Bogota, Colombia, for three health workers </t>
  </si>
  <si>
    <t xml:space="preserve">Furniture for counseling room </t>
  </si>
  <si>
    <t xml:space="preserve">Belts, clothing, and equipment for breastfeeding </t>
  </si>
  <si>
    <t xml:space="preserve">Durable medical equipment </t>
  </si>
  <si>
    <t xml:space="preserve">Workshop and other sessions to review/adapt tools </t>
  </si>
  <si>
    <t xml:space="preserve">Counseling literature </t>
  </si>
  <si>
    <t xml:space="preserve">Promotional materials </t>
  </si>
  <si>
    <t>Total</t>
  </si>
  <si>
    <t xml:space="preserve">11,000 birth hospital </t>
  </si>
  <si>
    <r>
      <rPr>
        <color rgb="FF1155CC"/>
        <u/>
      </rPr>
      <t>https://scielosp.org/pdf/rpsp/2013.v34n3/176-182/en</t>
    </r>
    <r>
      <rPr/>
      <t xml:space="preserve"> </t>
    </r>
  </si>
  <si>
    <t xml:space="preserve">Total w/out training </t>
  </si>
  <si>
    <t>We believe these training costs are inflated due to the lack of training materials, and need to travel to Colombia, we are quite certain these would not be that large</t>
  </si>
  <si>
    <r>
      <rPr>
        <color rgb="FF1155CC"/>
        <u/>
      </rPr>
      <t>https://scielosp.org/pdf/rpsp/2013.v34n3/176-182/en</t>
    </r>
    <r>
      <rPr/>
      <t xml:space="preserve"> </t>
    </r>
  </si>
  <si>
    <t>3. KC Scale up - GENERAL // START UP COSTS</t>
  </si>
  <si>
    <t>Training cost p/practitioner</t>
  </si>
  <si>
    <t xml:space="preserve">From expert interview w/ Lafiya Nigeria </t>
  </si>
  <si>
    <t>← Filip has $30 per person trained to deliver syphalis RDTs and Penecilin treatment. This is a bit simpler but a lot lower maybe you two should talk and make sure that estimates are comparable</t>
  </si>
  <si>
    <t>Final estimate // START UP COSTS</t>
  </si>
  <si>
    <t xml:space="preserve">Facility Set Up ~ 10.000 live birth capacity </t>
  </si>
  <si>
    <t xml:space="preserve">Weighted average of 1. Kangaroo Mothercare DIB - Cameroon // START UP COSTS &amp; 2. KC Scale up - NICARAGUA // START UP COSTS  - We put double the weight on the Nicaragua estimates because they are reported in a more credible manner (w/breakdowns) and we are more certain about the size of the hospital. </t>
  </si>
  <si>
    <t xml:space="preserve">Training costs p/expected treatment at scale </t>
  </si>
  <si>
    <t>Using 5. WHO Guideline breakdown - followed guidelines for assumed 100 treated // VARIABLE TREATMENT COSTS &amp; 3. KC Scale up - GENERAL // START UP COSTS</t>
  </si>
  <si>
    <t>Adjustment for turnover</t>
  </si>
  <si>
    <t xml:space="preserve">Cameroon study suggests a 7% turnover rate p/year for nurses - We assume 21 years at scale. </t>
  </si>
  <si>
    <t>Training cost p/treatement at scale adjusted p/turnover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</si>
</sst>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Sans-serif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sz val="11.0"/>
      <color theme="1"/>
      <name val="Arial"/>
    </font>
    <font>
      <strike/>
      <color rgb="FFFF0000"/>
      <name val="Arial"/>
      <scheme val="minor"/>
    </font>
    <font>
      <strike/>
      <color theme="1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b/>
      <color rgb="FF000000"/>
      <name val="Arial"/>
      <scheme val="minor"/>
    </font>
    <font>
      <u/>
      <color rgb="FF0000FF"/>
      <name val="&quot;Arial&quot;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readingOrder="0"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4" fontId="4" numFmtId="164" xfId="0" applyAlignment="1" applyFill="1" applyFont="1" applyNumberFormat="1">
      <alignment readingOrder="0"/>
    </xf>
    <xf borderId="0" fillId="5" fontId="4" numFmtId="16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5" fontId="4" numFmtId="164" xfId="0" applyFont="1" applyNumberFormat="1"/>
    <xf borderId="0" fillId="6" fontId="6" numFmtId="0" xfId="0" applyAlignment="1" applyFill="1" applyFont="1">
      <alignment readingOrder="0"/>
    </xf>
    <xf borderId="0" fillId="6" fontId="6" numFmtId="3" xfId="0" applyAlignment="1" applyFont="1" applyNumberFormat="1">
      <alignment readingOrder="0"/>
    </xf>
    <xf borderId="0" fillId="6" fontId="6" numFmtId="0" xfId="0" applyFont="1"/>
    <xf borderId="0" fillId="7" fontId="4" numFmtId="4" xfId="0" applyAlignment="1" applyFill="1" applyFont="1" applyNumberFormat="1">
      <alignment readingOrder="0"/>
    </xf>
    <xf borderId="0" fillId="0" fontId="7" numFmtId="0" xfId="0" applyAlignment="1" applyFont="1">
      <alignment readingOrder="0"/>
    </xf>
    <xf borderId="0" fillId="6" fontId="4" numFmtId="3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6" fontId="4" numFmtId="0" xfId="0" applyFont="1"/>
    <xf borderId="0" fillId="0" fontId="4" numFmtId="3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5" fontId="9" numFmtId="10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7" fontId="4" numFmtId="10" xfId="0" applyAlignment="1" applyFont="1" applyNumberFormat="1">
      <alignment readingOrder="0"/>
    </xf>
    <xf borderId="0" fillId="4" fontId="4" numFmtId="4" xfId="0" applyAlignment="1" applyFont="1" applyNumberFormat="1">
      <alignment readingOrder="0"/>
    </xf>
    <xf borderId="0" fillId="5" fontId="4" numFmtId="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3" fontId="12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4" numFmtId="9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4" fontId="4" numFmtId="10" xfId="0" applyAlignment="1" applyFont="1" applyNumberFormat="1">
      <alignment readingOrder="0"/>
    </xf>
    <xf borderId="0" fillId="0" fontId="4" numFmtId="164" xfId="0" applyFont="1" applyNumberFormat="1"/>
    <xf borderId="0" fillId="0" fontId="4" numFmtId="164" xfId="0" applyFont="1" applyNumberFormat="1"/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0" fontId="4" numFmtId="164" xfId="0" applyAlignment="1" applyFont="1" applyNumberFormat="1">
      <alignment readingOrder="0"/>
    </xf>
    <xf borderId="0" fillId="0" fontId="4" numFmtId="3" xfId="0" applyFont="1" applyNumberFormat="1"/>
    <xf borderId="0" fillId="6" fontId="4" numFmtId="4" xfId="0" applyFont="1" applyNumberFormat="1"/>
    <xf borderId="0" fillId="6" fontId="6" numFmtId="4" xfId="0" applyFont="1" applyNumberFormat="1"/>
    <xf borderId="0" fillId="6" fontId="15" numFmtId="0" xfId="0" applyAlignment="1" applyFont="1">
      <alignment readingOrder="0" vertical="bottom"/>
    </xf>
    <xf borderId="0" fillId="6" fontId="9" numFmtId="0" xfId="0" applyAlignment="1" applyFont="1">
      <alignment vertical="bottom"/>
    </xf>
    <xf borderId="0" fillId="0" fontId="9" numFmtId="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horizontal="right" vertical="bottom"/>
    </xf>
    <xf borderId="0" fillId="2" fontId="16" numFmtId="0" xfId="0" applyAlignment="1" applyFont="1">
      <alignment readingOrder="0"/>
    </xf>
    <xf borderId="0" fillId="2" fontId="16" numFmtId="0" xfId="0" applyFont="1"/>
    <xf borderId="0" fillId="0" fontId="6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6" numFmtId="10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16" numFmtId="0" xfId="0" applyFont="1"/>
    <xf borderId="0" fillId="0" fontId="4" numFmtId="164" xfId="0" applyAlignment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hsprogram.com/pubs/pdf/FR354/FR354.pdf" TargetMode="External"/><Relationship Id="rId10" Type="http://schemas.openxmlformats.org/officeDocument/2006/relationships/hyperlink" Target="https://apps.who.int/iris/rest/bitstreams/1148441/retrieve" TargetMode="External"/><Relationship Id="rId13" Type="http://schemas.openxmlformats.org/officeDocument/2006/relationships/hyperlink" Target="https://dhsprogram.com/pubs/pdf/FR354/FR354.pdf" TargetMode="External"/><Relationship Id="rId12" Type="http://schemas.openxmlformats.org/officeDocument/2006/relationships/hyperlink" Target="https://docs.google.com/spreadsheets/d/1xFvjzL8eM2Mg8yH9Jr3EJH1iE2ZedOEiNPKBCHgJJC4/edit" TargetMode="External"/><Relationship Id="rId1" Type="http://schemas.openxmlformats.org/officeDocument/2006/relationships/hyperlink" Target="https://www.ncbi.nlm.nih.gov/pmc/articles/PMC4795897/" TargetMode="External"/><Relationship Id="rId2" Type="http://schemas.openxmlformats.org/officeDocument/2006/relationships/hyperlink" Target="https://www.pc.gov.pk/uploads/crvs_reports/Vital_Statistics_Punja_3-11-20.pdf" TargetMode="External"/><Relationship Id="rId3" Type="http://schemas.openxmlformats.org/officeDocument/2006/relationships/hyperlink" Target="https://www.jpmi.org.pk/index.php/jpmi/article/view/1378" TargetMode="External"/><Relationship Id="rId4" Type="http://schemas.openxmlformats.org/officeDocument/2006/relationships/hyperlink" Target="http://jsogp.net/index.php/jsogp/article/view/297" TargetMode="External"/><Relationship Id="rId9" Type="http://schemas.openxmlformats.org/officeDocument/2006/relationships/hyperlink" Target="https://www.medrxiv.org/content/10.1101/2022.09.14.22279053v1.full.pdf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medrxiv.org/content/10.1101/2022.09.14.22279053v1.full.pdf" TargetMode="External"/><Relationship Id="rId6" Type="http://schemas.openxmlformats.org/officeDocument/2006/relationships/hyperlink" Target="https://files.givewell.org/files/DWDA%202009/Interventions/voluntary_male_medical_circumcision/World_Health_Organization-Disability_Weights_for_Diseases_and_Conditions_2004.pdf" TargetMode="External"/><Relationship Id="rId7" Type="http://schemas.openxmlformats.org/officeDocument/2006/relationships/hyperlink" Target="https://ourworldindata.org/grapher/life-expectancy?tab=table" TargetMode="External"/><Relationship Id="rId8" Type="http://schemas.openxmlformats.org/officeDocument/2006/relationships/hyperlink" Target="https://docs.google.com/document/d/1KIamOeKd0cWE6_EV7yGZAeMyNP2ZNJw6B_FJaCIhlV4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pmc/articles/PMC2566474/" TargetMode="External"/><Relationship Id="rId2" Type="http://schemas.openxmlformats.org/officeDocument/2006/relationships/hyperlink" Target="https://www.ncbi.nlm.nih.gov/pmc/articles/PMC6541952/" TargetMode="External"/><Relationship Id="rId3" Type="http://schemas.openxmlformats.org/officeDocument/2006/relationships/hyperlink" Target="https://journals.plos.org/plosone/article?id=10.1371/journal.pone.0238629" TargetMode="External"/><Relationship Id="rId4" Type="http://schemas.openxmlformats.org/officeDocument/2006/relationships/hyperlink" Target="https://academic.oup.com/trstmh/article-abstract/95/6/569/1905057?redirectedFrom=fulltext&amp;login=false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golab.bsg.ox.ac.uk/documents/cameroon_kmc_dib_-_lessons_from_delivery_for_scale.pdf" TargetMode="External"/><Relationship Id="rId10" Type="http://schemas.openxmlformats.org/officeDocument/2006/relationships/hyperlink" Target="https://apps.who.int/iris/rest/bitstreams/1148441/retrieve" TargetMode="External"/><Relationship Id="rId13" Type="http://schemas.openxmlformats.org/officeDocument/2006/relationships/hyperlink" Target="https://scielosp.org/pdf/rpsp/2013.v34n3/176-182/en" TargetMode="External"/><Relationship Id="rId12" Type="http://schemas.openxmlformats.org/officeDocument/2006/relationships/hyperlink" Target="https://golab.bsg.ox.ac.uk/documents/cameroon_kmc_dib_-_lessons_from_delivery_for_scale.pdf" TargetMode="External"/><Relationship Id="rId1" Type="http://schemas.openxmlformats.org/officeDocument/2006/relationships/hyperlink" Target="https://onlinelibrary.wiley.com/doi/full/10.1111/apa.16490" TargetMode="External"/><Relationship Id="rId2" Type="http://schemas.openxmlformats.org/officeDocument/2006/relationships/hyperlink" Target="https://onlinelibrary.wiley.com/doi/full/10.1111/apa.16490" TargetMode="External"/><Relationship Id="rId3" Type="http://schemas.openxmlformats.org/officeDocument/2006/relationships/hyperlink" Target="http://www.salaryexplorer.com/salary-survey.php?loc=164&amp;loctype=1&amp;job=874&amp;jobtype=3" TargetMode="External"/><Relationship Id="rId4" Type="http://schemas.openxmlformats.org/officeDocument/2006/relationships/hyperlink" Target="http://www.salaryexplorer.com/salary-survey.php?loc=164&amp;loctype=1&amp;job=865&amp;jobtype=3" TargetMode="External"/><Relationship Id="rId9" Type="http://schemas.openxmlformats.org/officeDocument/2006/relationships/hyperlink" Target="https://www.google.com/url?q=https://www.ncbi.nlm.nih.gov/pmc/articles/PMC8424842/&amp;sa=D&amp;source=editors&amp;ust=1675692717841988&amp;usg=AOvVaw0xnKA8c9A7qkMopyRNH--P" TargetMode="External"/><Relationship Id="rId15" Type="http://schemas.openxmlformats.org/officeDocument/2006/relationships/hyperlink" Target="https://golab.bsg.ox.ac.uk/documents/cameroon_kmc_dib_-_lessons_from_delivery_for_scale.pdf" TargetMode="External"/><Relationship Id="rId14" Type="http://schemas.openxmlformats.org/officeDocument/2006/relationships/hyperlink" Target="https://scielosp.org/pdf/rpsp/2013.v34n3/176-182/en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scielosp.org/pdf/rpsp/2013.v34n3/176-182/en" TargetMode="External"/><Relationship Id="rId6" Type="http://schemas.openxmlformats.org/officeDocument/2006/relationships/hyperlink" Target="https://apps.who.int/iris/rest/bitstreams/1148441/retrieve" TargetMode="External"/><Relationship Id="rId7" Type="http://schemas.openxmlformats.org/officeDocument/2006/relationships/hyperlink" Target="https://www.google.com/url?q=https://academic.oup.com/tropej/article/55/4/244/1673100%2324575277&amp;sa=D&amp;source=editors&amp;ust=1675692717841574&amp;usg=AOvVaw2PEsICro1j7gQR6kKtGq2j" TargetMode="External"/><Relationship Id="rId8" Type="http://schemas.openxmlformats.org/officeDocument/2006/relationships/hyperlink" Target="https://www.google.com/url?q=https://www.mtw.nhs.uk/wp-content/uploads/2019/10/Kangaroo-care-in-pre-term-or-low.pdf&amp;sa=D&amp;source=editors&amp;ust=1675692717841779&amp;usg=AOvVaw3yZsI3STQhaXerp30k3M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5.0"/>
    <col customWidth="1" min="2" max="2" width="11.25"/>
    <col customWidth="1" min="3" max="4" width="14.75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B3" s="5">
        <v>125000.0</v>
      </c>
      <c r="C3" s="4" t="s">
        <v>6</v>
      </c>
      <c r="G3" s="4" t="s">
        <v>7</v>
      </c>
    </row>
    <row r="4">
      <c r="A4" s="4" t="s">
        <v>8</v>
      </c>
      <c r="B4" s="5">
        <v>225000.0</v>
      </c>
      <c r="C4" s="4" t="s">
        <v>6</v>
      </c>
      <c r="G4" s="4" t="s">
        <v>7</v>
      </c>
    </row>
    <row r="5">
      <c r="A5" s="4" t="s">
        <v>9</v>
      </c>
      <c r="B5" s="6">
        <f>'Cost Estimates'!B62</f>
        <v>10683.33333</v>
      </c>
      <c r="C5" s="4" t="s">
        <v>10</v>
      </c>
      <c r="G5" s="4" t="s">
        <v>7</v>
      </c>
      <c r="H5" s="7"/>
    </row>
    <row r="6">
      <c r="A6" s="4" t="s">
        <v>11</v>
      </c>
      <c r="B6" s="8">
        <f>'Cost Estimates'!B65</f>
        <v>3.381</v>
      </c>
      <c r="C6" s="4" t="s">
        <v>12</v>
      </c>
      <c r="G6" s="4" t="s">
        <v>7</v>
      </c>
      <c r="H6" s="7"/>
    </row>
    <row r="7">
      <c r="A7" s="4" t="s">
        <v>13</v>
      </c>
      <c r="B7" s="8">
        <f>'Cost Estimates'!B44</f>
        <v>264.4636548</v>
      </c>
      <c r="C7" s="4" t="s">
        <v>12</v>
      </c>
      <c r="G7" s="4" t="s">
        <v>7</v>
      </c>
    </row>
    <row r="8">
      <c r="A8" s="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15</v>
      </c>
      <c r="B9" s="10"/>
      <c r="C9" s="11"/>
      <c r="D9" s="11"/>
      <c r="E9" s="11"/>
      <c r="F9" s="11"/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 t="s">
        <v>16</v>
      </c>
      <c r="B10" s="12">
        <v>7700.0</v>
      </c>
      <c r="C10" s="4" t="s">
        <v>17</v>
      </c>
      <c r="G10" s="13" t="s">
        <v>18</v>
      </c>
    </row>
    <row r="11">
      <c r="A11" s="9" t="s">
        <v>19</v>
      </c>
      <c r="B11" s="14"/>
      <c r="C11" s="15"/>
      <c r="D11" s="16"/>
      <c r="E11" s="16"/>
      <c r="F11" s="16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4" t="s">
        <v>16</v>
      </c>
      <c r="B12" s="12">
        <v>15606.0</v>
      </c>
      <c r="C12" s="4" t="s">
        <v>20</v>
      </c>
      <c r="G12" s="13" t="s">
        <v>21</v>
      </c>
    </row>
    <row r="13">
      <c r="A13" s="9" t="s">
        <v>22</v>
      </c>
      <c r="B13" s="14"/>
      <c r="C13" s="15"/>
      <c r="D13" s="16"/>
      <c r="E13" s="16"/>
      <c r="F13" s="16"/>
      <c r="G13" s="1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4" t="s">
        <v>16</v>
      </c>
      <c r="B14" s="12">
        <f>ROUND(36460/9,0)</f>
        <v>4051</v>
      </c>
      <c r="C14" s="4" t="s">
        <v>23</v>
      </c>
      <c r="G14" s="13" t="s">
        <v>24</v>
      </c>
    </row>
    <row r="15">
      <c r="A15" s="9" t="s">
        <v>25</v>
      </c>
      <c r="B15" s="14"/>
      <c r="C15" s="15"/>
      <c r="D15" s="16"/>
      <c r="E15" s="16"/>
      <c r="F15" s="16"/>
      <c r="G15" s="15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4" t="s">
        <v>16</v>
      </c>
      <c r="B16" s="12">
        <f>round(33396/5,0)</f>
        <v>6679</v>
      </c>
      <c r="C16" s="17" t="s">
        <v>26</v>
      </c>
      <c r="D16" s="18"/>
      <c r="G16" s="13" t="s">
        <v>27</v>
      </c>
    </row>
    <row r="17">
      <c r="A17" s="2" t="s">
        <v>28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29</v>
      </c>
      <c r="B18" s="19">
        <f>Calculations!B13</f>
        <v>0.134436601</v>
      </c>
      <c r="C18" s="4" t="s">
        <v>30</v>
      </c>
      <c r="G18" s="20" t="s">
        <v>7</v>
      </c>
    </row>
    <row r="19" ht="17.25" customHeight="1">
      <c r="A19" s="4" t="s">
        <v>31</v>
      </c>
      <c r="B19" s="21">
        <v>0.32</v>
      </c>
      <c r="C19" s="4"/>
      <c r="G19" s="13" t="s">
        <v>32</v>
      </c>
    </row>
    <row r="20">
      <c r="A20" s="4" t="s">
        <v>33</v>
      </c>
      <c r="B20" s="22">
        <v>0.106</v>
      </c>
      <c r="C20" s="4" t="s">
        <v>34</v>
      </c>
      <c r="G20" s="13" t="s">
        <v>35</v>
      </c>
    </row>
    <row r="21">
      <c r="A21" s="4" t="s">
        <v>36</v>
      </c>
      <c r="B21" s="22">
        <v>66.1</v>
      </c>
      <c r="C21" s="4"/>
      <c r="G21" s="13" t="s">
        <v>37</v>
      </c>
    </row>
    <row r="22">
      <c r="A22" s="4" t="s">
        <v>38</v>
      </c>
      <c r="B22" s="23">
        <f>B20*B21</f>
        <v>7.0066</v>
      </c>
      <c r="C22" s="4" t="s">
        <v>39</v>
      </c>
      <c r="G22" s="24" t="s">
        <v>40</v>
      </c>
    </row>
    <row r="23">
      <c r="A23" s="4" t="s">
        <v>41</v>
      </c>
      <c r="B23" s="21">
        <v>0.15</v>
      </c>
      <c r="C23" s="4" t="s">
        <v>42</v>
      </c>
      <c r="G23" s="25" t="s">
        <v>43</v>
      </c>
    </row>
    <row r="24">
      <c r="A24" s="4" t="s">
        <v>44</v>
      </c>
      <c r="B24" s="21">
        <v>0.7</v>
      </c>
      <c r="C24" s="26" t="s">
        <v>45</v>
      </c>
      <c r="G24" s="13" t="s">
        <v>46</v>
      </c>
    </row>
    <row r="25">
      <c r="A25" s="4" t="s">
        <v>47</v>
      </c>
      <c r="B25" s="21">
        <f>Calculations!B$6</f>
        <v>0.2239784639</v>
      </c>
      <c r="C25" s="20" t="s">
        <v>48</v>
      </c>
      <c r="G25" s="13" t="s">
        <v>49</v>
      </c>
    </row>
    <row r="26">
      <c r="A26" s="2" t="s">
        <v>50</v>
      </c>
      <c r="B26" s="2"/>
      <c r="C26" s="2"/>
      <c r="D26" s="2"/>
      <c r="E26" s="2"/>
      <c r="F26" s="2"/>
      <c r="G26" s="2"/>
      <c r="H26" s="27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51</v>
      </c>
      <c r="B27" s="29">
        <v>1.0</v>
      </c>
      <c r="G27" s="4" t="s">
        <v>7</v>
      </c>
    </row>
    <row r="28" ht="16.5" customHeight="1">
      <c r="A28" s="4" t="s">
        <v>52</v>
      </c>
      <c r="B28" s="29">
        <v>4.0</v>
      </c>
      <c r="C28" s="4"/>
      <c r="G28" s="4"/>
      <c r="H28" s="30"/>
      <c r="I28" s="31"/>
      <c r="J28" s="30"/>
      <c r="K28" s="31"/>
    </row>
    <row r="29" ht="16.5" customHeight="1">
      <c r="A29" s="4" t="s">
        <v>53</v>
      </c>
      <c r="B29" s="29">
        <v>3.0</v>
      </c>
      <c r="C29" s="4" t="s">
        <v>54</v>
      </c>
      <c r="G29" s="4"/>
      <c r="H29" s="30"/>
      <c r="I29" s="31"/>
      <c r="J29" s="30"/>
      <c r="K29" s="31"/>
    </row>
    <row r="30" ht="16.5" customHeight="1">
      <c r="A30" s="4" t="s">
        <v>55</v>
      </c>
      <c r="B30" s="32">
        <v>1.0</v>
      </c>
      <c r="C30" s="4" t="s">
        <v>56</v>
      </c>
      <c r="G30" s="4"/>
      <c r="H30" s="30"/>
      <c r="I30" s="31"/>
      <c r="J30" s="30"/>
      <c r="K30" s="31"/>
    </row>
    <row r="31">
      <c r="A31" s="2" t="s">
        <v>57</v>
      </c>
      <c r="B31" s="2"/>
      <c r="C31" s="2"/>
      <c r="D31" s="2"/>
      <c r="E31" s="2"/>
      <c r="F31" s="2"/>
      <c r="G31" s="2"/>
      <c r="H31" s="27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3" t="s">
        <v>58</v>
      </c>
      <c r="B32" s="34">
        <v>0.04</v>
      </c>
      <c r="G32" s="4" t="s">
        <v>7</v>
      </c>
    </row>
    <row r="33">
      <c r="A33" s="4" t="s">
        <v>59</v>
      </c>
      <c r="B33" s="22">
        <v>33.07</v>
      </c>
      <c r="G33" s="24" t="s">
        <v>60</v>
      </c>
      <c r="H33" s="7"/>
    </row>
    <row r="34">
      <c r="A34" s="4" t="s">
        <v>61</v>
      </c>
      <c r="B34" s="32">
        <v>0.65</v>
      </c>
      <c r="C34" s="4" t="s">
        <v>62</v>
      </c>
      <c r="G34" s="4" t="s">
        <v>7</v>
      </c>
    </row>
    <row r="35">
      <c r="A35" s="4" t="s">
        <v>63</v>
      </c>
      <c r="B35" s="32">
        <v>0.11</v>
      </c>
      <c r="C35" s="4" t="s">
        <v>64</v>
      </c>
      <c r="G35" s="13" t="s">
        <v>49</v>
      </c>
    </row>
    <row r="36">
      <c r="A36" s="4" t="s">
        <v>65</v>
      </c>
      <c r="B36" s="32">
        <v>0.1</v>
      </c>
      <c r="C36" s="4" t="s">
        <v>66</v>
      </c>
      <c r="G36" s="20" t="s">
        <v>7</v>
      </c>
    </row>
    <row r="37">
      <c r="A37" s="2" t="s">
        <v>67</v>
      </c>
      <c r="B37" s="2"/>
      <c r="C37" s="2"/>
      <c r="D37" s="2"/>
      <c r="E37" s="2"/>
      <c r="F37" s="2"/>
      <c r="G37" s="2"/>
      <c r="H37" s="2"/>
      <c r="I37" s="2"/>
      <c r="J37" s="2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68</v>
      </c>
      <c r="B38" s="4">
        <v>1.0</v>
      </c>
      <c r="C38" s="4">
        <v>2.0</v>
      </c>
      <c r="D38" s="4">
        <v>3.0</v>
      </c>
      <c r="E38" s="4">
        <v>4.0</v>
      </c>
      <c r="F38" s="4">
        <v>5.0</v>
      </c>
      <c r="G38" s="4">
        <v>6.0</v>
      </c>
      <c r="H38" s="4">
        <v>7.0</v>
      </c>
      <c r="I38" s="4">
        <v>8.0</v>
      </c>
      <c r="J38" s="4">
        <v>9.0</v>
      </c>
      <c r="K38" s="4">
        <v>10.0</v>
      </c>
      <c r="L38" s="4">
        <v>11.0</v>
      </c>
      <c r="M38" s="4">
        <v>12.0</v>
      </c>
      <c r="N38" s="4">
        <v>13.0</v>
      </c>
      <c r="O38" s="4">
        <v>14.0</v>
      </c>
      <c r="P38" s="4">
        <v>15.0</v>
      </c>
      <c r="Q38" s="4">
        <v>16.0</v>
      </c>
      <c r="R38" s="4">
        <v>17.0</v>
      </c>
      <c r="S38" s="4">
        <v>18.0</v>
      </c>
      <c r="T38" s="4">
        <v>19.0</v>
      </c>
      <c r="U38" s="4">
        <v>20.0</v>
      </c>
      <c r="V38" s="4">
        <v>21.0</v>
      </c>
      <c r="W38" s="4">
        <v>22.0</v>
      </c>
      <c r="X38" s="4">
        <v>23.0</v>
      </c>
      <c r="Y38" s="4">
        <v>24.0</v>
      </c>
      <c r="Z38" s="4">
        <v>25.0</v>
      </c>
    </row>
    <row r="39">
      <c r="A39" s="4" t="s">
        <v>69</v>
      </c>
      <c r="B39" s="4">
        <f t="shared" ref="B39:Z39" si="1">MIN((B38-$B$27)/$B$28,1)</f>
        <v>0</v>
      </c>
      <c r="C39" s="4">
        <f t="shared" si="1"/>
        <v>0.25</v>
      </c>
      <c r="D39" s="4">
        <f t="shared" si="1"/>
        <v>0.5</v>
      </c>
      <c r="E39" s="4">
        <f t="shared" si="1"/>
        <v>0.75</v>
      </c>
      <c r="F39" s="4">
        <f t="shared" si="1"/>
        <v>1</v>
      </c>
      <c r="G39" s="4">
        <f t="shared" si="1"/>
        <v>1</v>
      </c>
      <c r="H39" s="4">
        <f t="shared" si="1"/>
        <v>1</v>
      </c>
      <c r="I39" s="4">
        <f t="shared" si="1"/>
        <v>1</v>
      </c>
      <c r="J39" s="4">
        <f t="shared" si="1"/>
        <v>1</v>
      </c>
      <c r="K39" s="4">
        <f t="shared" si="1"/>
        <v>1</v>
      </c>
      <c r="L39" s="4">
        <f t="shared" si="1"/>
        <v>1</v>
      </c>
      <c r="M39" s="4">
        <f t="shared" si="1"/>
        <v>1</v>
      </c>
      <c r="N39" s="4">
        <f t="shared" si="1"/>
        <v>1</v>
      </c>
      <c r="O39" s="4">
        <f t="shared" si="1"/>
        <v>1</v>
      </c>
      <c r="P39" s="4">
        <f t="shared" si="1"/>
        <v>1</v>
      </c>
      <c r="Q39" s="4">
        <f t="shared" si="1"/>
        <v>1</v>
      </c>
      <c r="R39" s="4">
        <f t="shared" si="1"/>
        <v>1</v>
      </c>
      <c r="S39" s="4">
        <f t="shared" si="1"/>
        <v>1</v>
      </c>
      <c r="T39" s="4">
        <f t="shared" si="1"/>
        <v>1</v>
      </c>
      <c r="U39" s="4">
        <f t="shared" si="1"/>
        <v>1</v>
      </c>
      <c r="V39" s="4">
        <f t="shared" si="1"/>
        <v>1</v>
      </c>
      <c r="W39" s="4">
        <f t="shared" si="1"/>
        <v>1</v>
      </c>
      <c r="X39" s="4">
        <f t="shared" si="1"/>
        <v>1</v>
      </c>
      <c r="Y39" s="4">
        <f t="shared" si="1"/>
        <v>1</v>
      </c>
      <c r="Z39" s="4">
        <f t="shared" si="1"/>
        <v>1</v>
      </c>
    </row>
    <row r="40">
      <c r="A40" s="4" t="s">
        <v>70</v>
      </c>
      <c r="B40" s="35">
        <f>B3</f>
        <v>125000</v>
      </c>
      <c r="C40" s="35">
        <f t="shared" ref="C40:D40" si="2">$B4</f>
        <v>225000</v>
      </c>
      <c r="D40" s="35">
        <f t="shared" si="2"/>
        <v>225000</v>
      </c>
      <c r="E40" s="35">
        <f t="shared" ref="E40:Z40" si="3">$B4*$B$34</f>
        <v>146250</v>
      </c>
      <c r="F40" s="35">
        <f t="shared" si="3"/>
        <v>146250</v>
      </c>
      <c r="G40" s="35">
        <f t="shared" si="3"/>
        <v>146250</v>
      </c>
      <c r="H40" s="35">
        <f t="shared" si="3"/>
        <v>146250</v>
      </c>
      <c r="I40" s="35">
        <f t="shared" si="3"/>
        <v>146250</v>
      </c>
      <c r="J40" s="35">
        <f t="shared" si="3"/>
        <v>146250</v>
      </c>
      <c r="K40" s="35">
        <f t="shared" si="3"/>
        <v>146250</v>
      </c>
      <c r="L40" s="35">
        <f t="shared" si="3"/>
        <v>146250</v>
      </c>
      <c r="M40" s="35">
        <f t="shared" si="3"/>
        <v>146250</v>
      </c>
      <c r="N40" s="35">
        <f t="shared" si="3"/>
        <v>146250</v>
      </c>
      <c r="O40" s="35">
        <f t="shared" si="3"/>
        <v>146250</v>
      </c>
      <c r="P40" s="35">
        <f t="shared" si="3"/>
        <v>146250</v>
      </c>
      <c r="Q40" s="35">
        <f t="shared" si="3"/>
        <v>146250</v>
      </c>
      <c r="R40" s="35">
        <f t="shared" si="3"/>
        <v>146250</v>
      </c>
      <c r="S40" s="35">
        <f t="shared" si="3"/>
        <v>146250</v>
      </c>
      <c r="T40" s="35">
        <f t="shared" si="3"/>
        <v>146250</v>
      </c>
      <c r="U40" s="35">
        <f t="shared" si="3"/>
        <v>146250</v>
      </c>
      <c r="V40" s="35">
        <f t="shared" si="3"/>
        <v>146250</v>
      </c>
      <c r="W40" s="35">
        <f t="shared" si="3"/>
        <v>146250</v>
      </c>
      <c r="X40" s="35">
        <f t="shared" si="3"/>
        <v>146250</v>
      </c>
      <c r="Y40" s="35">
        <f t="shared" si="3"/>
        <v>146250</v>
      </c>
      <c r="Z40" s="35">
        <f t="shared" si="3"/>
        <v>146250</v>
      </c>
    </row>
    <row r="41">
      <c r="A41" s="4" t="s">
        <v>71</v>
      </c>
      <c r="B41" s="36">
        <f>$B$34*(($B5*B10)/11000+($B10*$B25*$B30*1*$B$24)*$B$6)</f>
        <v>7514.016268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</row>
    <row r="42">
      <c r="A42" s="4" t="s">
        <v>72</v>
      </c>
      <c r="B42" s="35">
        <f t="shared" ref="B42:D42" si="4">$B7*B44</f>
        <v>0</v>
      </c>
      <c r="C42" s="35">
        <f t="shared" si="4"/>
        <v>51881.72266</v>
      </c>
      <c r="D42" s="35">
        <f t="shared" si="4"/>
        <v>103763.4453</v>
      </c>
      <c r="E42" s="35">
        <f t="shared" ref="E42:Z42" si="5">$B7*E44*$B$34</f>
        <v>101169.3592</v>
      </c>
      <c r="F42" s="35">
        <f t="shared" si="5"/>
        <v>134892.4789</v>
      </c>
      <c r="G42" s="35">
        <f t="shared" si="5"/>
        <v>134892.4789</v>
      </c>
      <c r="H42" s="35">
        <f t="shared" si="5"/>
        <v>134892.4789</v>
      </c>
      <c r="I42" s="35">
        <f t="shared" si="5"/>
        <v>134892.4789</v>
      </c>
      <c r="J42" s="35">
        <f t="shared" si="5"/>
        <v>134892.4789</v>
      </c>
      <c r="K42" s="35">
        <f t="shared" si="5"/>
        <v>134892.4789</v>
      </c>
      <c r="L42" s="35">
        <f t="shared" si="5"/>
        <v>134892.4789</v>
      </c>
      <c r="M42" s="35">
        <f t="shared" si="5"/>
        <v>134892.4789</v>
      </c>
      <c r="N42" s="35">
        <f t="shared" si="5"/>
        <v>134892.4789</v>
      </c>
      <c r="O42" s="35">
        <f t="shared" si="5"/>
        <v>134892.4789</v>
      </c>
      <c r="P42" s="35">
        <f t="shared" si="5"/>
        <v>134892.4789</v>
      </c>
      <c r="Q42" s="35">
        <f t="shared" si="5"/>
        <v>134892.4789</v>
      </c>
      <c r="R42" s="35">
        <f t="shared" si="5"/>
        <v>134892.4789</v>
      </c>
      <c r="S42" s="35">
        <f t="shared" si="5"/>
        <v>134892.4789</v>
      </c>
      <c r="T42" s="35">
        <f t="shared" si="5"/>
        <v>134892.4789</v>
      </c>
      <c r="U42" s="35">
        <f t="shared" si="5"/>
        <v>134892.4789</v>
      </c>
      <c r="V42" s="35">
        <f t="shared" si="5"/>
        <v>134892.4789</v>
      </c>
      <c r="W42" s="35">
        <f t="shared" si="5"/>
        <v>134892.4789</v>
      </c>
      <c r="X42" s="35">
        <f t="shared" si="5"/>
        <v>134892.4789</v>
      </c>
      <c r="Y42" s="35">
        <f t="shared" si="5"/>
        <v>134892.4789</v>
      </c>
      <c r="Z42" s="35">
        <f t="shared" si="5"/>
        <v>134892.4789</v>
      </c>
    </row>
    <row r="43">
      <c r="A43" s="4" t="s">
        <v>73</v>
      </c>
      <c r="B43" s="36">
        <f t="shared" ref="B43:Z43" si="6">SUM(B40:B42)</f>
        <v>132514.0163</v>
      </c>
      <c r="C43" s="36">
        <f t="shared" si="6"/>
        <v>276881.7227</v>
      </c>
      <c r="D43" s="36">
        <f t="shared" si="6"/>
        <v>328763.4453</v>
      </c>
      <c r="E43" s="36">
        <f t="shared" si="6"/>
        <v>247419.3592</v>
      </c>
      <c r="F43" s="36">
        <f t="shared" si="6"/>
        <v>281142.4789</v>
      </c>
      <c r="G43" s="36">
        <f t="shared" si="6"/>
        <v>281142.4789</v>
      </c>
      <c r="H43" s="36">
        <f t="shared" si="6"/>
        <v>281142.4789</v>
      </c>
      <c r="I43" s="36">
        <f t="shared" si="6"/>
        <v>281142.4789</v>
      </c>
      <c r="J43" s="36">
        <f t="shared" si="6"/>
        <v>281142.4789</v>
      </c>
      <c r="K43" s="36">
        <f t="shared" si="6"/>
        <v>281142.4789</v>
      </c>
      <c r="L43" s="36">
        <f t="shared" si="6"/>
        <v>281142.4789</v>
      </c>
      <c r="M43" s="36">
        <f t="shared" si="6"/>
        <v>281142.4789</v>
      </c>
      <c r="N43" s="36">
        <f t="shared" si="6"/>
        <v>281142.4789</v>
      </c>
      <c r="O43" s="36">
        <f t="shared" si="6"/>
        <v>281142.4789</v>
      </c>
      <c r="P43" s="36">
        <f t="shared" si="6"/>
        <v>281142.4789</v>
      </c>
      <c r="Q43" s="36">
        <f t="shared" si="6"/>
        <v>281142.4789</v>
      </c>
      <c r="R43" s="36">
        <f t="shared" si="6"/>
        <v>281142.4789</v>
      </c>
      <c r="S43" s="36">
        <f t="shared" si="6"/>
        <v>281142.4789</v>
      </c>
      <c r="T43" s="36">
        <f t="shared" si="6"/>
        <v>281142.4789</v>
      </c>
      <c r="U43" s="36">
        <f t="shared" si="6"/>
        <v>281142.4789</v>
      </c>
      <c r="V43" s="36">
        <f t="shared" si="6"/>
        <v>281142.4789</v>
      </c>
      <c r="W43" s="36">
        <f t="shared" si="6"/>
        <v>281142.4789</v>
      </c>
      <c r="X43" s="36">
        <f t="shared" si="6"/>
        <v>281142.4789</v>
      </c>
      <c r="Y43" s="36">
        <f t="shared" si="6"/>
        <v>281142.4789</v>
      </c>
      <c r="Z43" s="36">
        <f t="shared" si="6"/>
        <v>281142.4789</v>
      </c>
    </row>
    <row r="44">
      <c r="A44" s="37" t="s">
        <v>74</v>
      </c>
      <c r="B44" s="38">
        <f t="shared" ref="B44:Z44" si="7">$B10*$B25*$B30*B39*$B$34*$B$24</f>
        <v>0</v>
      </c>
      <c r="C44" s="38">
        <f t="shared" si="7"/>
        <v>196.1771371</v>
      </c>
      <c r="D44" s="38">
        <f t="shared" si="7"/>
        <v>392.3542741</v>
      </c>
      <c r="E44" s="38">
        <f t="shared" si="7"/>
        <v>588.5314112</v>
      </c>
      <c r="F44" s="38">
        <f t="shared" si="7"/>
        <v>784.7085482</v>
      </c>
      <c r="G44" s="38">
        <f t="shared" si="7"/>
        <v>784.7085482</v>
      </c>
      <c r="H44" s="38">
        <f t="shared" si="7"/>
        <v>784.7085482</v>
      </c>
      <c r="I44" s="38">
        <f t="shared" si="7"/>
        <v>784.7085482</v>
      </c>
      <c r="J44" s="38">
        <f t="shared" si="7"/>
        <v>784.7085482</v>
      </c>
      <c r="K44" s="38">
        <f t="shared" si="7"/>
        <v>784.7085482</v>
      </c>
      <c r="L44" s="38">
        <f t="shared" si="7"/>
        <v>784.7085482</v>
      </c>
      <c r="M44" s="38">
        <f t="shared" si="7"/>
        <v>784.7085482</v>
      </c>
      <c r="N44" s="38">
        <f t="shared" si="7"/>
        <v>784.7085482</v>
      </c>
      <c r="O44" s="38">
        <f t="shared" si="7"/>
        <v>784.7085482</v>
      </c>
      <c r="P44" s="38">
        <f t="shared" si="7"/>
        <v>784.7085482</v>
      </c>
      <c r="Q44" s="38">
        <f t="shared" si="7"/>
        <v>784.7085482</v>
      </c>
      <c r="R44" s="38">
        <f t="shared" si="7"/>
        <v>784.7085482</v>
      </c>
      <c r="S44" s="38">
        <f t="shared" si="7"/>
        <v>784.7085482</v>
      </c>
      <c r="T44" s="38">
        <f t="shared" si="7"/>
        <v>784.7085482</v>
      </c>
      <c r="U44" s="38">
        <f t="shared" si="7"/>
        <v>784.7085482</v>
      </c>
      <c r="V44" s="38">
        <f t="shared" si="7"/>
        <v>784.7085482</v>
      </c>
      <c r="W44" s="38">
        <f t="shared" si="7"/>
        <v>784.7085482</v>
      </c>
      <c r="X44" s="38">
        <f t="shared" si="7"/>
        <v>784.7085482</v>
      </c>
      <c r="Y44" s="38">
        <f t="shared" si="7"/>
        <v>784.7085482</v>
      </c>
      <c r="Z44" s="38">
        <f t="shared" si="7"/>
        <v>784.7085482</v>
      </c>
    </row>
    <row r="45">
      <c r="A45" s="37" t="s">
        <v>75</v>
      </c>
      <c r="B45" s="38">
        <f t="shared" ref="B45:Z45" si="8">B44*(1-$B36)*$B18*$B19</f>
        <v>0</v>
      </c>
      <c r="C45" s="38">
        <f t="shared" si="8"/>
        <v>7.595535598</v>
      </c>
      <c r="D45" s="38">
        <f t="shared" si="8"/>
        <v>15.1910712</v>
      </c>
      <c r="E45" s="38">
        <f t="shared" si="8"/>
        <v>22.78660679</v>
      </c>
      <c r="F45" s="38">
        <f t="shared" si="8"/>
        <v>30.38214239</v>
      </c>
      <c r="G45" s="38">
        <f t="shared" si="8"/>
        <v>30.38214239</v>
      </c>
      <c r="H45" s="38">
        <f t="shared" si="8"/>
        <v>30.38214239</v>
      </c>
      <c r="I45" s="38">
        <f t="shared" si="8"/>
        <v>30.38214239</v>
      </c>
      <c r="J45" s="38">
        <f t="shared" si="8"/>
        <v>30.38214239</v>
      </c>
      <c r="K45" s="38">
        <f t="shared" si="8"/>
        <v>30.38214239</v>
      </c>
      <c r="L45" s="38">
        <f t="shared" si="8"/>
        <v>30.38214239</v>
      </c>
      <c r="M45" s="38">
        <f t="shared" si="8"/>
        <v>30.38214239</v>
      </c>
      <c r="N45" s="38">
        <f t="shared" si="8"/>
        <v>30.38214239</v>
      </c>
      <c r="O45" s="38">
        <f t="shared" si="8"/>
        <v>30.38214239</v>
      </c>
      <c r="P45" s="38">
        <f t="shared" si="8"/>
        <v>30.38214239</v>
      </c>
      <c r="Q45" s="38">
        <f t="shared" si="8"/>
        <v>30.38214239</v>
      </c>
      <c r="R45" s="38">
        <f t="shared" si="8"/>
        <v>30.38214239</v>
      </c>
      <c r="S45" s="38">
        <f t="shared" si="8"/>
        <v>30.38214239</v>
      </c>
      <c r="T45" s="38">
        <f t="shared" si="8"/>
        <v>30.38214239</v>
      </c>
      <c r="U45" s="38">
        <f t="shared" si="8"/>
        <v>30.38214239</v>
      </c>
      <c r="V45" s="38">
        <f t="shared" si="8"/>
        <v>30.38214239</v>
      </c>
      <c r="W45" s="38">
        <f t="shared" si="8"/>
        <v>30.38214239</v>
      </c>
      <c r="X45" s="38">
        <f t="shared" si="8"/>
        <v>30.38214239</v>
      </c>
      <c r="Y45" s="38">
        <f t="shared" si="8"/>
        <v>30.38214239</v>
      </c>
      <c r="Z45" s="38">
        <f t="shared" si="8"/>
        <v>30.38214239</v>
      </c>
    </row>
    <row r="46">
      <c r="A46" s="37" t="s">
        <v>76</v>
      </c>
      <c r="B46" s="38">
        <f t="shared" ref="B46:Z46" si="9">(B45*$B33)+(B44*$B22*$B$23)</f>
        <v>0</v>
      </c>
      <c r="C46" s="38">
        <f t="shared" si="9"/>
        <v>457.3645715</v>
      </c>
      <c r="D46" s="38">
        <f t="shared" si="9"/>
        <v>914.729143</v>
      </c>
      <c r="E46" s="38">
        <f t="shared" si="9"/>
        <v>1372.093714</v>
      </c>
      <c r="F46" s="38">
        <f t="shared" si="9"/>
        <v>1829.458286</v>
      </c>
      <c r="G46" s="38">
        <f t="shared" si="9"/>
        <v>1829.458286</v>
      </c>
      <c r="H46" s="38">
        <f t="shared" si="9"/>
        <v>1829.458286</v>
      </c>
      <c r="I46" s="38">
        <f t="shared" si="9"/>
        <v>1829.458286</v>
      </c>
      <c r="J46" s="38">
        <f t="shared" si="9"/>
        <v>1829.458286</v>
      </c>
      <c r="K46" s="38">
        <f t="shared" si="9"/>
        <v>1829.458286</v>
      </c>
      <c r="L46" s="38">
        <f t="shared" si="9"/>
        <v>1829.458286</v>
      </c>
      <c r="M46" s="38">
        <f t="shared" si="9"/>
        <v>1829.458286</v>
      </c>
      <c r="N46" s="38">
        <f t="shared" si="9"/>
        <v>1829.458286</v>
      </c>
      <c r="O46" s="38">
        <f t="shared" si="9"/>
        <v>1829.458286</v>
      </c>
      <c r="P46" s="38">
        <f t="shared" si="9"/>
        <v>1829.458286</v>
      </c>
      <c r="Q46" s="38">
        <f t="shared" si="9"/>
        <v>1829.458286</v>
      </c>
      <c r="R46" s="38">
        <f t="shared" si="9"/>
        <v>1829.458286</v>
      </c>
      <c r="S46" s="38">
        <f t="shared" si="9"/>
        <v>1829.458286</v>
      </c>
      <c r="T46" s="38">
        <f t="shared" si="9"/>
        <v>1829.458286</v>
      </c>
      <c r="U46" s="38">
        <f t="shared" si="9"/>
        <v>1829.458286</v>
      </c>
      <c r="V46" s="38">
        <f t="shared" si="9"/>
        <v>1829.458286</v>
      </c>
      <c r="W46" s="38">
        <f t="shared" si="9"/>
        <v>1829.458286</v>
      </c>
      <c r="X46" s="38">
        <f t="shared" si="9"/>
        <v>1829.458286</v>
      </c>
      <c r="Y46" s="38">
        <f t="shared" si="9"/>
        <v>1829.458286</v>
      </c>
      <c r="Z46" s="38">
        <f t="shared" si="9"/>
        <v>1829.458286</v>
      </c>
    </row>
    <row r="47">
      <c r="A47" s="2" t="s">
        <v>77</v>
      </c>
      <c r="B47" s="2"/>
      <c r="C47" s="2"/>
      <c r="D47" s="2"/>
      <c r="E47" s="2"/>
      <c r="F47" s="2"/>
      <c r="G47" s="2"/>
      <c r="H47" s="2"/>
      <c r="I47" s="2"/>
      <c r="J47" s="2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68</v>
      </c>
      <c r="B48" s="4">
        <v>1.0</v>
      </c>
      <c r="C48" s="4">
        <v>2.0</v>
      </c>
      <c r="D48" s="4">
        <v>3.0</v>
      </c>
      <c r="E48" s="4">
        <v>4.0</v>
      </c>
      <c r="F48" s="4">
        <v>5.0</v>
      </c>
      <c r="G48" s="4">
        <v>6.0</v>
      </c>
      <c r="H48" s="4">
        <v>7.0</v>
      </c>
      <c r="I48" s="4">
        <v>8.0</v>
      </c>
      <c r="J48" s="4">
        <v>9.0</v>
      </c>
      <c r="K48" s="4">
        <v>10.0</v>
      </c>
      <c r="L48" s="4">
        <v>11.0</v>
      </c>
      <c r="M48" s="4">
        <v>12.0</v>
      </c>
      <c r="N48" s="4">
        <v>13.0</v>
      </c>
      <c r="O48" s="4">
        <v>14.0</v>
      </c>
      <c r="P48" s="4">
        <v>15.0</v>
      </c>
      <c r="Q48" s="4">
        <v>16.0</v>
      </c>
      <c r="R48" s="4">
        <v>17.0</v>
      </c>
      <c r="S48" s="4">
        <v>18.0</v>
      </c>
      <c r="T48" s="4">
        <v>19.0</v>
      </c>
      <c r="U48" s="4">
        <v>20.0</v>
      </c>
      <c r="V48" s="4">
        <v>21.0</v>
      </c>
      <c r="W48" s="4">
        <v>22.0</v>
      </c>
      <c r="X48" s="4">
        <v>23.0</v>
      </c>
      <c r="Y48" s="4">
        <v>24.0</v>
      </c>
      <c r="Z48" s="4">
        <v>25.0</v>
      </c>
    </row>
    <row r="49">
      <c r="A49" s="4" t="s">
        <v>69</v>
      </c>
      <c r="B49" s="4">
        <f t="shared" ref="B49:Z49" si="10">MIN((B48-$B$27)/$B$28,1)</f>
        <v>0</v>
      </c>
      <c r="C49" s="4">
        <f t="shared" si="10"/>
        <v>0.25</v>
      </c>
      <c r="D49" s="4">
        <f t="shared" si="10"/>
        <v>0.5</v>
      </c>
      <c r="E49" s="4">
        <f t="shared" si="10"/>
        <v>0.75</v>
      </c>
      <c r="F49" s="4">
        <f t="shared" si="10"/>
        <v>1</v>
      </c>
      <c r="G49" s="4">
        <f t="shared" si="10"/>
        <v>1</v>
      </c>
      <c r="H49" s="4">
        <f t="shared" si="10"/>
        <v>1</v>
      </c>
      <c r="I49" s="4">
        <f t="shared" si="10"/>
        <v>1</v>
      </c>
      <c r="J49" s="4">
        <f t="shared" si="10"/>
        <v>1</v>
      </c>
      <c r="K49" s="4">
        <f t="shared" si="10"/>
        <v>1</v>
      </c>
      <c r="L49" s="4">
        <f t="shared" si="10"/>
        <v>1</v>
      </c>
      <c r="M49" s="4">
        <f t="shared" si="10"/>
        <v>1</v>
      </c>
      <c r="N49" s="4">
        <f t="shared" si="10"/>
        <v>1</v>
      </c>
      <c r="O49" s="4">
        <f t="shared" si="10"/>
        <v>1</v>
      </c>
      <c r="P49" s="4">
        <f t="shared" si="10"/>
        <v>1</v>
      </c>
      <c r="Q49" s="4">
        <f t="shared" si="10"/>
        <v>1</v>
      </c>
      <c r="R49" s="4">
        <f t="shared" si="10"/>
        <v>1</v>
      </c>
      <c r="S49" s="4">
        <f t="shared" si="10"/>
        <v>1</v>
      </c>
      <c r="T49" s="4">
        <f t="shared" si="10"/>
        <v>1</v>
      </c>
      <c r="U49" s="4">
        <f t="shared" si="10"/>
        <v>1</v>
      </c>
      <c r="V49" s="4">
        <f t="shared" si="10"/>
        <v>1</v>
      </c>
      <c r="W49" s="4">
        <f t="shared" si="10"/>
        <v>1</v>
      </c>
      <c r="X49" s="4">
        <f t="shared" si="10"/>
        <v>1</v>
      </c>
      <c r="Y49" s="4">
        <f t="shared" si="10"/>
        <v>1</v>
      </c>
      <c r="Z49" s="4">
        <f t="shared" si="10"/>
        <v>1</v>
      </c>
    </row>
    <row r="50">
      <c r="A50" s="4" t="s">
        <v>70</v>
      </c>
      <c r="B50" s="35">
        <f>$B3</f>
        <v>125000</v>
      </c>
      <c r="C50" s="35">
        <f t="shared" ref="C50:D50" si="11">$B4</f>
        <v>225000</v>
      </c>
      <c r="D50" s="35">
        <f t="shared" si="11"/>
        <v>225000</v>
      </c>
      <c r="E50" s="35">
        <f t="shared" ref="E50:Z50" si="12">$B4*$B$34</f>
        <v>146250</v>
      </c>
      <c r="F50" s="35">
        <f t="shared" si="12"/>
        <v>146250</v>
      </c>
      <c r="G50" s="35">
        <f t="shared" si="12"/>
        <v>146250</v>
      </c>
      <c r="H50" s="35">
        <f t="shared" si="12"/>
        <v>146250</v>
      </c>
      <c r="I50" s="35">
        <f t="shared" si="12"/>
        <v>146250</v>
      </c>
      <c r="J50" s="35">
        <f t="shared" si="12"/>
        <v>146250</v>
      </c>
      <c r="K50" s="35">
        <f t="shared" si="12"/>
        <v>146250</v>
      </c>
      <c r="L50" s="35">
        <f t="shared" si="12"/>
        <v>146250</v>
      </c>
      <c r="M50" s="35">
        <f t="shared" si="12"/>
        <v>146250</v>
      </c>
      <c r="N50" s="35">
        <f t="shared" si="12"/>
        <v>146250</v>
      </c>
      <c r="O50" s="35">
        <f t="shared" si="12"/>
        <v>146250</v>
      </c>
      <c r="P50" s="35">
        <f t="shared" si="12"/>
        <v>146250</v>
      </c>
      <c r="Q50" s="35">
        <f t="shared" si="12"/>
        <v>146250</v>
      </c>
      <c r="R50" s="35">
        <f t="shared" si="12"/>
        <v>146250</v>
      </c>
      <c r="S50" s="35">
        <f t="shared" si="12"/>
        <v>146250</v>
      </c>
      <c r="T50" s="35">
        <f t="shared" si="12"/>
        <v>146250</v>
      </c>
      <c r="U50" s="35">
        <f t="shared" si="12"/>
        <v>146250</v>
      </c>
      <c r="V50" s="35">
        <f t="shared" si="12"/>
        <v>146250</v>
      </c>
      <c r="W50" s="35">
        <f t="shared" si="12"/>
        <v>146250</v>
      </c>
      <c r="X50" s="35">
        <f t="shared" si="12"/>
        <v>146250</v>
      </c>
      <c r="Y50" s="35">
        <f t="shared" si="12"/>
        <v>146250</v>
      </c>
      <c r="Z50" s="35">
        <f t="shared" si="12"/>
        <v>146250</v>
      </c>
    </row>
    <row r="51">
      <c r="A51" s="4" t="s">
        <v>71</v>
      </c>
      <c r="B51" s="36">
        <f>$B$34*(($B5*B12)/11000+($B12*$B25*$B30*1*$B$24)*$B$6)</f>
        <v>15229.05687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</row>
    <row r="52">
      <c r="A52" s="39" t="s">
        <v>72</v>
      </c>
      <c r="B52" s="36">
        <f t="shared" ref="B52:D52" si="13">$B7*B54</f>
        <v>0</v>
      </c>
      <c r="C52" s="36">
        <f t="shared" si="13"/>
        <v>105151.4498</v>
      </c>
      <c r="D52" s="36">
        <f t="shared" si="13"/>
        <v>210302.8997</v>
      </c>
      <c r="E52" s="36">
        <f t="shared" ref="E52:Z52" si="14">$B7*E54*$B$34</f>
        <v>205045.3272</v>
      </c>
      <c r="F52" s="36">
        <f t="shared" si="14"/>
        <v>273393.7696</v>
      </c>
      <c r="G52" s="36">
        <f t="shared" si="14"/>
        <v>273393.7696</v>
      </c>
      <c r="H52" s="36">
        <f t="shared" si="14"/>
        <v>273393.7696</v>
      </c>
      <c r="I52" s="36">
        <f t="shared" si="14"/>
        <v>273393.7696</v>
      </c>
      <c r="J52" s="36">
        <f t="shared" si="14"/>
        <v>273393.7696</v>
      </c>
      <c r="K52" s="36">
        <f t="shared" si="14"/>
        <v>273393.7696</v>
      </c>
      <c r="L52" s="36">
        <f t="shared" si="14"/>
        <v>273393.7696</v>
      </c>
      <c r="M52" s="36">
        <f t="shared" si="14"/>
        <v>273393.7696</v>
      </c>
      <c r="N52" s="36">
        <f t="shared" si="14"/>
        <v>273393.7696</v>
      </c>
      <c r="O52" s="36">
        <f t="shared" si="14"/>
        <v>273393.7696</v>
      </c>
      <c r="P52" s="36">
        <f t="shared" si="14"/>
        <v>273393.7696</v>
      </c>
      <c r="Q52" s="36">
        <f t="shared" si="14"/>
        <v>273393.7696</v>
      </c>
      <c r="R52" s="36">
        <f t="shared" si="14"/>
        <v>273393.7696</v>
      </c>
      <c r="S52" s="36">
        <f t="shared" si="14"/>
        <v>273393.7696</v>
      </c>
      <c r="T52" s="36">
        <f t="shared" si="14"/>
        <v>273393.7696</v>
      </c>
      <c r="U52" s="36">
        <f t="shared" si="14"/>
        <v>273393.7696</v>
      </c>
      <c r="V52" s="36">
        <f t="shared" si="14"/>
        <v>273393.7696</v>
      </c>
      <c r="W52" s="36">
        <f t="shared" si="14"/>
        <v>273393.7696</v>
      </c>
      <c r="X52" s="36">
        <f t="shared" si="14"/>
        <v>273393.7696</v>
      </c>
      <c r="Y52" s="36">
        <f t="shared" si="14"/>
        <v>273393.7696</v>
      </c>
      <c r="Z52" s="36">
        <f t="shared" si="14"/>
        <v>273393.7696</v>
      </c>
    </row>
    <row r="53">
      <c r="A53" s="4" t="s">
        <v>73</v>
      </c>
      <c r="B53" s="36">
        <f t="shared" ref="B53:Z53" si="15">SUM(B50:B52)</f>
        <v>140229.0569</v>
      </c>
      <c r="C53" s="36">
        <f t="shared" si="15"/>
        <v>330151.4498</v>
      </c>
      <c r="D53" s="36">
        <f t="shared" si="15"/>
        <v>435302.8997</v>
      </c>
      <c r="E53" s="36">
        <f t="shared" si="15"/>
        <v>351295.3272</v>
      </c>
      <c r="F53" s="36">
        <f t="shared" si="15"/>
        <v>419643.7696</v>
      </c>
      <c r="G53" s="36">
        <f t="shared" si="15"/>
        <v>419643.7696</v>
      </c>
      <c r="H53" s="36">
        <f t="shared" si="15"/>
        <v>419643.7696</v>
      </c>
      <c r="I53" s="36">
        <f t="shared" si="15"/>
        <v>419643.7696</v>
      </c>
      <c r="J53" s="36">
        <f t="shared" si="15"/>
        <v>419643.7696</v>
      </c>
      <c r="K53" s="36">
        <f t="shared" si="15"/>
        <v>419643.7696</v>
      </c>
      <c r="L53" s="36">
        <f t="shared" si="15"/>
        <v>419643.7696</v>
      </c>
      <c r="M53" s="36">
        <f t="shared" si="15"/>
        <v>419643.7696</v>
      </c>
      <c r="N53" s="36">
        <f t="shared" si="15"/>
        <v>419643.7696</v>
      </c>
      <c r="O53" s="36">
        <f t="shared" si="15"/>
        <v>419643.7696</v>
      </c>
      <c r="P53" s="36">
        <f t="shared" si="15"/>
        <v>419643.7696</v>
      </c>
      <c r="Q53" s="36">
        <f t="shared" si="15"/>
        <v>419643.7696</v>
      </c>
      <c r="R53" s="36">
        <f t="shared" si="15"/>
        <v>419643.7696</v>
      </c>
      <c r="S53" s="36">
        <f t="shared" si="15"/>
        <v>419643.7696</v>
      </c>
      <c r="T53" s="36">
        <f t="shared" si="15"/>
        <v>419643.7696</v>
      </c>
      <c r="U53" s="36">
        <f t="shared" si="15"/>
        <v>419643.7696</v>
      </c>
      <c r="V53" s="36">
        <f t="shared" si="15"/>
        <v>419643.7696</v>
      </c>
      <c r="W53" s="36">
        <f t="shared" si="15"/>
        <v>419643.7696</v>
      </c>
      <c r="X53" s="36">
        <f t="shared" si="15"/>
        <v>419643.7696</v>
      </c>
      <c r="Y53" s="36">
        <f t="shared" si="15"/>
        <v>419643.7696</v>
      </c>
      <c r="Z53" s="36">
        <f t="shared" si="15"/>
        <v>419643.7696</v>
      </c>
    </row>
    <row r="54">
      <c r="A54" s="4" t="s">
        <v>74</v>
      </c>
      <c r="B54" s="40">
        <f t="shared" ref="B54:Z54" si="16">$B12*$B25*$B30*B49*$B$34*$B$24</f>
        <v>0</v>
      </c>
      <c r="C54" s="40">
        <f t="shared" si="16"/>
        <v>397.6026495</v>
      </c>
      <c r="D54" s="40">
        <f t="shared" si="16"/>
        <v>795.2052989</v>
      </c>
      <c r="E54" s="40">
        <f t="shared" si="16"/>
        <v>1192.807948</v>
      </c>
      <c r="F54" s="40">
        <f t="shared" si="16"/>
        <v>1590.410598</v>
      </c>
      <c r="G54" s="40">
        <f t="shared" si="16"/>
        <v>1590.410598</v>
      </c>
      <c r="H54" s="40">
        <f t="shared" si="16"/>
        <v>1590.410598</v>
      </c>
      <c r="I54" s="40">
        <f t="shared" si="16"/>
        <v>1590.410598</v>
      </c>
      <c r="J54" s="40">
        <f t="shared" si="16"/>
        <v>1590.410598</v>
      </c>
      <c r="K54" s="40">
        <f t="shared" si="16"/>
        <v>1590.410598</v>
      </c>
      <c r="L54" s="40">
        <f t="shared" si="16"/>
        <v>1590.410598</v>
      </c>
      <c r="M54" s="40">
        <f t="shared" si="16"/>
        <v>1590.410598</v>
      </c>
      <c r="N54" s="40">
        <f t="shared" si="16"/>
        <v>1590.410598</v>
      </c>
      <c r="O54" s="40">
        <f t="shared" si="16"/>
        <v>1590.410598</v>
      </c>
      <c r="P54" s="40">
        <f t="shared" si="16"/>
        <v>1590.410598</v>
      </c>
      <c r="Q54" s="40">
        <f t="shared" si="16"/>
        <v>1590.410598</v>
      </c>
      <c r="R54" s="40">
        <f t="shared" si="16"/>
        <v>1590.410598</v>
      </c>
      <c r="S54" s="40">
        <f t="shared" si="16"/>
        <v>1590.410598</v>
      </c>
      <c r="T54" s="40">
        <f t="shared" si="16"/>
        <v>1590.410598</v>
      </c>
      <c r="U54" s="40">
        <f t="shared" si="16"/>
        <v>1590.410598</v>
      </c>
      <c r="V54" s="40">
        <f t="shared" si="16"/>
        <v>1590.410598</v>
      </c>
      <c r="W54" s="40">
        <f t="shared" si="16"/>
        <v>1590.410598</v>
      </c>
      <c r="X54" s="40">
        <f t="shared" si="16"/>
        <v>1590.410598</v>
      </c>
      <c r="Y54" s="40">
        <f t="shared" si="16"/>
        <v>1590.410598</v>
      </c>
      <c r="Z54" s="40">
        <f t="shared" si="16"/>
        <v>1590.410598</v>
      </c>
    </row>
    <row r="55">
      <c r="A55" s="4" t="s">
        <v>75</v>
      </c>
      <c r="B55" s="38">
        <f t="shared" ref="B55:Z55" si="17">B54*(1-$B36)*$B18*$B19</f>
        <v>0</v>
      </c>
      <c r="C55" s="38">
        <f t="shared" si="17"/>
        <v>15.39427643</v>
      </c>
      <c r="D55" s="38">
        <f t="shared" si="17"/>
        <v>30.78855287</v>
      </c>
      <c r="E55" s="38">
        <f t="shared" si="17"/>
        <v>46.1828293</v>
      </c>
      <c r="F55" s="38">
        <f t="shared" si="17"/>
        <v>61.57710573</v>
      </c>
      <c r="G55" s="38">
        <f t="shared" si="17"/>
        <v>61.57710573</v>
      </c>
      <c r="H55" s="38">
        <f t="shared" si="17"/>
        <v>61.57710573</v>
      </c>
      <c r="I55" s="38">
        <f t="shared" si="17"/>
        <v>61.57710573</v>
      </c>
      <c r="J55" s="38">
        <f t="shared" si="17"/>
        <v>61.57710573</v>
      </c>
      <c r="K55" s="38">
        <f t="shared" si="17"/>
        <v>61.57710573</v>
      </c>
      <c r="L55" s="38">
        <f t="shared" si="17"/>
        <v>61.57710573</v>
      </c>
      <c r="M55" s="38">
        <f t="shared" si="17"/>
        <v>61.57710573</v>
      </c>
      <c r="N55" s="38">
        <f t="shared" si="17"/>
        <v>61.57710573</v>
      </c>
      <c r="O55" s="38">
        <f t="shared" si="17"/>
        <v>61.57710573</v>
      </c>
      <c r="P55" s="38">
        <f t="shared" si="17"/>
        <v>61.57710573</v>
      </c>
      <c r="Q55" s="38">
        <f t="shared" si="17"/>
        <v>61.57710573</v>
      </c>
      <c r="R55" s="38">
        <f t="shared" si="17"/>
        <v>61.57710573</v>
      </c>
      <c r="S55" s="38">
        <f t="shared" si="17"/>
        <v>61.57710573</v>
      </c>
      <c r="T55" s="38">
        <f t="shared" si="17"/>
        <v>61.57710573</v>
      </c>
      <c r="U55" s="38">
        <f t="shared" si="17"/>
        <v>61.57710573</v>
      </c>
      <c r="V55" s="38">
        <f t="shared" si="17"/>
        <v>61.57710573</v>
      </c>
      <c r="W55" s="38">
        <f t="shared" si="17"/>
        <v>61.57710573</v>
      </c>
      <c r="X55" s="38">
        <f t="shared" si="17"/>
        <v>61.57710573</v>
      </c>
      <c r="Y55" s="38">
        <f t="shared" si="17"/>
        <v>61.57710573</v>
      </c>
      <c r="Z55" s="38">
        <f t="shared" si="17"/>
        <v>61.57710573</v>
      </c>
    </row>
    <row r="56">
      <c r="A56" s="4" t="s">
        <v>76</v>
      </c>
      <c r="B56" s="38">
        <f t="shared" ref="B56:Z56" si="18">(B55*$B33)+(B54*$B22*$B$23)</f>
        <v>0</v>
      </c>
      <c r="C56" s="38">
        <f t="shared" si="18"/>
        <v>926.9651302</v>
      </c>
      <c r="D56" s="38">
        <f t="shared" si="18"/>
        <v>1853.93026</v>
      </c>
      <c r="E56" s="38">
        <f t="shared" si="18"/>
        <v>2780.895391</v>
      </c>
      <c r="F56" s="38">
        <f t="shared" si="18"/>
        <v>3707.860521</v>
      </c>
      <c r="G56" s="38">
        <f t="shared" si="18"/>
        <v>3707.860521</v>
      </c>
      <c r="H56" s="38">
        <f t="shared" si="18"/>
        <v>3707.860521</v>
      </c>
      <c r="I56" s="38">
        <f t="shared" si="18"/>
        <v>3707.860521</v>
      </c>
      <c r="J56" s="38">
        <f t="shared" si="18"/>
        <v>3707.860521</v>
      </c>
      <c r="K56" s="38">
        <f t="shared" si="18"/>
        <v>3707.860521</v>
      </c>
      <c r="L56" s="38">
        <f t="shared" si="18"/>
        <v>3707.860521</v>
      </c>
      <c r="M56" s="38">
        <f t="shared" si="18"/>
        <v>3707.860521</v>
      </c>
      <c r="N56" s="38">
        <f t="shared" si="18"/>
        <v>3707.860521</v>
      </c>
      <c r="O56" s="38">
        <f t="shared" si="18"/>
        <v>3707.860521</v>
      </c>
      <c r="P56" s="38">
        <f t="shared" si="18"/>
        <v>3707.860521</v>
      </c>
      <c r="Q56" s="38">
        <f t="shared" si="18"/>
        <v>3707.860521</v>
      </c>
      <c r="R56" s="38">
        <f t="shared" si="18"/>
        <v>3707.860521</v>
      </c>
      <c r="S56" s="38">
        <f t="shared" si="18"/>
        <v>3707.860521</v>
      </c>
      <c r="T56" s="38">
        <f t="shared" si="18"/>
        <v>3707.860521</v>
      </c>
      <c r="U56" s="38">
        <f t="shared" si="18"/>
        <v>3707.860521</v>
      </c>
      <c r="V56" s="38">
        <f t="shared" si="18"/>
        <v>3707.860521</v>
      </c>
      <c r="W56" s="38">
        <f t="shared" si="18"/>
        <v>3707.860521</v>
      </c>
      <c r="X56" s="38">
        <f t="shared" si="18"/>
        <v>3707.860521</v>
      </c>
      <c r="Y56" s="38">
        <f t="shared" si="18"/>
        <v>3707.860521</v>
      </c>
      <c r="Z56" s="38">
        <f t="shared" si="18"/>
        <v>3707.860521</v>
      </c>
    </row>
    <row r="57">
      <c r="A57" s="2" t="s">
        <v>78</v>
      </c>
      <c r="B57" s="2"/>
      <c r="C57" s="2"/>
      <c r="D57" s="2"/>
      <c r="E57" s="2"/>
      <c r="F57" s="2"/>
      <c r="G57" s="2"/>
      <c r="H57" s="2"/>
      <c r="I57" s="2"/>
      <c r="J57" s="2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68</v>
      </c>
      <c r="B58" s="4">
        <v>1.0</v>
      </c>
      <c r="C58" s="4">
        <v>2.0</v>
      </c>
      <c r="D58" s="4">
        <v>3.0</v>
      </c>
      <c r="E58" s="4">
        <v>4.0</v>
      </c>
      <c r="F58" s="4">
        <v>5.0</v>
      </c>
      <c r="G58" s="4">
        <v>6.0</v>
      </c>
      <c r="H58" s="4">
        <v>7.0</v>
      </c>
      <c r="I58" s="4">
        <v>8.0</v>
      </c>
      <c r="J58" s="4">
        <v>9.0</v>
      </c>
      <c r="K58" s="4">
        <v>10.0</v>
      </c>
      <c r="L58" s="4">
        <v>11.0</v>
      </c>
      <c r="M58" s="4">
        <v>12.0</v>
      </c>
      <c r="N58" s="4">
        <v>13.0</v>
      </c>
      <c r="O58" s="4">
        <v>14.0</v>
      </c>
      <c r="P58" s="4">
        <v>15.0</v>
      </c>
      <c r="Q58" s="4">
        <v>16.0</v>
      </c>
      <c r="R58" s="4">
        <v>17.0</v>
      </c>
      <c r="S58" s="4">
        <v>18.0</v>
      </c>
      <c r="T58" s="4">
        <v>19.0</v>
      </c>
      <c r="U58" s="4">
        <v>20.0</v>
      </c>
      <c r="V58" s="4">
        <v>21.0</v>
      </c>
      <c r="W58" s="4">
        <v>22.0</v>
      </c>
      <c r="X58" s="4">
        <v>23.0</v>
      </c>
      <c r="Y58" s="4">
        <v>24.0</v>
      </c>
      <c r="Z58" s="4">
        <v>25.0</v>
      </c>
    </row>
    <row r="59">
      <c r="A59" s="4" t="s">
        <v>69</v>
      </c>
      <c r="B59" s="4">
        <f t="shared" ref="B59:Z59" si="19">MIN((B58-$B$27)/$B$28,1)</f>
        <v>0</v>
      </c>
      <c r="C59" s="4">
        <f t="shared" si="19"/>
        <v>0.25</v>
      </c>
      <c r="D59" s="4">
        <f t="shared" si="19"/>
        <v>0.5</v>
      </c>
      <c r="E59" s="4">
        <f t="shared" si="19"/>
        <v>0.75</v>
      </c>
      <c r="F59" s="4">
        <f t="shared" si="19"/>
        <v>1</v>
      </c>
      <c r="G59" s="4">
        <f t="shared" si="19"/>
        <v>1</v>
      </c>
      <c r="H59" s="4">
        <f t="shared" si="19"/>
        <v>1</v>
      </c>
      <c r="I59" s="4">
        <f t="shared" si="19"/>
        <v>1</v>
      </c>
      <c r="J59" s="4">
        <f t="shared" si="19"/>
        <v>1</v>
      </c>
      <c r="K59" s="4">
        <f t="shared" si="19"/>
        <v>1</v>
      </c>
      <c r="L59" s="4">
        <f t="shared" si="19"/>
        <v>1</v>
      </c>
      <c r="M59" s="4">
        <f t="shared" si="19"/>
        <v>1</v>
      </c>
      <c r="N59" s="4">
        <f t="shared" si="19"/>
        <v>1</v>
      </c>
      <c r="O59" s="4">
        <f t="shared" si="19"/>
        <v>1</v>
      </c>
      <c r="P59" s="4">
        <f t="shared" si="19"/>
        <v>1</v>
      </c>
      <c r="Q59" s="4">
        <f t="shared" si="19"/>
        <v>1</v>
      </c>
      <c r="R59" s="4">
        <f t="shared" si="19"/>
        <v>1</v>
      </c>
      <c r="S59" s="4">
        <f t="shared" si="19"/>
        <v>1</v>
      </c>
      <c r="T59" s="4">
        <f t="shared" si="19"/>
        <v>1</v>
      </c>
      <c r="U59" s="4">
        <f t="shared" si="19"/>
        <v>1</v>
      </c>
      <c r="V59" s="4">
        <f t="shared" si="19"/>
        <v>1</v>
      </c>
      <c r="W59" s="4">
        <f t="shared" si="19"/>
        <v>1</v>
      </c>
      <c r="X59" s="4">
        <f t="shared" si="19"/>
        <v>1</v>
      </c>
      <c r="Y59" s="4">
        <f t="shared" si="19"/>
        <v>1</v>
      </c>
      <c r="Z59" s="4">
        <f t="shared" si="19"/>
        <v>1</v>
      </c>
    </row>
    <row r="60">
      <c r="A60" s="4" t="s">
        <v>70</v>
      </c>
      <c r="B60" s="35">
        <f>$B3</f>
        <v>125000</v>
      </c>
      <c r="C60" s="35">
        <f t="shared" ref="C60:D60" si="20">$B4</f>
        <v>225000</v>
      </c>
      <c r="D60" s="35">
        <f t="shared" si="20"/>
        <v>225000</v>
      </c>
      <c r="E60" s="35">
        <f t="shared" ref="E60:Z60" si="21">$B4*$B$34</f>
        <v>146250</v>
      </c>
      <c r="F60" s="35">
        <f t="shared" si="21"/>
        <v>146250</v>
      </c>
      <c r="G60" s="35">
        <f t="shared" si="21"/>
        <v>146250</v>
      </c>
      <c r="H60" s="35">
        <f t="shared" si="21"/>
        <v>146250</v>
      </c>
      <c r="I60" s="35">
        <f t="shared" si="21"/>
        <v>146250</v>
      </c>
      <c r="J60" s="35">
        <f t="shared" si="21"/>
        <v>146250</v>
      </c>
      <c r="K60" s="35">
        <f t="shared" si="21"/>
        <v>146250</v>
      </c>
      <c r="L60" s="35">
        <f t="shared" si="21"/>
        <v>146250</v>
      </c>
      <c r="M60" s="35">
        <f t="shared" si="21"/>
        <v>146250</v>
      </c>
      <c r="N60" s="35">
        <f t="shared" si="21"/>
        <v>146250</v>
      </c>
      <c r="O60" s="35">
        <f t="shared" si="21"/>
        <v>146250</v>
      </c>
      <c r="P60" s="35">
        <f t="shared" si="21"/>
        <v>146250</v>
      </c>
      <c r="Q60" s="35">
        <f t="shared" si="21"/>
        <v>146250</v>
      </c>
      <c r="R60" s="35">
        <f t="shared" si="21"/>
        <v>146250</v>
      </c>
      <c r="S60" s="35">
        <f t="shared" si="21"/>
        <v>146250</v>
      </c>
      <c r="T60" s="35">
        <f t="shared" si="21"/>
        <v>146250</v>
      </c>
      <c r="U60" s="35">
        <f t="shared" si="21"/>
        <v>146250</v>
      </c>
      <c r="V60" s="35">
        <f t="shared" si="21"/>
        <v>146250</v>
      </c>
      <c r="W60" s="35">
        <f t="shared" si="21"/>
        <v>146250</v>
      </c>
      <c r="X60" s="35">
        <f t="shared" si="21"/>
        <v>146250</v>
      </c>
      <c r="Y60" s="35">
        <f t="shared" si="21"/>
        <v>146250</v>
      </c>
      <c r="Z60" s="35">
        <f t="shared" si="21"/>
        <v>146250</v>
      </c>
    </row>
    <row r="61">
      <c r="A61" s="4" t="s">
        <v>71</v>
      </c>
      <c r="B61" s="36">
        <f>$B$34*(($B5*B14)/11000+($B14*$B25*$B30*1*$B$24)*$B$6)</f>
        <v>3953.153234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</row>
    <row r="62">
      <c r="A62" s="39" t="s">
        <v>72</v>
      </c>
      <c r="B62" s="36">
        <f t="shared" ref="B62:D62" si="22">$B7*B64</f>
        <v>0</v>
      </c>
      <c r="C62" s="36">
        <f t="shared" si="22"/>
        <v>27295.17643</v>
      </c>
      <c r="D62" s="36">
        <f t="shared" si="22"/>
        <v>54590.35285</v>
      </c>
      <c r="E62" s="36">
        <f t="shared" ref="E62:Z62" si="23">$B7*E64*$B$34</f>
        <v>53225.59403</v>
      </c>
      <c r="F62" s="36">
        <f t="shared" si="23"/>
        <v>70967.45871</v>
      </c>
      <c r="G62" s="36">
        <f t="shared" si="23"/>
        <v>70967.45871</v>
      </c>
      <c r="H62" s="36">
        <f t="shared" si="23"/>
        <v>70967.45871</v>
      </c>
      <c r="I62" s="36">
        <f t="shared" si="23"/>
        <v>70967.45871</v>
      </c>
      <c r="J62" s="36">
        <f t="shared" si="23"/>
        <v>70967.45871</v>
      </c>
      <c r="K62" s="36">
        <f t="shared" si="23"/>
        <v>70967.45871</v>
      </c>
      <c r="L62" s="36">
        <f t="shared" si="23"/>
        <v>70967.45871</v>
      </c>
      <c r="M62" s="36">
        <f t="shared" si="23"/>
        <v>70967.45871</v>
      </c>
      <c r="N62" s="36">
        <f t="shared" si="23"/>
        <v>70967.45871</v>
      </c>
      <c r="O62" s="36">
        <f t="shared" si="23"/>
        <v>70967.45871</v>
      </c>
      <c r="P62" s="36">
        <f t="shared" si="23"/>
        <v>70967.45871</v>
      </c>
      <c r="Q62" s="36">
        <f t="shared" si="23"/>
        <v>70967.45871</v>
      </c>
      <c r="R62" s="36">
        <f t="shared" si="23"/>
        <v>70967.45871</v>
      </c>
      <c r="S62" s="36">
        <f t="shared" si="23"/>
        <v>70967.45871</v>
      </c>
      <c r="T62" s="36">
        <f t="shared" si="23"/>
        <v>70967.45871</v>
      </c>
      <c r="U62" s="36">
        <f t="shared" si="23"/>
        <v>70967.45871</v>
      </c>
      <c r="V62" s="36">
        <f t="shared" si="23"/>
        <v>70967.45871</v>
      </c>
      <c r="W62" s="36">
        <f t="shared" si="23"/>
        <v>70967.45871</v>
      </c>
      <c r="X62" s="36">
        <f t="shared" si="23"/>
        <v>70967.45871</v>
      </c>
      <c r="Y62" s="36">
        <f t="shared" si="23"/>
        <v>70967.45871</v>
      </c>
      <c r="Z62" s="36">
        <f t="shared" si="23"/>
        <v>70967.45871</v>
      </c>
    </row>
    <row r="63">
      <c r="A63" s="4" t="s">
        <v>73</v>
      </c>
      <c r="B63" s="36">
        <f t="shared" ref="B63:Z63" si="24">SUM(B60:B62)</f>
        <v>128953.1532</v>
      </c>
      <c r="C63" s="36">
        <f t="shared" si="24"/>
        <v>252295.1764</v>
      </c>
      <c r="D63" s="36">
        <f t="shared" si="24"/>
        <v>279590.3529</v>
      </c>
      <c r="E63" s="36">
        <f t="shared" si="24"/>
        <v>199475.594</v>
      </c>
      <c r="F63" s="36">
        <f t="shared" si="24"/>
        <v>217217.4587</v>
      </c>
      <c r="G63" s="36">
        <f t="shared" si="24"/>
        <v>217217.4587</v>
      </c>
      <c r="H63" s="36">
        <f t="shared" si="24"/>
        <v>217217.4587</v>
      </c>
      <c r="I63" s="36">
        <f t="shared" si="24"/>
        <v>217217.4587</v>
      </c>
      <c r="J63" s="36">
        <f t="shared" si="24"/>
        <v>217217.4587</v>
      </c>
      <c r="K63" s="36">
        <f t="shared" si="24"/>
        <v>217217.4587</v>
      </c>
      <c r="L63" s="36">
        <f t="shared" si="24"/>
        <v>217217.4587</v>
      </c>
      <c r="M63" s="36">
        <f t="shared" si="24"/>
        <v>217217.4587</v>
      </c>
      <c r="N63" s="36">
        <f t="shared" si="24"/>
        <v>217217.4587</v>
      </c>
      <c r="O63" s="36">
        <f t="shared" si="24"/>
        <v>217217.4587</v>
      </c>
      <c r="P63" s="36">
        <f t="shared" si="24"/>
        <v>217217.4587</v>
      </c>
      <c r="Q63" s="36">
        <f t="shared" si="24"/>
        <v>217217.4587</v>
      </c>
      <c r="R63" s="36">
        <f t="shared" si="24"/>
        <v>217217.4587</v>
      </c>
      <c r="S63" s="36">
        <f t="shared" si="24"/>
        <v>217217.4587</v>
      </c>
      <c r="T63" s="36">
        <f t="shared" si="24"/>
        <v>217217.4587</v>
      </c>
      <c r="U63" s="36">
        <f t="shared" si="24"/>
        <v>217217.4587</v>
      </c>
      <c r="V63" s="36">
        <f t="shared" si="24"/>
        <v>217217.4587</v>
      </c>
      <c r="W63" s="36">
        <f t="shared" si="24"/>
        <v>217217.4587</v>
      </c>
      <c r="X63" s="36">
        <f t="shared" si="24"/>
        <v>217217.4587</v>
      </c>
      <c r="Y63" s="36">
        <f t="shared" si="24"/>
        <v>217217.4587</v>
      </c>
      <c r="Z63" s="36">
        <f t="shared" si="24"/>
        <v>217217.4587</v>
      </c>
    </row>
    <row r="64">
      <c r="A64" s="4" t="s">
        <v>74</v>
      </c>
      <c r="B64" s="40">
        <f t="shared" ref="B64:Z64" si="25">$B14*$B25*$B30*B59*$B$34*$B$24</f>
        <v>0</v>
      </c>
      <c r="C64" s="40">
        <f t="shared" si="25"/>
        <v>103.2095561</v>
      </c>
      <c r="D64" s="40">
        <f t="shared" si="25"/>
        <v>206.4191123</v>
      </c>
      <c r="E64" s="40">
        <f t="shared" si="25"/>
        <v>309.6286684</v>
      </c>
      <c r="F64" s="40">
        <f t="shared" si="25"/>
        <v>412.8382245</v>
      </c>
      <c r="G64" s="40">
        <f t="shared" si="25"/>
        <v>412.8382245</v>
      </c>
      <c r="H64" s="40">
        <f t="shared" si="25"/>
        <v>412.8382245</v>
      </c>
      <c r="I64" s="40">
        <f t="shared" si="25"/>
        <v>412.8382245</v>
      </c>
      <c r="J64" s="40">
        <f t="shared" si="25"/>
        <v>412.8382245</v>
      </c>
      <c r="K64" s="40">
        <f t="shared" si="25"/>
        <v>412.8382245</v>
      </c>
      <c r="L64" s="40">
        <f t="shared" si="25"/>
        <v>412.8382245</v>
      </c>
      <c r="M64" s="40">
        <f t="shared" si="25"/>
        <v>412.8382245</v>
      </c>
      <c r="N64" s="40">
        <f t="shared" si="25"/>
        <v>412.8382245</v>
      </c>
      <c r="O64" s="40">
        <f t="shared" si="25"/>
        <v>412.8382245</v>
      </c>
      <c r="P64" s="40">
        <f t="shared" si="25"/>
        <v>412.8382245</v>
      </c>
      <c r="Q64" s="40">
        <f t="shared" si="25"/>
        <v>412.8382245</v>
      </c>
      <c r="R64" s="40">
        <f t="shared" si="25"/>
        <v>412.8382245</v>
      </c>
      <c r="S64" s="40">
        <f t="shared" si="25"/>
        <v>412.8382245</v>
      </c>
      <c r="T64" s="40">
        <f t="shared" si="25"/>
        <v>412.8382245</v>
      </c>
      <c r="U64" s="40">
        <f t="shared" si="25"/>
        <v>412.8382245</v>
      </c>
      <c r="V64" s="40">
        <f t="shared" si="25"/>
        <v>412.8382245</v>
      </c>
      <c r="W64" s="40">
        <f t="shared" si="25"/>
        <v>412.8382245</v>
      </c>
      <c r="X64" s="40">
        <f t="shared" si="25"/>
        <v>412.8382245</v>
      </c>
      <c r="Y64" s="40">
        <f t="shared" si="25"/>
        <v>412.8382245</v>
      </c>
      <c r="Z64" s="40">
        <f t="shared" si="25"/>
        <v>412.8382245</v>
      </c>
    </row>
    <row r="65">
      <c r="A65" s="4" t="s">
        <v>75</v>
      </c>
      <c r="B65" s="38">
        <f t="shared" ref="B65:Z65" si="26">B64*(1-$B36)*$B18*$B19</f>
        <v>0</v>
      </c>
      <c r="C65" s="38">
        <f t="shared" si="26"/>
        <v>3.996040871</v>
      </c>
      <c r="D65" s="38">
        <f t="shared" si="26"/>
        <v>7.992081742</v>
      </c>
      <c r="E65" s="38">
        <f t="shared" si="26"/>
        <v>11.98812261</v>
      </c>
      <c r="F65" s="38">
        <f t="shared" si="26"/>
        <v>15.98416348</v>
      </c>
      <c r="G65" s="38">
        <f t="shared" si="26"/>
        <v>15.98416348</v>
      </c>
      <c r="H65" s="38">
        <f t="shared" si="26"/>
        <v>15.98416348</v>
      </c>
      <c r="I65" s="38">
        <f t="shared" si="26"/>
        <v>15.98416348</v>
      </c>
      <c r="J65" s="38">
        <f t="shared" si="26"/>
        <v>15.98416348</v>
      </c>
      <c r="K65" s="38">
        <f t="shared" si="26"/>
        <v>15.98416348</v>
      </c>
      <c r="L65" s="38">
        <f t="shared" si="26"/>
        <v>15.98416348</v>
      </c>
      <c r="M65" s="38">
        <f t="shared" si="26"/>
        <v>15.98416348</v>
      </c>
      <c r="N65" s="38">
        <f t="shared" si="26"/>
        <v>15.98416348</v>
      </c>
      <c r="O65" s="38">
        <f t="shared" si="26"/>
        <v>15.98416348</v>
      </c>
      <c r="P65" s="38">
        <f t="shared" si="26"/>
        <v>15.98416348</v>
      </c>
      <c r="Q65" s="38">
        <f t="shared" si="26"/>
        <v>15.98416348</v>
      </c>
      <c r="R65" s="38">
        <f t="shared" si="26"/>
        <v>15.98416348</v>
      </c>
      <c r="S65" s="38">
        <f t="shared" si="26"/>
        <v>15.98416348</v>
      </c>
      <c r="T65" s="38">
        <f t="shared" si="26"/>
        <v>15.98416348</v>
      </c>
      <c r="U65" s="38">
        <f t="shared" si="26"/>
        <v>15.98416348</v>
      </c>
      <c r="V65" s="38">
        <f t="shared" si="26"/>
        <v>15.98416348</v>
      </c>
      <c r="W65" s="38">
        <f t="shared" si="26"/>
        <v>15.98416348</v>
      </c>
      <c r="X65" s="38">
        <f t="shared" si="26"/>
        <v>15.98416348</v>
      </c>
      <c r="Y65" s="38">
        <f t="shared" si="26"/>
        <v>15.98416348</v>
      </c>
      <c r="Z65" s="38">
        <f t="shared" si="26"/>
        <v>15.98416348</v>
      </c>
    </row>
    <row r="66">
      <c r="A66" s="4" t="s">
        <v>76</v>
      </c>
      <c r="B66" s="38">
        <f t="shared" ref="B66:Z66" si="27">(B65*$B33)+(B64*$B22*$B$23)</f>
        <v>0</v>
      </c>
      <c r="C66" s="38">
        <f t="shared" si="27"/>
        <v>240.621283</v>
      </c>
      <c r="D66" s="38">
        <f t="shared" si="27"/>
        <v>481.242566</v>
      </c>
      <c r="E66" s="38">
        <f t="shared" si="27"/>
        <v>721.863849</v>
      </c>
      <c r="F66" s="38">
        <f t="shared" si="27"/>
        <v>962.485132</v>
      </c>
      <c r="G66" s="38">
        <f t="shared" si="27"/>
        <v>962.485132</v>
      </c>
      <c r="H66" s="38">
        <f t="shared" si="27"/>
        <v>962.485132</v>
      </c>
      <c r="I66" s="38">
        <f t="shared" si="27"/>
        <v>962.485132</v>
      </c>
      <c r="J66" s="38">
        <f t="shared" si="27"/>
        <v>962.485132</v>
      </c>
      <c r="K66" s="38">
        <f t="shared" si="27"/>
        <v>962.485132</v>
      </c>
      <c r="L66" s="38">
        <f t="shared" si="27"/>
        <v>962.485132</v>
      </c>
      <c r="M66" s="38">
        <f t="shared" si="27"/>
        <v>962.485132</v>
      </c>
      <c r="N66" s="38">
        <f t="shared" si="27"/>
        <v>962.485132</v>
      </c>
      <c r="O66" s="38">
        <f t="shared" si="27"/>
        <v>962.485132</v>
      </c>
      <c r="P66" s="38">
        <f t="shared" si="27"/>
        <v>962.485132</v>
      </c>
      <c r="Q66" s="38">
        <f t="shared" si="27"/>
        <v>962.485132</v>
      </c>
      <c r="R66" s="38">
        <f t="shared" si="27"/>
        <v>962.485132</v>
      </c>
      <c r="S66" s="38">
        <f t="shared" si="27"/>
        <v>962.485132</v>
      </c>
      <c r="T66" s="38">
        <f t="shared" si="27"/>
        <v>962.485132</v>
      </c>
      <c r="U66" s="38">
        <f t="shared" si="27"/>
        <v>962.485132</v>
      </c>
      <c r="V66" s="38">
        <f t="shared" si="27"/>
        <v>962.485132</v>
      </c>
      <c r="W66" s="38">
        <f t="shared" si="27"/>
        <v>962.485132</v>
      </c>
      <c r="X66" s="38">
        <f t="shared" si="27"/>
        <v>962.485132</v>
      </c>
      <c r="Y66" s="38">
        <f t="shared" si="27"/>
        <v>962.485132</v>
      </c>
      <c r="Z66" s="38">
        <f t="shared" si="27"/>
        <v>962.485132</v>
      </c>
    </row>
    <row r="67">
      <c r="A67" s="2" t="s">
        <v>79</v>
      </c>
      <c r="B67" s="2"/>
      <c r="C67" s="2"/>
      <c r="D67" s="2"/>
      <c r="E67" s="2"/>
      <c r="F67" s="2"/>
      <c r="G67" s="2"/>
      <c r="H67" s="2"/>
      <c r="I67" s="2"/>
      <c r="J67" s="2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68</v>
      </c>
      <c r="B68" s="4">
        <v>1.0</v>
      </c>
      <c r="C68" s="4">
        <v>2.0</v>
      </c>
      <c r="D68" s="4">
        <v>3.0</v>
      </c>
      <c r="E68" s="4">
        <v>4.0</v>
      </c>
      <c r="F68" s="4">
        <v>5.0</v>
      </c>
      <c r="G68" s="4">
        <v>6.0</v>
      </c>
      <c r="H68" s="4">
        <v>7.0</v>
      </c>
      <c r="I68" s="4">
        <v>8.0</v>
      </c>
      <c r="J68" s="4">
        <v>9.0</v>
      </c>
      <c r="K68" s="4">
        <v>10.0</v>
      </c>
      <c r="L68" s="4">
        <v>11.0</v>
      </c>
      <c r="M68" s="4">
        <v>12.0</v>
      </c>
      <c r="N68" s="4">
        <v>13.0</v>
      </c>
      <c r="O68" s="4">
        <v>14.0</v>
      </c>
      <c r="P68" s="4">
        <v>15.0</v>
      </c>
      <c r="Q68" s="4">
        <v>16.0</v>
      </c>
      <c r="R68" s="4">
        <v>17.0</v>
      </c>
      <c r="S68" s="4">
        <v>18.0</v>
      </c>
      <c r="T68" s="4">
        <v>19.0</v>
      </c>
      <c r="U68" s="4">
        <v>20.0</v>
      </c>
      <c r="V68" s="4">
        <v>21.0</v>
      </c>
      <c r="W68" s="4">
        <v>22.0</v>
      </c>
      <c r="X68" s="4">
        <v>23.0</v>
      </c>
      <c r="Y68" s="4">
        <v>24.0</v>
      </c>
      <c r="Z68" s="4">
        <v>25.0</v>
      </c>
    </row>
    <row r="69">
      <c r="A69" s="4" t="s">
        <v>69</v>
      </c>
      <c r="B69" s="4">
        <f t="shared" ref="B69:Z69" si="28">MIN((B68-$B$27)/$B$28,1)</f>
        <v>0</v>
      </c>
      <c r="C69" s="4">
        <f t="shared" si="28"/>
        <v>0.25</v>
      </c>
      <c r="D69" s="4">
        <f t="shared" si="28"/>
        <v>0.5</v>
      </c>
      <c r="E69" s="4">
        <f t="shared" si="28"/>
        <v>0.75</v>
      </c>
      <c r="F69" s="4">
        <f t="shared" si="28"/>
        <v>1</v>
      </c>
      <c r="G69" s="4">
        <f t="shared" si="28"/>
        <v>1</v>
      </c>
      <c r="H69" s="4">
        <f t="shared" si="28"/>
        <v>1</v>
      </c>
      <c r="I69" s="4">
        <f t="shared" si="28"/>
        <v>1</v>
      </c>
      <c r="J69" s="4">
        <f t="shared" si="28"/>
        <v>1</v>
      </c>
      <c r="K69" s="4">
        <f t="shared" si="28"/>
        <v>1</v>
      </c>
      <c r="L69" s="4">
        <f t="shared" si="28"/>
        <v>1</v>
      </c>
      <c r="M69" s="4">
        <f t="shared" si="28"/>
        <v>1</v>
      </c>
      <c r="N69" s="4">
        <f t="shared" si="28"/>
        <v>1</v>
      </c>
      <c r="O69" s="4">
        <f t="shared" si="28"/>
        <v>1</v>
      </c>
      <c r="P69" s="4">
        <f t="shared" si="28"/>
        <v>1</v>
      </c>
      <c r="Q69" s="4">
        <f t="shared" si="28"/>
        <v>1</v>
      </c>
      <c r="R69" s="4">
        <f t="shared" si="28"/>
        <v>1</v>
      </c>
      <c r="S69" s="4">
        <f t="shared" si="28"/>
        <v>1</v>
      </c>
      <c r="T69" s="4">
        <f t="shared" si="28"/>
        <v>1</v>
      </c>
      <c r="U69" s="4">
        <f t="shared" si="28"/>
        <v>1</v>
      </c>
      <c r="V69" s="4">
        <f t="shared" si="28"/>
        <v>1</v>
      </c>
      <c r="W69" s="4">
        <f t="shared" si="28"/>
        <v>1</v>
      </c>
      <c r="X69" s="4">
        <f t="shared" si="28"/>
        <v>1</v>
      </c>
      <c r="Y69" s="4">
        <f t="shared" si="28"/>
        <v>1</v>
      </c>
      <c r="Z69" s="4">
        <f t="shared" si="28"/>
        <v>1</v>
      </c>
    </row>
    <row r="70">
      <c r="A70" s="4" t="s">
        <v>70</v>
      </c>
      <c r="B70" s="35">
        <f>$B3</f>
        <v>125000</v>
      </c>
      <c r="C70" s="35">
        <f t="shared" ref="C70:D70" si="29">$B4</f>
        <v>225000</v>
      </c>
      <c r="D70" s="35">
        <f t="shared" si="29"/>
        <v>225000</v>
      </c>
      <c r="E70" s="35">
        <f t="shared" ref="E70:Z70" si="30">$B4*$B$34</f>
        <v>146250</v>
      </c>
      <c r="F70" s="35">
        <f t="shared" si="30"/>
        <v>146250</v>
      </c>
      <c r="G70" s="35">
        <f t="shared" si="30"/>
        <v>146250</v>
      </c>
      <c r="H70" s="35">
        <f t="shared" si="30"/>
        <v>146250</v>
      </c>
      <c r="I70" s="35">
        <f t="shared" si="30"/>
        <v>146250</v>
      </c>
      <c r="J70" s="35">
        <f t="shared" si="30"/>
        <v>146250</v>
      </c>
      <c r="K70" s="35">
        <f t="shared" si="30"/>
        <v>146250</v>
      </c>
      <c r="L70" s="35">
        <f t="shared" si="30"/>
        <v>146250</v>
      </c>
      <c r="M70" s="35">
        <f t="shared" si="30"/>
        <v>146250</v>
      </c>
      <c r="N70" s="35">
        <f t="shared" si="30"/>
        <v>146250</v>
      </c>
      <c r="O70" s="35">
        <f t="shared" si="30"/>
        <v>146250</v>
      </c>
      <c r="P70" s="35">
        <f t="shared" si="30"/>
        <v>146250</v>
      </c>
      <c r="Q70" s="35">
        <f t="shared" si="30"/>
        <v>146250</v>
      </c>
      <c r="R70" s="35">
        <f t="shared" si="30"/>
        <v>146250</v>
      </c>
      <c r="S70" s="35">
        <f t="shared" si="30"/>
        <v>146250</v>
      </c>
      <c r="T70" s="35">
        <f t="shared" si="30"/>
        <v>146250</v>
      </c>
      <c r="U70" s="35">
        <f t="shared" si="30"/>
        <v>146250</v>
      </c>
      <c r="V70" s="35">
        <f t="shared" si="30"/>
        <v>146250</v>
      </c>
      <c r="W70" s="35">
        <f t="shared" si="30"/>
        <v>146250</v>
      </c>
      <c r="X70" s="35">
        <f t="shared" si="30"/>
        <v>146250</v>
      </c>
      <c r="Y70" s="35">
        <f t="shared" si="30"/>
        <v>146250</v>
      </c>
      <c r="Z70" s="35">
        <f t="shared" si="30"/>
        <v>146250</v>
      </c>
    </row>
    <row r="71">
      <c r="A71" s="4" t="s">
        <v>71</v>
      </c>
      <c r="B71" s="36">
        <f>$B$34*(($B5*B16)/11000+($B16*$B25*$B30*1*$B$24)*$B$6)</f>
        <v>6517.677228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</row>
    <row r="72">
      <c r="A72" s="39" t="s">
        <v>72</v>
      </c>
      <c r="B72" s="36">
        <f t="shared" ref="B72:D72" si="31">$B7*B74</f>
        <v>0</v>
      </c>
      <c r="C72" s="36">
        <f t="shared" si="31"/>
        <v>45002.34099</v>
      </c>
      <c r="D72" s="36">
        <f t="shared" si="31"/>
        <v>90004.68198</v>
      </c>
      <c r="E72" s="36">
        <f t="shared" ref="E72:Z72" si="32">$B7*E74*$B$34</f>
        <v>87754.56493</v>
      </c>
      <c r="F72" s="36">
        <f t="shared" si="32"/>
        <v>117006.0866</v>
      </c>
      <c r="G72" s="36">
        <f t="shared" si="32"/>
        <v>117006.0866</v>
      </c>
      <c r="H72" s="36">
        <f t="shared" si="32"/>
        <v>117006.0866</v>
      </c>
      <c r="I72" s="36">
        <f t="shared" si="32"/>
        <v>117006.0866</v>
      </c>
      <c r="J72" s="36">
        <f t="shared" si="32"/>
        <v>117006.0866</v>
      </c>
      <c r="K72" s="36">
        <f t="shared" si="32"/>
        <v>117006.0866</v>
      </c>
      <c r="L72" s="36">
        <f t="shared" si="32"/>
        <v>117006.0866</v>
      </c>
      <c r="M72" s="36">
        <f t="shared" si="32"/>
        <v>117006.0866</v>
      </c>
      <c r="N72" s="36">
        <f t="shared" si="32"/>
        <v>117006.0866</v>
      </c>
      <c r="O72" s="36">
        <f t="shared" si="32"/>
        <v>117006.0866</v>
      </c>
      <c r="P72" s="36">
        <f t="shared" si="32"/>
        <v>117006.0866</v>
      </c>
      <c r="Q72" s="36">
        <f t="shared" si="32"/>
        <v>117006.0866</v>
      </c>
      <c r="R72" s="36">
        <f t="shared" si="32"/>
        <v>117006.0866</v>
      </c>
      <c r="S72" s="36">
        <f t="shared" si="32"/>
        <v>117006.0866</v>
      </c>
      <c r="T72" s="36">
        <f t="shared" si="32"/>
        <v>117006.0866</v>
      </c>
      <c r="U72" s="36">
        <f t="shared" si="32"/>
        <v>117006.0866</v>
      </c>
      <c r="V72" s="36">
        <f t="shared" si="32"/>
        <v>117006.0866</v>
      </c>
      <c r="W72" s="36">
        <f t="shared" si="32"/>
        <v>117006.0866</v>
      </c>
      <c r="X72" s="36">
        <f t="shared" si="32"/>
        <v>117006.0866</v>
      </c>
      <c r="Y72" s="36">
        <f t="shared" si="32"/>
        <v>117006.0866</v>
      </c>
      <c r="Z72" s="36">
        <f t="shared" si="32"/>
        <v>117006.0866</v>
      </c>
    </row>
    <row r="73">
      <c r="A73" s="4" t="s">
        <v>73</v>
      </c>
      <c r="B73" s="36">
        <f t="shared" ref="B73:Z73" si="33">SUM(B70:B72)</f>
        <v>131517.6772</v>
      </c>
      <c r="C73" s="36">
        <f t="shared" si="33"/>
        <v>270002.341</v>
      </c>
      <c r="D73" s="36">
        <f t="shared" si="33"/>
        <v>315004.682</v>
      </c>
      <c r="E73" s="36">
        <f t="shared" si="33"/>
        <v>234004.5649</v>
      </c>
      <c r="F73" s="36">
        <f t="shared" si="33"/>
        <v>263256.0866</v>
      </c>
      <c r="G73" s="36">
        <f t="shared" si="33"/>
        <v>263256.0866</v>
      </c>
      <c r="H73" s="36">
        <f t="shared" si="33"/>
        <v>263256.0866</v>
      </c>
      <c r="I73" s="36">
        <f t="shared" si="33"/>
        <v>263256.0866</v>
      </c>
      <c r="J73" s="36">
        <f t="shared" si="33"/>
        <v>263256.0866</v>
      </c>
      <c r="K73" s="36">
        <f t="shared" si="33"/>
        <v>263256.0866</v>
      </c>
      <c r="L73" s="36">
        <f t="shared" si="33"/>
        <v>263256.0866</v>
      </c>
      <c r="M73" s="36">
        <f t="shared" si="33"/>
        <v>263256.0866</v>
      </c>
      <c r="N73" s="36">
        <f t="shared" si="33"/>
        <v>263256.0866</v>
      </c>
      <c r="O73" s="36">
        <f t="shared" si="33"/>
        <v>263256.0866</v>
      </c>
      <c r="P73" s="36">
        <f t="shared" si="33"/>
        <v>263256.0866</v>
      </c>
      <c r="Q73" s="36">
        <f t="shared" si="33"/>
        <v>263256.0866</v>
      </c>
      <c r="R73" s="36">
        <f t="shared" si="33"/>
        <v>263256.0866</v>
      </c>
      <c r="S73" s="36">
        <f t="shared" si="33"/>
        <v>263256.0866</v>
      </c>
      <c r="T73" s="36">
        <f t="shared" si="33"/>
        <v>263256.0866</v>
      </c>
      <c r="U73" s="36">
        <f t="shared" si="33"/>
        <v>263256.0866</v>
      </c>
      <c r="V73" s="36">
        <f t="shared" si="33"/>
        <v>263256.0866</v>
      </c>
      <c r="W73" s="36">
        <f t="shared" si="33"/>
        <v>263256.0866</v>
      </c>
      <c r="X73" s="36">
        <f t="shared" si="33"/>
        <v>263256.0866</v>
      </c>
      <c r="Y73" s="36">
        <f t="shared" si="33"/>
        <v>263256.0866</v>
      </c>
      <c r="Z73" s="36">
        <f t="shared" si="33"/>
        <v>263256.0866</v>
      </c>
    </row>
    <row r="74">
      <c r="A74" s="4" t="s">
        <v>74</v>
      </c>
      <c r="B74" s="40">
        <f t="shared" ref="B74:Z74" si="34">$B16*$B25*$B30*B69*$B$34*$B$24</f>
        <v>0</v>
      </c>
      <c r="C74" s="40">
        <f t="shared" si="34"/>
        <v>170.1645582</v>
      </c>
      <c r="D74" s="40">
        <f t="shared" si="34"/>
        <v>340.3291165</v>
      </c>
      <c r="E74" s="40">
        <f t="shared" si="34"/>
        <v>510.4936747</v>
      </c>
      <c r="F74" s="40">
        <f t="shared" si="34"/>
        <v>680.6582329</v>
      </c>
      <c r="G74" s="40">
        <f t="shared" si="34"/>
        <v>680.6582329</v>
      </c>
      <c r="H74" s="40">
        <f t="shared" si="34"/>
        <v>680.6582329</v>
      </c>
      <c r="I74" s="40">
        <f t="shared" si="34"/>
        <v>680.6582329</v>
      </c>
      <c r="J74" s="40">
        <f t="shared" si="34"/>
        <v>680.6582329</v>
      </c>
      <c r="K74" s="40">
        <f t="shared" si="34"/>
        <v>680.6582329</v>
      </c>
      <c r="L74" s="40">
        <f t="shared" si="34"/>
        <v>680.6582329</v>
      </c>
      <c r="M74" s="40">
        <f t="shared" si="34"/>
        <v>680.6582329</v>
      </c>
      <c r="N74" s="40">
        <f t="shared" si="34"/>
        <v>680.6582329</v>
      </c>
      <c r="O74" s="40">
        <f t="shared" si="34"/>
        <v>680.6582329</v>
      </c>
      <c r="P74" s="40">
        <f t="shared" si="34"/>
        <v>680.6582329</v>
      </c>
      <c r="Q74" s="40">
        <f t="shared" si="34"/>
        <v>680.6582329</v>
      </c>
      <c r="R74" s="40">
        <f t="shared" si="34"/>
        <v>680.6582329</v>
      </c>
      <c r="S74" s="40">
        <f t="shared" si="34"/>
        <v>680.6582329</v>
      </c>
      <c r="T74" s="40">
        <f t="shared" si="34"/>
        <v>680.6582329</v>
      </c>
      <c r="U74" s="40">
        <f t="shared" si="34"/>
        <v>680.6582329</v>
      </c>
      <c r="V74" s="40">
        <f t="shared" si="34"/>
        <v>680.6582329</v>
      </c>
      <c r="W74" s="40">
        <f t="shared" si="34"/>
        <v>680.6582329</v>
      </c>
      <c r="X74" s="40">
        <f t="shared" si="34"/>
        <v>680.6582329</v>
      </c>
      <c r="Y74" s="40">
        <f t="shared" si="34"/>
        <v>680.6582329</v>
      </c>
      <c r="Z74" s="40">
        <f t="shared" si="34"/>
        <v>680.6582329</v>
      </c>
    </row>
    <row r="75">
      <c r="A75" s="4" t="s">
        <v>75</v>
      </c>
      <c r="B75" s="38">
        <f t="shared" ref="B75:Z75" si="35">B74*(1-$B36)*$B18*$B19</f>
        <v>0</v>
      </c>
      <c r="C75" s="38">
        <f t="shared" si="35"/>
        <v>6.588387306</v>
      </c>
      <c r="D75" s="38">
        <f t="shared" si="35"/>
        <v>13.17677461</v>
      </c>
      <c r="E75" s="38">
        <f t="shared" si="35"/>
        <v>19.76516192</v>
      </c>
      <c r="F75" s="38">
        <f t="shared" si="35"/>
        <v>26.35354922</v>
      </c>
      <c r="G75" s="38">
        <f t="shared" si="35"/>
        <v>26.35354922</v>
      </c>
      <c r="H75" s="38">
        <f t="shared" si="35"/>
        <v>26.35354922</v>
      </c>
      <c r="I75" s="38">
        <f t="shared" si="35"/>
        <v>26.35354922</v>
      </c>
      <c r="J75" s="38">
        <f t="shared" si="35"/>
        <v>26.35354922</v>
      </c>
      <c r="K75" s="38">
        <f t="shared" si="35"/>
        <v>26.35354922</v>
      </c>
      <c r="L75" s="38">
        <f t="shared" si="35"/>
        <v>26.35354922</v>
      </c>
      <c r="M75" s="38">
        <f t="shared" si="35"/>
        <v>26.35354922</v>
      </c>
      <c r="N75" s="38">
        <f t="shared" si="35"/>
        <v>26.35354922</v>
      </c>
      <c r="O75" s="38">
        <f t="shared" si="35"/>
        <v>26.35354922</v>
      </c>
      <c r="P75" s="38">
        <f t="shared" si="35"/>
        <v>26.35354922</v>
      </c>
      <c r="Q75" s="38">
        <f t="shared" si="35"/>
        <v>26.35354922</v>
      </c>
      <c r="R75" s="38">
        <f t="shared" si="35"/>
        <v>26.35354922</v>
      </c>
      <c r="S75" s="38">
        <f t="shared" si="35"/>
        <v>26.35354922</v>
      </c>
      <c r="T75" s="38">
        <f t="shared" si="35"/>
        <v>26.35354922</v>
      </c>
      <c r="U75" s="38">
        <f t="shared" si="35"/>
        <v>26.35354922</v>
      </c>
      <c r="V75" s="38">
        <f t="shared" si="35"/>
        <v>26.35354922</v>
      </c>
      <c r="W75" s="38">
        <f t="shared" si="35"/>
        <v>26.35354922</v>
      </c>
      <c r="X75" s="38">
        <f t="shared" si="35"/>
        <v>26.35354922</v>
      </c>
      <c r="Y75" s="38">
        <f t="shared" si="35"/>
        <v>26.35354922</v>
      </c>
      <c r="Z75" s="38">
        <f t="shared" si="35"/>
        <v>26.35354922</v>
      </c>
    </row>
    <row r="76">
      <c r="A76" s="4" t="s">
        <v>76</v>
      </c>
      <c r="B76" s="38">
        <f t="shared" ref="B76:Z76" si="36">(B75*$B33)+(B74*$B22*$B$23)</f>
        <v>0</v>
      </c>
      <c r="C76" s="38">
        <f t="shared" si="36"/>
        <v>396.7192173</v>
      </c>
      <c r="D76" s="38">
        <f t="shared" si="36"/>
        <v>793.4384345</v>
      </c>
      <c r="E76" s="38">
        <f t="shared" si="36"/>
        <v>1190.157652</v>
      </c>
      <c r="F76" s="38">
        <f t="shared" si="36"/>
        <v>1586.876869</v>
      </c>
      <c r="G76" s="38">
        <f t="shared" si="36"/>
        <v>1586.876869</v>
      </c>
      <c r="H76" s="38">
        <f t="shared" si="36"/>
        <v>1586.876869</v>
      </c>
      <c r="I76" s="38">
        <f t="shared" si="36"/>
        <v>1586.876869</v>
      </c>
      <c r="J76" s="38">
        <f t="shared" si="36"/>
        <v>1586.876869</v>
      </c>
      <c r="K76" s="38">
        <f t="shared" si="36"/>
        <v>1586.876869</v>
      </c>
      <c r="L76" s="38">
        <f t="shared" si="36"/>
        <v>1586.876869</v>
      </c>
      <c r="M76" s="38">
        <f t="shared" si="36"/>
        <v>1586.876869</v>
      </c>
      <c r="N76" s="38">
        <f t="shared" si="36"/>
        <v>1586.876869</v>
      </c>
      <c r="O76" s="38">
        <f t="shared" si="36"/>
        <v>1586.876869</v>
      </c>
      <c r="P76" s="38">
        <f t="shared" si="36"/>
        <v>1586.876869</v>
      </c>
      <c r="Q76" s="38">
        <f t="shared" si="36"/>
        <v>1586.876869</v>
      </c>
      <c r="R76" s="38">
        <f t="shared" si="36"/>
        <v>1586.876869</v>
      </c>
      <c r="S76" s="38">
        <f t="shared" si="36"/>
        <v>1586.876869</v>
      </c>
      <c r="T76" s="38">
        <f t="shared" si="36"/>
        <v>1586.876869</v>
      </c>
      <c r="U76" s="38">
        <f t="shared" si="36"/>
        <v>1586.876869</v>
      </c>
      <c r="V76" s="38">
        <f t="shared" si="36"/>
        <v>1586.876869</v>
      </c>
      <c r="W76" s="38">
        <f t="shared" si="36"/>
        <v>1586.876869</v>
      </c>
      <c r="X76" s="38">
        <f t="shared" si="36"/>
        <v>1586.876869</v>
      </c>
      <c r="Y76" s="38">
        <f t="shared" si="36"/>
        <v>1586.876869</v>
      </c>
      <c r="Z76" s="38">
        <f t="shared" si="36"/>
        <v>1586.876869</v>
      </c>
    </row>
    <row r="77">
      <c r="A77" s="2" t="s">
        <v>80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 t="s">
        <v>15</v>
      </c>
      <c r="B78" s="41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4" t="s">
        <v>81</v>
      </c>
      <c r="B79" s="38">
        <f t="array" ref="B79">NPV(B32,45:45)</f>
        <v>404.3536573</v>
      </c>
      <c r="J79" s="30"/>
      <c r="K79" s="31"/>
    </row>
    <row r="80">
      <c r="A80" s="4" t="s">
        <v>82</v>
      </c>
      <c r="B80" s="38">
        <f t="array" ref="B80">NPV(B32,46:46)</f>
        <v>24348.12329</v>
      </c>
    </row>
    <row r="81">
      <c r="A81" s="4" t="s">
        <v>83</v>
      </c>
      <c r="B81" s="36">
        <f t="array" ref="B81">NPV(B32,43:43)</f>
        <v>4258687.191</v>
      </c>
    </row>
    <row r="82">
      <c r="A82" s="4" t="s">
        <v>84</v>
      </c>
      <c r="B82" s="36">
        <f>B81/B80</f>
        <v>174.9082317</v>
      </c>
    </row>
    <row r="83">
      <c r="A83" s="9" t="s">
        <v>19</v>
      </c>
      <c r="B83" s="4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4" t="s">
        <v>81</v>
      </c>
      <c r="B84" s="38">
        <f t="array" ref="B84">NPV(B32,55:55)</f>
        <v>819.5250878</v>
      </c>
    </row>
    <row r="85">
      <c r="A85" s="4" t="s">
        <v>82</v>
      </c>
      <c r="B85" s="38">
        <f t="array" ref="B85">NPV(B32,56:56)</f>
        <v>49347.63794</v>
      </c>
    </row>
    <row r="86">
      <c r="A86" s="4" t="s">
        <v>83</v>
      </c>
      <c r="B86" s="36">
        <f t="array" ref="B86">NPV(B32,53:53)</f>
        <v>6159796.218</v>
      </c>
    </row>
    <row r="87">
      <c r="A87" s="4" t="s">
        <v>85</v>
      </c>
      <c r="B87" s="36">
        <f>B86/B85</f>
        <v>124.8245403</v>
      </c>
    </row>
    <row r="88">
      <c r="A88" s="9" t="s">
        <v>22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4" t="s">
        <v>81</v>
      </c>
      <c r="B89" s="38">
        <f t="array" ref="B89">NPV(B32,65:65)</f>
        <v>212.7320345</v>
      </c>
    </row>
    <row r="90">
      <c r="A90" s="4" t="s">
        <v>82</v>
      </c>
      <c r="B90" s="38">
        <f t="array" ref="B90">NPV(B32,66:66)</f>
        <v>12809.64253</v>
      </c>
    </row>
    <row r="91">
      <c r="A91" s="4" t="s">
        <v>83</v>
      </c>
      <c r="B91" s="36">
        <f t="array" ref="B91">NPV(B32,63:63)</f>
        <v>3381233.758</v>
      </c>
    </row>
    <row r="92">
      <c r="A92" s="4" t="s">
        <v>85</v>
      </c>
      <c r="B92" s="36">
        <f>B91/B90</f>
        <v>263.9600403</v>
      </c>
    </row>
    <row r="93">
      <c r="A93" s="43" t="s">
        <v>25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33" t="s">
        <v>81</v>
      </c>
      <c r="B94" s="45">
        <f t="array" ref="B94">NPV(B32,75:75)</f>
        <v>350.7374126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33" t="s">
        <v>82</v>
      </c>
      <c r="B95" s="45">
        <f t="array" ref="B95">NPV(B32,76:76)</f>
        <v>21119.62539</v>
      </c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33" t="s">
        <v>83</v>
      </c>
      <c r="B96" s="47">
        <f t="array" ref="B96">NPV(B32,73:73)</f>
        <v>4013173.364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33" t="s">
        <v>85</v>
      </c>
      <c r="B97" s="47">
        <f>B96/B95</f>
        <v>190.0210487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9" t="s">
        <v>86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4" t="s">
        <v>81</v>
      </c>
      <c r="B99" s="38">
        <f t="shared" ref="B99:B102" si="37">AVERAGE(B79,B84,B89,B94)</f>
        <v>446.8370481</v>
      </c>
    </row>
    <row r="100">
      <c r="A100" s="4" t="s">
        <v>82</v>
      </c>
      <c r="B100" s="38">
        <f t="shared" si="37"/>
        <v>26906.25729</v>
      </c>
    </row>
    <row r="101">
      <c r="A101" s="4" t="s">
        <v>83</v>
      </c>
      <c r="B101" s="36">
        <f t="shared" si="37"/>
        <v>4453222.633</v>
      </c>
    </row>
    <row r="102">
      <c r="A102" s="4" t="s">
        <v>85</v>
      </c>
      <c r="B102" s="36">
        <f t="shared" si="37"/>
        <v>188.4284652</v>
      </c>
    </row>
    <row r="103">
      <c r="A103" s="9" t="s">
        <v>87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4" t="s">
        <v>88</v>
      </c>
      <c r="B104" s="40">
        <f>SUM(42:42,52:52,62:62,72:72)/B7</f>
        <v>51639.0148</v>
      </c>
    </row>
    <row r="105">
      <c r="A105" s="4" t="s">
        <v>81</v>
      </c>
      <c r="B105" s="40">
        <f t="shared" ref="B105:B106" si="38">SUM(B84,B89,B94,B99)</f>
        <v>1829.831583</v>
      </c>
    </row>
    <row r="106">
      <c r="A106" s="4" t="s">
        <v>82</v>
      </c>
      <c r="B106" s="40">
        <f t="shared" si="38"/>
        <v>110183.1631</v>
      </c>
    </row>
    <row r="107">
      <c r="A107" s="4" t="s">
        <v>83</v>
      </c>
      <c r="B107" s="40">
        <f t="array" ref="B107">SUM(B86,B91,B96,B101)-NPV(B32,60:60)*3</f>
        <v>10786084.68</v>
      </c>
    </row>
    <row r="108">
      <c r="A108" s="4" t="s">
        <v>85</v>
      </c>
      <c r="B108" s="36">
        <f>B107/B106</f>
        <v>97.89231287</v>
      </c>
    </row>
    <row r="109">
      <c r="A109" s="4" t="s">
        <v>89</v>
      </c>
      <c r="B109" s="36">
        <f>1000*(1/B108)</f>
        <v>10.2153067</v>
      </c>
    </row>
    <row r="111">
      <c r="A111" s="38"/>
    </row>
  </sheetData>
  <hyperlinks>
    <hyperlink r:id="rId1" ref="G10"/>
    <hyperlink r:id="rId2" ref="G12"/>
    <hyperlink r:id="rId3" ref="G14"/>
    <hyperlink r:id="rId4" ref="G16"/>
    <hyperlink r:id="rId5" ref="G19"/>
    <hyperlink r:id="rId6" ref="G20"/>
    <hyperlink r:id="rId7" ref="G21"/>
    <hyperlink r:id="rId8" ref="G22"/>
    <hyperlink r:id="rId9" ref="G23"/>
    <hyperlink r:id="rId10" ref="G24"/>
    <hyperlink r:id="rId11" ref="G25"/>
    <hyperlink r:id="rId12" location="gid=324518670" ref="G33"/>
    <hyperlink r:id="rId13" ref="G35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3.5"/>
    <col customWidth="1" min="4" max="4" width="87.13"/>
  </cols>
  <sheetData>
    <row r="1">
      <c r="A1" s="48" t="s">
        <v>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50" t="s">
        <v>91</v>
      </c>
      <c r="B2" s="50" t="s">
        <v>92</v>
      </c>
      <c r="C2" s="50" t="s">
        <v>93</v>
      </c>
    </row>
    <row r="3">
      <c r="A3" s="4" t="s">
        <v>94</v>
      </c>
      <c r="B3" s="51">
        <v>0.335</v>
      </c>
      <c r="C3" s="4">
        <v>972.0</v>
      </c>
    </row>
    <row r="4">
      <c r="A4" s="4" t="s">
        <v>95</v>
      </c>
      <c r="B4" s="51">
        <v>0.205</v>
      </c>
      <c r="C4" s="4">
        <v>8482.0</v>
      </c>
    </row>
    <row r="5">
      <c r="A5" s="4" t="s">
        <v>96</v>
      </c>
      <c r="B5" s="51">
        <v>0.275</v>
      </c>
      <c r="C5" s="4">
        <v>1040.0</v>
      </c>
    </row>
    <row r="6">
      <c r="A6" s="52" t="s">
        <v>97</v>
      </c>
      <c r="B6" s="53">
        <f>((B3*C3)+(B4*C4)+(B5*C5))/SUM(C3:C5)</f>
        <v>0.2239784639</v>
      </c>
    </row>
    <row r="7">
      <c r="A7" s="48" t="s">
        <v>98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>
      <c r="A8" s="50" t="s">
        <v>99</v>
      </c>
      <c r="B8" s="54" t="s">
        <v>100</v>
      </c>
      <c r="C8" s="55" t="s">
        <v>101</v>
      </c>
      <c r="D8" s="50" t="s">
        <v>102</v>
      </c>
      <c r="E8" s="50" t="s">
        <v>3</v>
      </c>
    </row>
    <row r="9">
      <c r="A9" s="4" t="s">
        <v>103</v>
      </c>
      <c r="B9" s="51">
        <f>133/1000</f>
        <v>0.133</v>
      </c>
      <c r="C9" s="4">
        <v>776.0</v>
      </c>
      <c r="D9" s="4" t="s">
        <v>104</v>
      </c>
      <c r="E9" s="13" t="s">
        <v>105</v>
      </c>
    </row>
    <row r="10">
      <c r="A10" s="4" t="s">
        <v>106</v>
      </c>
      <c r="B10" s="51">
        <v>0.111</v>
      </c>
      <c r="C10" s="4">
        <v>885.0</v>
      </c>
      <c r="D10" s="4" t="s">
        <v>107</v>
      </c>
      <c r="E10" s="13" t="s">
        <v>108</v>
      </c>
    </row>
    <row r="11">
      <c r="A11" s="4" t="s">
        <v>109</v>
      </c>
      <c r="B11" s="51">
        <v>0.083</v>
      </c>
      <c r="C11" s="4">
        <v>216.0</v>
      </c>
      <c r="D11" s="4" t="s">
        <v>110</v>
      </c>
      <c r="E11" s="13" t="s">
        <v>111</v>
      </c>
    </row>
    <row r="12">
      <c r="A12" s="26" t="s">
        <v>112</v>
      </c>
      <c r="B12" s="51">
        <v>0.152</v>
      </c>
      <c r="C12" s="56" t="s">
        <v>113</v>
      </c>
      <c r="D12" s="20" t="s">
        <v>114</v>
      </c>
      <c r="E12" s="13" t="s">
        <v>115</v>
      </c>
    </row>
    <row r="13">
      <c r="A13" s="52" t="s">
        <v>116</v>
      </c>
      <c r="B13" s="53">
        <f>AVERAGE((B9*C9+B10*C10+B11*C11)/SUM(C9:C11),B12)</f>
        <v>0.134436601</v>
      </c>
      <c r="D13" s="4" t="s">
        <v>117</v>
      </c>
    </row>
    <row r="15">
      <c r="A15" s="57"/>
    </row>
    <row r="16">
      <c r="A16" s="57"/>
    </row>
    <row r="17">
      <c r="A17" s="57"/>
    </row>
  </sheetData>
  <hyperlinks>
    <hyperlink r:id="rId1" ref="E9"/>
    <hyperlink r:id="rId2" ref="E10"/>
    <hyperlink r:id="rId3" ref="E11"/>
    <hyperlink r:id="rId4" location="no-access-message" ref="E1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</cols>
  <sheetData>
    <row r="1">
      <c r="A1" s="48" t="s">
        <v>118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 t="s">
        <v>119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8" t="s">
        <v>99</v>
      </c>
      <c r="B3" s="50" t="s">
        <v>97</v>
      </c>
      <c r="C3" s="50" t="s">
        <v>102</v>
      </c>
      <c r="D3" s="50" t="s">
        <v>120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4" t="s">
        <v>121</v>
      </c>
      <c r="B4" s="39">
        <v>455.0</v>
      </c>
      <c r="C4" s="4" t="s">
        <v>122</v>
      </c>
      <c r="D4" s="4" t="s">
        <v>123</v>
      </c>
    </row>
    <row r="5">
      <c r="A5" s="48" t="s">
        <v>124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 t="s">
        <v>99</v>
      </c>
      <c r="B6" s="50" t="s">
        <v>97</v>
      </c>
      <c r="C6" s="50" t="s">
        <v>102</v>
      </c>
      <c r="D6" s="60" t="s">
        <v>3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39" t="s">
        <v>121</v>
      </c>
      <c r="B7" s="39">
        <v>72.0</v>
      </c>
      <c r="C7" s="4" t="s">
        <v>125</v>
      </c>
      <c r="D7" s="13" t="s">
        <v>126</v>
      </c>
    </row>
    <row r="8">
      <c r="A8" s="48" t="s">
        <v>127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8" t="s">
        <v>99</v>
      </c>
      <c r="B9" s="50" t="s">
        <v>97</v>
      </c>
      <c r="C9" s="50" t="s">
        <v>102</v>
      </c>
      <c r="D9" s="60" t="s">
        <v>3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4" t="s">
        <v>128</v>
      </c>
      <c r="B10" s="61">
        <v>11788.0</v>
      </c>
    </row>
    <row r="11">
      <c r="A11" s="4" t="s">
        <v>129</v>
      </c>
      <c r="B11" s="61">
        <v>7501.0</v>
      </c>
    </row>
    <row r="12">
      <c r="A12" s="4" t="s">
        <v>130</v>
      </c>
      <c r="B12" s="62">
        <v>149.0</v>
      </c>
    </row>
    <row r="13">
      <c r="A13" s="63" t="s">
        <v>121</v>
      </c>
      <c r="B13" s="39">
        <f>SUM(B10:B11)/B12</f>
        <v>129.4563758</v>
      </c>
      <c r="C13" s="4" t="s">
        <v>125</v>
      </c>
      <c r="D13" s="13" t="s">
        <v>126</v>
      </c>
    </row>
    <row r="14" ht="15.0" customHeight="1">
      <c r="A14" s="48" t="s">
        <v>131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64" t="s">
        <v>132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50" t="s">
        <v>99</v>
      </c>
      <c r="B16" s="54" t="s">
        <v>100</v>
      </c>
      <c r="C16" s="50" t="s">
        <v>102</v>
      </c>
      <c r="D16" s="50" t="s">
        <v>3</v>
      </c>
    </row>
    <row r="17">
      <c r="A17" s="4" t="s">
        <v>133</v>
      </c>
      <c r="B17" s="37">
        <f>37500*12</f>
        <v>450000</v>
      </c>
      <c r="C17" s="4" t="s">
        <v>134</v>
      </c>
      <c r="D17" s="13" t="s">
        <v>135</v>
      </c>
    </row>
    <row r="18" ht="15.0" customHeight="1">
      <c r="A18" s="4" t="s">
        <v>136</v>
      </c>
      <c r="B18" s="37">
        <v>267998.72041</v>
      </c>
      <c r="C18" s="4" t="s">
        <v>137</v>
      </c>
      <c r="D18" s="66" t="s">
        <v>138</v>
      </c>
    </row>
    <row r="19">
      <c r="A19" s="52" t="s">
        <v>139</v>
      </c>
      <c r="B19" s="67">
        <f>IFERROR(__xludf.DUMMYFUNCTION("GOOGLEFINANCE(""currency:pkrusd"")*AVERAGE(B17:B18)"),1289.8488012805449)</f>
        <v>1289.848801</v>
      </c>
      <c r="C19" s="52"/>
      <c r="D19" s="52"/>
    </row>
    <row r="20">
      <c r="A20" s="64" t="s">
        <v>140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50" t="s">
        <v>99</v>
      </c>
      <c r="B21" s="54" t="s">
        <v>100</v>
      </c>
      <c r="C21" s="50" t="s">
        <v>102</v>
      </c>
      <c r="D21" s="50" t="s">
        <v>3</v>
      </c>
    </row>
    <row r="22">
      <c r="A22" s="4" t="s">
        <v>133</v>
      </c>
      <c r="B22" s="37">
        <f>47100*12</f>
        <v>565200</v>
      </c>
      <c r="C22" s="4" t="s">
        <v>141</v>
      </c>
      <c r="D22" s="13" t="s">
        <v>142</v>
      </c>
    </row>
    <row r="23" ht="15.0" customHeight="1">
      <c r="A23" s="4" t="s">
        <v>136</v>
      </c>
      <c r="B23" s="37">
        <v>353817.84057</v>
      </c>
      <c r="C23" s="4" t="s">
        <v>143</v>
      </c>
      <c r="D23" s="66" t="s">
        <v>138</v>
      </c>
    </row>
    <row r="24">
      <c r="A24" s="52" t="s">
        <v>139</v>
      </c>
      <c r="B24" s="67">
        <f>IFERROR(__xludf.DUMMYFUNCTION("GOOGLEFINANCE(""currency:pkrusd"")*AVERAGE(B22:B23)"),1650.9695996919768)</f>
        <v>1650.9696</v>
      </c>
      <c r="C24" s="52"/>
      <c r="D24" s="52"/>
    </row>
    <row r="25">
      <c r="A25" s="64" t="s">
        <v>144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4" t="s">
        <v>145</v>
      </c>
      <c r="B26" s="37">
        <f>15/540</f>
        <v>0.02777777778</v>
      </c>
      <c r="C26" s="4" t="s">
        <v>146</v>
      </c>
      <c r="G26" s="4"/>
    </row>
    <row r="27">
      <c r="A27" s="4" t="s">
        <v>147</v>
      </c>
      <c r="B27" s="37">
        <f>4/540</f>
        <v>0.007407407407</v>
      </c>
      <c r="C27" s="4" t="s">
        <v>148</v>
      </c>
      <c r="G27" s="4"/>
    </row>
    <row r="28">
      <c r="A28" s="4" t="s">
        <v>149</v>
      </c>
      <c r="B28" s="37">
        <f>11/540</f>
        <v>0.02037037037</v>
      </c>
      <c r="C28" s="4" t="s">
        <v>150</v>
      </c>
      <c r="G28" s="4"/>
    </row>
    <row r="29">
      <c r="A29" s="64" t="s">
        <v>151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4" t="s">
        <v>152</v>
      </c>
      <c r="B30" s="39">
        <v>3.63</v>
      </c>
      <c r="C30" s="4" t="s">
        <v>153</v>
      </c>
      <c r="D30" s="13" t="s">
        <v>154</v>
      </c>
    </row>
    <row r="31">
      <c r="A31" s="52" t="s">
        <v>155</v>
      </c>
      <c r="B31" s="67">
        <f>(B19*B26+B24*B27+(B19/2)*B28)+B30</f>
        <v>64.82588671</v>
      </c>
      <c r="C31" s="68" t="s">
        <v>156</v>
      </c>
    </row>
    <row r="32" ht="15.0" customHeight="1">
      <c r="A32" s="48" t="s">
        <v>157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50" t="s">
        <v>99</v>
      </c>
      <c r="B33" s="54" t="s">
        <v>100</v>
      </c>
      <c r="C33" s="50" t="s">
        <v>102</v>
      </c>
      <c r="D33" s="50" t="s">
        <v>3</v>
      </c>
    </row>
    <row r="34">
      <c r="A34" s="4" t="s">
        <v>158</v>
      </c>
      <c r="B34" s="37">
        <f>ROUND(100*(6.61/365)*1.5,0)</f>
        <v>3</v>
      </c>
      <c r="C34" s="4" t="s">
        <v>159</v>
      </c>
      <c r="D34" s="25" t="s">
        <v>46</v>
      </c>
      <c r="E34" s="25" t="s">
        <v>160</v>
      </c>
      <c r="F34" s="25" t="s">
        <v>161</v>
      </c>
      <c r="G34" s="25" t="s">
        <v>162</v>
      </c>
    </row>
    <row r="35">
      <c r="A35" s="4" t="s">
        <v>163</v>
      </c>
      <c r="B35" s="37">
        <f>ROUND((B34/8)*3*(7/5),0)</f>
        <v>2</v>
      </c>
      <c r="C35" s="4" t="s">
        <v>164</v>
      </c>
      <c r="D35" s="25" t="s">
        <v>46</v>
      </c>
    </row>
    <row r="36">
      <c r="A36" s="4" t="s">
        <v>165</v>
      </c>
      <c r="B36" s="37">
        <f>(B35/100)*B19+B30</f>
        <v>29.42697603</v>
      </c>
      <c r="C36" s="4" t="s">
        <v>166</v>
      </c>
      <c r="D36" s="4"/>
    </row>
    <row r="37" ht="15.0" customHeight="1">
      <c r="A37" s="48" t="s">
        <v>167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0" t="s">
        <v>168</v>
      </c>
      <c r="B38" s="50" t="s">
        <v>169</v>
      </c>
      <c r="C38" s="50" t="s">
        <v>170</v>
      </c>
    </row>
    <row r="39">
      <c r="A39" s="4" t="s">
        <v>171</v>
      </c>
      <c r="B39" s="36">
        <f>B4</f>
        <v>455</v>
      </c>
      <c r="C39" s="4">
        <v>12.0</v>
      </c>
      <c r="D39" s="4" t="s">
        <v>172</v>
      </c>
    </row>
    <row r="40">
      <c r="A40" s="4" t="s">
        <v>173</v>
      </c>
      <c r="B40" s="36">
        <f>B7</f>
        <v>72</v>
      </c>
      <c r="C40" s="4">
        <v>3.0</v>
      </c>
    </row>
    <row r="41">
      <c r="A41" s="4" t="s">
        <v>109</v>
      </c>
      <c r="B41" s="36">
        <f>B13</f>
        <v>129.4563758</v>
      </c>
      <c r="C41" s="4">
        <v>3.0</v>
      </c>
    </row>
    <row r="42">
      <c r="A42" s="4" t="s">
        <v>174</v>
      </c>
      <c r="B42" s="36">
        <f>B31</f>
        <v>64.82588671</v>
      </c>
      <c r="C42" s="4">
        <v>3.0</v>
      </c>
    </row>
    <row r="43">
      <c r="A43" s="4" t="s">
        <v>175</v>
      </c>
      <c r="B43" s="36">
        <f>B36</f>
        <v>29.42697603</v>
      </c>
      <c r="C43" s="4">
        <v>3.0</v>
      </c>
    </row>
    <row r="44">
      <c r="A44" s="4" t="s">
        <v>176</v>
      </c>
      <c r="B44" s="36">
        <f>(B39*C39+B40*C40+B41*C41+B42*C42+B43*C43)/SUM(C39:C43)</f>
        <v>264.4636548</v>
      </c>
    </row>
    <row r="45">
      <c r="A45" s="4"/>
    </row>
    <row r="46" ht="15.0" customHeight="1">
      <c r="A46" s="48" t="s">
        <v>177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" t="s">
        <v>178</v>
      </c>
      <c r="B47" s="39">
        <v>20000.0</v>
      </c>
      <c r="C47" s="4" t="s">
        <v>179</v>
      </c>
      <c r="D47" s="13" t="s">
        <v>180</v>
      </c>
    </row>
    <row r="48">
      <c r="A48" s="4" t="s">
        <v>181</v>
      </c>
      <c r="B48" s="39">
        <v>911.0</v>
      </c>
      <c r="C48" s="50"/>
      <c r="D48" s="13" t="s">
        <v>180</v>
      </c>
    </row>
    <row r="49" ht="15.0" customHeight="1">
      <c r="A49" s="48" t="s">
        <v>182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" t="s">
        <v>183</v>
      </c>
      <c r="B50" s="39">
        <v>17088.0</v>
      </c>
      <c r="C50" s="50"/>
    </row>
    <row r="51">
      <c r="A51" s="26" t="s">
        <v>184</v>
      </c>
      <c r="B51" s="39">
        <v>1556.0</v>
      </c>
      <c r="C51" s="50"/>
    </row>
    <row r="52">
      <c r="A52" s="26" t="s">
        <v>185</v>
      </c>
      <c r="B52" s="39">
        <v>1515.0</v>
      </c>
      <c r="C52" s="50"/>
    </row>
    <row r="53">
      <c r="A53" s="26" t="s">
        <v>186</v>
      </c>
      <c r="B53" s="39">
        <v>841.0</v>
      </c>
      <c r="C53" s="50"/>
    </row>
    <row r="54">
      <c r="A54" s="26" t="s">
        <v>187</v>
      </c>
      <c r="B54" s="39">
        <v>650.0</v>
      </c>
      <c r="C54" s="50"/>
    </row>
    <row r="55">
      <c r="A55" s="26" t="s">
        <v>188</v>
      </c>
      <c r="B55" s="39">
        <v>768.0</v>
      </c>
      <c r="C55" s="50"/>
    </row>
    <row r="56">
      <c r="A56" s="26" t="s">
        <v>189</v>
      </c>
      <c r="B56" s="39">
        <v>695.0</v>
      </c>
      <c r="C56" s="50"/>
    </row>
    <row r="57">
      <c r="A57" s="52" t="s">
        <v>190</v>
      </c>
      <c r="B57" s="67">
        <f>SUM(B50:B56)</f>
        <v>23113</v>
      </c>
      <c r="C57" s="4" t="s">
        <v>191</v>
      </c>
      <c r="D57" s="13" t="s">
        <v>192</v>
      </c>
    </row>
    <row r="58">
      <c r="A58" s="52" t="s">
        <v>193</v>
      </c>
      <c r="B58" s="67">
        <f>B57-B50</f>
        <v>6025</v>
      </c>
      <c r="C58" s="4" t="s">
        <v>194</v>
      </c>
      <c r="D58" s="13" t="s">
        <v>195</v>
      </c>
    </row>
    <row r="59" ht="15.0" customHeight="1">
      <c r="A59" s="48" t="s">
        <v>196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" t="s">
        <v>197</v>
      </c>
      <c r="B60" s="39">
        <v>115.0</v>
      </c>
      <c r="C60" s="4" t="s">
        <v>198</v>
      </c>
      <c r="D60" s="20"/>
      <c r="F60" s="7" t="s">
        <v>199</v>
      </c>
    </row>
    <row r="61" ht="15.0" customHeight="1">
      <c r="A61" s="48" t="s">
        <v>200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" t="s">
        <v>201</v>
      </c>
      <c r="B62" s="36">
        <f>IFERROR(__xludf.DUMMYFUNCTION("AVERAGE.WEIGHTED(B47,1,B58,2)"),10683.333333333334)</f>
        <v>10683.33333</v>
      </c>
      <c r="C62" s="4" t="s">
        <v>202</v>
      </c>
    </row>
    <row r="63">
      <c r="A63" s="4" t="s">
        <v>203</v>
      </c>
      <c r="B63" s="36">
        <f>(B35*B60)/100</f>
        <v>2.3</v>
      </c>
      <c r="C63" s="4" t="s">
        <v>204</v>
      </c>
    </row>
    <row r="64">
      <c r="A64" s="4" t="s">
        <v>205</v>
      </c>
      <c r="B64" s="37">
        <f>21/(100/7)</f>
        <v>1.47</v>
      </c>
      <c r="C64" s="4" t="s">
        <v>206</v>
      </c>
      <c r="D64" s="69" t="s">
        <v>180</v>
      </c>
    </row>
    <row r="65">
      <c r="A65" s="4" t="s">
        <v>207</v>
      </c>
      <c r="B65" s="36">
        <f>B63*B64</f>
        <v>3.381</v>
      </c>
    </row>
  </sheetData>
  <hyperlinks>
    <hyperlink r:id="rId1" ref="D7"/>
    <hyperlink r:id="rId2" ref="D13"/>
    <hyperlink r:id="rId3" ref="D17"/>
    <hyperlink r:id="rId4" ref="D22"/>
    <hyperlink r:id="rId5" ref="D30"/>
    <hyperlink r:id="rId6" ref="D34"/>
    <hyperlink r:id="rId7" ref="E34"/>
    <hyperlink r:id="rId8" ref="F34"/>
    <hyperlink r:id="rId9" ref="G34"/>
    <hyperlink r:id="rId10" ref="D35"/>
    <hyperlink r:id="rId11" ref="D47"/>
    <hyperlink r:id="rId12" ref="D48"/>
    <hyperlink r:id="rId13" ref="D57"/>
    <hyperlink r:id="rId14" ref="D58"/>
    <hyperlink r:id="rId15" ref="D64"/>
  </hyperlinks>
  <drawing r:id="rId16"/>
</worksheet>
</file>