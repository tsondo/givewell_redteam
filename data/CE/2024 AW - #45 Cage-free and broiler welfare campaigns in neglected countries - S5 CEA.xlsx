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verage cost-effectiveness" sheetId="1" r:id="rId5"/>
    <sheet state="visible" name="Cage-free (UAE)" sheetId="2" r:id="rId6"/>
    <sheet state="visible" name="Cage-free (Saudi Arabia)" sheetId="3" r:id="rId7"/>
    <sheet state="visible" name="Cage-free (Egypt)" sheetId="4" r:id="rId8"/>
    <sheet state="visible" name="Broiler welfare (Costa Rica)" sheetId="5" r:id="rId9"/>
    <sheet state="visible" name="Broiler welfare (El Salvador)" sheetId="6" r:id="rId10"/>
    <sheet state="visible" name="Broiler welfare (Guatemala)" sheetId="7" r:id="rId11"/>
    <sheet state="visible" name="Broiler welfare (Honduras)" sheetId="8" r:id="rId12"/>
    <sheet state="visible" name="Broiler welfare (Nicaragua)" sheetId="9" r:id="rId13"/>
    <sheet state="visible" name="Broiler welfare (Ireland)" sheetId="10" r:id="rId14"/>
    <sheet state="visible" name="Calculations" sheetId="11" r:id="rId15"/>
  </sheets>
  <definedNames/>
  <calcPr/>
</workbook>
</file>

<file path=xl/sharedStrings.xml><?xml version="1.0" encoding="utf-8"?>
<sst xmlns="http://schemas.openxmlformats.org/spreadsheetml/2006/main" count="989" uniqueCount="184">
  <si>
    <t>Cage-free</t>
  </si>
  <si>
    <t>UAE</t>
  </si>
  <si>
    <t>Saudi Arabia</t>
  </si>
  <si>
    <t>Egypt</t>
  </si>
  <si>
    <t>AVG</t>
  </si>
  <si>
    <t>Discounted costs</t>
  </si>
  <si>
    <t>Discounted benefits</t>
  </si>
  <si>
    <t>SADs averted/$</t>
  </si>
  <si>
    <t>Broiler welfare</t>
  </si>
  <si>
    <t>Costa Rica</t>
  </si>
  <si>
    <t>El Salvador</t>
  </si>
  <si>
    <t>Guatemala</t>
  </si>
  <si>
    <t>Honduras</t>
  </si>
  <si>
    <t>Nicaragua</t>
  </si>
  <si>
    <t>Ireland</t>
  </si>
  <si>
    <t>Inputs</t>
  </si>
  <si>
    <t>Expected</t>
  </si>
  <si>
    <t>Description</t>
  </si>
  <si>
    <t>Source</t>
  </si>
  <si>
    <t>Costs</t>
  </si>
  <si>
    <t>Fixed costs (Year 1)</t>
  </si>
  <si>
    <t>Held constant across all CEAs</t>
  </si>
  <si>
    <t>-</t>
  </si>
  <si>
    <t>Fixed costs (At scale)</t>
  </si>
  <si>
    <t>Variable costs - Cost of running corporate campaigns</t>
  </si>
  <si>
    <t>Cost of corporate campaigning taken from relevant ACE recommended charities (Kafessiz Türkiye, Shrimp Welfare Project, Sinergia Animal, and THL)</t>
  </si>
  <si>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</si>
  <si>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Charity years operating</t>
  </si>
  <si>
    <t>10 years for campaigning, 5 years for enforcement work. We will base this CEA off relevant cage-free data from the US. Cage-free campaigns have been ongoing in the US for about a decade now.</t>
  </si>
  <si>
    <t>Number of years until shut down</t>
  </si>
  <si>
    <t>Assume org will shut down after 3 years if no commitments have been won</t>
  </si>
  <si>
    <t>Years until implementation</t>
  </si>
  <si>
    <t>Assume we give them a ~10 year transition period (this was the case in the US where campaigns happened in late 2014 with a deadline of 2025). Conservative estimate that they will not go cage-free until deadline.</t>
  </si>
  <si>
    <t>Benefits</t>
  </si>
  <si>
    <t>Egg production (kg, 2022)</t>
  </si>
  <si>
    <t>UAE produced 58,453.33 tonnes of eggs in 2022 * 1,000 for kg</t>
  </si>
  <si>
    <t>https://ourworldindata.org/grapher/egg-production-thousand-tonnes?tab=table</t>
  </si>
  <si>
    <t>Number of eggs produced per hen (kg, 2022)</t>
  </si>
  <si>
    <t>Each hen in the UAE produces 12.4kg of eggs</t>
  </si>
  <si>
    <t>https://ourworldindata.org/grapher/egg-yield-per-bird?tab=table</t>
  </si>
  <si>
    <t>Number of layer hens (2022)</t>
  </si>
  <si>
    <t>Calculation: Egg production / number of eggs produced per hen</t>
  </si>
  <si>
    <t>Annual growth of egg production</t>
  </si>
  <si>
    <t>7% from USDA report - "Production is forecast to rise 7 percent in 2024 spurred by improved margins."
Average of growth rates over the previous 3 years as we are trying to project growth to 2025 from 2022 numbers.
2021-2022: -3%
2020-2021: +12%
2019-2020: -13%</t>
  </si>
  <si>
    <t>Capped at __ years</t>
  </si>
  <si>
    <t>Best guess for how long growth of production will stay at 4.67% as this likely wont continue forever</t>
  </si>
  <si>
    <t>Number of layer hens (2025)</t>
  </si>
  <si>
    <t>Calculated number of layer hens farmed in 2025 based on annual growth rates</t>
  </si>
  <si>
    <t>APPROACH 1</t>
  </si>
  <si>
    <t>% of production shifted to cage-free after 10 years of campaigning</t>
  </si>
  <si>
    <t>39%, 60% and 80% of hens in the US, Europe, and UK respectively were cage-free at the end of 2023 thanks to ~10 years of corporate campaigns.</t>
  </si>
  <si>
    <t>https://farmanimalwelfare.substack.com/p/a-year-of-wins-for-farmed-animals</t>
  </si>
  <si>
    <t>Probability of success</t>
  </si>
  <si>
    <t>Best guess.</t>
  </si>
  <si>
    <t>Number of layer hens affected – Approach 1</t>
  </si>
  <si>
    <t>Calculation</t>
  </si>
  <si>
    <t>Approach 1 weight</t>
  </si>
  <si>
    <t>Best guess</t>
  </si>
  <si>
    <t>APPROACH 2</t>
  </si>
  <si>
    <t>Best guess. Average of 29% from THL case study, 30% from Sinergia case study, and 15% for usual probability of success for corporate campaigns</t>
  </si>
  <si>
    <t>Corporations targeted make up what % of total production</t>
  </si>
  <si>
    <t>Best guess. This is the number we have used in previous CEAs.</t>
  </si>
  <si>
    <t>To account for corporations being targeted again in future years</t>
  </si>
  <si>
    <t>Enforcement rate of corporate campaigns</t>
  </si>
  <si>
    <t>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UAE (0.72 WJP regulatory enforcement score on average in Europe and 0.7 in UAE).</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</si>
  <si>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</si>
  <si>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t>Number of layer hens affected – Approach 2</t>
  </si>
  <si>
    <t>Approach 2 weight</t>
  </si>
  <si>
    <t>Adjustment to account for progress being harder outside of Europe and the US</t>
  </si>
  <si>
    <t>See calculations tab</t>
  </si>
  <si>
    <t>Adjustment to account for progress being harder as a good cop only type actor</t>
  </si>
  <si>
    <t>Analysis of number of commitments (per org) per country with just good cop actors vs good and bad cop actors - Note this uses 2023 numbers</t>
  </si>
  <si>
    <r>
      <rPr>
        <color rgb="FF1155CC"/>
        <u/>
      </rPr>
      <t>https://docs.google.com/spreadsheets/d/1-Acx-OYg8anoGT9jNYukdxowO-lPt2Biidxj1iT35Lw/edit?gid=1748706729#gid=1748706729</t>
    </r>
    <r>
      <rPr>
        <color rgb="FF000000"/>
      </rPr>
      <t xml:space="preserve"> </t>
    </r>
  </si>
  <si>
    <t>Expected number of layer hens removed from cages after 10 years of campaigning</t>
  </si>
  <si>
    <t>https://www.eurogroupforanimals.org/news/why-do-fast-growing-broiler-chicken-breeds-need-be-phased-out#:~:text=95%25%20of%20the%20broiler%20chickens,just%20five%20to%20six%20weeks.</t>
  </si>
  <si>
    <t>SADs averted per animal</t>
  </si>
  <si>
    <r>
      <rPr/>
      <t xml:space="preserve">~17.5 SADs averted when removing hens from battery cages and into aviaries (as hens are still in battery cages in Egypt*)
* Have assumed that as </t>
    </r>
    <r>
      <rPr>
        <color rgb="FF1155CC"/>
        <u/>
      </rPr>
      <t>there is no ban on battery cages</t>
    </r>
    <r>
      <rPr/>
      <t>, that hens are in these systems rather than other caged systems.</t>
    </r>
  </si>
  <si>
    <r>
      <rPr>
        <color rgb="FF1155CC"/>
        <u/>
      </rPr>
      <t>https://docs.google.com/spreadsheets/d/1DssnYoZKFSE3w_-E2PLuOImLUd56JK3JNoO6JHkmTPk/edit?gid=289821833#gid=289821833
https://www.gc-animalwelfare.org/wp-content/uploads/2024/02/GCAW-Knowledge-Share-Cage-Free-Eggs-Global-Landscape-Review-Executive-Summary.pdf</t>
    </r>
    <r>
      <rPr>
        <color rgb="FF000000"/>
      </rPr>
      <t xml:space="preserve"> </t>
    </r>
  </si>
  <si>
    <t>Discount rate (Costs)</t>
  </si>
  <si>
    <t>Base discount rate (Benefits)</t>
  </si>
  <si>
    <t>Annual chance that this would happen without our intervention</t>
  </si>
  <si>
    <t>Best guess - Some chance that global commitments will affect production and some chance that OWA will start actively recruiting and find an org.</t>
  </si>
  <si>
    <t>Effective discount rate (Benefits)</t>
  </si>
  <si>
    <t>Calculation: Sum of all relevant discount rates</t>
  </si>
  <si>
    <t>Calculations</t>
  </si>
  <si>
    <t>Year</t>
  </si>
  <si>
    <t>Total Costs</t>
  </si>
  <si>
    <t>Total number of SADs averted</t>
  </si>
  <si>
    <t>Results</t>
  </si>
  <si>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</si>
  <si>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Saudi Arabia produced 375,000 tonnes of eggs in 2022 * 1,000 for kg</t>
  </si>
  <si>
    <t>Each hen in Saudi Arabia produces 11.12kg of eggs</t>
  </si>
  <si>
    <t>Average of growth rates over the previous 3 years as we are trying to project growth to 2025 from 2022 numbers.
2021-2022: 4%
2020-2021: 3%
2019-2020: -8%</t>
  </si>
  <si>
    <t>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UAE (0.72 WJP regulatory enforcement score on average in Europe and 0.7 in UAE). Had to use UAE numbers as WJP doesn't have data on Saudi Arabia.</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</si>
  <si>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</si>
  <si>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r>
      <rPr>
        <color rgb="FF1155CC"/>
        <u/>
      </rPr>
      <t>https://docs.google.com/spreadsheets/d/1-Acx-OYg8anoGT9jNYukdxowO-lPt2Biidxj1iT35Lw/edit?gid=1748706729#gid=1748706729</t>
    </r>
    <r>
      <rPr>
        <color rgb="FF000000"/>
      </rPr>
      <t xml:space="preserve"> </t>
    </r>
  </si>
  <si>
    <r>
      <rPr/>
      <t xml:space="preserve">~17.5 SADs averted when removing hens from battery cages and into aviaries (as hens are still in battery cages in Egypt*)
* Have assumed that as </t>
    </r>
    <r>
      <rPr>
        <color rgb="FF1155CC"/>
        <u/>
      </rPr>
      <t>there is no ban on battery cages</t>
    </r>
    <r>
      <rPr/>
      <t>, that hens are in these systems rather than other caged systems.</t>
    </r>
  </si>
  <si>
    <r>
      <rPr>
        <color rgb="FF1155CC"/>
        <u/>
      </rPr>
      <t>https://docs.google.com/spreadsheets/d/1DssnYoZKFSE3w_-E2PLuOImLUd56JK3JNoO6JHkmTPk/edit?gid=289821833#gid=289821833
https://www.gc-animalwelfare.org/wp-content/uploads/2024/02/GCAW-Knowledge-Share-Cage-Free-Eggs-Global-Landscape-Review-Executive-Summary.pdf</t>
    </r>
    <r>
      <rPr>
        <color rgb="FF000000"/>
      </rPr>
      <t xml:space="preserve"> </t>
    </r>
  </si>
  <si>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</si>
  <si>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Egypt produced 614,154 tonnes of eggs in 2022 * 1,000 for kg</t>
  </si>
  <si>
    <t>Each hen in Egypt produces 17.55kg of eggs</t>
  </si>
  <si>
    <t>Average of growth rates over the previous 3 years as we are trying to project growth to 2025 from 2022 numbers.
2021-2022: -6%
2020-2021: 9%
2019-2020: 11%</t>
  </si>
  <si>
    <t xml:space="preserve">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UAE (0.72 WJP regulatory enforcement score on average in Europe and 0.36 in Egypt). </t>
  </si>
  <si>
    <r>
      <rPr>
        <color rgb="FF1155CC"/>
        <u/>
      </rPr>
      <t>https://forum.effectivealtruism.org/posts/L5EZjjXKdNgcm253H/corporate-campaigns-affect-9-to-120-years-of-chicken-life
https://forum.effectivealtruism.org/posts/SG38cPw5C7wLXAeFn/89-of-cage-free-egg-commitments-with-deadlines-of-2023-or</t>
    </r>
    <r>
      <rPr/>
      <t xml:space="preserve"> 
</t>
    </r>
    <r>
      <rPr>
        <color rgb="FF1155CC"/>
        <u/>
      </rPr>
      <t>https://forum.effectivealtruism.org/posts/JWcNfLAJCxMPZCdCu/35-independent-pieces-of-evidence-for-why-new-corporate</t>
    </r>
    <r>
      <rPr/>
      <t xml:space="preserve"> 
</t>
    </r>
    <r>
      <rPr>
        <color rgb="FF1155CC"/>
        <u/>
      </rPr>
      <t>https://worldjusticeproject.org/rule-of-law-index/country/2023/United%20Arab%20Emirates/Regulatory%20Enforcement/</t>
    </r>
    <r>
      <rPr/>
      <t xml:space="preserve"> </t>
    </r>
  </si>
  <si>
    <t>Adjustment to account for some hens already been in cage-free systems</t>
  </si>
  <si>
    <t>50% of eggs are already produced in cage free systems in Egpyt</t>
  </si>
  <si>
    <t>https://www.gc-animalwelfare.org/wp-content/uploads/2024/02/GCAW-Knowledge-Share-Cage-Free-Eggs-Global-Landscape-Review-Executive-Summary.pdf</t>
  </si>
  <si>
    <r>
      <rPr>
        <color rgb="FF1155CC"/>
        <u/>
      </rPr>
      <t>https://docs.google.com/spreadsheets/d/1-Acx-OYg8anoGT9jNYukdxowO-lPt2Biidxj1iT35Lw/edit?gid=1748706729#gid=1748706729</t>
    </r>
    <r>
      <rPr>
        <color rgb="FF000000"/>
      </rPr>
      <t xml:space="preserve"> </t>
    </r>
  </si>
  <si>
    <r>
      <rPr/>
      <t xml:space="preserve">~17.5 SADs averted when removing hens from battery cages and into aviaries (as hens are still in battery cages in Egypt*)
* Have assumed that as </t>
    </r>
    <r>
      <rPr>
        <color rgb="FF1155CC"/>
        <u/>
      </rPr>
      <t>there is no ban on battery cages</t>
    </r>
    <r>
      <rPr/>
      <t>, that hens are in these systems rather than other caged systems.</t>
    </r>
  </si>
  <si>
    <r>
      <rPr>
        <color rgb="FF1155CC"/>
        <u/>
      </rPr>
      <t>https://docs.google.com/spreadsheets/d/1DssnYoZKFSE3w_-E2PLuOImLUd56JK3JNoO6JHkmTPk/edit?gid=289821833#gid=289821833
https://www.gc-animalwelfare.org/wp-content/uploads/2024/02/GCAW-Knowledge-Share-Cage-Free-Eggs-Global-Landscape-Review-Executive-Summary.pdf</t>
    </r>
    <r>
      <rPr>
        <color rgb="FF000000"/>
      </rPr>
      <t xml:space="preserve"> </t>
    </r>
  </si>
  <si>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</si>
  <si>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Chicken meat production (kg, 2022)</t>
  </si>
  <si>
    <t>Costa Rica produced 152,238 tonnes of chicken meat in 2022 * 1,000 for kg</t>
  </si>
  <si>
    <t>https://ourworldindata.org/grapher/chicken-meat-production?tab=table</t>
  </si>
  <si>
    <t>Meat yield per bird (kg, 2022)</t>
  </si>
  <si>
    <t>Each chicken in Costa Rica produces 1.89kg of meat</t>
  </si>
  <si>
    <t>https://ourworldindata.org/grapher/chicken-meat-yields-per-animal</t>
  </si>
  <si>
    <t>Number of broiler chickens (2022)</t>
  </si>
  <si>
    <t>Calculation: Chicken meat production / meat yield per bird</t>
  </si>
  <si>
    <t>Annual growth of chicken production</t>
  </si>
  <si>
    <t>Average of growth rates over the previous 3 years as we are trying to project growth to 2025 from 2022 numbers.
2021-2022: 3%
2020-2021: 8%
2019-2020: -5%</t>
  </si>
  <si>
    <t>Number of broilers (2025)</t>
  </si>
  <si>
    <t>% of production shifted after 10 years of campaigning</t>
  </si>
  <si>
    <t>Number of broilers affected – Approach 1</t>
  </si>
  <si>
    <t xml:space="preserve">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UAE (0.72 WJP regulatory enforcement score on average in Europe and 0.68 in Costa Rica). </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</si>
  <si>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</si>
  <si>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t>Number of broilers affected – Approach 2</t>
  </si>
  <si>
    <t>Adjustment to account for progress being slower with BCC</t>
  </si>
  <si>
    <t>Best guess based on expected enforcement rate of cage-free campaigns is 64% and expected enforcement rate of BCC is 24%</t>
  </si>
  <si>
    <r>
      <rPr>
        <color rgb="FF1155CC"/>
        <u/>
      </rPr>
      <t>https://docs.google.com/spreadsheets/d/1-Acx-OYg8anoGT9jNYukdxowO-lPt2Biidxj1iT35Lw/edit?gid=1748706729#gid=1748706729</t>
    </r>
    <r>
      <rPr>
        <color rgb="FF000000"/>
      </rPr>
      <t xml:space="preserve"> </t>
    </r>
  </si>
  <si>
    <t>Expected number of broilers affected after 10 years of campaigning</t>
  </si>
  <si>
    <t>SADs averted per animal by moving from fast growing to slow growing breeds (accounts for sentience, welfare range, and moral weights of different intensities of pain)</t>
  </si>
  <si>
    <t>https://docs.google.com/spreadsheets/d/1DssnYoZKFSE3w_-E2PLuOImLUd56JK3JNoO6JHkmTPk/edit?gid=289821833#gid=289821833</t>
  </si>
  <si>
    <t>Best guess - Some chance that global commitments will affect production and some chance that OWA will start actively recruiting and find an org. More chance that someone else will do this in Central America than in the Middle East given the presence of orgs in Latin America and North America.</t>
  </si>
  <si>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</si>
  <si>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El Salvador produced 161,680 tonnes of chicken meat in 2022 * 1,000 for kg</t>
  </si>
  <si>
    <t>Each chicken in El Salvador produces 1.3kg of meat</t>
  </si>
  <si>
    <t>Average of growth rates over the previous 3 years as we are trying to project growth to 2025 from 2022 numbers.
2021-2022: 4%
2020-2021: 18%
2019-2020: -10%</t>
  </si>
  <si>
    <t xml:space="preserve">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UAE (0.72 WJP regulatory enforcement score on average in Europe and 0.48 in El Salvador). </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</si>
  <si>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</si>
  <si>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r>
      <rPr>
        <color rgb="FF1155CC"/>
        <u/>
      </rPr>
      <t>https://docs.google.com/spreadsheets/d/1-Acx-OYg8anoGT9jNYukdxowO-lPt2Biidxj1iT35Lw/edit?gid=1748706729#gid=1748706729</t>
    </r>
    <r>
      <rPr>
        <color rgb="FF000000"/>
      </rPr>
      <t xml:space="preserve"> </t>
    </r>
  </si>
  <si>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</si>
  <si>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Guatemala produced 385,380 tonnes of chicken meat in 2022 * 1,000 for kg</t>
  </si>
  <si>
    <t>Each chicken in Guatemala produces 1.62kg of meat</t>
  </si>
  <si>
    <t>Average of growth rates over the previous 3 years as we are trying to project growth to 2025 from 2022 numbers.
2021-2022: 13%
2020-2021: -20%
2019-2020: 25%</t>
  </si>
  <si>
    <t xml:space="preserve">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UAE (0.72 WJP regulatory enforcement score on average in Europe and 0.4 in Guatemala). </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</si>
  <si>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</si>
  <si>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r>
      <rPr>
        <color rgb="FF1155CC"/>
        <u/>
      </rPr>
      <t>https://docs.google.com/spreadsheets/d/1-Acx-OYg8anoGT9jNYukdxowO-lPt2Biidxj1iT35Lw/edit?gid=1748706729#gid=1748706729</t>
    </r>
    <r>
      <rPr>
        <color rgb="FF000000"/>
      </rPr>
      <t xml:space="preserve"> </t>
    </r>
  </si>
  <si>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</si>
  <si>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Honduras produced 257,903 tonnes of chicken meat in 2022 * 1,000 for kg</t>
  </si>
  <si>
    <t>Each chicken in Honduras produces 2.04kg of meat</t>
  </si>
  <si>
    <t>Average of growth rates over the previous 3 years as we are trying to project growth to 2025 from 2022 numbers.
2021-2022: 6%
2020-2021: 23%
2019-2020: -8%</t>
  </si>
  <si>
    <t xml:space="preserve">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UAE (0.72 WJP regulatory enforcement score on average in Europe and 0.39 in Honduras). </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</si>
  <si>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</si>
  <si>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r>
      <rPr>
        <color rgb="FF1155CC"/>
        <u/>
      </rPr>
      <t>https://docs.google.com/spreadsheets/d/1-Acx-OYg8anoGT9jNYukdxowO-lPt2Biidxj1iT35Lw/edit?gid=1748706729#gid=1748706729</t>
    </r>
    <r>
      <rPr>
        <color rgb="FF000000"/>
      </rPr>
      <t xml:space="preserve"> </t>
    </r>
  </si>
  <si>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</si>
  <si>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Nicaragua produced 154,154 tonnes of chicken meat in 2022 * 1,000 for kg</t>
  </si>
  <si>
    <t>Each chicken in Nicaragua produces 2.29kg of meat</t>
  </si>
  <si>
    <t>Average of growth rates over the previous 3 years as we are trying to project growth to 2025 from 2022 numbers.
2021-2022: 8%
2020-2021: 2%
2019-2020: 1%</t>
  </si>
  <si>
    <t xml:space="preserve">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has been adjusted for slightly lower expected enforcement in Nicaragua (0.72 WJP regulatory enforcement score on average in Europe and 0.36 in Nicaragua). </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</si>
  <si>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</si>
  <si>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r>
      <rPr>
        <color rgb="FF1155CC"/>
        <u/>
      </rPr>
      <t>https://docs.google.com/spreadsheets/d/1-Acx-OYg8anoGT9jNYukdxowO-lPt2Biidxj1iT35Lw/edit?gid=1748706729#gid=1748706729</t>
    </r>
    <r>
      <rPr>
        <color rgb="FF000000"/>
      </rPr>
      <t xml:space="preserve"> </t>
    </r>
  </si>
  <si>
    <r>
      <rPr>
        <color rgb="FF1155CC"/>
        <u/>
      </rPr>
      <t>https://animalcharityevaluators.org/charity-review/ciftlik-hayvanlarini-koruma-dernegi/#c2</t>
    </r>
    <r>
      <rPr/>
      <t xml:space="preserve"> 
</t>
    </r>
    <r>
      <rPr>
        <color rgb="FF1155CC"/>
        <u/>
      </rPr>
      <t>https://animalcharityevaluators.org/charity-review/shrimp-welfare-project/#c2</t>
    </r>
    <r>
      <rPr/>
      <t xml:space="preserve"> 
</t>
    </r>
    <r>
      <rPr>
        <color rgb="FF1155CC"/>
        <u/>
      </rPr>
      <t>https://animalcharityevaluators.org/charity-review/sinergia-animal/#c2</t>
    </r>
    <r>
      <rPr/>
      <t xml:space="preserve"> 
</t>
    </r>
    <r>
      <rPr>
        <color rgb="FF1155CC"/>
        <u/>
      </rPr>
      <t>https://animalcharityevaluators.org/charity-review/the-humane-league/#c2</t>
    </r>
    <r>
      <rPr/>
      <t xml:space="preserve"> </t>
    </r>
  </si>
  <si>
    <t>Ireland produced 144,730 tonnes of chicken meat in 2022 * 1,000 for kg</t>
  </si>
  <si>
    <t>Each chicken in Ireland produces 1.48kg of meat</t>
  </si>
  <si>
    <t>Average of growth rates over the previous 3 years as we are trying to project growth to 2025 from 2022 numbers.
2021-2022: -2%
2020-2021: -3%
2019-2020: 8%</t>
  </si>
  <si>
    <t>Average of three estimates: ~48-84% expected enforcement rate for cage-free campaigns (Šimčikas, 2019), 39-50% expected enforcement rate for corporate campaigns (Sarek, 2019) and 89% actual enforcement rate of cage-free commitments with a deadline of 2023 or earlier that were actually implemented by the end of 2023 (Open Wing Alliance, 2024). This does not need to be adjusted as Ireland is also in Europe.</t>
  </si>
  <si>
    <r>
      <rPr>
        <rFont val="Arial"/>
        <color rgb="FF1155CC"/>
        <u/>
      </rPr>
      <t>https://forum.effectivealtruism.org/posts/L5EZjjXKdNgcm253H/corporate-campaigns-affect-9-to-120-years-of-chicken-life
https://forum.effectivealtruism.org/posts/SG38cPw5C7wLXAeFn/89-of-cage-free-egg-commitments-with-deadlines-of-2023-or</t>
    </r>
    <r>
      <rPr>
        <rFont val="Arial"/>
        <color rgb="FF1155CC"/>
        <u/>
      </rPr>
      <t xml:space="preserve"> 
</t>
    </r>
    <r>
      <rPr>
        <rFont val="Arial"/>
        <color rgb="FF1155CC"/>
        <u/>
      </rPr>
      <t>https://forum.effectivealtruism.org/posts/JWcNfLAJCxMPZCdCu/35-independent-pieces-of-evidence-for-why-new-corporate</t>
    </r>
    <r>
      <rPr>
        <rFont val="Arial"/>
        <color rgb="FF1155CC"/>
        <u/>
      </rPr>
      <t xml:space="preserve"> 
</t>
    </r>
    <r>
      <rPr>
        <rFont val="Arial"/>
        <color rgb="FF1155CC"/>
        <u/>
      </rPr>
      <t>https://worldjusticeproject.org/rule-of-law-index/country/2023/United%20Arab%20Emirates/Regulatory%20Enforcement/</t>
    </r>
    <r>
      <rPr>
        <rFont val="Arial"/>
        <color rgb="FF1155CC"/>
        <u/>
      </rPr>
      <t xml:space="preserve"> </t>
    </r>
  </si>
  <si>
    <t>Set to 100% - Not needed in this instance as Ireland is in Europe.</t>
  </si>
  <si>
    <t>Set to 100% - Not needed in this instance as we suggest taking the bad cop approach in Ireland</t>
  </si>
  <si>
    <t>Best guess - Some chance that global commitments will affect production and some chance that OWA will start actively recruiting and find an org. Mostly likely that this would happen in Ireland without our work than in Central America and the Middle East.</t>
  </si>
  <si>
    <t>Discount rate to account for progress being harder in Middle East</t>
  </si>
  <si>
    <t>We use progress in Latin America vs the US as a proxy here.
Sinergia Animal started campaigning in 2017 in Argentina, Brazil, Chile, and Colombia. This is 7 years ago. We look at the number of corporate campaigns secured in these regions compared to the number secured in the US over the same period (campaigns started in late 2014, so we will consider the 2014-2021 period in the US)</t>
  </si>
  <si>
    <t>Geography</t>
  </si>
  <si>
    <r>
      <rPr>
        <b/>
      </rPr>
      <t>Number of cage-free commitments (</t>
    </r>
    <r>
      <rPr>
        <b/>
        <color rgb="FF1155CC"/>
        <u/>
      </rPr>
      <t>ChickenWatch</t>
    </r>
    <r>
      <rPr>
        <b/>
      </rPr>
      <t>)</t>
    </r>
  </si>
  <si>
    <t>USA</t>
  </si>
  <si>
    <t>Country</t>
  </si>
  <si>
    <t>Total number of commitments</t>
  </si>
  <si>
    <t>Ratio USA:Country</t>
  </si>
  <si>
    <t>Argentina</t>
  </si>
  <si>
    <t>Brazil</t>
  </si>
  <si>
    <t>Chile</t>
  </si>
  <si>
    <t>Colombia</t>
  </si>
  <si>
    <t>TOTAL</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</si>
</sst>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numFmt numFmtId="165" formatCode="0.0000"/>
    <numFmt numFmtId="166" formatCode="#,##0.0,,&quot; m&quot;"/>
    <numFmt numFmtId="167" formatCode="#,##0.0000"/>
  </numFmts>
  <fonts count="23">
    <font>
      <sz val="10.0"/>
      <color rgb="FF000000"/>
      <name val="Arial"/>
      <scheme val="minor"/>
    </font>
    <font>
      <b/>
      <u/>
      <color theme="1"/>
      <name val="Arial"/>
      <scheme val="minor"/>
    </font>
    <font>
      <color theme="1"/>
      <name val="Arial"/>
      <scheme val="minor"/>
    </font>
    <font>
      <b/>
      <color theme="1"/>
      <name val="Arial"/>
      <scheme val="minor"/>
    </font>
    <font>
      <b/>
      <sz val="11.0"/>
      <color rgb="FFFFFFFF"/>
      <name val="Arial"/>
    </font>
    <font>
      <b/>
      <sz val="11.0"/>
      <color theme="1"/>
      <name val="Arial"/>
    </font>
    <font>
      <b/>
      <sz val="11.0"/>
      <color rgb="FFFF0000"/>
      <name val="Arial"/>
    </font>
    <font>
      <u/>
      <color rgb="FF0000FF"/>
    </font>
    <font>
      <color rgb="FFFF0000"/>
      <name val="Arial"/>
      <scheme val="minor"/>
    </font>
    <font>
      <color theme="1"/>
      <name val="Arial"/>
    </font>
    <font>
      <color rgb="FF000000"/>
      <name val="Arial"/>
      <scheme val="minor"/>
    </font>
    <font>
      <u/>
      <color rgb="FF1155CC"/>
      <name val="Arial"/>
    </font>
    <font>
      <u/>
      <color rgb="FF1155CC"/>
      <name val="Arial"/>
    </font>
    <font>
      <color rgb="FF000000"/>
      <name val="Arial"/>
    </font>
    <font>
      <color rgb="FF000000"/>
    </font>
    <font>
      <u/>
      <color rgb="FF0000FF"/>
    </font>
    <font>
      <b/>
      <color rgb="FFFF0000"/>
      <name val="Arial"/>
      <scheme val="minor"/>
    </font>
    <font>
      <strike/>
      <color rgb="FFFF0000"/>
      <name val="Arial"/>
      <scheme val="minor"/>
    </font>
    <font>
      <strike/>
      <color theme="1"/>
      <name val="Arial"/>
      <scheme val="minor"/>
    </font>
    <font>
      <color rgb="FF0000FF"/>
      <name val="Arial"/>
    </font>
    <font>
      <u/>
      <color rgb="FF0000FF"/>
      <name val="Arial"/>
    </font>
    <font>
      <b/>
      <color rgb="FFFFFFFF"/>
      <name val="Arial"/>
      <scheme val="minor"/>
    </font>
    <font>
      <b/>
      <u/>
      <color rgb="FF0000FF"/>
    </font>
  </fonts>
  <fills count="7">
    <fill>
      <patternFill patternType="none"/>
    </fill>
    <fill>
      <patternFill patternType="lightGray"/>
    </fill>
    <fill>
      <patternFill patternType="solid">
        <fgColor rgb="FF0B5394"/>
        <bgColor rgb="FF0B5394"/>
      </patternFill>
    </fill>
    <fill>
      <patternFill patternType="solid">
        <fgColor rgb="FFEAD1DC"/>
        <bgColor rgb="FFEAD1DC"/>
      </patternFill>
    </fill>
    <fill>
      <patternFill patternType="solid">
        <fgColor rgb="FFFCE5CD"/>
        <bgColor rgb="FFFCE5CD"/>
      </patternFill>
    </fill>
    <fill>
      <patternFill patternType="solid">
        <fgColor rgb="FFFFD966"/>
        <bgColor rgb="FFFFD966"/>
      </patternFill>
    </fill>
    <fill>
      <patternFill patternType="solid">
        <fgColor rgb="FFC9DAF8"/>
        <bgColor rgb="FFC9DAF8"/>
      </patternFill>
    </fill>
  </fills>
  <borders count="1">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3" xfId="0" applyFont="1" applyNumberFormat="1"/>
    <xf borderId="0" fillId="0" fontId="3" numFmtId="3" xfId="0" applyFont="1" applyNumberFormat="1"/>
    <xf borderId="0" fillId="0" fontId="2" numFmtId="4" xfId="0" applyFont="1" applyNumberFormat="1"/>
    <xf borderId="0" fillId="0" fontId="3" numFmtId="4" xfId="0" applyFont="1" applyNumberFormat="1"/>
    <xf borderId="0" fillId="0" fontId="3" numFmtId="0" xfId="0" applyFont="1"/>
    <xf borderId="0" fillId="0" fontId="4" numFmtId="0" xfId="0" applyAlignment="1" applyFont="1">
      <alignment shrinkToFit="0" vertical="bottom" wrapText="1"/>
    </xf>
    <xf borderId="0" fillId="2" fontId="4" numFmtId="0" xfId="0" applyAlignment="1" applyFill="1" applyFont="1">
      <alignment horizontal="center" readingOrder="0" shrinkToFit="0" vertical="bottom" wrapText="1"/>
    </xf>
    <xf borderId="0" fillId="0" fontId="4" numFmtId="0" xfId="0" applyAlignment="1" applyFont="1">
      <alignment shrinkToFit="0" vertical="bottom" wrapText="0"/>
    </xf>
    <xf borderId="0" fillId="2" fontId="4" numFmtId="0" xfId="0" applyAlignment="1" applyFont="1">
      <alignment shrinkToFit="0" vertical="bottom" wrapText="1"/>
    </xf>
    <xf borderId="0" fillId="2" fontId="4" numFmtId="0" xfId="0" applyAlignment="1" applyFont="1">
      <alignment shrinkToFit="0" vertical="bottom" wrapText="0"/>
    </xf>
    <xf borderId="0" fillId="3" fontId="5" numFmtId="0" xfId="0" applyAlignment="1" applyFill="1" applyFont="1">
      <alignment readingOrder="0" vertical="bottom"/>
    </xf>
    <xf borderId="0" fillId="3" fontId="5" numFmtId="0" xfId="0" applyAlignment="1" applyFont="1">
      <alignment readingOrder="0" shrinkToFit="0" vertical="bottom" wrapText="0"/>
    </xf>
    <xf borderId="0" fillId="3" fontId="6" numFmtId="0" xfId="0" applyAlignment="1" applyFont="1">
      <alignment readingOrder="0" vertical="bottom"/>
    </xf>
    <xf borderId="0" fillId="4" fontId="2" numFmtId="3" xfId="0" applyAlignment="1" applyFill="1" applyFont="1" applyNumberFormat="1">
      <alignment readingOrder="0"/>
    </xf>
    <xf borderId="0" fillId="0" fontId="2" numFmtId="0" xfId="0" applyAlignment="1" applyFont="1">
      <alignment readingOrder="0" shrinkToFit="0" wrapText="0"/>
    </xf>
    <xf borderId="0" fillId="0" fontId="7" numFmtId="0" xfId="0" applyAlignment="1" applyFont="1">
      <alignment readingOrder="0" shrinkToFit="0" wrapText="0"/>
    </xf>
    <xf borderId="0" fillId="0" fontId="8" numFmtId="0" xfId="0" applyAlignment="1" applyFont="1">
      <alignment readingOrder="0"/>
    </xf>
    <xf borderId="0" fillId="5" fontId="2" numFmtId="3" xfId="0" applyAlignment="1" applyFill="1" applyFont="1" applyNumberFormat="1">
      <alignment readingOrder="0"/>
    </xf>
    <xf borderId="0" fillId="0" fontId="2" numFmtId="0" xfId="0" applyAlignment="1" applyFont="1">
      <alignment readingOrder="0" shrinkToFit="0" wrapText="0"/>
    </xf>
    <xf borderId="0" fillId="0" fontId="9" numFmtId="0" xfId="0" applyAlignment="1" applyFont="1">
      <alignment vertical="bottom"/>
    </xf>
    <xf borderId="0" fillId="0" fontId="10" numFmtId="0" xfId="0" applyAlignment="1" applyFont="1">
      <alignment readingOrder="0" shrinkToFit="0" wrapText="0"/>
    </xf>
    <xf borderId="0" fillId="0" fontId="2" numFmtId="164" xfId="0" applyFont="1" applyNumberFormat="1"/>
    <xf borderId="0" fillId="0" fontId="9" numFmtId="0" xfId="0" applyAlignment="1" applyFont="1">
      <alignment shrinkToFit="0" vertical="bottom" wrapText="1"/>
    </xf>
    <xf borderId="0" fillId="4" fontId="9" numFmtId="3" xfId="0" applyAlignment="1" applyFont="1" applyNumberFormat="1">
      <alignment horizontal="right" vertical="bottom"/>
    </xf>
    <xf borderId="0" fillId="0" fontId="9" numFmtId="0" xfId="0" applyAlignment="1" applyFont="1">
      <alignment shrinkToFit="0" vertical="bottom" wrapText="0"/>
    </xf>
    <xf borderId="0" fillId="0" fontId="11" numFmtId="0" xfId="0" applyAlignment="1" applyFont="1">
      <alignment vertical="bottom"/>
    </xf>
    <xf borderId="0" fillId="4" fontId="9" numFmtId="4" xfId="0" applyAlignment="1" applyFont="1" applyNumberFormat="1">
      <alignment horizontal="right" vertical="bottom"/>
    </xf>
    <xf borderId="0" fillId="6" fontId="9" numFmtId="3" xfId="0" applyAlignment="1" applyFill="1" applyFont="1" applyNumberFormat="1">
      <alignment horizontal="right" vertical="bottom"/>
    </xf>
    <xf borderId="0" fillId="0" fontId="9" numFmtId="0" xfId="0" applyAlignment="1" applyFont="1">
      <alignment vertical="bottom"/>
    </xf>
    <xf borderId="0" fillId="4" fontId="9" numFmtId="10" xfId="0" applyAlignment="1" applyFont="1" applyNumberFormat="1">
      <alignment horizontal="right" vertical="bottom"/>
    </xf>
    <xf borderId="0" fillId="0" fontId="2" numFmtId="0" xfId="0" applyAlignment="1" applyFont="1">
      <alignment readingOrder="0" shrinkToFit="0" wrapText="1"/>
    </xf>
    <xf borderId="0" fillId="5" fontId="2" numFmtId="0" xfId="0" applyAlignment="1" applyFont="1">
      <alignment readingOrder="0"/>
    </xf>
    <xf borderId="0" fillId="6" fontId="2" numFmtId="3" xfId="0" applyAlignment="1" applyFont="1" applyNumberFormat="1">
      <alignment readingOrder="0"/>
    </xf>
    <xf borderId="0" fillId="0" fontId="2" numFmtId="3" xfId="0" applyAlignment="1" applyFont="1" applyNumberFormat="1">
      <alignment readingOrder="0"/>
    </xf>
    <xf borderId="0" fillId="0" fontId="3" numFmtId="0" xfId="0" applyAlignment="1" applyFont="1">
      <alignment readingOrder="0" shrinkToFit="0" wrapText="1"/>
    </xf>
    <xf borderId="0" fillId="0" fontId="2" numFmtId="165" xfId="0" applyAlignment="1" applyFont="1" applyNumberFormat="1">
      <alignment readingOrder="0" shrinkToFit="0" wrapText="0"/>
    </xf>
    <xf borderId="0" fillId="0" fontId="12" numFmtId="0" xfId="0" applyAlignment="1" applyFont="1">
      <alignment readingOrder="0" shrinkToFit="0" vertical="bottom" wrapText="0"/>
    </xf>
    <xf borderId="0" fillId="4" fontId="2" numFmtId="9" xfId="0" applyAlignment="1" applyFont="1" applyNumberFormat="1">
      <alignment readingOrder="0"/>
    </xf>
    <xf borderId="0" fillId="5" fontId="10" numFmtId="9" xfId="0" applyAlignment="1" applyFont="1" applyNumberFormat="1">
      <alignment readingOrder="0"/>
    </xf>
    <xf borderId="0" fillId="5" fontId="2" numFmtId="9" xfId="0" applyAlignment="1" applyFont="1" applyNumberFormat="1">
      <alignment readingOrder="0"/>
    </xf>
    <xf borderId="0" fillId="0" fontId="13" numFmtId="0" xfId="0" applyAlignment="1" applyFont="1">
      <alignment readingOrder="0" shrinkToFit="0" vertical="bottom" wrapText="1"/>
    </xf>
    <xf borderId="0" fillId="5" fontId="13" numFmtId="10" xfId="0" applyAlignment="1" applyFont="1" applyNumberFormat="1">
      <alignment horizontal="right" readingOrder="0" vertical="bottom"/>
    </xf>
    <xf borderId="0" fillId="0" fontId="9" numFmtId="0" xfId="0" applyAlignment="1" applyFont="1">
      <alignment readingOrder="0" shrinkToFit="0" vertical="bottom" wrapText="0"/>
    </xf>
    <xf borderId="0" fillId="5" fontId="2" numFmtId="10" xfId="0" applyAlignment="1" applyFont="1" applyNumberFormat="1">
      <alignment readingOrder="0"/>
    </xf>
    <xf borderId="0" fillId="0" fontId="2" numFmtId="10" xfId="0" applyAlignment="1" applyFont="1" applyNumberFormat="1">
      <alignment readingOrder="0"/>
    </xf>
    <xf borderId="0" fillId="6" fontId="2" numFmtId="9" xfId="0" applyAlignment="1" applyFont="1" applyNumberFormat="1">
      <alignment readingOrder="0"/>
    </xf>
    <xf borderId="0" fillId="0" fontId="9" numFmtId="0" xfId="0" applyAlignment="1" applyFont="1">
      <alignment readingOrder="0" shrinkToFit="0" vertical="bottom" wrapText="0"/>
    </xf>
    <xf borderId="0" fillId="0" fontId="14" numFmtId="0" xfId="0" applyAlignment="1" applyFont="1">
      <alignment readingOrder="0" shrinkToFit="0" wrapText="0"/>
    </xf>
    <xf borderId="0" fillId="0" fontId="2" numFmtId="9" xfId="0" applyAlignment="1" applyFont="1" applyNumberFormat="1">
      <alignment readingOrder="0"/>
    </xf>
    <xf borderId="0" fillId="4" fontId="2" numFmtId="4" xfId="0" applyAlignment="1" applyFont="1" applyNumberFormat="1">
      <alignment readingOrder="0"/>
    </xf>
    <xf borderId="0" fillId="0" fontId="15" numFmtId="0" xfId="0" applyAlignment="1" applyFont="1">
      <alignment readingOrder="0"/>
    </xf>
    <xf borderId="0" fillId="0" fontId="16" numFmtId="0" xfId="0" applyAlignment="1" applyFont="1">
      <alignment readingOrder="0"/>
    </xf>
    <xf borderId="0" fillId="0" fontId="8" numFmtId="4" xfId="0" applyAlignment="1" applyFont="1" applyNumberFormat="1">
      <alignment readingOrder="0"/>
    </xf>
    <xf borderId="0" fillId="4" fontId="2" numFmtId="10" xfId="0" applyAlignment="1" applyFont="1" applyNumberFormat="1">
      <alignment readingOrder="0"/>
    </xf>
    <xf borderId="0" fillId="0" fontId="9" numFmtId="0" xfId="0" applyAlignment="1" applyFont="1">
      <alignment readingOrder="0" vertical="bottom"/>
    </xf>
    <xf borderId="0" fillId="5" fontId="9" numFmtId="10" xfId="0" applyAlignment="1" applyFont="1" applyNumberFormat="1">
      <alignment horizontal="right" readingOrder="0" vertical="bottom"/>
    </xf>
    <xf borderId="0" fillId="6" fontId="9" numFmtId="10" xfId="0" applyAlignment="1" applyFont="1" applyNumberFormat="1">
      <alignment horizontal="right" readingOrder="0" vertical="bottom"/>
    </xf>
    <xf borderId="0" fillId="3" fontId="6" numFmtId="0" xfId="0" applyAlignment="1" applyFont="1">
      <alignment readingOrder="0" vertical="bottom"/>
    </xf>
    <xf borderId="0" fillId="0" fontId="2" numFmtId="164" xfId="0" applyFont="1" applyNumberFormat="1"/>
    <xf borderId="0" fillId="0" fontId="2" numFmtId="164" xfId="0" applyAlignment="1" applyFont="1" applyNumberFormat="1">
      <alignment readingOrder="0"/>
    </xf>
    <xf borderId="0" fillId="0" fontId="2" numFmtId="166" xfId="0" applyAlignment="1" applyFont="1" applyNumberFormat="1">
      <alignment readingOrder="0"/>
    </xf>
    <xf borderId="0" fillId="0" fontId="2" numFmtId="4" xfId="0" applyAlignment="1" applyFont="1" applyNumberFormat="1">
      <alignment shrinkToFit="0" wrapText="0"/>
    </xf>
    <xf borderId="0" fillId="0" fontId="2" numFmtId="0" xfId="0" applyAlignment="1" applyFont="1">
      <alignment shrinkToFit="0" wrapText="0"/>
    </xf>
    <xf borderId="0" fillId="0" fontId="17" numFmtId="0" xfId="0" applyAlignment="1" applyFont="1">
      <alignment readingOrder="0"/>
    </xf>
    <xf borderId="0" fillId="0" fontId="18" numFmtId="0" xfId="0" applyAlignment="1" applyFont="1">
      <alignment readingOrder="0"/>
    </xf>
    <xf borderId="0" fillId="0" fontId="2" numFmtId="9" xfId="0" applyFont="1" applyNumberFormat="1"/>
    <xf borderId="0" fillId="0" fontId="19" numFmtId="0" xfId="0" applyAlignment="1" applyFont="1">
      <alignment readingOrder="0" shrinkToFit="0" vertical="bottom" wrapText="0"/>
    </xf>
    <xf borderId="0" fillId="5" fontId="9" numFmtId="10" xfId="0" applyAlignment="1" applyFont="1" applyNumberFormat="1">
      <alignment horizontal="right" vertical="bottom"/>
    </xf>
    <xf borderId="0" fillId="0" fontId="9" numFmtId="165" xfId="0" applyAlignment="1" applyFont="1" applyNumberFormat="1">
      <alignment shrinkToFit="0" vertical="bottom" wrapText="0"/>
    </xf>
    <xf borderId="0" fillId="4" fontId="9" numFmtId="167" xfId="0" applyAlignment="1" applyFont="1" applyNumberFormat="1">
      <alignment horizontal="right" vertical="bottom"/>
    </xf>
    <xf borderId="0" fillId="0" fontId="20" numFmtId="0" xfId="0" applyAlignment="1" applyFont="1">
      <alignment shrinkToFit="0" vertical="bottom" wrapText="0"/>
    </xf>
    <xf borderId="0" fillId="2" fontId="21" numFmtId="0" xfId="0" applyAlignment="1" applyFont="1">
      <alignment readingOrder="0"/>
    </xf>
    <xf borderId="0" fillId="2" fontId="21" numFmtId="0" xfId="0" applyFont="1"/>
    <xf borderId="0" fillId="0" fontId="22" numFmtId="0" xfId="0" applyAlignment="1" applyFont="1">
      <alignment readingOrder="0"/>
    </xf>
    <xf borderId="0" fillId="0" fontId="2" numFmtId="0" xfId="0" applyFont="1"/>
    <xf borderId="0" fillId="0" fontId="3"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egg-production-thousand-tonnes?tab=table" TargetMode="External"/><Relationship Id="rId3" Type="http://schemas.openxmlformats.org/officeDocument/2006/relationships/hyperlink" Target="https://ourworldindata.org/grapher/egg-yield-per-bird?tab=table" TargetMode="External"/><Relationship Id="rId4" Type="http://schemas.openxmlformats.org/officeDocument/2006/relationships/hyperlink" Target="https://ourworldindata.org/grapher/egg-production-thousand-tonnes?tab=table" TargetMode="External"/><Relationship Id="rId11" Type="http://schemas.openxmlformats.org/officeDocument/2006/relationships/drawing" Target="../drawings/drawing2.xml"/><Relationship Id="rId10" Type="http://schemas.openxmlformats.org/officeDocument/2006/relationships/hyperlink" Target="https://docs.google.com/spreadsheets/d/1DssnYoZKFSE3w_-E2PLuOImLUd56JK3JNoO6JHkmTPk/edit?gid=289821833" TargetMode="External"/><Relationship Id="rId9" Type="http://schemas.openxmlformats.org/officeDocument/2006/relationships/hyperlink" Target="https://www.gc-animalwelfare.org/wp-content/uploads/2024/02/GCAW-Knowledge-Share-Cage-Free-Eggs-Global-Landscape-Review-Executive-Summary.pdf"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docs.google.com/spreadsheets/d/1-Acx-OYg8anoGT9jNYukdxowO-lPt2Biidxj1iT35Lw/edit?gid=1748706729" TargetMode="External"/><Relationship Id="rId8" Type="http://schemas.openxmlformats.org/officeDocument/2006/relationships/hyperlink" Target="https://www.eurogroupforanimals.org/news/why-do-fast-growing-broiler-chicken-breeds-need-be-phased-ou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egg-production-thousand-tonnes?tab=table" TargetMode="External"/><Relationship Id="rId3" Type="http://schemas.openxmlformats.org/officeDocument/2006/relationships/hyperlink" Target="https://ourworldindata.org/grapher/egg-yield-per-bird?tab=table" TargetMode="External"/><Relationship Id="rId4" Type="http://schemas.openxmlformats.org/officeDocument/2006/relationships/hyperlink" Target="https://ourworldindata.org/grapher/egg-production-thousand-tonnes?tab=table" TargetMode="External"/><Relationship Id="rId11" Type="http://schemas.openxmlformats.org/officeDocument/2006/relationships/drawing" Target="../drawings/drawing3.xml"/><Relationship Id="rId10" Type="http://schemas.openxmlformats.org/officeDocument/2006/relationships/hyperlink" Target="https://docs.google.com/spreadsheets/d/1DssnYoZKFSE3w_-E2PLuOImLUd56JK3JNoO6JHkmTPk/edit?gid=289821833" TargetMode="External"/><Relationship Id="rId9" Type="http://schemas.openxmlformats.org/officeDocument/2006/relationships/hyperlink" Target="https://www.gc-animalwelfare.org/wp-content/uploads/2024/02/GCAW-Knowledge-Share-Cage-Free-Eggs-Global-Landscape-Review-Executive-Summary.pdf"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docs.google.com/spreadsheets/d/1-Acx-OYg8anoGT9jNYukdxowO-lPt2Biidxj1iT35Lw/edit?gid=1748706729" TargetMode="External"/><Relationship Id="rId8" Type="http://schemas.openxmlformats.org/officeDocument/2006/relationships/hyperlink" Target="https://www.eurogroupforanimals.org/news/why-do-fast-growing-broiler-chicken-breeds-need-be-phased-ou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egg-production-thousand-tonnes?tab=table" TargetMode="External"/><Relationship Id="rId3" Type="http://schemas.openxmlformats.org/officeDocument/2006/relationships/hyperlink" Target="https://ourworldindata.org/grapher/egg-yield-per-bird?tab=table" TargetMode="External"/><Relationship Id="rId4" Type="http://schemas.openxmlformats.org/officeDocument/2006/relationships/hyperlink" Target="https://ourworldindata.org/grapher/egg-production-thousand-tonnes?tab=table" TargetMode="External"/><Relationship Id="rId11" Type="http://schemas.openxmlformats.org/officeDocument/2006/relationships/hyperlink" Target="https://docs.google.com/spreadsheets/d/1DssnYoZKFSE3w_-E2PLuOImLUd56JK3JNoO6JHkmTPk/edit?gid=289821833" TargetMode="External"/><Relationship Id="rId10" Type="http://schemas.openxmlformats.org/officeDocument/2006/relationships/hyperlink" Target="https://www.gc-animalwelfare.org/wp-content/uploads/2024/02/GCAW-Knowledge-Share-Cage-Free-Eggs-Global-Landscape-Review-Executive-Summary.pdf" TargetMode="External"/><Relationship Id="rId12" Type="http://schemas.openxmlformats.org/officeDocument/2006/relationships/drawing" Target="../drawings/drawing4.xml"/><Relationship Id="rId9" Type="http://schemas.openxmlformats.org/officeDocument/2006/relationships/hyperlink" Target="https://www.eurogroupforanimals.org/news/why-do-fast-growing-broiler-chicken-breeds-need-be-phased-out"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www.gc-animalwelfare.org/wp-content/uploads/2024/02/GCAW-Knowledge-Share-Cage-Free-Eggs-Global-Landscape-Review-Executive-Summary.pdf" TargetMode="External"/><Relationship Id="rId8" Type="http://schemas.openxmlformats.org/officeDocument/2006/relationships/hyperlink" Target="https://docs.google.com/spreadsheets/d/1-Acx-OYg8anoGT9jNYukdxowO-lPt2Biidxj1iT35Lw/edit?gid=174870672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chicken-meat-production?tab=table" TargetMode="External"/><Relationship Id="rId3" Type="http://schemas.openxmlformats.org/officeDocument/2006/relationships/hyperlink" Target="https://ourworldindata.org/grapher/chicken-meat-yields-per-animal" TargetMode="External"/><Relationship Id="rId4" Type="http://schemas.openxmlformats.org/officeDocument/2006/relationships/hyperlink" Target="https://ourworldindata.org/grapher/chicken-meat-production?tab=table" TargetMode="External"/><Relationship Id="rId11" Type="http://schemas.openxmlformats.org/officeDocument/2006/relationships/drawing" Target="../drawings/drawing5.xml"/><Relationship Id="rId10" Type="http://schemas.openxmlformats.org/officeDocument/2006/relationships/hyperlink" Target="https://docs.google.com/spreadsheets/d/1DssnYoZKFSE3w_-E2PLuOImLUd56JK3JNoO6JHkmTPk/edit?gid=289821833" TargetMode="External"/><Relationship Id="rId9" Type="http://schemas.openxmlformats.org/officeDocument/2006/relationships/hyperlink" Target="https://www.gc-animalwelfare.org/wp-content/uploads/2024/02/GCAW-Knowledge-Share-Cage-Free-Eggs-Global-Landscape-Review-Executive-Summary.pdf"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docs.google.com/spreadsheets/d/1-Acx-OYg8anoGT9jNYukdxowO-lPt2Biidxj1iT35Lw/edit?gid=1748706729" TargetMode="External"/><Relationship Id="rId8" Type="http://schemas.openxmlformats.org/officeDocument/2006/relationships/hyperlink" Target="https://www.eurogroupforanimals.org/news/why-do-fast-growing-broiler-chicken-breeds-need-be-phased-ou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chicken-meat-production?tab=table" TargetMode="External"/><Relationship Id="rId3" Type="http://schemas.openxmlformats.org/officeDocument/2006/relationships/hyperlink" Target="https://ourworldindata.org/grapher/chicken-meat-yields-per-animal" TargetMode="External"/><Relationship Id="rId4" Type="http://schemas.openxmlformats.org/officeDocument/2006/relationships/hyperlink" Target="https://ourworldindata.org/grapher/chicken-meat-production?tab=table" TargetMode="External"/><Relationship Id="rId10" Type="http://schemas.openxmlformats.org/officeDocument/2006/relationships/drawing" Target="../drawings/drawing6.xml"/><Relationship Id="rId9" Type="http://schemas.openxmlformats.org/officeDocument/2006/relationships/hyperlink" Target="https://docs.google.com/spreadsheets/d/1DssnYoZKFSE3w_-E2PLuOImLUd56JK3JNoO6JHkmTPk/edit?gid=289821833"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docs.google.com/spreadsheets/d/1-Acx-OYg8anoGT9jNYukdxowO-lPt2Biidxj1iT35Lw/edit?gid=1748706729" TargetMode="External"/><Relationship Id="rId8" Type="http://schemas.openxmlformats.org/officeDocument/2006/relationships/hyperlink" Target="https://www.eurogroupforanimals.org/news/why-do-fast-growing-broiler-chicken-breeds-need-be-phased-ou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chicken-meat-production?tab=table" TargetMode="External"/><Relationship Id="rId3" Type="http://schemas.openxmlformats.org/officeDocument/2006/relationships/hyperlink" Target="https://ourworldindata.org/grapher/chicken-meat-yields-per-animal" TargetMode="External"/><Relationship Id="rId4" Type="http://schemas.openxmlformats.org/officeDocument/2006/relationships/hyperlink" Target="https://ourworldindata.org/grapher/chicken-meat-production?tab=table" TargetMode="External"/><Relationship Id="rId10" Type="http://schemas.openxmlformats.org/officeDocument/2006/relationships/drawing" Target="../drawings/drawing7.xml"/><Relationship Id="rId9" Type="http://schemas.openxmlformats.org/officeDocument/2006/relationships/hyperlink" Target="https://docs.google.com/spreadsheets/d/1DssnYoZKFSE3w_-E2PLuOImLUd56JK3JNoO6JHkmTPk/edit?gid=289821833"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docs.google.com/spreadsheets/d/1-Acx-OYg8anoGT9jNYukdxowO-lPt2Biidxj1iT35Lw/edit?gid=1748706729" TargetMode="External"/><Relationship Id="rId8" Type="http://schemas.openxmlformats.org/officeDocument/2006/relationships/hyperlink" Target="https://www.eurogroupforanimals.org/news/why-do-fast-growing-broiler-chicken-breeds-need-be-phased-ou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chicken-meat-production?tab=table" TargetMode="External"/><Relationship Id="rId3" Type="http://schemas.openxmlformats.org/officeDocument/2006/relationships/hyperlink" Target="https://ourworldindata.org/grapher/chicken-meat-yields-per-animal" TargetMode="External"/><Relationship Id="rId4" Type="http://schemas.openxmlformats.org/officeDocument/2006/relationships/hyperlink" Target="https://ourworldindata.org/grapher/chicken-meat-production?tab=table" TargetMode="External"/><Relationship Id="rId10" Type="http://schemas.openxmlformats.org/officeDocument/2006/relationships/drawing" Target="../drawings/drawing8.xml"/><Relationship Id="rId9" Type="http://schemas.openxmlformats.org/officeDocument/2006/relationships/hyperlink" Target="https://docs.google.com/spreadsheets/d/1DssnYoZKFSE3w_-E2PLuOImLUd56JK3JNoO6JHkmTPk/edit?gid=289821833"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docs.google.com/spreadsheets/d/1-Acx-OYg8anoGT9jNYukdxowO-lPt2Biidxj1iT35Lw/edit?gid=1748706729" TargetMode="External"/><Relationship Id="rId8" Type="http://schemas.openxmlformats.org/officeDocument/2006/relationships/hyperlink" Target="https://www.eurogroupforanimals.org/news/why-do-fast-growing-broiler-chicken-breeds-need-be-phased-ou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chicken-meat-production?tab=table" TargetMode="External"/><Relationship Id="rId3" Type="http://schemas.openxmlformats.org/officeDocument/2006/relationships/hyperlink" Target="https://ourworldindata.org/grapher/chicken-meat-yields-per-animal" TargetMode="External"/><Relationship Id="rId4" Type="http://schemas.openxmlformats.org/officeDocument/2006/relationships/hyperlink" Target="https://ourworldindata.org/grapher/chicken-meat-production?tab=table" TargetMode="External"/><Relationship Id="rId10" Type="http://schemas.openxmlformats.org/officeDocument/2006/relationships/drawing" Target="../drawings/drawing9.xml"/><Relationship Id="rId9" Type="http://schemas.openxmlformats.org/officeDocument/2006/relationships/hyperlink" Target="https://docs.google.com/spreadsheets/d/1DssnYoZKFSE3w_-E2PLuOImLUd56JK3JNoO6JHkmTPk/edit?gid=289821833" TargetMode="Externa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docs.google.com/spreadsheets/d/1-Acx-OYg8anoGT9jNYukdxowO-lPt2Biidxj1iT35Lw/edit?gid=1748706729" TargetMode="External"/><Relationship Id="rId8" Type="http://schemas.openxmlformats.org/officeDocument/2006/relationships/hyperlink" Target="https://www.eurogroupforanimals.org/news/why-do-fast-growing-broiler-chicken-breeds-need-be-phased-ou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animalcharityevaluators.org/charity-review/ciftlik-hayvanlarini-koruma-dernegi/" TargetMode="External"/><Relationship Id="rId2" Type="http://schemas.openxmlformats.org/officeDocument/2006/relationships/hyperlink" Target="https://ourworldindata.org/grapher/chicken-meat-production?tab=table" TargetMode="External"/><Relationship Id="rId3" Type="http://schemas.openxmlformats.org/officeDocument/2006/relationships/hyperlink" Target="https://ourworldindata.org/grapher/chicken-meat-yields-per-animal" TargetMode="External"/><Relationship Id="rId4" Type="http://schemas.openxmlformats.org/officeDocument/2006/relationships/hyperlink" Target="https://ourworldindata.org/grapher/chicken-meat-production?tab=table" TargetMode="External"/><Relationship Id="rId9" Type="http://schemas.openxmlformats.org/officeDocument/2006/relationships/drawing" Target="../drawings/drawing10.xml"/><Relationship Id="rId5" Type="http://schemas.openxmlformats.org/officeDocument/2006/relationships/hyperlink" Target="https://farmanimalwelfare.substack.com/p/a-year-of-wins-for-farmed-animals" TargetMode="External"/><Relationship Id="rId6" Type="http://schemas.openxmlformats.org/officeDocument/2006/relationships/hyperlink" Target="https://forum.effectivealtruism.org/posts/L5EZjjXKdNgcm253H/corporate-campaigns-affect-9-to-120-years-of-chicken-life" TargetMode="External"/><Relationship Id="rId7" Type="http://schemas.openxmlformats.org/officeDocument/2006/relationships/hyperlink" Target="https://www.eurogroupforanimals.org/news/why-do-fast-growing-broiler-chicken-breeds-need-be-phased-out" TargetMode="External"/><Relationship Id="rId8" Type="http://schemas.openxmlformats.org/officeDocument/2006/relationships/hyperlink" Target="https://docs.google.com/spreadsheets/d/1DssnYoZKFSE3w_-E2PLuOImLUd56JK3JNoO6JHkmTPk/edit?gid=28982183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chickenwatch.org/progress-tracker/" TargetMode="External"/><Relationship Id="rId2"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s>
  <sheetData>
    <row r="1">
      <c r="A1" s="1" t="s">
        <v>0</v>
      </c>
      <c r="B1" s="2"/>
      <c r="C1" s="2"/>
      <c r="D1" s="2"/>
      <c r="E1" s="3"/>
    </row>
    <row r="2">
      <c r="B2" s="2" t="s">
        <v>1</v>
      </c>
      <c r="C2" s="2" t="s">
        <v>2</v>
      </c>
      <c r="D2" s="2" t="s">
        <v>3</v>
      </c>
      <c r="E2" s="3" t="s">
        <v>4</v>
      </c>
    </row>
    <row r="3">
      <c r="A3" s="2" t="s">
        <v>5</v>
      </c>
      <c r="B3" s="4">
        <f>'Cage-free (UAE)'!B50</f>
        <v>4567946.831</v>
      </c>
      <c r="C3" s="4">
        <f>'Cage-free (Saudi Arabia)'!B50</f>
        <v>4567946.831</v>
      </c>
      <c r="D3" s="4">
        <f>'Cage-free (Egypt)'!B51</f>
        <v>4567946.831</v>
      </c>
      <c r="E3" s="5">
        <f t="shared" ref="E3:E5" si="1">AVERAGE(B3:D3)</f>
        <v>4567946.831</v>
      </c>
    </row>
    <row r="4">
      <c r="A4" s="2" t="s">
        <v>6</v>
      </c>
      <c r="B4" s="4">
        <f>'Cage-free (UAE)'!B51</f>
        <v>28497061.56</v>
      </c>
      <c r="C4" s="4">
        <f>'Cage-free (Saudi Arabia)'!B51</f>
        <v>220991111.9</v>
      </c>
      <c r="D4" s="4">
        <f>'Cage-free (Egypt)'!B52</f>
        <v>156650213.2</v>
      </c>
      <c r="E4" s="5">
        <f t="shared" si="1"/>
        <v>135379462.2</v>
      </c>
    </row>
    <row r="5">
      <c r="A5" s="2" t="s">
        <v>7</v>
      </c>
      <c r="B5" s="6">
        <f>'Cage-free (UAE)'!B52</f>
        <v>6.238483636</v>
      </c>
      <c r="C5" s="6">
        <f>'Cage-free (Saudi Arabia)'!B52</f>
        <v>48.37865239</v>
      </c>
      <c r="D5" s="6">
        <f>'Cage-free (Egypt)'!B53</f>
        <v>34.29335302</v>
      </c>
      <c r="E5" s="7">
        <f t="shared" si="1"/>
        <v>29.63682968</v>
      </c>
    </row>
    <row r="6">
      <c r="E6" s="8"/>
    </row>
    <row r="7">
      <c r="E7" s="8"/>
    </row>
    <row r="8">
      <c r="A8" s="1" t="s">
        <v>8</v>
      </c>
      <c r="E8" s="8"/>
    </row>
    <row r="9">
      <c r="B9" s="2" t="s">
        <v>9</v>
      </c>
      <c r="C9" s="2" t="s">
        <v>10</v>
      </c>
      <c r="D9" s="2" t="s">
        <v>11</v>
      </c>
      <c r="E9" s="2" t="s">
        <v>12</v>
      </c>
      <c r="F9" s="2" t="s">
        <v>13</v>
      </c>
      <c r="G9" s="3" t="s">
        <v>4</v>
      </c>
    </row>
    <row r="10">
      <c r="A10" s="2" t="s">
        <v>5</v>
      </c>
      <c r="B10" s="4">
        <f>'Broiler welfare (Costa Rica)'!B51</f>
        <v>4567946.831</v>
      </c>
      <c r="C10" s="4">
        <f>'Broiler welfare (El Salvador)'!B51</f>
        <v>4567946.831</v>
      </c>
      <c r="D10" s="4">
        <f>'Broiler welfare (Guatemala)'!B51</f>
        <v>4567946.831</v>
      </c>
      <c r="E10" s="4">
        <f>'Broiler welfare (Honduras)'!B51</f>
        <v>4567946.831</v>
      </c>
      <c r="F10" s="4">
        <f>'Broiler welfare (Nicaragua)'!B51</f>
        <v>4567946.831</v>
      </c>
      <c r="G10" s="5">
        <f t="shared" ref="G10:G12" si="2">AVERAGE(B10:F10)</f>
        <v>4567946.831</v>
      </c>
    </row>
    <row r="11">
      <c r="A11" s="2" t="s">
        <v>6</v>
      </c>
      <c r="B11" s="4">
        <f>'Broiler welfare (Costa Rica)'!B52</f>
        <v>7595053.743</v>
      </c>
      <c r="C11" s="4">
        <f>'Broiler welfare (El Salvador)'!B52</f>
        <v>13078660.81</v>
      </c>
      <c r="D11" s="4">
        <f>'Broiler welfare (Guatemala)'!B52</f>
        <v>28582706.81</v>
      </c>
      <c r="E11" s="4">
        <f>'Broiler welfare (Honduras)'!B52</f>
        <v>16335401.33</v>
      </c>
      <c r="F11" s="4">
        <f>'Broiler welfare (Nicaragua)'!B52</f>
        <v>6703532.56</v>
      </c>
      <c r="G11" s="5">
        <f t="shared" si="2"/>
        <v>14459071.05</v>
      </c>
    </row>
    <row r="12">
      <c r="A12" s="2" t="s">
        <v>7</v>
      </c>
      <c r="B12" s="6">
        <f>'Broiler welfare (Costa Rica)'!B53</f>
        <v>1.662684358</v>
      </c>
      <c r="C12" s="6">
        <f>'Broiler welfare (El Salvador)'!B53</f>
        <v>2.863137706</v>
      </c>
      <c r="D12" s="6">
        <f>'Broiler welfare (Guatemala)'!B53</f>
        <v>6.257232815</v>
      </c>
      <c r="E12" s="6">
        <f>'Broiler welfare (Honduras)'!B53</f>
        <v>3.576092703</v>
      </c>
      <c r="F12" s="6">
        <f>'Broiler welfare (Nicaragua)'!B53</f>
        <v>1.467515452</v>
      </c>
      <c r="G12" s="7">
        <f t="shared" si="2"/>
        <v>3.165332607</v>
      </c>
    </row>
    <row r="13">
      <c r="E13" s="8"/>
    </row>
    <row r="14">
      <c r="A14" s="1" t="s">
        <v>8</v>
      </c>
      <c r="E14" s="8"/>
    </row>
    <row r="15">
      <c r="B15" s="3" t="s">
        <v>14</v>
      </c>
      <c r="E15" s="8"/>
    </row>
    <row r="16">
      <c r="A16" s="2" t="s">
        <v>5</v>
      </c>
      <c r="B16" s="5">
        <f>'Broiler welfare (Ireland)'!B51</f>
        <v>4567946.831</v>
      </c>
      <c r="E16" s="8"/>
    </row>
    <row r="17">
      <c r="A17" s="2" t="s">
        <v>6</v>
      </c>
      <c r="B17" s="5">
        <f>'Broiler welfare (Ireland)'!B52</f>
        <v>49710620.14</v>
      </c>
      <c r="E17" s="8"/>
    </row>
    <row r="18">
      <c r="A18" s="2" t="s">
        <v>7</v>
      </c>
      <c r="B18" s="7">
        <f>'Broiler welfare (Ireland)'!B53</f>
        <v>10.88248659</v>
      </c>
      <c r="E18" s="8"/>
    </row>
    <row r="19">
      <c r="E19" s="8"/>
    </row>
    <row r="20">
      <c r="E20" s="8"/>
    </row>
    <row r="21">
      <c r="E21" s="8"/>
    </row>
    <row r="22">
      <c r="E22" s="8"/>
    </row>
    <row r="23">
      <c r="E23" s="8"/>
    </row>
    <row r="24">
      <c r="E24" s="8"/>
    </row>
    <row r="25">
      <c r="E25" s="8"/>
    </row>
    <row r="26">
      <c r="E26" s="8"/>
    </row>
    <row r="27">
      <c r="E27" s="8"/>
    </row>
    <row r="28">
      <c r="E28" s="8"/>
    </row>
    <row r="29">
      <c r="E29" s="8"/>
    </row>
    <row r="30">
      <c r="E30" s="8"/>
    </row>
    <row r="31">
      <c r="E31" s="8"/>
    </row>
    <row r="32">
      <c r="E32" s="8"/>
    </row>
    <row r="33">
      <c r="E33" s="8"/>
    </row>
    <row r="34">
      <c r="E34" s="8"/>
    </row>
    <row r="35">
      <c r="E35" s="8"/>
    </row>
    <row r="36">
      <c r="E36" s="8"/>
    </row>
    <row r="37">
      <c r="E37" s="8"/>
    </row>
    <row r="38">
      <c r="E38" s="8"/>
    </row>
    <row r="39">
      <c r="E39" s="8"/>
    </row>
    <row r="40">
      <c r="E40" s="8"/>
    </row>
    <row r="41">
      <c r="E41" s="8"/>
    </row>
    <row r="42">
      <c r="E42" s="8"/>
    </row>
    <row r="43">
      <c r="E43" s="8"/>
    </row>
    <row r="44">
      <c r="E44" s="8"/>
    </row>
    <row r="45">
      <c r="E45" s="8"/>
    </row>
    <row r="46">
      <c r="E46" s="8"/>
    </row>
    <row r="47">
      <c r="E47" s="8"/>
    </row>
    <row r="48">
      <c r="E48" s="8"/>
    </row>
    <row r="49">
      <c r="E49" s="8"/>
    </row>
    <row r="50">
      <c r="E50" s="8"/>
    </row>
    <row r="51">
      <c r="E51" s="8"/>
    </row>
    <row r="52">
      <c r="E52" s="8"/>
    </row>
    <row r="53">
      <c r="E53" s="8"/>
    </row>
    <row r="54">
      <c r="E54" s="8"/>
    </row>
    <row r="55">
      <c r="E55" s="8"/>
    </row>
    <row r="56">
      <c r="E56" s="8"/>
    </row>
    <row r="57">
      <c r="E57" s="8"/>
    </row>
    <row r="58">
      <c r="E58" s="8"/>
    </row>
    <row r="59">
      <c r="E59" s="8"/>
    </row>
    <row r="60">
      <c r="E60" s="8"/>
    </row>
    <row r="61">
      <c r="E61" s="8"/>
    </row>
    <row r="62">
      <c r="E62" s="8"/>
    </row>
    <row r="63">
      <c r="E63" s="8"/>
    </row>
    <row r="64">
      <c r="E64" s="8"/>
    </row>
    <row r="65">
      <c r="E65" s="8"/>
    </row>
    <row r="66">
      <c r="E66" s="8"/>
    </row>
    <row r="67">
      <c r="E67" s="8"/>
    </row>
    <row r="68">
      <c r="E68" s="8"/>
    </row>
    <row r="69">
      <c r="E69" s="8"/>
    </row>
    <row r="70">
      <c r="E70" s="8"/>
    </row>
    <row r="71">
      <c r="E71" s="8"/>
    </row>
    <row r="72">
      <c r="E72" s="8"/>
    </row>
    <row r="73">
      <c r="E73" s="8"/>
    </row>
    <row r="74">
      <c r="E74" s="8"/>
    </row>
    <row r="75">
      <c r="E75" s="8"/>
    </row>
    <row r="76">
      <c r="E76" s="8"/>
    </row>
    <row r="77">
      <c r="E77" s="8"/>
    </row>
    <row r="78">
      <c r="E78" s="8"/>
    </row>
    <row r="79">
      <c r="E79" s="8"/>
    </row>
    <row r="80">
      <c r="E80" s="8"/>
    </row>
    <row r="81">
      <c r="E81" s="8"/>
    </row>
    <row r="82">
      <c r="E82" s="8"/>
    </row>
    <row r="83">
      <c r="E83" s="8"/>
    </row>
    <row r="84">
      <c r="E84" s="8"/>
    </row>
    <row r="85">
      <c r="E85" s="8"/>
    </row>
    <row r="86">
      <c r="E86" s="8"/>
    </row>
    <row r="87">
      <c r="E87" s="8"/>
    </row>
    <row r="88">
      <c r="E88" s="8"/>
    </row>
    <row r="89">
      <c r="E89" s="8"/>
    </row>
    <row r="90">
      <c r="E90" s="8"/>
    </row>
    <row r="91">
      <c r="E91" s="8"/>
    </row>
    <row r="92">
      <c r="E92" s="8"/>
    </row>
    <row r="93">
      <c r="E93" s="8"/>
    </row>
    <row r="94">
      <c r="E94" s="8"/>
    </row>
    <row r="95">
      <c r="E95" s="8"/>
    </row>
    <row r="96">
      <c r="E96" s="8"/>
    </row>
    <row r="97">
      <c r="E97" s="8"/>
    </row>
    <row r="98">
      <c r="E98" s="8"/>
    </row>
    <row r="99">
      <c r="E99" s="8"/>
    </row>
    <row r="100">
      <c r="E100" s="8"/>
    </row>
    <row r="101">
      <c r="E101" s="8"/>
    </row>
    <row r="102">
      <c r="E102" s="8"/>
    </row>
    <row r="103">
      <c r="E103" s="8"/>
    </row>
    <row r="104">
      <c r="E104" s="8"/>
    </row>
    <row r="105">
      <c r="E105" s="8"/>
    </row>
    <row r="106">
      <c r="E106" s="8"/>
    </row>
    <row r="107">
      <c r="E107" s="8"/>
    </row>
    <row r="108">
      <c r="E108" s="8"/>
    </row>
    <row r="109">
      <c r="E109" s="8"/>
    </row>
    <row r="110">
      <c r="E110" s="8"/>
    </row>
    <row r="111">
      <c r="E111" s="8"/>
    </row>
    <row r="112">
      <c r="E112" s="8"/>
    </row>
    <row r="113">
      <c r="E113" s="8"/>
    </row>
    <row r="114">
      <c r="E114" s="8"/>
    </row>
    <row r="115">
      <c r="E115" s="8"/>
    </row>
    <row r="116">
      <c r="E116" s="8"/>
    </row>
    <row r="117">
      <c r="E117" s="8"/>
    </row>
    <row r="118">
      <c r="E118" s="8"/>
    </row>
    <row r="119">
      <c r="E119" s="8"/>
    </row>
    <row r="120">
      <c r="E120" s="8"/>
    </row>
    <row r="121">
      <c r="E121" s="8"/>
    </row>
    <row r="122">
      <c r="E122" s="8"/>
    </row>
    <row r="123">
      <c r="E123" s="8"/>
    </row>
    <row r="124">
      <c r="E124" s="8"/>
    </row>
    <row r="125">
      <c r="E125" s="8"/>
    </row>
    <row r="126">
      <c r="E126" s="8"/>
    </row>
    <row r="127">
      <c r="E127" s="8"/>
    </row>
    <row r="128">
      <c r="E128" s="8"/>
    </row>
    <row r="129">
      <c r="E129" s="8"/>
    </row>
    <row r="130">
      <c r="E130" s="8"/>
    </row>
    <row r="131">
      <c r="E131" s="8"/>
    </row>
    <row r="132">
      <c r="E132" s="8"/>
    </row>
    <row r="133">
      <c r="E133" s="8"/>
    </row>
    <row r="134">
      <c r="E134" s="8"/>
    </row>
    <row r="135">
      <c r="E135" s="8"/>
    </row>
    <row r="136">
      <c r="E136" s="8"/>
    </row>
    <row r="137">
      <c r="E137" s="8"/>
    </row>
    <row r="138">
      <c r="E138" s="8"/>
    </row>
    <row r="139">
      <c r="E139" s="8"/>
    </row>
    <row r="140">
      <c r="E140" s="8"/>
    </row>
    <row r="141">
      <c r="E141" s="8"/>
    </row>
    <row r="142">
      <c r="E142" s="8"/>
    </row>
    <row r="143">
      <c r="E143" s="8"/>
    </row>
    <row r="144">
      <c r="E144" s="8"/>
    </row>
    <row r="145">
      <c r="E145" s="8"/>
    </row>
    <row r="146">
      <c r="E146" s="8"/>
    </row>
    <row r="147">
      <c r="E147" s="8"/>
    </row>
    <row r="148">
      <c r="E148" s="8"/>
    </row>
    <row r="149">
      <c r="E149" s="8"/>
    </row>
    <row r="150">
      <c r="E150" s="8"/>
    </row>
    <row r="151">
      <c r="E151" s="8"/>
    </row>
    <row r="152">
      <c r="E152" s="8"/>
    </row>
    <row r="153">
      <c r="E153" s="8"/>
    </row>
    <row r="154">
      <c r="E154" s="8"/>
    </row>
    <row r="155">
      <c r="E155" s="8"/>
    </row>
    <row r="156">
      <c r="E156" s="8"/>
    </row>
    <row r="157">
      <c r="E157" s="8"/>
    </row>
    <row r="158">
      <c r="E158" s="8"/>
    </row>
    <row r="159">
      <c r="E159" s="8"/>
    </row>
    <row r="160">
      <c r="E160" s="8"/>
    </row>
    <row r="161">
      <c r="E161" s="8"/>
    </row>
    <row r="162">
      <c r="E162" s="8"/>
    </row>
    <row r="163">
      <c r="E163" s="8"/>
    </row>
    <row r="164">
      <c r="E164" s="8"/>
    </row>
    <row r="165">
      <c r="E165" s="8"/>
    </row>
    <row r="166">
      <c r="E166" s="8"/>
    </row>
    <row r="167">
      <c r="E167" s="8"/>
    </row>
    <row r="168">
      <c r="E168" s="8"/>
    </row>
    <row r="169">
      <c r="E169" s="8"/>
    </row>
    <row r="170">
      <c r="E170" s="8"/>
    </row>
    <row r="171">
      <c r="E171" s="8"/>
    </row>
    <row r="172">
      <c r="E172" s="8"/>
    </row>
    <row r="173">
      <c r="E173" s="8"/>
    </row>
    <row r="174">
      <c r="E174" s="8"/>
    </row>
    <row r="175">
      <c r="E175" s="8"/>
    </row>
    <row r="176">
      <c r="E176" s="8"/>
    </row>
    <row r="177">
      <c r="E177" s="8"/>
    </row>
    <row r="178">
      <c r="E178" s="8"/>
    </row>
    <row r="179">
      <c r="E179" s="8"/>
    </row>
    <row r="180">
      <c r="E180" s="8"/>
    </row>
    <row r="181">
      <c r="E181" s="8"/>
    </row>
    <row r="182">
      <c r="E182" s="8"/>
    </row>
    <row r="183">
      <c r="E183" s="8"/>
    </row>
    <row r="184">
      <c r="E184" s="8"/>
    </row>
    <row r="185">
      <c r="E185" s="8"/>
    </row>
    <row r="186">
      <c r="E186" s="8"/>
    </row>
    <row r="187">
      <c r="E187" s="8"/>
    </row>
    <row r="188">
      <c r="E188" s="8"/>
    </row>
    <row r="189">
      <c r="E189" s="8"/>
    </row>
    <row r="190">
      <c r="E190" s="8"/>
    </row>
    <row r="191">
      <c r="E191" s="8"/>
    </row>
    <row r="192">
      <c r="E192" s="8"/>
    </row>
    <row r="193">
      <c r="E193" s="8"/>
    </row>
    <row r="194">
      <c r="E194" s="8"/>
    </row>
    <row r="195">
      <c r="E195" s="8"/>
    </row>
    <row r="196">
      <c r="E196" s="8"/>
    </row>
    <row r="197">
      <c r="E197" s="8"/>
    </row>
    <row r="198">
      <c r="E198" s="8"/>
    </row>
    <row r="199">
      <c r="E199" s="8"/>
    </row>
    <row r="200">
      <c r="E200" s="8"/>
    </row>
    <row r="201">
      <c r="E201" s="8"/>
    </row>
    <row r="202">
      <c r="E202" s="8"/>
    </row>
    <row r="203">
      <c r="E203" s="8"/>
    </row>
    <row r="204">
      <c r="E204" s="8"/>
    </row>
    <row r="205">
      <c r="E205" s="8"/>
    </row>
    <row r="206">
      <c r="E206" s="8"/>
    </row>
    <row r="207">
      <c r="E207" s="8"/>
    </row>
    <row r="208">
      <c r="E208" s="8"/>
    </row>
    <row r="209">
      <c r="E209" s="8"/>
    </row>
    <row r="210">
      <c r="E210" s="8"/>
    </row>
    <row r="211">
      <c r="E211" s="8"/>
    </row>
    <row r="212">
      <c r="E212" s="8"/>
    </row>
    <row r="213">
      <c r="E213" s="8"/>
    </row>
    <row r="214">
      <c r="E214" s="8"/>
    </row>
    <row r="215">
      <c r="E215" s="8"/>
    </row>
    <row r="216">
      <c r="E216" s="8"/>
    </row>
    <row r="217">
      <c r="E217" s="8"/>
    </row>
    <row r="218">
      <c r="E218" s="8"/>
    </row>
    <row r="219">
      <c r="E219" s="8"/>
    </row>
    <row r="220">
      <c r="E220" s="8"/>
    </row>
    <row r="221">
      <c r="E221" s="8"/>
    </row>
    <row r="222">
      <c r="E222" s="8"/>
    </row>
    <row r="223">
      <c r="E223" s="8"/>
    </row>
    <row r="224">
      <c r="E224" s="8"/>
    </row>
    <row r="225">
      <c r="E225" s="8"/>
    </row>
    <row r="226">
      <c r="E226" s="8"/>
    </row>
    <row r="227">
      <c r="E227" s="8"/>
    </row>
    <row r="228">
      <c r="E228" s="8"/>
    </row>
    <row r="229">
      <c r="E229" s="8"/>
    </row>
    <row r="230">
      <c r="E230" s="8"/>
    </row>
    <row r="231">
      <c r="E231" s="8"/>
    </row>
    <row r="232">
      <c r="E232" s="8"/>
    </row>
    <row r="233">
      <c r="E233" s="8"/>
    </row>
    <row r="234">
      <c r="E234" s="8"/>
    </row>
    <row r="235">
      <c r="E235" s="8"/>
    </row>
    <row r="236">
      <c r="E236" s="8"/>
    </row>
    <row r="237">
      <c r="E237" s="8"/>
    </row>
    <row r="238">
      <c r="E238" s="8"/>
    </row>
    <row r="239">
      <c r="E239" s="8"/>
    </row>
    <row r="240">
      <c r="E240" s="8"/>
    </row>
    <row r="241">
      <c r="E241" s="8"/>
    </row>
    <row r="242">
      <c r="E242" s="8"/>
    </row>
    <row r="243">
      <c r="E243" s="8"/>
    </row>
    <row r="244">
      <c r="E244" s="8"/>
    </row>
    <row r="245">
      <c r="E245" s="8"/>
    </row>
    <row r="246">
      <c r="E246" s="8"/>
    </row>
    <row r="247">
      <c r="E247" s="8"/>
    </row>
    <row r="248">
      <c r="E248" s="8"/>
    </row>
    <row r="249">
      <c r="E249" s="8"/>
    </row>
    <row r="250">
      <c r="E250" s="8"/>
    </row>
    <row r="251">
      <c r="E251" s="8"/>
    </row>
    <row r="252">
      <c r="E252" s="8"/>
    </row>
    <row r="253">
      <c r="E253" s="8"/>
    </row>
    <row r="254">
      <c r="E254" s="8"/>
    </row>
    <row r="255">
      <c r="E255" s="8"/>
    </row>
    <row r="256">
      <c r="E256" s="8"/>
    </row>
    <row r="257">
      <c r="E257" s="8"/>
    </row>
    <row r="258">
      <c r="E258" s="8"/>
    </row>
    <row r="259">
      <c r="E259" s="8"/>
    </row>
    <row r="260">
      <c r="E260" s="8"/>
    </row>
    <row r="261">
      <c r="E261" s="8"/>
    </row>
    <row r="262">
      <c r="E262" s="8"/>
    </row>
    <row r="263">
      <c r="E263" s="8"/>
    </row>
    <row r="264">
      <c r="E264" s="8"/>
    </row>
    <row r="265">
      <c r="E265" s="8"/>
    </row>
    <row r="266">
      <c r="E266" s="8"/>
    </row>
    <row r="267">
      <c r="E267" s="8"/>
    </row>
    <row r="268">
      <c r="E268" s="8"/>
    </row>
    <row r="269">
      <c r="E269" s="8"/>
    </row>
    <row r="270">
      <c r="E270" s="8"/>
    </row>
    <row r="271">
      <c r="E271" s="8"/>
    </row>
    <row r="272">
      <c r="E272" s="8"/>
    </row>
    <row r="273">
      <c r="E273" s="8"/>
    </row>
    <row r="274">
      <c r="E274" s="8"/>
    </row>
    <row r="275">
      <c r="E275" s="8"/>
    </row>
    <row r="276">
      <c r="E276" s="8"/>
    </row>
    <row r="277">
      <c r="E277" s="8"/>
    </row>
    <row r="278">
      <c r="E278" s="8"/>
    </row>
    <row r="279">
      <c r="E279" s="8"/>
    </row>
    <row r="280">
      <c r="E280" s="8"/>
    </row>
    <row r="281">
      <c r="E281" s="8"/>
    </row>
    <row r="282">
      <c r="E282" s="8"/>
    </row>
    <row r="283">
      <c r="E283" s="8"/>
    </row>
    <row r="284">
      <c r="E284" s="8"/>
    </row>
    <row r="285">
      <c r="E285" s="8"/>
    </row>
    <row r="286">
      <c r="E286" s="8"/>
    </row>
    <row r="287">
      <c r="E287" s="8"/>
    </row>
    <row r="288">
      <c r="E288" s="8"/>
    </row>
    <row r="289">
      <c r="E289" s="8"/>
    </row>
    <row r="290">
      <c r="E290" s="8"/>
    </row>
    <row r="291">
      <c r="E291" s="8"/>
    </row>
    <row r="292">
      <c r="E292" s="8"/>
    </row>
    <row r="293">
      <c r="E293" s="8"/>
    </row>
    <row r="294">
      <c r="E294" s="8"/>
    </row>
    <row r="295">
      <c r="E295" s="8"/>
    </row>
    <row r="296">
      <c r="E296" s="8"/>
    </row>
    <row r="297">
      <c r="E297" s="8"/>
    </row>
    <row r="298">
      <c r="E298" s="8"/>
    </row>
    <row r="299">
      <c r="E299" s="8"/>
    </row>
    <row r="300">
      <c r="E300" s="8"/>
    </row>
    <row r="301">
      <c r="E301" s="8"/>
    </row>
    <row r="302">
      <c r="E302" s="8"/>
    </row>
    <row r="303">
      <c r="E303" s="8"/>
    </row>
    <row r="304">
      <c r="E304" s="8"/>
    </row>
    <row r="305">
      <c r="E305" s="8"/>
    </row>
    <row r="306">
      <c r="E306" s="8"/>
    </row>
    <row r="307">
      <c r="E307" s="8"/>
    </row>
    <row r="308">
      <c r="E308" s="8"/>
    </row>
    <row r="309">
      <c r="E309" s="8"/>
    </row>
    <row r="310">
      <c r="E310" s="8"/>
    </row>
    <row r="311">
      <c r="E311" s="8"/>
    </row>
    <row r="312">
      <c r="E312" s="8"/>
    </row>
    <row r="313">
      <c r="E313" s="8"/>
    </row>
    <row r="314">
      <c r="E314" s="8"/>
    </row>
    <row r="315">
      <c r="E315" s="8"/>
    </row>
    <row r="316">
      <c r="E316" s="8"/>
    </row>
    <row r="317">
      <c r="E317" s="8"/>
    </row>
    <row r="318">
      <c r="E318" s="8"/>
    </row>
    <row r="319">
      <c r="E319" s="8"/>
    </row>
    <row r="320">
      <c r="E320" s="8"/>
    </row>
    <row r="321">
      <c r="E321" s="8"/>
    </row>
    <row r="322">
      <c r="E322" s="8"/>
    </row>
    <row r="323">
      <c r="E323" s="8"/>
    </row>
    <row r="324">
      <c r="E324" s="8"/>
    </row>
    <row r="325">
      <c r="E325" s="8"/>
    </row>
    <row r="326">
      <c r="E326" s="8"/>
    </row>
    <row r="327">
      <c r="E327" s="8"/>
    </row>
    <row r="328">
      <c r="E328" s="8"/>
    </row>
    <row r="329">
      <c r="E329" s="8"/>
    </row>
    <row r="330">
      <c r="E330" s="8"/>
    </row>
    <row r="331">
      <c r="E331" s="8"/>
    </row>
    <row r="332">
      <c r="E332" s="8"/>
    </row>
    <row r="333">
      <c r="E333" s="8"/>
    </row>
    <row r="334">
      <c r="E334" s="8"/>
    </row>
    <row r="335">
      <c r="E335" s="8"/>
    </row>
    <row r="336">
      <c r="E336" s="8"/>
    </row>
    <row r="337">
      <c r="E337" s="8"/>
    </row>
    <row r="338">
      <c r="E338" s="8"/>
    </row>
    <row r="339">
      <c r="E339" s="8"/>
    </row>
    <row r="340">
      <c r="E340" s="8"/>
    </row>
    <row r="341">
      <c r="E341" s="8"/>
    </row>
    <row r="342">
      <c r="E342" s="8"/>
    </row>
    <row r="343">
      <c r="E343" s="8"/>
    </row>
    <row r="344">
      <c r="E344" s="8"/>
    </row>
    <row r="345">
      <c r="E345" s="8"/>
    </row>
    <row r="346">
      <c r="E346" s="8"/>
    </row>
    <row r="347">
      <c r="E347" s="8"/>
    </row>
    <row r="348">
      <c r="E348" s="8"/>
    </row>
    <row r="349">
      <c r="E349" s="8"/>
    </row>
    <row r="350">
      <c r="E350" s="8"/>
    </row>
    <row r="351">
      <c r="E351" s="8"/>
    </row>
    <row r="352">
      <c r="E352" s="8"/>
    </row>
    <row r="353">
      <c r="E353" s="8"/>
    </row>
    <row r="354">
      <c r="E354" s="8"/>
    </row>
    <row r="355">
      <c r="E355" s="8"/>
    </row>
    <row r="356">
      <c r="E356" s="8"/>
    </row>
    <row r="357">
      <c r="E357" s="8"/>
    </row>
    <row r="358">
      <c r="E358" s="8"/>
    </row>
    <row r="359">
      <c r="E359" s="8"/>
    </row>
    <row r="360">
      <c r="E360" s="8"/>
    </row>
    <row r="361">
      <c r="E361" s="8"/>
    </row>
    <row r="362">
      <c r="E362" s="8"/>
    </row>
    <row r="363">
      <c r="E363" s="8"/>
    </row>
    <row r="364">
      <c r="E364" s="8"/>
    </row>
    <row r="365">
      <c r="E365" s="8"/>
    </row>
    <row r="366">
      <c r="E366" s="8"/>
    </row>
    <row r="367">
      <c r="E367" s="8"/>
    </row>
    <row r="368">
      <c r="E368" s="8"/>
    </row>
    <row r="369">
      <c r="E369" s="8"/>
    </row>
    <row r="370">
      <c r="E370" s="8"/>
    </row>
    <row r="371">
      <c r="E371" s="8"/>
    </row>
    <row r="372">
      <c r="E372" s="8"/>
    </row>
    <row r="373">
      <c r="E373" s="8"/>
    </row>
    <row r="374">
      <c r="E374" s="8"/>
    </row>
    <row r="375">
      <c r="E375" s="8"/>
    </row>
    <row r="376">
      <c r="E376" s="8"/>
    </row>
    <row r="377">
      <c r="E377" s="8"/>
    </row>
    <row r="378">
      <c r="E378" s="8"/>
    </row>
    <row r="379">
      <c r="E379" s="8"/>
    </row>
    <row r="380">
      <c r="E380" s="8"/>
    </row>
    <row r="381">
      <c r="E381" s="8"/>
    </row>
    <row r="382">
      <c r="E382" s="8"/>
    </row>
    <row r="383">
      <c r="E383" s="8"/>
    </row>
    <row r="384">
      <c r="E384" s="8"/>
    </row>
    <row r="385">
      <c r="E385" s="8"/>
    </row>
    <row r="386">
      <c r="E386" s="8"/>
    </row>
    <row r="387">
      <c r="E387" s="8"/>
    </row>
    <row r="388">
      <c r="E388" s="8"/>
    </row>
    <row r="389">
      <c r="E389" s="8"/>
    </row>
    <row r="390">
      <c r="E390" s="8"/>
    </row>
    <row r="391">
      <c r="E391" s="8"/>
    </row>
    <row r="392">
      <c r="E392" s="8"/>
    </row>
    <row r="393">
      <c r="E393" s="8"/>
    </row>
    <row r="394">
      <c r="E394" s="8"/>
    </row>
    <row r="395">
      <c r="E395" s="8"/>
    </row>
    <row r="396">
      <c r="E396" s="8"/>
    </row>
    <row r="397">
      <c r="E397" s="8"/>
    </row>
    <row r="398">
      <c r="E398" s="8"/>
    </row>
    <row r="399">
      <c r="E399" s="8"/>
    </row>
    <row r="400">
      <c r="E400" s="8"/>
    </row>
    <row r="401">
      <c r="E401" s="8"/>
    </row>
    <row r="402">
      <c r="E402" s="8"/>
    </row>
    <row r="403">
      <c r="E403" s="8"/>
    </row>
    <row r="404">
      <c r="E404" s="8"/>
    </row>
    <row r="405">
      <c r="E405" s="8"/>
    </row>
    <row r="406">
      <c r="E406" s="8"/>
    </row>
    <row r="407">
      <c r="E407" s="8"/>
    </row>
    <row r="408">
      <c r="E408" s="8"/>
    </row>
    <row r="409">
      <c r="E409" s="8"/>
    </row>
    <row r="410">
      <c r="E410" s="8"/>
    </row>
    <row r="411">
      <c r="E411" s="8"/>
    </row>
    <row r="412">
      <c r="E412" s="8"/>
    </row>
    <row r="413">
      <c r="E413" s="8"/>
    </row>
    <row r="414">
      <c r="E414" s="8"/>
    </row>
    <row r="415">
      <c r="E415" s="8"/>
    </row>
    <row r="416">
      <c r="E416" s="8"/>
    </row>
    <row r="417">
      <c r="E417" s="8"/>
    </row>
    <row r="418">
      <c r="E418" s="8"/>
    </row>
    <row r="419">
      <c r="E419" s="8"/>
    </row>
    <row r="420">
      <c r="E420" s="8"/>
    </row>
    <row r="421">
      <c r="E421" s="8"/>
    </row>
    <row r="422">
      <c r="E422" s="8"/>
    </row>
    <row r="423">
      <c r="E423" s="8"/>
    </row>
    <row r="424">
      <c r="E424" s="8"/>
    </row>
    <row r="425">
      <c r="E425" s="8"/>
    </row>
    <row r="426">
      <c r="E426" s="8"/>
    </row>
    <row r="427">
      <c r="E427" s="8"/>
    </row>
    <row r="428">
      <c r="E428" s="8"/>
    </row>
    <row r="429">
      <c r="E429" s="8"/>
    </row>
    <row r="430">
      <c r="E430" s="8"/>
    </row>
    <row r="431">
      <c r="E431" s="8"/>
    </row>
    <row r="432">
      <c r="E432" s="8"/>
    </row>
    <row r="433">
      <c r="E433" s="8"/>
    </row>
    <row r="434">
      <c r="E434" s="8"/>
    </row>
    <row r="435">
      <c r="E435" s="8"/>
    </row>
    <row r="436">
      <c r="E436" s="8"/>
    </row>
    <row r="437">
      <c r="E437" s="8"/>
    </row>
    <row r="438">
      <c r="E438" s="8"/>
    </row>
    <row r="439">
      <c r="E439" s="8"/>
    </row>
    <row r="440">
      <c r="E440" s="8"/>
    </row>
    <row r="441">
      <c r="E441" s="8"/>
    </row>
    <row r="442">
      <c r="E442" s="8"/>
    </row>
    <row r="443">
      <c r="E443" s="8"/>
    </row>
    <row r="444">
      <c r="E444" s="8"/>
    </row>
    <row r="445">
      <c r="E445" s="8"/>
    </row>
    <row r="446">
      <c r="E446" s="8"/>
    </row>
    <row r="447">
      <c r="E447" s="8"/>
    </row>
    <row r="448">
      <c r="E448" s="8"/>
    </row>
    <row r="449">
      <c r="E449" s="8"/>
    </row>
    <row r="450">
      <c r="E450" s="8"/>
    </row>
    <row r="451">
      <c r="E451" s="8"/>
    </row>
    <row r="452">
      <c r="E452" s="8"/>
    </row>
    <row r="453">
      <c r="E453" s="8"/>
    </row>
    <row r="454">
      <c r="E454" s="8"/>
    </row>
    <row r="455">
      <c r="E455" s="8"/>
    </row>
    <row r="456">
      <c r="E456" s="8"/>
    </row>
    <row r="457">
      <c r="E457" s="8"/>
    </row>
    <row r="458">
      <c r="E458" s="8"/>
    </row>
    <row r="459">
      <c r="E459" s="8"/>
    </row>
    <row r="460">
      <c r="E460" s="8"/>
    </row>
    <row r="461">
      <c r="E461" s="8"/>
    </row>
    <row r="462">
      <c r="E462" s="8"/>
    </row>
    <row r="463">
      <c r="E463" s="8"/>
    </row>
    <row r="464">
      <c r="E464" s="8"/>
    </row>
    <row r="465">
      <c r="E465" s="8"/>
    </row>
    <row r="466">
      <c r="E466" s="8"/>
    </row>
    <row r="467">
      <c r="E467" s="8"/>
    </row>
    <row r="468">
      <c r="E468" s="8"/>
    </row>
    <row r="469">
      <c r="E469" s="8"/>
    </row>
    <row r="470">
      <c r="E470" s="8"/>
    </row>
    <row r="471">
      <c r="E471" s="8"/>
    </row>
    <row r="472">
      <c r="E472" s="8"/>
    </row>
    <row r="473">
      <c r="E473" s="8"/>
    </row>
    <row r="474">
      <c r="E474" s="8"/>
    </row>
    <row r="475">
      <c r="E475" s="8"/>
    </row>
    <row r="476">
      <c r="E476" s="8"/>
    </row>
    <row r="477">
      <c r="E477" s="8"/>
    </row>
    <row r="478">
      <c r="E478" s="8"/>
    </row>
    <row r="479">
      <c r="E479" s="8"/>
    </row>
    <row r="480">
      <c r="E480" s="8"/>
    </row>
    <row r="481">
      <c r="E481" s="8"/>
    </row>
    <row r="482">
      <c r="E482" s="8"/>
    </row>
    <row r="483">
      <c r="E483" s="8"/>
    </row>
    <row r="484">
      <c r="E484" s="8"/>
    </row>
    <row r="485">
      <c r="E485" s="8"/>
    </row>
    <row r="486">
      <c r="E486" s="8"/>
    </row>
    <row r="487">
      <c r="E487" s="8"/>
    </row>
    <row r="488">
      <c r="E488" s="8"/>
    </row>
    <row r="489">
      <c r="E489" s="8"/>
    </row>
    <row r="490">
      <c r="E490" s="8"/>
    </row>
    <row r="491">
      <c r="E491" s="8"/>
    </row>
    <row r="492">
      <c r="E492" s="8"/>
    </row>
    <row r="493">
      <c r="E493" s="8"/>
    </row>
    <row r="494">
      <c r="E494" s="8"/>
    </row>
    <row r="495">
      <c r="E495" s="8"/>
    </row>
    <row r="496">
      <c r="E496" s="8"/>
    </row>
    <row r="497">
      <c r="E497" s="8"/>
    </row>
    <row r="498">
      <c r="E498" s="8"/>
    </row>
    <row r="499">
      <c r="E499" s="8"/>
    </row>
    <row r="500">
      <c r="E500" s="8"/>
    </row>
    <row r="501">
      <c r="E501" s="8"/>
    </row>
    <row r="502">
      <c r="E502" s="8"/>
    </row>
    <row r="503">
      <c r="E503" s="8"/>
    </row>
    <row r="504">
      <c r="E504" s="8"/>
    </row>
    <row r="505">
      <c r="E505" s="8"/>
    </row>
    <row r="506">
      <c r="E506" s="8"/>
    </row>
    <row r="507">
      <c r="E507" s="8"/>
    </row>
    <row r="508">
      <c r="E508" s="8"/>
    </row>
    <row r="509">
      <c r="E509" s="8"/>
    </row>
    <row r="510">
      <c r="E510" s="8"/>
    </row>
    <row r="511">
      <c r="E511" s="8"/>
    </row>
    <row r="512">
      <c r="E512" s="8"/>
    </row>
    <row r="513">
      <c r="E513" s="8"/>
    </row>
    <row r="514">
      <c r="E514" s="8"/>
    </row>
    <row r="515">
      <c r="E515" s="8"/>
    </row>
    <row r="516">
      <c r="E516" s="8"/>
    </row>
    <row r="517">
      <c r="E517" s="8"/>
    </row>
    <row r="518">
      <c r="E518" s="8"/>
    </row>
    <row r="519">
      <c r="E519" s="8"/>
    </row>
    <row r="520">
      <c r="E520" s="8"/>
    </row>
    <row r="521">
      <c r="E521" s="8"/>
    </row>
    <row r="522">
      <c r="E522" s="8"/>
    </row>
    <row r="523">
      <c r="E523" s="8"/>
    </row>
    <row r="524">
      <c r="E524" s="8"/>
    </row>
    <row r="525">
      <c r="E525" s="8"/>
    </row>
    <row r="526">
      <c r="E526" s="8"/>
    </row>
    <row r="527">
      <c r="E527" s="8"/>
    </row>
    <row r="528">
      <c r="E528" s="8"/>
    </row>
    <row r="529">
      <c r="E529" s="8"/>
    </row>
    <row r="530">
      <c r="E530" s="8"/>
    </row>
    <row r="531">
      <c r="E531" s="8"/>
    </row>
    <row r="532">
      <c r="E532" s="8"/>
    </row>
    <row r="533">
      <c r="E533" s="8"/>
    </row>
    <row r="534">
      <c r="E534" s="8"/>
    </row>
    <row r="535">
      <c r="E535" s="8"/>
    </row>
    <row r="536">
      <c r="E536" s="8"/>
    </row>
    <row r="537">
      <c r="E537" s="8"/>
    </row>
    <row r="538">
      <c r="E538" s="8"/>
    </row>
    <row r="539">
      <c r="E539" s="8"/>
    </row>
    <row r="540">
      <c r="E540" s="8"/>
    </row>
    <row r="541">
      <c r="E541" s="8"/>
    </row>
    <row r="542">
      <c r="E542" s="8"/>
    </row>
    <row r="543">
      <c r="E543" s="8"/>
    </row>
    <row r="544">
      <c r="E544" s="8"/>
    </row>
    <row r="545">
      <c r="E545" s="8"/>
    </row>
    <row r="546">
      <c r="E546" s="8"/>
    </row>
    <row r="547">
      <c r="E547" s="8"/>
    </row>
    <row r="548">
      <c r="E548" s="8"/>
    </row>
    <row r="549">
      <c r="E549" s="8"/>
    </row>
    <row r="550">
      <c r="E550" s="8"/>
    </row>
    <row r="551">
      <c r="E551" s="8"/>
    </row>
    <row r="552">
      <c r="E552" s="8"/>
    </row>
    <row r="553">
      <c r="E553" s="8"/>
    </row>
    <row r="554">
      <c r="E554" s="8"/>
    </row>
    <row r="555">
      <c r="E555" s="8"/>
    </row>
    <row r="556">
      <c r="E556" s="8"/>
    </row>
    <row r="557">
      <c r="E557" s="8"/>
    </row>
    <row r="558">
      <c r="E558" s="8"/>
    </row>
    <row r="559">
      <c r="E559" s="8"/>
    </row>
    <row r="560">
      <c r="E560" s="8"/>
    </row>
    <row r="561">
      <c r="E561" s="8"/>
    </row>
    <row r="562">
      <c r="E562" s="8"/>
    </row>
    <row r="563">
      <c r="E563" s="8"/>
    </row>
    <row r="564">
      <c r="E564" s="8"/>
    </row>
    <row r="565">
      <c r="E565" s="8"/>
    </row>
    <row r="566">
      <c r="E566" s="8"/>
    </row>
    <row r="567">
      <c r="E567" s="8"/>
    </row>
    <row r="568">
      <c r="E568" s="8"/>
    </row>
    <row r="569">
      <c r="E569" s="8"/>
    </row>
    <row r="570">
      <c r="E570" s="8"/>
    </row>
    <row r="571">
      <c r="E571" s="8"/>
    </row>
    <row r="572">
      <c r="E572" s="8"/>
    </row>
    <row r="573">
      <c r="E573" s="8"/>
    </row>
    <row r="574">
      <c r="E574" s="8"/>
    </row>
    <row r="575">
      <c r="E575" s="8"/>
    </row>
    <row r="576">
      <c r="E576" s="8"/>
    </row>
    <row r="577">
      <c r="E577" s="8"/>
    </row>
    <row r="578">
      <c r="E578" s="8"/>
    </row>
    <row r="579">
      <c r="E579" s="8"/>
    </row>
    <row r="580">
      <c r="E580" s="8"/>
    </row>
    <row r="581">
      <c r="E581" s="8"/>
    </row>
    <row r="582">
      <c r="E582" s="8"/>
    </row>
    <row r="583">
      <c r="E583" s="8"/>
    </row>
    <row r="584">
      <c r="E584" s="8"/>
    </row>
    <row r="585">
      <c r="E585" s="8"/>
    </row>
    <row r="586">
      <c r="E586" s="8"/>
    </row>
    <row r="587">
      <c r="E587" s="8"/>
    </row>
    <row r="588">
      <c r="E588" s="8"/>
    </row>
    <row r="589">
      <c r="E589" s="8"/>
    </row>
    <row r="590">
      <c r="E590" s="8"/>
    </row>
    <row r="591">
      <c r="E591" s="8"/>
    </row>
    <row r="592">
      <c r="E592" s="8"/>
    </row>
    <row r="593">
      <c r="E593" s="8"/>
    </row>
    <row r="594">
      <c r="E594" s="8"/>
    </row>
    <row r="595">
      <c r="E595" s="8"/>
    </row>
    <row r="596">
      <c r="E596" s="8"/>
    </row>
    <row r="597">
      <c r="E597" s="8"/>
    </row>
    <row r="598">
      <c r="E598" s="8"/>
    </row>
    <row r="599">
      <c r="E599" s="8"/>
    </row>
    <row r="600">
      <c r="E600" s="8"/>
    </row>
    <row r="601">
      <c r="E601" s="8"/>
    </row>
    <row r="602">
      <c r="E602" s="8"/>
    </row>
    <row r="603">
      <c r="E603" s="8"/>
    </row>
    <row r="604">
      <c r="E604" s="8"/>
    </row>
    <row r="605">
      <c r="E605" s="8"/>
    </row>
    <row r="606">
      <c r="E606" s="8"/>
    </row>
    <row r="607">
      <c r="E607" s="8"/>
    </row>
    <row r="608">
      <c r="E608" s="8"/>
    </row>
    <row r="609">
      <c r="E609" s="8"/>
    </row>
    <row r="610">
      <c r="E610" s="8"/>
    </row>
    <row r="611">
      <c r="E611" s="8"/>
    </row>
    <row r="612">
      <c r="E612" s="8"/>
    </row>
    <row r="613">
      <c r="E613" s="8"/>
    </row>
    <row r="614">
      <c r="E614" s="8"/>
    </row>
    <row r="615">
      <c r="E615" s="8"/>
    </row>
    <row r="616">
      <c r="E616" s="8"/>
    </row>
    <row r="617">
      <c r="E617" s="8"/>
    </row>
    <row r="618">
      <c r="E618" s="8"/>
    </row>
    <row r="619">
      <c r="E619" s="8"/>
    </row>
    <row r="620">
      <c r="E620" s="8"/>
    </row>
    <row r="621">
      <c r="E621" s="8"/>
    </row>
    <row r="622">
      <c r="E622" s="8"/>
    </row>
    <row r="623">
      <c r="E623" s="8"/>
    </row>
    <row r="624">
      <c r="E624" s="8"/>
    </row>
    <row r="625">
      <c r="E625" s="8"/>
    </row>
    <row r="626">
      <c r="E626" s="8"/>
    </row>
    <row r="627">
      <c r="E627" s="8"/>
    </row>
    <row r="628">
      <c r="E628" s="8"/>
    </row>
    <row r="629">
      <c r="E629" s="8"/>
    </row>
    <row r="630">
      <c r="E630" s="8"/>
    </row>
    <row r="631">
      <c r="E631" s="8"/>
    </row>
    <row r="632">
      <c r="E632" s="8"/>
    </row>
    <row r="633">
      <c r="E633" s="8"/>
    </row>
    <row r="634">
      <c r="E634" s="8"/>
    </row>
    <row r="635">
      <c r="E635" s="8"/>
    </row>
    <row r="636">
      <c r="E636" s="8"/>
    </row>
    <row r="637">
      <c r="E637" s="8"/>
    </row>
    <row r="638">
      <c r="E638" s="8"/>
    </row>
    <row r="639">
      <c r="E639" s="8"/>
    </row>
    <row r="640">
      <c r="E640" s="8"/>
    </row>
    <row r="641">
      <c r="E641" s="8"/>
    </row>
    <row r="642">
      <c r="E642" s="8"/>
    </row>
    <row r="643">
      <c r="E643" s="8"/>
    </row>
    <row r="644">
      <c r="E644" s="8"/>
    </row>
    <row r="645">
      <c r="E645" s="8"/>
    </row>
    <row r="646">
      <c r="E646" s="8"/>
    </row>
    <row r="647">
      <c r="E647" s="8"/>
    </row>
    <row r="648">
      <c r="E648" s="8"/>
    </row>
    <row r="649">
      <c r="E649" s="8"/>
    </row>
    <row r="650">
      <c r="E650" s="8"/>
    </row>
    <row r="651">
      <c r="E651" s="8"/>
    </row>
    <row r="652">
      <c r="E652" s="8"/>
    </row>
    <row r="653">
      <c r="E653" s="8"/>
    </row>
    <row r="654">
      <c r="E654" s="8"/>
    </row>
    <row r="655">
      <c r="E655" s="8"/>
    </row>
    <row r="656">
      <c r="E656" s="8"/>
    </row>
    <row r="657">
      <c r="E657" s="8"/>
    </row>
    <row r="658">
      <c r="E658" s="8"/>
    </row>
    <row r="659">
      <c r="E659" s="8"/>
    </row>
    <row r="660">
      <c r="E660" s="8"/>
    </row>
    <row r="661">
      <c r="E661" s="8"/>
    </row>
    <row r="662">
      <c r="E662" s="8"/>
    </row>
    <row r="663">
      <c r="E663" s="8"/>
    </row>
    <row r="664">
      <c r="E664" s="8"/>
    </row>
    <row r="665">
      <c r="E665" s="8"/>
    </row>
    <row r="666">
      <c r="E666" s="8"/>
    </row>
    <row r="667">
      <c r="E667" s="8"/>
    </row>
    <row r="668">
      <c r="E668" s="8"/>
    </row>
    <row r="669">
      <c r="E669" s="8"/>
    </row>
    <row r="670">
      <c r="E670" s="8"/>
    </row>
    <row r="671">
      <c r="E671" s="8"/>
    </row>
    <row r="672">
      <c r="E672" s="8"/>
    </row>
    <row r="673">
      <c r="E673" s="8"/>
    </row>
    <row r="674">
      <c r="E674" s="8"/>
    </row>
    <row r="675">
      <c r="E675" s="8"/>
    </row>
    <row r="676">
      <c r="E676" s="8"/>
    </row>
    <row r="677">
      <c r="E677" s="8"/>
    </row>
    <row r="678">
      <c r="E678" s="8"/>
    </row>
    <row r="679">
      <c r="E679" s="8"/>
    </row>
    <row r="680">
      <c r="E680" s="8"/>
    </row>
    <row r="681">
      <c r="E681" s="8"/>
    </row>
    <row r="682">
      <c r="E682" s="8"/>
    </row>
    <row r="683">
      <c r="E683" s="8"/>
    </row>
    <row r="684">
      <c r="E684" s="8"/>
    </row>
    <row r="685">
      <c r="E685" s="8"/>
    </row>
    <row r="686">
      <c r="E686" s="8"/>
    </row>
    <row r="687">
      <c r="E687" s="8"/>
    </row>
    <row r="688">
      <c r="E688" s="8"/>
    </row>
    <row r="689">
      <c r="E689" s="8"/>
    </row>
    <row r="690">
      <c r="E690" s="8"/>
    </row>
    <row r="691">
      <c r="E691" s="8"/>
    </row>
    <row r="692">
      <c r="E692" s="8"/>
    </row>
    <row r="693">
      <c r="E693" s="8"/>
    </row>
    <row r="694">
      <c r="E694" s="8"/>
    </row>
    <row r="695">
      <c r="E695" s="8"/>
    </row>
    <row r="696">
      <c r="E696" s="8"/>
    </row>
    <row r="697">
      <c r="E697" s="8"/>
    </row>
    <row r="698">
      <c r="E698" s="8"/>
    </row>
    <row r="699">
      <c r="E699" s="8"/>
    </row>
    <row r="700">
      <c r="E700" s="8"/>
    </row>
    <row r="701">
      <c r="E701" s="8"/>
    </row>
    <row r="702">
      <c r="E702" s="8"/>
    </row>
    <row r="703">
      <c r="E703" s="8"/>
    </row>
    <row r="704">
      <c r="E704" s="8"/>
    </row>
    <row r="705">
      <c r="E705" s="8"/>
    </row>
    <row r="706">
      <c r="E706" s="8"/>
    </row>
    <row r="707">
      <c r="E707" s="8"/>
    </row>
    <row r="708">
      <c r="E708" s="8"/>
    </row>
    <row r="709">
      <c r="E709" s="8"/>
    </row>
    <row r="710">
      <c r="E710" s="8"/>
    </row>
    <row r="711">
      <c r="E711" s="8"/>
    </row>
    <row r="712">
      <c r="E712" s="8"/>
    </row>
    <row r="713">
      <c r="E713" s="8"/>
    </row>
    <row r="714">
      <c r="E714" s="8"/>
    </row>
    <row r="715">
      <c r="E715" s="8"/>
    </row>
    <row r="716">
      <c r="E716" s="8"/>
    </row>
    <row r="717">
      <c r="E717" s="8"/>
    </row>
    <row r="718">
      <c r="E718" s="8"/>
    </row>
    <row r="719">
      <c r="E719" s="8"/>
    </row>
    <row r="720">
      <c r="E720" s="8"/>
    </row>
    <row r="721">
      <c r="E721" s="8"/>
    </row>
    <row r="722">
      <c r="E722" s="8"/>
    </row>
    <row r="723">
      <c r="E723" s="8"/>
    </row>
    <row r="724">
      <c r="E724" s="8"/>
    </row>
    <row r="725">
      <c r="E725" s="8"/>
    </row>
    <row r="726">
      <c r="E726" s="8"/>
    </row>
    <row r="727">
      <c r="E727" s="8"/>
    </row>
    <row r="728">
      <c r="E728" s="8"/>
    </row>
    <row r="729">
      <c r="E729" s="8"/>
    </row>
    <row r="730">
      <c r="E730" s="8"/>
    </row>
    <row r="731">
      <c r="E731" s="8"/>
    </row>
    <row r="732">
      <c r="E732" s="8"/>
    </row>
    <row r="733">
      <c r="E733" s="8"/>
    </row>
    <row r="734">
      <c r="E734" s="8"/>
    </row>
    <row r="735">
      <c r="E735" s="8"/>
    </row>
    <row r="736">
      <c r="E736" s="8"/>
    </row>
    <row r="737">
      <c r="E737" s="8"/>
    </row>
    <row r="738">
      <c r="E738" s="8"/>
    </row>
    <row r="739">
      <c r="E739" s="8"/>
    </row>
    <row r="740">
      <c r="E740" s="8"/>
    </row>
    <row r="741">
      <c r="E741" s="8"/>
    </row>
    <row r="742">
      <c r="E742" s="8"/>
    </row>
    <row r="743">
      <c r="E743" s="8"/>
    </row>
    <row r="744">
      <c r="E744" s="8"/>
    </row>
    <row r="745">
      <c r="E745" s="8"/>
    </row>
    <row r="746">
      <c r="E746" s="8"/>
    </row>
    <row r="747">
      <c r="E747" s="8"/>
    </row>
    <row r="748">
      <c r="E748" s="8"/>
    </row>
    <row r="749">
      <c r="E749" s="8"/>
    </row>
    <row r="750">
      <c r="E750" s="8"/>
    </row>
    <row r="751">
      <c r="E751" s="8"/>
    </row>
    <row r="752">
      <c r="E752" s="8"/>
    </row>
    <row r="753">
      <c r="E753" s="8"/>
    </row>
    <row r="754">
      <c r="E754" s="8"/>
    </row>
    <row r="755">
      <c r="E755" s="8"/>
    </row>
    <row r="756">
      <c r="E756" s="8"/>
    </row>
    <row r="757">
      <c r="E757" s="8"/>
    </row>
    <row r="758">
      <c r="E758" s="8"/>
    </row>
    <row r="759">
      <c r="E759" s="8"/>
    </row>
    <row r="760">
      <c r="E760" s="8"/>
    </row>
    <row r="761">
      <c r="E761" s="8"/>
    </row>
    <row r="762">
      <c r="E762" s="8"/>
    </row>
    <row r="763">
      <c r="E763" s="8"/>
    </row>
    <row r="764">
      <c r="E764" s="8"/>
    </row>
    <row r="765">
      <c r="E765" s="8"/>
    </row>
    <row r="766">
      <c r="E766" s="8"/>
    </row>
    <row r="767">
      <c r="E767" s="8"/>
    </row>
    <row r="768">
      <c r="E768" s="8"/>
    </row>
    <row r="769">
      <c r="E769" s="8"/>
    </row>
    <row r="770">
      <c r="E770" s="8"/>
    </row>
    <row r="771">
      <c r="E771" s="8"/>
    </row>
    <row r="772">
      <c r="E772" s="8"/>
    </row>
    <row r="773">
      <c r="E773" s="8"/>
    </row>
    <row r="774">
      <c r="E774" s="8"/>
    </row>
    <row r="775">
      <c r="E775" s="8"/>
    </row>
    <row r="776">
      <c r="E776" s="8"/>
    </row>
    <row r="777">
      <c r="E777" s="8"/>
    </row>
    <row r="778">
      <c r="E778" s="8"/>
    </row>
    <row r="779">
      <c r="E779" s="8"/>
    </row>
    <row r="780">
      <c r="E780" s="8"/>
    </row>
    <row r="781">
      <c r="E781" s="8"/>
    </row>
    <row r="782">
      <c r="E782" s="8"/>
    </row>
    <row r="783">
      <c r="E783" s="8"/>
    </row>
    <row r="784">
      <c r="E784" s="8"/>
    </row>
    <row r="785">
      <c r="E785" s="8"/>
    </row>
    <row r="786">
      <c r="E786" s="8"/>
    </row>
    <row r="787">
      <c r="E787" s="8"/>
    </row>
    <row r="788">
      <c r="E788" s="8"/>
    </row>
    <row r="789">
      <c r="E789" s="8"/>
    </row>
    <row r="790">
      <c r="E790" s="8"/>
    </row>
    <row r="791">
      <c r="E791" s="8"/>
    </row>
    <row r="792">
      <c r="E792" s="8"/>
    </row>
    <row r="793">
      <c r="E793" s="8"/>
    </row>
    <row r="794">
      <c r="E794" s="8"/>
    </row>
    <row r="795">
      <c r="E795" s="8"/>
    </row>
    <row r="796">
      <c r="E796" s="8"/>
    </row>
    <row r="797">
      <c r="E797" s="8"/>
    </row>
    <row r="798">
      <c r="E798" s="8"/>
    </row>
    <row r="799">
      <c r="E799" s="8"/>
    </row>
    <row r="800">
      <c r="E800" s="8"/>
    </row>
    <row r="801">
      <c r="E801" s="8"/>
    </row>
    <row r="802">
      <c r="E802" s="8"/>
    </row>
    <row r="803">
      <c r="E803" s="8"/>
    </row>
    <row r="804">
      <c r="E804" s="8"/>
    </row>
    <row r="805">
      <c r="E805" s="8"/>
    </row>
    <row r="806">
      <c r="E806" s="8"/>
    </row>
    <row r="807">
      <c r="E807" s="8"/>
    </row>
    <row r="808">
      <c r="E808" s="8"/>
    </row>
    <row r="809">
      <c r="E809" s="8"/>
    </row>
    <row r="810">
      <c r="E810" s="8"/>
    </row>
    <row r="811">
      <c r="E811" s="8"/>
    </row>
    <row r="812">
      <c r="E812" s="8"/>
    </row>
    <row r="813">
      <c r="E813" s="8"/>
    </row>
    <row r="814">
      <c r="E814" s="8"/>
    </row>
    <row r="815">
      <c r="E815" s="8"/>
    </row>
    <row r="816">
      <c r="E816" s="8"/>
    </row>
    <row r="817">
      <c r="E817" s="8"/>
    </row>
    <row r="818">
      <c r="E818" s="8"/>
    </row>
    <row r="819">
      <c r="E819" s="8"/>
    </row>
    <row r="820">
      <c r="E820" s="8"/>
    </row>
    <row r="821">
      <c r="E821" s="8"/>
    </row>
    <row r="822">
      <c r="E822" s="8"/>
    </row>
    <row r="823">
      <c r="E823" s="8"/>
    </row>
    <row r="824">
      <c r="E824" s="8"/>
    </row>
    <row r="825">
      <c r="E825" s="8"/>
    </row>
    <row r="826">
      <c r="E826" s="8"/>
    </row>
    <row r="827">
      <c r="E827" s="8"/>
    </row>
    <row r="828">
      <c r="E828" s="8"/>
    </row>
    <row r="829">
      <c r="E829" s="8"/>
    </row>
    <row r="830">
      <c r="E830" s="8"/>
    </row>
    <row r="831">
      <c r="E831" s="8"/>
    </row>
    <row r="832">
      <c r="E832" s="8"/>
    </row>
    <row r="833">
      <c r="E833" s="8"/>
    </row>
    <row r="834">
      <c r="E834" s="8"/>
    </row>
    <row r="835">
      <c r="E835" s="8"/>
    </row>
    <row r="836">
      <c r="E836" s="8"/>
    </row>
    <row r="837">
      <c r="E837" s="8"/>
    </row>
    <row r="838">
      <c r="E838" s="8"/>
    </row>
    <row r="839">
      <c r="E839" s="8"/>
    </row>
    <row r="840">
      <c r="E840" s="8"/>
    </row>
    <row r="841">
      <c r="E841" s="8"/>
    </row>
    <row r="842">
      <c r="E842" s="8"/>
    </row>
    <row r="843">
      <c r="E843" s="8"/>
    </row>
    <row r="844">
      <c r="E844" s="8"/>
    </row>
    <row r="845">
      <c r="E845" s="8"/>
    </row>
    <row r="846">
      <c r="E846" s="8"/>
    </row>
    <row r="847">
      <c r="E847" s="8"/>
    </row>
    <row r="848">
      <c r="E848" s="8"/>
    </row>
    <row r="849">
      <c r="E849" s="8"/>
    </row>
    <row r="850">
      <c r="E850" s="8"/>
    </row>
    <row r="851">
      <c r="E851" s="8"/>
    </row>
    <row r="852">
      <c r="E852" s="8"/>
    </row>
    <row r="853">
      <c r="E853" s="8"/>
    </row>
    <row r="854">
      <c r="E854" s="8"/>
    </row>
    <row r="855">
      <c r="E855" s="8"/>
    </row>
    <row r="856">
      <c r="E856" s="8"/>
    </row>
    <row r="857">
      <c r="E857" s="8"/>
    </row>
    <row r="858">
      <c r="E858" s="8"/>
    </row>
    <row r="859">
      <c r="E859" s="8"/>
    </row>
    <row r="860">
      <c r="E860" s="8"/>
    </row>
    <row r="861">
      <c r="E861" s="8"/>
    </row>
    <row r="862">
      <c r="E862" s="8"/>
    </row>
    <row r="863">
      <c r="E863" s="8"/>
    </row>
    <row r="864">
      <c r="E864" s="8"/>
    </row>
    <row r="865">
      <c r="E865" s="8"/>
    </row>
    <row r="866">
      <c r="E866" s="8"/>
    </row>
    <row r="867">
      <c r="E867" s="8"/>
    </row>
    <row r="868">
      <c r="E868" s="8"/>
    </row>
    <row r="869">
      <c r="E869" s="8"/>
    </row>
    <row r="870">
      <c r="E870" s="8"/>
    </row>
    <row r="871">
      <c r="E871" s="8"/>
    </row>
    <row r="872">
      <c r="E872" s="8"/>
    </row>
    <row r="873">
      <c r="E873" s="8"/>
    </row>
    <row r="874">
      <c r="E874" s="8"/>
    </row>
    <row r="875">
      <c r="E875" s="8"/>
    </row>
    <row r="876">
      <c r="E876" s="8"/>
    </row>
    <row r="877">
      <c r="E877" s="8"/>
    </row>
    <row r="878">
      <c r="E878" s="8"/>
    </row>
    <row r="879">
      <c r="E879" s="8"/>
    </row>
    <row r="880">
      <c r="E880" s="8"/>
    </row>
    <row r="881">
      <c r="E881" s="8"/>
    </row>
    <row r="882">
      <c r="E882" s="8"/>
    </row>
    <row r="883">
      <c r="E883" s="8"/>
    </row>
    <row r="884">
      <c r="E884" s="8"/>
    </row>
    <row r="885">
      <c r="E885" s="8"/>
    </row>
    <row r="886">
      <c r="E886" s="8"/>
    </row>
    <row r="887">
      <c r="E887" s="8"/>
    </row>
    <row r="888">
      <c r="E888" s="8"/>
    </row>
    <row r="889">
      <c r="E889" s="8"/>
    </row>
    <row r="890">
      <c r="E890" s="8"/>
    </row>
    <row r="891">
      <c r="E891" s="8"/>
    </row>
    <row r="892">
      <c r="E892" s="8"/>
    </row>
    <row r="893">
      <c r="E893" s="8"/>
    </row>
    <row r="894">
      <c r="E894" s="8"/>
    </row>
    <row r="895">
      <c r="E895" s="8"/>
    </row>
    <row r="896">
      <c r="E896" s="8"/>
    </row>
    <row r="897">
      <c r="E897" s="8"/>
    </row>
    <row r="898">
      <c r="E898" s="8"/>
    </row>
    <row r="899">
      <c r="E899" s="8"/>
    </row>
    <row r="900">
      <c r="E900" s="8"/>
    </row>
    <row r="901">
      <c r="E901" s="8"/>
    </row>
    <row r="902">
      <c r="E902" s="8"/>
    </row>
    <row r="903">
      <c r="E903" s="8"/>
    </row>
    <row r="904">
      <c r="E904" s="8"/>
    </row>
    <row r="905">
      <c r="E905" s="8"/>
    </row>
    <row r="906">
      <c r="E906" s="8"/>
    </row>
    <row r="907">
      <c r="E907" s="8"/>
    </row>
    <row r="908">
      <c r="E908" s="8"/>
    </row>
    <row r="909">
      <c r="E909" s="8"/>
    </row>
    <row r="910">
      <c r="E910" s="8"/>
    </row>
    <row r="911">
      <c r="E911" s="8"/>
    </row>
    <row r="912">
      <c r="E912" s="8"/>
    </row>
    <row r="913">
      <c r="E913" s="8"/>
    </row>
    <row r="914">
      <c r="E914" s="8"/>
    </row>
    <row r="915">
      <c r="E915" s="8"/>
    </row>
    <row r="916">
      <c r="E916" s="8"/>
    </row>
    <row r="917">
      <c r="E917" s="8"/>
    </row>
    <row r="918">
      <c r="E918" s="8"/>
    </row>
    <row r="919">
      <c r="E919" s="8"/>
    </row>
    <row r="920">
      <c r="E920" s="8"/>
    </row>
    <row r="921">
      <c r="E921" s="8"/>
    </row>
    <row r="922">
      <c r="E922" s="8"/>
    </row>
    <row r="923">
      <c r="E923" s="8"/>
    </row>
    <row r="924">
      <c r="E924" s="8"/>
    </row>
    <row r="925">
      <c r="E925" s="8"/>
    </row>
    <row r="926">
      <c r="E926" s="8"/>
    </row>
    <row r="927">
      <c r="E927" s="8"/>
    </row>
    <row r="928">
      <c r="E928" s="8"/>
    </row>
    <row r="929">
      <c r="E929" s="8"/>
    </row>
    <row r="930">
      <c r="E930" s="8"/>
    </row>
    <row r="931">
      <c r="E931" s="8"/>
    </row>
    <row r="932">
      <c r="E932" s="8"/>
    </row>
    <row r="933">
      <c r="E933" s="8"/>
    </row>
    <row r="934">
      <c r="E934" s="8"/>
    </row>
    <row r="935">
      <c r="E935" s="8"/>
    </row>
    <row r="936">
      <c r="E936" s="8"/>
    </row>
    <row r="937">
      <c r="E937" s="8"/>
    </row>
    <row r="938">
      <c r="E938" s="8"/>
    </row>
    <row r="939">
      <c r="E939" s="8"/>
    </row>
    <row r="940">
      <c r="E940" s="8"/>
    </row>
    <row r="941">
      <c r="E941" s="8"/>
    </row>
    <row r="942">
      <c r="E942" s="8"/>
    </row>
    <row r="943">
      <c r="E943" s="8"/>
    </row>
    <row r="944">
      <c r="E944" s="8"/>
    </row>
    <row r="945">
      <c r="E945" s="8"/>
    </row>
    <row r="946">
      <c r="E946" s="8"/>
    </row>
    <row r="947">
      <c r="E947" s="8"/>
    </row>
    <row r="948">
      <c r="E948" s="8"/>
    </row>
    <row r="949">
      <c r="E949" s="8"/>
    </row>
    <row r="950">
      <c r="E950" s="8"/>
    </row>
    <row r="951">
      <c r="E951" s="8"/>
    </row>
    <row r="952">
      <c r="E952" s="8"/>
    </row>
    <row r="953">
      <c r="E953" s="8"/>
    </row>
    <row r="954">
      <c r="E954" s="8"/>
    </row>
    <row r="955">
      <c r="E955" s="8"/>
    </row>
    <row r="956">
      <c r="E956" s="8"/>
    </row>
    <row r="957">
      <c r="E957" s="8"/>
    </row>
    <row r="958">
      <c r="E958" s="8"/>
    </row>
    <row r="959">
      <c r="E959" s="8"/>
    </row>
    <row r="960">
      <c r="E960" s="8"/>
    </row>
    <row r="961">
      <c r="E961" s="8"/>
    </row>
    <row r="962">
      <c r="E962" s="8"/>
    </row>
    <row r="963">
      <c r="E963" s="8"/>
    </row>
    <row r="964">
      <c r="E964" s="8"/>
    </row>
    <row r="965">
      <c r="E965" s="8"/>
    </row>
    <row r="966">
      <c r="E966" s="8"/>
    </row>
    <row r="967">
      <c r="E967" s="8"/>
    </row>
    <row r="968">
      <c r="E968" s="8"/>
    </row>
    <row r="969">
      <c r="E969" s="8"/>
    </row>
    <row r="970">
      <c r="E970" s="8"/>
    </row>
    <row r="971">
      <c r="E971" s="8"/>
    </row>
    <row r="972">
      <c r="E972" s="8"/>
    </row>
    <row r="973">
      <c r="E973" s="8"/>
    </row>
    <row r="974">
      <c r="E974" s="8"/>
    </row>
    <row r="975">
      <c r="E975" s="8"/>
    </row>
    <row r="976">
      <c r="E976" s="8"/>
    </row>
    <row r="977">
      <c r="E977" s="8"/>
    </row>
    <row r="978">
      <c r="E978" s="8"/>
    </row>
    <row r="979">
      <c r="E979" s="8"/>
    </row>
    <row r="980">
      <c r="E980" s="8"/>
    </row>
    <row r="981">
      <c r="E981" s="8"/>
    </row>
    <row r="982">
      <c r="E982" s="8"/>
    </row>
    <row r="983">
      <c r="E983" s="8"/>
    </row>
    <row r="984">
      <c r="E984" s="8"/>
    </row>
    <row r="985">
      <c r="E985" s="8"/>
    </row>
    <row r="986">
      <c r="E986" s="8"/>
    </row>
    <row r="987">
      <c r="E987" s="8"/>
    </row>
    <row r="988">
      <c r="E988" s="8"/>
    </row>
    <row r="989">
      <c r="E989" s="8"/>
    </row>
    <row r="990">
      <c r="E990" s="8"/>
    </row>
    <row r="991">
      <c r="E991" s="8"/>
    </row>
    <row r="992">
      <c r="E992" s="8"/>
    </row>
    <row r="993">
      <c r="E993" s="8"/>
    </row>
    <row r="994">
      <c r="E994" s="8"/>
    </row>
    <row r="995">
      <c r="E995" s="8"/>
    </row>
    <row r="996">
      <c r="E996" s="8"/>
    </row>
    <row r="997">
      <c r="E997" s="8"/>
    </row>
    <row r="998">
      <c r="E998" s="8"/>
    </row>
    <row r="999">
      <c r="E999" s="8"/>
    </row>
    <row r="1000">
      <c r="E1000" s="8"/>
    </row>
    <row r="1001">
      <c r="E1001"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1</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26</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34</v>
      </c>
      <c r="B12" s="27">
        <f>58453.33*1000</f>
        <v>58453330</v>
      </c>
      <c r="C12" s="28" t="s">
        <v>35</v>
      </c>
      <c r="D12" s="23"/>
      <c r="E12" s="23"/>
      <c r="F12" s="23"/>
      <c r="G12" s="29" t="s">
        <v>36</v>
      </c>
    </row>
    <row r="13">
      <c r="A13" s="26" t="s">
        <v>37</v>
      </c>
      <c r="B13" s="30">
        <v>12.4</v>
      </c>
      <c r="C13" s="28" t="s">
        <v>38</v>
      </c>
      <c r="D13" s="23"/>
      <c r="E13" s="23"/>
      <c r="F13" s="23"/>
      <c r="G13" s="29" t="s">
        <v>39</v>
      </c>
    </row>
    <row r="14">
      <c r="A14" s="26" t="s">
        <v>40</v>
      </c>
      <c r="B14" s="31">
        <f>B12/B13</f>
        <v>4713978.226</v>
      </c>
      <c r="C14" s="28" t="s">
        <v>41</v>
      </c>
      <c r="D14" s="23"/>
      <c r="E14" s="23"/>
      <c r="F14" s="23"/>
      <c r="G14" s="32" t="s">
        <v>22</v>
      </c>
    </row>
    <row r="15">
      <c r="A15" s="26" t="s">
        <v>42</v>
      </c>
      <c r="B15" s="33">
        <f>AVERAGE(-3%,12%,-13%)</f>
        <v>-0.01333333333</v>
      </c>
      <c r="C15" s="28" t="s">
        <v>43</v>
      </c>
      <c r="D15" s="23"/>
      <c r="E15" s="23"/>
      <c r="F15" s="23"/>
      <c r="G15" s="29" t="s">
        <v>36</v>
      </c>
      <c r="H15" s="20"/>
    </row>
    <row r="16">
      <c r="A16" s="34" t="s">
        <v>44</v>
      </c>
      <c r="B16" s="35">
        <v>5.0</v>
      </c>
      <c r="C16" s="2" t="s">
        <v>45</v>
      </c>
      <c r="G16" s="22" t="s">
        <v>22</v>
      </c>
    </row>
    <row r="17">
      <c r="A17" s="34" t="s">
        <v>46</v>
      </c>
      <c r="B17" s="36">
        <f>B14*(1+B15)^3</f>
        <v>4527922.045</v>
      </c>
      <c r="C17" s="2" t="s">
        <v>47</v>
      </c>
      <c r="G17" s="22"/>
    </row>
    <row r="18">
      <c r="A18" s="34"/>
      <c r="B18" s="37"/>
      <c r="C18" s="2"/>
      <c r="G18" s="22"/>
    </row>
    <row r="19">
      <c r="A19" s="38" t="s">
        <v>48</v>
      </c>
      <c r="B19" s="39"/>
      <c r="C19" s="39"/>
      <c r="G19" s="40"/>
    </row>
    <row r="20">
      <c r="A20" s="34" t="s">
        <v>49</v>
      </c>
      <c r="B20" s="41">
        <f>average(39%,60%,80%)</f>
        <v>0.5966666667</v>
      </c>
      <c r="C20" s="39" t="s">
        <v>50</v>
      </c>
      <c r="G20" s="40" t="s">
        <v>51</v>
      </c>
    </row>
    <row r="21">
      <c r="A21" s="34" t="s">
        <v>52</v>
      </c>
      <c r="B21" s="42">
        <v>0.8</v>
      </c>
      <c r="C21" s="39" t="s">
        <v>53</v>
      </c>
      <c r="G21" s="40"/>
    </row>
    <row r="22">
      <c r="A22" s="34" t="s">
        <v>54</v>
      </c>
      <c r="B22" s="36">
        <f>B$17*B20*B21</f>
        <v>2161328.123</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1">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AVERAGE(48%,84%,39%,50%,89%)*(0.7/0.72)</f>
        <v>0.6027777778</v>
      </c>
      <c r="C29" s="28" t="s">
        <v>64</v>
      </c>
      <c r="D29" s="23"/>
      <c r="E29" s="23"/>
      <c r="F29" s="23"/>
      <c r="G29" s="29" t="s">
        <v>65</v>
      </c>
      <c r="H29" s="20"/>
    </row>
    <row r="30">
      <c r="A30" s="34" t="s">
        <v>66</v>
      </c>
      <c r="B30" s="36">
        <f>B$17*B26*B28*B27*B29</f>
        <v>942528.8988</v>
      </c>
      <c r="C30" s="2" t="s">
        <v>55</v>
      </c>
      <c r="G30" s="22"/>
      <c r="H30" s="20"/>
    </row>
    <row r="31">
      <c r="A31" s="34" t="s">
        <v>67</v>
      </c>
      <c r="B31" s="47">
        <v>0.3</v>
      </c>
      <c r="C31" s="2" t="s">
        <v>57</v>
      </c>
      <c r="G31" s="22"/>
      <c r="H31" s="20"/>
    </row>
    <row r="32">
      <c r="A32" s="34"/>
      <c r="B32" s="48"/>
      <c r="C32" s="2"/>
      <c r="G32" s="22"/>
      <c r="H32" s="20"/>
    </row>
    <row r="33">
      <c r="A33" s="34" t="s">
        <v>68</v>
      </c>
      <c r="B33" s="49">
        <f>Calculations!G12</f>
        <v>0.243258427</v>
      </c>
      <c r="C33" s="39" t="s">
        <v>69</v>
      </c>
      <c r="G33" s="50" t="s">
        <v>22</v>
      </c>
      <c r="H33" s="20"/>
    </row>
    <row r="34">
      <c r="A34" s="34" t="s">
        <v>70</v>
      </c>
      <c r="B34" s="41">
        <f>average(44.97%,45.8%)</f>
        <v>0.45385</v>
      </c>
      <c r="C34" s="2" t="s">
        <v>71</v>
      </c>
      <c r="G34" s="51" t="s">
        <v>72</v>
      </c>
      <c r="H34" s="20"/>
    </row>
    <row r="35">
      <c r="A35" s="34"/>
      <c r="B35" s="52"/>
      <c r="C35" s="2"/>
      <c r="G35" s="24"/>
      <c r="H35" s="20"/>
    </row>
    <row r="36">
      <c r="A36" s="34" t="s">
        <v>73</v>
      </c>
      <c r="B36" s="36">
        <f>((B22*B23)+(B30*B31))*B33*B34*(1+B15)^B16</f>
        <v>185380.2579</v>
      </c>
      <c r="C36" s="2" t="s">
        <v>55</v>
      </c>
      <c r="G36" s="19" t="s">
        <v>74</v>
      </c>
    </row>
    <row r="37">
      <c r="A37" s="34" t="s">
        <v>75</v>
      </c>
      <c r="B37" s="53">
        <v>17.48600215</v>
      </c>
      <c r="C37" s="54" t="s">
        <v>76</v>
      </c>
      <c r="G37" s="19" t="s">
        <v>77</v>
      </c>
      <c r="H37" s="55"/>
    </row>
    <row r="38">
      <c r="A38" s="34"/>
      <c r="B38" s="56"/>
      <c r="C38" s="2"/>
      <c r="G38" s="22"/>
      <c r="H38" s="55"/>
    </row>
    <row r="39">
      <c r="A39" s="34" t="s">
        <v>78</v>
      </c>
      <c r="B39" s="41">
        <v>0.04</v>
      </c>
      <c r="C39" s="2" t="s">
        <v>21</v>
      </c>
      <c r="G39" s="18" t="s">
        <v>22</v>
      </c>
    </row>
    <row r="40">
      <c r="A40" s="34" t="s">
        <v>79</v>
      </c>
      <c r="B40" s="57">
        <v>0.014</v>
      </c>
      <c r="C40" s="2" t="s">
        <v>21</v>
      </c>
      <c r="G40" s="18" t="s">
        <v>22</v>
      </c>
    </row>
    <row r="41">
      <c r="A41" s="58" t="s">
        <v>80</v>
      </c>
      <c r="B41" s="59">
        <v>0.05</v>
      </c>
      <c r="C41" s="46" t="s">
        <v>81</v>
      </c>
      <c r="G41" s="18" t="s">
        <v>22</v>
      </c>
      <c r="H41" s="20"/>
    </row>
    <row r="42">
      <c r="A42" s="58" t="s">
        <v>82</v>
      </c>
      <c r="B42" s="60">
        <f>SUM(B40:B41)</f>
        <v>0.064</v>
      </c>
      <c r="C42" s="2" t="s">
        <v>83</v>
      </c>
      <c r="G42" s="18" t="s">
        <v>22</v>
      </c>
    </row>
    <row r="43">
      <c r="A43" s="2"/>
      <c r="B43" s="48"/>
      <c r="C43" s="2"/>
      <c r="G43" s="18"/>
    </row>
    <row r="44">
      <c r="A44" s="14" t="s">
        <v>84</v>
      </c>
      <c r="B44" s="14"/>
      <c r="C44" s="14"/>
      <c r="D44" s="14"/>
      <c r="E44" s="14"/>
      <c r="F44" s="14"/>
      <c r="G44" s="15"/>
      <c r="H44" s="14"/>
      <c r="I44" s="14"/>
      <c r="J44" s="61"/>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row>
    <row r="45">
      <c r="A45" s="2" t="s">
        <v>85</v>
      </c>
      <c r="B45" s="2">
        <v>1.0</v>
      </c>
      <c r="C45" s="2">
        <v>2.0</v>
      </c>
      <c r="D45" s="2">
        <v>3.0</v>
      </c>
      <c r="E45" s="2">
        <v>4.0</v>
      </c>
      <c r="F45" s="2">
        <v>5.0</v>
      </c>
      <c r="G45" s="18">
        <v>6.0</v>
      </c>
      <c r="H45" s="2">
        <v>7.0</v>
      </c>
      <c r="I45" s="2">
        <v>8.0</v>
      </c>
      <c r="J45" s="2">
        <v>9.0</v>
      </c>
      <c r="K45" s="2">
        <v>10.0</v>
      </c>
      <c r="L45" s="2">
        <v>11.0</v>
      </c>
      <c r="M45" s="2">
        <v>12.0</v>
      </c>
      <c r="N45" s="2">
        <v>13.0</v>
      </c>
      <c r="O45" s="2">
        <v>14.0</v>
      </c>
      <c r="P45" s="2">
        <v>15.0</v>
      </c>
      <c r="Q45" s="2">
        <v>16.0</v>
      </c>
      <c r="R45" s="2">
        <v>17.0</v>
      </c>
      <c r="S45" s="2">
        <v>18.0</v>
      </c>
      <c r="T45" s="2">
        <v>19.0</v>
      </c>
      <c r="U45" s="2">
        <v>20.0</v>
      </c>
      <c r="V45" s="2">
        <v>21.0</v>
      </c>
      <c r="W45" s="2">
        <v>22.0</v>
      </c>
      <c r="X45" s="2">
        <v>23.0</v>
      </c>
      <c r="Y45" s="2">
        <v>24.0</v>
      </c>
      <c r="Z45" s="2">
        <v>25.0</v>
      </c>
      <c r="AA45" s="2">
        <v>26.0</v>
      </c>
      <c r="AB45" s="2">
        <v>27.0</v>
      </c>
      <c r="AC45" s="2">
        <v>28.0</v>
      </c>
      <c r="AD45" s="2">
        <v>29.0</v>
      </c>
      <c r="AE45" s="2">
        <v>30.0</v>
      </c>
      <c r="AF45" s="2">
        <v>31.0</v>
      </c>
      <c r="AG45" s="2">
        <v>32.0</v>
      </c>
      <c r="AH45" s="2">
        <v>33.0</v>
      </c>
      <c r="AI45" s="2">
        <v>34.0</v>
      </c>
      <c r="AJ45" s="2">
        <v>35.0</v>
      </c>
      <c r="AK45" s="2">
        <v>36.0</v>
      </c>
      <c r="AL45" s="2">
        <v>37.0</v>
      </c>
      <c r="AM45" s="2">
        <v>38.0</v>
      </c>
      <c r="AN45" s="2">
        <v>39.0</v>
      </c>
      <c r="AO45" s="2">
        <v>40.0</v>
      </c>
      <c r="AP45" s="2">
        <v>41.0</v>
      </c>
      <c r="AQ45" s="2">
        <v>42.0</v>
      </c>
      <c r="AR45" s="2">
        <v>43.0</v>
      </c>
      <c r="AS45" s="2">
        <v>44.0</v>
      </c>
      <c r="AT45" s="2">
        <v>45.0</v>
      </c>
      <c r="AU45" s="2">
        <v>46.0</v>
      </c>
      <c r="AV45" s="2">
        <v>47.0</v>
      </c>
      <c r="AW45" s="2">
        <v>48.0</v>
      </c>
      <c r="AX45" s="2">
        <v>49.0</v>
      </c>
      <c r="AY45" s="2">
        <v>50.0</v>
      </c>
      <c r="AZ45" s="2">
        <v>51.0</v>
      </c>
      <c r="BA45" s="2">
        <v>52.0</v>
      </c>
      <c r="BB45" s="2">
        <v>53.0</v>
      </c>
      <c r="BC45" s="2">
        <v>54.0</v>
      </c>
      <c r="BD45" s="2">
        <v>55.0</v>
      </c>
      <c r="BE45" s="2">
        <v>56.0</v>
      </c>
      <c r="BF45" s="2">
        <v>57.0</v>
      </c>
      <c r="BG45" s="2">
        <v>58.0</v>
      </c>
      <c r="BH45" s="2">
        <v>59.0</v>
      </c>
      <c r="BI45" s="2">
        <v>60.0</v>
      </c>
      <c r="BJ45" s="2">
        <v>61.0</v>
      </c>
      <c r="BK45" s="2">
        <v>62.0</v>
      </c>
      <c r="BL45" s="2">
        <v>63.0</v>
      </c>
      <c r="BM45" s="2">
        <v>64.0</v>
      </c>
      <c r="BN45" s="2">
        <v>65.0</v>
      </c>
      <c r="BO45" s="2">
        <v>66.0</v>
      </c>
      <c r="BP45" s="2">
        <v>67.0</v>
      </c>
      <c r="BQ45" s="2">
        <v>68.0</v>
      </c>
      <c r="BR45" s="2">
        <v>69.0</v>
      </c>
      <c r="BS45" s="2">
        <v>70.0</v>
      </c>
      <c r="BT45" s="2">
        <v>71.0</v>
      </c>
      <c r="BU45" s="2">
        <v>72.0</v>
      </c>
      <c r="BV45" s="2">
        <v>73.0</v>
      </c>
      <c r="BW45" s="2">
        <v>74.0</v>
      </c>
      <c r="BX45" s="2">
        <v>75.0</v>
      </c>
    </row>
    <row r="46">
      <c r="A46" s="2" t="s">
        <v>86</v>
      </c>
      <c r="B46" s="62">
        <f>B4+B6</f>
        <v>328274.0833</v>
      </c>
      <c r="C46" s="62">
        <f t="shared" ref="C46:D46" si="1">$B$5+$B$6</f>
        <v>478274.0833</v>
      </c>
      <c r="D46" s="62">
        <f t="shared" si="1"/>
        <v>478274.0833</v>
      </c>
      <c r="E46" s="62">
        <f t="shared" ref="E46:P46" si="2">$B$5+$B$6*(($B$21*$B$23)+($B$26*$B$31))</f>
        <v>405705.7688</v>
      </c>
      <c r="F46" s="62">
        <f t="shared" si="2"/>
        <v>405705.7688</v>
      </c>
      <c r="G46" s="62">
        <f t="shared" si="2"/>
        <v>405705.7688</v>
      </c>
      <c r="H46" s="62">
        <f t="shared" si="2"/>
        <v>405705.7688</v>
      </c>
      <c r="I46" s="62">
        <f t="shared" si="2"/>
        <v>405705.7688</v>
      </c>
      <c r="J46" s="62">
        <f t="shared" si="2"/>
        <v>405705.7688</v>
      </c>
      <c r="K46" s="62">
        <f t="shared" si="2"/>
        <v>405705.7688</v>
      </c>
      <c r="L46" s="62">
        <f t="shared" si="2"/>
        <v>405705.7688</v>
      </c>
      <c r="M46" s="62">
        <f t="shared" si="2"/>
        <v>405705.7688</v>
      </c>
      <c r="N46" s="62">
        <f t="shared" si="2"/>
        <v>405705.7688</v>
      </c>
      <c r="O46" s="62">
        <f t="shared" si="2"/>
        <v>405705.7688</v>
      </c>
      <c r="P46" s="62">
        <f t="shared" si="2"/>
        <v>405705.7688</v>
      </c>
      <c r="Q46" s="63">
        <v>0.0</v>
      </c>
      <c r="R46" s="63">
        <v>0.0</v>
      </c>
      <c r="S46" s="63">
        <v>0.0</v>
      </c>
      <c r="T46" s="63">
        <v>0.0</v>
      </c>
      <c r="U46" s="63">
        <v>0.0</v>
      </c>
      <c r="V46" s="63">
        <v>0.0</v>
      </c>
      <c r="W46" s="63">
        <v>0.0</v>
      </c>
      <c r="X46" s="63">
        <v>0.0</v>
      </c>
      <c r="Y46" s="63">
        <v>0.0</v>
      </c>
      <c r="Z46" s="63">
        <v>0.0</v>
      </c>
      <c r="AA46" s="63">
        <v>0.0</v>
      </c>
      <c r="AB46" s="63">
        <v>0.0</v>
      </c>
      <c r="AC46" s="63">
        <v>0.0</v>
      </c>
      <c r="AD46" s="63">
        <v>0.0</v>
      </c>
      <c r="AE46" s="63">
        <v>0.0</v>
      </c>
      <c r="AF46" s="63">
        <v>0.0</v>
      </c>
      <c r="AG46" s="63">
        <v>0.0</v>
      </c>
      <c r="AH46" s="63">
        <v>0.0</v>
      </c>
      <c r="AI46" s="63">
        <v>0.0</v>
      </c>
      <c r="AJ46" s="63">
        <v>0.0</v>
      </c>
      <c r="AK46" s="63">
        <v>0.0</v>
      </c>
      <c r="AL46" s="63">
        <v>0.0</v>
      </c>
      <c r="AM46" s="63">
        <v>0.0</v>
      </c>
      <c r="AN46" s="63">
        <v>0.0</v>
      </c>
      <c r="AO46" s="63">
        <v>0.0</v>
      </c>
      <c r="AP46" s="63">
        <v>0.0</v>
      </c>
      <c r="AQ46" s="63">
        <v>0.0</v>
      </c>
      <c r="AR46" s="63">
        <v>0.0</v>
      </c>
      <c r="AS46" s="63">
        <v>0.0</v>
      </c>
      <c r="AT46" s="63">
        <v>0.0</v>
      </c>
      <c r="AU46" s="63">
        <v>0.0</v>
      </c>
      <c r="AV46" s="63">
        <v>0.0</v>
      </c>
      <c r="AW46" s="63">
        <v>0.0</v>
      </c>
      <c r="AX46" s="63">
        <v>0.0</v>
      </c>
      <c r="AY46" s="63">
        <v>0.0</v>
      </c>
      <c r="AZ46" s="63">
        <v>0.0</v>
      </c>
      <c r="BA46" s="63">
        <v>0.0</v>
      </c>
      <c r="BB46" s="63">
        <v>0.0</v>
      </c>
      <c r="BC46" s="63">
        <v>0.0</v>
      </c>
      <c r="BD46" s="63">
        <v>0.0</v>
      </c>
      <c r="BE46" s="63">
        <v>0.0</v>
      </c>
      <c r="BF46" s="63">
        <v>0.0</v>
      </c>
      <c r="BG46" s="63">
        <v>0.0</v>
      </c>
      <c r="BH46" s="63">
        <v>0.0</v>
      </c>
      <c r="BI46" s="63">
        <v>0.0</v>
      </c>
      <c r="BJ46" s="63">
        <v>0.0</v>
      </c>
      <c r="BK46" s="63">
        <v>0.0</v>
      </c>
      <c r="BL46" s="63">
        <v>0.0</v>
      </c>
      <c r="BM46" s="63">
        <v>0.0</v>
      </c>
      <c r="BN46" s="63">
        <v>0.0</v>
      </c>
      <c r="BO46" s="63">
        <v>0.0</v>
      </c>
      <c r="BP46" s="63">
        <v>0.0</v>
      </c>
      <c r="BQ46" s="63">
        <v>0.0</v>
      </c>
      <c r="BR46" s="63">
        <v>0.0</v>
      </c>
      <c r="BS46" s="63">
        <v>0.0</v>
      </c>
      <c r="BT46" s="63">
        <v>0.0</v>
      </c>
      <c r="BU46" s="63">
        <v>0.0</v>
      </c>
      <c r="BV46" s="63">
        <v>0.0</v>
      </c>
      <c r="BW46" s="63">
        <v>0.0</v>
      </c>
      <c r="BX46" s="63">
        <v>0.0</v>
      </c>
    </row>
    <row r="47">
      <c r="A47" s="2" t="s">
        <v>87</v>
      </c>
      <c r="B47" s="37">
        <v>0.0</v>
      </c>
      <c r="C47" s="37">
        <v>0.0</v>
      </c>
      <c r="D47" s="37">
        <v>0.0</v>
      </c>
      <c r="E47" s="37">
        <v>0.0</v>
      </c>
      <c r="F47" s="37">
        <v>0.0</v>
      </c>
      <c r="G47" s="37">
        <v>0.0</v>
      </c>
      <c r="H47" s="37">
        <v>0.0</v>
      </c>
      <c r="I47" s="37">
        <v>0.0</v>
      </c>
      <c r="J47" s="37">
        <v>0.0</v>
      </c>
      <c r="K47" s="37">
        <f t="shared" ref="K47:BX47" si="3">$B$36*$B$37</f>
        <v>3241559.587</v>
      </c>
      <c r="L47" s="37">
        <f t="shared" si="3"/>
        <v>3241559.587</v>
      </c>
      <c r="M47" s="37">
        <f t="shared" si="3"/>
        <v>3241559.587</v>
      </c>
      <c r="N47" s="37">
        <f t="shared" si="3"/>
        <v>3241559.587</v>
      </c>
      <c r="O47" s="37">
        <f t="shared" si="3"/>
        <v>3241559.587</v>
      </c>
      <c r="P47" s="37">
        <f t="shared" si="3"/>
        <v>3241559.587</v>
      </c>
      <c r="Q47" s="64">
        <f t="shared" si="3"/>
        <v>3241559.587</v>
      </c>
      <c r="R47" s="64">
        <f t="shared" si="3"/>
        <v>3241559.587</v>
      </c>
      <c r="S47" s="64">
        <f t="shared" si="3"/>
        <v>3241559.587</v>
      </c>
      <c r="T47" s="64">
        <f t="shared" si="3"/>
        <v>3241559.587</v>
      </c>
      <c r="U47" s="64">
        <f t="shared" si="3"/>
        <v>3241559.587</v>
      </c>
      <c r="V47" s="64">
        <f t="shared" si="3"/>
        <v>3241559.587</v>
      </c>
      <c r="W47" s="64">
        <f t="shared" si="3"/>
        <v>3241559.587</v>
      </c>
      <c r="X47" s="64">
        <f t="shared" si="3"/>
        <v>3241559.587</v>
      </c>
      <c r="Y47" s="64">
        <f t="shared" si="3"/>
        <v>3241559.587</v>
      </c>
      <c r="Z47" s="64">
        <f t="shared" si="3"/>
        <v>3241559.587</v>
      </c>
      <c r="AA47" s="64">
        <f t="shared" si="3"/>
        <v>3241559.587</v>
      </c>
      <c r="AB47" s="64">
        <f t="shared" si="3"/>
        <v>3241559.587</v>
      </c>
      <c r="AC47" s="64">
        <f t="shared" si="3"/>
        <v>3241559.587</v>
      </c>
      <c r="AD47" s="64">
        <f t="shared" si="3"/>
        <v>3241559.587</v>
      </c>
      <c r="AE47" s="64">
        <f t="shared" si="3"/>
        <v>3241559.587</v>
      </c>
      <c r="AF47" s="64">
        <f t="shared" si="3"/>
        <v>3241559.587</v>
      </c>
      <c r="AG47" s="64">
        <f t="shared" si="3"/>
        <v>3241559.587</v>
      </c>
      <c r="AH47" s="64">
        <f t="shared" si="3"/>
        <v>3241559.587</v>
      </c>
      <c r="AI47" s="64">
        <f t="shared" si="3"/>
        <v>3241559.587</v>
      </c>
      <c r="AJ47" s="64">
        <f t="shared" si="3"/>
        <v>3241559.587</v>
      </c>
      <c r="AK47" s="64">
        <f t="shared" si="3"/>
        <v>3241559.587</v>
      </c>
      <c r="AL47" s="64">
        <f t="shared" si="3"/>
        <v>3241559.587</v>
      </c>
      <c r="AM47" s="64">
        <f t="shared" si="3"/>
        <v>3241559.587</v>
      </c>
      <c r="AN47" s="64">
        <f t="shared" si="3"/>
        <v>3241559.587</v>
      </c>
      <c r="AO47" s="64">
        <f t="shared" si="3"/>
        <v>3241559.587</v>
      </c>
      <c r="AP47" s="64">
        <f t="shared" si="3"/>
        <v>3241559.587</v>
      </c>
      <c r="AQ47" s="64">
        <f t="shared" si="3"/>
        <v>3241559.587</v>
      </c>
      <c r="AR47" s="64">
        <f t="shared" si="3"/>
        <v>3241559.587</v>
      </c>
      <c r="AS47" s="64">
        <f t="shared" si="3"/>
        <v>3241559.587</v>
      </c>
      <c r="AT47" s="64">
        <f t="shared" si="3"/>
        <v>3241559.587</v>
      </c>
      <c r="AU47" s="64">
        <f t="shared" si="3"/>
        <v>3241559.587</v>
      </c>
      <c r="AV47" s="64">
        <f t="shared" si="3"/>
        <v>3241559.587</v>
      </c>
      <c r="AW47" s="64">
        <f t="shared" si="3"/>
        <v>3241559.587</v>
      </c>
      <c r="AX47" s="64">
        <f t="shared" si="3"/>
        <v>3241559.587</v>
      </c>
      <c r="AY47" s="64">
        <f t="shared" si="3"/>
        <v>3241559.587</v>
      </c>
      <c r="AZ47" s="64">
        <f t="shared" si="3"/>
        <v>3241559.587</v>
      </c>
      <c r="BA47" s="64">
        <f t="shared" si="3"/>
        <v>3241559.587</v>
      </c>
      <c r="BB47" s="64">
        <f t="shared" si="3"/>
        <v>3241559.587</v>
      </c>
      <c r="BC47" s="64">
        <f t="shared" si="3"/>
        <v>3241559.587</v>
      </c>
      <c r="BD47" s="64">
        <f t="shared" si="3"/>
        <v>3241559.587</v>
      </c>
      <c r="BE47" s="64">
        <f t="shared" si="3"/>
        <v>3241559.587</v>
      </c>
      <c r="BF47" s="64">
        <f t="shared" si="3"/>
        <v>3241559.587</v>
      </c>
      <c r="BG47" s="64">
        <f t="shared" si="3"/>
        <v>3241559.587</v>
      </c>
      <c r="BH47" s="64">
        <f t="shared" si="3"/>
        <v>3241559.587</v>
      </c>
      <c r="BI47" s="64">
        <f t="shared" si="3"/>
        <v>3241559.587</v>
      </c>
      <c r="BJ47" s="64">
        <f t="shared" si="3"/>
        <v>3241559.587</v>
      </c>
      <c r="BK47" s="64">
        <f t="shared" si="3"/>
        <v>3241559.587</v>
      </c>
      <c r="BL47" s="64">
        <f t="shared" si="3"/>
        <v>3241559.587</v>
      </c>
      <c r="BM47" s="64">
        <f t="shared" si="3"/>
        <v>3241559.587</v>
      </c>
      <c r="BN47" s="64">
        <f t="shared" si="3"/>
        <v>3241559.587</v>
      </c>
      <c r="BO47" s="64">
        <f t="shared" si="3"/>
        <v>3241559.587</v>
      </c>
      <c r="BP47" s="64">
        <f t="shared" si="3"/>
        <v>3241559.587</v>
      </c>
      <c r="BQ47" s="64">
        <f t="shared" si="3"/>
        <v>3241559.587</v>
      </c>
      <c r="BR47" s="64">
        <f t="shared" si="3"/>
        <v>3241559.587</v>
      </c>
      <c r="BS47" s="64">
        <f t="shared" si="3"/>
        <v>3241559.587</v>
      </c>
      <c r="BT47" s="64">
        <f t="shared" si="3"/>
        <v>3241559.587</v>
      </c>
      <c r="BU47" s="64">
        <f t="shared" si="3"/>
        <v>3241559.587</v>
      </c>
      <c r="BV47" s="64">
        <f t="shared" si="3"/>
        <v>3241559.587</v>
      </c>
      <c r="BW47" s="64">
        <f t="shared" si="3"/>
        <v>3241559.587</v>
      </c>
      <c r="BX47" s="37">
        <f t="shared" si="3"/>
        <v>3241559.587</v>
      </c>
    </row>
    <row r="48">
      <c r="A48" s="2"/>
      <c r="B48" s="6"/>
      <c r="C48" s="6"/>
      <c r="D48" s="6"/>
      <c r="E48" s="6"/>
      <c r="F48" s="6"/>
      <c r="G48" s="65"/>
      <c r="H48" s="6"/>
      <c r="I48" s="6"/>
      <c r="J48" s="6"/>
      <c r="K48" s="6"/>
    </row>
    <row r="49">
      <c r="A49" s="14" t="s">
        <v>88</v>
      </c>
      <c r="B49" s="14"/>
      <c r="C49" s="14"/>
      <c r="D49" s="14"/>
      <c r="E49" s="14"/>
      <c r="F49" s="14"/>
      <c r="G49" s="15"/>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row>
    <row r="50">
      <c r="A50" s="2" t="s">
        <v>5</v>
      </c>
      <c r="B50" s="6">
        <f t="array" ref="B50">NPV(B39,46:46)</f>
        <v>4567946.831</v>
      </c>
      <c r="G50" s="66"/>
      <c r="J50" s="67"/>
      <c r="K50" s="68"/>
    </row>
    <row r="51">
      <c r="A51" s="2" t="s">
        <v>6</v>
      </c>
      <c r="B51" s="6">
        <f t="array" ref="B51">NPV(B42,47:47)</f>
        <v>28497061.56</v>
      </c>
      <c r="G51" s="66"/>
    </row>
    <row r="52">
      <c r="A52" s="2" t="s">
        <v>7</v>
      </c>
      <c r="B52" s="6">
        <f>B51/B50</f>
        <v>6.238483636</v>
      </c>
      <c r="G52" s="66"/>
    </row>
    <row r="53">
      <c r="B53" s="6"/>
      <c r="G53" s="66"/>
    </row>
    <row r="54">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sheetData>
  <hyperlinks>
    <hyperlink r:id="rId1" location="c2" ref="G6"/>
    <hyperlink r:id="rId2" ref="G12"/>
    <hyperlink r:id="rId3" ref="G13"/>
    <hyperlink r:id="rId4" ref="G15"/>
    <hyperlink r:id="rId5" ref="G20"/>
    <hyperlink r:id="rId6" ref="G29"/>
    <hyperlink r:id="rId7" location="gid=1748706729" ref="G34"/>
    <hyperlink r:id="rId8" location=":~:text=95%25%20of%20the%20broiler%20chickens,just%20five%20to%20six%20weeks." ref="G36"/>
    <hyperlink r:id="rId9" ref="C37"/>
    <hyperlink r:id="rId10" location="gid=289821833" ref="G37"/>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2</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89</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34</v>
      </c>
      <c r="B12" s="27">
        <f>375000*1000</f>
        <v>375000000</v>
      </c>
      <c r="C12" s="28" t="s">
        <v>90</v>
      </c>
      <c r="D12" s="23"/>
      <c r="E12" s="23"/>
      <c r="F12" s="23"/>
      <c r="G12" s="29" t="s">
        <v>36</v>
      </c>
    </row>
    <row r="13">
      <c r="A13" s="26" t="s">
        <v>37</v>
      </c>
      <c r="B13" s="30">
        <v>11.12</v>
      </c>
      <c r="C13" s="28" t="s">
        <v>91</v>
      </c>
      <c r="D13" s="23"/>
      <c r="E13" s="23"/>
      <c r="F13" s="23"/>
      <c r="G13" s="29" t="s">
        <v>39</v>
      </c>
    </row>
    <row r="14">
      <c r="A14" s="26" t="s">
        <v>40</v>
      </c>
      <c r="B14" s="31">
        <f>B12/B13</f>
        <v>33723021.58</v>
      </c>
      <c r="C14" s="28" t="s">
        <v>41</v>
      </c>
      <c r="D14" s="23"/>
      <c r="E14" s="23"/>
      <c r="F14" s="23"/>
      <c r="G14" s="32" t="s">
        <v>22</v>
      </c>
    </row>
    <row r="15">
      <c r="A15" s="26" t="s">
        <v>42</v>
      </c>
      <c r="B15" s="33">
        <f>AVERAGE(4%,3%,-8%)</f>
        <v>-0.003333333333</v>
      </c>
      <c r="C15" s="28" t="s">
        <v>92</v>
      </c>
      <c r="D15" s="23"/>
      <c r="E15" s="23"/>
      <c r="F15" s="23"/>
      <c r="G15" s="29" t="s">
        <v>36</v>
      </c>
      <c r="H15" s="20"/>
    </row>
    <row r="16">
      <c r="A16" s="34" t="s">
        <v>44</v>
      </c>
      <c r="B16" s="35">
        <v>5.0</v>
      </c>
      <c r="C16" s="2" t="s">
        <v>45</v>
      </c>
      <c r="G16" s="22" t="s">
        <v>22</v>
      </c>
    </row>
    <row r="17">
      <c r="A17" s="34" t="s">
        <v>46</v>
      </c>
      <c r="B17" s="36">
        <f>B14*(1+B15)^3</f>
        <v>33386914.22</v>
      </c>
      <c r="C17" s="2" t="s">
        <v>47</v>
      </c>
      <c r="G17" s="22"/>
    </row>
    <row r="18">
      <c r="A18" s="34"/>
      <c r="B18" s="37"/>
      <c r="C18" s="2"/>
      <c r="G18" s="22"/>
    </row>
    <row r="19">
      <c r="A19" s="38" t="s">
        <v>48</v>
      </c>
      <c r="B19" s="39"/>
      <c r="C19" s="39"/>
      <c r="G19" s="40"/>
    </row>
    <row r="20">
      <c r="A20" s="34" t="s">
        <v>49</v>
      </c>
      <c r="B20" s="41">
        <f>average(39%,60%,80%)</f>
        <v>0.5966666667</v>
      </c>
      <c r="C20" s="39" t="s">
        <v>50</v>
      </c>
      <c r="G20" s="40" t="s">
        <v>51</v>
      </c>
    </row>
    <row r="21">
      <c r="A21" s="34" t="s">
        <v>52</v>
      </c>
      <c r="B21" s="42">
        <v>0.8</v>
      </c>
      <c r="C21" s="39" t="s">
        <v>53</v>
      </c>
      <c r="G21" s="40"/>
    </row>
    <row r="22">
      <c r="A22" s="34" t="s">
        <v>54</v>
      </c>
      <c r="B22" s="36">
        <f>B$17*B20*B21</f>
        <v>15936687.05</v>
      </c>
      <c r="C22" s="2" t="s">
        <v>55</v>
      </c>
      <c r="G22" s="40"/>
      <c r="N22" s="69">
        <f>B21*(1-B33)*(1-B34)</f>
        <v>0.3306355281</v>
      </c>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AVERAGE(48%,84%,39%,50%,89%)*(0.7/0.72)</f>
        <v>0.6027777778</v>
      </c>
      <c r="C29" s="28" t="s">
        <v>93</v>
      </c>
      <c r="D29" s="23"/>
      <c r="E29" s="23"/>
      <c r="F29" s="23"/>
      <c r="G29" s="29" t="s">
        <v>94</v>
      </c>
      <c r="H29" s="20"/>
    </row>
    <row r="30">
      <c r="A30" s="34" t="s">
        <v>66</v>
      </c>
      <c r="B30" s="36">
        <f>B$17*B26*B28*B27*B29</f>
        <v>6949795.333</v>
      </c>
      <c r="C30" s="2" t="s">
        <v>55</v>
      </c>
      <c r="G30" s="22"/>
      <c r="H30" s="20"/>
    </row>
    <row r="31">
      <c r="A31" s="34" t="s">
        <v>67</v>
      </c>
      <c r="B31" s="47">
        <v>0.3</v>
      </c>
      <c r="C31" s="2" t="s">
        <v>57</v>
      </c>
      <c r="G31" s="22"/>
      <c r="H31" s="20"/>
    </row>
    <row r="32">
      <c r="A32" s="34"/>
      <c r="B32" s="48"/>
      <c r="C32" s="2"/>
      <c r="G32" s="22"/>
      <c r="H32" s="20"/>
    </row>
    <row r="33">
      <c r="A33" s="34" t="s">
        <v>68</v>
      </c>
      <c r="B33" s="49">
        <f>Calculations!G12</f>
        <v>0.243258427</v>
      </c>
      <c r="C33" s="39" t="s">
        <v>69</v>
      </c>
      <c r="G33" s="50" t="s">
        <v>22</v>
      </c>
      <c r="H33" s="20"/>
    </row>
    <row r="34">
      <c r="A34" s="34" t="s">
        <v>70</v>
      </c>
      <c r="B34" s="41">
        <f>average(44.97%,45.8%)</f>
        <v>0.45385</v>
      </c>
      <c r="C34" s="2" t="s">
        <v>71</v>
      </c>
      <c r="G34" s="51" t="s">
        <v>95</v>
      </c>
      <c r="H34" s="20"/>
    </row>
    <row r="35">
      <c r="A35" s="34"/>
      <c r="B35" s="52"/>
      <c r="C35" s="2"/>
      <c r="G35" s="24"/>
      <c r="H35" s="20"/>
    </row>
    <row r="36">
      <c r="A36" s="34" t="s">
        <v>73</v>
      </c>
      <c r="B36" s="36">
        <f>((B22*B23)+(B30*B31))*B33*B34*(1+B15)^B16</f>
        <v>1437600.478</v>
      </c>
      <c r="C36" s="2" t="s">
        <v>55</v>
      </c>
      <c r="G36" s="19" t="s">
        <v>74</v>
      </c>
    </row>
    <row r="37">
      <c r="A37" s="34" t="s">
        <v>75</v>
      </c>
      <c r="B37" s="53">
        <v>17.48600215</v>
      </c>
      <c r="C37" s="54" t="s">
        <v>96</v>
      </c>
      <c r="G37" s="19" t="s">
        <v>97</v>
      </c>
      <c r="H37" s="55"/>
    </row>
    <row r="38">
      <c r="A38" s="34"/>
      <c r="B38" s="56"/>
      <c r="C38" s="2"/>
      <c r="G38" s="22"/>
      <c r="H38" s="55"/>
    </row>
    <row r="39">
      <c r="A39" s="34" t="s">
        <v>78</v>
      </c>
      <c r="B39" s="41">
        <v>0.04</v>
      </c>
      <c r="C39" s="2" t="s">
        <v>21</v>
      </c>
      <c r="G39" s="18" t="s">
        <v>22</v>
      </c>
    </row>
    <row r="40">
      <c r="A40" s="34" t="s">
        <v>79</v>
      </c>
      <c r="B40" s="57">
        <v>0.014</v>
      </c>
      <c r="C40" s="2" t="s">
        <v>21</v>
      </c>
      <c r="G40" s="18" t="s">
        <v>22</v>
      </c>
    </row>
    <row r="41">
      <c r="A41" s="58" t="s">
        <v>80</v>
      </c>
      <c r="B41" s="59">
        <v>0.05</v>
      </c>
      <c r="C41" s="46" t="s">
        <v>81</v>
      </c>
      <c r="G41" s="18" t="s">
        <v>22</v>
      </c>
      <c r="H41" s="20"/>
    </row>
    <row r="42">
      <c r="A42" s="58" t="s">
        <v>82</v>
      </c>
      <c r="B42" s="60">
        <f>SUM(B40:B41)</f>
        <v>0.064</v>
      </c>
      <c r="C42" s="2" t="s">
        <v>83</v>
      </c>
      <c r="G42" s="18" t="s">
        <v>22</v>
      </c>
    </row>
    <row r="43">
      <c r="A43" s="2"/>
      <c r="B43" s="48"/>
      <c r="C43" s="2"/>
      <c r="G43" s="18"/>
    </row>
    <row r="44">
      <c r="A44" s="14" t="s">
        <v>84</v>
      </c>
      <c r="B44" s="14"/>
      <c r="C44" s="14"/>
      <c r="D44" s="14"/>
      <c r="E44" s="14"/>
      <c r="F44" s="14"/>
      <c r="G44" s="15"/>
      <c r="H44" s="14"/>
      <c r="I44" s="14"/>
      <c r="J44" s="61"/>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row>
    <row r="45">
      <c r="A45" s="2" t="s">
        <v>85</v>
      </c>
      <c r="B45" s="2">
        <v>1.0</v>
      </c>
      <c r="C45" s="2">
        <v>2.0</v>
      </c>
      <c r="D45" s="2">
        <v>3.0</v>
      </c>
      <c r="E45" s="2">
        <v>4.0</v>
      </c>
      <c r="F45" s="2">
        <v>5.0</v>
      </c>
      <c r="G45" s="18">
        <v>6.0</v>
      </c>
      <c r="H45" s="2">
        <v>7.0</v>
      </c>
      <c r="I45" s="2">
        <v>8.0</v>
      </c>
      <c r="J45" s="2">
        <v>9.0</v>
      </c>
      <c r="K45" s="2">
        <v>10.0</v>
      </c>
      <c r="L45" s="2">
        <v>11.0</v>
      </c>
      <c r="M45" s="2">
        <v>12.0</v>
      </c>
      <c r="N45" s="2">
        <v>13.0</v>
      </c>
      <c r="O45" s="2">
        <v>14.0</v>
      </c>
      <c r="P45" s="2">
        <v>15.0</v>
      </c>
      <c r="Q45" s="2">
        <v>16.0</v>
      </c>
      <c r="R45" s="2">
        <v>17.0</v>
      </c>
      <c r="S45" s="2">
        <v>18.0</v>
      </c>
      <c r="T45" s="2">
        <v>19.0</v>
      </c>
      <c r="U45" s="2">
        <v>20.0</v>
      </c>
      <c r="V45" s="2">
        <v>21.0</v>
      </c>
      <c r="W45" s="2">
        <v>22.0</v>
      </c>
      <c r="X45" s="2">
        <v>23.0</v>
      </c>
      <c r="Y45" s="2">
        <v>24.0</v>
      </c>
      <c r="Z45" s="2">
        <v>25.0</v>
      </c>
      <c r="AA45" s="2">
        <v>26.0</v>
      </c>
      <c r="AB45" s="2">
        <v>27.0</v>
      </c>
      <c r="AC45" s="2">
        <v>28.0</v>
      </c>
      <c r="AD45" s="2">
        <v>29.0</v>
      </c>
      <c r="AE45" s="2">
        <v>30.0</v>
      </c>
      <c r="AF45" s="2">
        <v>31.0</v>
      </c>
      <c r="AG45" s="2">
        <v>32.0</v>
      </c>
      <c r="AH45" s="2">
        <v>33.0</v>
      </c>
      <c r="AI45" s="2">
        <v>34.0</v>
      </c>
      <c r="AJ45" s="2">
        <v>35.0</v>
      </c>
      <c r="AK45" s="2">
        <v>36.0</v>
      </c>
      <c r="AL45" s="2">
        <v>37.0</v>
      </c>
      <c r="AM45" s="2">
        <v>38.0</v>
      </c>
      <c r="AN45" s="2">
        <v>39.0</v>
      </c>
      <c r="AO45" s="2">
        <v>40.0</v>
      </c>
      <c r="AP45" s="2">
        <v>41.0</v>
      </c>
      <c r="AQ45" s="2">
        <v>42.0</v>
      </c>
      <c r="AR45" s="2">
        <v>43.0</v>
      </c>
      <c r="AS45" s="2">
        <v>44.0</v>
      </c>
      <c r="AT45" s="2">
        <v>45.0</v>
      </c>
      <c r="AU45" s="2">
        <v>46.0</v>
      </c>
      <c r="AV45" s="2">
        <v>47.0</v>
      </c>
      <c r="AW45" s="2">
        <v>48.0</v>
      </c>
      <c r="AX45" s="2">
        <v>49.0</v>
      </c>
      <c r="AY45" s="2">
        <v>50.0</v>
      </c>
      <c r="AZ45" s="2">
        <v>51.0</v>
      </c>
      <c r="BA45" s="2">
        <v>52.0</v>
      </c>
      <c r="BB45" s="2">
        <v>53.0</v>
      </c>
      <c r="BC45" s="2">
        <v>54.0</v>
      </c>
      <c r="BD45" s="2">
        <v>55.0</v>
      </c>
      <c r="BE45" s="2">
        <v>56.0</v>
      </c>
      <c r="BF45" s="2">
        <v>57.0</v>
      </c>
      <c r="BG45" s="2">
        <v>58.0</v>
      </c>
      <c r="BH45" s="2">
        <v>59.0</v>
      </c>
      <c r="BI45" s="2">
        <v>60.0</v>
      </c>
      <c r="BJ45" s="2">
        <v>61.0</v>
      </c>
      <c r="BK45" s="2">
        <v>62.0</v>
      </c>
      <c r="BL45" s="2">
        <v>63.0</v>
      </c>
      <c r="BM45" s="2">
        <v>64.0</v>
      </c>
      <c r="BN45" s="2">
        <v>65.0</v>
      </c>
      <c r="BO45" s="2">
        <v>66.0</v>
      </c>
      <c r="BP45" s="2">
        <v>67.0</v>
      </c>
      <c r="BQ45" s="2">
        <v>68.0</v>
      </c>
      <c r="BR45" s="2">
        <v>69.0</v>
      </c>
      <c r="BS45" s="2">
        <v>70.0</v>
      </c>
      <c r="BT45" s="2">
        <v>71.0</v>
      </c>
      <c r="BU45" s="2">
        <v>72.0</v>
      </c>
      <c r="BV45" s="2">
        <v>73.0</v>
      </c>
      <c r="BW45" s="2">
        <v>74.0</v>
      </c>
      <c r="BX45" s="2">
        <v>75.0</v>
      </c>
    </row>
    <row r="46">
      <c r="A46" s="2" t="s">
        <v>86</v>
      </c>
      <c r="B46" s="62">
        <f>B4+B6</f>
        <v>328274.0833</v>
      </c>
      <c r="C46" s="62">
        <f t="shared" ref="C46:D46" si="1">$B$5+$B$6</f>
        <v>478274.0833</v>
      </c>
      <c r="D46" s="62">
        <f t="shared" si="1"/>
        <v>478274.0833</v>
      </c>
      <c r="E46" s="62">
        <f t="shared" ref="E46:P46" si="2">$B$5+$B$6*(($B$21*$B$23)+($B$26*$B$31))</f>
        <v>405705.7688</v>
      </c>
      <c r="F46" s="62">
        <f t="shared" si="2"/>
        <v>405705.7688</v>
      </c>
      <c r="G46" s="62">
        <f t="shared" si="2"/>
        <v>405705.7688</v>
      </c>
      <c r="H46" s="62">
        <f t="shared" si="2"/>
        <v>405705.7688</v>
      </c>
      <c r="I46" s="62">
        <f t="shared" si="2"/>
        <v>405705.7688</v>
      </c>
      <c r="J46" s="62">
        <f t="shared" si="2"/>
        <v>405705.7688</v>
      </c>
      <c r="K46" s="62">
        <f t="shared" si="2"/>
        <v>405705.7688</v>
      </c>
      <c r="L46" s="62">
        <f t="shared" si="2"/>
        <v>405705.7688</v>
      </c>
      <c r="M46" s="62">
        <f t="shared" si="2"/>
        <v>405705.7688</v>
      </c>
      <c r="N46" s="62">
        <f t="shared" si="2"/>
        <v>405705.7688</v>
      </c>
      <c r="O46" s="62">
        <f t="shared" si="2"/>
        <v>405705.7688</v>
      </c>
      <c r="P46" s="62">
        <f t="shared" si="2"/>
        <v>405705.7688</v>
      </c>
      <c r="Q46" s="63">
        <v>0.0</v>
      </c>
      <c r="R46" s="63">
        <v>0.0</v>
      </c>
      <c r="S46" s="63">
        <v>0.0</v>
      </c>
      <c r="T46" s="63">
        <v>0.0</v>
      </c>
      <c r="U46" s="63">
        <v>0.0</v>
      </c>
      <c r="V46" s="63">
        <v>0.0</v>
      </c>
      <c r="W46" s="63">
        <v>0.0</v>
      </c>
      <c r="X46" s="63">
        <v>0.0</v>
      </c>
      <c r="Y46" s="63">
        <v>0.0</v>
      </c>
      <c r="Z46" s="63">
        <v>0.0</v>
      </c>
      <c r="AA46" s="63">
        <v>0.0</v>
      </c>
      <c r="AB46" s="63">
        <v>0.0</v>
      </c>
      <c r="AC46" s="63">
        <v>0.0</v>
      </c>
      <c r="AD46" s="63">
        <v>0.0</v>
      </c>
      <c r="AE46" s="63">
        <v>0.0</v>
      </c>
      <c r="AF46" s="63">
        <v>0.0</v>
      </c>
      <c r="AG46" s="63">
        <v>0.0</v>
      </c>
      <c r="AH46" s="63">
        <v>0.0</v>
      </c>
      <c r="AI46" s="63">
        <v>0.0</v>
      </c>
      <c r="AJ46" s="63">
        <v>0.0</v>
      </c>
      <c r="AK46" s="63">
        <v>0.0</v>
      </c>
      <c r="AL46" s="63">
        <v>0.0</v>
      </c>
      <c r="AM46" s="63">
        <v>0.0</v>
      </c>
      <c r="AN46" s="63">
        <v>0.0</v>
      </c>
      <c r="AO46" s="63">
        <v>0.0</v>
      </c>
      <c r="AP46" s="63">
        <v>0.0</v>
      </c>
      <c r="AQ46" s="63">
        <v>0.0</v>
      </c>
      <c r="AR46" s="63">
        <v>0.0</v>
      </c>
      <c r="AS46" s="63">
        <v>0.0</v>
      </c>
      <c r="AT46" s="63">
        <v>0.0</v>
      </c>
      <c r="AU46" s="63">
        <v>0.0</v>
      </c>
      <c r="AV46" s="63">
        <v>0.0</v>
      </c>
      <c r="AW46" s="63">
        <v>0.0</v>
      </c>
      <c r="AX46" s="63">
        <v>0.0</v>
      </c>
      <c r="AY46" s="63">
        <v>0.0</v>
      </c>
      <c r="AZ46" s="63">
        <v>0.0</v>
      </c>
      <c r="BA46" s="63">
        <v>0.0</v>
      </c>
      <c r="BB46" s="63">
        <v>0.0</v>
      </c>
      <c r="BC46" s="63">
        <v>0.0</v>
      </c>
      <c r="BD46" s="63">
        <v>0.0</v>
      </c>
      <c r="BE46" s="63">
        <v>0.0</v>
      </c>
      <c r="BF46" s="63">
        <v>0.0</v>
      </c>
      <c r="BG46" s="63">
        <v>0.0</v>
      </c>
      <c r="BH46" s="63">
        <v>0.0</v>
      </c>
      <c r="BI46" s="63">
        <v>0.0</v>
      </c>
      <c r="BJ46" s="63">
        <v>0.0</v>
      </c>
      <c r="BK46" s="63">
        <v>0.0</v>
      </c>
      <c r="BL46" s="63">
        <v>0.0</v>
      </c>
      <c r="BM46" s="63">
        <v>0.0</v>
      </c>
      <c r="BN46" s="63">
        <v>0.0</v>
      </c>
      <c r="BO46" s="63">
        <v>0.0</v>
      </c>
      <c r="BP46" s="63">
        <v>0.0</v>
      </c>
      <c r="BQ46" s="63">
        <v>0.0</v>
      </c>
      <c r="BR46" s="63">
        <v>0.0</v>
      </c>
      <c r="BS46" s="63">
        <v>0.0</v>
      </c>
      <c r="BT46" s="63">
        <v>0.0</v>
      </c>
      <c r="BU46" s="63">
        <v>0.0</v>
      </c>
      <c r="BV46" s="63">
        <v>0.0</v>
      </c>
      <c r="BW46" s="63">
        <v>0.0</v>
      </c>
      <c r="BX46" s="63">
        <v>0.0</v>
      </c>
    </row>
    <row r="47">
      <c r="A47" s="2" t="s">
        <v>87</v>
      </c>
      <c r="B47" s="37">
        <v>0.0</v>
      </c>
      <c r="C47" s="37">
        <v>0.0</v>
      </c>
      <c r="D47" s="37">
        <v>0.0</v>
      </c>
      <c r="E47" s="37">
        <v>0.0</v>
      </c>
      <c r="F47" s="37">
        <v>0.0</v>
      </c>
      <c r="G47" s="37">
        <v>0.0</v>
      </c>
      <c r="H47" s="37">
        <v>0.0</v>
      </c>
      <c r="I47" s="37">
        <v>0.0</v>
      </c>
      <c r="J47" s="37">
        <v>0.0</v>
      </c>
      <c r="K47" s="37">
        <f t="shared" ref="K47:BX47" si="3">$B$36*$B$37</f>
        <v>25137885.04</v>
      </c>
      <c r="L47" s="37">
        <f t="shared" si="3"/>
        <v>25137885.04</v>
      </c>
      <c r="M47" s="37">
        <f t="shared" si="3"/>
        <v>25137885.04</v>
      </c>
      <c r="N47" s="37">
        <f t="shared" si="3"/>
        <v>25137885.04</v>
      </c>
      <c r="O47" s="37">
        <f t="shared" si="3"/>
        <v>25137885.04</v>
      </c>
      <c r="P47" s="37">
        <f t="shared" si="3"/>
        <v>25137885.04</v>
      </c>
      <c r="Q47" s="64">
        <f t="shared" si="3"/>
        <v>25137885.04</v>
      </c>
      <c r="R47" s="64">
        <f t="shared" si="3"/>
        <v>25137885.04</v>
      </c>
      <c r="S47" s="64">
        <f t="shared" si="3"/>
        <v>25137885.04</v>
      </c>
      <c r="T47" s="64">
        <f t="shared" si="3"/>
        <v>25137885.04</v>
      </c>
      <c r="U47" s="64">
        <f t="shared" si="3"/>
        <v>25137885.04</v>
      </c>
      <c r="V47" s="64">
        <f t="shared" si="3"/>
        <v>25137885.04</v>
      </c>
      <c r="W47" s="64">
        <f t="shared" si="3"/>
        <v>25137885.04</v>
      </c>
      <c r="X47" s="64">
        <f t="shared" si="3"/>
        <v>25137885.04</v>
      </c>
      <c r="Y47" s="64">
        <f t="shared" si="3"/>
        <v>25137885.04</v>
      </c>
      <c r="Z47" s="64">
        <f t="shared" si="3"/>
        <v>25137885.04</v>
      </c>
      <c r="AA47" s="64">
        <f t="shared" si="3"/>
        <v>25137885.04</v>
      </c>
      <c r="AB47" s="64">
        <f t="shared" si="3"/>
        <v>25137885.04</v>
      </c>
      <c r="AC47" s="64">
        <f t="shared" si="3"/>
        <v>25137885.04</v>
      </c>
      <c r="AD47" s="64">
        <f t="shared" si="3"/>
        <v>25137885.04</v>
      </c>
      <c r="AE47" s="64">
        <f t="shared" si="3"/>
        <v>25137885.04</v>
      </c>
      <c r="AF47" s="64">
        <f t="shared" si="3"/>
        <v>25137885.04</v>
      </c>
      <c r="AG47" s="64">
        <f t="shared" si="3"/>
        <v>25137885.04</v>
      </c>
      <c r="AH47" s="64">
        <f t="shared" si="3"/>
        <v>25137885.04</v>
      </c>
      <c r="AI47" s="64">
        <f t="shared" si="3"/>
        <v>25137885.04</v>
      </c>
      <c r="AJ47" s="64">
        <f t="shared" si="3"/>
        <v>25137885.04</v>
      </c>
      <c r="AK47" s="64">
        <f t="shared" si="3"/>
        <v>25137885.04</v>
      </c>
      <c r="AL47" s="64">
        <f t="shared" si="3"/>
        <v>25137885.04</v>
      </c>
      <c r="AM47" s="64">
        <f t="shared" si="3"/>
        <v>25137885.04</v>
      </c>
      <c r="AN47" s="64">
        <f t="shared" si="3"/>
        <v>25137885.04</v>
      </c>
      <c r="AO47" s="64">
        <f t="shared" si="3"/>
        <v>25137885.04</v>
      </c>
      <c r="AP47" s="64">
        <f t="shared" si="3"/>
        <v>25137885.04</v>
      </c>
      <c r="AQ47" s="64">
        <f t="shared" si="3"/>
        <v>25137885.04</v>
      </c>
      <c r="AR47" s="64">
        <f t="shared" si="3"/>
        <v>25137885.04</v>
      </c>
      <c r="AS47" s="64">
        <f t="shared" si="3"/>
        <v>25137885.04</v>
      </c>
      <c r="AT47" s="64">
        <f t="shared" si="3"/>
        <v>25137885.04</v>
      </c>
      <c r="AU47" s="64">
        <f t="shared" si="3"/>
        <v>25137885.04</v>
      </c>
      <c r="AV47" s="64">
        <f t="shared" si="3"/>
        <v>25137885.04</v>
      </c>
      <c r="AW47" s="64">
        <f t="shared" si="3"/>
        <v>25137885.04</v>
      </c>
      <c r="AX47" s="64">
        <f t="shared" si="3"/>
        <v>25137885.04</v>
      </c>
      <c r="AY47" s="64">
        <f t="shared" si="3"/>
        <v>25137885.04</v>
      </c>
      <c r="AZ47" s="64">
        <f t="shared" si="3"/>
        <v>25137885.04</v>
      </c>
      <c r="BA47" s="64">
        <f t="shared" si="3"/>
        <v>25137885.04</v>
      </c>
      <c r="BB47" s="64">
        <f t="shared" si="3"/>
        <v>25137885.04</v>
      </c>
      <c r="BC47" s="64">
        <f t="shared" si="3"/>
        <v>25137885.04</v>
      </c>
      <c r="BD47" s="64">
        <f t="shared" si="3"/>
        <v>25137885.04</v>
      </c>
      <c r="BE47" s="64">
        <f t="shared" si="3"/>
        <v>25137885.04</v>
      </c>
      <c r="BF47" s="64">
        <f t="shared" si="3"/>
        <v>25137885.04</v>
      </c>
      <c r="BG47" s="64">
        <f t="shared" si="3"/>
        <v>25137885.04</v>
      </c>
      <c r="BH47" s="64">
        <f t="shared" si="3"/>
        <v>25137885.04</v>
      </c>
      <c r="BI47" s="64">
        <f t="shared" si="3"/>
        <v>25137885.04</v>
      </c>
      <c r="BJ47" s="64">
        <f t="shared" si="3"/>
        <v>25137885.04</v>
      </c>
      <c r="BK47" s="64">
        <f t="shared" si="3"/>
        <v>25137885.04</v>
      </c>
      <c r="BL47" s="64">
        <f t="shared" si="3"/>
        <v>25137885.04</v>
      </c>
      <c r="BM47" s="64">
        <f t="shared" si="3"/>
        <v>25137885.04</v>
      </c>
      <c r="BN47" s="64">
        <f t="shared" si="3"/>
        <v>25137885.04</v>
      </c>
      <c r="BO47" s="64">
        <f t="shared" si="3"/>
        <v>25137885.04</v>
      </c>
      <c r="BP47" s="64">
        <f t="shared" si="3"/>
        <v>25137885.04</v>
      </c>
      <c r="BQ47" s="64">
        <f t="shared" si="3"/>
        <v>25137885.04</v>
      </c>
      <c r="BR47" s="64">
        <f t="shared" si="3"/>
        <v>25137885.04</v>
      </c>
      <c r="BS47" s="64">
        <f t="shared" si="3"/>
        <v>25137885.04</v>
      </c>
      <c r="BT47" s="64">
        <f t="shared" si="3"/>
        <v>25137885.04</v>
      </c>
      <c r="BU47" s="64">
        <f t="shared" si="3"/>
        <v>25137885.04</v>
      </c>
      <c r="BV47" s="64">
        <f t="shared" si="3"/>
        <v>25137885.04</v>
      </c>
      <c r="BW47" s="64">
        <f t="shared" si="3"/>
        <v>25137885.04</v>
      </c>
      <c r="BX47" s="37">
        <f t="shared" si="3"/>
        <v>25137885.04</v>
      </c>
    </row>
    <row r="48">
      <c r="A48" s="2"/>
      <c r="B48" s="6"/>
      <c r="C48" s="6"/>
      <c r="D48" s="6"/>
      <c r="E48" s="6"/>
      <c r="F48" s="6"/>
      <c r="G48" s="65"/>
      <c r="H48" s="6"/>
      <c r="I48" s="6"/>
      <c r="J48" s="6"/>
      <c r="K48" s="6"/>
    </row>
    <row r="49">
      <c r="A49" s="14" t="s">
        <v>88</v>
      </c>
      <c r="B49" s="14"/>
      <c r="C49" s="14"/>
      <c r="D49" s="14"/>
      <c r="E49" s="14"/>
      <c r="F49" s="14"/>
      <c r="G49" s="15"/>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row>
    <row r="50">
      <c r="A50" s="2" t="s">
        <v>5</v>
      </c>
      <c r="B50" s="6">
        <f t="array" ref="B50">NPV(B39,46:46)</f>
        <v>4567946.831</v>
      </c>
      <c r="G50" s="66"/>
      <c r="J50" s="67"/>
      <c r="K50" s="68"/>
    </row>
    <row r="51">
      <c r="A51" s="2" t="s">
        <v>6</v>
      </c>
      <c r="B51" s="6">
        <f t="array" ref="B51">NPV(B42,47:47)</f>
        <v>220991111.9</v>
      </c>
      <c r="G51" s="66"/>
    </row>
    <row r="52">
      <c r="A52" s="2" t="s">
        <v>7</v>
      </c>
      <c r="B52" s="6">
        <f>B51/B50</f>
        <v>48.37865239</v>
      </c>
      <c r="G52" s="66"/>
    </row>
    <row r="53">
      <c r="B53" s="6"/>
      <c r="G53" s="66"/>
    </row>
    <row r="54">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sheetData>
  <hyperlinks>
    <hyperlink r:id="rId1" location="c2" ref="G6"/>
    <hyperlink r:id="rId2" ref="G12"/>
    <hyperlink r:id="rId3" ref="G13"/>
    <hyperlink r:id="rId4" ref="G15"/>
    <hyperlink r:id="rId5" ref="G20"/>
    <hyperlink r:id="rId6" ref="G29"/>
    <hyperlink r:id="rId7" location="gid=1748706729" ref="G34"/>
    <hyperlink r:id="rId8" location=":~:text=95%25%20of%20the%20broiler%20chickens,just%20five%20to%20six%20weeks." ref="G36"/>
    <hyperlink r:id="rId9" ref="C37"/>
    <hyperlink r:id="rId10" location="gid=289821833" ref="G37"/>
  </hyperlinks>
  <drawing r:id="rId1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3</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98</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34</v>
      </c>
      <c r="B12" s="27">
        <f>614154*1000</f>
        <v>614154000</v>
      </c>
      <c r="C12" s="28" t="s">
        <v>99</v>
      </c>
      <c r="G12" s="19" t="s">
        <v>36</v>
      </c>
    </row>
    <row r="13">
      <c r="A13" s="26" t="s">
        <v>37</v>
      </c>
      <c r="B13" s="30">
        <v>17.55</v>
      </c>
      <c r="C13" s="28" t="s">
        <v>100</v>
      </c>
      <c r="G13" s="19" t="s">
        <v>39</v>
      </c>
    </row>
    <row r="14">
      <c r="A14" s="26" t="s">
        <v>40</v>
      </c>
      <c r="B14" s="31">
        <f>B12/B13</f>
        <v>34994529.91</v>
      </c>
      <c r="C14" s="28" t="s">
        <v>41</v>
      </c>
      <c r="G14" s="22" t="s">
        <v>22</v>
      </c>
    </row>
    <row r="15">
      <c r="A15" s="26" t="s">
        <v>42</v>
      </c>
      <c r="B15" s="33">
        <f>AVERAGE(-6%,9%,11%)</f>
        <v>0.04666666667</v>
      </c>
      <c r="C15" s="28" t="s">
        <v>101</v>
      </c>
      <c r="G15" s="19" t="s">
        <v>36</v>
      </c>
      <c r="H15" s="20"/>
    </row>
    <row r="16">
      <c r="A16" s="34" t="s">
        <v>44</v>
      </c>
      <c r="B16" s="35">
        <v>5.0</v>
      </c>
      <c r="C16" s="2" t="s">
        <v>45</v>
      </c>
      <c r="G16" s="22" t="s">
        <v>22</v>
      </c>
    </row>
    <row r="17">
      <c r="A17" s="34" t="s">
        <v>46</v>
      </c>
      <c r="B17" s="36">
        <f>B14*(1+B15)^3</f>
        <v>40125951.51</v>
      </c>
      <c r="C17" s="2" t="s">
        <v>47</v>
      </c>
      <c r="G17" s="22"/>
    </row>
    <row r="18">
      <c r="A18" s="34"/>
      <c r="B18" s="37"/>
      <c r="C18" s="2"/>
      <c r="G18" s="22"/>
    </row>
    <row r="19">
      <c r="A19" s="38" t="s">
        <v>48</v>
      </c>
      <c r="B19" s="39"/>
      <c r="C19" s="39"/>
      <c r="G19" s="40"/>
    </row>
    <row r="20">
      <c r="A20" s="34" t="s">
        <v>49</v>
      </c>
      <c r="B20" s="41">
        <f>average(39%,60%,80%)</f>
        <v>0.5966666667</v>
      </c>
      <c r="C20" s="39" t="s">
        <v>50</v>
      </c>
      <c r="G20" s="40" t="s">
        <v>51</v>
      </c>
    </row>
    <row r="21">
      <c r="A21" s="34" t="s">
        <v>52</v>
      </c>
      <c r="B21" s="42">
        <v>0.8</v>
      </c>
      <c r="C21" s="39" t="s">
        <v>53</v>
      </c>
      <c r="G21" s="40"/>
    </row>
    <row r="22">
      <c r="A22" s="34" t="s">
        <v>54</v>
      </c>
      <c r="B22" s="36">
        <f>B$17*B20*B21</f>
        <v>19153454.19</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AVERAGE(48%,84%,39%,50%,89%)*(0.36/0.72)</f>
        <v>0.31</v>
      </c>
      <c r="C29" s="28" t="s">
        <v>102</v>
      </c>
      <c r="G29" s="19" t="s">
        <v>103</v>
      </c>
      <c r="H29" s="20"/>
    </row>
    <row r="30">
      <c r="A30" s="34" t="s">
        <v>66</v>
      </c>
      <c r="B30" s="36">
        <f>B$17*B26*B28*B27*B29</f>
        <v>4295616.863</v>
      </c>
      <c r="C30" s="2" t="s">
        <v>55</v>
      </c>
      <c r="G30" s="22"/>
      <c r="H30" s="20"/>
    </row>
    <row r="31">
      <c r="A31" s="34" t="s">
        <v>67</v>
      </c>
      <c r="B31" s="47">
        <v>0.3</v>
      </c>
      <c r="C31" s="2" t="s">
        <v>57</v>
      </c>
      <c r="G31" s="22"/>
      <c r="H31" s="20"/>
    </row>
    <row r="32">
      <c r="A32" s="34"/>
      <c r="B32" s="48"/>
      <c r="C32" s="2"/>
      <c r="G32" s="22"/>
      <c r="H32" s="20"/>
    </row>
    <row r="33">
      <c r="A33" s="34" t="s">
        <v>104</v>
      </c>
      <c r="B33" s="41">
        <v>0.5</v>
      </c>
      <c r="C33" s="39" t="s">
        <v>105</v>
      </c>
      <c r="G33" s="70" t="s">
        <v>106</v>
      </c>
      <c r="H33" s="20"/>
    </row>
    <row r="34">
      <c r="A34" s="34" t="s">
        <v>68</v>
      </c>
      <c r="B34" s="49">
        <f>Calculations!G12</f>
        <v>0.243258427</v>
      </c>
      <c r="C34" s="39" t="s">
        <v>69</v>
      </c>
      <c r="G34" s="50" t="s">
        <v>22</v>
      </c>
      <c r="H34" s="20"/>
    </row>
    <row r="35">
      <c r="A35" s="34" t="s">
        <v>70</v>
      </c>
      <c r="B35" s="41">
        <f>average(44.97%,45.8%)</f>
        <v>0.45385</v>
      </c>
      <c r="C35" s="2" t="s">
        <v>71</v>
      </c>
      <c r="G35" s="51" t="s">
        <v>107</v>
      </c>
      <c r="H35" s="20"/>
    </row>
    <row r="36">
      <c r="A36" s="34"/>
      <c r="B36" s="52"/>
      <c r="C36" s="2"/>
      <c r="G36" s="24"/>
      <c r="H36" s="20"/>
    </row>
    <row r="37">
      <c r="A37" s="34" t="s">
        <v>73</v>
      </c>
      <c r="B37" s="36">
        <f>((B22*B23)+(B30*B31))*B33*B34*B35*(1+B15)^B16</f>
        <v>1019047.415</v>
      </c>
      <c r="C37" s="2" t="s">
        <v>55</v>
      </c>
      <c r="G37" s="19" t="s">
        <v>74</v>
      </c>
    </row>
    <row r="38">
      <c r="A38" s="34" t="s">
        <v>75</v>
      </c>
      <c r="B38" s="53">
        <v>17.48600215</v>
      </c>
      <c r="C38" s="54" t="s">
        <v>108</v>
      </c>
      <c r="G38" s="19" t="s">
        <v>109</v>
      </c>
      <c r="H38" s="55"/>
    </row>
    <row r="39">
      <c r="A39" s="34"/>
      <c r="B39" s="56"/>
      <c r="C39" s="2"/>
      <c r="G39" s="22"/>
      <c r="H39" s="55"/>
    </row>
    <row r="40">
      <c r="A40" s="34" t="s">
        <v>78</v>
      </c>
      <c r="B40" s="41">
        <v>0.04</v>
      </c>
      <c r="C40" s="2" t="s">
        <v>21</v>
      </c>
      <c r="G40" s="18" t="s">
        <v>22</v>
      </c>
    </row>
    <row r="41">
      <c r="A41" s="34" t="s">
        <v>79</v>
      </c>
      <c r="B41" s="57">
        <v>0.014</v>
      </c>
      <c r="C41" s="2" t="s">
        <v>21</v>
      </c>
      <c r="G41" s="18" t="s">
        <v>22</v>
      </c>
    </row>
    <row r="42">
      <c r="A42" s="58" t="s">
        <v>80</v>
      </c>
      <c r="B42" s="59">
        <v>0.05</v>
      </c>
      <c r="C42" s="46" t="s">
        <v>81</v>
      </c>
      <c r="G42" s="18" t="s">
        <v>22</v>
      </c>
      <c r="H42" s="20"/>
    </row>
    <row r="43">
      <c r="A43" s="58" t="s">
        <v>82</v>
      </c>
      <c r="B43" s="60">
        <f>SUM(B41:B42)</f>
        <v>0.064</v>
      </c>
      <c r="C43" s="2" t="s">
        <v>83</v>
      </c>
      <c r="G43" s="18" t="s">
        <v>22</v>
      </c>
    </row>
    <row r="44">
      <c r="A44" s="2"/>
      <c r="B44" s="48"/>
      <c r="C44" s="2"/>
      <c r="G44" s="18"/>
    </row>
    <row r="45">
      <c r="A45" s="14" t="s">
        <v>84</v>
      </c>
      <c r="B45" s="14"/>
      <c r="C45" s="14"/>
      <c r="D45" s="14"/>
      <c r="E45" s="14"/>
      <c r="F45" s="14"/>
      <c r="G45" s="15"/>
      <c r="H45" s="14"/>
      <c r="I45" s="14"/>
      <c r="J45" s="6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c r="A46" s="2" t="s">
        <v>85</v>
      </c>
      <c r="B46" s="2">
        <v>1.0</v>
      </c>
      <c r="C46" s="2">
        <v>2.0</v>
      </c>
      <c r="D46" s="2">
        <v>3.0</v>
      </c>
      <c r="E46" s="2">
        <v>4.0</v>
      </c>
      <c r="F46" s="2">
        <v>5.0</v>
      </c>
      <c r="G46" s="18">
        <v>6.0</v>
      </c>
      <c r="H46" s="2">
        <v>7.0</v>
      </c>
      <c r="I46" s="2">
        <v>8.0</v>
      </c>
      <c r="J46" s="2">
        <v>9.0</v>
      </c>
      <c r="K46" s="2">
        <v>10.0</v>
      </c>
      <c r="L46" s="2">
        <v>11.0</v>
      </c>
      <c r="M46" s="2">
        <v>12.0</v>
      </c>
      <c r="N46" s="2">
        <v>13.0</v>
      </c>
      <c r="O46" s="2">
        <v>14.0</v>
      </c>
      <c r="P46" s="2">
        <v>15.0</v>
      </c>
      <c r="Q46" s="2">
        <v>16.0</v>
      </c>
      <c r="R46" s="2">
        <v>17.0</v>
      </c>
      <c r="S46" s="2">
        <v>18.0</v>
      </c>
      <c r="T46" s="2">
        <v>19.0</v>
      </c>
      <c r="U46" s="2">
        <v>20.0</v>
      </c>
      <c r="V46" s="2">
        <v>21.0</v>
      </c>
      <c r="W46" s="2">
        <v>22.0</v>
      </c>
      <c r="X46" s="2">
        <v>23.0</v>
      </c>
      <c r="Y46" s="2">
        <v>24.0</v>
      </c>
      <c r="Z46" s="2">
        <v>25.0</v>
      </c>
      <c r="AA46" s="2">
        <v>26.0</v>
      </c>
      <c r="AB46" s="2">
        <v>27.0</v>
      </c>
      <c r="AC46" s="2">
        <v>28.0</v>
      </c>
      <c r="AD46" s="2">
        <v>29.0</v>
      </c>
      <c r="AE46" s="2">
        <v>30.0</v>
      </c>
      <c r="AF46" s="2">
        <v>31.0</v>
      </c>
      <c r="AG46" s="2">
        <v>32.0</v>
      </c>
      <c r="AH46" s="2">
        <v>33.0</v>
      </c>
      <c r="AI46" s="2">
        <v>34.0</v>
      </c>
      <c r="AJ46" s="2">
        <v>35.0</v>
      </c>
      <c r="AK46" s="2">
        <v>36.0</v>
      </c>
      <c r="AL46" s="2">
        <v>37.0</v>
      </c>
      <c r="AM46" s="2">
        <v>38.0</v>
      </c>
      <c r="AN46" s="2">
        <v>39.0</v>
      </c>
      <c r="AO46" s="2">
        <v>40.0</v>
      </c>
      <c r="AP46" s="2">
        <v>41.0</v>
      </c>
      <c r="AQ46" s="2">
        <v>42.0</v>
      </c>
      <c r="AR46" s="2">
        <v>43.0</v>
      </c>
      <c r="AS46" s="2">
        <v>44.0</v>
      </c>
      <c r="AT46" s="2">
        <v>45.0</v>
      </c>
      <c r="AU46" s="2">
        <v>46.0</v>
      </c>
      <c r="AV46" s="2">
        <v>47.0</v>
      </c>
      <c r="AW46" s="2">
        <v>48.0</v>
      </c>
      <c r="AX46" s="2">
        <v>49.0</v>
      </c>
      <c r="AY46" s="2">
        <v>50.0</v>
      </c>
      <c r="AZ46" s="2">
        <v>51.0</v>
      </c>
      <c r="BA46" s="2">
        <v>52.0</v>
      </c>
      <c r="BB46" s="2">
        <v>53.0</v>
      </c>
      <c r="BC46" s="2">
        <v>54.0</v>
      </c>
      <c r="BD46" s="2">
        <v>55.0</v>
      </c>
      <c r="BE46" s="2">
        <v>56.0</v>
      </c>
      <c r="BF46" s="2">
        <v>57.0</v>
      </c>
      <c r="BG46" s="2">
        <v>58.0</v>
      </c>
      <c r="BH46" s="2">
        <v>59.0</v>
      </c>
      <c r="BI46" s="2">
        <v>60.0</v>
      </c>
      <c r="BJ46" s="2">
        <v>61.0</v>
      </c>
      <c r="BK46" s="2">
        <v>62.0</v>
      </c>
      <c r="BL46" s="2">
        <v>63.0</v>
      </c>
      <c r="BM46" s="2">
        <v>64.0</v>
      </c>
      <c r="BN46" s="2">
        <v>65.0</v>
      </c>
      <c r="BO46" s="2">
        <v>66.0</v>
      </c>
      <c r="BP46" s="2">
        <v>67.0</v>
      </c>
      <c r="BQ46" s="2">
        <v>68.0</v>
      </c>
      <c r="BR46" s="2">
        <v>69.0</v>
      </c>
      <c r="BS46" s="2">
        <v>70.0</v>
      </c>
      <c r="BT46" s="2">
        <v>71.0</v>
      </c>
      <c r="BU46" s="2">
        <v>72.0</v>
      </c>
      <c r="BV46" s="2">
        <v>73.0</v>
      </c>
      <c r="BW46" s="2">
        <v>74.0</v>
      </c>
      <c r="BX46" s="2">
        <v>75.0</v>
      </c>
    </row>
    <row r="47">
      <c r="A47" s="2" t="s">
        <v>86</v>
      </c>
      <c r="B47" s="62">
        <f>B4+B6</f>
        <v>328274.0833</v>
      </c>
      <c r="C47" s="62">
        <f t="shared" ref="C47:D47" si="1">$B$5+$B$6</f>
        <v>478274.0833</v>
      </c>
      <c r="D47" s="62">
        <f t="shared" si="1"/>
        <v>478274.0833</v>
      </c>
      <c r="E47" s="62">
        <f t="shared" ref="E47:P47" si="2">$B$5+$B$6*(($B$21*$B$23)+($B$26*$B$31))</f>
        <v>405705.7688</v>
      </c>
      <c r="F47" s="62">
        <f t="shared" si="2"/>
        <v>405705.7688</v>
      </c>
      <c r="G47" s="62">
        <f t="shared" si="2"/>
        <v>405705.7688</v>
      </c>
      <c r="H47" s="62">
        <f t="shared" si="2"/>
        <v>405705.7688</v>
      </c>
      <c r="I47" s="62">
        <f t="shared" si="2"/>
        <v>405705.7688</v>
      </c>
      <c r="J47" s="62">
        <f t="shared" si="2"/>
        <v>405705.7688</v>
      </c>
      <c r="K47" s="62">
        <f t="shared" si="2"/>
        <v>405705.7688</v>
      </c>
      <c r="L47" s="62">
        <f t="shared" si="2"/>
        <v>405705.7688</v>
      </c>
      <c r="M47" s="62">
        <f t="shared" si="2"/>
        <v>405705.7688</v>
      </c>
      <c r="N47" s="62">
        <f t="shared" si="2"/>
        <v>405705.7688</v>
      </c>
      <c r="O47" s="62">
        <f t="shared" si="2"/>
        <v>405705.7688</v>
      </c>
      <c r="P47" s="62">
        <f t="shared" si="2"/>
        <v>405705.7688</v>
      </c>
      <c r="Q47" s="63">
        <v>0.0</v>
      </c>
      <c r="R47" s="63">
        <v>0.0</v>
      </c>
      <c r="S47" s="63">
        <v>0.0</v>
      </c>
      <c r="T47" s="63">
        <v>0.0</v>
      </c>
      <c r="U47" s="63">
        <v>0.0</v>
      </c>
      <c r="V47" s="63">
        <v>0.0</v>
      </c>
      <c r="W47" s="63">
        <v>0.0</v>
      </c>
      <c r="X47" s="63">
        <v>0.0</v>
      </c>
      <c r="Y47" s="63">
        <v>0.0</v>
      </c>
      <c r="Z47" s="63">
        <v>0.0</v>
      </c>
      <c r="AA47" s="63">
        <v>0.0</v>
      </c>
      <c r="AB47" s="63">
        <v>0.0</v>
      </c>
      <c r="AC47" s="63">
        <v>0.0</v>
      </c>
      <c r="AD47" s="63">
        <v>0.0</v>
      </c>
      <c r="AE47" s="63">
        <v>0.0</v>
      </c>
      <c r="AF47" s="63">
        <v>0.0</v>
      </c>
      <c r="AG47" s="63">
        <v>0.0</v>
      </c>
      <c r="AH47" s="63">
        <v>0.0</v>
      </c>
      <c r="AI47" s="63">
        <v>0.0</v>
      </c>
      <c r="AJ47" s="63">
        <v>0.0</v>
      </c>
      <c r="AK47" s="63">
        <v>0.0</v>
      </c>
      <c r="AL47" s="63">
        <v>0.0</v>
      </c>
      <c r="AM47" s="63">
        <v>0.0</v>
      </c>
      <c r="AN47" s="63">
        <v>0.0</v>
      </c>
      <c r="AO47" s="63">
        <v>0.0</v>
      </c>
      <c r="AP47" s="63">
        <v>0.0</v>
      </c>
      <c r="AQ47" s="63">
        <v>0.0</v>
      </c>
      <c r="AR47" s="63">
        <v>0.0</v>
      </c>
      <c r="AS47" s="63">
        <v>0.0</v>
      </c>
      <c r="AT47" s="63">
        <v>0.0</v>
      </c>
      <c r="AU47" s="63">
        <v>0.0</v>
      </c>
      <c r="AV47" s="63">
        <v>0.0</v>
      </c>
      <c r="AW47" s="63">
        <v>0.0</v>
      </c>
      <c r="AX47" s="63">
        <v>0.0</v>
      </c>
      <c r="AY47" s="63">
        <v>0.0</v>
      </c>
      <c r="AZ47" s="63">
        <v>0.0</v>
      </c>
      <c r="BA47" s="63">
        <v>0.0</v>
      </c>
      <c r="BB47" s="63">
        <v>0.0</v>
      </c>
      <c r="BC47" s="63">
        <v>0.0</v>
      </c>
      <c r="BD47" s="63">
        <v>0.0</v>
      </c>
      <c r="BE47" s="63">
        <v>0.0</v>
      </c>
      <c r="BF47" s="63">
        <v>0.0</v>
      </c>
      <c r="BG47" s="63">
        <v>0.0</v>
      </c>
      <c r="BH47" s="63">
        <v>0.0</v>
      </c>
      <c r="BI47" s="63">
        <v>0.0</v>
      </c>
      <c r="BJ47" s="63">
        <v>0.0</v>
      </c>
      <c r="BK47" s="63">
        <v>0.0</v>
      </c>
      <c r="BL47" s="63">
        <v>0.0</v>
      </c>
      <c r="BM47" s="63">
        <v>0.0</v>
      </c>
      <c r="BN47" s="63">
        <v>0.0</v>
      </c>
      <c r="BO47" s="63">
        <v>0.0</v>
      </c>
      <c r="BP47" s="63">
        <v>0.0</v>
      </c>
      <c r="BQ47" s="63">
        <v>0.0</v>
      </c>
      <c r="BR47" s="63">
        <v>0.0</v>
      </c>
      <c r="BS47" s="63">
        <v>0.0</v>
      </c>
      <c r="BT47" s="63">
        <v>0.0</v>
      </c>
      <c r="BU47" s="63">
        <v>0.0</v>
      </c>
      <c r="BV47" s="63">
        <v>0.0</v>
      </c>
      <c r="BW47" s="63">
        <v>0.0</v>
      </c>
      <c r="BX47" s="63">
        <v>0.0</v>
      </c>
    </row>
    <row r="48">
      <c r="A48" s="2" t="s">
        <v>87</v>
      </c>
      <c r="B48" s="37">
        <v>0.0</v>
      </c>
      <c r="C48" s="37">
        <v>0.0</v>
      </c>
      <c r="D48" s="37">
        <v>0.0</v>
      </c>
      <c r="E48" s="37">
        <v>0.0</v>
      </c>
      <c r="F48" s="37">
        <v>0.0</v>
      </c>
      <c r="G48" s="37">
        <v>0.0</v>
      </c>
      <c r="H48" s="37">
        <v>0.0</v>
      </c>
      <c r="I48" s="37">
        <v>0.0</v>
      </c>
      <c r="J48" s="37">
        <v>0.0</v>
      </c>
      <c r="K48" s="37">
        <f t="shared" ref="K48:BX48" si="3">$B$37*$B$38</f>
        <v>17819065.3</v>
      </c>
      <c r="L48" s="37">
        <f t="shared" si="3"/>
        <v>17819065.3</v>
      </c>
      <c r="M48" s="37">
        <f t="shared" si="3"/>
        <v>17819065.3</v>
      </c>
      <c r="N48" s="37">
        <f t="shared" si="3"/>
        <v>17819065.3</v>
      </c>
      <c r="O48" s="37">
        <f t="shared" si="3"/>
        <v>17819065.3</v>
      </c>
      <c r="P48" s="37">
        <f t="shared" si="3"/>
        <v>17819065.3</v>
      </c>
      <c r="Q48" s="64">
        <f t="shared" si="3"/>
        <v>17819065.3</v>
      </c>
      <c r="R48" s="64">
        <f t="shared" si="3"/>
        <v>17819065.3</v>
      </c>
      <c r="S48" s="64">
        <f t="shared" si="3"/>
        <v>17819065.3</v>
      </c>
      <c r="T48" s="64">
        <f t="shared" si="3"/>
        <v>17819065.3</v>
      </c>
      <c r="U48" s="64">
        <f t="shared" si="3"/>
        <v>17819065.3</v>
      </c>
      <c r="V48" s="64">
        <f t="shared" si="3"/>
        <v>17819065.3</v>
      </c>
      <c r="W48" s="64">
        <f t="shared" si="3"/>
        <v>17819065.3</v>
      </c>
      <c r="X48" s="64">
        <f t="shared" si="3"/>
        <v>17819065.3</v>
      </c>
      <c r="Y48" s="64">
        <f t="shared" si="3"/>
        <v>17819065.3</v>
      </c>
      <c r="Z48" s="64">
        <f t="shared" si="3"/>
        <v>17819065.3</v>
      </c>
      <c r="AA48" s="64">
        <f t="shared" si="3"/>
        <v>17819065.3</v>
      </c>
      <c r="AB48" s="64">
        <f t="shared" si="3"/>
        <v>17819065.3</v>
      </c>
      <c r="AC48" s="64">
        <f t="shared" si="3"/>
        <v>17819065.3</v>
      </c>
      <c r="AD48" s="64">
        <f t="shared" si="3"/>
        <v>17819065.3</v>
      </c>
      <c r="AE48" s="64">
        <f t="shared" si="3"/>
        <v>17819065.3</v>
      </c>
      <c r="AF48" s="64">
        <f t="shared" si="3"/>
        <v>17819065.3</v>
      </c>
      <c r="AG48" s="64">
        <f t="shared" si="3"/>
        <v>17819065.3</v>
      </c>
      <c r="AH48" s="64">
        <f t="shared" si="3"/>
        <v>17819065.3</v>
      </c>
      <c r="AI48" s="64">
        <f t="shared" si="3"/>
        <v>17819065.3</v>
      </c>
      <c r="AJ48" s="64">
        <f t="shared" si="3"/>
        <v>17819065.3</v>
      </c>
      <c r="AK48" s="64">
        <f t="shared" si="3"/>
        <v>17819065.3</v>
      </c>
      <c r="AL48" s="64">
        <f t="shared" si="3"/>
        <v>17819065.3</v>
      </c>
      <c r="AM48" s="64">
        <f t="shared" si="3"/>
        <v>17819065.3</v>
      </c>
      <c r="AN48" s="64">
        <f t="shared" si="3"/>
        <v>17819065.3</v>
      </c>
      <c r="AO48" s="64">
        <f t="shared" si="3"/>
        <v>17819065.3</v>
      </c>
      <c r="AP48" s="64">
        <f t="shared" si="3"/>
        <v>17819065.3</v>
      </c>
      <c r="AQ48" s="64">
        <f t="shared" si="3"/>
        <v>17819065.3</v>
      </c>
      <c r="AR48" s="64">
        <f t="shared" si="3"/>
        <v>17819065.3</v>
      </c>
      <c r="AS48" s="64">
        <f t="shared" si="3"/>
        <v>17819065.3</v>
      </c>
      <c r="AT48" s="64">
        <f t="shared" si="3"/>
        <v>17819065.3</v>
      </c>
      <c r="AU48" s="64">
        <f t="shared" si="3"/>
        <v>17819065.3</v>
      </c>
      <c r="AV48" s="64">
        <f t="shared" si="3"/>
        <v>17819065.3</v>
      </c>
      <c r="AW48" s="64">
        <f t="shared" si="3"/>
        <v>17819065.3</v>
      </c>
      <c r="AX48" s="64">
        <f t="shared" si="3"/>
        <v>17819065.3</v>
      </c>
      <c r="AY48" s="64">
        <f t="shared" si="3"/>
        <v>17819065.3</v>
      </c>
      <c r="AZ48" s="64">
        <f t="shared" si="3"/>
        <v>17819065.3</v>
      </c>
      <c r="BA48" s="64">
        <f t="shared" si="3"/>
        <v>17819065.3</v>
      </c>
      <c r="BB48" s="64">
        <f t="shared" si="3"/>
        <v>17819065.3</v>
      </c>
      <c r="BC48" s="64">
        <f t="shared" si="3"/>
        <v>17819065.3</v>
      </c>
      <c r="BD48" s="64">
        <f t="shared" si="3"/>
        <v>17819065.3</v>
      </c>
      <c r="BE48" s="64">
        <f t="shared" si="3"/>
        <v>17819065.3</v>
      </c>
      <c r="BF48" s="64">
        <f t="shared" si="3"/>
        <v>17819065.3</v>
      </c>
      <c r="BG48" s="64">
        <f t="shared" si="3"/>
        <v>17819065.3</v>
      </c>
      <c r="BH48" s="64">
        <f t="shared" si="3"/>
        <v>17819065.3</v>
      </c>
      <c r="BI48" s="64">
        <f t="shared" si="3"/>
        <v>17819065.3</v>
      </c>
      <c r="BJ48" s="64">
        <f t="shared" si="3"/>
        <v>17819065.3</v>
      </c>
      <c r="BK48" s="64">
        <f t="shared" si="3"/>
        <v>17819065.3</v>
      </c>
      <c r="BL48" s="64">
        <f t="shared" si="3"/>
        <v>17819065.3</v>
      </c>
      <c r="BM48" s="64">
        <f t="shared" si="3"/>
        <v>17819065.3</v>
      </c>
      <c r="BN48" s="64">
        <f t="shared" si="3"/>
        <v>17819065.3</v>
      </c>
      <c r="BO48" s="64">
        <f t="shared" si="3"/>
        <v>17819065.3</v>
      </c>
      <c r="BP48" s="64">
        <f t="shared" si="3"/>
        <v>17819065.3</v>
      </c>
      <c r="BQ48" s="64">
        <f t="shared" si="3"/>
        <v>17819065.3</v>
      </c>
      <c r="BR48" s="64">
        <f t="shared" si="3"/>
        <v>17819065.3</v>
      </c>
      <c r="BS48" s="64">
        <f t="shared" si="3"/>
        <v>17819065.3</v>
      </c>
      <c r="BT48" s="64">
        <f t="shared" si="3"/>
        <v>17819065.3</v>
      </c>
      <c r="BU48" s="64">
        <f t="shared" si="3"/>
        <v>17819065.3</v>
      </c>
      <c r="BV48" s="64">
        <f t="shared" si="3"/>
        <v>17819065.3</v>
      </c>
      <c r="BW48" s="64">
        <f t="shared" si="3"/>
        <v>17819065.3</v>
      </c>
      <c r="BX48" s="37">
        <f t="shared" si="3"/>
        <v>17819065.3</v>
      </c>
    </row>
    <row r="49">
      <c r="A49" s="2"/>
      <c r="B49" s="6"/>
      <c r="C49" s="6"/>
      <c r="D49" s="6"/>
      <c r="E49" s="6"/>
      <c r="F49" s="6"/>
      <c r="G49" s="65"/>
      <c r="H49" s="6"/>
      <c r="I49" s="6"/>
      <c r="J49" s="6"/>
      <c r="K49" s="6"/>
    </row>
    <row r="50">
      <c r="A50" s="14" t="s">
        <v>88</v>
      </c>
      <c r="B50" s="14"/>
      <c r="C50" s="14"/>
      <c r="D50" s="14"/>
      <c r="E50" s="14"/>
      <c r="F50" s="14"/>
      <c r="G50" s="15"/>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c r="A51" s="2" t="s">
        <v>5</v>
      </c>
      <c r="B51" s="6">
        <f t="array" ref="B51">NPV(B40,47:47)</f>
        <v>4567946.831</v>
      </c>
      <c r="G51" s="66"/>
      <c r="J51" s="67"/>
      <c r="K51" s="68"/>
    </row>
    <row r="52">
      <c r="A52" s="2" t="s">
        <v>6</v>
      </c>
      <c r="B52" s="6">
        <f t="array" ref="B52">NPV(B43,48:48)</f>
        <v>156650213.2</v>
      </c>
      <c r="G52" s="66"/>
    </row>
    <row r="53">
      <c r="A53" s="2" t="s">
        <v>7</v>
      </c>
      <c r="B53" s="6">
        <f>B52/B51</f>
        <v>34.29335302</v>
      </c>
      <c r="G53" s="66"/>
    </row>
    <row r="54">
      <c r="B54" s="6"/>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row r="1003">
      <c r="G1003" s="66"/>
    </row>
  </sheetData>
  <hyperlinks>
    <hyperlink r:id="rId1" location="c2" ref="G6"/>
    <hyperlink r:id="rId2" ref="G12"/>
    <hyperlink r:id="rId3" ref="G13"/>
    <hyperlink r:id="rId4" ref="G15"/>
    <hyperlink r:id="rId5" ref="G20"/>
    <hyperlink r:id="rId6" ref="G29"/>
    <hyperlink r:id="rId7" ref="G33"/>
    <hyperlink r:id="rId8" location="gid=1748706729" ref="G35"/>
    <hyperlink r:id="rId9" location=":~:text=95%25%20of%20the%20broiler%20chickens,just%20five%20to%20six%20weeks." ref="G37"/>
    <hyperlink r:id="rId10" ref="C38"/>
    <hyperlink r:id="rId11" location="gid=289821833" ref="G38"/>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9</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110</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111</v>
      </c>
      <c r="B12" s="27">
        <f>152238*1000</f>
        <v>152238000</v>
      </c>
      <c r="C12" s="28" t="s">
        <v>112</v>
      </c>
      <c r="D12" s="23"/>
      <c r="E12" s="23"/>
      <c r="F12" s="23"/>
      <c r="G12" s="29" t="s">
        <v>113</v>
      </c>
    </row>
    <row r="13">
      <c r="A13" s="26" t="s">
        <v>114</v>
      </c>
      <c r="B13" s="30">
        <v>1.89</v>
      </c>
      <c r="C13" s="28" t="s">
        <v>115</v>
      </c>
      <c r="D13" s="23"/>
      <c r="E13" s="23"/>
      <c r="F13" s="23"/>
      <c r="G13" s="29" t="s">
        <v>116</v>
      </c>
    </row>
    <row r="14">
      <c r="A14" s="26" t="s">
        <v>117</v>
      </c>
      <c r="B14" s="31">
        <f>B12/B13</f>
        <v>80549206.35</v>
      </c>
      <c r="C14" s="28" t="s">
        <v>118</v>
      </c>
      <c r="D14" s="23"/>
      <c r="E14" s="23"/>
      <c r="F14" s="23"/>
      <c r="G14" s="32" t="s">
        <v>22</v>
      </c>
    </row>
    <row r="15">
      <c r="A15" s="26" t="s">
        <v>119</v>
      </c>
      <c r="B15" s="33">
        <f>AVERAGE(3%,8%,-5%)</f>
        <v>0.02</v>
      </c>
      <c r="C15" s="28" t="s">
        <v>120</v>
      </c>
      <c r="D15" s="23"/>
      <c r="E15" s="23"/>
      <c r="F15" s="23"/>
      <c r="G15" s="29" t="s">
        <v>113</v>
      </c>
      <c r="H15" s="20"/>
    </row>
    <row r="16">
      <c r="A16" s="34" t="s">
        <v>44</v>
      </c>
      <c r="B16" s="35">
        <v>5.0</v>
      </c>
      <c r="C16" s="2" t="s">
        <v>45</v>
      </c>
      <c r="G16" s="22" t="s">
        <v>22</v>
      </c>
    </row>
    <row r="17">
      <c r="A17" s="34" t="s">
        <v>121</v>
      </c>
      <c r="B17" s="36">
        <f>B14*(1+B15)^3</f>
        <v>85479462.17</v>
      </c>
      <c r="C17" s="2" t="s">
        <v>47</v>
      </c>
      <c r="G17" s="22"/>
    </row>
    <row r="18">
      <c r="A18" s="34"/>
      <c r="B18" s="37"/>
      <c r="C18" s="2"/>
      <c r="G18" s="22"/>
    </row>
    <row r="19">
      <c r="A19" s="38" t="s">
        <v>48</v>
      </c>
      <c r="B19" s="39"/>
      <c r="C19" s="39"/>
      <c r="G19" s="40"/>
    </row>
    <row r="20">
      <c r="A20" s="34" t="s">
        <v>122</v>
      </c>
      <c r="B20" s="41">
        <f>average(39%,60%,80%)</f>
        <v>0.5966666667</v>
      </c>
      <c r="C20" s="39" t="s">
        <v>50</v>
      </c>
      <c r="G20" s="40" t="s">
        <v>51</v>
      </c>
    </row>
    <row r="21">
      <c r="A21" s="34" t="s">
        <v>52</v>
      </c>
      <c r="B21" s="42">
        <v>0.8</v>
      </c>
      <c r="C21" s="39" t="s">
        <v>53</v>
      </c>
      <c r="G21" s="40"/>
    </row>
    <row r="22">
      <c r="A22" s="34" t="s">
        <v>123</v>
      </c>
      <c r="B22" s="36">
        <f>B$17*B20*B21</f>
        <v>40802196.61</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AVERAGE(48%,84%,39%,50%,89%)*(0.68/0.72)</f>
        <v>0.5855555556</v>
      </c>
      <c r="C29" s="28" t="s">
        <v>124</v>
      </c>
      <c r="D29" s="23"/>
      <c r="E29" s="23"/>
      <c r="F29" s="23"/>
      <c r="G29" s="29" t="s">
        <v>125</v>
      </c>
      <c r="H29" s="20"/>
    </row>
    <row r="30">
      <c r="A30" s="34" t="s">
        <v>126</v>
      </c>
      <c r="B30" s="36">
        <f>B$17*B26*B28*B27*B29</f>
        <v>17284960.34</v>
      </c>
      <c r="C30" s="2" t="s">
        <v>55</v>
      </c>
      <c r="G30" s="22"/>
      <c r="H30" s="20"/>
    </row>
    <row r="31">
      <c r="A31" s="34" t="s">
        <v>67</v>
      </c>
      <c r="B31" s="47">
        <v>0.3</v>
      </c>
      <c r="C31" s="2" t="s">
        <v>57</v>
      </c>
      <c r="G31" s="22"/>
      <c r="H31" s="20"/>
    </row>
    <row r="32">
      <c r="A32" s="34"/>
      <c r="B32" s="48"/>
      <c r="C32" s="2"/>
      <c r="G32" s="22"/>
      <c r="H32" s="20"/>
    </row>
    <row r="33">
      <c r="A33" s="34" t="s">
        <v>68</v>
      </c>
      <c r="B33" s="49">
        <f>Calculations!G12</f>
        <v>0.243258427</v>
      </c>
      <c r="C33" s="39" t="s">
        <v>69</v>
      </c>
      <c r="G33" s="50" t="s">
        <v>22</v>
      </c>
      <c r="H33" s="20"/>
    </row>
    <row r="34">
      <c r="A34" s="26" t="s">
        <v>127</v>
      </c>
      <c r="B34" s="71">
        <f>24%/64%</f>
        <v>0.375</v>
      </c>
      <c r="C34" s="72" t="s">
        <v>128</v>
      </c>
      <c r="D34" s="23"/>
      <c r="G34" s="50"/>
      <c r="H34" s="20"/>
    </row>
    <row r="35">
      <c r="A35" s="34" t="s">
        <v>70</v>
      </c>
      <c r="B35" s="41">
        <f>average(44.97%,45.8%)</f>
        <v>0.45385</v>
      </c>
      <c r="C35" s="2" t="s">
        <v>71</v>
      </c>
      <c r="G35" s="51" t="s">
        <v>129</v>
      </c>
      <c r="H35" s="20"/>
    </row>
    <row r="36">
      <c r="A36" s="34"/>
      <c r="B36" s="52"/>
      <c r="C36" s="2"/>
      <c r="G36" s="24"/>
      <c r="H36" s="20"/>
    </row>
    <row r="37">
      <c r="A37" s="34" t="s">
        <v>130</v>
      </c>
      <c r="B37" s="36">
        <f>((B22*B23)+(B30*B31))*B33*B34*B35*(1+B15)^B16</f>
        <v>1542580.592</v>
      </c>
      <c r="C37" s="2" t="s">
        <v>55</v>
      </c>
      <c r="G37" s="19" t="s">
        <v>74</v>
      </c>
    </row>
    <row r="38">
      <c r="A38" s="34" t="s">
        <v>75</v>
      </c>
      <c r="B38" s="73">
        <v>0.9473046714</v>
      </c>
      <c r="C38" s="74" t="s">
        <v>131</v>
      </c>
      <c r="D38" s="23"/>
      <c r="E38" s="23"/>
      <c r="F38" s="23"/>
      <c r="G38" s="29" t="s">
        <v>132</v>
      </c>
      <c r="H38" s="55"/>
    </row>
    <row r="39">
      <c r="A39" s="34"/>
      <c r="B39" s="56"/>
      <c r="C39" s="2"/>
      <c r="G39" s="22"/>
      <c r="H39" s="55"/>
    </row>
    <row r="40">
      <c r="A40" s="34" t="s">
        <v>78</v>
      </c>
      <c r="B40" s="41">
        <v>0.04</v>
      </c>
      <c r="C40" s="2" t="s">
        <v>21</v>
      </c>
      <c r="G40" s="18" t="s">
        <v>22</v>
      </c>
    </row>
    <row r="41">
      <c r="A41" s="34" t="s">
        <v>79</v>
      </c>
      <c r="B41" s="57">
        <v>0.014</v>
      </c>
      <c r="C41" s="2" t="s">
        <v>21</v>
      </c>
      <c r="G41" s="18" t="s">
        <v>22</v>
      </c>
    </row>
    <row r="42">
      <c r="A42" s="58" t="s">
        <v>80</v>
      </c>
      <c r="B42" s="59">
        <v>0.075</v>
      </c>
      <c r="C42" s="46" t="s">
        <v>133</v>
      </c>
      <c r="G42" s="18" t="s">
        <v>22</v>
      </c>
      <c r="H42" s="20"/>
    </row>
    <row r="43">
      <c r="A43" s="58" t="s">
        <v>82</v>
      </c>
      <c r="B43" s="60">
        <f>SUM(B41:B42)</f>
        <v>0.089</v>
      </c>
      <c r="C43" s="2" t="s">
        <v>83</v>
      </c>
      <c r="G43" s="18" t="s">
        <v>22</v>
      </c>
    </row>
    <row r="44">
      <c r="A44" s="2"/>
      <c r="B44" s="48"/>
      <c r="C44" s="2"/>
      <c r="G44" s="18"/>
    </row>
    <row r="45">
      <c r="A45" s="14" t="s">
        <v>84</v>
      </c>
      <c r="B45" s="14"/>
      <c r="C45" s="14"/>
      <c r="D45" s="14"/>
      <c r="E45" s="14"/>
      <c r="F45" s="14"/>
      <c r="G45" s="15"/>
      <c r="H45" s="14"/>
      <c r="I45" s="14"/>
      <c r="J45" s="6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c r="A46" s="2" t="s">
        <v>85</v>
      </c>
      <c r="B46" s="2">
        <v>1.0</v>
      </c>
      <c r="C46" s="2">
        <v>2.0</v>
      </c>
      <c r="D46" s="2">
        <v>3.0</v>
      </c>
      <c r="E46" s="2">
        <v>4.0</v>
      </c>
      <c r="F46" s="2">
        <v>5.0</v>
      </c>
      <c r="G46" s="18">
        <v>6.0</v>
      </c>
      <c r="H46" s="2">
        <v>7.0</v>
      </c>
      <c r="I46" s="2">
        <v>8.0</v>
      </c>
      <c r="J46" s="2">
        <v>9.0</v>
      </c>
      <c r="K46" s="2">
        <v>10.0</v>
      </c>
      <c r="L46" s="2">
        <v>11.0</v>
      </c>
      <c r="M46" s="2">
        <v>12.0</v>
      </c>
      <c r="N46" s="2">
        <v>13.0</v>
      </c>
      <c r="O46" s="2">
        <v>14.0</v>
      </c>
      <c r="P46" s="2">
        <v>15.0</v>
      </c>
      <c r="Q46" s="2">
        <v>16.0</v>
      </c>
      <c r="R46" s="2">
        <v>17.0</v>
      </c>
      <c r="S46" s="2">
        <v>18.0</v>
      </c>
      <c r="T46" s="2">
        <v>19.0</v>
      </c>
      <c r="U46" s="2">
        <v>20.0</v>
      </c>
      <c r="V46" s="2">
        <v>21.0</v>
      </c>
      <c r="W46" s="2">
        <v>22.0</v>
      </c>
      <c r="X46" s="2">
        <v>23.0</v>
      </c>
      <c r="Y46" s="2">
        <v>24.0</v>
      </c>
      <c r="Z46" s="2">
        <v>25.0</v>
      </c>
      <c r="AA46" s="2">
        <v>26.0</v>
      </c>
      <c r="AB46" s="2">
        <v>27.0</v>
      </c>
      <c r="AC46" s="2">
        <v>28.0</v>
      </c>
      <c r="AD46" s="2">
        <v>29.0</v>
      </c>
      <c r="AE46" s="2">
        <v>30.0</v>
      </c>
      <c r="AF46" s="2">
        <v>31.0</v>
      </c>
      <c r="AG46" s="2">
        <v>32.0</v>
      </c>
      <c r="AH46" s="2">
        <v>33.0</v>
      </c>
      <c r="AI46" s="2">
        <v>34.0</v>
      </c>
      <c r="AJ46" s="2">
        <v>35.0</v>
      </c>
      <c r="AK46" s="2">
        <v>36.0</v>
      </c>
      <c r="AL46" s="2">
        <v>37.0</v>
      </c>
      <c r="AM46" s="2">
        <v>38.0</v>
      </c>
      <c r="AN46" s="2">
        <v>39.0</v>
      </c>
      <c r="AO46" s="2">
        <v>40.0</v>
      </c>
      <c r="AP46" s="2">
        <v>41.0</v>
      </c>
      <c r="AQ46" s="2">
        <v>42.0</v>
      </c>
      <c r="AR46" s="2">
        <v>43.0</v>
      </c>
      <c r="AS46" s="2">
        <v>44.0</v>
      </c>
      <c r="AT46" s="2">
        <v>45.0</v>
      </c>
      <c r="AU46" s="2">
        <v>46.0</v>
      </c>
      <c r="AV46" s="2">
        <v>47.0</v>
      </c>
      <c r="AW46" s="2">
        <v>48.0</v>
      </c>
      <c r="AX46" s="2">
        <v>49.0</v>
      </c>
      <c r="AY46" s="2">
        <v>50.0</v>
      </c>
      <c r="AZ46" s="2">
        <v>51.0</v>
      </c>
      <c r="BA46" s="2">
        <v>52.0</v>
      </c>
      <c r="BB46" s="2">
        <v>53.0</v>
      </c>
      <c r="BC46" s="2">
        <v>54.0</v>
      </c>
      <c r="BD46" s="2">
        <v>55.0</v>
      </c>
      <c r="BE46" s="2">
        <v>56.0</v>
      </c>
      <c r="BF46" s="2">
        <v>57.0</v>
      </c>
      <c r="BG46" s="2">
        <v>58.0</v>
      </c>
      <c r="BH46" s="2">
        <v>59.0</v>
      </c>
      <c r="BI46" s="2">
        <v>60.0</v>
      </c>
      <c r="BJ46" s="2">
        <v>61.0</v>
      </c>
      <c r="BK46" s="2">
        <v>62.0</v>
      </c>
      <c r="BL46" s="2">
        <v>63.0</v>
      </c>
      <c r="BM46" s="2">
        <v>64.0</v>
      </c>
      <c r="BN46" s="2">
        <v>65.0</v>
      </c>
      <c r="BO46" s="2">
        <v>66.0</v>
      </c>
      <c r="BP46" s="2">
        <v>67.0</v>
      </c>
      <c r="BQ46" s="2">
        <v>68.0</v>
      </c>
      <c r="BR46" s="2">
        <v>69.0</v>
      </c>
      <c r="BS46" s="2">
        <v>70.0</v>
      </c>
      <c r="BT46" s="2">
        <v>71.0</v>
      </c>
      <c r="BU46" s="2">
        <v>72.0</v>
      </c>
      <c r="BV46" s="2">
        <v>73.0</v>
      </c>
      <c r="BW46" s="2">
        <v>74.0</v>
      </c>
      <c r="BX46" s="2">
        <v>75.0</v>
      </c>
    </row>
    <row r="47">
      <c r="A47" s="2" t="s">
        <v>86</v>
      </c>
      <c r="B47" s="62">
        <f>B4+B6</f>
        <v>328274.0833</v>
      </c>
      <c r="C47" s="62">
        <f t="shared" ref="C47:D47" si="1">$B$5+$B$6</f>
        <v>478274.0833</v>
      </c>
      <c r="D47" s="62">
        <f t="shared" si="1"/>
        <v>478274.0833</v>
      </c>
      <c r="E47" s="62">
        <f t="shared" ref="E47:P47" si="2">$B$5+$B$6*(($B$21*$B$23)+($B$26*$B$31))</f>
        <v>405705.7688</v>
      </c>
      <c r="F47" s="62">
        <f t="shared" si="2"/>
        <v>405705.7688</v>
      </c>
      <c r="G47" s="62">
        <f t="shared" si="2"/>
        <v>405705.7688</v>
      </c>
      <c r="H47" s="62">
        <f t="shared" si="2"/>
        <v>405705.7688</v>
      </c>
      <c r="I47" s="62">
        <f t="shared" si="2"/>
        <v>405705.7688</v>
      </c>
      <c r="J47" s="62">
        <f t="shared" si="2"/>
        <v>405705.7688</v>
      </c>
      <c r="K47" s="62">
        <f t="shared" si="2"/>
        <v>405705.7688</v>
      </c>
      <c r="L47" s="62">
        <f t="shared" si="2"/>
        <v>405705.7688</v>
      </c>
      <c r="M47" s="62">
        <f t="shared" si="2"/>
        <v>405705.7688</v>
      </c>
      <c r="N47" s="62">
        <f t="shared" si="2"/>
        <v>405705.7688</v>
      </c>
      <c r="O47" s="62">
        <f t="shared" si="2"/>
        <v>405705.7688</v>
      </c>
      <c r="P47" s="62">
        <f t="shared" si="2"/>
        <v>405705.7688</v>
      </c>
      <c r="Q47" s="63">
        <v>0.0</v>
      </c>
      <c r="R47" s="63">
        <v>0.0</v>
      </c>
      <c r="S47" s="63">
        <v>0.0</v>
      </c>
      <c r="T47" s="63">
        <v>0.0</v>
      </c>
      <c r="U47" s="63">
        <v>0.0</v>
      </c>
      <c r="V47" s="63">
        <v>0.0</v>
      </c>
      <c r="W47" s="63">
        <v>0.0</v>
      </c>
      <c r="X47" s="63">
        <v>0.0</v>
      </c>
      <c r="Y47" s="63">
        <v>0.0</v>
      </c>
      <c r="Z47" s="63">
        <v>0.0</v>
      </c>
      <c r="AA47" s="63">
        <v>0.0</v>
      </c>
      <c r="AB47" s="63">
        <v>0.0</v>
      </c>
      <c r="AC47" s="63">
        <v>0.0</v>
      </c>
      <c r="AD47" s="63">
        <v>0.0</v>
      </c>
      <c r="AE47" s="63">
        <v>0.0</v>
      </c>
      <c r="AF47" s="63">
        <v>0.0</v>
      </c>
      <c r="AG47" s="63">
        <v>0.0</v>
      </c>
      <c r="AH47" s="63">
        <v>0.0</v>
      </c>
      <c r="AI47" s="63">
        <v>0.0</v>
      </c>
      <c r="AJ47" s="63">
        <v>0.0</v>
      </c>
      <c r="AK47" s="63">
        <v>0.0</v>
      </c>
      <c r="AL47" s="63">
        <v>0.0</v>
      </c>
      <c r="AM47" s="63">
        <v>0.0</v>
      </c>
      <c r="AN47" s="63">
        <v>0.0</v>
      </c>
      <c r="AO47" s="63">
        <v>0.0</v>
      </c>
      <c r="AP47" s="63">
        <v>0.0</v>
      </c>
      <c r="AQ47" s="63">
        <v>0.0</v>
      </c>
      <c r="AR47" s="63">
        <v>0.0</v>
      </c>
      <c r="AS47" s="63">
        <v>0.0</v>
      </c>
      <c r="AT47" s="63">
        <v>0.0</v>
      </c>
      <c r="AU47" s="63">
        <v>0.0</v>
      </c>
      <c r="AV47" s="63">
        <v>0.0</v>
      </c>
      <c r="AW47" s="63">
        <v>0.0</v>
      </c>
      <c r="AX47" s="63">
        <v>0.0</v>
      </c>
      <c r="AY47" s="63">
        <v>0.0</v>
      </c>
      <c r="AZ47" s="63">
        <v>0.0</v>
      </c>
      <c r="BA47" s="63">
        <v>0.0</v>
      </c>
      <c r="BB47" s="63">
        <v>0.0</v>
      </c>
      <c r="BC47" s="63">
        <v>0.0</v>
      </c>
      <c r="BD47" s="63">
        <v>0.0</v>
      </c>
      <c r="BE47" s="63">
        <v>0.0</v>
      </c>
      <c r="BF47" s="63">
        <v>0.0</v>
      </c>
      <c r="BG47" s="63">
        <v>0.0</v>
      </c>
      <c r="BH47" s="63">
        <v>0.0</v>
      </c>
      <c r="BI47" s="63">
        <v>0.0</v>
      </c>
      <c r="BJ47" s="63">
        <v>0.0</v>
      </c>
      <c r="BK47" s="63">
        <v>0.0</v>
      </c>
      <c r="BL47" s="63">
        <v>0.0</v>
      </c>
      <c r="BM47" s="63">
        <v>0.0</v>
      </c>
      <c r="BN47" s="63">
        <v>0.0</v>
      </c>
      <c r="BO47" s="63">
        <v>0.0</v>
      </c>
      <c r="BP47" s="63">
        <v>0.0</v>
      </c>
      <c r="BQ47" s="63">
        <v>0.0</v>
      </c>
      <c r="BR47" s="63">
        <v>0.0</v>
      </c>
      <c r="BS47" s="63">
        <v>0.0</v>
      </c>
      <c r="BT47" s="63">
        <v>0.0</v>
      </c>
      <c r="BU47" s="63">
        <v>0.0</v>
      </c>
      <c r="BV47" s="63">
        <v>0.0</v>
      </c>
      <c r="BW47" s="63">
        <v>0.0</v>
      </c>
      <c r="BX47" s="63">
        <v>0.0</v>
      </c>
    </row>
    <row r="48">
      <c r="A48" s="2" t="s">
        <v>87</v>
      </c>
      <c r="B48" s="37">
        <v>0.0</v>
      </c>
      <c r="C48" s="37">
        <v>0.0</v>
      </c>
      <c r="D48" s="37">
        <v>0.0</v>
      </c>
      <c r="E48" s="37">
        <v>0.0</v>
      </c>
      <c r="F48" s="37">
        <v>0.0</v>
      </c>
      <c r="G48" s="37">
        <v>0.0</v>
      </c>
      <c r="H48" s="37">
        <v>0.0</v>
      </c>
      <c r="I48" s="37">
        <v>0.0</v>
      </c>
      <c r="J48" s="37">
        <v>0.0</v>
      </c>
      <c r="K48" s="37">
        <f t="shared" ref="K48:BX48" si="3">$B$37*$B$38</f>
        <v>1461293.801</v>
      </c>
      <c r="L48" s="37">
        <f t="shared" si="3"/>
        <v>1461293.801</v>
      </c>
      <c r="M48" s="37">
        <f t="shared" si="3"/>
        <v>1461293.801</v>
      </c>
      <c r="N48" s="37">
        <f t="shared" si="3"/>
        <v>1461293.801</v>
      </c>
      <c r="O48" s="37">
        <f t="shared" si="3"/>
        <v>1461293.801</v>
      </c>
      <c r="P48" s="37">
        <f t="shared" si="3"/>
        <v>1461293.801</v>
      </c>
      <c r="Q48" s="64">
        <f t="shared" si="3"/>
        <v>1461293.801</v>
      </c>
      <c r="R48" s="64">
        <f t="shared" si="3"/>
        <v>1461293.801</v>
      </c>
      <c r="S48" s="64">
        <f t="shared" si="3"/>
        <v>1461293.801</v>
      </c>
      <c r="T48" s="64">
        <f t="shared" si="3"/>
        <v>1461293.801</v>
      </c>
      <c r="U48" s="64">
        <f t="shared" si="3"/>
        <v>1461293.801</v>
      </c>
      <c r="V48" s="64">
        <f t="shared" si="3"/>
        <v>1461293.801</v>
      </c>
      <c r="W48" s="64">
        <f t="shared" si="3"/>
        <v>1461293.801</v>
      </c>
      <c r="X48" s="64">
        <f t="shared" si="3"/>
        <v>1461293.801</v>
      </c>
      <c r="Y48" s="64">
        <f t="shared" si="3"/>
        <v>1461293.801</v>
      </c>
      <c r="Z48" s="64">
        <f t="shared" si="3"/>
        <v>1461293.801</v>
      </c>
      <c r="AA48" s="64">
        <f t="shared" si="3"/>
        <v>1461293.801</v>
      </c>
      <c r="AB48" s="64">
        <f t="shared" si="3"/>
        <v>1461293.801</v>
      </c>
      <c r="AC48" s="64">
        <f t="shared" si="3"/>
        <v>1461293.801</v>
      </c>
      <c r="AD48" s="64">
        <f t="shared" si="3"/>
        <v>1461293.801</v>
      </c>
      <c r="AE48" s="64">
        <f t="shared" si="3"/>
        <v>1461293.801</v>
      </c>
      <c r="AF48" s="64">
        <f t="shared" si="3"/>
        <v>1461293.801</v>
      </c>
      <c r="AG48" s="64">
        <f t="shared" si="3"/>
        <v>1461293.801</v>
      </c>
      <c r="AH48" s="64">
        <f t="shared" si="3"/>
        <v>1461293.801</v>
      </c>
      <c r="AI48" s="64">
        <f t="shared" si="3"/>
        <v>1461293.801</v>
      </c>
      <c r="AJ48" s="64">
        <f t="shared" si="3"/>
        <v>1461293.801</v>
      </c>
      <c r="AK48" s="64">
        <f t="shared" si="3"/>
        <v>1461293.801</v>
      </c>
      <c r="AL48" s="64">
        <f t="shared" si="3"/>
        <v>1461293.801</v>
      </c>
      <c r="AM48" s="64">
        <f t="shared" si="3"/>
        <v>1461293.801</v>
      </c>
      <c r="AN48" s="64">
        <f t="shared" si="3"/>
        <v>1461293.801</v>
      </c>
      <c r="AO48" s="64">
        <f t="shared" si="3"/>
        <v>1461293.801</v>
      </c>
      <c r="AP48" s="64">
        <f t="shared" si="3"/>
        <v>1461293.801</v>
      </c>
      <c r="AQ48" s="64">
        <f t="shared" si="3"/>
        <v>1461293.801</v>
      </c>
      <c r="AR48" s="64">
        <f t="shared" si="3"/>
        <v>1461293.801</v>
      </c>
      <c r="AS48" s="64">
        <f t="shared" si="3"/>
        <v>1461293.801</v>
      </c>
      <c r="AT48" s="64">
        <f t="shared" si="3"/>
        <v>1461293.801</v>
      </c>
      <c r="AU48" s="64">
        <f t="shared" si="3"/>
        <v>1461293.801</v>
      </c>
      <c r="AV48" s="64">
        <f t="shared" si="3"/>
        <v>1461293.801</v>
      </c>
      <c r="AW48" s="64">
        <f t="shared" si="3"/>
        <v>1461293.801</v>
      </c>
      <c r="AX48" s="64">
        <f t="shared" si="3"/>
        <v>1461293.801</v>
      </c>
      <c r="AY48" s="64">
        <f t="shared" si="3"/>
        <v>1461293.801</v>
      </c>
      <c r="AZ48" s="64">
        <f t="shared" si="3"/>
        <v>1461293.801</v>
      </c>
      <c r="BA48" s="64">
        <f t="shared" si="3"/>
        <v>1461293.801</v>
      </c>
      <c r="BB48" s="64">
        <f t="shared" si="3"/>
        <v>1461293.801</v>
      </c>
      <c r="BC48" s="64">
        <f t="shared" si="3"/>
        <v>1461293.801</v>
      </c>
      <c r="BD48" s="64">
        <f t="shared" si="3"/>
        <v>1461293.801</v>
      </c>
      <c r="BE48" s="64">
        <f t="shared" si="3"/>
        <v>1461293.801</v>
      </c>
      <c r="BF48" s="64">
        <f t="shared" si="3"/>
        <v>1461293.801</v>
      </c>
      <c r="BG48" s="64">
        <f t="shared" si="3"/>
        <v>1461293.801</v>
      </c>
      <c r="BH48" s="64">
        <f t="shared" si="3"/>
        <v>1461293.801</v>
      </c>
      <c r="BI48" s="64">
        <f t="shared" si="3"/>
        <v>1461293.801</v>
      </c>
      <c r="BJ48" s="64">
        <f t="shared" si="3"/>
        <v>1461293.801</v>
      </c>
      <c r="BK48" s="64">
        <f t="shared" si="3"/>
        <v>1461293.801</v>
      </c>
      <c r="BL48" s="64">
        <f t="shared" si="3"/>
        <v>1461293.801</v>
      </c>
      <c r="BM48" s="64">
        <f t="shared" si="3"/>
        <v>1461293.801</v>
      </c>
      <c r="BN48" s="64">
        <f t="shared" si="3"/>
        <v>1461293.801</v>
      </c>
      <c r="BO48" s="64">
        <f t="shared" si="3"/>
        <v>1461293.801</v>
      </c>
      <c r="BP48" s="64">
        <f t="shared" si="3"/>
        <v>1461293.801</v>
      </c>
      <c r="BQ48" s="64">
        <f t="shared" si="3"/>
        <v>1461293.801</v>
      </c>
      <c r="BR48" s="64">
        <f t="shared" si="3"/>
        <v>1461293.801</v>
      </c>
      <c r="BS48" s="64">
        <f t="shared" si="3"/>
        <v>1461293.801</v>
      </c>
      <c r="BT48" s="64">
        <f t="shared" si="3"/>
        <v>1461293.801</v>
      </c>
      <c r="BU48" s="64">
        <f t="shared" si="3"/>
        <v>1461293.801</v>
      </c>
      <c r="BV48" s="64">
        <f t="shared" si="3"/>
        <v>1461293.801</v>
      </c>
      <c r="BW48" s="64">
        <f t="shared" si="3"/>
        <v>1461293.801</v>
      </c>
      <c r="BX48" s="37">
        <f t="shared" si="3"/>
        <v>1461293.801</v>
      </c>
    </row>
    <row r="49">
      <c r="A49" s="2"/>
      <c r="B49" s="6"/>
      <c r="C49" s="6"/>
      <c r="D49" s="6"/>
      <c r="E49" s="6"/>
      <c r="F49" s="6"/>
      <c r="G49" s="65"/>
      <c r="H49" s="6"/>
      <c r="I49" s="6"/>
      <c r="J49" s="6"/>
      <c r="K49" s="6"/>
    </row>
    <row r="50">
      <c r="A50" s="14" t="s">
        <v>88</v>
      </c>
      <c r="B50" s="14"/>
      <c r="C50" s="14"/>
      <c r="D50" s="14"/>
      <c r="E50" s="14"/>
      <c r="F50" s="14"/>
      <c r="G50" s="15"/>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c r="A51" s="2" t="s">
        <v>5</v>
      </c>
      <c r="B51" s="6">
        <f t="array" ref="B51">NPV(B40,47:47)</f>
        <v>4567946.831</v>
      </c>
      <c r="G51" s="66"/>
      <c r="J51" s="67"/>
      <c r="K51" s="68"/>
    </row>
    <row r="52">
      <c r="A52" s="2" t="s">
        <v>6</v>
      </c>
      <c r="B52" s="6">
        <f t="array" ref="B52">NPV(B43,48:48)</f>
        <v>7595053.743</v>
      </c>
      <c r="G52" s="66"/>
    </row>
    <row r="53">
      <c r="A53" s="2" t="s">
        <v>7</v>
      </c>
      <c r="B53" s="6">
        <f>B52/B51</f>
        <v>1.662684358</v>
      </c>
      <c r="G53" s="66"/>
    </row>
    <row r="54">
      <c r="B54" s="6"/>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row r="1003">
      <c r="G1003" s="66"/>
    </row>
  </sheetData>
  <hyperlinks>
    <hyperlink r:id="rId1" location="c2" ref="G6"/>
    <hyperlink r:id="rId2" ref="G12"/>
    <hyperlink r:id="rId3" ref="G13"/>
    <hyperlink r:id="rId4" ref="G15"/>
    <hyperlink r:id="rId5" ref="G20"/>
    <hyperlink r:id="rId6" ref="G29"/>
    <hyperlink r:id="rId7" location="gid=1748706729" ref="G35"/>
    <hyperlink r:id="rId8" location=":~:text=95%25%20of%20the%20broiler%20chickens,just%20five%20to%20six%20weeks." ref="G37"/>
    <hyperlink r:id="rId9" ref="C38"/>
    <hyperlink r:id="rId10" location="gid=289821833" ref="G38"/>
  </hyperlinks>
  <drawing r:id="rId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10</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134</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111</v>
      </c>
      <c r="B12" s="27">
        <f>161680*1000</f>
        <v>161680000</v>
      </c>
      <c r="C12" s="28" t="s">
        <v>135</v>
      </c>
      <c r="D12" s="23"/>
      <c r="E12" s="23"/>
      <c r="F12" s="23"/>
      <c r="G12" s="29" t="s">
        <v>113</v>
      </c>
    </row>
    <row r="13">
      <c r="A13" s="26" t="s">
        <v>114</v>
      </c>
      <c r="B13" s="30">
        <v>1.3</v>
      </c>
      <c r="C13" s="28" t="s">
        <v>136</v>
      </c>
      <c r="D13" s="23"/>
      <c r="E13" s="23"/>
      <c r="F13" s="23"/>
      <c r="G13" s="29" t="s">
        <v>116</v>
      </c>
    </row>
    <row r="14">
      <c r="A14" s="26" t="s">
        <v>117</v>
      </c>
      <c r="B14" s="31">
        <f>B12/B13</f>
        <v>124369230.8</v>
      </c>
      <c r="C14" s="28" t="s">
        <v>118</v>
      </c>
      <c r="D14" s="23"/>
      <c r="E14" s="23"/>
      <c r="F14" s="23"/>
      <c r="G14" s="32" t="s">
        <v>22</v>
      </c>
    </row>
    <row r="15">
      <c r="A15" s="26" t="s">
        <v>119</v>
      </c>
      <c r="B15" s="33">
        <f>AVERAGE(4%,18%,-10%)</f>
        <v>0.04</v>
      </c>
      <c r="C15" s="28" t="s">
        <v>137</v>
      </c>
      <c r="D15" s="23"/>
      <c r="E15" s="23"/>
      <c r="F15" s="23"/>
      <c r="G15" s="29" t="s">
        <v>113</v>
      </c>
      <c r="H15" s="20"/>
    </row>
    <row r="16">
      <c r="A16" s="34" t="s">
        <v>44</v>
      </c>
      <c r="B16" s="35">
        <v>5.0</v>
      </c>
      <c r="C16" s="2" t="s">
        <v>45</v>
      </c>
      <c r="G16" s="22" t="s">
        <v>22</v>
      </c>
    </row>
    <row r="17">
      <c r="A17" s="34" t="s">
        <v>121</v>
      </c>
      <c r="B17" s="36">
        <f>B14*(1+B15)^3</f>
        <v>139898470.4</v>
      </c>
      <c r="C17" s="2" t="s">
        <v>47</v>
      </c>
      <c r="G17" s="22"/>
    </row>
    <row r="18">
      <c r="A18" s="34"/>
      <c r="B18" s="37"/>
      <c r="C18" s="2"/>
      <c r="G18" s="22"/>
    </row>
    <row r="19">
      <c r="A19" s="38" t="s">
        <v>48</v>
      </c>
      <c r="B19" s="39"/>
      <c r="C19" s="39"/>
      <c r="G19" s="40"/>
    </row>
    <row r="20">
      <c r="A20" s="34" t="s">
        <v>122</v>
      </c>
      <c r="B20" s="41">
        <f>average(39%,60%,80%)</f>
        <v>0.5966666667</v>
      </c>
      <c r="C20" s="39" t="s">
        <v>50</v>
      </c>
      <c r="G20" s="40" t="s">
        <v>51</v>
      </c>
    </row>
    <row r="21">
      <c r="A21" s="34" t="s">
        <v>52</v>
      </c>
      <c r="B21" s="42">
        <v>0.8</v>
      </c>
      <c r="C21" s="39" t="s">
        <v>53</v>
      </c>
      <c r="G21" s="40"/>
    </row>
    <row r="22">
      <c r="A22" s="34" t="s">
        <v>123</v>
      </c>
      <c r="B22" s="36">
        <f>B$17*B20*B21</f>
        <v>66778203.2</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AVERAGE(48%,84%,39%,50%,89%)*(0.48/0.72)</f>
        <v>0.4133333333</v>
      </c>
      <c r="C29" s="28" t="s">
        <v>138</v>
      </c>
      <c r="D29" s="23"/>
      <c r="E29" s="23"/>
      <c r="F29" s="23"/>
      <c r="G29" s="29" t="s">
        <v>139</v>
      </c>
      <c r="H29" s="20"/>
    </row>
    <row r="30">
      <c r="A30" s="34" t="s">
        <v>126</v>
      </c>
      <c r="B30" s="36">
        <f>B$17*B26*B28*B27*B29</f>
        <v>19968796.78</v>
      </c>
      <c r="C30" s="2" t="s">
        <v>55</v>
      </c>
      <c r="G30" s="22"/>
      <c r="H30" s="20"/>
    </row>
    <row r="31">
      <c r="A31" s="34" t="s">
        <v>67</v>
      </c>
      <c r="B31" s="47">
        <v>0.3</v>
      </c>
      <c r="C31" s="2" t="s">
        <v>57</v>
      </c>
      <c r="G31" s="22"/>
      <c r="H31" s="20"/>
    </row>
    <row r="32">
      <c r="A32" s="34"/>
      <c r="B32" s="48"/>
      <c r="C32" s="2"/>
      <c r="G32" s="22"/>
      <c r="H32" s="20"/>
    </row>
    <row r="33">
      <c r="A33" s="34" t="s">
        <v>68</v>
      </c>
      <c r="B33" s="49">
        <f>Calculations!G12</f>
        <v>0.243258427</v>
      </c>
      <c r="C33" s="39" t="s">
        <v>69</v>
      </c>
      <c r="G33" s="50" t="s">
        <v>22</v>
      </c>
      <c r="H33" s="20"/>
    </row>
    <row r="34">
      <c r="A34" s="26" t="s">
        <v>127</v>
      </c>
      <c r="B34" s="71">
        <f>24%/64%</f>
        <v>0.375</v>
      </c>
      <c r="C34" s="72" t="s">
        <v>128</v>
      </c>
      <c r="D34" s="23"/>
      <c r="G34" s="50"/>
      <c r="H34" s="20"/>
    </row>
    <row r="35">
      <c r="A35" s="34" t="s">
        <v>70</v>
      </c>
      <c r="B35" s="41">
        <f>average(44.97%,45.8%)</f>
        <v>0.45385</v>
      </c>
      <c r="C35" s="2" t="s">
        <v>71</v>
      </c>
      <c r="G35" s="51" t="s">
        <v>140</v>
      </c>
      <c r="H35" s="20"/>
    </row>
    <row r="36">
      <c r="A36" s="34"/>
      <c r="B36" s="52"/>
      <c r="C36" s="2"/>
      <c r="G36" s="24"/>
      <c r="H36" s="20"/>
    </row>
    <row r="37">
      <c r="A37" s="34" t="s">
        <v>130</v>
      </c>
      <c r="B37" s="36">
        <f>((B22*B23)+(B30*B31))*B33*B34*B35*(1+B15)^B16</f>
        <v>2656319.365</v>
      </c>
      <c r="C37" s="2" t="s">
        <v>55</v>
      </c>
      <c r="G37" s="19" t="s">
        <v>74</v>
      </c>
    </row>
    <row r="38">
      <c r="A38" s="34" t="s">
        <v>75</v>
      </c>
      <c r="B38" s="73">
        <v>0.9473046714</v>
      </c>
      <c r="C38" s="28" t="s">
        <v>131</v>
      </c>
      <c r="D38" s="23"/>
      <c r="E38" s="23"/>
      <c r="F38" s="23"/>
      <c r="G38" s="29" t="s">
        <v>132</v>
      </c>
      <c r="H38" s="55"/>
    </row>
    <row r="39">
      <c r="A39" s="34"/>
      <c r="B39" s="56"/>
      <c r="C39" s="2"/>
      <c r="G39" s="22"/>
      <c r="H39" s="55"/>
    </row>
    <row r="40">
      <c r="A40" s="34" t="s">
        <v>78</v>
      </c>
      <c r="B40" s="41">
        <v>0.04</v>
      </c>
      <c r="C40" s="2" t="s">
        <v>21</v>
      </c>
      <c r="G40" s="18" t="s">
        <v>22</v>
      </c>
    </row>
    <row r="41">
      <c r="A41" s="34" t="s">
        <v>79</v>
      </c>
      <c r="B41" s="57">
        <v>0.014</v>
      </c>
      <c r="C41" s="2" t="s">
        <v>21</v>
      </c>
      <c r="G41" s="18" t="s">
        <v>22</v>
      </c>
    </row>
    <row r="42">
      <c r="A42" s="58" t="s">
        <v>80</v>
      </c>
      <c r="B42" s="59">
        <v>0.075</v>
      </c>
      <c r="C42" s="46" t="s">
        <v>133</v>
      </c>
      <c r="G42" s="18" t="s">
        <v>22</v>
      </c>
      <c r="H42" s="20"/>
    </row>
    <row r="43">
      <c r="A43" s="58" t="s">
        <v>82</v>
      </c>
      <c r="B43" s="60">
        <f>SUM(B41:B42)</f>
        <v>0.089</v>
      </c>
      <c r="C43" s="2" t="s">
        <v>83</v>
      </c>
      <c r="G43" s="18" t="s">
        <v>22</v>
      </c>
    </row>
    <row r="44">
      <c r="A44" s="2"/>
      <c r="B44" s="48"/>
      <c r="C44" s="2"/>
      <c r="G44" s="18"/>
    </row>
    <row r="45">
      <c r="A45" s="14" t="s">
        <v>84</v>
      </c>
      <c r="B45" s="14"/>
      <c r="C45" s="14"/>
      <c r="D45" s="14"/>
      <c r="E45" s="14"/>
      <c r="F45" s="14"/>
      <c r="G45" s="15"/>
      <c r="H45" s="14"/>
      <c r="I45" s="14"/>
      <c r="J45" s="6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c r="A46" s="2" t="s">
        <v>85</v>
      </c>
      <c r="B46" s="2">
        <v>1.0</v>
      </c>
      <c r="C46" s="2">
        <v>2.0</v>
      </c>
      <c r="D46" s="2">
        <v>3.0</v>
      </c>
      <c r="E46" s="2">
        <v>4.0</v>
      </c>
      <c r="F46" s="2">
        <v>5.0</v>
      </c>
      <c r="G46" s="18">
        <v>6.0</v>
      </c>
      <c r="H46" s="2">
        <v>7.0</v>
      </c>
      <c r="I46" s="2">
        <v>8.0</v>
      </c>
      <c r="J46" s="2">
        <v>9.0</v>
      </c>
      <c r="K46" s="2">
        <v>10.0</v>
      </c>
      <c r="L46" s="2">
        <v>11.0</v>
      </c>
      <c r="M46" s="2">
        <v>12.0</v>
      </c>
      <c r="N46" s="2">
        <v>13.0</v>
      </c>
      <c r="O46" s="2">
        <v>14.0</v>
      </c>
      <c r="P46" s="2">
        <v>15.0</v>
      </c>
      <c r="Q46" s="2">
        <v>16.0</v>
      </c>
      <c r="R46" s="2">
        <v>17.0</v>
      </c>
      <c r="S46" s="2">
        <v>18.0</v>
      </c>
      <c r="T46" s="2">
        <v>19.0</v>
      </c>
      <c r="U46" s="2">
        <v>20.0</v>
      </c>
      <c r="V46" s="2">
        <v>21.0</v>
      </c>
      <c r="W46" s="2">
        <v>22.0</v>
      </c>
      <c r="X46" s="2">
        <v>23.0</v>
      </c>
      <c r="Y46" s="2">
        <v>24.0</v>
      </c>
      <c r="Z46" s="2">
        <v>25.0</v>
      </c>
      <c r="AA46" s="2">
        <v>26.0</v>
      </c>
      <c r="AB46" s="2">
        <v>27.0</v>
      </c>
      <c r="AC46" s="2">
        <v>28.0</v>
      </c>
      <c r="AD46" s="2">
        <v>29.0</v>
      </c>
      <c r="AE46" s="2">
        <v>30.0</v>
      </c>
      <c r="AF46" s="2">
        <v>31.0</v>
      </c>
      <c r="AG46" s="2">
        <v>32.0</v>
      </c>
      <c r="AH46" s="2">
        <v>33.0</v>
      </c>
      <c r="AI46" s="2">
        <v>34.0</v>
      </c>
      <c r="AJ46" s="2">
        <v>35.0</v>
      </c>
      <c r="AK46" s="2">
        <v>36.0</v>
      </c>
      <c r="AL46" s="2">
        <v>37.0</v>
      </c>
      <c r="AM46" s="2">
        <v>38.0</v>
      </c>
      <c r="AN46" s="2">
        <v>39.0</v>
      </c>
      <c r="AO46" s="2">
        <v>40.0</v>
      </c>
      <c r="AP46" s="2">
        <v>41.0</v>
      </c>
      <c r="AQ46" s="2">
        <v>42.0</v>
      </c>
      <c r="AR46" s="2">
        <v>43.0</v>
      </c>
      <c r="AS46" s="2">
        <v>44.0</v>
      </c>
      <c r="AT46" s="2">
        <v>45.0</v>
      </c>
      <c r="AU46" s="2">
        <v>46.0</v>
      </c>
      <c r="AV46" s="2">
        <v>47.0</v>
      </c>
      <c r="AW46" s="2">
        <v>48.0</v>
      </c>
      <c r="AX46" s="2">
        <v>49.0</v>
      </c>
      <c r="AY46" s="2">
        <v>50.0</v>
      </c>
      <c r="AZ46" s="2">
        <v>51.0</v>
      </c>
      <c r="BA46" s="2">
        <v>52.0</v>
      </c>
      <c r="BB46" s="2">
        <v>53.0</v>
      </c>
      <c r="BC46" s="2">
        <v>54.0</v>
      </c>
      <c r="BD46" s="2">
        <v>55.0</v>
      </c>
      <c r="BE46" s="2">
        <v>56.0</v>
      </c>
      <c r="BF46" s="2">
        <v>57.0</v>
      </c>
      <c r="BG46" s="2">
        <v>58.0</v>
      </c>
      <c r="BH46" s="2">
        <v>59.0</v>
      </c>
      <c r="BI46" s="2">
        <v>60.0</v>
      </c>
      <c r="BJ46" s="2">
        <v>61.0</v>
      </c>
      <c r="BK46" s="2">
        <v>62.0</v>
      </c>
      <c r="BL46" s="2">
        <v>63.0</v>
      </c>
      <c r="BM46" s="2">
        <v>64.0</v>
      </c>
      <c r="BN46" s="2">
        <v>65.0</v>
      </c>
      <c r="BO46" s="2">
        <v>66.0</v>
      </c>
      <c r="BP46" s="2">
        <v>67.0</v>
      </c>
      <c r="BQ46" s="2">
        <v>68.0</v>
      </c>
      <c r="BR46" s="2">
        <v>69.0</v>
      </c>
      <c r="BS46" s="2">
        <v>70.0</v>
      </c>
      <c r="BT46" s="2">
        <v>71.0</v>
      </c>
      <c r="BU46" s="2">
        <v>72.0</v>
      </c>
      <c r="BV46" s="2">
        <v>73.0</v>
      </c>
      <c r="BW46" s="2">
        <v>74.0</v>
      </c>
      <c r="BX46" s="2">
        <v>75.0</v>
      </c>
    </row>
    <row r="47">
      <c r="A47" s="2" t="s">
        <v>86</v>
      </c>
      <c r="B47" s="62">
        <f>B4+B6</f>
        <v>328274.0833</v>
      </c>
      <c r="C47" s="62">
        <f t="shared" ref="C47:D47" si="1">$B$5+$B$6</f>
        <v>478274.0833</v>
      </c>
      <c r="D47" s="62">
        <f t="shared" si="1"/>
        <v>478274.0833</v>
      </c>
      <c r="E47" s="62">
        <f t="shared" ref="E47:P47" si="2">$B$5+$B$6*(($B$21*$B$23)+($B$26*$B$31))</f>
        <v>405705.7688</v>
      </c>
      <c r="F47" s="62">
        <f t="shared" si="2"/>
        <v>405705.7688</v>
      </c>
      <c r="G47" s="62">
        <f t="shared" si="2"/>
        <v>405705.7688</v>
      </c>
      <c r="H47" s="62">
        <f t="shared" si="2"/>
        <v>405705.7688</v>
      </c>
      <c r="I47" s="62">
        <f t="shared" si="2"/>
        <v>405705.7688</v>
      </c>
      <c r="J47" s="62">
        <f t="shared" si="2"/>
        <v>405705.7688</v>
      </c>
      <c r="K47" s="62">
        <f t="shared" si="2"/>
        <v>405705.7688</v>
      </c>
      <c r="L47" s="62">
        <f t="shared" si="2"/>
        <v>405705.7688</v>
      </c>
      <c r="M47" s="62">
        <f t="shared" si="2"/>
        <v>405705.7688</v>
      </c>
      <c r="N47" s="62">
        <f t="shared" si="2"/>
        <v>405705.7688</v>
      </c>
      <c r="O47" s="62">
        <f t="shared" si="2"/>
        <v>405705.7688</v>
      </c>
      <c r="P47" s="62">
        <f t="shared" si="2"/>
        <v>405705.7688</v>
      </c>
      <c r="Q47" s="63">
        <v>0.0</v>
      </c>
      <c r="R47" s="63">
        <v>0.0</v>
      </c>
      <c r="S47" s="63">
        <v>0.0</v>
      </c>
      <c r="T47" s="63">
        <v>0.0</v>
      </c>
      <c r="U47" s="63">
        <v>0.0</v>
      </c>
      <c r="V47" s="63">
        <v>0.0</v>
      </c>
      <c r="W47" s="63">
        <v>0.0</v>
      </c>
      <c r="X47" s="63">
        <v>0.0</v>
      </c>
      <c r="Y47" s="63">
        <v>0.0</v>
      </c>
      <c r="Z47" s="63">
        <v>0.0</v>
      </c>
      <c r="AA47" s="63">
        <v>0.0</v>
      </c>
      <c r="AB47" s="63">
        <v>0.0</v>
      </c>
      <c r="AC47" s="63">
        <v>0.0</v>
      </c>
      <c r="AD47" s="63">
        <v>0.0</v>
      </c>
      <c r="AE47" s="63">
        <v>0.0</v>
      </c>
      <c r="AF47" s="63">
        <v>0.0</v>
      </c>
      <c r="AG47" s="63">
        <v>0.0</v>
      </c>
      <c r="AH47" s="63">
        <v>0.0</v>
      </c>
      <c r="AI47" s="63">
        <v>0.0</v>
      </c>
      <c r="AJ47" s="63">
        <v>0.0</v>
      </c>
      <c r="AK47" s="63">
        <v>0.0</v>
      </c>
      <c r="AL47" s="63">
        <v>0.0</v>
      </c>
      <c r="AM47" s="63">
        <v>0.0</v>
      </c>
      <c r="AN47" s="63">
        <v>0.0</v>
      </c>
      <c r="AO47" s="63">
        <v>0.0</v>
      </c>
      <c r="AP47" s="63">
        <v>0.0</v>
      </c>
      <c r="AQ47" s="63">
        <v>0.0</v>
      </c>
      <c r="AR47" s="63">
        <v>0.0</v>
      </c>
      <c r="AS47" s="63">
        <v>0.0</v>
      </c>
      <c r="AT47" s="63">
        <v>0.0</v>
      </c>
      <c r="AU47" s="63">
        <v>0.0</v>
      </c>
      <c r="AV47" s="63">
        <v>0.0</v>
      </c>
      <c r="AW47" s="63">
        <v>0.0</v>
      </c>
      <c r="AX47" s="63">
        <v>0.0</v>
      </c>
      <c r="AY47" s="63">
        <v>0.0</v>
      </c>
      <c r="AZ47" s="63">
        <v>0.0</v>
      </c>
      <c r="BA47" s="63">
        <v>0.0</v>
      </c>
      <c r="BB47" s="63">
        <v>0.0</v>
      </c>
      <c r="BC47" s="63">
        <v>0.0</v>
      </c>
      <c r="BD47" s="63">
        <v>0.0</v>
      </c>
      <c r="BE47" s="63">
        <v>0.0</v>
      </c>
      <c r="BF47" s="63">
        <v>0.0</v>
      </c>
      <c r="BG47" s="63">
        <v>0.0</v>
      </c>
      <c r="BH47" s="63">
        <v>0.0</v>
      </c>
      <c r="BI47" s="63">
        <v>0.0</v>
      </c>
      <c r="BJ47" s="63">
        <v>0.0</v>
      </c>
      <c r="BK47" s="63">
        <v>0.0</v>
      </c>
      <c r="BL47" s="63">
        <v>0.0</v>
      </c>
      <c r="BM47" s="63">
        <v>0.0</v>
      </c>
      <c r="BN47" s="63">
        <v>0.0</v>
      </c>
      <c r="BO47" s="63">
        <v>0.0</v>
      </c>
      <c r="BP47" s="63">
        <v>0.0</v>
      </c>
      <c r="BQ47" s="63">
        <v>0.0</v>
      </c>
      <c r="BR47" s="63">
        <v>0.0</v>
      </c>
      <c r="BS47" s="63">
        <v>0.0</v>
      </c>
      <c r="BT47" s="63">
        <v>0.0</v>
      </c>
      <c r="BU47" s="63">
        <v>0.0</v>
      </c>
      <c r="BV47" s="63">
        <v>0.0</v>
      </c>
      <c r="BW47" s="63">
        <v>0.0</v>
      </c>
      <c r="BX47" s="63">
        <v>0.0</v>
      </c>
    </row>
    <row r="48">
      <c r="A48" s="2" t="s">
        <v>87</v>
      </c>
      <c r="B48" s="37">
        <v>0.0</v>
      </c>
      <c r="C48" s="37">
        <v>0.0</v>
      </c>
      <c r="D48" s="37">
        <v>0.0</v>
      </c>
      <c r="E48" s="37">
        <v>0.0</v>
      </c>
      <c r="F48" s="37">
        <v>0.0</v>
      </c>
      <c r="G48" s="37">
        <v>0.0</v>
      </c>
      <c r="H48" s="37">
        <v>0.0</v>
      </c>
      <c r="I48" s="37">
        <v>0.0</v>
      </c>
      <c r="J48" s="37">
        <v>0.0</v>
      </c>
      <c r="K48" s="37">
        <f t="shared" ref="K48:BX48" si="3">$B$37*$B$38</f>
        <v>2516343.743</v>
      </c>
      <c r="L48" s="37">
        <f t="shared" si="3"/>
        <v>2516343.743</v>
      </c>
      <c r="M48" s="37">
        <f t="shared" si="3"/>
        <v>2516343.743</v>
      </c>
      <c r="N48" s="37">
        <f t="shared" si="3"/>
        <v>2516343.743</v>
      </c>
      <c r="O48" s="37">
        <f t="shared" si="3"/>
        <v>2516343.743</v>
      </c>
      <c r="P48" s="37">
        <f t="shared" si="3"/>
        <v>2516343.743</v>
      </c>
      <c r="Q48" s="64">
        <f t="shared" si="3"/>
        <v>2516343.743</v>
      </c>
      <c r="R48" s="64">
        <f t="shared" si="3"/>
        <v>2516343.743</v>
      </c>
      <c r="S48" s="64">
        <f t="shared" si="3"/>
        <v>2516343.743</v>
      </c>
      <c r="T48" s="64">
        <f t="shared" si="3"/>
        <v>2516343.743</v>
      </c>
      <c r="U48" s="64">
        <f t="shared" si="3"/>
        <v>2516343.743</v>
      </c>
      <c r="V48" s="64">
        <f t="shared" si="3"/>
        <v>2516343.743</v>
      </c>
      <c r="W48" s="64">
        <f t="shared" si="3"/>
        <v>2516343.743</v>
      </c>
      <c r="X48" s="64">
        <f t="shared" si="3"/>
        <v>2516343.743</v>
      </c>
      <c r="Y48" s="64">
        <f t="shared" si="3"/>
        <v>2516343.743</v>
      </c>
      <c r="Z48" s="64">
        <f t="shared" si="3"/>
        <v>2516343.743</v>
      </c>
      <c r="AA48" s="64">
        <f t="shared" si="3"/>
        <v>2516343.743</v>
      </c>
      <c r="AB48" s="64">
        <f t="shared" si="3"/>
        <v>2516343.743</v>
      </c>
      <c r="AC48" s="64">
        <f t="shared" si="3"/>
        <v>2516343.743</v>
      </c>
      <c r="AD48" s="64">
        <f t="shared" si="3"/>
        <v>2516343.743</v>
      </c>
      <c r="AE48" s="64">
        <f t="shared" si="3"/>
        <v>2516343.743</v>
      </c>
      <c r="AF48" s="64">
        <f t="shared" si="3"/>
        <v>2516343.743</v>
      </c>
      <c r="AG48" s="64">
        <f t="shared" si="3"/>
        <v>2516343.743</v>
      </c>
      <c r="AH48" s="64">
        <f t="shared" si="3"/>
        <v>2516343.743</v>
      </c>
      <c r="AI48" s="64">
        <f t="shared" si="3"/>
        <v>2516343.743</v>
      </c>
      <c r="AJ48" s="64">
        <f t="shared" si="3"/>
        <v>2516343.743</v>
      </c>
      <c r="AK48" s="64">
        <f t="shared" si="3"/>
        <v>2516343.743</v>
      </c>
      <c r="AL48" s="64">
        <f t="shared" si="3"/>
        <v>2516343.743</v>
      </c>
      <c r="AM48" s="64">
        <f t="shared" si="3"/>
        <v>2516343.743</v>
      </c>
      <c r="AN48" s="64">
        <f t="shared" si="3"/>
        <v>2516343.743</v>
      </c>
      <c r="AO48" s="64">
        <f t="shared" si="3"/>
        <v>2516343.743</v>
      </c>
      <c r="AP48" s="64">
        <f t="shared" si="3"/>
        <v>2516343.743</v>
      </c>
      <c r="AQ48" s="64">
        <f t="shared" si="3"/>
        <v>2516343.743</v>
      </c>
      <c r="AR48" s="64">
        <f t="shared" si="3"/>
        <v>2516343.743</v>
      </c>
      <c r="AS48" s="64">
        <f t="shared" si="3"/>
        <v>2516343.743</v>
      </c>
      <c r="AT48" s="64">
        <f t="shared" si="3"/>
        <v>2516343.743</v>
      </c>
      <c r="AU48" s="64">
        <f t="shared" si="3"/>
        <v>2516343.743</v>
      </c>
      <c r="AV48" s="64">
        <f t="shared" si="3"/>
        <v>2516343.743</v>
      </c>
      <c r="AW48" s="64">
        <f t="shared" si="3"/>
        <v>2516343.743</v>
      </c>
      <c r="AX48" s="64">
        <f t="shared" si="3"/>
        <v>2516343.743</v>
      </c>
      <c r="AY48" s="64">
        <f t="shared" si="3"/>
        <v>2516343.743</v>
      </c>
      <c r="AZ48" s="64">
        <f t="shared" si="3"/>
        <v>2516343.743</v>
      </c>
      <c r="BA48" s="64">
        <f t="shared" si="3"/>
        <v>2516343.743</v>
      </c>
      <c r="BB48" s="64">
        <f t="shared" si="3"/>
        <v>2516343.743</v>
      </c>
      <c r="BC48" s="64">
        <f t="shared" si="3"/>
        <v>2516343.743</v>
      </c>
      <c r="BD48" s="64">
        <f t="shared" si="3"/>
        <v>2516343.743</v>
      </c>
      <c r="BE48" s="64">
        <f t="shared" si="3"/>
        <v>2516343.743</v>
      </c>
      <c r="BF48" s="64">
        <f t="shared" si="3"/>
        <v>2516343.743</v>
      </c>
      <c r="BG48" s="64">
        <f t="shared" si="3"/>
        <v>2516343.743</v>
      </c>
      <c r="BH48" s="64">
        <f t="shared" si="3"/>
        <v>2516343.743</v>
      </c>
      <c r="BI48" s="64">
        <f t="shared" si="3"/>
        <v>2516343.743</v>
      </c>
      <c r="BJ48" s="64">
        <f t="shared" si="3"/>
        <v>2516343.743</v>
      </c>
      <c r="BK48" s="64">
        <f t="shared" si="3"/>
        <v>2516343.743</v>
      </c>
      <c r="BL48" s="64">
        <f t="shared" si="3"/>
        <v>2516343.743</v>
      </c>
      <c r="BM48" s="64">
        <f t="shared" si="3"/>
        <v>2516343.743</v>
      </c>
      <c r="BN48" s="64">
        <f t="shared" si="3"/>
        <v>2516343.743</v>
      </c>
      <c r="BO48" s="64">
        <f t="shared" si="3"/>
        <v>2516343.743</v>
      </c>
      <c r="BP48" s="64">
        <f t="shared" si="3"/>
        <v>2516343.743</v>
      </c>
      <c r="BQ48" s="64">
        <f t="shared" si="3"/>
        <v>2516343.743</v>
      </c>
      <c r="BR48" s="64">
        <f t="shared" si="3"/>
        <v>2516343.743</v>
      </c>
      <c r="BS48" s="64">
        <f t="shared" si="3"/>
        <v>2516343.743</v>
      </c>
      <c r="BT48" s="64">
        <f t="shared" si="3"/>
        <v>2516343.743</v>
      </c>
      <c r="BU48" s="64">
        <f t="shared" si="3"/>
        <v>2516343.743</v>
      </c>
      <c r="BV48" s="64">
        <f t="shared" si="3"/>
        <v>2516343.743</v>
      </c>
      <c r="BW48" s="64">
        <f t="shared" si="3"/>
        <v>2516343.743</v>
      </c>
      <c r="BX48" s="37">
        <f t="shared" si="3"/>
        <v>2516343.743</v>
      </c>
    </row>
    <row r="49">
      <c r="A49" s="2"/>
      <c r="B49" s="6"/>
      <c r="C49" s="6"/>
      <c r="D49" s="6"/>
      <c r="E49" s="6"/>
      <c r="F49" s="6"/>
      <c r="G49" s="65"/>
      <c r="H49" s="6"/>
      <c r="I49" s="6"/>
      <c r="J49" s="6"/>
      <c r="K49" s="6"/>
    </row>
    <row r="50">
      <c r="A50" s="14" t="s">
        <v>88</v>
      </c>
      <c r="B50" s="14"/>
      <c r="C50" s="14"/>
      <c r="D50" s="14"/>
      <c r="E50" s="14"/>
      <c r="F50" s="14"/>
      <c r="G50" s="15"/>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c r="A51" s="2" t="s">
        <v>5</v>
      </c>
      <c r="B51" s="6">
        <f t="array" ref="B51">NPV(B40,47:47)</f>
        <v>4567946.831</v>
      </c>
      <c r="G51" s="66"/>
      <c r="J51" s="67"/>
      <c r="K51" s="68"/>
    </row>
    <row r="52">
      <c r="A52" s="2" t="s">
        <v>6</v>
      </c>
      <c r="B52" s="6">
        <f t="array" ref="B52">NPV(B43,48:48)</f>
        <v>13078660.81</v>
      </c>
      <c r="G52" s="66"/>
    </row>
    <row r="53">
      <c r="A53" s="2" t="s">
        <v>7</v>
      </c>
      <c r="B53" s="6">
        <f>B52/B51</f>
        <v>2.863137706</v>
      </c>
      <c r="G53" s="66"/>
    </row>
    <row r="54">
      <c r="B54" s="6"/>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row r="1003">
      <c r="G1003" s="66"/>
    </row>
  </sheetData>
  <hyperlinks>
    <hyperlink r:id="rId1" location="c2" ref="G6"/>
    <hyperlink r:id="rId2" ref="G12"/>
    <hyperlink r:id="rId3" ref="G13"/>
    <hyperlink r:id="rId4" ref="G15"/>
    <hyperlink r:id="rId5" ref="G20"/>
    <hyperlink r:id="rId6" ref="G29"/>
    <hyperlink r:id="rId7" location="gid=1748706729" ref="G35"/>
    <hyperlink r:id="rId8" location=":~:text=95%25%20of%20the%20broiler%20chickens,just%20five%20to%20six%20weeks." ref="G37"/>
    <hyperlink r:id="rId9" location="gid=289821833" ref="G38"/>
  </hyperlinks>
  <drawing r:id="rId1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11</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141</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111</v>
      </c>
      <c r="B12" s="27">
        <f>385380*1000</f>
        <v>385380000</v>
      </c>
      <c r="C12" s="28" t="s">
        <v>142</v>
      </c>
      <c r="D12" s="23"/>
      <c r="E12" s="23"/>
      <c r="F12" s="23"/>
      <c r="G12" s="29" t="s">
        <v>113</v>
      </c>
    </row>
    <row r="13">
      <c r="A13" s="26" t="s">
        <v>114</v>
      </c>
      <c r="B13" s="30">
        <v>1.62</v>
      </c>
      <c r="C13" s="28" t="s">
        <v>143</v>
      </c>
      <c r="D13" s="23"/>
      <c r="E13" s="23"/>
      <c r="F13" s="23"/>
      <c r="G13" s="29" t="s">
        <v>116</v>
      </c>
    </row>
    <row r="14">
      <c r="A14" s="26" t="s">
        <v>117</v>
      </c>
      <c r="B14" s="31">
        <f>B12/B13</f>
        <v>237888888.9</v>
      </c>
      <c r="C14" s="28" t="s">
        <v>118</v>
      </c>
      <c r="D14" s="23"/>
      <c r="E14" s="23"/>
      <c r="F14" s="23"/>
      <c r="G14" s="32" t="s">
        <v>22</v>
      </c>
    </row>
    <row r="15">
      <c r="A15" s="26" t="s">
        <v>119</v>
      </c>
      <c r="B15" s="33">
        <f>AVERAGE(13%,-20%,25%)</f>
        <v>0.06</v>
      </c>
      <c r="C15" s="28" t="s">
        <v>144</v>
      </c>
      <c r="D15" s="23"/>
      <c r="E15" s="23"/>
      <c r="F15" s="23"/>
      <c r="G15" s="29" t="s">
        <v>113</v>
      </c>
      <c r="H15" s="20"/>
    </row>
    <row r="16">
      <c r="A16" s="34" t="s">
        <v>44</v>
      </c>
      <c r="B16" s="35">
        <v>5.0</v>
      </c>
      <c r="C16" s="2" t="s">
        <v>45</v>
      </c>
      <c r="G16" s="22" t="s">
        <v>22</v>
      </c>
    </row>
    <row r="17">
      <c r="A17" s="34" t="s">
        <v>121</v>
      </c>
      <c r="B17" s="36">
        <f>B14*(1+B15)^3</f>
        <v>283329472.9</v>
      </c>
      <c r="C17" s="2" t="s">
        <v>47</v>
      </c>
      <c r="G17" s="22"/>
    </row>
    <row r="18">
      <c r="A18" s="34"/>
      <c r="B18" s="37"/>
      <c r="C18" s="2"/>
      <c r="G18" s="22"/>
    </row>
    <row r="19">
      <c r="A19" s="38" t="s">
        <v>48</v>
      </c>
      <c r="B19" s="39"/>
      <c r="C19" s="39"/>
      <c r="G19" s="40"/>
    </row>
    <row r="20">
      <c r="A20" s="34" t="s">
        <v>122</v>
      </c>
      <c r="B20" s="41">
        <f>average(39%,60%,80%)</f>
        <v>0.5966666667</v>
      </c>
      <c r="C20" s="39" t="s">
        <v>50</v>
      </c>
      <c r="G20" s="40" t="s">
        <v>51</v>
      </c>
    </row>
    <row r="21">
      <c r="A21" s="34" t="s">
        <v>52</v>
      </c>
      <c r="B21" s="42">
        <v>0.8</v>
      </c>
      <c r="C21" s="39" t="s">
        <v>53</v>
      </c>
      <c r="G21" s="40"/>
    </row>
    <row r="22">
      <c r="A22" s="34" t="s">
        <v>123</v>
      </c>
      <c r="B22" s="36">
        <f>B$17*B20*B21</f>
        <v>135242601.7</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AVERAGE(48%,84%,39%,50%,89%)*(0.4/0.72)</f>
        <v>0.3444444444</v>
      </c>
      <c r="C29" s="28" t="s">
        <v>145</v>
      </c>
      <c r="D29" s="23"/>
      <c r="E29" s="23"/>
      <c r="F29" s="23"/>
      <c r="G29" s="29" t="s">
        <v>146</v>
      </c>
      <c r="H29" s="20"/>
    </row>
    <row r="30">
      <c r="A30" s="34" t="s">
        <v>126</v>
      </c>
      <c r="B30" s="36">
        <f>B$17*B26*B28*B27*B29</f>
        <v>33701516.12</v>
      </c>
      <c r="C30" s="2" t="s">
        <v>55</v>
      </c>
      <c r="G30" s="22"/>
      <c r="H30" s="20"/>
    </row>
    <row r="31">
      <c r="A31" s="34" t="s">
        <v>67</v>
      </c>
      <c r="B31" s="47">
        <v>0.3</v>
      </c>
      <c r="C31" s="2" t="s">
        <v>57</v>
      </c>
      <c r="G31" s="22"/>
      <c r="H31" s="20"/>
    </row>
    <row r="32">
      <c r="A32" s="34"/>
      <c r="B32" s="48"/>
      <c r="C32" s="2"/>
      <c r="G32" s="22"/>
      <c r="H32" s="20"/>
    </row>
    <row r="33">
      <c r="A33" s="34" t="s">
        <v>68</v>
      </c>
      <c r="B33" s="49">
        <f>Calculations!G12</f>
        <v>0.243258427</v>
      </c>
      <c r="C33" s="39" t="s">
        <v>69</v>
      </c>
      <c r="G33" s="50" t="s">
        <v>22</v>
      </c>
      <c r="H33" s="20"/>
    </row>
    <row r="34">
      <c r="A34" s="26" t="s">
        <v>127</v>
      </c>
      <c r="B34" s="71">
        <f>24%/64%</f>
        <v>0.375</v>
      </c>
      <c r="C34" s="72" t="s">
        <v>128</v>
      </c>
      <c r="D34" s="23"/>
      <c r="G34" s="50"/>
      <c r="H34" s="20"/>
    </row>
    <row r="35">
      <c r="A35" s="34" t="s">
        <v>70</v>
      </c>
      <c r="B35" s="41">
        <f>average(44.97%,45.8%)</f>
        <v>0.45385</v>
      </c>
      <c r="C35" s="2" t="s">
        <v>71</v>
      </c>
      <c r="G35" s="51" t="s">
        <v>147</v>
      </c>
      <c r="H35" s="20"/>
    </row>
    <row r="36">
      <c r="A36" s="34"/>
      <c r="B36" s="52"/>
      <c r="C36" s="2"/>
      <c r="G36" s="24"/>
      <c r="H36" s="20"/>
    </row>
    <row r="37">
      <c r="A37" s="34" t="s">
        <v>130</v>
      </c>
      <c r="B37" s="36">
        <f>((B22*B23)+(B30*B31))*B33*B34*B35*(1+B15)^B16</f>
        <v>5805242.501</v>
      </c>
      <c r="C37" s="2" t="s">
        <v>55</v>
      </c>
      <c r="G37" s="19" t="s">
        <v>74</v>
      </c>
    </row>
    <row r="38">
      <c r="A38" s="34" t="s">
        <v>75</v>
      </c>
      <c r="B38" s="73">
        <v>0.9473046714</v>
      </c>
      <c r="C38" s="28" t="s">
        <v>131</v>
      </c>
      <c r="D38" s="23"/>
      <c r="E38" s="23"/>
      <c r="F38" s="23"/>
      <c r="G38" s="29" t="s">
        <v>132</v>
      </c>
      <c r="H38" s="55"/>
    </row>
    <row r="39">
      <c r="A39" s="34"/>
      <c r="B39" s="56"/>
      <c r="C39" s="2"/>
      <c r="G39" s="22"/>
      <c r="H39" s="55"/>
    </row>
    <row r="40">
      <c r="A40" s="34" t="s">
        <v>78</v>
      </c>
      <c r="B40" s="41">
        <v>0.04</v>
      </c>
      <c r="C40" s="2" t="s">
        <v>21</v>
      </c>
      <c r="G40" s="18" t="s">
        <v>22</v>
      </c>
    </row>
    <row r="41">
      <c r="A41" s="34" t="s">
        <v>79</v>
      </c>
      <c r="B41" s="57">
        <v>0.014</v>
      </c>
      <c r="C41" s="2" t="s">
        <v>21</v>
      </c>
      <c r="G41" s="18" t="s">
        <v>22</v>
      </c>
    </row>
    <row r="42">
      <c r="A42" s="58" t="s">
        <v>80</v>
      </c>
      <c r="B42" s="59">
        <v>0.075</v>
      </c>
      <c r="C42" s="46" t="s">
        <v>133</v>
      </c>
      <c r="G42" s="18" t="s">
        <v>22</v>
      </c>
      <c r="H42" s="20"/>
    </row>
    <row r="43">
      <c r="A43" s="58" t="s">
        <v>82</v>
      </c>
      <c r="B43" s="60">
        <f>SUM(B41:B42)</f>
        <v>0.089</v>
      </c>
      <c r="C43" s="2" t="s">
        <v>83</v>
      </c>
      <c r="G43" s="18" t="s">
        <v>22</v>
      </c>
    </row>
    <row r="44">
      <c r="A44" s="2"/>
      <c r="B44" s="48"/>
      <c r="C44" s="2"/>
      <c r="G44" s="18"/>
    </row>
    <row r="45">
      <c r="A45" s="14" t="s">
        <v>84</v>
      </c>
      <c r="B45" s="14"/>
      <c r="C45" s="14"/>
      <c r="D45" s="14"/>
      <c r="E45" s="14"/>
      <c r="F45" s="14"/>
      <c r="G45" s="15"/>
      <c r="H45" s="14"/>
      <c r="I45" s="14"/>
      <c r="J45" s="6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c r="A46" s="2" t="s">
        <v>85</v>
      </c>
      <c r="B46" s="2">
        <v>1.0</v>
      </c>
      <c r="C46" s="2">
        <v>2.0</v>
      </c>
      <c r="D46" s="2">
        <v>3.0</v>
      </c>
      <c r="E46" s="2">
        <v>4.0</v>
      </c>
      <c r="F46" s="2">
        <v>5.0</v>
      </c>
      <c r="G46" s="18">
        <v>6.0</v>
      </c>
      <c r="H46" s="2">
        <v>7.0</v>
      </c>
      <c r="I46" s="2">
        <v>8.0</v>
      </c>
      <c r="J46" s="2">
        <v>9.0</v>
      </c>
      <c r="K46" s="2">
        <v>10.0</v>
      </c>
      <c r="L46" s="2">
        <v>11.0</v>
      </c>
      <c r="M46" s="2">
        <v>12.0</v>
      </c>
      <c r="N46" s="2">
        <v>13.0</v>
      </c>
      <c r="O46" s="2">
        <v>14.0</v>
      </c>
      <c r="P46" s="2">
        <v>15.0</v>
      </c>
      <c r="Q46" s="2">
        <v>16.0</v>
      </c>
      <c r="R46" s="2">
        <v>17.0</v>
      </c>
      <c r="S46" s="2">
        <v>18.0</v>
      </c>
      <c r="T46" s="2">
        <v>19.0</v>
      </c>
      <c r="U46" s="2">
        <v>20.0</v>
      </c>
      <c r="V46" s="2">
        <v>21.0</v>
      </c>
      <c r="W46" s="2">
        <v>22.0</v>
      </c>
      <c r="X46" s="2">
        <v>23.0</v>
      </c>
      <c r="Y46" s="2">
        <v>24.0</v>
      </c>
      <c r="Z46" s="2">
        <v>25.0</v>
      </c>
      <c r="AA46" s="2">
        <v>26.0</v>
      </c>
      <c r="AB46" s="2">
        <v>27.0</v>
      </c>
      <c r="AC46" s="2">
        <v>28.0</v>
      </c>
      <c r="AD46" s="2">
        <v>29.0</v>
      </c>
      <c r="AE46" s="2">
        <v>30.0</v>
      </c>
      <c r="AF46" s="2">
        <v>31.0</v>
      </c>
      <c r="AG46" s="2">
        <v>32.0</v>
      </c>
      <c r="AH46" s="2">
        <v>33.0</v>
      </c>
      <c r="AI46" s="2">
        <v>34.0</v>
      </c>
      <c r="AJ46" s="2">
        <v>35.0</v>
      </c>
      <c r="AK46" s="2">
        <v>36.0</v>
      </c>
      <c r="AL46" s="2">
        <v>37.0</v>
      </c>
      <c r="AM46" s="2">
        <v>38.0</v>
      </c>
      <c r="AN46" s="2">
        <v>39.0</v>
      </c>
      <c r="AO46" s="2">
        <v>40.0</v>
      </c>
      <c r="AP46" s="2">
        <v>41.0</v>
      </c>
      <c r="AQ46" s="2">
        <v>42.0</v>
      </c>
      <c r="AR46" s="2">
        <v>43.0</v>
      </c>
      <c r="AS46" s="2">
        <v>44.0</v>
      </c>
      <c r="AT46" s="2">
        <v>45.0</v>
      </c>
      <c r="AU46" s="2">
        <v>46.0</v>
      </c>
      <c r="AV46" s="2">
        <v>47.0</v>
      </c>
      <c r="AW46" s="2">
        <v>48.0</v>
      </c>
      <c r="AX46" s="2">
        <v>49.0</v>
      </c>
      <c r="AY46" s="2">
        <v>50.0</v>
      </c>
      <c r="AZ46" s="2">
        <v>51.0</v>
      </c>
      <c r="BA46" s="2">
        <v>52.0</v>
      </c>
      <c r="BB46" s="2">
        <v>53.0</v>
      </c>
      <c r="BC46" s="2">
        <v>54.0</v>
      </c>
      <c r="BD46" s="2">
        <v>55.0</v>
      </c>
      <c r="BE46" s="2">
        <v>56.0</v>
      </c>
      <c r="BF46" s="2">
        <v>57.0</v>
      </c>
      <c r="BG46" s="2">
        <v>58.0</v>
      </c>
      <c r="BH46" s="2">
        <v>59.0</v>
      </c>
      <c r="BI46" s="2">
        <v>60.0</v>
      </c>
      <c r="BJ46" s="2">
        <v>61.0</v>
      </c>
      <c r="BK46" s="2">
        <v>62.0</v>
      </c>
      <c r="BL46" s="2">
        <v>63.0</v>
      </c>
      <c r="BM46" s="2">
        <v>64.0</v>
      </c>
      <c r="BN46" s="2">
        <v>65.0</v>
      </c>
      <c r="BO46" s="2">
        <v>66.0</v>
      </c>
      <c r="BP46" s="2">
        <v>67.0</v>
      </c>
      <c r="BQ46" s="2">
        <v>68.0</v>
      </c>
      <c r="BR46" s="2">
        <v>69.0</v>
      </c>
      <c r="BS46" s="2">
        <v>70.0</v>
      </c>
      <c r="BT46" s="2">
        <v>71.0</v>
      </c>
      <c r="BU46" s="2">
        <v>72.0</v>
      </c>
      <c r="BV46" s="2">
        <v>73.0</v>
      </c>
      <c r="BW46" s="2">
        <v>74.0</v>
      </c>
      <c r="BX46" s="2">
        <v>75.0</v>
      </c>
    </row>
    <row r="47">
      <c r="A47" s="2" t="s">
        <v>86</v>
      </c>
      <c r="B47" s="62">
        <f>B4+B6</f>
        <v>328274.0833</v>
      </c>
      <c r="C47" s="62">
        <f t="shared" ref="C47:D47" si="1">$B$5+$B$6</f>
        <v>478274.0833</v>
      </c>
      <c r="D47" s="62">
        <f t="shared" si="1"/>
        <v>478274.0833</v>
      </c>
      <c r="E47" s="62">
        <f t="shared" ref="E47:P47" si="2">$B$5+$B$6*(($B$21*$B$23)+($B$26*$B$31))</f>
        <v>405705.7688</v>
      </c>
      <c r="F47" s="62">
        <f t="shared" si="2"/>
        <v>405705.7688</v>
      </c>
      <c r="G47" s="62">
        <f t="shared" si="2"/>
        <v>405705.7688</v>
      </c>
      <c r="H47" s="62">
        <f t="shared" si="2"/>
        <v>405705.7688</v>
      </c>
      <c r="I47" s="62">
        <f t="shared" si="2"/>
        <v>405705.7688</v>
      </c>
      <c r="J47" s="62">
        <f t="shared" si="2"/>
        <v>405705.7688</v>
      </c>
      <c r="K47" s="62">
        <f t="shared" si="2"/>
        <v>405705.7688</v>
      </c>
      <c r="L47" s="62">
        <f t="shared" si="2"/>
        <v>405705.7688</v>
      </c>
      <c r="M47" s="62">
        <f t="shared" si="2"/>
        <v>405705.7688</v>
      </c>
      <c r="N47" s="62">
        <f t="shared" si="2"/>
        <v>405705.7688</v>
      </c>
      <c r="O47" s="62">
        <f t="shared" si="2"/>
        <v>405705.7688</v>
      </c>
      <c r="P47" s="62">
        <f t="shared" si="2"/>
        <v>405705.7688</v>
      </c>
      <c r="Q47" s="63">
        <v>0.0</v>
      </c>
      <c r="R47" s="63">
        <v>0.0</v>
      </c>
      <c r="S47" s="63">
        <v>0.0</v>
      </c>
      <c r="T47" s="63">
        <v>0.0</v>
      </c>
      <c r="U47" s="63">
        <v>0.0</v>
      </c>
      <c r="V47" s="63">
        <v>0.0</v>
      </c>
      <c r="W47" s="63">
        <v>0.0</v>
      </c>
      <c r="X47" s="63">
        <v>0.0</v>
      </c>
      <c r="Y47" s="63">
        <v>0.0</v>
      </c>
      <c r="Z47" s="63">
        <v>0.0</v>
      </c>
      <c r="AA47" s="63">
        <v>0.0</v>
      </c>
      <c r="AB47" s="63">
        <v>0.0</v>
      </c>
      <c r="AC47" s="63">
        <v>0.0</v>
      </c>
      <c r="AD47" s="63">
        <v>0.0</v>
      </c>
      <c r="AE47" s="63">
        <v>0.0</v>
      </c>
      <c r="AF47" s="63">
        <v>0.0</v>
      </c>
      <c r="AG47" s="63">
        <v>0.0</v>
      </c>
      <c r="AH47" s="63">
        <v>0.0</v>
      </c>
      <c r="AI47" s="63">
        <v>0.0</v>
      </c>
      <c r="AJ47" s="63">
        <v>0.0</v>
      </c>
      <c r="AK47" s="63">
        <v>0.0</v>
      </c>
      <c r="AL47" s="63">
        <v>0.0</v>
      </c>
      <c r="AM47" s="63">
        <v>0.0</v>
      </c>
      <c r="AN47" s="63">
        <v>0.0</v>
      </c>
      <c r="AO47" s="63">
        <v>0.0</v>
      </c>
      <c r="AP47" s="63">
        <v>0.0</v>
      </c>
      <c r="AQ47" s="63">
        <v>0.0</v>
      </c>
      <c r="AR47" s="63">
        <v>0.0</v>
      </c>
      <c r="AS47" s="63">
        <v>0.0</v>
      </c>
      <c r="AT47" s="63">
        <v>0.0</v>
      </c>
      <c r="AU47" s="63">
        <v>0.0</v>
      </c>
      <c r="AV47" s="63">
        <v>0.0</v>
      </c>
      <c r="AW47" s="63">
        <v>0.0</v>
      </c>
      <c r="AX47" s="63">
        <v>0.0</v>
      </c>
      <c r="AY47" s="63">
        <v>0.0</v>
      </c>
      <c r="AZ47" s="63">
        <v>0.0</v>
      </c>
      <c r="BA47" s="63">
        <v>0.0</v>
      </c>
      <c r="BB47" s="63">
        <v>0.0</v>
      </c>
      <c r="BC47" s="63">
        <v>0.0</v>
      </c>
      <c r="BD47" s="63">
        <v>0.0</v>
      </c>
      <c r="BE47" s="63">
        <v>0.0</v>
      </c>
      <c r="BF47" s="63">
        <v>0.0</v>
      </c>
      <c r="BG47" s="63">
        <v>0.0</v>
      </c>
      <c r="BH47" s="63">
        <v>0.0</v>
      </c>
      <c r="BI47" s="63">
        <v>0.0</v>
      </c>
      <c r="BJ47" s="63">
        <v>0.0</v>
      </c>
      <c r="BK47" s="63">
        <v>0.0</v>
      </c>
      <c r="BL47" s="63">
        <v>0.0</v>
      </c>
      <c r="BM47" s="63">
        <v>0.0</v>
      </c>
      <c r="BN47" s="63">
        <v>0.0</v>
      </c>
      <c r="BO47" s="63">
        <v>0.0</v>
      </c>
      <c r="BP47" s="63">
        <v>0.0</v>
      </c>
      <c r="BQ47" s="63">
        <v>0.0</v>
      </c>
      <c r="BR47" s="63">
        <v>0.0</v>
      </c>
      <c r="BS47" s="63">
        <v>0.0</v>
      </c>
      <c r="BT47" s="63">
        <v>0.0</v>
      </c>
      <c r="BU47" s="63">
        <v>0.0</v>
      </c>
      <c r="BV47" s="63">
        <v>0.0</v>
      </c>
      <c r="BW47" s="63">
        <v>0.0</v>
      </c>
      <c r="BX47" s="63">
        <v>0.0</v>
      </c>
    </row>
    <row r="48">
      <c r="A48" s="2" t="s">
        <v>87</v>
      </c>
      <c r="B48" s="37">
        <v>0.0</v>
      </c>
      <c r="C48" s="37">
        <v>0.0</v>
      </c>
      <c r="D48" s="37">
        <v>0.0</v>
      </c>
      <c r="E48" s="37">
        <v>0.0</v>
      </c>
      <c r="F48" s="37">
        <v>0.0</v>
      </c>
      <c r="G48" s="37">
        <v>0.0</v>
      </c>
      <c r="H48" s="37">
        <v>0.0</v>
      </c>
      <c r="I48" s="37">
        <v>0.0</v>
      </c>
      <c r="J48" s="37">
        <v>0.0</v>
      </c>
      <c r="K48" s="37">
        <f t="shared" ref="K48:BX48" si="3">$B$37*$B$38</f>
        <v>5499333.34</v>
      </c>
      <c r="L48" s="37">
        <f t="shared" si="3"/>
        <v>5499333.34</v>
      </c>
      <c r="M48" s="37">
        <f t="shared" si="3"/>
        <v>5499333.34</v>
      </c>
      <c r="N48" s="37">
        <f t="shared" si="3"/>
        <v>5499333.34</v>
      </c>
      <c r="O48" s="37">
        <f t="shared" si="3"/>
        <v>5499333.34</v>
      </c>
      <c r="P48" s="37">
        <f t="shared" si="3"/>
        <v>5499333.34</v>
      </c>
      <c r="Q48" s="64">
        <f t="shared" si="3"/>
        <v>5499333.34</v>
      </c>
      <c r="R48" s="64">
        <f t="shared" si="3"/>
        <v>5499333.34</v>
      </c>
      <c r="S48" s="64">
        <f t="shared" si="3"/>
        <v>5499333.34</v>
      </c>
      <c r="T48" s="64">
        <f t="shared" si="3"/>
        <v>5499333.34</v>
      </c>
      <c r="U48" s="64">
        <f t="shared" si="3"/>
        <v>5499333.34</v>
      </c>
      <c r="V48" s="64">
        <f t="shared" si="3"/>
        <v>5499333.34</v>
      </c>
      <c r="W48" s="64">
        <f t="shared" si="3"/>
        <v>5499333.34</v>
      </c>
      <c r="X48" s="64">
        <f t="shared" si="3"/>
        <v>5499333.34</v>
      </c>
      <c r="Y48" s="64">
        <f t="shared" si="3"/>
        <v>5499333.34</v>
      </c>
      <c r="Z48" s="64">
        <f t="shared" si="3"/>
        <v>5499333.34</v>
      </c>
      <c r="AA48" s="64">
        <f t="shared" si="3"/>
        <v>5499333.34</v>
      </c>
      <c r="AB48" s="64">
        <f t="shared" si="3"/>
        <v>5499333.34</v>
      </c>
      <c r="AC48" s="64">
        <f t="shared" si="3"/>
        <v>5499333.34</v>
      </c>
      <c r="AD48" s="64">
        <f t="shared" si="3"/>
        <v>5499333.34</v>
      </c>
      <c r="AE48" s="64">
        <f t="shared" si="3"/>
        <v>5499333.34</v>
      </c>
      <c r="AF48" s="64">
        <f t="shared" si="3"/>
        <v>5499333.34</v>
      </c>
      <c r="AG48" s="64">
        <f t="shared" si="3"/>
        <v>5499333.34</v>
      </c>
      <c r="AH48" s="64">
        <f t="shared" si="3"/>
        <v>5499333.34</v>
      </c>
      <c r="AI48" s="64">
        <f t="shared" si="3"/>
        <v>5499333.34</v>
      </c>
      <c r="AJ48" s="64">
        <f t="shared" si="3"/>
        <v>5499333.34</v>
      </c>
      <c r="AK48" s="64">
        <f t="shared" si="3"/>
        <v>5499333.34</v>
      </c>
      <c r="AL48" s="64">
        <f t="shared" si="3"/>
        <v>5499333.34</v>
      </c>
      <c r="AM48" s="64">
        <f t="shared" si="3"/>
        <v>5499333.34</v>
      </c>
      <c r="AN48" s="64">
        <f t="shared" si="3"/>
        <v>5499333.34</v>
      </c>
      <c r="AO48" s="64">
        <f t="shared" si="3"/>
        <v>5499333.34</v>
      </c>
      <c r="AP48" s="64">
        <f t="shared" si="3"/>
        <v>5499333.34</v>
      </c>
      <c r="AQ48" s="64">
        <f t="shared" si="3"/>
        <v>5499333.34</v>
      </c>
      <c r="AR48" s="64">
        <f t="shared" si="3"/>
        <v>5499333.34</v>
      </c>
      <c r="AS48" s="64">
        <f t="shared" si="3"/>
        <v>5499333.34</v>
      </c>
      <c r="AT48" s="64">
        <f t="shared" si="3"/>
        <v>5499333.34</v>
      </c>
      <c r="AU48" s="64">
        <f t="shared" si="3"/>
        <v>5499333.34</v>
      </c>
      <c r="AV48" s="64">
        <f t="shared" si="3"/>
        <v>5499333.34</v>
      </c>
      <c r="AW48" s="64">
        <f t="shared" si="3"/>
        <v>5499333.34</v>
      </c>
      <c r="AX48" s="64">
        <f t="shared" si="3"/>
        <v>5499333.34</v>
      </c>
      <c r="AY48" s="64">
        <f t="shared" si="3"/>
        <v>5499333.34</v>
      </c>
      <c r="AZ48" s="64">
        <f t="shared" si="3"/>
        <v>5499333.34</v>
      </c>
      <c r="BA48" s="64">
        <f t="shared" si="3"/>
        <v>5499333.34</v>
      </c>
      <c r="BB48" s="64">
        <f t="shared" si="3"/>
        <v>5499333.34</v>
      </c>
      <c r="BC48" s="64">
        <f t="shared" si="3"/>
        <v>5499333.34</v>
      </c>
      <c r="BD48" s="64">
        <f t="shared" si="3"/>
        <v>5499333.34</v>
      </c>
      <c r="BE48" s="64">
        <f t="shared" si="3"/>
        <v>5499333.34</v>
      </c>
      <c r="BF48" s="64">
        <f t="shared" si="3"/>
        <v>5499333.34</v>
      </c>
      <c r="BG48" s="64">
        <f t="shared" si="3"/>
        <v>5499333.34</v>
      </c>
      <c r="BH48" s="64">
        <f t="shared" si="3"/>
        <v>5499333.34</v>
      </c>
      <c r="BI48" s="64">
        <f t="shared" si="3"/>
        <v>5499333.34</v>
      </c>
      <c r="BJ48" s="64">
        <f t="shared" si="3"/>
        <v>5499333.34</v>
      </c>
      <c r="BK48" s="64">
        <f t="shared" si="3"/>
        <v>5499333.34</v>
      </c>
      <c r="BL48" s="64">
        <f t="shared" si="3"/>
        <v>5499333.34</v>
      </c>
      <c r="BM48" s="64">
        <f t="shared" si="3"/>
        <v>5499333.34</v>
      </c>
      <c r="BN48" s="64">
        <f t="shared" si="3"/>
        <v>5499333.34</v>
      </c>
      <c r="BO48" s="64">
        <f t="shared" si="3"/>
        <v>5499333.34</v>
      </c>
      <c r="BP48" s="64">
        <f t="shared" si="3"/>
        <v>5499333.34</v>
      </c>
      <c r="BQ48" s="64">
        <f t="shared" si="3"/>
        <v>5499333.34</v>
      </c>
      <c r="BR48" s="64">
        <f t="shared" si="3"/>
        <v>5499333.34</v>
      </c>
      <c r="BS48" s="64">
        <f t="shared" si="3"/>
        <v>5499333.34</v>
      </c>
      <c r="BT48" s="64">
        <f t="shared" si="3"/>
        <v>5499333.34</v>
      </c>
      <c r="BU48" s="64">
        <f t="shared" si="3"/>
        <v>5499333.34</v>
      </c>
      <c r="BV48" s="64">
        <f t="shared" si="3"/>
        <v>5499333.34</v>
      </c>
      <c r="BW48" s="64">
        <f t="shared" si="3"/>
        <v>5499333.34</v>
      </c>
      <c r="BX48" s="37">
        <f t="shared" si="3"/>
        <v>5499333.34</v>
      </c>
    </row>
    <row r="49">
      <c r="A49" s="2"/>
      <c r="B49" s="6"/>
      <c r="C49" s="6"/>
      <c r="D49" s="6"/>
      <c r="E49" s="6"/>
      <c r="F49" s="6"/>
      <c r="G49" s="65"/>
      <c r="H49" s="6"/>
      <c r="I49" s="6"/>
      <c r="J49" s="6"/>
      <c r="K49" s="6"/>
    </row>
    <row r="50">
      <c r="A50" s="14" t="s">
        <v>88</v>
      </c>
      <c r="B50" s="14"/>
      <c r="C50" s="14"/>
      <c r="D50" s="14"/>
      <c r="E50" s="14"/>
      <c r="F50" s="14"/>
      <c r="G50" s="15"/>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c r="A51" s="2" t="s">
        <v>5</v>
      </c>
      <c r="B51" s="6">
        <f t="array" ref="B51">NPV(B40,47:47)</f>
        <v>4567946.831</v>
      </c>
      <c r="G51" s="66"/>
      <c r="J51" s="67"/>
      <c r="K51" s="68"/>
    </row>
    <row r="52">
      <c r="A52" s="2" t="s">
        <v>6</v>
      </c>
      <c r="B52" s="6">
        <f t="array" ref="B52">NPV(B43,48:48)</f>
        <v>28582706.81</v>
      </c>
      <c r="G52" s="66"/>
    </row>
    <row r="53">
      <c r="A53" s="2" t="s">
        <v>7</v>
      </c>
      <c r="B53" s="6">
        <f>B52/B51</f>
        <v>6.257232815</v>
      </c>
      <c r="G53" s="66"/>
    </row>
    <row r="54">
      <c r="B54" s="6"/>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row r="1003">
      <c r="G1003" s="66"/>
    </row>
  </sheetData>
  <hyperlinks>
    <hyperlink r:id="rId1" location="c2" ref="G6"/>
    <hyperlink r:id="rId2" ref="G12"/>
    <hyperlink r:id="rId3" ref="G13"/>
    <hyperlink r:id="rId4" ref="G15"/>
    <hyperlink r:id="rId5" ref="G20"/>
    <hyperlink r:id="rId6" ref="G29"/>
    <hyperlink r:id="rId7" location="gid=1748706729" ref="G35"/>
    <hyperlink r:id="rId8" location=":~:text=95%25%20of%20the%20broiler%20chickens,just%20five%20to%20six%20weeks." ref="G37"/>
    <hyperlink r:id="rId9" location="gid=289821833" ref="G38"/>
  </hyperlinks>
  <drawing r:id="rId1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12</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148</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111</v>
      </c>
      <c r="B12" s="27">
        <f>257903*1000</f>
        <v>257903000</v>
      </c>
      <c r="C12" s="28" t="s">
        <v>149</v>
      </c>
      <c r="D12" s="23"/>
      <c r="E12" s="23"/>
      <c r="F12" s="23"/>
      <c r="G12" s="29" t="s">
        <v>113</v>
      </c>
    </row>
    <row r="13">
      <c r="A13" s="26" t="s">
        <v>114</v>
      </c>
      <c r="B13" s="30">
        <v>2.04</v>
      </c>
      <c r="C13" s="28" t="s">
        <v>150</v>
      </c>
      <c r="D13" s="23"/>
      <c r="E13" s="23"/>
      <c r="F13" s="23"/>
      <c r="G13" s="29" t="s">
        <v>116</v>
      </c>
    </row>
    <row r="14">
      <c r="A14" s="26" t="s">
        <v>117</v>
      </c>
      <c r="B14" s="31">
        <f>B12/B13</f>
        <v>126423039.2</v>
      </c>
      <c r="C14" s="28" t="s">
        <v>118</v>
      </c>
      <c r="D14" s="23"/>
      <c r="E14" s="23"/>
      <c r="F14" s="23"/>
      <c r="G14" s="32" t="s">
        <v>22</v>
      </c>
    </row>
    <row r="15">
      <c r="A15" s="26" t="s">
        <v>119</v>
      </c>
      <c r="B15" s="33">
        <f>AVERAGE(6%,23%,-8%)</f>
        <v>0.07</v>
      </c>
      <c r="C15" s="28" t="s">
        <v>151</v>
      </c>
      <c r="D15" s="23"/>
      <c r="E15" s="23"/>
      <c r="F15" s="23"/>
      <c r="G15" s="29" t="s">
        <v>113</v>
      </c>
      <c r="H15" s="20"/>
    </row>
    <row r="16">
      <c r="A16" s="34" t="s">
        <v>44</v>
      </c>
      <c r="B16" s="35">
        <v>5.0</v>
      </c>
      <c r="C16" s="2" t="s">
        <v>45</v>
      </c>
      <c r="G16" s="22" t="s">
        <v>22</v>
      </c>
    </row>
    <row r="17">
      <c r="A17" s="34" t="s">
        <v>121</v>
      </c>
      <c r="B17" s="36">
        <f>B14*(1+B15)^3</f>
        <v>154873659.2</v>
      </c>
      <c r="C17" s="2" t="s">
        <v>47</v>
      </c>
      <c r="G17" s="22"/>
    </row>
    <row r="18">
      <c r="A18" s="34"/>
      <c r="B18" s="37"/>
      <c r="C18" s="2"/>
      <c r="G18" s="22"/>
    </row>
    <row r="19">
      <c r="A19" s="38" t="s">
        <v>48</v>
      </c>
      <c r="B19" s="39"/>
      <c r="C19" s="39"/>
      <c r="G19" s="40"/>
    </row>
    <row r="20">
      <c r="A20" s="34" t="s">
        <v>122</v>
      </c>
      <c r="B20" s="41">
        <f>average(39%,60%,80%)</f>
        <v>0.5966666667</v>
      </c>
      <c r="C20" s="39" t="s">
        <v>50</v>
      </c>
      <c r="G20" s="40" t="s">
        <v>51</v>
      </c>
    </row>
    <row r="21">
      <c r="A21" s="34" t="s">
        <v>52</v>
      </c>
      <c r="B21" s="42">
        <v>0.8</v>
      </c>
      <c r="C21" s="39" t="s">
        <v>53</v>
      </c>
      <c r="G21" s="40"/>
    </row>
    <row r="22">
      <c r="A22" s="34" t="s">
        <v>123</v>
      </c>
      <c r="B22" s="36">
        <f>B$17*B20*B21</f>
        <v>73926360.01</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AVERAGE(48%,84%,39%,50%,89%)*(0.39/0.72)</f>
        <v>0.3358333333</v>
      </c>
      <c r="C29" s="28" t="s">
        <v>152</v>
      </c>
      <c r="D29" s="23"/>
      <c r="E29" s="23"/>
      <c r="F29" s="23"/>
      <c r="G29" s="29" t="s">
        <v>153</v>
      </c>
      <c r="H29" s="20"/>
    </row>
    <row r="30">
      <c r="A30" s="34" t="s">
        <v>126</v>
      </c>
      <c r="B30" s="36">
        <f>B$17*B26*B28*B27*B29</f>
        <v>17961386.59</v>
      </c>
      <c r="C30" s="2" t="s">
        <v>55</v>
      </c>
      <c r="G30" s="22"/>
      <c r="H30" s="20"/>
    </row>
    <row r="31">
      <c r="A31" s="34" t="s">
        <v>67</v>
      </c>
      <c r="B31" s="47">
        <v>0.3</v>
      </c>
      <c r="C31" s="2" t="s">
        <v>57</v>
      </c>
      <c r="G31" s="22"/>
      <c r="H31" s="20"/>
    </row>
    <row r="32">
      <c r="A32" s="34"/>
      <c r="B32" s="48"/>
      <c r="C32" s="2"/>
      <c r="G32" s="22"/>
      <c r="H32" s="20"/>
    </row>
    <row r="33">
      <c r="A33" s="34" t="s">
        <v>68</v>
      </c>
      <c r="B33" s="49">
        <f>Calculations!G12</f>
        <v>0.243258427</v>
      </c>
      <c r="C33" s="39" t="s">
        <v>69</v>
      </c>
      <c r="G33" s="50" t="s">
        <v>22</v>
      </c>
      <c r="H33" s="20"/>
    </row>
    <row r="34">
      <c r="A34" s="26" t="s">
        <v>127</v>
      </c>
      <c r="B34" s="71">
        <f>24%/64%</f>
        <v>0.375</v>
      </c>
      <c r="C34" s="72" t="s">
        <v>128</v>
      </c>
      <c r="D34" s="23"/>
      <c r="G34" s="50"/>
      <c r="H34" s="20"/>
    </row>
    <row r="35">
      <c r="A35" s="34" t="s">
        <v>70</v>
      </c>
      <c r="B35" s="41">
        <f>average(44.97%,45.8%)</f>
        <v>0.45385</v>
      </c>
      <c r="C35" s="2" t="s">
        <v>71</v>
      </c>
      <c r="G35" s="51" t="s">
        <v>154</v>
      </c>
      <c r="H35" s="20"/>
    </row>
    <row r="36">
      <c r="A36" s="34"/>
      <c r="B36" s="52"/>
      <c r="C36" s="2"/>
      <c r="G36" s="24"/>
      <c r="H36" s="20"/>
    </row>
    <row r="37">
      <c r="A37" s="34" t="s">
        <v>130</v>
      </c>
      <c r="B37" s="36">
        <f>((B22*B23)+(B30*B31))*B33*B34*B35*(1+B15)^B16</f>
        <v>3317774.16</v>
      </c>
      <c r="C37" s="2" t="s">
        <v>55</v>
      </c>
      <c r="G37" s="19" t="s">
        <v>74</v>
      </c>
    </row>
    <row r="38">
      <c r="A38" s="34" t="s">
        <v>75</v>
      </c>
      <c r="B38" s="73">
        <v>0.9473046714</v>
      </c>
      <c r="C38" s="28" t="s">
        <v>131</v>
      </c>
      <c r="D38" s="23"/>
      <c r="E38" s="23"/>
      <c r="F38" s="23"/>
      <c r="G38" s="29" t="s">
        <v>132</v>
      </c>
      <c r="H38" s="55"/>
    </row>
    <row r="39">
      <c r="A39" s="34"/>
      <c r="B39" s="56"/>
      <c r="C39" s="2"/>
      <c r="G39" s="22"/>
      <c r="H39" s="55"/>
    </row>
    <row r="40">
      <c r="A40" s="34" t="s">
        <v>78</v>
      </c>
      <c r="B40" s="41">
        <v>0.04</v>
      </c>
      <c r="C40" s="2" t="s">
        <v>21</v>
      </c>
      <c r="G40" s="18" t="s">
        <v>22</v>
      </c>
    </row>
    <row r="41">
      <c r="A41" s="34" t="s">
        <v>79</v>
      </c>
      <c r="B41" s="57">
        <v>0.014</v>
      </c>
      <c r="C41" s="2" t="s">
        <v>21</v>
      </c>
      <c r="G41" s="18" t="s">
        <v>22</v>
      </c>
    </row>
    <row r="42">
      <c r="A42" s="58" t="s">
        <v>80</v>
      </c>
      <c r="B42" s="59">
        <v>0.075</v>
      </c>
      <c r="C42" s="46" t="s">
        <v>133</v>
      </c>
      <c r="G42" s="18" t="s">
        <v>22</v>
      </c>
      <c r="H42" s="20"/>
    </row>
    <row r="43">
      <c r="A43" s="58" t="s">
        <v>82</v>
      </c>
      <c r="B43" s="60">
        <f>SUM(B41:B42)</f>
        <v>0.089</v>
      </c>
      <c r="C43" s="2" t="s">
        <v>83</v>
      </c>
      <c r="G43" s="18" t="s">
        <v>22</v>
      </c>
    </row>
    <row r="44">
      <c r="A44" s="2"/>
      <c r="B44" s="48"/>
      <c r="C44" s="2"/>
      <c r="G44" s="18"/>
    </row>
    <row r="45">
      <c r="A45" s="14" t="s">
        <v>84</v>
      </c>
      <c r="B45" s="14"/>
      <c r="C45" s="14"/>
      <c r="D45" s="14"/>
      <c r="E45" s="14"/>
      <c r="F45" s="14"/>
      <c r="G45" s="15"/>
      <c r="H45" s="14"/>
      <c r="I45" s="14"/>
      <c r="J45" s="6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c r="A46" s="2" t="s">
        <v>85</v>
      </c>
      <c r="B46" s="2">
        <v>1.0</v>
      </c>
      <c r="C46" s="2">
        <v>2.0</v>
      </c>
      <c r="D46" s="2">
        <v>3.0</v>
      </c>
      <c r="E46" s="2">
        <v>4.0</v>
      </c>
      <c r="F46" s="2">
        <v>5.0</v>
      </c>
      <c r="G46" s="18">
        <v>6.0</v>
      </c>
      <c r="H46" s="2">
        <v>7.0</v>
      </c>
      <c r="I46" s="2">
        <v>8.0</v>
      </c>
      <c r="J46" s="2">
        <v>9.0</v>
      </c>
      <c r="K46" s="2">
        <v>10.0</v>
      </c>
      <c r="L46" s="2">
        <v>11.0</v>
      </c>
      <c r="M46" s="2">
        <v>12.0</v>
      </c>
      <c r="N46" s="2">
        <v>13.0</v>
      </c>
      <c r="O46" s="2">
        <v>14.0</v>
      </c>
      <c r="P46" s="2">
        <v>15.0</v>
      </c>
      <c r="Q46" s="2">
        <v>16.0</v>
      </c>
      <c r="R46" s="2">
        <v>17.0</v>
      </c>
      <c r="S46" s="2">
        <v>18.0</v>
      </c>
      <c r="T46" s="2">
        <v>19.0</v>
      </c>
      <c r="U46" s="2">
        <v>20.0</v>
      </c>
      <c r="V46" s="2">
        <v>21.0</v>
      </c>
      <c r="W46" s="2">
        <v>22.0</v>
      </c>
      <c r="X46" s="2">
        <v>23.0</v>
      </c>
      <c r="Y46" s="2">
        <v>24.0</v>
      </c>
      <c r="Z46" s="2">
        <v>25.0</v>
      </c>
      <c r="AA46" s="2">
        <v>26.0</v>
      </c>
      <c r="AB46" s="2">
        <v>27.0</v>
      </c>
      <c r="AC46" s="2">
        <v>28.0</v>
      </c>
      <c r="AD46" s="2">
        <v>29.0</v>
      </c>
      <c r="AE46" s="2">
        <v>30.0</v>
      </c>
      <c r="AF46" s="2">
        <v>31.0</v>
      </c>
      <c r="AG46" s="2">
        <v>32.0</v>
      </c>
      <c r="AH46" s="2">
        <v>33.0</v>
      </c>
      <c r="AI46" s="2">
        <v>34.0</v>
      </c>
      <c r="AJ46" s="2">
        <v>35.0</v>
      </c>
      <c r="AK46" s="2">
        <v>36.0</v>
      </c>
      <c r="AL46" s="2">
        <v>37.0</v>
      </c>
      <c r="AM46" s="2">
        <v>38.0</v>
      </c>
      <c r="AN46" s="2">
        <v>39.0</v>
      </c>
      <c r="AO46" s="2">
        <v>40.0</v>
      </c>
      <c r="AP46" s="2">
        <v>41.0</v>
      </c>
      <c r="AQ46" s="2">
        <v>42.0</v>
      </c>
      <c r="AR46" s="2">
        <v>43.0</v>
      </c>
      <c r="AS46" s="2">
        <v>44.0</v>
      </c>
      <c r="AT46" s="2">
        <v>45.0</v>
      </c>
      <c r="AU46" s="2">
        <v>46.0</v>
      </c>
      <c r="AV46" s="2">
        <v>47.0</v>
      </c>
      <c r="AW46" s="2">
        <v>48.0</v>
      </c>
      <c r="AX46" s="2">
        <v>49.0</v>
      </c>
      <c r="AY46" s="2">
        <v>50.0</v>
      </c>
      <c r="AZ46" s="2">
        <v>51.0</v>
      </c>
      <c r="BA46" s="2">
        <v>52.0</v>
      </c>
      <c r="BB46" s="2">
        <v>53.0</v>
      </c>
      <c r="BC46" s="2">
        <v>54.0</v>
      </c>
      <c r="BD46" s="2">
        <v>55.0</v>
      </c>
      <c r="BE46" s="2">
        <v>56.0</v>
      </c>
      <c r="BF46" s="2">
        <v>57.0</v>
      </c>
      <c r="BG46" s="2">
        <v>58.0</v>
      </c>
      <c r="BH46" s="2">
        <v>59.0</v>
      </c>
      <c r="BI46" s="2">
        <v>60.0</v>
      </c>
      <c r="BJ46" s="2">
        <v>61.0</v>
      </c>
      <c r="BK46" s="2">
        <v>62.0</v>
      </c>
      <c r="BL46" s="2">
        <v>63.0</v>
      </c>
      <c r="BM46" s="2">
        <v>64.0</v>
      </c>
      <c r="BN46" s="2">
        <v>65.0</v>
      </c>
      <c r="BO46" s="2">
        <v>66.0</v>
      </c>
      <c r="BP46" s="2">
        <v>67.0</v>
      </c>
      <c r="BQ46" s="2">
        <v>68.0</v>
      </c>
      <c r="BR46" s="2">
        <v>69.0</v>
      </c>
      <c r="BS46" s="2">
        <v>70.0</v>
      </c>
      <c r="BT46" s="2">
        <v>71.0</v>
      </c>
      <c r="BU46" s="2">
        <v>72.0</v>
      </c>
      <c r="BV46" s="2">
        <v>73.0</v>
      </c>
      <c r="BW46" s="2">
        <v>74.0</v>
      </c>
      <c r="BX46" s="2">
        <v>75.0</v>
      </c>
    </row>
    <row r="47">
      <c r="A47" s="2" t="s">
        <v>86</v>
      </c>
      <c r="B47" s="62">
        <f>B4+B6</f>
        <v>328274.0833</v>
      </c>
      <c r="C47" s="62">
        <f t="shared" ref="C47:D47" si="1">$B$5+$B$6</f>
        <v>478274.0833</v>
      </c>
      <c r="D47" s="62">
        <f t="shared" si="1"/>
        <v>478274.0833</v>
      </c>
      <c r="E47" s="62">
        <f t="shared" ref="E47:P47" si="2">$B$5+$B$6*(($B$21*$B$23)+($B$26*$B$31))</f>
        <v>405705.7688</v>
      </c>
      <c r="F47" s="62">
        <f t="shared" si="2"/>
        <v>405705.7688</v>
      </c>
      <c r="G47" s="62">
        <f t="shared" si="2"/>
        <v>405705.7688</v>
      </c>
      <c r="H47" s="62">
        <f t="shared" si="2"/>
        <v>405705.7688</v>
      </c>
      <c r="I47" s="62">
        <f t="shared" si="2"/>
        <v>405705.7688</v>
      </c>
      <c r="J47" s="62">
        <f t="shared" si="2"/>
        <v>405705.7688</v>
      </c>
      <c r="K47" s="62">
        <f t="shared" si="2"/>
        <v>405705.7688</v>
      </c>
      <c r="L47" s="62">
        <f t="shared" si="2"/>
        <v>405705.7688</v>
      </c>
      <c r="M47" s="62">
        <f t="shared" si="2"/>
        <v>405705.7688</v>
      </c>
      <c r="N47" s="62">
        <f t="shared" si="2"/>
        <v>405705.7688</v>
      </c>
      <c r="O47" s="62">
        <f t="shared" si="2"/>
        <v>405705.7688</v>
      </c>
      <c r="P47" s="62">
        <f t="shared" si="2"/>
        <v>405705.7688</v>
      </c>
      <c r="Q47" s="63">
        <v>0.0</v>
      </c>
      <c r="R47" s="63">
        <v>0.0</v>
      </c>
      <c r="S47" s="63">
        <v>0.0</v>
      </c>
      <c r="T47" s="63">
        <v>0.0</v>
      </c>
      <c r="U47" s="63">
        <v>0.0</v>
      </c>
      <c r="V47" s="63">
        <v>0.0</v>
      </c>
      <c r="W47" s="63">
        <v>0.0</v>
      </c>
      <c r="X47" s="63">
        <v>0.0</v>
      </c>
      <c r="Y47" s="63">
        <v>0.0</v>
      </c>
      <c r="Z47" s="63">
        <v>0.0</v>
      </c>
      <c r="AA47" s="63">
        <v>0.0</v>
      </c>
      <c r="AB47" s="63">
        <v>0.0</v>
      </c>
      <c r="AC47" s="63">
        <v>0.0</v>
      </c>
      <c r="AD47" s="63">
        <v>0.0</v>
      </c>
      <c r="AE47" s="63">
        <v>0.0</v>
      </c>
      <c r="AF47" s="63">
        <v>0.0</v>
      </c>
      <c r="AG47" s="63">
        <v>0.0</v>
      </c>
      <c r="AH47" s="63">
        <v>0.0</v>
      </c>
      <c r="AI47" s="63">
        <v>0.0</v>
      </c>
      <c r="AJ47" s="63">
        <v>0.0</v>
      </c>
      <c r="AK47" s="63">
        <v>0.0</v>
      </c>
      <c r="AL47" s="63">
        <v>0.0</v>
      </c>
      <c r="AM47" s="63">
        <v>0.0</v>
      </c>
      <c r="AN47" s="63">
        <v>0.0</v>
      </c>
      <c r="AO47" s="63">
        <v>0.0</v>
      </c>
      <c r="AP47" s="63">
        <v>0.0</v>
      </c>
      <c r="AQ47" s="63">
        <v>0.0</v>
      </c>
      <c r="AR47" s="63">
        <v>0.0</v>
      </c>
      <c r="AS47" s="63">
        <v>0.0</v>
      </c>
      <c r="AT47" s="63">
        <v>0.0</v>
      </c>
      <c r="AU47" s="63">
        <v>0.0</v>
      </c>
      <c r="AV47" s="63">
        <v>0.0</v>
      </c>
      <c r="AW47" s="63">
        <v>0.0</v>
      </c>
      <c r="AX47" s="63">
        <v>0.0</v>
      </c>
      <c r="AY47" s="63">
        <v>0.0</v>
      </c>
      <c r="AZ47" s="63">
        <v>0.0</v>
      </c>
      <c r="BA47" s="63">
        <v>0.0</v>
      </c>
      <c r="BB47" s="63">
        <v>0.0</v>
      </c>
      <c r="BC47" s="63">
        <v>0.0</v>
      </c>
      <c r="BD47" s="63">
        <v>0.0</v>
      </c>
      <c r="BE47" s="63">
        <v>0.0</v>
      </c>
      <c r="BF47" s="63">
        <v>0.0</v>
      </c>
      <c r="BG47" s="63">
        <v>0.0</v>
      </c>
      <c r="BH47" s="63">
        <v>0.0</v>
      </c>
      <c r="BI47" s="63">
        <v>0.0</v>
      </c>
      <c r="BJ47" s="63">
        <v>0.0</v>
      </c>
      <c r="BK47" s="63">
        <v>0.0</v>
      </c>
      <c r="BL47" s="63">
        <v>0.0</v>
      </c>
      <c r="BM47" s="63">
        <v>0.0</v>
      </c>
      <c r="BN47" s="63">
        <v>0.0</v>
      </c>
      <c r="BO47" s="63">
        <v>0.0</v>
      </c>
      <c r="BP47" s="63">
        <v>0.0</v>
      </c>
      <c r="BQ47" s="63">
        <v>0.0</v>
      </c>
      <c r="BR47" s="63">
        <v>0.0</v>
      </c>
      <c r="BS47" s="63">
        <v>0.0</v>
      </c>
      <c r="BT47" s="63">
        <v>0.0</v>
      </c>
      <c r="BU47" s="63">
        <v>0.0</v>
      </c>
      <c r="BV47" s="63">
        <v>0.0</v>
      </c>
      <c r="BW47" s="63">
        <v>0.0</v>
      </c>
      <c r="BX47" s="63">
        <v>0.0</v>
      </c>
    </row>
    <row r="48">
      <c r="A48" s="2" t="s">
        <v>87</v>
      </c>
      <c r="B48" s="37">
        <v>0.0</v>
      </c>
      <c r="C48" s="37">
        <v>0.0</v>
      </c>
      <c r="D48" s="37">
        <v>0.0</v>
      </c>
      <c r="E48" s="37">
        <v>0.0</v>
      </c>
      <c r="F48" s="37">
        <v>0.0</v>
      </c>
      <c r="G48" s="37">
        <v>0.0</v>
      </c>
      <c r="H48" s="37">
        <v>0.0</v>
      </c>
      <c r="I48" s="37">
        <v>0.0</v>
      </c>
      <c r="J48" s="37">
        <v>0.0</v>
      </c>
      <c r="K48" s="37">
        <f t="shared" ref="K48:BX48" si="3">$B$37*$B$38</f>
        <v>3142942.96</v>
      </c>
      <c r="L48" s="37">
        <f t="shared" si="3"/>
        <v>3142942.96</v>
      </c>
      <c r="M48" s="37">
        <f t="shared" si="3"/>
        <v>3142942.96</v>
      </c>
      <c r="N48" s="37">
        <f t="shared" si="3"/>
        <v>3142942.96</v>
      </c>
      <c r="O48" s="37">
        <f t="shared" si="3"/>
        <v>3142942.96</v>
      </c>
      <c r="P48" s="37">
        <f t="shared" si="3"/>
        <v>3142942.96</v>
      </c>
      <c r="Q48" s="64">
        <f t="shared" si="3"/>
        <v>3142942.96</v>
      </c>
      <c r="R48" s="64">
        <f t="shared" si="3"/>
        <v>3142942.96</v>
      </c>
      <c r="S48" s="64">
        <f t="shared" si="3"/>
        <v>3142942.96</v>
      </c>
      <c r="T48" s="64">
        <f t="shared" si="3"/>
        <v>3142942.96</v>
      </c>
      <c r="U48" s="64">
        <f t="shared" si="3"/>
        <v>3142942.96</v>
      </c>
      <c r="V48" s="64">
        <f t="shared" si="3"/>
        <v>3142942.96</v>
      </c>
      <c r="W48" s="64">
        <f t="shared" si="3"/>
        <v>3142942.96</v>
      </c>
      <c r="X48" s="64">
        <f t="shared" si="3"/>
        <v>3142942.96</v>
      </c>
      <c r="Y48" s="64">
        <f t="shared" si="3"/>
        <v>3142942.96</v>
      </c>
      <c r="Z48" s="64">
        <f t="shared" si="3"/>
        <v>3142942.96</v>
      </c>
      <c r="AA48" s="64">
        <f t="shared" si="3"/>
        <v>3142942.96</v>
      </c>
      <c r="AB48" s="64">
        <f t="shared" si="3"/>
        <v>3142942.96</v>
      </c>
      <c r="AC48" s="64">
        <f t="shared" si="3"/>
        <v>3142942.96</v>
      </c>
      <c r="AD48" s="64">
        <f t="shared" si="3"/>
        <v>3142942.96</v>
      </c>
      <c r="AE48" s="64">
        <f t="shared" si="3"/>
        <v>3142942.96</v>
      </c>
      <c r="AF48" s="64">
        <f t="shared" si="3"/>
        <v>3142942.96</v>
      </c>
      <c r="AG48" s="64">
        <f t="shared" si="3"/>
        <v>3142942.96</v>
      </c>
      <c r="AH48" s="64">
        <f t="shared" si="3"/>
        <v>3142942.96</v>
      </c>
      <c r="AI48" s="64">
        <f t="shared" si="3"/>
        <v>3142942.96</v>
      </c>
      <c r="AJ48" s="64">
        <f t="shared" si="3"/>
        <v>3142942.96</v>
      </c>
      <c r="AK48" s="64">
        <f t="shared" si="3"/>
        <v>3142942.96</v>
      </c>
      <c r="AL48" s="64">
        <f t="shared" si="3"/>
        <v>3142942.96</v>
      </c>
      <c r="AM48" s="64">
        <f t="shared" si="3"/>
        <v>3142942.96</v>
      </c>
      <c r="AN48" s="64">
        <f t="shared" si="3"/>
        <v>3142942.96</v>
      </c>
      <c r="AO48" s="64">
        <f t="shared" si="3"/>
        <v>3142942.96</v>
      </c>
      <c r="AP48" s="64">
        <f t="shared" si="3"/>
        <v>3142942.96</v>
      </c>
      <c r="AQ48" s="64">
        <f t="shared" si="3"/>
        <v>3142942.96</v>
      </c>
      <c r="AR48" s="64">
        <f t="shared" si="3"/>
        <v>3142942.96</v>
      </c>
      <c r="AS48" s="64">
        <f t="shared" si="3"/>
        <v>3142942.96</v>
      </c>
      <c r="AT48" s="64">
        <f t="shared" si="3"/>
        <v>3142942.96</v>
      </c>
      <c r="AU48" s="64">
        <f t="shared" si="3"/>
        <v>3142942.96</v>
      </c>
      <c r="AV48" s="64">
        <f t="shared" si="3"/>
        <v>3142942.96</v>
      </c>
      <c r="AW48" s="64">
        <f t="shared" si="3"/>
        <v>3142942.96</v>
      </c>
      <c r="AX48" s="64">
        <f t="shared" si="3"/>
        <v>3142942.96</v>
      </c>
      <c r="AY48" s="64">
        <f t="shared" si="3"/>
        <v>3142942.96</v>
      </c>
      <c r="AZ48" s="64">
        <f t="shared" si="3"/>
        <v>3142942.96</v>
      </c>
      <c r="BA48" s="64">
        <f t="shared" si="3"/>
        <v>3142942.96</v>
      </c>
      <c r="BB48" s="64">
        <f t="shared" si="3"/>
        <v>3142942.96</v>
      </c>
      <c r="BC48" s="64">
        <f t="shared" si="3"/>
        <v>3142942.96</v>
      </c>
      <c r="BD48" s="64">
        <f t="shared" si="3"/>
        <v>3142942.96</v>
      </c>
      <c r="BE48" s="64">
        <f t="shared" si="3"/>
        <v>3142942.96</v>
      </c>
      <c r="BF48" s="64">
        <f t="shared" si="3"/>
        <v>3142942.96</v>
      </c>
      <c r="BG48" s="64">
        <f t="shared" si="3"/>
        <v>3142942.96</v>
      </c>
      <c r="BH48" s="64">
        <f t="shared" si="3"/>
        <v>3142942.96</v>
      </c>
      <c r="BI48" s="64">
        <f t="shared" si="3"/>
        <v>3142942.96</v>
      </c>
      <c r="BJ48" s="64">
        <f t="shared" si="3"/>
        <v>3142942.96</v>
      </c>
      <c r="BK48" s="64">
        <f t="shared" si="3"/>
        <v>3142942.96</v>
      </c>
      <c r="BL48" s="64">
        <f t="shared" si="3"/>
        <v>3142942.96</v>
      </c>
      <c r="BM48" s="64">
        <f t="shared" si="3"/>
        <v>3142942.96</v>
      </c>
      <c r="BN48" s="64">
        <f t="shared" si="3"/>
        <v>3142942.96</v>
      </c>
      <c r="BO48" s="64">
        <f t="shared" si="3"/>
        <v>3142942.96</v>
      </c>
      <c r="BP48" s="64">
        <f t="shared" si="3"/>
        <v>3142942.96</v>
      </c>
      <c r="BQ48" s="64">
        <f t="shared" si="3"/>
        <v>3142942.96</v>
      </c>
      <c r="BR48" s="64">
        <f t="shared" si="3"/>
        <v>3142942.96</v>
      </c>
      <c r="BS48" s="64">
        <f t="shared" si="3"/>
        <v>3142942.96</v>
      </c>
      <c r="BT48" s="64">
        <f t="shared" si="3"/>
        <v>3142942.96</v>
      </c>
      <c r="BU48" s="64">
        <f t="shared" si="3"/>
        <v>3142942.96</v>
      </c>
      <c r="BV48" s="64">
        <f t="shared" si="3"/>
        <v>3142942.96</v>
      </c>
      <c r="BW48" s="64">
        <f t="shared" si="3"/>
        <v>3142942.96</v>
      </c>
      <c r="BX48" s="37">
        <f t="shared" si="3"/>
        <v>3142942.96</v>
      </c>
    </row>
    <row r="49">
      <c r="A49" s="2"/>
      <c r="B49" s="6"/>
      <c r="C49" s="6"/>
      <c r="D49" s="6"/>
      <c r="E49" s="6"/>
      <c r="F49" s="6"/>
      <c r="G49" s="65"/>
      <c r="H49" s="6"/>
      <c r="I49" s="6"/>
      <c r="J49" s="6"/>
      <c r="K49" s="6"/>
    </row>
    <row r="50">
      <c r="A50" s="14" t="s">
        <v>88</v>
      </c>
      <c r="B50" s="14"/>
      <c r="C50" s="14"/>
      <c r="D50" s="14"/>
      <c r="E50" s="14"/>
      <c r="F50" s="14"/>
      <c r="G50" s="15"/>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c r="A51" s="2" t="s">
        <v>5</v>
      </c>
      <c r="B51" s="6">
        <f t="array" ref="B51">NPV(B40,47:47)</f>
        <v>4567946.831</v>
      </c>
      <c r="G51" s="66"/>
      <c r="J51" s="67"/>
      <c r="K51" s="68"/>
    </row>
    <row r="52">
      <c r="A52" s="2" t="s">
        <v>6</v>
      </c>
      <c r="B52" s="6">
        <f t="array" ref="B52">NPV(B43,48:48)</f>
        <v>16335401.33</v>
      </c>
      <c r="G52" s="66"/>
    </row>
    <row r="53">
      <c r="A53" s="2" t="s">
        <v>7</v>
      </c>
      <c r="B53" s="6">
        <f>B52/B51</f>
        <v>3.576092703</v>
      </c>
      <c r="G53" s="66"/>
    </row>
    <row r="54">
      <c r="B54" s="6"/>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row r="1003">
      <c r="G1003" s="66"/>
    </row>
  </sheetData>
  <hyperlinks>
    <hyperlink r:id="rId1" location="c2" ref="G6"/>
    <hyperlink r:id="rId2" ref="G12"/>
    <hyperlink r:id="rId3" ref="G13"/>
    <hyperlink r:id="rId4" ref="G15"/>
    <hyperlink r:id="rId5" ref="G20"/>
    <hyperlink r:id="rId6" ref="G29"/>
    <hyperlink r:id="rId7" location="gid=1748706729" ref="G35"/>
    <hyperlink r:id="rId8" location=":~:text=95%25%20of%20the%20broiler%20chickens,just%20five%20to%20six%20weeks." ref="G37"/>
    <hyperlink r:id="rId9" location="gid=289821833" ref="G38"/>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13</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155</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111</v>
      </c>
      <c r="B12" s="27">
        <f>154154*1000</f>
        <v>154154000</v>
      </c>
      <c r="C12" s="28" t="s">
        <v>156</v>
      </c>
      <c r="D12" s="23"/>
      <c r="E12" s="23"/>
      <c r="F12" s="23"/>
      <c r="G12" s="29" t="s">
        <v>113</v>
      </c>
    </row>
    <row r="13">
      <c r="A13" s="26" t="s">
        <v>114</v>
      </c>
      <c r="B13" s="30">
        <v>2.29</v>
      </c>
      <c r="C13" s="28" t="s">
        <v>157</v>
      </c>
      <c r="D13" s="23"/>
      <c r="E13" s="23"/>
      <c r="F13" s="23"/>
      <c r="G13" s="29" t="s">
        <v>116</v>
      </c>
    </row>
    <row r="14">
      <c r="A14" s="26" t="s">
        <v>117</v>
      </c>
      <c r="B14" s="31">
        <f>B12/B13</f>
        <v>67316157.21</v>
      </c>
      <c r="C14" s="28" t="s">
        <v>118</v>
      </c>
      <c r="D14" s="23"/>
      <c r="E14" s="23"/>
      <c r="F14" s="23"/>
      <c r="G14" s="32" t="s">
        <v>22</v>
      </c>
    </row>
    <row r="15">
      <c r="A15" s="26" t="s">
        <v>119</v>
      </c>
      <c r="B15" s="33">
        <f>AVERAGE(8%,2%,1%)</f>
        <v>0.03666666667</v>
      </c>
      <c r="C15" s="28" t="s">
        <v>158</v>
      </c>
      <c r="D15" s="23"/>
      <c r="E15" s="23"/>
      <c r="F15" s="23"/>
      <c r="G15" s="29" t="s">
        <v>113</v>
      </c>
      <c r="H15" s="20"/>
    </row>
    <row r="16">
      <c r="A16" s="34" t="s">
        <v>44</v>
      </c>
      <c r="B16" s="35">
        <v>5.0</v>
      </c>
      <c r="C16" s="2" t="s">
        <v>45</v>
      </c>
      <c r="G16" s="22" t="s">
        <v>22</v>
      </c>
    </row>
    <row r="17">
      <c r="A17" s="34" t="s">
        <v>121</v>
      </c>
      <c r="B17" s="36">
        <f>B14*(1+B15)^3</f>
        <v>74995761.44</v>
      </c>
      <c r="C17" s="2" t="s">
        <v>47</v>
      </c>
      <c r="G17" s="22"/>
    </row>
    <row r="18">
      <c r="A18" s="34"/>
      <c r="B18" s="37"/>
      <c r="C18" s="2"/>
      <c r="G18" s="22"/>
    </row>
    <row r="19">
      <c r="A19" s="38" t="s">
        <v>48</v>
      </c>
      <c r="B19" s="39"/>
      <c r="C19" s="39"/>
      <c r="G19" s="40"/>
    </row>
    <row r="20">
      <c r="A20" s="34" t="s">
        <v>122</v>
      </c>
      <c r="B20" s="41">
        <f>average(39%,60%,80%)</f>
        <v>0.5966666667</v>
      </c>
      <c r="C20" s="39" t="s">
        <v>50</v>
      </c>
      <c r="G20" s="40" t="s">
        <v>51</v>
      </c>
    </row>
    <row r="21">
      <c r="A21" s="34" t="s">
        <v>52</v>
      </c>
      <c r="B21" s="42">
        <v>0.8</v>
      </c>
      <c r="C21" s="39" t="s">
        <v>53</v>
      </c>
      <c r="G21" s="40"/>
    </row>
    <row r="22">
      <c r="A22" s="34" t="s">
        <v>123</v>
      </c>
      <c r="B22" s="36">
        <f>B$17*B20*B21</f>
        <v>35797976.79</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AVERAGE(48%,84%,39%,50%,89%)*(0.36/0.72)</f>
        <v>0.31</v>
      </c>
      <c r="C29" s="46" t="s">
        <v>159</v>
      </c>
      <c r="D29" s="23"/>
      <c r="E29" s="23"/>
      <c r="F29" s="23"/>
      <c r="G29" s="29" t="s">
        <v>160</v>
      </c>
      <c r="H29" s="20"/>
    </row>
    <row r="30">
      <c r="A30" s="34" t="s">
        <v>126</v>
      </c>
      <c r="B30" s="36">
        <f>B$17*B26*B28*B27*B29</f>
        <v>8028546.248</v>
      </c>
      <c r="C30" s="2" t="s">
        <v>55</v>
      </c>
      <c r="G30" s="22"/>
      <c r="H30" s="20"/>
    </row>
    <row r="31">
      <c r="A31" s="34" t="s">
        <v>67</v>
      </c>
      <c r="B31" s="47">
        <v>0.3</v>
      </c>
      <c r="C31" s="2" t="s">
        <v>57</v>
      </c>
      <c r="G31" s="22"/>
      <c r="H31" s="20"/>
    </row>
    <row r="32">
      <c r="A32" s="34"/>
      <c r="B32" s="48"/>
      <c r="C32" s="2"/>
      <c r="G32" s="22"/>
      <c r="H32" s="20"/>
    </row>
    <row r="33">
      <c r="A33" s="34" t="s">
        <v>68</v>
      </c>
      <c r="B33" s="49">
        <f>Calculations!G12</f>
        <v>0.243258427</v>
      </c>
      <c r="C33" s="39" t="s">
        <v>69</v>
      </c>
      <c r="G33" s="50" t="s">
        <v>22</v>
      </c>
      <c r="H33" s="20"/>
    </row>
    <row r="34">
      <c r="A34" s="26" t="s">
        <v>127</v>
      </c>
      <c r="B34" s="71">
        <f>24%/64%</f>
        <v>0.375</v>
      </c>
      <c r="C34" s="72" t="s">
        <v>128</v>
      </c>
      <c r="D34" s="23"/>
      <c r="G34" s="50"/>
      <c r="H34" s="20"/>
    </row>
    <row r="35">
      <c r="A35" s="34" t="s">
        <v>70</v>
      </c>
      <c r="B35" s="41">
        <f>average(44.97%,45.8%)</f>
        <v>0.45385</v>
      </c>
      <c r="C35" s="2" t="s">
        <v>71</v>
      </c>
      <c r="G35" s="51" t="s">
        <v>161</v>
      </c>
      <c r="H35" s="20"/>
    </row>
    <row r="36">
      <c r="A36" s="34"/>
      <c r="B36" s="52"/>
      <c r="C36" s="2"/>
      <c r="G36" s="24"/>
      <c r="H36" s="20"/>
    </row>
    <row r="37">
      <c r="A37" s="34" t="s">
        <v>130</v>
      </c>
      <c r="B37" s="36">
        <f>((B22*B23)+(B30*B31))*B33*B34*B35*(1+B15)^B16</f>
        <v>1361509.684</v>
      </c>
      <c r="C37" s="2" t="s">
        <v>55</v>
      </c>
      <c r="G37" s="19" t="s">
        <v>74</v>
      </c>
    </row>
    <row r="38">
      <c r="A38" s="34" t="s">
        <v>75</v>
      </c>
      <c r="B38" s="73">
        <v>0.9473046714</v>
      </c>
      <c r="C38" s="28" t="s">
        <v>131</v>
      </c>
      <c r="D38" s="23"/>
      <c r="E38" s="23"/>
      <c r="F38" s="23"/>
      <c r="G38" s="29" t="s">
        <v>132</v>
      </c>
      <c r="H38" s="55"/>
    </row>
    <row r="39">
      <c r="A39" s="34"/>
      <c r="B39" s="56"/>
      <c r="C39" s="2"/>
      <c r="G39" s="22"/>
      <c r="H39" s="55"/>
    </row>
    <row r="40">
      <c r="A40" s="34" t="s">
        <v>78</v>
      </c>
      <c r="B40" s="41">
        <v>0.04</v>
      </c>
      <c r="C40" s="2" t="s">
        <v>21</v>
      </c>
      <c r="G40" s="18" t="s">
        <v>22</v>
      </c>
    </row>
    <row r="41">
      <c r="A41" s="34" t="s">
        <v>79</v>
      </c>
      <c r="B41" s="57">
        <v>0.014</v>
      </c>
      <c r="C41" s="2" t="s">
        <v>21</v>
      </c>
      <c r="G41" s="18" t="s">
        <v>22</v>
      </c>
    </row>
    <row r="42">
      <c r="A42" s="58" t="s">
        <v>80</v>
      </c>
      <c r="B42" s="59">
        <v>0.075</v>
      </c>
      <c r="C42" s="46" t="s">
        <v>133</v>
      </c>
      <c r="G42" s="18" t="s">
        <v>22</v>
      </c>
      <c r="H42" s="20"/>
    </row>
    <row r="43">
      <c r="A43" s="58" t="s">
        <v>82</v>
      </c>
      <c r="B43" s="60">
        <f>SUM(B41:B42)</f>
        <v>0.089</v>
      </c>
      <c r="C43" s="2" t="s">
        <v>83</v>
      </c>
      <c r="G43" s="18" t="s">
        <v>22</v>
      </c>
    </row>
    <row r="44">
      <c r="A44" s="2"/>
      <c r="B44" s="48"/>
      <c r="C44" s="2"/>
      <c r="G44" s="18"/>
    </row>
    <row r="45">
      <c r="A45" s="14" t="s">
        <v>84</v>
      </c>
      <c r="B45" s="14"/>
      <c r="C45" s="14"/>
      <c r="D45" s="14"/>
      <c r="E45" s="14"/>
      <c r="F45" s="14"/>
      <c r="G45" s="15"/>
      <c r="H45" s="14"/>
      <c r="I45" s="14"/>
      <c r="J45" s="6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c r="A46" s="2" t="s">
        <v>85</v>
      </c>
      <c r="B46" s="2">
        <v>1.0</v>
      </c>
      <c r="C46" s="2">
        <v>2.0</v>
      </c>
      <c r="D46" s="2">
        <v>3.0</v>
      </c>
      <c r="E46" s="2">
        <v>4.0</v>
      </c>
      <c r="F46" s="2">
        <v>5.0</v>
      </c>
      <c r="G46" s="18">
        <v>6.0</v>
      </c>
      <c r="H46" s="2">
        <v>7.0</v>
      </c>
      <c r="I46" s="2">
        <v>8.0</v>
      </c>
      <c r="J46" s="2">
        <v>9.0</v>
      </c>
      <c r="K46" s="2">
        <v>10.0</v>
      </c>
      <c r="L46" s="2">
        <v>11.0</v>
      </c>
      <c r="M46" s="2">
        <v>12.0</v>
      </c>
      <c r="N46" s="2">
        <v>13.0</v>
      </c>
      <c r="O46" s="2">
        <v>14.0</v>
      </c>
      <c r="P46" s="2">
        <v>15.0</v>
      </c>
      <c r="Q46" s="2">
        <v>16.0</v>
      </c>
      <c r="R46" s="2">
        <v>17.0</v>
      </c>
      <c r="S46" s="2">
        <v>18.0</v>
      </c>
      <c r="T46" s="2">
        <v>19.0</v>
      </c>
      <c r="U46" s="2">
        <v>20.0</v>
      </c>
      <c r="V46" s="2">
        <v>21.0</v>
      </c>
      <c r="W46" s="2">
        <v>22.0</v>
      </c>
      <c r="X46" s="2">
        <v>23.0</v>
      </c>
      <c r="Y46" s="2">
        <v>24.0</v>
      </c>
      <c r="Z46" s="2">
        <v>25.0</v>
      </c>
      <c r="AA46" s="2">
        <v>26.0</v>
      </c>
      <c r="AB46" s="2">
        <v>27.0</v>
      </c>
      <c r="AC46" s="2">
        <v>28.0</v>
      </c>
      <c r="AD46" s="2">
        <v>29.0</v>
      </c>
      <c r="AE46" s="2">
        <v>30.0</v>
      </c>
      <c r="AF46" s="2">
        <v>31.0</v>
      </c>
      <c r="AG46" s="2">
        <v>32.0</v>
      </c>
      <c r="AH46" s="2">
        <v>33.0</v>
      </c>
      <c r="AI46" s="2">
        <v>34.0</v>
      </c>
      <c r="AJ46" s="2">
        <v>35.0</v>
      </c>
      <c r="AK46" s="2">
        <v>36.0</v>
      </c>
      <c r="AL46" s="2">
        <v>37.0</v>
      </c>
      <c r="AM46" s="2">
        <v>38.0</v>
      </c>
      <c r="AN46" s="2">
        <v>39.0</v>
      </c>
      <c r="AO46" s="2">
        <v>40.0</v>
      </c>
      <c r="AP46" s="2">
        <v>41.0</v>
      </c>
      <c r="AQ46" s="2">
        <v>42.0</v>
      </c>
      <c r="AR46" s="2">
        <v>43.0</v>
      </c>
      <c r="AS46" s="2">
        <v>44.0</v>
      </c>
      <c r="AT46" s="2">
        <v>45.0</v>
      </c>
      <c r="AU46" s="2">
        <v>46.0</v>
      </c>
      <c r="AV46" s="2">
        <v>47.0</v>
      </c>
      <c r="AW46" s="2">
        <v>48.0</v>
      </c>
      <c r="AX46" s="2">
        <v>49.0</v>
      </c>
      <c r="AY46" s="2">
        <v>50.0</v>
      </c>
      <c r="AZ46" s="2">
        <v>51.0</v>
      </c>
      <c r="BA46" s="2">
        <v>52.0</v>
      </c>
      <c r="BB46" s="2">
        <v>53.0</v>
      </c>
      <c r="BC46" s="2">
        <v>54.0</v>
      </c>
      <c r="BD46" s="2">
        <v>55.0</v>
      </c>
      <c r="BE46" s="2">
        <v>56.0</v>
      </c>
      <c r="BF46" s="2">
        <v>57.0</v>
      </c>
      <c r="BG46" s="2">
        <v>58.0</v>
      </c>
      <c r="BH46" s="2">
        <v>59.0</v>
      </c>
      <c r="BI46" s="2">
        <v>60.0</v>
      </c>
      <c r="BJ46" s="2">
        <v>61.0</v>
      </c>
      <c r="BK46" s="2">
        <v>62.0</v>
      </c>
      <c r="BL46" s="2">
        <v>63.0</v>
      </c>
      <c r="BM46" s="2">
        <v>64.0</v>
      </c>
      <c r="BN46" s="2">
        <v>65.0</v>
      </c>
      <c r="BO46" s="2">
        <v>66.0</v>
      </c>
      <c r="BP46" s="2">
        <v>67.0</v>
      </c>
      <c r="BQ46" s="2">
        <v>68.0</v>
      </c>
      <c r="BR46" s="2">
        <v>69.0</v>
      </c>
      <c r="BS46" s="2">
        <v>70.0</v>
      </c>
      <c r="BT46" s="2">
        <v>71.0</v>
      </c>
      <c r="BU46" s="2">
        <v>72.0</v>
      </c>
      <c r="BV46" s="2">
        <v>73.0</v>
      </c>
      <c r="BW46" s="2">
        <v>74.0</v>
      </c>
      <c r="BX46" s="2">
        <v>75.0</v>
      </c>
    </row>
    <row r="47">
      <c r="A47" s="2" t="s">
        <v>86</v>
      </c>
      <c r="B47" s="62">
        <f>B4+B6</f>
        <v>328274.0833</v>
      </c>
      <c r="C47" s="62">
        <f t="shared" ref="C47:D47" si="1">$B$5+$B$6</f>
        <v>478274.0833</v>
      </c>
      <c r="D47" s="62">
        <f t="shared" si="1"/>
        <v>478274.0833</v>
      </c>
      <c r="E47" s="62">
        <f t="shared" ref="E47:P47" si="2">$B$5+$B$6*(($B$21*$B$23)+($B$26*$B$31))</f>
        <v>405705.7688</v>
      </c>
      <c r="F47" s="62">
        <f t="shared" si="2"/>
        <v>405705.7688</v>
      </c>
      <c r="G47" s="62">
        <f t="shared" si="2"/>
        <v>405705.7688</v>
      </c>
      <c r="H47" s="62">
        <f t="shared" si="2"/>
        <v>405705.7688</v>
      </c>
      <c r="I47" s="62">
        <f t="shared" si="2"/>
        <v>405705.7688</v>
      </c>
      <c r="J47" s="62">
        <f t="shared" si="2"/>
        <v>405705.7688</v>
      </c>
      <c r="K47" s="62">
        <f t="shared" si="2"/>
        <v>405705.7688</v>
      </c>
      <c r="L47" s="62">
        <f t="shared" si="2"/>
        <v>405705.7688</v>
      </c>
      <c r="M47" s="62">
        <f t="shared" si="2"/>
        <v>405705.7688</v>
      </c>
      <c r="N47" s="62">
        <f t="shared" si="2"/>
        <v>405705.7688</v>
      </c>
      <c r="O47" s="62">
        <f t="shared" si="2"/>
        <v>405705.7688</v>
      </c>
      <c r="P47" s="62">
        <f t="shared" si="2"/>
        <v>405705.7688</v>
      </c>
      <c r="Q47" s="63">
        <v>0.0</v>
      </c>
      <c r="R47" s="63">
        <v>0.0</v>
      </c>
      <c r="S47" s="63">
        <v>0.0</v>
      </c>
      <c r="T47" s="63">
        <v>0.0</v>
      </c>
      <c r="U47" s="63">
        <v>0.0</v>
      </c>
      <c r="V47" s="63">
        <v>0.0</v>
      </c>
      <c r="W47" s="63">
        <v>0.0</v>
      </c>
      <c r="X47" s="63">
        <v>0.0</v>
      </c>
      <c r="Y47" s="63">
        <v>0.0</v>
      </c>
      <c r="Z47" s="63">
        <v>0.0</v>
      </c>
      <c r="AA47" s="63">
        <v>0.0</v>
      </c>
      <c r="AB47" s="63">
        <v>0.0</v>
      </c>
      <c r="AC47" s="63">
        <v>0.0</v>
      </c>
      <c r="AD47" s="63">
        <v>0.0</v>
      </c>
      <c r="AE47" s="63">
        <v>0.0</v>
      </c>
      <c r="AF47" s="63">
        <v>0.0</v>
      </c>
      <c r="AG47" s="63">
        <v>0.0</v>
      </c>
      <c r="AH47" s="63">
        <v>0.0</v>
      </c>
      <c r="AI47" s="63">
        <v>0.0</v>
      </c>
      <c r="AJ47" s="63">
        <v>0.0</v>
      </c>
      <c r="AK47" s="63">
        <v>0.0</v>
      </c>
      <c r="AL47" s="63">
        <v>0.0</v>
      </c>
      <c r="AM47" s="63">
        <v>0.0</v>
      </c>
      <c r="AN47" s="63">
        <v>0.0</v>
      </c>
      <c r="AO47" s="63">
        <v>0.0</v>
      </c>
      <c r="AP47" s="63">
        <v>0.0</v>
      </c>
      <c r="AQ47" s="63">
        <v>0.0</v>
      </c>
      <c r="AR47" s="63">
        <v>0.0</v>
      </c>
      <c r="AS47" s="63">
        <v>0.0</v>
      </c>
      <c r="AT47" s="63">
        <v>0.0</v>
      </c>
      <c r="AU47" s="63">
        <v>0.0</v>
      </c>
      <c r="AV47" s="63">
        <v>0.0</v>
      </c>
      <c r="AW47" s="63">
        <v>0.0</v>
      </c>
      <c r="AX47" s="63">
        <v>0.0</v>
      </c>
      <c r="AY47" s="63">
        <v>0.0</v>
      </c>
      <c r="AZ47" s="63">
        <v>0.0</v>
      </c>
      <c r="BA47" s="63">
        <v>0.0</v>
      </c>
      <c r="BB47" s="63">
        <v>0.0</v>
      </c>
      <c r="BC47" s="63">
        <v>0.0</v>
      </c>
      <c r="BD47" s="63">
        <v>0.0</v>
      </c>
      <c r="BE47" s="63">
        <v>0.0</v>
      </c>
      <c r="BF47" s="63">
        <v>0.0</v>
      </c>
      <c r="BG47" s="63">
        <v>0.0</v>
      </c>
      <c r="BH47" s="63">
        <v>0.0</v>
      </c>
      <c r="BI47" s="63">
        <v>0.0</v>
      </c>
      <c r="BJ47" s="63">
        <v>0.0</v>
      </c>
      <c r="BK47" s="63">
        <v>0.0</v>
      </c>
      <c r="BL47" s="63">
        <v>0.0</v>
      </c>
      <c r="BM47" s="63">
        <v>0.0</v>
      </c>
      <c r="BN47" s="63">
        <v>0.0</v>
      </c>
      <c r="BO47" s="63">
        <v>0.0</v>
      </c>
      <c r="BP47" s="63">
        <v>0.0</v>
      </c>
      <c r="BQ47" s="63">
        <v>0.0</v>
      </c>
      <c r="BR47" s="63">
        <v>0.0</v>
      </c>
      <c r="BS47" s="63">
        <v>0.0</v>
      </c>
      <c r="BT47" s="63">
        <v>0.0</v>
      </c>
      <c r="BU47" s="63">
        <v>0.0</v>
      </c>
      <c r="BV47" s="63">
        <v>0.0</v>
      </c>
      <c r="BW47" s="63">
        <v>0.0</v>
      </c>
      <c r="BX47" s="63">
        <v>0.0</v>
      </c>
    </row>
    <row r="48">
      <c r="A48" s="2" t="s">
        <v>87</v>
      </c>
      <c r="B48" s="37">
        <v>0.0</v>
      </c>
      <c r="C48" s="37">
        <v>0.0</v>
      </c>
      <c r="D48" s="37">
        <v>0.0</v>
      </c>
      <c r="E48" s="37">
        <v>0.0</v>
      </c>
      <c r="F48" s="37">
        <v>0.0</v>
      </c>
      <c r="G48" s="37">
        <v>0.0</v>
      </c>
      <c r="H48" s="37">
        <v>0.0</v>
      </c>
      <c r="I48" s="37">
        <v>0.0</v>
      </c>
      <c r="J48" s="37">
        <v>0.0</v>
      </c>
      <c r="K48" s="37">
        <f t="shared" ref="K48:BX48" si="3">$B$37*$B$38</f>
        <v>1289764.484</v>
      </c>
      <c r="L48" s="37">
        <f t="shared" si="3"/>
        <v>1289764.484</v>
      </c>
      <c r="M48" s="37">
        <f t="shared" si="3"/>
        <v>1289764.484</v>
      </c>
      <c r="N48" s="37">
        <f t="shared" si="3"/>
        <v>1289764.484</v>
      </c>
      <c r="O48" s="37">
        <f t="shared" si="3"/>
        <v>1289764.484</v>
      </c>
      <c r="P48" s="37">
        <f t="shared" si="3"/>
        <v>1289764.484</v>
      </c>
      <c r="Q48" s="64">
        <f t="shared" si="3"/>
        <v>1289764.484</v>
      </c>
      <c r="R48" s="64">
        <f t="shared" si="3"/>
        <v>1289764.484</v>
      </c>
      <c r="S48" s="64">
        <f t="shared" si="3"/>
        <v>1289764.484</v>
      </c>
      <c r="T48" s="64">
        <f t="shared" si="3"/>
        <v>1289764.484</v>
      </c>
      <c r="U48" s="64">
        <f t="shared" si="3"/>
        <v>1289764.484</v>
      </c>
      <c r="V48" s="64">
        <f t="shared" si="3"/>
        <v>1289764.484</v>
      </c>
      <c r="W48" s="64">
        <f t="shared" si="3"/>
        <v>1289764.484</v>
      </c>
      <c r="X48" s="64">
        <f t="shared" si="3"/>
        <v>1289764.484</v>
      </c>
      <c r="Y48" s="64">
        <f t="shared" si="3"/>
        <v>1289764.484</v>
      </c>
      <c r="Z48" s="64">
        <f t="shared" si="3"/>
        <v>1289764.484</v>
      </c>
      <c r="AA48" s="64">
        <f t="shared" si="3"/>
        <v>1289764.484</v>
      </c>
      <c r="AB48" s="64">
        <f t="shared" si="3"/>
        <v>1289764.484</v>
      </c>
      <c r="AC48" s="64">
        <f t="shared" si="3"/>
        <v>1289764.484</v>
      </c>
      <c r="AD48" s="64">
        <f t="shared" si="3"/>
        <v>1289764.484</v>
      </c>
      <c r="AE48" s="64">
        <f t="shared" si="3"/>
        <v>1289764.484</v>
      </c>
      <c r="AF48" s="64">
        <f t="shared" si="3"/>
        <v>1289764.484</v>
      </c>
      <c r="AG48" s="64">
        <f t="shared" si="3"/>
        <v>1289764.484</v>
      </c>
      <c r="AH48" s="64">
        <f t="shared" si="3"/>
        <v>1289764.484</v>
      </c>
      <c r="AI48" s="64">
        <f t="shared" si="3"/>
        <v>1289764.484</v>
      </c>
      <c r="AJ48" s="64">
        <f t="shared" si="3"/>
        <v>1289764.484</v>
      </c>
      <c r="AK48" s="64">
        <f t="shared" si="3"/>
        <v>1289764.484</v>
      </c>
      <c r="AL48" s="64">
        <f t="shared" si="3"/>
        <v>1289764.484</v>
      </c>
      <c r="AM48" s="64">
        <f t="shared" si="3"/>
        <v>1289764.484</v>
      </c>
      <c r="AN48" s="64">
        <f t="shared" si="3"/>
        <v>1289764.484</v>
      </c>
      <c r="AO48" s="64">
        <f t="shared" si="3"/>
        <v>1289764.484</v>
      </c>
      <c r="AP48" s="64">
        <f t="shared" si="3"/>
        <v>1289764.484</v>
      </c>
      <c r="AQ48" s="64">
        <f t="shared" si="3"/>
        <v>1289764.484</v>
      </c>
      <c r="AR48" s="64">
        <f t="shared" si="3"/>
        <v>1289764.484</v>
      </c>
      <c r="AS48" s="64">
        <f t="shared" si="3"/>
        <v>1289764.484</v>
      </c>
      <c r="AT48" s="64">
        <f t="shared" si="3"/>
        <v>1289764.484</v>
      </c>
      <c r="AU48" s="64">
        <f t="shared" si="3"/>
        <v>1289764.484</v>
      </c>
      <c r="AV48" s="64">
        <f t="shared" si="3"/>
        <v>1289764.484</v>
      </c>
      <c r="AW48" s="64">
        <f t="shared" si="3"/>
        <v>1289764.484</v>
      </c>
      <c r="AX48" s="64">
        <f t="shared" si="3"/>
        <v>1289764.484</v>
      </c>
      <c r="AY48" s="64">
        <f t="shared" si="3"/>
        <v>1289764.484</v>
      </c>
      <c r="AZ48" s="64">
        <f t="shared" si="3"/>
        <v>1289764.484</v>
      </c>
      <c r="BA48" s="64">
        <f t="shared" si="3"/>
        <v>1289764.484</v>
      </c>
      <c r="BB48" s="64">
        <f t="shared" si="3"/>
        <v>1289764.484</v>
      </c>
      <c r="BC48" s="64">
        <f t="shared" si="3"/>
        <v>1289764.484</v>
      </c>
      <c r="BD48" s="64">
        <f t="shared" si="3"/>
        <v>1289764.484</v>
      </c>
      <c r="BE48" s="64">
        <f t="shared" si="3"/>
        <v>1289764.484</v>
      </c>
      <c r="BF48" s="64">
        <f t="shared" si="3"/>
        <v>1289764.484</v>
      </c>
      <c r="BG48" s="64">
        <f t="shared" si="3"/>
        <v>1289764.484</v>
      </c>
      <c r="BH48" s="64">
        <f t="shared" si="3"/>
        <v>1289764.484</v>
      </c>
      <c r="BI48" s="64">
        <f t="shared" si="3"/>
        <v>1289764.484</v>
      </c>
      <c r="BJ48" s="64">
        <f t="shared" si="3"/>
        <v>1289764.484</v>
      </c>
      <c r="BK48" s="64">
        <f t="shared" si="3"/>
        <v>1289764.484</v>
      </c>
      <c r="BL48" s="64">
        <f t="shared" si="3"/>
        <v>1289764.484</v>
      </c>
      <c r="BM48" s="64">
        <f t="shared" si="3"/>
        <v>1289764.484</v>
      </c>
      <c r="BN48" s="64">
        <f t="shared" si="3"/>
        <v>1289764.484</v>
      </c>
      <c r="BO48" s="64">
        <f t="shared" si="3"/>
        <v>1289764.484</v>
      </c>
      <c r="BP48" s="64">
        <f t="shared" si="3"/>
        <v>1289764.484</v>
      </c>
      <c r="BQ48" s="64">
        <f t="shared" si="3"/>
        <v>1289764.484</v>
      </c>
      <c r="BR48" s="64">
        <f t="shared" si="3"/>
        <v>1289764.484</v>
      </c>
      <c r="BS48" s="64">
        <f t="shared" si="3"/>
        <v>1289764.484</v>
      </c>
      <c r="BT48" s="64">
        <f t="shared" si="3"/>
        <v>1289764.484</v>
      </c>
      <c r="BU48" s="64">
        <f t="shared" si="3"/>
        <v>1289764.484</v>
      </c>
      <c r="BV48" s="64">
        <f t="shared" si="3"/>
        <v>1289764.484</v>
      </c>
      <c r="BW48" s="64">
        <f t="shared" si="3"/>
        <v>1289764.484</v>
      </c>
      <c r="BX48" s="37">
        <f t="shared" si="3"/>
        <v>1289764.484</v>
      </c>
    </row>
    <row r="49">
      <c r="A49" s="2"/>
      <c r="B49" s="6"/>
      <c r="C49" s="6"/>
      <c r="D49" s="6"/>
      <c r="E49" s="6"/>
      <c r="F49" s="6"/>
      <c r="G49" s="65"/>
      <c r="H49" s="6"/>
      <c r="I49" s="6"/>
      <c r="J49" s="6"/>
      <c r="K49" s="6"/>
    </row>
    <row r="50">
      <c r="A50" s="14" t="s">
        <v>88</v>
      </c>
      <c r="B50" s="14"/>
      <c r="C50" s="14"/>
      <c r="D50" s="14"/>
      <c r="E50" s="14"/>
      <c r="F50" s="14"/>
      <c r="G50" s="15"/>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c r="A51" s="2" t="s">
        <v>5</v>
      </c>
      <c r="B51" s="6">
        <f t="array" ref="B51">NPV(B40,47:47)</f>
        <v>4567946.831</v>
      </c>
      <c r="G51" s="66"/>
      <c r="J51" s="67"/>
      <c r="K51" s="68"/>
    </row>
    <row r="52">
      <c r="A52" s="2" t="s">
        <v>6</v>
      </c>
      <c r="B52" s="6">
        <f t="array" ref="B52">NPV(B43,48:48)</f>
        <v>6703532.56</v>
      </c>
      <c r="G52" s="66"/>
    </row>
    <row r="53">
      <c r="A53" s="2" t="s">
        <v>7</v>
      </c>
      <c r="B53" s="6">
        <f>B52/B51</f>
        <v>1.467515452</v>
      </c>
      <c r="G53" s="66"/>
    </row>
    <row r="54">
      <c r="B54" s="6"/>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row r="1003">
      <c r="G1003" s="66"/>
    </row>
  </sheetData>
  <hyperlinks>
    <hyperlink r:id="rId1" location="c2" ref="G6"/>
    <hyperlink r:id="rId2" ref="G12"/>
    <hyperlink r:id="rId3" ref="G13"/>
    <hyperlink r:id="rId4" ref="G15"/>
    <hyperlink r:id="rId5" ref="G20"/>
    <hyperlink r:id="rId6" ref="G29"/>
    <hyperlink r:id="rId7" location="gid=1748706729" ref="G35"/>
    <hyperlink r:id="rId8" location=":~:text=95%25%20of%20the%20broiler%20chickens,just%20five%20to%20six%20weeks." ref="G37"/>
    <hyperlink r:id="rId9" location="gid=289821833" ref="G38"/>
  </hyperlinks>
  <drawing r:id="rId10"/>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5.0"/>
    <col customWidth="1" min="2" max="2" width="13.0"/>
    <col customWidth="1" min="3" max="4" width="14.75"/>
    <col customWidth="1" min="7" max="7" width="19.25"/>
    <col customWidth="1" min="17" max="75" width="6.38"/>
  </cols>
  <sheetData>
    <row r="1">
      <c r="A1" s="9"/>
      <c r="B1" s="10" t="s">
        <v>14</v>
      </c>
      <c r="C1" s="9"/>
      <c r="D1" s="9"/>
      <c r="E1" s="9"/>
      <c r="F1" s="9"/>
      <c r="G1" s="11"/>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c r="AN1" s="9"/>
      <c r="AO1" s="9"/>
      <c r="AP1" s="9"/>
      <c r="AQ1" s="9"/>
      <c r="AR1" s="9"/>
      <c r="AS1" s="9"/>
      <c r="AT1" s="9"/>
      <c r="AU1" s="9"/>
      <c r="AV1" s="9"/>
      <c r="AW1" s="9"/>
      <c r="AX1" s="9"/>
      <c r="AY1" s="9"/>
      <c r="AZ1" s="9"/>
      <c r="BA1" s="9"/>
      <c r="BB1" s="9"/>
      <c r="BC1" s="9"/>
      <c r="BD1" s="9"/>
      <c r="BE1" s="9"/>
      <c r="BF1" s="9"/>
      <c r="BG1" s="9"/>
      <c r="BH1" s="9"/>
      <c r="BI1" s="9"/>
      <c r="BJ1" s="9"/>
      <c r="BK1" s="9"/>
      <c r="BL1" s="9"/>
      <c r="BM1" s="9"/>
      <c r="BN1" s="9"/>
      <c r="BO1" s="9"/>
      <c r="BP1" s="9"/>
      <c r="BQ1" s="9"/>
      <c r="BR1" s="9"/>
      <c r="BS1" s="9"/>
      <c r="BT1" s="9"/>
      <c r="BU1" s="9"/>
      <c r="BV1" s="9"/>
      <c r="BW1" s="9"/>
      <c r="BX1" s="9"/>
    </row>
    <row r="2">
      <c r="A2" s="12" t="s">
        <v>15</v>
      </c>
      <c r="B2" s="12" t="s">
        <v>16</v>
      </c>
      <c r="C2" s="12" t="s">
        <v>17</v>
      </c>
      <c r="D2" s="12"/>
      <c r="E2" s="12"/>
      <c r="F2" s="12"/>
      <c r="G2" s="13" t="s">
        <v>18</v>
      </c>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c r="BL2" s="12"/>
      <c r="BM2" s="12"/>
      <c r="BN2" s="12"/>
      <c r="BO2" s="12"/>
      <c r="BP2" s="12"/>
      <c r="BQ2" s="12"/>
      <c r="BR2" s="12"/>
      <c r="BS2" s="12"/>
      <c r="BT2" s="12"/>
      <c r="BU2" s="12"/>
      <c r="BV2" s="12"/>
      <c r="BW2" s="12"/>
      <c r="BX2" s="12"/>
    </row>
    <row r="3">
      <c r="A3" s="14" t="s">
        <v>19</v>
      </c>
      <c r="B3" s="14"/>
      <c r="C3" s="14"/>
      <c r="D3" s="14"/>
      <c r="E3" s="14"/>
      <c r="F3" s="14"/>
      <c r="G3" s="15"/>
      <c r="H3" s="16"/>
      <c r="I3" s="14"/>
      <c r="J3" s="14"/>
      <c r="K3" s="14"/>
      <c r="L3" s="14"/>
      <c r="M3" s="14"/>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row>
    <row r="4">
      <c r="A4" s="2" t="s">
        <v>20</v>
      </c>
      <c r="B4" s="17">
        <v>130000.0</v>
      </c>
      <c r="C4" s="2" t="s">
        <v>21</v>
      </c>
      <c r="G4" s="18" t="s">
        <v>22</v>
      </c>
    </row>
    <row r="5">
      <c r="A5" s="2" t="s">
        <v>23</v>
      </c>
      <c r="B5" s="17">
        <v>280000.0</v>
      </c>
      <c r="C5" s="2" t="s">
        <v>21</v>
      </c>
      <c r="G5" s="18" t="s">
        <v>22</v>
      </c>
    </row>
    <row r="6">
      <c r="A6" s="2" t="s">
        <v>24</v>
      </c>
      <c r="B6" s="17">
        <f>AVERAGE(534332,405436,275223,204425,301497,401996,70000,60000,20000,2000,62628,41752)</f>
        <v>198274.0833</v>
      </c>
      <c r="C6" s="2" t="s">
        <v>25</v>
      </c>
      <c r="G6" s="19" t="s">
        <v>162</v>
      </c>
      <c r="H6" s="20"/>
    </row>
    <row r="7">
      <c r="A7" s="2" t="s">
        <v>27</v>
      </c>
      <c r="B7" s="21">
        <v>15.0</v>
      </c>
      <c r="C7" s="2" t="s">
        <v>28</v>
      </c>
      <c r="G7" s="22" t="s">
        <v>22</v>
      </c>
      <c r="I7" s="23"/>
    </row>
    <row r="8">
      <c r="A8" s="2" t="s">
        <v>29</v>
      </c>
      <c r="B8" s="21">
        <v>3.0</v>
      </c>
      <c r="C8" s="2" t="s">
        <v>30</v>
      </c>
      <c r="G8" s="22" t="s">
        <v>22</v>
      </c>
      <c r="I8" s="23"/>
    </row>
    <row r="9">
      <c r="A9" s="2" t="s">
        <v>31</v>
      </c>
      <c r="B9" s="21">
        <v>10.0</v>
      </c>
      <c r="C9" s="2" t="s">
        <v>32</v>
      </c>
      <c r="G9" s="24" t="s">
        <v>22</v>
      </c>
      <c r="I9" s="23"/>
    </row>
    <row r="10">
      <c r="A10" s="2"/>
      <c r="B10" s="25"/>
      <c r="C10" s="2"/>
      <c r="G10" s="18"/>
    </row>
    <row r="11">
      <c r="A11" s="14" t="s">
        <v>33</v>
      </c>
      <c r="B11" s="14"/>
      <c r="C11" s="14"/>
      <c r="D11" s="14"/>
      <c r="E11" s="14"/>
      <c r="F11" s="14"/>
      <c r="G11" s="15"/>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row>
    <row r="12">
      <c r="A12" s="26" t="s">
        <v>111</v>
      </c>
      <c r="B12" s="27">
        <f>144730*1000</f>
        <v>144730000</v>
      </c>
      <c r="C12" s="28" t="s">
        <v>163</v>
      </c>
      <c r="D12" s="23"/>
      <c r="E12" s="23"/>
      <c r="F12" s="23"/>
      <c r="G12" s="29" t="s">
        <v>113</v>
      </c>
    </row>
    <row r="13">
      <c r="A13" s="26" t="s">
        <v>114</v>
      </c>
      <c r="B13" s="30">
        <v>1.48</v>
      </c>
      <c r="C13" s="28" t="s">
        <v>164</v>
      </c>
      <c r="D13" s="23"/>
      <c r="E13" s="23"/>
      <c r="F13" s="23"/>
      <c r="G13" s="29" t="s">
        <v>116</v>
      </c>
    </row>
    <row r="14">
      <c r="A14" s="26" t="s">
        <v>117</v>
      </c>
      <c r="B14" s="31">
        <f>B12/B13</f>
        <v>97790540.54</v>
      </c>
      <c r="C14" s="28" t="s">
        <v>118</v>
      </c>
      <c r="D14" s="23"/>
      <c r="E14" s="23"/>
      <c r="F14" s="23"/>
      <c r="G14" s="32" t="s">
        <v>22</v>
      </c>
    </row>
    <row r="15">
      <c r="A15" s="26" t="s">
        <v>119</v>
      </c>
      <c r="B15" s="33">
        <f>AVERAGE(-2%,-3%,8%)</f>
        <v>0.01</v>
      </c>
      <c r="C15" s="28" t="s">
        <v>165</v>
      </c>
      <c r="D15" s="23"/>
      <c r="E15" s="23"/>
      <c r="F15" s="23"/>
      <c r="G15" s="29" t="s">
        <v>113</v>
      </c>
      <c r="H15" s="20"/>
    </row>
    <row r="16">
      <c r="A16" s="34" t="s">
        <v>44</v>
      </c>
      <c r="B16" s="35">
        <v>5.0</v>
      </c>
      <c r="C16" s="2" t="s">
        <v>45</v>
      </c>
      <c r="G16" s="22" t="s">
        <v>22</v>
      </c>
    </row>
    <row r="17">
      <c r="A17" s="34" t="s">
        <v>121</v>
      </c>
      <c r="B17" s="36">
        <f>B14*(1+B15)^3</f>
        <v>100753691.7</v>
      </c>
      <c r="C17" s="2" t="s">
        <v>47</v>
      </c>
      <c r="G17" s="22"/>
    </row>
    <row r="18">
      <c r="A18" s="34"/>
      <c r="B18" s="37"/>
      <c r="C18" s="2"/>
      <c r="G18" s="22"/>
    </row>
    <row r="19">
      <c r="A19" s="38" t="s">
        <v>48</v>
      </c>
      <c r="B19" s="39"/>
      <c r="C19" s="39"/>
      <c r="G19" s="40"/>
    </row>
    <row r="20">
      <c r="A20" s="34" t="s">
        <v>122</v>
      </c>
      <c r="B20" s="41">
        <f>average(39%,60%,80%)</f>
        <v>0.5966666667</v>
      </c>
      <c r="C20" s="39" t="s">
        <v>50</v>
      </c>
      <c r="G20" s="40" t="s">
        <v>51</v>
      </c>
    </row>
    <row r="21">
      <c r="A21" s="34" t="s">
        <v>52</v>
      </c>
      <c r="B21" s="42">
        <v>0.8</v>
      </c>
      <c r="C21" s="39" t="s">
        <v>53</v>
      </c>
      <c r="G21" s="40"/>
    </row>
    <row r="22">
      <c r="A22" s="34" t="s">
        <v>123</v>
      </c>
      <c r="B22" s="36">
        <f>B$17*B20*B21</f>
        <v>48093095.51</v>
      </c>
      <c r="C22" s="2" t="s">
        <v>55</v>
      </c>
      <c r="G22" s="40"/>
    </row>
    <row r="23">
      <c r="A23" s="34" t="s">
        <v>56</v>
      </c>
      <c r="B23" s="43">
        <v>0.7</v>
      </c>
      <c r="C23" s="2" t="s">
        <v>57</v>
      </c>
      <c r="G23" s="40"/>
    </row>
    <row r="24">
      <c r="A24" s="34"/>
      <c r="B24" s="2"/>
      <c r="C24" s="2"/>
      <c r="G24" s="24"/>
      <c r="H24" s="20"/>
    </row>
    <row r="25">
      <c r="A25" s="38" t="s">
        <v>58</v>
      </c>
      <c r="B25" s="2"/>
      <c r="C25" s="2"/>
      <c r="G25" s="24"/>
      <c r="H25" s="20"/>
    </row>
    <row r="26">
      <c r="A26" s="34" t="s">
        <v>52</v>
      </c>
      <c r="B26" s="43">
        <f>AVERAGE(29%,30%,15%)</f>
        <v>0.2466666667</v>
      </c>
      <c r="C26" s="2" t="s">
        <v>59</v>
      </c>
      <c r="G26" s="24" t="s">
        <v>22</v>
      </c>
      <c r="H26" s="20"/>
    </row>
    <row r="27">
      <c r="A27" s="44" t="s">
        <v>60</v>
      </c>
      <c r="B27" s="45">
        <v>0.7</v>
      </c>
      <c r="C27" s="46" t="s">
        <v>61</v>
      </c>
      <c r="G27" s="22"/>
      <c r="H27" s="20"/>
    </row>
    <row r="28">
      <c r="A28" s="44" t="s">
        <v>62</v>
      </c>
      <c r="B28" s="45">
        <v>2.0</v>
      </c>
      <c r="C28" s="46" t="s">
        <v>53</v>
      </c>
      <c r="G28" s="22"/>
      <c r="H28" s="20"/>
    </row>
    <row r="29">
      <c r="A29" s="26" t="s">
        <v>63</v>
      </c>
      <c r="B29" s="33">
        <f>AVERAGE(48%,84%,39%,50%,89%)</f>
        <v>0.62</v>
      </c>
      <c r="C29" s="28" t="s">
        <v>166</v>
      </c>
      <c r="D29" s="23"/>
      <c r="E29" s="23"/>
      <c r="F29" s="23"/>
      <c r="G29" s="29" t="s">
        <v>167</v>
      </c>
      <c r="H29" s="20"/>
    </row>
    <row r="30">
      <c r="A30" s="34" t="s">
        <v>126</v>
      </c>
      <c r="B30" s="36">
        <f>B$17*B26*B28*B27*B29</f>
        <v>21572037.09</v>
      </c>
      <c r="C30" s="2" t="s">
        <v>55</v>
      </c>
      <c r="G30" s="22"/>
      <c r="H30" s="20"/>
    </row>
    <row r="31">
      <c r="A31" s="34" t="s">
        <v>67</v>
      </c>
      <c r="B31" s="47">
        <v>0.3</v>
      </c>
      <c r="C31" s="2" t="s">
        <v>57</v>
      </c>
      <c r="G31" s="22"/>
      <c r="H31" s="20"/>
    </row>
    <row r="32">
      <c r="A32" s="34"/>
      <c r="B32" s="48"/>
      <c r="C32" s="2"/>
      <c r="G32" s="22"/>
      <c r="H32" s="20"/>
    </row>
    <row r="33">
      <c r="A33" s="34" t="s">
        <v>68</v>
      </c>
      <c r="B33" s="41">
        <v>1.0</v>
      </c>
      <c r="C33" s="39" t="s">
        <v>168</v>
      </c>
      <c r="G33" s="50" t="s">
        <v>22</v>
      </c>
      <c r="H33" s="20"/>
    </row>
    <row r="34">
      <c r="A34" s="26" t="s">
        <v>127</v>
      </c>
      <c r="B34" s="71">
        <f>24%/64%</f>
        <v>0.375</v>
      </c>
      <c r="C34" s="72" t="s">
        <v>128</v>
      </c>
      <c r="D34" s="23"/>
      <c r="G34" s="50"/>
      <c r="H34" s="20"/>
    </row>
    <row r="35">
      <c r="A35" s="34" t="s">
        <v>70</v>
      </c>
      <c r="B35" s="41">
        <v>1.0</v>
      </c>
      <c r="C35" s="2" t="s">
        <v>169</v>
      </c>
      <c r="G35" s="24" t="s">
        <v>22</v>
      </c>
      <c r="H35" s="20"/>
    </row>
    <row r="36">
      <c r="A36" s="34"/>
      <c r="B36" s="52"/>
      <c r="C36" s="2"/>
      <c r="G36" s="24"/>
      <c r="H36" s="20"/>
    </row>
    <row r="37">
      <c r="A37" s="34" t="s">
        <v>130</v>
      </c>
      <c r="B37" s="36">
        <f>((B22*B23)+(B30*B31))*B33*B34*B35*(1+B15)^B16</f>
        <v>15819058.89</v>
      </c>
      <c r="C37" s="2" t="s">
        <v>55</v>
      </c>
      <c r="G37" s="19" t="s">
        <v>74</v>
      </c>
    </row>
    <row r="38">
      <c r="A38" s="34" t="s">
        <v>75</v>
      </c>
      <c r="B38" s="73">
        <v>0.9473046714</v>
      </c>
      <c r="C38" s="28" t="s">
        <v>131</v>
      </c>
      <c r="D38" s="23"/>
      <c r="E38" s="23"/>
      <c r="F38" s="23"/>
      <c r="G38" s="29" t="s">
        <v>132</v>
      </c>
      <c r="H38" s="55"/>
    </row>
    <row r="39">
      <c r="A39" s="34"/>
      <c r="B39" s="56"/>
      <c r="C39" s="2"/>
      <c r="G39" s="22"/>
      <c r="H39" s="55"/>
    </row>
    <row r="40">
      <c r="A40" s="34" t="s">
        <v>78</v>
      </c>
      <c r="B40" s="41">
        <v>0.04</v>
      </c>
      <c r="C40" s="2" t="s">
        <v>21</v>
      </c>
      <c r="G40" s="18" t="s">
        <v>22</v>
      </c>
    </row>
    <row r="41">
      <c r="A41" s="34" t="s">
        <v>79</v>
      </c>
      <c r="B41" s="57">
        <v>0.014</v>
      </c>
      <c r="C41" s="2" t="s">
        <v>21</v>
      </c>
      <c r="G41" s="18" t="s">
        <v>22</v>
      </c>
    </row>
    <row r="42">
      <c r="A42" s="58" t="s">
        <v>80</v>
      </c>
      <c r="B42" s="59">
        <v>0.1</v>
      </c>
      <c r="C42" s="46" t="s">
        <v>170</v>
      </c>
      <c r="G42" s="18" t="s">
        <v>22</v>
      </c>
      <c r="H42" s="20"/>
    </row>
    <row r="43">
      <c r="A43" s="58" t="s">
        <v>82</v>
      </c>
      <c r="B43" s="60">
        <f>SUM(B41:B42)</f>
        <v>0.114</v>
      </c>
      <c r="C43" s="2" t="s">
        <v>83</v>
      </c>
      <c r="G43" s="18" t="s">
        <v>22</v>
      </c>
    </row>
    <row r="44">
      <c r="A44" s="2"/>
      <c r="B44" s="48"/>
      <c r="C44" s="2"/>
      <c r="G44" s="18"/>
    </row>
    <row r="45">
      <c r="A45" s="14" t="s">
        <v>84</v>
      </c>
      <c r="B45" s="14"/>
      <c r="C45" s="14"/>
      <c r="D45" s="14"/>
      <c r="E45" s="14"/>
      <c r="F45" s="14"/>
      <c r="G45" s="15"/>
      <c r="H45" s="14"/>
      <c r="I45" s="14"/>
      <c r="J45" s="61"/>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row>
    <row r="46">
      <c r="A46" s="2" t="s">
        <v>85</v>
      </c>
      <c r="B46" s="2">
        <v>1.0</v>
      </c>
      <c r="C46" s="2">
        <v>2.0</v>
      </c>
      <c r="D46" s="2">
        <v>3.0</v>
      </c>
      <c r="E46" s="2">
        <v>4.0</v>
      </c>
      <c r="F46" s="2">
        <v>5.0</v>
      </c>
      <c r="G46" s="18">
        <v>6.0</v>
      </c>
      <c r="H46" s="2">
        <v>7.0</v>
      </c>
      <c r="I46" s="2">
        <v>8.0</v>
      </c>
      <c r="J46" s="2">
        <v>9.0</v>
      </c>
      <c r="K46" s="2">
        <v>10.0</v>
      </c>
      <c r="L46" s="2">
        <v>11.0</v>
      </c>
      <c r="M46" s="2">
        <v>12.0</v>
      </c>
      <c r="N46" s="2">
        <v>13.0</v>
      </c>
      <c r="O46" s="2">
        <v>14.0</v>
      </c>
      <c r="P46" s="2">
        <v>15.0</v>
      </c>
      <c r="Q46" s="2">
        <v>16.0</v>
      </c>
      <c r="R46" s="2">
        <v>17.0</v>
      </c>
      <c r="S46" s="2">
        <v>18.0</v>
      </c>
      <c r="T46" s="2">
        <v>19.0</v>
      </c>
      <c r="U46" s="2">
        <v>20.0</v>
      </c>
      <c r="V46" s="2">
        <v>21.0</v>
      </c>
      <c r="W46" s="2">
        <v>22.0</v>
      </c>
      <c r="X46" s="2">
        <v>23.0</v>
      </c>
      <c r="Y46" s="2">
        <v>24.0</v>
      </c>
      <c r="Z46" s="2">
        <v>25.0</v>
      </c>
      <c r="AA46" s="2">
        <v>26.0</v>
      </c>
      <c r="AB46" s="2">
        <v>27.0</v>
      </c>
      <c r="AC46" s="2">
        <v>28.0</v>
      </c>
      <c r="AD46" s="2">
        <v>29.0</v>
      </c>
      <c r="AE46" s="2">
        <v>30.0</v>
      </c>
      <c r="AF46" s="2">
        <v>31.0</v>
      </c>
      <c r="AG46" s="2">
        <v>32.0</v>
      </c>
      <c r="AH46" s="2">
        <v>33.0</v>
      </c>
      <c r="AI46" s="2">
        <v>34.0</v>
      </c>
      <c r="AJ46" s="2">
        <v>35.0</v>
      </c>
      <c r="AK46" s="2">
        <v>36.0</v>
      </c>
      <c r="AL46" s="2">
        <v>37.0</v>
      </c>
      <c r="AM46" s="2">
        <v>38.0</v>
      </c>
      <c r="AN46" s="2">
        <v>39.0</v>
      </c>
      <c r="AO46" s="2">
        <v>40.0</v>
      </c>
      <c r="AP46" s="2">
        <v>41.0</v>
      </c>
      <c r="AQ46" s="2">
        <v>42.0</v>
      </c>
      <c r="AR46" s="2">
        <v>43.0</v>
      </c>
      <c r="AS46" s="2">
        <v>44.0</v>
      </c>
      <c r="AT46" s="2">
        <v>45.0</v>
      </c>
      <c r="AU46" s="2">
        <v>46.0</v>
      </c>
      <c r="AV46" s="2">
        <v>47.0</v>
      </c>
      <c r="AW46" s="2">
        <v>48.0</v>
      </c>
      <c r="AX46" s="2">
        <v>49.0</v>
      </c>
      <c r="AY46" s="2">
        <v>50.0</v>
      </c>
      <c r="AZ46" s="2">
        <v>51.0</v>
      </c>
      <c r="BA46" s="2">
        <v>52.0</v>
      </c>
      <c r="BB46" s="2">
        <v>53.0</v>
      </c>
      <c r="BC46" s="2">
        <v>54.0</v>
      </c>
      <c r="BD46" s="2">
        <v>55.0</v>
      </c>
      <c r="BE46" s="2">
        <v>56.0</v>
      </c>
      <c r="BF46" s="2">
        <v>57.0</v>
      </c>
      <c r="BG46" s="2">
        <v>58.0</v>
      </c>
      <c r="BH46" s="2">
        <v>59.0</v>
      </c>
      <c r="BI46" s="2">
        <v>60.0</v>
      </c>
      <c r="BJ46" s="2">
        <v>61.0</v>
      </c>
      <c r="BK46" s="2">
        <v>62.0</v>
      </c>
      <c r="BL46" s="2">
        <v>63.0</v>
      </c>
      <c r="BM46" s="2">
        <v>64.0</v>
      </c>
      <c r="BN46" s="2">
        <v>65.0</v>
      </c>
      <c r="BO46" s="2">
        <v>66.0</v>
      </c>
      <c r="BP46" s="2">
        <v>67.0</v>
      </c>
      <c r="BQ46" s="2">
        <v>68.0</v>
      </c>
      <c r="BR46" s="2">
        <v>69.0</v>
      </c>
      <c r="BS46" s="2">
        <v>70.0</v>
      </c>
      <c r="BT46" s="2">
        <v>71.0</v>
      </c>
      <c r="BU46" s="2">
        <v>72.0</v>
      </c>
      <c r="BV46" s="2">
        <v>73.0</v>
      </c>
      <c r="BW46" s="2">
        <v>74.0</v>
      </c>
      <c r="BX46" s="2">
        <v>75.0</v>
      </c>
    </row>
    <row r="47">
      <c r="A47" s="2" t="s">
        <v>86</v>
      </c>
      <c r="B47" s="62">
        <f>B4+B6</f>
        <v>328274.0833</v>
      </c>
      <c r="C47" s="62">
        <f t="shared" ref="C47:D47" si="1">$B$5+$B$6</f>
        <v>478274.0833</v>
      </c>
      <c r="D47" s="62">
        <f t="shared" si="1"/>
        <v>478274.0833</v>
      </c>
      <c r="E47" s="62">
        <f t="shared" ref="E47:P47" si="2">$B$5+$B$6*(($B$21*$B$23)+($B$26*$B$31))</f>
        <v>405705.7688</v>
      </c>
      <c r="F47" s="62">
        <f t="shared" si="2"/>
        <v>405705.7688</v>
      </c>
      <c r="G47" s="62">
        <f t="shared" si="2"/>
        <v>405705.7688</v>
      </c>
      <c r="H47" s="62">
        <f t="shared" si="2"/>
        <v>405705.7688</v>
      </c>
      <c r="I47" s="62">
        <f t="shared" si="2"/>
        <v>405705.7688</v>
      </c>
      <c r="J47" s="62">
        <f t="shared" si="2"/>
        <v>405705.7688</v>
      </c>
      <c r="K47" s="62">
        <f t="shared" si="2"/>
        <v>405705.7688</v>
      </c>
      <c r="L47" s="62">
        <f t="shared" si="2"/>
        <v>405705.7688</v>
      </c>
      <c r="M47" s="62">
        <f t="shared" si="2"/>
        <v>405705.7688</v>
      </c>
      <c r="N47" s="62">
        <f t="shared" si="2"/>
        <v>405705.7688</v>
      </c>
      <c r="O47" s="62">
        <f t="shared" si="2"/>
        <v>405705.7688</v>
      </c>
      <c r="P47" s="62">
        <f t="shared" si="2"/>
        <v>405705.7688</v>
      </c>
      <c r="Q47" s="63">
        <v>0.0</v>
      </c>
      <c r="R47" s="63">
        <v>0.0</v>
      </c>
      <c r="S47" s="63">
        <v>0.0</v>
      </c>
      <c r="T47" s="63">
        <v>0.0</v>
      </c>
      <c r="U47" s="63">
        <v>0.0</v>
      </c>
      <c r="V47" s="63">
        <v>0.0</v>
      </c>
      <c r="W47" s="63">
        <v>0.0</v>
      </c>
      <c r="X47" s="63">
        <v>0.0</v>
      </c>
      <c r="Y47" s="63">
        <v>0.0</v>
      </c>
      <c r="Z47" s="63">
        <v>0.0</v>
      </c>
      <c r="AA47" s="63">
        <v>0.0</v>
      </c>
      <c r="AB47" s="63">
        <v>0.0</v>
      </c>
      <c r="AC47" s="63">
        <v>0.0</v>
      </c>
      <c r="AD47" s="63">
        <v>0.0</v>
      </c>
      <c r="AE47" s="63">
        <v>0.0</v>
      </c>
      <c r="AF47" s="63">
        <v>0.0</v>
      </c>
      <c r="AG47" s="63">
        <v>0.0</v>
      </c>
      <c r="AH47" s="63">
        <v>0.0</v>
      </c>
      <c r="AI47" s="63">
        <v>0.0</v>
      </c>
      <c r="AJ47" s="63">
        <v>0.0</v>
      </c>
      <c r="AK47" s="63">
        <v>0.0</v>
      </c>
      <c r="AL47" s="63">
        <v>0.0</v>
      </c>
      <c r="AM47" s="63">
        <v>0.0</v>
      </c>
      <c r="AN47" s="63">
        <v>0.0</v>
      </c>
      <c r="AO47" s="63">
        <v>0.0</v>
      </c>
      <c r="AP47" s="63">
        <v>0.0</v>
      </c>
      <c r="AQ47" s="63">
        <v>0.0</v>
      </c>
      <c r="AR47" s="63">
        <v>0.0</v>
      </c>
      <c r="AS47" s="63">
        <v>0.0</v>
      </c>
      <c r="AT47" s="63">
        <v>0.0</v>
      </c>
      <c r="AU47" s="63">
        <v>0.0</v>
      </c>
      <c r="AV47" s="63">
        <v>0.0</v>
      </c>
      <c r="AW47" s="63">
        <v>0.0</v>
      </c>
      <c r="AX47" s="63">
        <v>0.0</v>
      </c>
      <c r="AY47" s="63">
        <v>0.0</v>
      </c>
      <c r="AZ47" s="63">
        <v>0.0</v>
      </c>
      <c r="BA47" s="63">
        <v>0.0</v>
      </c>
      <c r="BB47" s="63">
        <v>0.0</v>
      </c>
      <c r="BC47" s="63">
        <v>0.0</v>
      </c>
      <c r="BD47" s="63">
        <v>0.0</v>
      </c>
      <c r="BE47" s="63">
        <v>0.0</v>
      </c>
      <c r="BF47" s="63">
        <v>0.0</v>
      </c>
      <c r="BG47" s="63">
        <v>0.0</v>
      </c>
      <c r="BH47" s="63">
        <v>0.0</v>
      </c>
      <c r="BI47" s="63">
        <v>0.0</v>
      </c>
      <c r="BJ47" s="63">
        <v>0.0</v>
      </c>
      <c r="BK47" s="63">
        <v>0.0</v>
      </c>
      <c r="BL47" s="63">
        <v>0.0</v>
      </c>
      <c r="BM47" s="63">
        <v>0.0</v>
      </c>
      <c r="BN47" s="63">
        <v>0.0</v>
      </c>
      <c r="BO47" s="63">
        <v>0.0</v>
      </c>
      <c r="BP47" s="63">
        <v>0.0</v>
      </c>
      <c r="BQ47" s="63">
        <v>0.0</v>
      </c>
      <c r="BR47" s="63">
        <v>0.0</v>
      </c>
      <c r="BS47" s="63">
        <v>0.0</v>
      </c>
      <c r="BT47" s="63">
        <v>0.0</v>
      </c>
      <c r="BU47" s="63">
        <v>0.0</v>
      </c>
      <c r="BV47" s="63">
        <v>0.0</v>
      </c>
      <c r="BW47" s="63">
        <v>0.0</v>
      </c>
      <c r="BX47" s="63">
        <v>0.0</v>
      </c>
    </row>
    <row r="48">
      <c r="A48" s="2" t="s">
        <v>87</v>
      </c>
      <c r="B48" s="37">
        <v>0.0</v>
      </c>
      <c r="C48" s="37">
        <v>0.0</v>
      </c>
      <c r="D48" s="37">
        <v>0.0</v>
      </c>
      <c r="E48" s="37">
        <v>0.0</v>
      </c>
      <c r="F48" s="37">
        <v>0.0</v>
      </c>
      <c r="G48" s="37">
        <v>0.0</v>
      </c>
      <c r="H48" s="37">
        <v>0.0</v>
      </c>
      <c r="I48" s="37">
        <v>0.0</v>
      </c>
      <c r="J48" s="37">
        <v>0.0</v>
      </c>
      <c r="K48" s="37">
        <f t="shared" ref="K48:BX48" si="3">$B$37*$B$38</f>
        <v>14985468.38</v>
      </c>
      <c r="L48" s="37">
        <f t="shared" si="3"/>
        <v>14985468.38</v>
      </c>
      <c r="M48" s="37">
        <f t="shared" si="3"/>
        <v>14985468.38</v>
      </c>
      <c r="N48" s="37">
        <f t="shared" si="3"/>
        <v>14985468.38</v>
      </c>
      <c r="O48" s="37">
        <f t="shared" si="3"/>
        <v>14985468.38</v>
      </c>
      <c r="P48" s="37">
        <f t="shared" si="3"/>
        <v>14985468.38</v>
      </c>
      <c r="Q48" s="64">
        <f t="shared" si="3"/>
        <v>14985468.38</v>
      </c>
      <c r="R48" s="64">
        <f t="shared" si="3"/>
        <v>14985468.38</v>
      </c>
      <c r="S48" s="64">
        <f t="shared" si="3"/>
        <v>14985468.38</v>
      </c>
      <c r="T48" s="64">
        <f t="shared" si="3"/>
        <v>14985468.38</v>
      </c>
      <c r="U48" s="64">
        <f t="shared" si="3"/>
        <v>14985468.38</v>
      </c>
      <c r="V48" s="64">
        <f t="shared" si="3"/>
        <v>14985468.38</v>
      </c>
      <c r="W48" s="64">
        <f t="shared" si="3"/>
        <v>14985468.38</v>
      </c>
      <c r="X48" s="64">
        <f t="shared" si="3"/>
        <v>14985468.38</v>
      </c>
      <c r="Y48" s="64">
        <f t="shared" si="3"/>
        <v>14985468.38</v>
      </c>
      <c r="Z48" s="64">
        <f t="shared" si="3"/>
        <v>14985468.38</v>
      </c>
      <c r="AA48" s="64">
        <f t="shared" si="3"/>
        <v>14985468.38</v>
      </c>
      <c r="AB48" s="64">
        <f t="shared" si="3"/>
        <v>14985468.38</v>
      </c>
      <c r="AC48" s="64">
        <f t="shared" si="3"/>
        <v>14985468.38</v>
      </c>
      <c r="AD48" s="64">
        <f t="shared" si="3"/>
        <v>14985468.38</v>
      </c>
      <c r="AE48" s="64">
        <f t="shared" si="3"/>
        <v>14985468.38</v>
      </c>
      <c r="AF48" s="64">
        <f t="shared" si="3"/>
        <v>14985468.38</v>
      </c>
      <c r="AG48" s="64">
        <f t="shared" si="3"/>
        <v>14985468.38</v>
      </c>
      <c r="AH48" s="64">
        <f t="shared" si="3"/>
        <v>14985468.38</v>
      </c>
      <c r="AI48" s="64">
        <f t="shared" si="3"/>
        <v>14985468.38</v>
      </c>
      <c r="AJ48" s="64">
        <f t="shared" si="3"/>
        <v>14985468.38</v>
      </c>
      <c r="AK48" s="64">
        <f t="shared" si="3"/>
        <v>14985468.38</v>
      </c>
      <c r="AL48" s="64">
        <f t="shared" si="3"/>
        <v>14985468.38</v>
      </c>
      <c r="AM48" s="64">
        <f t="shared" si="3"/>
        <v>14985468.38</v>
      </c>
      <c r="AN48" s="64">
        <f t="shared" si="3"/>
        <v>14985468.38</v>
      </c>
      <c r="AO48" s="64">
        <f t="shared" si="3"/>
        <v>14985468.38</v>
      </c>
      <c r="AP48" s="64">
        <f t="shared" si="3"/>
        <v>14985468.38</v>
      </c>
      <c r="AQ48" s="64">
        <f t="shared" si="3"/>
        <v>14985468.38</v>
      </c>
      <c r="AR48" s="64">
        <f t="shared" si="3"/>
        <v>14985468.38</v>
      </c>
      <c r="AS48" s="64">
        <f t="shared" si="3"/>
        <v>14985468.38</v>
      </c>
      <c r="AT48" s="64">
        <f t="shared" si="3"/>
        <v>14985468.38</v>
      </c>
      <c r="AU48" s="64">
        <f t="shared" si="3"/>
        <v>14985468.38</v>
      </c>
      <c r="AV48" s="64">
        <f t="shared" si="3"/>
        <v>14985468.38</v>
      </c>
      <c r="AW48" s="64">
        <f t="shared" si="3"/>
        <v>14985468.38</v>
      </c>
      <c r="AX48" s="64">
        <f t="shared" si="3"/>
        <v>14985468.38</v>
      </c>
      <c r="AY48" s="64">
        <f t="shared" si="3"/>
        <v>14985468.38</v>
      </c>
      <c r="AZ48" s="64">
        <f t="shared" si="3"/>
        <v>14985468.38</v>
      </c>
      <c r="BA48" s="64">
        <f t="shared" si="3"/>
        <v>14985468.38</v>
      </c>
      <c r="BB48" s="64">
        <f t="shared" si="3"/>
        <v>14985468.38</v>
      </c>
      <c r="BC48" s="64">
        <f t="shared" si="3"/>
        <v>14985468.38</v>
      </c>
      <c r="BD48" s="64">
        <f t="shared" si="3"/>
        <v>14985468.38</v>
      </c>
      <c r="BE48" s="64">
        <f t="shared" si="3"/>
        <v>14985468.38</v>
      </c>
      <c r="BF48" s="64">
        <f t="shared" si="3"/>
        <v>14985468.38</v>
      </c>
      <c r="BG48" s="64">
        <f t="shared" si="3"/>
        <v>14985468.38</v>
      </c>
      <c r="BH48" s="64">
        <f t="shared" si="3"/>
        <v>14985468.38</v>
      </c>
      <c r="BI48" s="64">
        <f t="shared" si="3"/>
        <v>14985468.38</v>
      </c>
      <c r="BJ48" s="64">
        <f t="shared" si="3"/>
        <v>14985468.38</v>
      </c>
      <c r="BK48" s="64">
        <f t="shared" si="3"/>
        <v>14985468.38</v>
      </c>
      <c r="BL48" s="64">
        <f t="shared" si="3"/>
        <v>14985468.38</v>
      </c>
      <c r="BM48" s="64">
        <f t="shared" si="3"/>
        <v>14985468.38</v>
      </c>
      <c r="BN48" s="64">
        <f t="shared" si="3"/>
        <v>14985468.38</v>
      </c>
      <c r="BO48" s="64">
        <f t="shared" si="3"/>
        <v>14985468.38</v>
      </c>
      <c r="BP48" s="64">
        <f t="shared" si="3"/>
        <v>14985468.38</v>
      </c>
      <c r="BQ48" s="64">
        <f t="shared" si="3"/>
        <v>14985468.38</v>
      </c>
      <c r="BR48" s="64">
        <f t="shared" si="3"/>
        <v>14985468.38</v>
      </c>
      <c r="BS48" s="64">
        <f t="shared" si="3"/>
        <v>14985468.38</v>
      </c>
      <c r="BT48" s="64">
        <f t="shared" si="3"/>
        <v>14985468.38</v>
      </c>
      <c r="BU48" s="64">
        <f t="shared" si="3"/>
        <v>14985468.38</v>
      </c>
      <c r="BV48" s="64">
        <f t="shared" si="3"/>
        <v>14985468.38</v>
      </c>
      <c r="BW48" s="64">
        <f t="shared" si="3"/>
        <v>14985468.38</v>
      </c>
      <c r="BX48" s="37">
        <f t="shared" si="3"/>
        <v>14985468.38</v>
      </c>
    </row>
    <row r="49">
      <c r="A49" s="2"/>
      <c r="B49" s="6"/>
      <c r="C49" s="6"/>
      <c r="D49" s="6"/>
      <c r="E49" s="6"/>
      <c r="F49" s="6"/>
      <c r="G49" s="65"/>
      <c r="H49" s="6"/>
      <c r="I49" s="6"/>
      <c r="J49" s="6"/>
      <c r="K49" s="6"/>
    </row>
    <row r="50">
      <c r="A50" s="14" t="s">
        <v>88</v>
      </c>
      <c r="B50" s="14"/>
      <c r="C50" s="14"/>
      <c r="D50" s="14"/>
      <c r="E50" s="14"/>
      <c r="F50" s="14"/>
      <c r="G50" s="15"/>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row>
    <row r="51">
      <c r="A51" s="2" t="s">
        <v>5</v>
      </c>
      <c r="B51" s="6">
        <f t="array" ref="B51">NPV(B40,47:47)</f>
        <v>4567946.831</v>
      </c>
      <c r="G51" s="66"/>
      <c r="J51" s="67"/>
      <c r="K51" s="68"/>
    </row>
    <row r="52">
      <c r="A52" s="2" t="s">
        <v>6</v>
      </c>
      <c r="B52" s="6">
        <f t="array" ref="B52">NPV(B43,48:48)</f>
        <v>49710620.14</v>
      </c>
      <c r="G52" s="66"/>
    </row>
    <row r="53">
      <c r="A53" s="2" t="s">
        <v>7</v>
      </c>
      <c r="B53" s="6">
        <f>B52/B51</f>
        <v>10.88248659</v>
      </c>
      <c r="G53" s="66"/>
    </row>
    <row r="54">
      <c r="B54" s="6"/>
      <c r="G54" s="66"/>
    </row>
    <row r="55">
      <c r="G55" s="66"/>
    </row>
    <row r="56">
      <c r="G56" s="66"/>
    </row>
    <row r="57">
      <c r="G57" s="66"/>
    </row>
    <row r="58">
      <c r="G58" s="66"/>
    </row>
    <row r="59">
      <c r="G59" s="66"/>
    </row>
    <row r="60">
      <c r="G60" s="66"/>
    </row>
    <row r="61">
      <c r="G61" s="66"/>
    </row>
    <row r="62">
      <c r="G62" s="66"/>
    </row>
    <row r="63">
      <c r="G63" s="66"/>
    </row>
    <row r="64">
      <c r="G64" s="66"/>
    </row>
    <row r="65">
      <c r="G65" s="66"/>
    </row>
    <row r="66">
      <c r="G66" s="66"/>
    </row>
    <row r="67">
      <c r="G67" s="66"/>
    </row>
    <row r="68">
      <c r="G68" s="66"/>
    </row>
    <row r="69">
      <c r="G69" s="66"/>
    </row>
    <row r="70">
      <c r="G70" s="66"/>
    </row>
    <row r="71">
      <c r="G71" s="66"/>
    </row>
    <row r="72">
      <c r="G72" s="66"/>
    </row>
    <row r="73">
      <c r="G73" s="66"/>
    </row>
    <row r="74">
      <c r="G74" s="66"/>
    </row>
    <row r="75">
      <c r="G75" s="66"/>
    </row>
    <row r="76">
      <c r="G76" s="66"/>
    </row>
    <row r="77">
      <c r="G77" s="66"/>
    </row>
    <row r="78">
      <c r="G78" s="66"/>
    </row>
    <row r="79">
      <c r="G79" s="66"/>
    </row>
    <row r="80">
      <c r="G80" s="66"/>
    </row>
    <row r="81">
      <c r="G81" s="66"/>
    </row>
    <row r="82">
      <c r="G82" s="66"/>
    </row>
    <row r="83">
      <c r="G83" s="66"/>
    </row>
    <row r="84">
      <c r="G84" s="66"/>
    </row>
    <row r="85">
      <c r="G85" s="66"/>
    </row>
    <row r="86">
      <c r="G86" s="66"/>
    </row>
    <row r="87">
      <c r="G87" s="66"/>
    </row>
    <row r="88">
      <c r="G88" s="66"/>
    </row>
    <row r="89">
      <c r="G89" s="66"/>
    </row>
    <row r="90">
      <c r="G90" s="66"/>
    </row>
    <row r="91">
      <c r="G91" s="66"/>
    </row>
    <row r="92">
      <c r="G92" s="66"/>
    </row>
    <row r="93">
      <c r="G93" s="66"/>
    </row>
    <row r="94">
      <c r="G94" s="66"/>
    </row>
    <row r="95">
      <c r="G95" s="66"/>
    </row>
    <row r="96">
      <c r="G96" s="66"/>
    </row>
    <row r="97">
      <c r="G97" s="66"/>
    </row>
    <row r="98">
      <c r="G98" s="66"/>
    </row>
    <row r="99">
      <c r="G99" s="66"/>
    </row>
    <row r="100">
      <c r="G100" s="66"/>
    </row>
    <row r="101">
      <c r="G101" s="66"/>
    </row>
    <row r="102">
      <c r="G102" s="66"/>
    </row>
    <row r="103">
      <c r="G103" s="66"/>
    </row>
    <row r="104">
      <c r="G104" s="66"/>
    </row>
    <row r="105">
      <c r="G105" s="66"/>
    </row>
    <row r="106">
      <c r="G106" s="66"/>
    </row>
    <row r="107">
      <c r="G107" s="66"/>
    </row>
    <row r="108">
      <c r="G108" s="66"/>
    </row>
    <row r="109">
      <c r="G109" s="66"/>
    </row>
    <row r="110">
      <c r="G110" s="66"/>
    </row>
    <row r="111">
      <c r="G111" s="66"/>
    </row>
    <row r="112">
      <c r="G112" s="66"/>
    </row>
    <row r="113">
      <c r="G113" s="66"/>
    </row>
    <row r="114">
      <c r="G114" s="66"/>
    </row>
    <row r="115">
      <c r="G115" s="66"/>
    </row>
    <row r="116">
      <c r="G116" s="66"/>
    </row>
    <row r="117">
      <c r="G117" s="66"/>
    </row>
    <row r="118">
      <c r="G118" s="66"/>
    </row>
    <row r="119">
      <c r="G119" s="66"/>
    </row>
    <row r="120">
      <c r="G120" s="66"/>
    </row>
    <row r="121">
      <c r="G121" s="66"/>
    </row>
    <row r="122">
      <c r="G122" s="66"/>
    </row>
    <row r="123">
      <c r="G123" s="66"/>
    </row>
    <row r="124">
      <c r="G124" s="66"/>
    </row>
    <row r="125">
      <c r="G125" s="66"/>
    </row>
    <row r="126">
      <c r="G126" s="66"/>
    </row>
    <row r="127">
      <c r="G127" s="66"/>
    </row>
    <row r="128">
      <c r="G128" s="66"/>
    </row>
    <row r="129">
      <c r="G129" s="66"/>
    </row>
    <row r="130">
      <c r="G130" s="66"/>
    </row>
    <row r="131">
      <c r="G131" s="66"/>
    </row>
    <row r="132">
      <c r="G132" s="66"/>
    </row>
    <row r="133">
      <c r="G133" s="66"/>
    </row>
    <row r="134">
      <c r="G134" s="66"/>
    </row>
    <row r="135">
      <c r="G135" s="66"/>
    </row>
    <row r="136">
      <c r="G136" s="66"/>
    </row>
    <row r="137">
      <c r="G137" s="66"/>
    </row>
    <row r="138">
      <c r="G138" s="66"/>
    </row>
    <row r="139">
      <c r="G139" s="66"/>
    </row>
    <row r="140">
      <c r="G140" s="66"/>
    </row>
    <row r="141">
      <c r="G141" s="66"/>
    </row>
    <row r="142">
      <c r="G142" s="66"/>
    </row>
    <row r="143">
      <c r="G143" s="66"/>
    </row>
    <row r="144">
      <c r="G144" s="66"/>
    </row>
    <row r="145">
      <c r="G145" s="66"/>
    </row>
    <row r="146">
      <c r="G146" s="66"/>
    </row>
    <row r="147">
      <c r="G147" s="66"/>
    </row>
    <row r="148">
      <c r="G148" s="66"/>
    </row>
    <row r="149">
      <c r="G149" s="66"/>
    </row>
    <row r="150">
      <c r="G150" s="66"/>
    </row>
    <row r="151">
      <c r="G151" s="66"/>
    </row>
    <row r="152">
      <c r="G152" s="66"/>
    </row>
    <row r="153">
      <c r="G153" s="66"/>
    </row>
    <row r="154">
      <c r="G154" s="66"/>
    </row>
    <row r="155">
      <c r="G155" s="66"/>
    </row>
    <row r="156">
      <c r="G156" s="66"/>
    </row>
    <row r="157">
      <c r="G157" s="66"/>
    </row>
    <row r="158">
      <c r="G158" s="66"/>
    </row>
    <row r="159">
      <c r="G159" s="66"/>
    </row>
    <row r="160">
      <c r="G160" s="66"/>
    </row>
    <row r="161">
      <c r="G161" s="66"/>
    </row>
    <row r="162">
      <c r="G162" s="66"/>
    </row>
    <row r="163">
      <c r="G163" s="66"/>
    </row>
    <row r="164">
      <c r="G164" s="66"/>
    </row>
    <row r="165">
      <c r="G165" s="66"/>
    </row>
    <row r="166">
      <c r="G166" s="66"/>
    </row>
    <row r="167">
      <c r="G167" s="66"/>
    </row>
    <row r="168">
      <c r="G168" s="66"/>
    </row>
    <row r="169">
      <c r="G169" s="66"/>
    </row>
    <row r="170">
      <c r="G170" s="66"/>
    </row>
    <row r="171">
      <c r="G171" s="66"/>
    </row>
    <row r="172">
      <c r="G172" s="66"/>
    </row>
    <row r="173">
      <c r="G173" s="66"/>
    </row>
    <row r="174">
      <c r="G174" s="66"/>
    </row>
    <row r="175">
      <c r="G175" s="66"/>
    </row>
    <row r="176">
      <c r="G176" s="66"/>
    </row>
    <row r="177">
      <c r="G177" s="66"/>
    </row>
    <row r="178">
      <c r="G178" s="66"/>
    </row>
    <row r="179">
      <c r="G179" s="66"/>
    </row>
    <row r="180">
      <c r="G180" s="66"/>
    </row>
    <row r="181">
      <c r="G181" s="66"/>
    </row>
    <row r="182">
      <c r="G182" s="66"/>
    </row>
    <row r="183">
      <c r="G183" s="66"/>
    </row>
    <row r="184">
      <c r="G184" s="66"/>
    </row>
    <row r="185">
      <c r="G185" s="66"/>
    </row>
    <row r="186">
      <c r="G186" s="66"/>
    </row>
    <row r="187">
      <c r="G187" s="66"/>
    </row>
    <row r="188">
      <c r="G188" s="66"/>
    </row>
    <row r="189">
      <c r="G189" s="66"/>
    </row>
    <row r="190">
      <c r="G190" s="66"/>
    </row>
    <row r="191">
      <c r="G191" s="66"/>
    </row>
    <row r="192">
      <c r="G192" s="66"/>
    </row>
    <row r="193">
      <c r="G193" s="66"/>
    </row>
    <row r="194">
      <c r="G194" s="66"/>
    </row>
    <row r="195">
      <c r="G195" s="66"/>
    </row>
    <row r="196">
      <c r="G196" s="66"/>
    </row>
    <row r="197">
      <c r="G197" s="66"/>
    </row>
    <row r="198">
      <c r="G198" s="66"/>
    </row>
    <row r="199">
      <c r="G199" s="66"/>
    </row>
    <row r="200">
      <c r="G200" s="66"/>
    </row>
    <row r="201">
      <c r="G201" s="66"/>
    </row>
    <row r="202">
      <c r="G202" s="66"/>
    </row>
    <row r="203">
      <c r="G203" s="66"/>
    </row>
    <row r="204">
      <c r="G204" s="66"/>
    </row>
    <row r="205">
      <c r="G205" s="66"/>
    </row>
    <row r="206">
      <c r="G206" s="66"/>
    </row>
    <row r="207">
      <c r="G207" s="66"/>
    </row>
    <row r="208">
      <c r="G208" s="66"/>
    </row>
    <row r="209">
      <c r="G209" s="66"/>
    </row>
    <row r="210">
      <c r="G210" s="66"/>
    </row>
    <row r="211">
      <c r="G211" s="66"/>
    </row>
    <row r="212">
      <c r="G212" s="66"/>
    </row>
    <row r="213">
      <c r="G213" s="66"/>
    </row>
    <row r="214">
      <c r="G214" s="66"/>
    </row>
    <row r="215">
      <c r="G215" s="66"/>
    </row>
    <row r="216">
      <c r="G216" s="66"/>
    </row>
    <row r="217">
      <c r="G217" s="66"/>
    </row>
    <row r="218">
      <c r="G218" s="66"/>
    </row>
    <row r="219">
      <c r="G219" s="66"/>
    </row>
    <row r="220">
      <c r="G220" s="66"/>
    </row>
    <row r="221">
      <c r="G221" s="66"/>
    </row>
    <row r="222">
      <c r="G222" s="66"/>
    </row>
    <row r="223">
      <c r="G223" s="66"/>
    </row>
    <row r="224">
      <c r="G224" s="66"/>
    </row>
    <row r="225">
      <c r="G225" s="66"/>
    </row>
    <row r="226">
      <c r="G226" s="66"/>
    </row>
    <row r="227">
      <c r="G227" s="66"/>
    </row>
    <row r="228">
      <c r="G228" s="66"/>
    </row>
    <row r="229">
      <c r="G229" s="66"/>
    </row>
    <row r="230">
      <c r="G230" s="66"/>
    </row>
    <row r="231">
      <c r="G231" s="66"/>
    </row>
    <row r="232">
      <c r="G232" s="66"/>
    </row>
    <row r="233">
      <c r="G233" s="66"/>
    </row>
    <row r="234">
      <c r="G234" s="66"/>
    </row>
    <row r="235">
      <c r="G235" s="66"/>
    </row>
    <row r="236">
      <c r="G236" s="66"/>
    </row>
    <row r="237">
      <c r="G237" s="66"/>
    </row>
    <row r="238">
      <c r="G238" s="66"/>
    </row>
    <row r="239">
      <c r="G239" s="66"/>
    </row>
    <row r="240">
      <c r="G240" s="66"/>
    </row>
    <row r="241">
      <c r="G241" s="66"/>
    </row>
    <row r="242">
      <c r="G242" s="66"/>
    </row>
    <row r="243">
      <c r="G243" s="66"/>
    </row>
    <row r="244">
      <c r="G244" s="66"/>
    </row>
    <row r="245">
      <c r="G245" s="66"/>
    </row>
    <row r="246">
      <c r="G246" s="66"/>
    </row>
    <row r="247">
      <c r="G247" s="66"/>
    </row>
    <row r="248">
      <c r="G248" s="66"/>
    </row>
    <row r="249">
      <c r="G249" s="66"/>
    </row>
    <row r="250">
      <c r="G250" s="66"/>
    </row>
    <row r="251">
      <c r="G251" s="66"/>
    </row>
    <row r="252">
      <c r="G252" s="66"/>
    </row>
    <row r="253">
      <c r="G253" s="66"/>
    </row>
    <row r="254">
      <c r="G254" s="66"/>
    </row>
    <row r="255">
      <c r="G255" s="66"/>
    </row>
    <row r="256">
      <c r="G256" s="66"/>
    </row>
    <row r="257">
      <c r="G257" s="66"/>
    </row>
    <row r="258">
      <c r="G258" s="66"/>
    </row>
    <row r="259">
      <c r="G259" s="66"/>
    </row>
    <row r="260">
      <c r="G260" s="66"/>
    </row>
    <row r="261">
      <c r="G261" s="66"/>
    </row>
    <row r="262">
      <c r="G262" s="66"/>
    </row>
    <row r="263">
      <c r="G263" s="66"/>
    </row>
    <row r="264">
      <c r="G264" s="66"/>
    </row>
    <row r="265">
      <c r="G265" s="66"/>
    </row>
    <row r="266">
      <c r="G266" s="66"/>
    </row>
    <row r="267">
      <c r="G267" s="66"/>
    </row>
    <row r="268">
      <c r="G268" s="66"/>
    </row>
    <row r="269">
      <c r="G269" s="66"/>
    </row>
    <row r="270">
      <c r="G270" s="66"/>
    </row>
    <row r="271">
      <c r="G271" s="66"/>
    </row>
    <row r="272">
      <c r="G272" s="66"/>
    </row>
    <row r="273">
      <c r="G273" s="66"/>
    </row>
    <row r="274">
      <c r="G274" s="66"/>
    </row>
    <row r="275">
      <c r="G275" s="66"/>
    </row>
    <row r="276">
      <c r="G276" s="66"/>
    </row>
    <row r="277">
      <c r="G277" s="66"/>
    </row>
    <row r="278">
      <c r="G278" s="66"/>
    </row>
    <row r="279">
      <c r="G279" s="66"/>
    </row>
    <row r="280">
      <c r="G280" s="66"/>
    </row>
    <row r="281">
      <c r="G281" s="66"/>
    </row>
    <row r="282">
      <c r="G282" s="66"/>
    </row>
    <row r="283">
      <c r="G283" s="66"/>
    </row>
    <row r="284">
      <c r="G284" s="66"/>
    </row>
    <row r="285">
      <c r="G285" s="66"/>
    </row>
    <row r="286">
      <c r="G286" s="66"/>
    </row>
    <row r="287">
      <c r="G287" s="66"/>
    </row>
    <row r="288">
      <c r="G288" s="66"/>
    </row>
    <row r="289">
      <c r="G289" s="66"/>
    </row>
    <row r="290">
      <c r="G290" s="66"/>
    </row>
    <row r="291">
      <c r="G291" s="66"/>
    </row>
    <row r="292">
      <c r="G292" s="66"/>
    </row>
    <row r="293">
      <c r="G293" s="66"/>
    </row>
    <row r="294">
      <c r="G294" s="66"/>
    </row>
    <row r="295">
      <c r="G295" s="66"/>
    </row>
    <row r="296">
      <c r="G296" s="66"/>
    </row>
    <row r="297">
      <c r="G297" s="66"/>
    </row>
    <row r="298">
      <c r="G298" s="66"/>
    </row>
    <row r="299">
      <c r="G299" s="66"/>
    </row>
    <row r="300">
      <c r="G300" s="66"/>
    </row>
    <row r="301">
      <c r="G301" s="66"/>
    </row>
    <row r="302">
      <c r="G302" s="66"/>
    </row>
    <row r="303">
      <c r="G303" s="66"/>
    </row>
    <row r="304">
      <c r="G304" s="66"/>
    </row>
    <row r="305">
      <c r="G305" s="66"/>
    </row>
    <row r="306">
      <c r="G306" s="66"/>
    </row>
    <row r="307">
      <c r="G307" s="66"/>
    </row>
    <row r="308">
      <c r="G308" s="66"/>
    </row>
    <row r="309">
      <c r="G309" s="66"/>
    </row>
    <row r="310">
      <c r="G310" s="66"/>
    </row>
    <row r="311">
      <c r="G311" s="66"/>
    </row>
    <row r="312">
      <c r="G312" s="66"/>
    </row>
    <row r="313">
      <c r="G313" s="66"/>
    </row>
    <row r="314">
      <c r="G314" s="66"/>
    </row>
    <row r="315">
      <c r="G315" s="66"/>
    </row>
    <row r="316">
      <c r="G316" s="66"/>
    </row>
    <row r="317">
      <c r="G317" s="66"/>
    </row>
    <row r="318">
      <c r="G318" s="66"/>
    </row>
    <row r="319">
      <c r="G319" s="66"/>
    </row>
    <row r="320">
      <c r="G320" s="66"/>
    </row>
    <row r="321">
      <c r="G321" s="66"/>
    </row>
    <row r="322">
      <c r="G322" s="66"/>
    </row>
    <row r="323">
      <c r="G323" s="66"/>
    </row>
    <row r="324">
      <c r="G324" s="66"/>
    </row>
    <row r="325">
      <c r="G325" s="66"/>
    </row>
    <row r="326">
      <c r="G326" s="66"/>
    </row>
    <row r="327">
      <c r="G327" s="66"/>
    </row>
    <row r="328">
      <c r="G328" s="66"/>
    </row>
    <row r="329">
      <c r="G329" s="66"/>
    </row>
    <row r="330">
      <c r="G330" s="66"/>
    </row>
    <row r="331">
      <c r="G331" s="66"/>
    </row>
    <row r="332">
      <c r="G332" s="66"/>
    </row>
    <row r="333">
      <c r="G333" s="66"/>
    </row>
    <row r="334">
      <c r="G334" s="66"/>
    </row>
    <row r="335">
      <c r="G335" s="66"/>
    </row>
    <row r="336">
      <c r="G336" s="66"/>
    </row>
    <row r="337">
      <c r="G337" s="66"/>
    </row>
    <row r="338">
      <c r="G338" s="66"/>
    </row>
    <row r="339">
      <c r="G339" s="66"/>
    </row>
    <row r="340">
      <c r="G340" s="66"/>
    </row>
    <row r="341">
      <c r="G341" s="66"/>
    </row>
    <row r="342">
      <c r="G342" s="66"/>
    </row>
    <row r="343">
      <c r="G343" s="66"/>
    </row>
    <row r="344">
      <c r="G344" s="66"/>
    </row>
    <row r="345">
      <c r="G345" s="66"/>
    </row>
    <row r="346">
      <c r="G346" s="66"/>
    </row>
    <row r="347">
      <c r="G347" s="66"/>
    </row>
    <row r="348">
      <c r="G348" s="66"/>
    </row>
    <row r="349">
      <c r="G349" s="66"/>
    </row>
    <row r="350">
      <c r="G350" s="66"/>
    </row>
    <row r="351">
      <c r="G351" s="66"/>
    </row>
    <row r="352">
      <c r="G352" s="66"/>
    </row>
    <row r="353">
      <c r="G353" s="66"/>
    </row>
    <row r="354">
      <c r="G354" s="66"/>
    </row>
    <row r="355">
      <c r="G355" s="66"/>
    </row>
    <row r="356">
      <c r="G356" s="66"/>
    </row>
    <row r="357">
      <c r="G357" s="66"/>
    </row>
    <row r="358">
      <c r="G358" s="66"/>
    </row>
    <row r="359">
      <c r="G359" s="66"/>
    </row>
    <row r="360">
      <c r="G360" s="66"/>
    </row>
    <row r="361">
      <c r="G361" s="66"/>
    </row>
    <row r="362">
      <c r="G362" s="66"/>
    </row>
    <row r="363">
      <c r="G363" s="66"/>
    </row>
    <row r="364">
      <c r="G364" s="66"/>
    </row>
    <row r="365">
      <c r="G365" s="66"/>
    </row>
    <row r="366">
      <c r="G366" s="66"/>
    </row>
    <row r="367">
      <c r="G367" s="66"/>
    </row>
    <row r="368">
      <c r="G368" s="66"/>
    </row>
    <row r="369">
      <c r="G369" s="66"/>
    </row>
    <row r="370">
      <c r="G370" s="66"/>
    </row>
    <row r="371">
      <c r="G371" s="66"/>
    </row>
    <row r="372">
      <c r="G372" s="66"/>
    </row>
    <row r="373">
      <c r="G373" s="66"/>
    </row>
    <row r="374">
      <c r="G374" s="66"/>
    </row>
    <row r="375">
      <c r="G375" s="66"/>
    </row>
    <row r="376">
      <c r="G376" s="66"/>
    </row>
    <row r="377">
      <c r="G377" s="66"/>
    </row>
    <row r="378">
      <c r="G378" s="66"/>
    </row>
    <row r="379">
      <c r="G379" s="66"/>
    </row>
    <row r="380">
      <c r="G380" s="66"/>
    </row>
    <row r="381">
      <c r="G381" s="66"/>
    </row>
    <row r="382">
      <c r="G382" s="66"/>
    </row>
    <row r="383">
      <c r="G383" s="66"/>
    </row>
    <row r="384">
      <c r="G384" s="66"/>
    </row>
    <row r="385">
      <c r="G385" s="66"/>
    </row>
    <row r="386">
      <c r="G386" s="66"/>
    </row>
    <row r="387">
      <c r="G387" s="66"/>
    </row>
    <row r="388">
      <c r="G388" s="66"/>
    </row>
    <row r="389">
      <c r="G389" s="66"/>
    </row>
    <row r="390">
      <c r="G390" s="66"/>
    </row>
    <row r="391">
      <c r="G391" s="66"/>
    </row>
    <row r="392">
      <c r="G392" s="66"/>
    </row>
    <row r="393">
      <c r="G393" s="66"/>
    </row>
    <row r="394">
      <c r="G394" s="66"/>
    </row>
    <row r="395">
      <c r="G395" s="66"/>
    </row>
    <row r="396">
      <c r="G396" s="66"/>
    </row>
    <row r="397">
      <c r="G397" s="66"/>
    </row>
    <row r="398">
      <c r="G398" s="66"/>
    </row>
    <row r="399">
      <c r="G399" s="66"/>
    </row>
    <row r="400">
      <c r="G400" s="66"/>
    </row>
    <row r="401">
      <c r="G401" s="66"/>
    </row>
    <row r="402">
      <c r="G402" s="66"/>
    </row>
    <row r="403">
      <c r="G403" s="66"/>
    </row>
    <row r="404">
      <c r="G404" s="66"/>
    </row>
    <row r="405">
      <c r="G405" s="66"/>
    </row>
    <row r="406">
      <c r="G406" s="66"/>
    </row>
    <row r="407">
      <c r="G407" s="66"/>
    </row>
    <row r="408">
      <c r="G408" s="66"/>
    </row>
    <row r="409">
      <c r="G409" s="66"/>
    </row>
    <row r="410">
      <c r="G410" s="66"/>
    </row>
    <row r="411">
      <c r="G411" s="66"/>
    </row>
    <row r="412">
      <c r="G412" s="66"/>
    </row>
    <row r="413">
      <c r="G413" s="66"/>
    </row>
    <row r="414">
      <c r="G414" s="66"/>
    </row>
    <row r="415">
      <c r="G415" s="66"/>
    </row>
    <row r="416">
      <c r="G416" s="66"/>
    </row>
    <row r="417">
      <c r="G417" s="66"/>
    </row>
    <row r="418">
      <c r="G418" s="66"/>
    </row>
    <row r="419">
      <c r="G419" s="66"/>
    </row>
    <row r="420">
      <c r="G420" s="66"/>
    </row>
    <row r="421">
      <c r="G421" s="66"/>
    </row>
    <row r="422">
      <c r="G422" s="66"/>
    </row>
    <row r="423">
      <c r="G423" s="66"/>
    </row>
    <row r="424">
      <c r="G424" s="66"/>
    </row>
    <row r="425">
      <c r="G425" s="66"/>
    </row>
    <row r="426">
      <c r="G426" s="66"/>
    </row>
    <row r="427">
      <c r="G427" s="66"/>
    </row>
    <row r="428">
      <c r="G428" s="66"/>
    </row>
    <row r="429">
      <c r="G429" s="66"/>
    </row>
    <row r="430">
      <c r="G430" s="66"/>
    </row>
    <row r="431">
      <c r="G431" s="66"/>
    </row>
    <row r="432">
      <c r="G432" s="66"/>
    </row>
    <row r="433">
      <c r="G433" s="66"/>
    </row>
    <row r="434">
      <c r="G434" s="66"/>
    </row>
    <row r="435">
      <c r="G435" s="66"/>
    </row>
    <row r="436">
      <c r="G436" s="66"/>
    </row>
    <row r="437">
      <c r="G437" s="66"/>
    </row>
    <row r="438">
      <c r="G438" s="66"/>
    </row>
    <row r="439">
      <c r="G439" s="66"/>
    </row>
    <row r="440">
      <c r="G440" s="66"/>
    </row>
    <row r="441">
      <c r="G441" s="66"/>
    </row>
    <row r="442">
      <c r="G442" s="66"/>
    </row>
    <row r="443">
      <c r="G443" s="66"/>
    </row>
    <row r="444">
      <c r="G444" s="66"/>
    </row>
    <row r="445">
      <c r="G445" s="66"/>
    </row>
    <row r="446">
      <c r="G446" s="66"/>
    </row>
    <row r="447">
      <c r="G447" s="66"/>
    </row>
    <row r="448">
      <c r="G448" s="66"/>
    </row>
    <row r="449">
      <c r="G449" s="66"/>
    </row>
    <row r="450">
      <c r="G450" s="66"/>
    </row>
    <row r="451">
      <c r="G451" s="66"/>
    </row>
    <row r="452">
      <c r="G452" s="66"/>
    </row>
    <row r="453">
      <c r="G453" s="66"/>
    </row>
    <row r="454">
      <c r="G454" s="66"/>
    </row>
    <row r="455">
      <c r="G455" s="66"/>
    </row>
    <row r="456">
      <c r="G456" s="66"/>
    </row>
    <row r="457">
      <c r="G457" s="66"/>
    </row>
    <row r="458">
      <c r="G458" s="66"/>
    </row>
    <row r="459">
      <c r="G459" s="66"/>
    </row>
    <row r="460">
      <c r="G460" s="66"/>
    </row>
    <row r="461">
      <c r="G461" s="66"/>
    </row>
    <row r="462">
      <c r="G462" s="66"/>
    </row>
    <row r="463">
      <c r="G463" s="66"/>
    </row>
    <row r="464">
      <c r="G464" s="66"/>
    </row>
    <row r="465">
      <c r="G465" s="66"/>
    </row>
    <row r="466">
      <c r="G466" s="66"/>
    </row>
    <row r="467">
      <c r="G467" s="66"/>
    </row>
    <row r="468">
      <c r="G468" s="66"/>
    </row>
    <row r="469">
      <c r="G469" s="66"/>
    </row>
    <row r="470">
      <c r="G470" s="66"/>
    </row>
    <row r="471">
      <c r="G471" s="66"/>
    </row>
    <row r="472">
      <c r="G472" s="66"/>
    </row>
    <row r="473">
      <c r="G473" s="66"/>
    </row>
    <row r="474">
      <c r="G474" s="66"/>
    </row>
    <row r="475">
      <c r="G475" s="66"/>
    </row>
    <row r="476">
      <c r="G476" s="66"/>
    </row>
    <row r="477">
      <c r="G477" s="66"/>
    </row>
    <row r="478">
      <c r="G478" s="66"/>
    </row>
    <row r="479">
      <c r="G479" s="66"/>
    </row>
    <row r="480">
      <c r="G480" s="66"/>
    </row>
    <row r="481">
      <c r="G481" s="66"/>
    </row>
    <row r="482">
      <c r="G482" s="66"/>
    </row>
    <row r="483">
      <c r="G483" s="66"/>
    </row>
    <row r="484">
      <c r="G484" s="66"/>
    </row>
    <row r="485">
      <c r="G485" s="66"/>
    </row>
    <row r="486">
      <c r="G486" s="66"/>
    </row>
    <row r="487">
      <c r="G487" s="66"/>
    </row>
    <row r="488">
      <c r="G488" s="66"/>
    </row>
    <row r="489">
      <c r="G489" s="66"/>
    </row>
    <row r="490">
      <c r="G490" s="66"/>
    </row>
    <row r="491">
      <c r="G491" s="66"/>
    </row>
    <row r="492">
      <c r="G492" s="66"/>
    </row>
    <row r="493">
      <c r="G493" s="66"/>
    </row>
    <row r="494">
      <c r="G494" s="66"/>
    </row>
    <row r="495">
      <c r="G495" s="66"/>
    </row>
    <row r="496">
      <c r="G496" s="66"/>
    </row>
    <row r="497">
      <c r="G497" s="66"/>
    </row>
    <row r="498">
      <c r="G498" s="66"/>
    </row>
    <row r="499">
      <c r="G499" s="66"/>
    </row>
    <row r="500">
      <c r="G500" s="66"/>
    </row>
    <row r="501">
      <c r="G501" s="66"/>
    </row>
    <row r="502">
      <c r="G502" s="66"/>
    </row>
    <row r="503">
      <c r="G503" s="66"/>
    </row>
    <row r="504">
      <c r="G504" s="66"/>
    </row>
    <row r="505">
      <c r="G505" s="66"/>
    </row>
    <row r="506">
      <c r="G506" s="66"/>
    </row>
    <row r="507">
      <c r="G507" s="66"/>
    </row>
    <row r="508">
      <c r="G508" s="66"/>
    </row>
    <row r="509">
      <c r="G509" s="66"/>
    </row>
    <row r="510">
      <c r="G510" s="66"/>
    </row>
    <row r="511">
      <c r="G511" s="66"/>
    </row>
    <row r="512">
      <c r="G512" s="66"/>
    </row>
    <row r="513">
      <c r="G513" s="66"/>
    </row>
    <row r="514">
      <c r="G514" s="66"/>
    </row>
    <row r="515">
      <c r="G515" s="66"/>
    </row>
    <row r="516">
      <c r="G516" s="66"/>
    </row>
    <row r="517">
      <c r="G517" s="66"/>
    </row>
    <row r="518">
      <c r="G518" s="66"/>
    </row>
    <row r="519">
      <c r="G519" s="66"/>
    </row>
    <row r="520">
      <c r="G520" s="66"/>
    </row>
    <row r="521">
      <c r="G521" s="66"/>
    </row>
    <row r="522">
      <c r="G522" s="66"/>
    </row>
    <row r="523">
      <c r="G523" s="66"/>
    </row>
    <row r="524">
      <c r="G524" s="66"/>
    </row>
    <row r="525">
      <c r="G525" s="66"/>
    </row>
    <row r="526">
      <c r="G526" s="66"/>
    </row>
    <row r="527">
      <c r="G527" s="66"/>
    </row>
    <row r="528">
      <c r="G528" s="66"/>
    </row>
    <row r="529">
      <c r="G529" s="66"/>
    </row>
    <row r="530">
      <c r="G530" s="66"/>
    </row>
    <row r="531">
      <c r="G531" s="66"/>
    </row>
    <row r="532">
      <c r="G532" s="66"/>
    </row>
    <row r="533">
      <c r="G533" s="66"/>
    </row>
    <row r="534">
      <c r="G534" s="66"/>
    </row>
    <row r="535">
      <c r="G535" s="66"/>
    </row>
    <row r="536">
      <c r="G536" s="66"/>
    </row>
    <row r="537">
      <c r="G537" s="66"/>
    </row>
    <row r="538">
      <c r="G538" s="66"/>
    </row>
    <row r="539">
      <c r="G539" s="66"/>
    </row>
    <row r="540">
      <c r="G540" s="66"/>
    </row>
    <row r="541">
      <c r="G541" s="66"/>
    </row>
    <row r="542">
      <c r="G542" s="66"/>
    </row>
    <row r="543">
      <c r="G543" s="66"/>
    </row>
    <row r="544">
      <c r="G544" s="66"/>
    </row>
    <row r="545">
      <c r="G545" s="66"/>
    </row>
    <row r="546">
      <c r="G546" s="66"/>
    </row>
    <row r="547">
      <c r="G547" s="66"/>
    </row>
    <row r="548">
      <c r="G548" s="66"/>
    </row>
    <row r="549">
      <c r="G549" s="66"/>
    </row>
    <row r="550">
      <c r="G550" s="66"/>
    </row>
    <row r="551">
      <c r="G551" s="66"/>
    </row>
    <row r="552">
      <c r="G552" s="66"/>
    </row>
    <row r="553">
      <c r="G553" s="66"/>
    </row>
    <row r="554">
      <c r="G554" s="66"/>
    </row>
    <row r="555">
      <c r="G555" s="66"/>
    </row>
    <row r="556">
      <c r="G556" s="66"/>
    </row>
    <row r="557">
      <c r="G557" s="66"/>
    </row>
    <row r="558">
      <c r="G558" s="66"/>
    </row>
    <row r="559">
      <c r="G559" s="66"/>
    </row>
    <row r="560">
      <c r="G560" s="66"/>
    </row>
    <row r="561">
      <c r="G561" s="66"/>
    </row>
    <row r="562">
      <c r="G562" s="66"/>
    </row>
    <row r="563">
      <c r="G563" s="66"/>
    </row>
    <row r="564">
      <c r="G564" s="66"/>
    </row>
    <row r="565">
      <c r="G565" s="66"/>
    </row>
    <row r="566">
      <c r="G566" s="66"/>
    </row>
    <row r="567">
      <c r="G567" s="66"/>
    </row>
    <row r="568">
      <c r="G568" s="66"/>
    </row>
    <row r="569">
      <c r="G569" s="66"/>
    </row>
    <row r="570">
      <c r="G570" s="66"/>
    </row>
    <row r="571">
      <c r="G571" s="66"/>
    </row>
    <row r="572">
      <c r="G572" s="66"/>
    </row>
    <row r="573">
      <c r="G573" s="66"/>
    </row>
    <row r="574">
      <c r="G574" s="66"/>
    </row>
    <row r="575">
      <c r="G575" s="66"/>
    </row>
    <row r="576">
      <c r="G576" s="66"/>
    </row>
    <row r="577">
      <c r="G577" s="66"/>
    </row>
    <row r="578">
      <c r="G578" s="66"/>
    </row>
    <row r="579">
      <c r="G579" s="66"/>
    </row>
    <row r="580">
      <c r="G580" s="66"/>
    </row>
    <row r="581">
      <c r="G581" s="66"/>
    </row>
    <row r="582">
      <c r="G582" s="66"/>
    </row>
    <row r="583">
      <c r="G583" s="66"/>
    </row>
    <row r="584">
      <c r="G584" s="66"/>
    </row>
    <row r="585">
      <c r="G585" s="66"/>
    </row>
    <row r="586">
      <c r="G586" s="66"/>
    </row>
    <row r="587">
      <c r="G587" s="66"/>
    </row>
    <row r="588">
      <c r="G588" s="66"/>
    </row>
    <row r="589">
      <c r="G589" s="66"/>
    </row>
    <row r="590">
      <c r="G590" s="66"/>
    </row>
    <row r="591">
      <c r="G591" s="66"/>
    </row>
    <row r="592">
      <c r="G592" s="66"/>
    </row>
    <row r="593">
      <c r="G593" s="66"/>
    </row>
    <row r="594">
      <c r="G594" s="66"/>
    </row>
    <row r="595">
      <c r="G595" s="66"/>
    </row>
    <row r="596">
      <c r="G596" s="66"/>
    </row>
    <row r="597">
      <c r="G597" s="66"/>
    </row>
    <row r="598">
      <c r="G598" s="66"/>
    </row>
    <row r="599">
      <c r="G599" s="66"/>
    </row>
    <row r="600">
      <c r="G600" s="66"/>
    </row>
    <row r="601">
      <c r="G601" s="66"/>
    </row>
    <row r="602">
      <c r="G602" s="66"/>
    </row>
    <row r="603">
      <c r="G603" s="66"/>
    </row>
    <row r="604">
      <c r="G604" s="66"/>
    </row>
    <row r="605">
      <c r="G605" s="66"/>
    </row>
    <row r="606">
      <c r="G606" s="66"/>
    </row>
    <row r="607">
      <c r="G607" s="66"/>
    </row>
    <row r="608">
      <c r="G608" s="66"/>
    </row>
    <row r="609">
      <c r="G609" s="66"/>
    </row>
    <row r="610">
      <c r="G610" s="66"/>
    </row>
    <row r="611">
      <c r="G611" s="66"/>
    </row>
    <row r="612">
      <c r="G612" s="66"/>
    </row>
    <row r="613">
      <c r="G613" s="66"/>
    </row>
    <row r="614">
      <c r="G614" s="66"/>
    </row>
    <row r="615">
      <c r="G615" s="66"/>
    </row>
    <row r="616">
      <c r="G616" s="66"/>
    </row>
    <row r="617">
      <c r="G617" s="66"/>
    </row>
    <row r="618">
      <c r="G618" s="66"/>
    </row>
    <row r="619">
      <c r="G619" s="66"/>
    </row>
    <row r="620">
      <c r="G620" s="66"/>
    </row>
    <row r="621">
      <c r="G621" s="66"/>
    </row>
    <row r="622">
      <c r="G622" s="66"/>
    </row>
    <row r="623">
      <c r="G623" s="66"/>
    </row>
    <row r="624">
      <c r="G624" s="66"/>
    </row>
    <row r="625">
      <c r="G625" s="66"/>
    </row>
    <row r="626">
      <c r="G626" s="66"/>
    </row>
    <row r="627">
      <c r="G627" s="66"/>
    </row>
    <row r="628">
      <c r="G628" s="66"/>
    </row>
    <row r="629">
      <c r="G629" s="66"/>
    </row>
    <row r="630">
      <c r="G630" s="66"/>
    </row>
    <row r="631">
      <c r="G631" s="66"/>
    </row>
    <row r="632">
      <c r="G632" s="66"/>
    </row>
    <row r="633">
      <c r="G633" s="66"/>
    </row>
    <row r="634">
      <c r="G634" s="66"/>
    </row>
    <row r="635">
      <c r="G635" s="66"/>
    </row>
    <row r="636">
      <c r="G636" s="66"/>
    </row>
    <row r="637">
      <c r="G637" s="66"/>
    </row>
    <row r="638">
      <c r="G638" s="66"/>
    </row>
    <row r="639">
      <c r="G639" s="66"/>
    </row>
    <row r="640">
      <c r="G640" s="66"/>
    </row>
    <row r="641">
      <c r="G641" s="66"/>
    </row>
    <row r="642">
      <c r="G642" s="66"/>
    </row>
    <row r="643">
      <c r="G643" s="66"/>
    </row>
    <row r="644">
      <c r="G644" s="66"/>
    </row>
    <row r="645">
      <c r="G645" s="66"/>
    </row>
    <row r="646">
      <c r="G646" s="66"/>
    </row>
    <row r="647">
      <c r="G647" s="66"/>
    </row>
    <row r="648">
      <c r="G648" s="66"/>
    </row>
    <row r="649">
      <c r="G649" s="66"/>
    </row>
    <row r="650">
      <c r="G650" s="66"/>
    </row>
    <row r="651">
      <c r="G651" s="66"/>
    </row>
    <row r="652">
      <c r="G652" s="66"/>
    </row>
    <row r="653">
      <c r="G653" s="66"/>
    </row>
    <row r="654">
      <c r="G654" s="66"/>
    </row>
    <row r="655">
      <c r="G655" s="66"/>
    </row>
    <row r="656">
      <c r="G656" s="66"/>
    </row>
    <row r="657">
      <c r="G657" s="66"/>
    </row>
    <row r="658">
      <c r="G658" s="66"/>
    </row>
    <row r="659">
      <c r="G659" s="66"/>
    </row>
    <row r="660">
      <c r="G660" s="66"/>
    </row>
    <row r="661">
      <c r="G661" s="66"/>
    </row>
    <row r="662">
      <c r="G662" s="66"/>
    </row>
    <row r="663">
      <c r="G663" s="66"/>
    </row>
    <row r="664">
      <c r="G664" s="66"/>
    </row>
    <row r="665">
      <c r="G665" s="66"/>
    </row>
    <row r="666">
      <c r="G666" s="66"/>
    </row>
    <row r="667">
      <c r="G667" s="66"/>
    </row>
    <row r="668">
      <c r="G668" s="66"/>
    </row>
    <row r="669">
      <c r="G669" s="66"/>
    </row>
    <row r="670">
      <c r="G670" s="66"/>
    </row>
    <row r="671">
      <c r="G671" s="66"/>
    </row>
    <row r="672">
      <c r="G672" s="66"/>
    </row>
    <row r="673">
      <c r="G673" s="66"/>
    </row>
    <row r="674">
      <c r="G674" s="66"/>
    </row>
    <row r="675">
      <c r="G675" s="66"/>
    </row>
    <row r="676">
      <c r="G676" s="66"/>
    </row>
    <row r="677">
      <c r="G677" s="66"/>
    </row>
    <row r="678">
      <c r="G678" s="66"/>
    </row>
    <row r="679">
      <c r="G679" s="66"/>
    </row>
    <row r="680">
      <c r="G680" s="66"/>
    </row>
    <row r="681">
      <c r="G681" s="66"/>
    </row>
    <row r="682">
      <c r="G682" s="66"/>
    </row>
    <row r="683">
      <c r="G683" s="66"/>
    </row>
    <row r="684">
      <c r="G684" s="66"/>
    </row>
    <row r="685">
      <c r="G685" s="66"/>
    </row>
    <row r="686">
      <c r="G686" s="66"/>
    </row>
    <row r="687">
      <c r="G687" s="66"/>
    </row>
    <row r="688">
      <c r="G688" s="66"/>
    </row>
    <row r="689">
      <c r="G689" s="66"/>
    </row>
    <row r="690">
      <c r="G690" s="66"/>
    </row>
    <row r="691">
      <c r="G691" s="66"/>
    </row>
    <row r="692">
      <c r="G692" s="66"/>
    </row>
    <row r="693">
      <c r="G693" s="66"/>
    </row>
    <row r="694">
      <c r="G694" s="66"/>
    </row>
    <row r="695">
      <c r="G695" s="66"/>
    </row>
    <row r="696">
      <c r="G696" s="66"/>
    </row>
    <row r="697">
      <c r="G697" s="66"/>
    </row>
    <row r="698">
      <c r="G698" s="66"/>
    </row>
    <row r="699">
      <c r="G699" s="66"/>
    </row>
    <row r="700">
      <c r="G700" s="66"/>
    </row>
    <row r="701">
      <c r="G701" s="66"/>
    </row>
    <row r="702">
      <c r="G702" s="66"/>
    </row>
    <row r="703">
      <c r="G703" s="66"/>
    </row>
    <row r="704">
      <c r="G704" s="66"/>
    </row>
    <row r="705">
      <c r="G705" s="66"/>
    </row>
    <row r="706">
      <c r="G706" s="66"/>
    </row>
    <row r="707">
      <c r="G707" s="66"/>
    </row>
    <row r="708">
      <c r="G708" s="66"/>
    </row>
    <row r="709">
      <c r="G709" s="66"/>
    </row>
    <row r="710">
      <c r="G710" s="66"/>
    </row>
    <row r="711">
      <c r="G711" s="66"/>
    </row>
    <row r="712">
      <c r="G712" s="66"/>
    </row>
    <row r="713">
      <c r="G713" s="66"/>
    </row>
    <row r="714">
      <c r="G714" s="66"/>
    </row>
    <row r="715">
      <c r="G715" s="66"/>
    </row>
    <row r="716">
      <c r="G716" s="66"/>
    </row>
    <row r="717">
      <c r="G717" s="66"/>
    </row>
    <row r="718">
      <c r="G718" s="66"/>
    </row>
    <row r="719">
      <c r="G719" s="66"/>
    </row>
    <row r="720">
      <c r="G720" s="66"/>
    </row>
    <row r="721">
      <c r="G721" s="66"/>
    </row>
    <row r="722">
      <c r="G722" s="66"/>
    </row>
    <row r="723">
      <c r="G723" s="66"/>
    </row>
    <row r="724">
      <c r="G724" s="66"/>
    </row>
    <row r="725">
      <c r="G725" s="66"/>
    </row>
    <row r="726">
      <c r="G726" s="66"/>
    </row>
    <row r="727">
      <c r="G727" s="66"/>
    </row>
    <row r="728">
      <c r="G728" s="66"/>
    </row>
    <row r="729">
      <c r="G729" s="66"/>
    </row>
    <row r="730">
      <c r="G730" s="66"/>
    </row>
    <row r="731">
      <c r="G731" s="66"/>
    </row>
    <row r="732">
      <c r="G732" s="66"/>
    </row>
    <row r="733">
      <c r="G733" s="66"/>
    </row>
    <row r="734">
      <c r="G734" s="66"/>
    </row>
    <row r="735">
      <c r="G735" s="66"/>
    </row>
    <row r="736">
      <c r="G736" s="66"/>
    </row>
    <row r="737">
      <c r="G737" s="66"/>
    </row>
    <row r="738">
      <c r="G738" s="66"/>
    </row>
    <row r="739">
      <c r="G739" s="66"/>
    </row>
    <row r="740">
      <c r="G740" s="66"/>
    </row>
    <row r="741">
      <c r="G741" s="66"/>
    </row>
    <row r="742">
      <c r="G742" s="66"/>
    </row>
    <row r="743">
      <c r="G743" s="66"/>
    </row>
    <row r="744">
      <c r="G744" s="66"/>
    </row>
    <row r="745">
      <c r="G745" s="66"/>
    </row>
    <row r="746">
      <c r="G746" s="66"/>
    </row>
    <row r="747">
      <c r="G747" s="66"/>
    </row>
    <row r="748">
      <c r="G748" s="66"/>
    </row>
    <row r="749">
      <c r="G749" s="66"/>
    </row>
    <row r="750">
      <c r="G750" s="66"/>
    </row>
    <row r="751">
      <c r="G751" s="66"/>
    </row>
    <row r="752">
      <c r="G752" s="66"/>
    </row>
    <row r="753">
      <c r="G753" s="66"/>
    </row>
    <row r="754">
      <c r="G754" s="66"/>
    </row>
    <row r="755">
      <c r="G755" s="66"/>
    </row>
    <row r="756">
      <c r="G756" s="66"/>
    </row>
    <row r="757">
      <c r="G757" s="66"/>
    </row>
    <row r="758">
      <c r="G758" s="66"/>
    </row>
    <row r="759">
      <c r="G759" s="66"/>
    </row>
    <row r="760">
      <c r="G760" s="66"/>
    </row>
    <row r="761">
      <c r="G761" s="66"/>
    </row>
    <row r="762">
      <c r="G762" s="66"/>
    </row>
    <row r="763">
      <c r="G763" s="66"/>
    </row>
    <row r="764">
      <c r="G764" s="66"/>
    </row>
    <row r="765">
      <c r="G765" s="66"/>
    </row>
    <row r="766">
      <c r="G766" s="66"/>
    </row>
    <row r="767">
      <c r="G767" s="66"/>
    </row>
    <row r="768">
      <c r="G768" s="66"/>
    </row>
    <row r="769">
      <c r="G769" s="66"/>
    </row>
    <row r="770">
      <c r="G770" s="66"/>
    </row>
    <row r="771">
      <c r="G771" s="66"/>
    </row>
    <row r="772">
      <c r="G772" s="66"/>
    </row>
    <row r="773">
      <c r="G773" s="66"/>
    </row>
    <row r="774">
      <c r="G774" s="66"/>
    </row>
    <row r="775">
      <c r="G775" s="66"/>
    </row>
    <row r="776">
      <c r="G776" s="66"/>
    </row>
    <row r="777">
      <c r="G777" s="66"/>
    </row>
    <row r="778">
      <c r="G778" s="66"/>
    </row>
    <row r="779">
      <c r="G779" s="66"/>
    </row>
    <row r="780">
      <c r="G780" s="66"/>
    </row>
    <row r="781">
      <c r="G781" s="66"/>
    </row>
    <row r="782">
      <c r="G782" s="66"/>
    </row>
    <row r="783">
      <c r="G783" s="66"/>
    </row>
    <row r="784">
      <c r="G784" s="66"/>
    </row>
    <row r="785">
      <c r="G785" s="66"/>
    </row>
    <row r="786">
      <c r="G786" s="66"/>
    </row>
    <row r="787">
      <c r="G787" s="66"/>
    </row>
    <row r="788">
      <c r="G788" s="66"/>
    </row>
    <row r="789">
      <c r="G789" s="66"/>
    </row>
    <row r="790">
      <c r="G790" s="66"/>
    </row>
    <row r="791">
      <c r="G791" s="66"/>
    </row>
    <row r="792">
      <c r="G792" s="66"/>
    </row>
    <row r="793">
      <c r="G793" s="66"/>
    </row>
    <row r="794">
      <c r="G794" s="66"/>
    </row>
    <row r="795">
      <c r="G795" s="66"/>
    </row>
    <row r="796">
      <c r="G796" s="66"/>
    </row>
    <row r="797">
      <c r="G797" s="66"/>
    </row>
    <row r="798">
      <c r="G798" s="66"/>
    </row>
    <row r="799">
      <c r="G799" s="66"/>
    </row>
    <row r="800">
      <c r="G800" s="66"/>
    </row>
    <row r="801">
      <c r="G801" s="66"/>
    </row>
    <row r="802">
      <c r="G802" s="66"/>
    </row>
    <row r="803">
      <c r="G803" s="66"/>
    </row>
    <row r="804">
      <c r="G804" s="66"/>
    </row>
    <row r="805">
      <c r="G805" s="66"/>
    </row>
    <row r="806">
      <c r="G806" s="66"/>
    </row>
    <row r="807">
      <c r="G807" s="66"/>
    </row>
    <row r="808">
      <c r="G808" s="66"/>
    </row>
    <row r="809">
      <c r="G809" s="66"/>
    </row>
    <row r="810">
      <c r="G810" s="66"/>
    </row>
    <row r="811">
      <c r="G811" s="66"/>
    </row>
    <row r="812">
      <c r="G812" s="66"/>
    </row>
    <row r="813">
      <c r="G813" s="66"/>
    </row>
    <row r="814">
      <c r="G814" s="66"/>
    </row>
    <row r="815">
      <c r="G815" s="66"/>
    </row>
    <row r="816">
      <c r="G816" s="66"/>
    </row>
    <row r="817">
      <c r="G817" s="66"/>
    </row>
    <row r="818">
      <c r="G818" s="66"/>
    </row>
    <row r="819">
      <c r="G819" s="66"/>
    </row>
    <row r="820">
      <c r="G820" s="66"/>
    </row>
    <row r="821">
      <c r="G821" s="66"/>
    </row>
    <row r="822">
      <c r="G822" s="66"/>
    </row>
    <row r="823">
      <c r="G823" s="66"/>
    </row>
    <row r="824">
      <c r="G824" s="66"/>
    </row>
    <row r="825">
      <c r="G825" s="66"/>
    </row>
    <row r="826">
      <c r="G826" s="66"/>
    </row>
    <row r="827">
      <c r="G827" s="66"/>
    </row>
    <row r="828">
      <c r="G828" s="66"/>
    </row>
    <row r="829">
      <c r="G829" s="66"/>
    </row>
    <row r="830">
      <c r="G830" s="66"/>
    </row>
    <row r="831">
      <c r="G831" s="66"/>
    </row>
    <row r="832">
      <c r="G832" s="66"/>
    </row>
    <row r="833">
      <c r="G833" s="66"/>
    </row>
    <row r="834">
      <c r="G834" s="66"/>
    </row>
    <row r="835">
      <c r="G835" s="66"/>
    </row>
    <row r="836">
      <c r="G836" s="66"/>
    </row>
    <row r="837">
      <c r="G837" s="66"/>
    </row>
    <row r="838">
      <c r="G838" s="66"/>
    </row>
    <row r="839">
      <c r="G839" s="66"/>
    </row>
    <row r="840">
      <c r="G840" s="66"/>
    </row>
    <row r="841">
      <c r="G841" s="66"/>
    </row>
    <row r="842">
      <c r="G842" s="66"/>
    </row>
    <row r="843">
      <c r="G843" s="66"/>
    </row>
    <row r="844">
      <c r="G844" s="66"/>
    </row>
    <row r="845">
      <c r="G845" s="66"/>
    </row>
    <row r="846">
      <c r="G846" s="66"/>
    </row>
    <row r="847">
      <c r="G847" s="66"/>
    </row>
    <row r="848">
      <c r="G848" s="66"/>
    </row>
    <row r="849">
      <c r="G849" s="66"/>
    </row>
    <row r="850">
      <c r="G850" s="66"/>
    </row>
    <row r="851">
      <c r="G851" s="66"/>
    </row>
    <row r="852">
      <c r="G852" s="66"/>
    </row>
    <row r="853">
      <c r="G853" s="66"/>
    </row>
    <row r="854">
      <c r="G854" s="66"/>
    </row>
    <row r="855">
      <c r="G855" s="66"/>
    </row>
    <row r="856">
      <c r="G856" s="66"/>
    </row>
    <row r="857">
      <c r="G857" s="66"/>
    </row>
    <row r="858">
      <c r="G858" s="66"/>
    </row>
    <row r="859">
      <c r="G859" s="66"/>
    </row>
    <row r="860">
      <c r="G860" s="66"/>
    </row>
    <row r="861">
      <c r="G861" s="66"/>
    </row>
    <row r="862">
      <c r="G862" s="66"/>
    </row>
    <row r="863">
      <c r="G863" s="66"/>
    </row>
    <row r="864">
      <c r="G864" s="66"/>
    </row>
    <row r="865">
      <c r="G865" s="66"/>
    </row>
    <row r="866">
      <c r="G866" s="66"/>
    </row>
    <row r="867">
      <c r="G867" s="66"/>
    </row>
    <row r="868">
      <c r="G868" s="66"/>
    </row>
    <row r="869">
      <c r="G869" s="66"/>
    </row>
    <row r="870">
      <c r="G870" s="66"/>
    </row>
    <row r="871">
      <c r="G871" s="66"/>
    </row>
    <row r="872">
      <c r="G872" s="66"/>
    </row>
    <row r="873">
      <c r="G873" s="66"/>
    </row>
    <row r="874">
      <c r="G874" s="66"/>
    </row>
    <row r="875">
      <c r="G875" s="66"/>
    </row>
    <row r="876">
      <c r="G876" s="66"/>
    </row>
    <row r="877">
      <c r="G877" s="66"/>
    </row>
    <row r="878">
      <c r="G878" s="66"/>
    </row>
    <row r="879">
      <c r="G879" s="66"/>
    </row>
    <row r="880">
      <c r="G880" s="66"/>
    </row>
    <row r="881">
      <c r="G881" s="66"/>
    </row>
    <row r="882">
      <c r="G882" s="66"/>
    </row>
    <row r="883">
      <c r="G883" s="66"/>
    </row>
    <row r="884">
      <c r="G884" s="66"/>
    </row>
    <row r="885">
      <c r="G885" s="66"/>
    </row>
    <row r="886">
      <c r="G886" s="66"/>
    </row>
    <row r="887">
      <c r="G887" s="66"/>
    </row>
    <row r="888">
      <c r="G888" s="66"/>
    </row>
    <row r="889">
      <c r="G889" s="66"/>
    </row>
    <row r="890">
      <c r="G890" s="66"/>
    </row>
    <row r="891">
      <c r="G891" s="66"/>
    </row>
    <row r="892">
      <c r="G892" s="66"/>
    </row>
    <row r="893">
      <c r="G893" s="66"/>
    </row>
    <row r="894">
      <c r="G894" s="66"/>
    </row>
    <row r="895">
      <c r="G895" s="66"/>
    </row>
    <row r="896">
      <c r="G896" s="66"/>
    </row>
    <row r="897">
      <c r="G897" s="66"/>
    </row>
    <row r="898">
      <c r="G898" s="66"/>
    </row>
    <row r="899">
      <c r="G899" s="66"/>
    </row>
    <row r="900">
      <c r="G900" s="66"/>
    </row>
    <row r="901">
      <c r="G901" s="66"/>
    </row>
    <row r="902">
      <c r="G902" s="66"/>
    </row>
    <row r="903">
      <c r="G903" s="66"/>
    </row>
    <row r="904">
      <c r="G904" s="66"/>
    </row>
    <row r="905">
      <c r="G905" s="66"/>
    </row>
    <row r="906">
      <c r="G906" s="66"/>
    </row>
    <row r="907">
      <c r="G907" s="66"/>
    </row>
    <row r="908">
      <c r="G908" s="66"/>
    </row>
    <row r="909">
      <c r="G909" s="66"/>
    </row>
    <row r="910">
      <c r="G910" s="66"/>
    </row>
    <row r="911">
      <c r="G911" s="66"/>
    </row>
    <row r="912">
      <c r="G912" s="66"/>
    </row>
    <row r="913">
      <c r="G913" s="66"/>
    </row>
    <row r="914">
      <c r="G914" s="66"/>
    </row>
    <row r="915">
      <c r="G915" s="66"/>
    </row>
    <row r="916">
      <c r="G916" s="66"/>
    </row>
    <row r="917">
      <c r="G917" s="66"/>
    </row>
    <row r="918">
      <c r="G918" s="66"/>
    </row>
    <row r="919">
      <c r="G919" s="66"/>
    </row>
    <row r="920">
      <c r="G920" s="66"/>
    </row>
    <row r="921">
      <c r="G921" s="66"/>
    </row>
    <row r="922">
      <c r="G922" s="66"/>
    </row>
    <row r="923">
      <c r="G923" s="66"/>
    </row>
    <row r="924">
      <c r="G924" s="66"/>
    </row>
    <row r="925">
      <c r="G925" s="66"/>
    </row>
    <row r="926">
      <c r="G926" s="66"/>
    </row>
    <row r="927">
      <c r="G927" s="66"/>
    </row>
    <row r="928">
      <c r="G928" s="66"/>
    </row>
    <row r="929">
      <c r="G929" s="66"/>
    </row>
    <row r="930">
      <c r="G930" s="66"/>
    </row>
    <row r="931">
      <c r="G931" s="66"/>
    </row>
    <row r="932">
      <c r="G932" s="66"/>
    </row>
    <row r="933">
      <c r="G933" s="66"/>
    </row>
    <row r="934">
      <c r="G934" s="66"/>
    </row>
    <row r="935">
      <c r="G935" s="66"/>
    </row>
    <row r="936">
      <c r="G936" s="66"/>
    </row>
    <row r="937">
      <c r="G937" s="66"/>
    </row>
    <row r="938">
      <c r="G938" s="66"/>
    </row>
    <row r="939">
      <c r="G939" s="66"/>
    </row>
    <row r="940">
      <c r="G940" s="66"/>
    </row>
    <row r="941">
      <c r="G941" s="66"/>
    </row>
    <row r="942">
      <c r="G942" s="66"/>
    </row>
    <row r="943">
      <c r="G943" s="66"/>
    </row>
    <row r="944">
      <c r="G944" s="66"/>
    </row>
    <row r="945">
      <c r="G945" s="66"/>
    </row>
    <row r="946">
      <c r="G946" s="66"/>
    </row>
    <row r="947">
      <c r="G947" s="66"/>
    </row>
    <row r="948">
      <c r="G948" s="66"/>
    </row>
    <row r="949">
      <c r="G949" s="66"/>
    </row>
    <row r="950">
      <c r="G950" s="66"/>
    </row>
    <row r="951">
      <c r="G951" s="66"/>
    </row>
    <row r="952">
      <c r="G952" s="66"/>
    </row>
    <row r="953">
      <c r="G953" s="66"/>
    </row>
    <row r="954">
      <c r="G954" s="66"/>
    </row>
    <row r="955">
      <c r="G955" s="66"/>
    </row>
    <row r="956">
      <c r="G956" s="66"/>
    </row>
    <row r="957">
      <c r="G957" s="66"/>
    </row>
    <row r="958">
      <c r="G958" s="66"/>
    </row>
    <row r="959">
      <c r="G959" s="66"/>
    </row>
    <row r="960">
      <c r="G960" s="66"/>
    </row>
    <row r="961">
      <c r="G961" s="66"/>
    </row>
    <row r="962">
      <c r="G962" s="66"/>
    </row>
    <row r="963">
      <c r="G963" s="66"/>
    </row>
    <row r="964">
      <c r="G964" s="66"/>
    </row>
    <row r="965">
      <c r="G965" s="66"/>
    </row>
    <row r="966">
      <c r="G966" s="66"/>
    </row>
    <row r="967">
      <c r="G967" s="66"/>
    </row>
    <row r="968">
      <c r="G968" s="66"/>
    </row>
    <row r="969">
      <c r="G969" s="66"/>
    </row>
    <row r="970">
      <c r="G970" s="66"/>
    </row>
    <row r="971">
      <c r="G971" s="66"/>
    </row>
    <row r="972">
      <c r="G972" s="66"/>
    </row>
    <row r="973">
      <c r="G973" s="66"/>
    </row>
    <row r="974">
      <c r="G974" s="66"/>
    </row>
    <row r="975">
      <c r="G975" s="66"/>
    </row>
    <row r="976">
      <c r="G976" s="66"/>
    </row>
    <row r="977">
      <c r="G977" s="66"/>
    </row>
    <row r="978">
      <c r="G978" s="66"/>
    </row>
    <row r="979">
      <c r="G979" s="66"/>
    </row>
    <row r="980">
      <c r="G980" s="66"/>
    </row>
    <row r="981">
      <c r="G981" s="66"/>
    </row>
    <row r="982">
      <c r="G982" s="66"/>
    </row>
    <row r="983">
      <c r="G983" s="66"/>
    </row>
    <row r="984">
      <c r="G984" s="66"/>
    </row>
    <row r="985">
      <c r="G985" s="66"/>
    </row>
    <row r="986">
      <c r="G986" s="66"/>
    </row>
    <row r="987">
      <c r="G987" s="66"/>
    </row>
    <row r="988">
      <c r="G988" s="66"/>
    </row>
    <row r="989">
      <c r="G989" s="66"/>
    </row>
    <row r="990">
      <c r="G990" s="66"/>
    </row>
    <row r="991">
      <c r="G991" s="66"/>
    </row>
    <row r="992">
      <c r="G992" s="66"/>
    </row>
    <row r="993">
      <c r="G993" s="66"/>
    </row>
    <row r="994">
      <c r="G994" s="66"/>
    </row>
    <row r="995">
      <c r="G995" s="66"/>
    </row>
    <row r="996">
      <c r="G996" s="66"/>
    </row>
    <row r="997">
      <c r="G997" s="66"/>
    </row>
    <row r="998">
      <c r="G998" s="66"/>
    </row>
    <row r="999">
      <c r="G999" s="66"/>
    </row>
    <row r="1000">
      <c r="G1000" s="66"/>
    </row>
    <row r="1001">
      <c r="G1001" s="66"/>
    </row>
    <row r="1002">
      <c r="G1002" s="66"/>
    </row>
    <row r="1003">
      <c r="G1003" s="66"/>
    </row>
  </sheetData>
  <hyperlinks>
    <hyperlink r:id="rId1" location="c2" ref="G6"/>
    <hyperlink r:id="rId2" ref="G12"/>
    <hyperlink r:id="rId3" ref="G13"/>
    <hyperlink r:id="rId4" ref="G15"/>
    <hyperlink r:id="rId5" ref="G20"/>
    <hyperlink r:id="rId6" ref="G29"/>
    <hyperlink r:id="rId7" location=":~:text=95%25%20of%20the%20broiler%20chickens,just%20five%20to%20six%20weeks." ref="G37"/>
    <hyperlink r:id="rId8" location="gid=289821833" ref="G38"/>
  </hyperlinks>
  <drawing r:id="rId9"/>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5" t="s">
        <v>84</v>
      </c>
      <c r="B1" s="76"/>
      <c r="C1" s="76"/>
      <c r="D1" s="76"/>
      <c r="E1" s="76"/>
      <c r="F1" s="76"/>
      <c r="G1" s="76"/>
      <c r="H1" s="76"/>
      <c r="I1" s="76"/>
      <c r="J1" s="76"/>
      <c r="K1" s="76"/>
      <c r="L1" s="76"/>
      <c r="M1" s="76"/>
      <c r="N1" s="76"/>
      <c r="O1" s="76"/>
      <c r="P1" s="76"/>
      <c r="Q1" s="76"/>
      <c r="R1" s="76"/>
      <c r="S1" s="76"/>
      <c r="T1" s="76"/>
      <c r="U1" s="76"/>
      <c r="V1" s="76"/>
      <c r="W1" s="76"/>
      <c r="X1" s="76"/>
      <c r="Y1" s="76"/>
      <c r="Z1" s="76"/>
    </row>
    <row r="2">
      <c r="A2" s="75" t="s">
        <v>171</v>
      </c>
      <c r="B2" s="76"/>
      <c r="C2" s="76"/>
      <c r="D2" s="76"/>
      <c r="E2" s="76"/>
      <c r="F2" s="76"/>
      <c r="G2" s="76"/>
      <c r="H2" s="76"/>
      <c r="I2" s="76"/>
      <c r="J2" s="76"/>
      <c r="K2" s="76"/>
      <c r="L2" s="76"/>
      <c r="M2" s="76"/>
      <c r="N2" s="76"/>
      <c r="O2" s="76"/>
      <c r="P2" s="76"/>
      <c r="Q2" s="76"/>
      <c r="R2" s="76"/>
      <c r="S2" s="76"/>
      <c r="T2" s="76"/>
      <c r="U2" s="76"/>
      <c r="V2" s="76"/>
      <c r="W2" s="76"/>
      <c r="X2" s="76"/>
      <c r="Y2" s="76"/>
      <c r="Z2" s="76"/>
    </row>
    <row r="3">
      <c r="A3" s="34" t="s">
        <v>172</v>
      </c>
    </row>
    <row r="4">
      <c r="A4" s="3" t="s">
        <v>173</v>
      </c>
      <c r="B4" s="3" t="s">
        <v>85</v>
      </c>
      <c r="C4" s="77" t="s">
        <v>174</v>
      </c>
    </row>
    <row r="5">
      <c r="A5" s="2" t="s">
        <v>175</v>
      </c>
      <c r="B5" s="2">
        <v>2014.0</v>
      </c>
      <c r="C5" s="2">
        <v>5.0</v>
      </c>
    </row>
    <row r="6">
      <c r="A6" s="2" t="s">
        <v>175</v>
      </c>
      <c r="B6" s="2">
        <v>2015.0</v>
      </c>
      <c r="C6" s="2">
        <v>64.0</v>
      </c>
      <c r="E6" s="38" t="s">
        <v>176</v>
      </c>
      <c r="F6" s="38" t="s">
        <v>177</v>
      </c>
      <c r="G6" s="38" t="s">
        <v>178</v>
      </c>
    </row>
    <row r="7">
      <c r="A7" s="2" t="s">
        <v>175</v>
      </c>
      <c r="B7" s="2">
        <v>2016.0</v>
      </c>
      <c r="C7" s="2">
        <v>224.0</v>
      </c>
      <c r="E7" s="3" t="s">
        <v>175</v>
      </c>
      <c r="F7" s="78">
        <f>C13</f>
        <v>445</v>
      </c>
      <c r="G7" s="78">
        <f t="shared" ref="G7:G11" si="1">F7/$F$7</f>
        <v>1</v>
      </c>
    </row>
    <row r="8">
      <c r="A8" s="2" t="s">
        <v>175</v>
      </c>
      <c r="B8" s="2">
        <v>2017.0</v>
      </c>
      <c r="C8" s="2">
        <v>64.0</v>
      </c>
      <c r="E8" s="3" t="s">
        <v>179</v>
      </c>
      <c r="F8" s="78">
        <f>C22</f>
        <v>68</v>
      </c>
      <c r="G8" s="78">
        <f t="shared" si="1"/>
        <v>0.1528089888</v>
      </c>
    </row>
    <row r="9">
      <c r="A9" s="2" t="s">
        <v>175</v>
      </c>
      <c r="B9" s="2">
        <v>2018.0</v>
      </c>
      <c r="C9" s="2">
        <v>36.0</v>
      </c>
      <c r="E9" s="3" t="s">
        <v>180</v>
      </c>
      <c r="F9" s="78">
        <f>C31</f>
        <v>202</v>
      </c>
      <c r="G9" s="78">
        <f t="shared" si="1"/>
        <v>0.4539325843</v>
      </c>
    </row>
    <row r="10">
      <c r="A10" s="2" t="s">
        <v>175</v>
      </c>
      <c r="B10" s="2">
        <v>2019.0</v>
      </c>
      <c r="C10" s="2">
        <v>15.0</v>
      </c>
      <c r="E10" s="3" t="s">
        <v>181</v>
      </c>
      <c r="F10" s="78">
        <f>C40</f>
        <v>86</v>
      </c>
      <c r="G10" s="78">
        <f t="shared" si="1"/>
        <v>0.193258427</v>
      </c>
    </row>
    <row r="11">
      <c r="A11" s="2" t="s">
        <v>175</v>
      </c>
      <c r="B11" s="2">
        <v>2020.0</v>
      </c>
      <c r="C11" s="2">
        <v>19.0</v>
      </c>
      <c r="E11" s="3" t="s">
        <v>182</v>
      </c>
      <c r="F11" s="78">
        <f>C49</f>
        <v>77</v>
      </c>
      <c r="G11" s="78">
        <f t="shared" si="1"/>
        <v>0.1730337079</v>
      </c>
    </row>
    <row r="12">
      <c r="A12" s="2" t="s">
        <v>175</v>
      </c>
      <c r="B12" s="2">
        <v>2021.0</v>
      </c>
      <c r="C12" s="2">
        <v>18.0</v>
      </c>
      <c r="F12" s="79" t="s">
        <v>4</v>
      </c>
      <c r="G12" s="8">
        <f>AVERAGE(G8:G11)</f>
        <v>0.243258427</v>
      </c>
    </row>
    <row r="13">
      <c r="A13" s="2"/>
      <c r="B13" s="79" t="s">
        <v>183</v>
      </c>
      <c r="C13" s="8">
        <f>SUM(C5:C12)</f>
        <v>445</v>
      </c>
    </row>
    <row r="14">
      <c r="A14" s="2" t="s">
        <v>179</v>
      </c>
      <c r="B14" s="2">
        <v>2017.0</v>
      </c>
      <c r="C14" s="2">
        <v>13.0</v>
      </c>
    </row>
    <row r="15">
      <c r="A15" s="2" t="s">
        <v>179</v>
      </c>
      <c r="B15" s="2">
        <v>2018.0</v>
      </c>
      <c r="C15" s="2">
        <v>10.0</v>
      </c>
    </row>
    <row r="16">
      <c r="A16" s="2" t="s">
        <v>179</v>
      </c>
      <c r="B16" s="2">
        <v>2019.0</v>
      </c>
      <c r="C16" s="2">
        <v>10.0</v>
      </c>
    </row>
    <row r="17">
      <c r="A17" s="2" t="s">
        <v>179</v>
      </c>
      <c r="B17" s="2">
        <v>2020.0</v>
      </c>
      <c r="C17" s="2">
        <v>9.0</v>
      </c>
    </row>
    <row r="18">
      <c r="A18" s="2" t="s">
        <v>179</v>
      </c>
      <c r="B18" s="2">
        <v>2021.0</v>
      </c>
      <c r="C18" s="2">
        <v>7.0</v>
      </c>
    </row>
    <row r="19">
      <c r="A19" s="2" t="s">
        <v>179</v>
      </c>
      <c r="B19" s="2">
        <v>2022.0</v>
      </c>
      <c r="C19" s="2">
        <v>6.0</v>
      </c>
    </row>
    <row r="20">
      <c r="A20" s="2" t="s">
        <v>179</v>
      </c>
      <c r="B20" s="2">
        <v>2023.0</v>
      </c>
      <c r="C20" s="2">
        <v>6.0</v>
      </c>
    </row>
    <row r="21">
      <c r="A21" s="2" t="s">
        <v>179</v>
      </c>
      <c r="B21" s="2">
        <v>2024.0</v>
      </c>
      <c r="C21" s="2">
        <v>7.0</v>
      </c>
    </row>
    <row r="22">
      <c r="A22" s="2"/>
      <c r="B22" s="79" t="s">
        <v>183</v>
      </c>
      <c r="C22" s="8">
        <f>SUM(C14:C21)</f>
        <v>68</v>
      </c>
    </row>
    <row r="23">
      <c r="A23" s="2" t="s">
        <v>180</v>
      </c>
      <c r="B23" s="2">
        <v>2017.0</v>
      </c>
      <c r="C23" s="2">
        <v>48.0</v>
      </c>
    </row>
    <row r="24">
      <c r="A24" s="2" t="s">
        <v>180</v>
      </c>
      <c r="B24" s="2">
        <v>2018.0</v>
      </c>
      <c r="C24" s="2">
        <v>49.0</v>
      </c>
    </row>
    <row r="25">
      <c r="A25" s="2" t="s">
        <v>180</v>
      </c>
      <c r="B25" s="2">
        <v>2019.0</v>
      </c>
      <c r="C25" s="2">
        <v>29.0</v>
      </c>
    </row>
    <row r="26">
      <c r="A26" s="2" t="s">
        <v>180</v>
      </c>
      <c r="B26" s="2">
        <v>2020.0</v>
      </c>
      <c r="C26" s="2">
        <v>20.0</v>
      </c>
    </row>
    <row r="27">
      <c r="A27" s="2" t="s">
        <v>180</v>
      </c>
      <c r="B27" s="2">
        <v>2021.0</v>
      </c>
      <c r="C27" s="2">
        <v>25.0</v>
      </c>
    </row>
    <row r="28">
      <c r="A28" s="2" t="s">
        <v>180</v>
      </c>
      <c r="B28" s="2">
        <v>2022.0</v>
      </c>
      <c r="C28" s="2">
        <v>16.0</v>
      </c>
    </row>
    <row r="29">
      <c r="A29" s="2" t="s">
        <v>180</v>
      </c>
      <c r="B29" s="2">
        <v>2023.0</v>
      </c>
      <c r="C29" s="2">
        <v>12.0</v>
      </c>
    </row>
    <row r="30">
      <c r="A30" s="2" t="s">
        <v>180</v>
      </c>
      <c r="B30" s="2">
        <v>2024.0</v>
      </c>
      <c r="C30" s="2">
        <v>3.0</v>
      </c>
    </row>
    <row r="31">
      <c r="A31" s="2"/>
      <c r="B31" s="79" t="s">
        <v>183</v>
      </c>
      <c r="C31" s="8">
        <f>SUM(C23:C30)</f>
        <v>202</v>
      </c>
    </row>
    <row r="32">
      <c r="A32" s="2" t="s">
        <v>181</v>
      </c>
      <c r="B32" s="2">
        <v>2017.0</v>
      </c>
      <c r="C32" s="2">
        <v>14.0</v>
      </c>
    </row>
    <row r="33">
      <c r="A33" s="2" t="s">
        <v>181</v>
      </c>
      <c r="B33" s="2">
        <v>2018.0</v>
      </c>
      <c r="C33" s="2">
        <v>10.0</v>
      </c>
    </row>
    <row r="34">
      <c r="A34" s="2" t="s">
        <v>181</v>
      </c>
      <c r="B34" s="2">
        <v>2019.0</v>
      </c>
      <c r="C34" s="2">
        <v>16.0</v>
      </c>
    </row>
    <row r="35">
      <c r="A35" s="2" t="s">
        <v>181</v>
      </c>
      <c r="B35" s="2">
        <v>2020.0</v>
      </c>
      <c r="C35" s="2">
        <v>6.0</v>
      </c>
    </row>
    <row r="36">
      <c r="A36" s="2" t="s">
        <v>181</v>
      </c>
      <c r="B36" s="2">
        <v>2021.0</v>
      </c>
      <c r="C36" s="2">
        <v>13.0</v>
      </c>
    </row>
    <row r="37">
      <c r="A37" s="2" t="s">
        <v>181</v>
      </c>
      <c r="B37" s="2">
        <v>2022.0</v>
      </c>
      <c r="C37" s="2">
        <v>14.0</v>
      </c>
    </row>
    <row r="38">
      <c r="A38" s="2" t="s">
        <v>181</v>
      </c>
      <c r="B38" s="2">
        <v>2023.0</v>
      </c>
      <c r="C38" s="2">
        <v>10.0</v>
      </c>
    </row>
    <row r="39">
      <c r="A39" s="2" t="s">
        <v>181</v>
      </c>
      <c r="B39" s="2">
        <v>2024.0</v>
      </c>
      <c r="C39" s="2">
        <v>3.0</v>
      </c>
    </row>
    <row r="40">
      <c r="A40" s="2"/>
      <c r="B40" s="79" t="s">
        <v>183</v>
      </c>
      <c r="C40" s="8">
        <f>SUM(C32:C39)</f>
        <v>86</v>
      </c>
    </row>
    <row r="41">
      <c r="A41" s="2" t="s">
        <v>182</v>
      </c>
      <c r="B41" s="2">
        <v>2017.0</v>
      </c>
      <c r="C41" s="2">
        <v>14.0</v>
      </c>
    </row>
    <row r="42">
      <c r="A42" s="2" t="s">
        <v>182</v>
      </c>
      <c r="B42" s="2">
        <v>2018.0</v>
      </c>
      <c r="C42" s="2">
        <v>17.0</v>
      </c>
    </row>
    <row r="43">
      <c r="A43" s="2" t="s">
        <v>182</v>
      </c>
      <c r="B43" s="2">
        <v>2019.0</v>
      </c>
      <c r="C43" s="2">
        <v>5.0</v>
      </c>
    </row>
    <row r="44">
      <c r="A44" s="2" t="s">
        <v>182</v>
      </c>
      <c r="B44" s="2">
        <v>2020.0</v>
      </c>
      <c r="C44" s="2">
        <v>8.0</v>
      </c>
    </row>
    <row r="45">
      <c r="A45" s="2" t="s">
        <v>182</v>
      </c>
      <c r="B45" s="2">
        <v>2021.0</v>
      </c>
      <c r="C45" s="2">
        <v>12.0</v>
      </c>
    </row>
    <row r="46">
      <c r="A46" s="2" t="s">
        <v>182</v>
      </c>
      <c r="B46" s="2">
        <v>2022.0</v>
      </c>
      <c r="C46" s="2">
        <v>8.0</v>
      </c>
    </row>
    <row r="47">
      <c r="A47" s="2" t="s">
        <v>182</v>
      </c>
      <c r="B47" s="2">
        <v>2023.0</v>
      </c>
      <c r="C47" s="2">
        <v>10.0</v>
      </c>
    </row>
    <row r="48">
      <c r="A48" s="2" t="s">
        <v>182</v>
      </c>
      <c r="B48" s="2">
        <v>2024.0</v>
      </c>
      <c r="C48" s="2">
        <v>3.0</v>
      </c>
    </row>
    <row r="49">
      <c r="B49" s="79" t="s">
        <v>183</v>
      </c>
      <c r="C49" s="8">
        <f>SUM(C41:C48)</f>
        <v>77</v>
      </c>
    </row>
    <row r="58">
      <c r="B58" s="79"/>
      <c r="C58" s="8"/>
    </row>
    <row r="59">
      <c r="A59" s="34"/>
      <c r="B59" s="34"/>
    </row>
    <row r="60">
      <c r="A60" s="34"/>
      <c r="B60" s="34"/>
    </row>
  </sheetData>
  <mergeCells count="1">
    <mergeCell ref="A3:L3"/>
  </mergeCells>
  <hyperlinks>
    <hyperlink r:id="rId1" ref="C4"/>
  </hyperlinks>
  <drawing r:id="rId2"/>
</worksheet>
</file>