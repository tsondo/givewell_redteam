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Results summary" sheetId="2" r:id="rId5"/>
    <sheet state="visible" name="Moral weights" sheetId="3" r:id="rId6"/>
    <sheet state="visible" name="ILC Kenya" sheetId="4" r:id="rId7"/>
    <sheet state="visible" name="DSW_short term" sheetId="5" r:id="rId8"/>
    <sheet state="visible" name="DSW" sheetId="6" r:id="rId9"/>
    <sheet state="visible" name="Baseline mortality" sheetId="7" r:id="rId10"/>
    <sheet state="visible" name="Mortality effect size" sheetId="8" r:id="rId11"/>
    <sheet state="visible" name="Adult mortality scaling factor" sheetId="9" r:id="rId12"/>
    <sheet state="visible" name="Morbidity effect size" sheetId="10" r:id="rId13"/>
    <sheet state="visible" name="Internal validity adjustment" sheetId="11" r:id="rId14"/>
    <sheet state="visible" name="External validity adjustment" sheetId="12" r:id="rId15"/>
    <sheet state="visible" name="Deaths linked to water quality" sheetId="13" r:id="rId16"/>
    <sheet state="visible" name="Adherence adjustments" sheetId="14" r:id="rId17"/>
    <sheet state="visible" name="Costs averted supp calculations" sheetId="15" r:id="rId18"/>
    <sheet state="visible" name="InclusionExclusion" sheetId="16" r:id="rId19"/>
    <sheet state="visible" name="Main parameters" sheetId="17" r:id="rId20"/>
  </sheets>
  <definedNames>
    <definedName name="BDT_to_USD_2017">#REF!</definedName>
    <definedName name="BDT_to_USD_2014">#REF!</definedName>
    <definedName name="lesser_lean_season_duration">#REF!</definedName>
    <definedName name="nls_household_size">#REF!</definedName>
    <definedName name="primary_lean_season_dura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2020 moral weights, Pg. 8. https://docs.google.com/document/d/1hOQf6Ug1WpoicMyFDGoqH7tmf3Njjc15Z1DGERaTbnI/edit?usp=sharing</t>
      </text>
    </comment>
    <comment authorId="0" ref="A4">
      <text>
        <t xml:space="preserve">2020 moral weights, Pg. 8. https://docs.google.com/document/d/1hOQf6Ug1WpoicMyFDGoqH7tmf3Njjc15Z1DGERaTbnI/edit?usp=sharing</t>
      </text>
    </comment>
    <comment authorId="0" ref="A5">
      <text>
        <t xml:space="preserve">2020 moral weights, Pg. 8.  
https://docs.google.com/document/d/1hOQf6Ug1WpoicMyFDGoqH7tmf3Njjc15Z1DGERaTbnI/edit?usp=sharing</t>
      </text>
    </comment>
    <comment authorId="0" ref="A6">
      <text>
        <t xml:space="preserve">This moral weight is for reference and is not currently used in the CEA.  2020 moral weights, Pg. 8. https://docs.google.com/document/d/1hOQf6Ug1WpoicMyFDGoqH7tmf3Njjc15Z1DGERaTbnI/edit?usp=sharing</t>
      </text>
    </comment>
    <comment authorId="0" ref="A7">
      <text>
        <t xml:space="preserve">Our moral weight is based on age-specific moral weights from our 2020 moral weights document. 
 We took a weighted average of these based on the age distribution of enteric infection mortality.  2020 moral weights, Pg. 8. https://docs.google.com/document/d/1hOQf6Ug1WpoicMyFDGoqH7tmf3Njjc15Z1DGERaTbnI/edit?usp=sharing</t>
      </text>
    </comment>
    <comment authorId="0" ref="A8">
      <text>
        <t xml:space="preserve">Our moral weight is based on age-specific moral weights from our 2020 moral weights document. 
 We took a weighted average of these based on the age distribution of enteric infection mortality.  2020 moral weights, Pg. 8. https://docs.google.com/document/d/1hOQf6Ug1WpoicMyFDGoqH7tmf3Njjc15Z1DGERaTbnI/edit?usp=sharing</t>
      </text>
    </comment>
    <comment authorId="0" ref="A9">
      <text>
        <t xml:space="preserve">Our moral weight is based on age-specific moral weights from our 2020 moral weights document. 
 We took a weighted average of these based on the age distribution of enteric infection mortality.  2020 moral weights, Pg. 8. https://docs.google.com/document/d/1hOQf6Ug1WpoicMyFDGoqH7tmf3Njjc15Z1DGERaTbnI/edit?usp=sharing</t>
      </text>
    </comment>
    <comment authorId="0" ref="A10">
      <text>
        <t xml:space="preserve">This moral weight is for reference and is not currently used in the CEA.  Our moral weight is based on age-specific moral weights from our 2020 moral weights document. 
 We took a weighted average of these based on the age distribution of enteric infection mortality.  2020 moral weights, Pg. 8. https://docs.google.com/document/d/1hOQf6Ug1WpoicMyFDGoqH7tmf3Njjc15Z1DGERaTbnI/edit?usp=sharing</t>
      </text>
    </comment>
    <comment authorId="0" ref="A11">
      <text>
        <t xml:space="preserve">2020 moral weights, Pg. 8. https://docs.google.com/document/d/1hOQf6Ug1WpoicMyFDGoqH7tmf3Njjc15Z1DGERaTbnI/edit?usp=sharing</t>
      </text>
    </comment>
    <comment authorId="0" ref="A71">
      <text>
        <t xml:space="preserve">http://ghdx.healthdata.org/gbd-results-tool?params=gbd-api-2019-permalink/5df59cfe208a25c6d330002c1be687a3
http://ghdx.healthdata.org/gbd-results-tool?params=gbd-api-2019-permalink/e2f922adb4c1f26f2df7d81b494db256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Data are from GBD and represent 2019. http://ghdx.healthdata.org/sites/default/files/record-attached-files/IHME_GBD_2019_POP_2010_2019_0.zip</t>
      </text>
    </comment>
    <comment authorId="0" ref="A4">
      <text>
        <t xml:space="preserve">GBD Results Tool
http://ghdx.healthdata.org/gbd-results-tool?params=gbd-api-2019-permalink/4558e6d256edf26379ca806533b11d40</t>
      </text>
    </comment>
    <comment authorId="0" ref="A5">
      <text>
        <t xml:space="preserve">We use the publication bias-corrected value reported in Kremer et al.  We treat this OR as equivalent to relative risk because the two measures are similar for low-frequency outcomes such as mortality.</t>
      </text>
    </comment>
    <comment authorId="0" ref="A9">
      <text>
        <t xml:space="preserve">This value places a cap on under-5 mortality reduction effect size, given our understanding of the plausible paths from water quality to mortality reduction. See the "Internal validity adjustment" tab for more information.</t>
      </text>
    </comment>
    <comment authorId="0" ref="A17">
      <text>
        <t xml:space="preserve">See tab "Baseline mortality"</t>
      </text>
    </comment>
    <comment authorId="0" ref="A18">
      <text>
        <t xml:space="preserve">We use the publication bias-corrected value reported in Kremer et al.  We treat this OR as equivalent to relative risk because the two measures are similar for low-frequency outcomes such as mortality.</t>
      </text>
    </comment>
    <comment authorId="0" ref="A19">
      <text>
        <t xml:space="preserve">Direct evidence on mortality reduction comes from the Kremer et al. meta-analysis, and applies to under-5 children.  However, water quality interventions probably reduce mortality in people over 5 as well. This is suggested by the econometric evidence on water quality improvements in Europe and the US in the late 1800s and early 1900s. To estimate the degree of mortality reduction in people over 5, we adjusted the under-5 percent mortality reduction figure using the relative percent of all-cause mortality attributed to diarrhea in under-5s vs. over-5s.  See tab "adult mortality scaling factor".</t>
      </text>
    </comment>
    <comment authorId="0" ref="A22">
      <text>
        <t xml:space="preserve">Applies the same plausibility constraint applied to under-5 mortality</t>
      </text>
    </comment>
    <comment authorId="0" ref="A25">
      <text>
        <t xml:space="preserve">Calculated based on age distribution of over-5 deaths, using our 2020 moral weights.
https://docs.google.com/document/d/1hOQf6Ug1WpoicMyFDGoqH7tmf3Njjc15Z1DGERaTbnI/edit?usp=sharing</t>
      </text>
    </comment>
    <comment authorId="0" ref="A29">
      <text>
        <t xml:space="preserve">Global Burden of Disease estimate.  This does not account for morbidity averted due to non-enteric diseases, which are likely averted to some extent, so it is conservative. 
http://ghdx.healthdata.org/gbd-results-tool?params=gbd-api-2019-permalink/131cc794c758c9ba9ff9ef1a782f117b</t>
      </text>
    </comment>
    <comment authorId="0" ref="A30">
      <text>
        <t xml:space="preserve">This is the effect size of home chlorination products from the Clasen et al. 2015 meta-analysis, adjusted for self-report bias.
https://doi.org/10.1002/14651858.cd004794.pub3</t>
      </text>
    </comment>
    <comment authorId="0" ref="A35">
      <text>
        <t xml:space="preserve">2020 moral weights, Pg. 8. https://docs.google.com/document/d/1hOQf6Ug1WpoicMyFDGoqH7tmf3Njjc15Z1DGERaTbnI/edit?usp=sharing</t>
      </text>
    </comment>
    <comment authorId="0" ref="A39">
      <text>
        <t xml:space="preserve">Total units of value from development benefits divided by total number of children treated in one year, 2020 GiveWell cost-effectiveness analysis — version 2.
https://docs.google.com/spreadsheets/d/16XOOB1oWse1ICbF0OVXUYtwWwpvG3mxAAQ6LYAAndQU/edit#gid=791021775&amp;range=B121</t>
      </text>
    </comment>
    <comment authorId="0" ref="A40">
      <text>
        <t xml:space="preserve">This figure results from the application of our formal development effects modeling approach, which estimates the adult consumption benefits of early-life health interventions in cases where we do not have compelling direct evidence. Report and spreadsheet are below.
https://docs.google.com/document/d/1o5mPrOdMsdNjZieYe07-ba8ZFswoQEFQj8K8CCQY6fM/edit?usp=sharing
https://docs.google.com/spreadsheets/d/14RwW-PLBxmGre83GUjEhPIQwIzjW356_U0Xwweyzb_c/edit?usp=sharing</t>
      </text>
    </comment>
    <comment authorId="0" ref="A41">
      <text>
        <t xml:space="preserve">Based on 2019 population data here http://ghdx.healthdata.org/record/ihme-data/gbd-2019-population-estimates-1950-2019</t>
      </text>
    </comment>
    <comment authorId="0" ref="A42">
      <text>
        <t xml:space="preserve">Based on 2019 population data here http://ghdx.healthdata.org/record/ihme-data/gbd-2019-population-estimates-1950-2019</t>
      </text>
    </comment>
    <comment authorId="0" ref="A43">
      <text>
        <t xml:space="preserve">Data are from GBD Results Tool and are per 100,000 people per year.
http://ghdx.healthdata.org/gbd-results-tool?params=gbd-api-2019-permalink/1e27c0ea18dbc91b9912c5ca03863e83</t>
      </text>
    </comment>
    <comment authorId="0" ref="A44">
      <text>
        <t xml:space="preserve">Data are from GBD Results Tool and are per 100,000 people per year.
http://ghdx.healthdata.org/gbd-results-tool?params=gbd-api-2019-permalink/1e27c0ea18dbc91b9912c5ca03863e83</t>
      </text>
    </comment>
    <comment authorId="0" ref="A47">
      <text>
        <t xml:space="preserve">We apply the same internal validity adjustment here as we apply to our mortality estimate.  Although the evidence base that underlies our development effects estimate only partially overlaps the evidence base that underlies our mortality estimate, we use this as a rough approximation for the internal validity of the evidence base in general.</t>
      </text>
    </comment>
    <comment authorId="0" ref="A48">
      <text>
        <t xml:space="preserve">We apply the same external validity adjustment here as we apply to our mortality estimate.  Although the evidence base that underlies our development effects estimate only partially overlaps the evidence base that underlies our mortality estimate, we use this as a rough approximation for the external validity of the evidence base in general.</t>
      </text>
    </comment>
    <comment authorId="0" ref="A58">
      <text>
        <t xml:space="preserve">This multiplier reflects our belief that averting diarrhea probably averts other illnesses. It is based on our estimate of the number of total deaths averted per diarrhea death averted.
This multiplier assumes that parents seek care for other serious diseases at the same rate as diarrhea, and that the associated costs are the same. We have only evaluated this assumption superficially. DHS surveys in Kenya, Uganda, and Malawi suggest that the care-seeking rate is similar or higher for acute respiratory infections (e.g. pneumonia) vs diarrhea. Diarrhea and respiratory infections are two of the leading causes of death in children under 5 in low-income settings. We have not investigated whether the costs of care are similar for other conditions.
https://dhsprogram.com/publications/publication-fr308-dhs-final-reports.cfm
https://dhsprogram.com/publications/publication-fr333-dhs-final-reports.cfm
https://dhsprogram.com/publications/publication-fr319-dhs-final-reports.cfm</t>
      </text>
    </comment>
    <comment authorId="0" ref="A60">
      <text>
        <t xml:space="preserve">This adjustment is intended to correct for biases in the effect sizes reported in the studies we draw from. We do not have reason to believe that the estimates are biased upward or downward. However, we have only evaluated them superficially.</t>
      </text>
    </comment>
    <comment authorId="0" ref="A61">
      <text>
        <t xml:space="preserve">This adjustment is intended to correct for differences between the context in which the studies we draw from were conducted vs. the current beneficiary context. Hospitalization and cost data are from studies that were published between 2007 and 2015 (see Baral et al. 2020, table 1, and studies of diarrhea hospitalization rates below), making them somewhat out of date. We would guess that both figures have increased over time, given rising GNI per capita in all three beneficiary countries.
https://doi.org/10.1186/s12889-020-08595-8</t>
      </text>
    </comment>
    <comment authorId="0" ref="A63">
      <text>
        <t xml:space="preserve">Data are from World Bank Povcalnet, accessed Nov 10, 2021. Data are from 2016. 
http://iresearch.worldbank.org/PovcalNet/povOnDemand.aspx</t>
      </text>
    </comment>
    <comment authorId="0" ref="A65">
      <text>
        <t xml:space="preserve">GiveWell 2020 moral weights.
https://docs.google.com/document/d/1hOQf6Ug1WpoicMyFDGoqH7tmf3Njjc15Z1DGERaTbnI/edit?usp=sharing</t>
      </text>
    </comment>
    <comment authorId="0" ref="A87">
      <text>
        <t xml:space="preserve">These appear to make a small difference in our DSW CEA for Kenya, see "DSW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These estimates are based on survey results obtained from Dispensers for Safe Water.
https://docs.google.com/spreadsheets/d/1LmUUtZbCH6-cmxAA1RKH3FPTUtwVHLXQj94KbIiqnXo/edit?usp=sharing
2019 GBD data say 12.8% for Kenya, 14.0% for Uganda, and 17.2% for Malawi. http://ghdx.healthdata.org/sites/default/files/record-attached-files/IHME_GBD_2019_POP_2010_2019_0.zip
Copied into this spreadsheet:
https://docs.google.com/spreadsheets/d/1MsFXeSfBx1tA2_hLikyeNRvy2YKEtM53XyOfxw_XtVg/edit#gid=0</t>
      </text>
    </comment>
    <comment authorId="0" ref="A4">
      <text>
        <t xml:space="preserve">See tab "Baseline mortality"</t>
      </text>
    </comment>
    <comment authorId="0" ref="A9">
      <text>
        <t xml:space="preserve">This value places a cap on under-5 mortality reduction effect size, given our understanding of the plausible paths from water quality to mortality reduction.  See the "Internal validity adjustment" tab for more information.</t>
      </text>
    </comment>
    <comment authorId="0" ref="A17">
      <text>
        <t xml:space="preserve">See tab "Baseline mortality"</t>
      </text>
    </comment>
    <comment authorId="0" ref="A18">
      <text>
        <t xml:space="preserve">We use the publication bias-corrected value reported in the Kremer et al. meta-analysis. We treat this odds ratio as equivalent to relative risk because the two measures are similar for low-frequency outcomes such as mortality.</t>
      </text>
    </comment>
    <comment authorId="0" ref="A19">
      <text>
        <t xml:space="preserve">Direct evidence on mortality reduction comes from the Kremer et al. meta-analysis, and applies to under-5 children. However, water quality interventions probably reduce mortality in people over 5 as well. This is suggested by the econometric evidence on water quality improvements in Europe and the US in the late 1800s and early 1900s. To estimate the degree of mortality reduction in people over 5, we adjusted the under-5 percent mortality reduction figure using the relative percent of all-cause mortality attributed to diarrhea in under-5s vs. over-5s. See tab "adult mortality scaling factor".</t>
      </text>
    </comment>
    <comment authorId="0" ref="A22">
      <text>
        <t xml:space="preserve">Applies the same plausibility constraint applied to under-5 mortality</t>
      </text>
    </comment>
    <comment authorId="0" ref="A25">
      <text>
        <t xml:space="preserve">Calculated based on age distribution of over-5 deaths, using our 2020 moral weights.
https://docs.google.com/document/d/1hOQf6Ug1WpoicMyFDGoqH7tmf3Njjc15Z1DGERaTbnI/edit?usp=sharing</t>
      </text>
    </comment>
    <comment authorId="0" ref="A29">
      <text>
        <t xml:space="preserve">Global Burden of Disease estimate.  This does not account for morbidity averted due to non-enteric diseases, which are likely averted to some extent, so it is conservative. 
http://ghdx.healthdata.org/gbd-results-tool?params=gbd-api-2019-permalink/94bcd4b3b3b5f2e788de47d281c2d74d</t>
      </text>
    </comment>
    <comment authorId="0" ref="A30">
      <text>
        <t xml:space="preserve">This is the effect size of home chlorination products from the Clasen et al. 2015 meta-analysis, adjusted for self-report bias.
https://doi.org/10.1002/14651858.cd004794.pub3</t>
      </text>
    </comment>
    <comment authorId="0" ref="A35">
      <text>
        <t xml:space="preserve">2020 moral weights, Pg. 8. https://docs.google.com/document/d/1hOQf6Ug1WpoicMyFDGoqH7tmf3Njjc15Z1DGERaTbnI/edit?usp=sharing</t>
      </text>
    </comment>
    <comment authorId="0" ref="A39">
      <text>
        <t xml:space="preserve">Total units of value from development benefits divided by total number of children treated in one year, 2020 GiveWell cost-effectiveness analysis — version 2.
https://docs.google.com/spreadsheets/d/16XOOB1oWse1ICbF0OVXUYtwWwpvG3mxAAQ6LYAAndQU/edit#gid=791021775&amp;range=B121</t>
      </text>
    </comment>
    <comment authorId="0" ref="A40">
      <text>
        <t xml:space="preserve">This figure results from the application of our formal development effects modeling approach, which estimates the adult consumption benefits of early-life health interventions in cases where we do not have compelling direct evidence. Report and spreadsheet are below.
https://docs.google.com/document/d/1o5mPrOdMsdNjZieYe07-ba8ZFswoQEFQj8K8CCQY6fM/edit?usp=sharing
https://docs.google.com/spreadsheets/d/14RwW-PLBxmGre83GUjEhPIQwIzjW356_U0Xwweyzb_c/edit?usp=sharing</t>
      </text>
    </comment>
    <comment authorId="0" ref="A41">
      <text>
        <t xml:space="preserve">Based on 2019 population data here http://ghdx.healthdata.org/record/ihme-data/gbd-2019-population-estimates-1950-2019</t>
      </text>
    </comment>
    <comment authorId="0" ref="A42">
      <text>
        <t xml:space="preserve">Based on 2019 population data here http://ghdx.healthdata.org/record/ihme-data/gbd-2019-population-estimates-1950-2019</t>
      </text>
    </comment>
    <comment authorId="0" ref="A43">
      <text>
        <t xml:space="preserve">Data are from GBD Results Tool and are per 100,000 people per year.
http://ghdx.healthdata.org/gbd-results-tool?params=gbd-api-2019-permalink/1e27c0ea18dbc91b9912c5ca03863e83</t>
      </text>
    </comment>
    <comment authorId="0" ref="A44">
      <text>
        <t xml:space="preserve">Data are from GBD Results Tool and are per 100,000 people per year.
http://ghdx.healthdata.org/gbd-results-tool?params=gbd-api-2019-permalink/1e27c0ea18dbc91b9912c5ca03863e83</t>
      </text>
    </comment>
    <comment authorId="0" ref="A47">
      <text>
        <t xml:space="preserve">We apply the same internal validity adjustment here as we apply to our mortality estimate.  Although the evidence base that underlies our development effects estimate only partially overlaps the evidence base that underlies our mortality estimate, we use this as a rough approximation for the internal validity of the evidence base in general.</t>
      </text>
    </comment>
    <comment authorId="0" ref="A48">
      <text>
        <t xml:space="preserve">We apply the same external validity adjustment here as we apply to our mortality estimate.  Although the evidence base that underlies our development effects estimate only partially overlaps the evidence base that underlies our mortality estimate, we use this as a rough approximation for the external validity of the evidence base in general.</t>
      </text>
    </comment>
    <comment authorId="0" ref="A58">
      <text>
        <t xml:space="preserve">This multiplier reflects our belief that averting diarrhea probably averts other illnesses.  It is based on our estimate of the number of total deaths averted per diarrhea death averted.
This multiplier assumes that parents seek care for other serious diseases at the same rate as diarrhea, and that the associated costs are the same.  We have only evaluated this assumption superficially. DHS surveys in Kenya, Uganda, and Malawi suggest that the care-seeking rate is similar or higher for acute respiratory infections (e.g. pneumonia) vs diarrhea. Diarrhea and respiratory infections are two of the leading causes of death in children under 5 in low-income settings. We have not investigated whether the costs of care are similar for other conditions.
https://dhsprogram.com/publications/publication-fr308-dhs-final-reports.cfm
https://dhsprogram.com/publications/publication-fr333-dhs-final-reports.cfm
https://dhsprogram.com/publications/publication-fr319-dhs-final-reports.cfm</t>
      </text>
    </comment>
    <comment authorId="0" ref="A60">
      <text>
        <t xml:space="preserve">This adjustment is intended to correct for biases in the effect sizes reported in the studies we draw from. We do not have reason to believe that the estimates are biased upward or downward.  However, we have only evaluated them superficially.</t>
      </text>
    </comment>
    <comment authorId="0" ref="A61">
      <text>
        <t xml:space="preserve">This adjustment is intended to correct for differences between the context in which the studies we draw from were conducted vs. the current beneficiary context. Hospitalization and cost data are from studies that were published between 2007 and 2015 (see Baral et al. 2020, table 1, and studies of diarrhea hospitalization rates below), making them somewhat out of date. We would guess that both figures have increased over time, given rising GNI per capita in all three beneficiary countries.
https://doi.org/10.1186/s12889-020-08595-8</t>
      </text>
    </comment>
    <comment authorId="0" ref="A63">
      <text>
        <t xml:space="preserve">Data are from World Bank Povcalnet, accessed Nov 10, 2021. Data are from 2016. 
http://iresearch.worldbank.org/PovcalNet/povOnDemand.aspx</t>
      </text>
    </comment>
    <comment authorId="0" ref="A64">
      <text>
        <t xml:space="preserve">We use the share of total consumption in the fourth consumption decile as a rough adjustment for lower than average income in DSW beneficiaries. If income were distributed evenly across deciles, each decile would contain 10% of the total and the adjustment would be 100% (10*10), indicating that every decile is at the mean. The actual value for the fourth decile is below 10%, and multiplying by 10 yields the proportion by which that decile is below the mean.
Data are from World Bank Povcalnet, 2016 estimates. 
http://iresearch.worldbank.org/PovcalNet/povOnDemand.aspx</t>
      </text>
    </comment>
    <comment authorId="0" ref="A67">
      <text>
        <t xml:space="preserve">GiveWell 2020 moral weights.
https://docs.google.com/document/d/1hOQf6Ug1WpoicMyFDGoqH7tmf3Njjc15Z1DGERaTbnI/edit?usp=sharing</t>
      </text>
    </comment>
    <comment authorId="0" ref="A73">
      <text>
        <t xml:space="preserve">From GiveWell's Dispensers for Safe Water cost estimate. 
https://docs.google.com/spreadsheets/d/1cCwtsgnz-Va6YXiq3YfCBS0tXhPCGwXft9-I3VIi2_I/edit#gid=1489192849</t>
      </text>
    </comment>
    <comment authorId="0" ref="A74">
      <text>
        <t xml:space="preserve">From GiveWell's Dispensers for Safe Water cost estimate. 
https://docs.google.com/spreadsheets/d/1cCwtsgnz-Va6YXiq3YfCBS0tXhPCGwXft9-I3VIi2_I/edit#gid=1489192849</t>
      </text>
    </comment>
    <comment authorId="0" ref="A82">
      <text>
        <t xml:space="preserve">It's often difficult to account for different kinds of wastage directly in our cost-effectiveness analysis. This section summarizes adjustments to our cost-effectiveness analysis to take into account our best guess of how different factors related to our top charities affect our best guess of true cost-effectiveness. It is separate from the inclusion/exclusion sheet because it reflects organization-level, rather than intervention-level factors.</t>
      </text>
    </comment>
    <comment authorId="0" ref="A85">
      <text>
        <t xml:space="preserve">Scenario: The program is delivered to people who don't benefit or minimally benefit because they have received the program from another source.</t>
      </text>
    </comment>
    <comment authorId="0" ref="A86">
      <text>
        <t xml:space="preserve">Scenario: Pills, LLINs, etc. are poorly made, counterfeit, or otherwise largely or fully ineffective at achieving the expected outcome.</t>
      </text>
    </comment>
    <comment authorId="0" ref="A91">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t>
      </text>
    </comment>
    <comment authorId="0" ref="A92">
      <text>
        <t xml:space="preserve">Scenario: The monitoring results that we've received are partially or fully fabricated or significantly biased in some way we are unaware of, leading us to believe that results are better than they actually were.</t>
      </text>
    </comment>
    <comment authorId="0" ref="A96">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May be worth adjusting for for charities that we have less experience with.</t>
      </text>
    </comment>
    <comment authorId="0" ref="A97">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t>
      </text>
    </comment>
    <comment authorId="0" ref="A98">
      <text>
        <t xml:space="preserve">Scenario: Charity runs multiple programs and shifts funds from non-GiveWell sources or fundraising effort out of the program that we want to fund as a result of receiving GiveWell-directed funding.</t>
      </text>
    </comment>
    <comment authorId="0" ref="A133">
      <text>
        <t xml:space="preserve">See 2021 GiveWell cost-effectiveness analysis — version 3, Counterfactual value of government health spending
https://docs.google.com/spreadsheets/d/1B1fODKVbnGP4fejsZCVNvBm5zvI1jC7DhkaJpFk6zfo/edit#gid=1158468609</t>
      </text>
    </comment>
    <comment authorId="0" ref="A134">
      <text>
        <t xml:space="preserve">Assumes it's 20% more effective than government spending. Subjective guess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These estimates are based on survey results obtained from Dispensers for Safe Water.
https://docs.google.com/spreadsheets/d/1LmUUtZbCH6-cmxAA1RKH3FPTUtwVHLXQj94KbIiqnXo/edit?usp=sharing
2019 GBD data say 12.8% for Kenya, 14.0% for Uganda, and 17.2% for Malawi. http://ghdx.healthdata.org/sites/default/files/record-attached-files/IHME_GBD_2019_POP_2010_2019_0.zip
Copied into this spreadsheet:
https://docs.google.com/spreadsheets/d/1MsFXeSfBx1tA2_hLikyeNRvy2YKEtM53XyOfxw_XtVg/edit#gid=0</t>
      </text>
    </comment>
    <comment authorId="0" ref="A4">
      <text>
        <t xml:space="preserve">See tab "Baseline mortality"</t>
      </text>
    </comment>
    <comment authorId="0" ref="A9">
      <text>
        <t xml:space="preserve">This value places a cap on under-5 mortality reduction effect size, given our understanding of the plausible paths from water quality to mortality reduction.  See the "Internal validity adjustment" tab for more information.</t>
      </text>
    </comment>
    <comment authorId="0" ref="A17">
      <text>
        <t xml:space="preserve">See tab "Baseline mortality"</t>
      </text>
    </comment>
    <comment authorId="0" ref="A18">
      <text>
        <t xml:space="preserve">We use the publication bias-corrected value reported in the Kremer et al. meta-analysis. We treat this odds ratio as equivalent to relative risk because the two measures are similar for low-frequency outcomes such as mortality.</t>
      </text>
    </comment>
    <comment authorId="0" ref="A19">
      <text>
        <t xml:space="preserve">Direct evidence on mortality reduction comes from the Kremer et al. meta-analysis, and applies to under-5 children. However, water quality interventions probably reduce mortality in people over 5 as well. This is suggested by the econometric evidence on water quality improvements in Europe and the US in the late 1800s and early 1900s. To estimate the degree of mortality reduction in people over 5, we adjusted the under-5 percent mortality reduction figure using the relative percent of all-cause mortality attributed to diarrhea in under-5s vs. over-5s. See tab "adult mortality scaling factor".</t>
      </text>
    </comment>
    <comment authorId="0" ref="A22">
      <text>
        <t xml:space="preserve">Applies the same plausibility constraint applied to under-5 mortality</t>
      </text>
    </comment>
    <comment authorId="0" ref="A25">
      <text>
        <t xml:space="preserve">Calculated based on age distribution of over-5 deaths, using our 2020 moral weights.
https://docs.google.com/document/d/1hOQf6Ug1WpoicMyFDGoqH7tmf3Njjc15Z1DGERaTbnI/edit?usp=sharing</t>
      </text>
    </comment>
    <comment authorId="0" ref="A29">
      <text>
        <t xml:space="preserve">Global Burden of Disease estimate.  This does not account for morbidity averted due to non-enteric diseases, which are likely averted to some extent, so it is conservative. 
http://ghdx.healthdata.org/gbd-results-tool?params=gbd-api-2019-permalink/94bcd4b3b3b5f2e788de47d281c2d74d</t>
      </text>
    </comment>
    <comment authorId="0" ref="A30">
      <text>
        <t xml:space="preserve">This is the effect size of home chlorination products from the Clasen et al. 2015 meta-analysis, adjusted for self-report bias.
https://doi.org/10.1002/14651858.cd004794.pub3</t>
      </text>
    </comment>
    <comment authorId="0" ref="A35">
      <text>
        <t xml:space="preserve">2020 moral weights, Pg. 8. https://docs.google.com/document/d/1hOQf6Ug1WpoicMyFDGoqH7tmf3Njjc15Z1DGERaTbnI/edit?usp=sharing</t>
      </text>
    </comment>
    <comment authorId="0" ref="A39">
      <text>
        <t xml:space="preserve">Total units of value from development benefits divided by total number of children treated in one year, 2020 GiveWell cost-effectiveness analysis — version 2.
https://docs.google.com/spreadsheets/d/16XOOB1oWse1ICbF0OVXUYtwWwpvG3mxAAQ6LYAAndQU/edit#gid=791021775&amp;range=B121</t>
      </text>
    </comment>
    <comment authorId="0" ref="A40">
      <text>
        <t xml:space="preserve">This figure results from the application of our formal development effects modeling approach, which estimates the adult consumption benefits of early-life health interventions in cases where we do not have compelling direct evidence. Report and spreadsheet are below.
https://docs.google.com/document/d/1o5mPrOdMsdNjZieYe07-ba8ZFswoQEFQj8K8CCQY6fM/edit?usp=sharing
https://docs.google.com/spreadsheets/d/14RwW-PLBxmGre83GUjEhPIQwIzjW356_U0Xwweyzb_c/edit?usp=sharing</t>
      </text>
    </comment>
    <comment authorId="0" ref="A41">
      <text>
        <t xml:space="preserve">Based on 2019 population data here http://ghdx.healthdata.org/record/ihme-data/gbd-2019-population-estimates-1950-2019</t>
      </text>
    </comment>
    <comment authorId="0" ref="A42">
      <text>
        <t xml:space="preserve">Based on 2019 population data here http://ghdx.healthdata.org/record/ihme-data/gbd-2019-population-estimates-1950-2019</t>
      </text>
    </comment>
    <comment authorId="0" ref="A43">
      <text>
        <t xml:space="preserve">Data are from GBD Results Tool and are per 100,000 people per year.
http://ghdx.healthdata.org/gbd-results-tool?params=gbd-api-2019-permalink/1e27c0ea18dbc91b9912c5ca03863e83</t>
      </text>
    </comment>
    <comment authorId="0" ref="A44">
      <text>
        <t xml:space="preserve">Data are from GBD Results Tool and are per 100,000 people per year.
http://ghdx.healthdata.org/gbd-results-tool?params=gbd-api-2019-permalink/1e27c0ea18dbc91b9912c5ca03863e83</t>
      </text>
    </comment>
    <comment authorId="0" ref="A47">
      <text>
        <t xml:space="preserve">We apply the same internal validity adjustment here as we apply to our mortality estimate.  Although the evidence base that underlies our development effects estimate only partially overlaps the evidence base that underlies our mortality estimate, we use this as a rough approximation for the internal validity of the evidence base in general.</t>
      </text>
    </comment>
    <comment authorId="0" ref="A48">
      <text>
        <t xml:space="preserve">We apply the same external validity adjustment here as we apply to our mortality estimate.  Although the evidence base that underlies our development effects estimate only partially overlaps the evidence base that underlies our mortality estimate, we use this as a rough approximation for the external validity of the evidence base in general.</t>
      </text>
    </comment>
    <comment authorId="0" ref="A58">
      <text>
        <t xml:space="preserve">This multiplier reflects our belief that averting diarrhea probably averts other illnesses.  It is based on our estimate of the number of total deaths averted per diarrhea death averted.
This multiplier assumes that parents seek care for other serious diseases at the same rate as diarrhea, and that the associated costs are the same.  We have only evaluated this assumption superficially. DHS surveys in Kenya, Uganda, and Malawi suggest that the care-seeking rate is similar or higher for acute respiratory infections (e.g. pneumonia) vs diarrhea. Diarrhea and respiratory infections are two of the leading causes of death in children under 5 in low-income settings. We have not investigated whether the costs of care are similar for other conditions.
https://dhsprogram.com/publications/publication-fr308-dhs-final-reports.cfm
https://dhsprogram.com/publications/publication-fr333-dhs-final-reports.cfm
https://dhsprogram.com/publications/publication-fr319-dhs-final-reports.cfm</t>
      </text>
    </comment>
    <comment authorId="0" ref="A60">
      <text>
        <t xml:space="preserve">This adjustment is intended to correct for biases in the effect sizes reported in the studies we draw from. We do not have reason to believe that the estimates are biased upward or downward.  However, we have only evaluated them superficially.</t>
      </text>
    </comment>
    <comment authorId="0" ref="A61">
      <text>
        <t xml:space="preserve">This adjustment is intended to correct for differences between the context in which the studies we draw from were conducted vs. the current beneficiary context. Hospitalization and cost data are from studies that were published between 2007 and 2015 (see Baral et al. 2020, table 1, and studies of diarrhea hospitalization rates below), making them somewhat out of date. We would guess that both figures have increased over time, given rising GNI per capita in all three beneficiary countries.
https://doi.org/10.1186/s12889-020-08595-8</t>
      </text>
    </comment>
    <comment authorId="0" ref="A63">
      <text>
        <t xml:space="preserve">Data are from World Bank Povcalnet, accessed Nov 10, 2021. Data are from 2016. 
http://iresearch.worldbank.org/PovcalNet/povOnDemand.aspx</t>
      </text>
    </comment>
    <comment authorId="0" ref="A64">
      <text>
        <t xml:space="preserve">We use the share of total consumption in the fourth consumption decile as a rough adjustment for lower than average income in DSW beneficiaries. If income were distributed evenly across deciles, each decile would contain 10% of the total and the adjustment would be 100% (10*10), indicating that every decile is at the mean. The actual value for the fourth decile is below 10%, and multiplying by 10 yields the proportion by which that decile is below the mean.
Data are from World Bank Povcalnet, 2016 estimates. 
http://iresearch.worldbank.org/PovcalNet/povOnDemand.aspx</t>
      </text>
    </comment>
    <comment authorId="0" ref="A67">
      <text>
        <t xml:space="preserve">GiveWell 2020 moral weights.
https://docs.google.com/document/d/1hOQf6Ug1WpoicMyFDGoqH7tmf3Njjc15Z1DGERaTbnI/edit?usp=sharing</t>
      </text>
    </comment>
    <comment authorId="0" ref="A74">
      <text>
        <t xml:space="preserve">From GiveWell's Dispensers for Safe Water cost estimate. 
https://docs.google.com/spreadsheets/d/1cCwtsgnz-Va6YXiq3YfCBS0tXhPCGwXft9-I3VIi2_I/edit#gid=1489192849</t>
      </text>
    </comment>
    <comment authorId="0" ref="A82">
      <text>
        <t xml:space="preserve">It's often difficult to account for different kinds of wastage directly in our cost-effectiveness analysis. This section summarizes adjustments to our cost-effectiveness analysis to take into account our best guess of how different factors related to our top charities affect our best guess of true cost-effectiveness. It is separate from the inclusion/exclusion sheet because it reflects organization-level, rather than intervention-level factors.</t>
      </text>
    </comment>
    <comment authorId="0" ref="A85">
      <text>
        <t xml:space="preserve">Scenario: The program is delivered to people who don't benefit or minimally benefit because they have received the program from another source.</t>
      </text>
    </comment>
    <comment authorId="0" ref="A86">
      <text>
        <t xml:space="preserve">Scenario: Pills, LLINs, etc. are poorly made, counterfeit, or otherwise largely or fully ineffective at achieving the expected outcome.</t>
      </text>
    </comment>
    <comment authorId="0" ref="A91">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Estimates are based on 3-year averages and some evidence suggests averages have been declining over time. To account for this we apply a 10% discount to DSW’s benefits as part of our downside adjustment.
"In order to standardize estimates and reduce standard errors, we use community monitoring survey data for the last 3 years to calculate the average number of people and children under 5 per household. We don't expect to see significant change in the HH size during that period. Prior to 2019, we were using data from inception, but restricted the data to the last 3 years in 2019." Dispensers for Safe Water 2019 monitoring data analysis, shared with GiveWell in July and Oct 2021 (public): https://docs.google.com/spreadsheets/d/1s9DJcFwFHiyjkvR2UMmrYDH5ZPOfMoDFtHYeUFwpaVY/edit?usp=sharing
See “model inputs” tab here for evidence that averages of people/U5 per HH have been decreasing over time. 
Dispensers for Safe Water CEA -New Evidence &amp; Estimates 011319.xlsx
https://files.givewell.org/files/DWDA%202009/DSW/Dispensers_for_Safe_Water_Cost_effectiveness_analysis_2019.xlsx</t>
      </text>
    </comment>
    <comment authorId="0" ref="A92">
      <text>
        <t xml:space="preserve">Scenario: The monitoring results that we've received are partially or fully fabricated or significantly biased in some way we are unaware of, leading us to believe that results are better than they actually were.</t>
      </text>
    </comment>
    <comment authorId="0" ref="A96">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May be worth adjusting for for charities that we have less experience with.</t>
      </text>
    </comment>
    <comment authorId="0" ref="A97">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t>
      </text>
    </comment>
    <comment authorId="0" ref="A98">
      <text>
        <t xml:space="preserve">Scenario: Charity runs multiple programs and shifts funds from non-GiveWell sources or fundraising effort out of the program that we want to fund as a result of receiving GiveWell-directed funding.
Set it to be the same as Evidence Action's DtW</t>
      </text>
    </comment>
    <comment authorId="0" ref="A106">
      <text>
        <t xml:space="preserve">We would guess the decrease in infectious diseases also benefits neighbouring communities.</t>
      </text>
    </comment>
    <comment authorId="0" ref="A133">
      <text>
        <t xml:space="preserve">See 2021 GiveWell cost-effectiveness analysis — version 3, Counterfactual value of government health spending
https://docs.google.com/spreadsheets/d/1B1fODKVbnGP4fejsZCVNvBm5zvI1jC7DhkaJpFk6zfo/edit#gid=1158468609</t>
      </text>
    </comment>
    <comment authorId="0" ref="A134">
      <text>
        <t xml:space="preserve">Assumes it's 20% more effective than government spending. Subjective guess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Data from 2019 Evidence Action surveys
https://docs.google.com/spreadsheets/d/1s9DJcFwFHiyjkvR2UMmrYDH5ZPOfMoDFtHYeUFwpaVY/edit?usp=sharing</t>
      </text>
    </comment>
    <comment authorId="0" ref="C6">
      <text>
        <t xml:space="preserve">Data from 2019 Evidence Action surveys
https://docs.google.com/spreadsheets/d/1s9DJcFwFHiyjkvR2UMmrYDH5ZPOfMoDFtHYeUFwpaVY/edit?usp=sharing</t>
      </text>
    </comment>
    <comment authorId="0" ref="D6">
      <text>
        <t xml:space="preserve">Data from 2019 Evidence Action surveys
https://docs.google.com/spreadsheets/d/1s9DJcFwFHiyjkvR2UMmrYDH5ZPOfMoDFtHYeUFwpaVY/edit?usp=sharing</t>
      </text>
    </comment>
    <comment authorId="0" ref="F6">
      <text>
        <t xml:space="preserve">This represents estimated annual under-5 mortality rate per 100,000 live births in 2019. It is from the IHME Data Explorer, which is not public. Publicly available subnational data from IHME only go to 2017. 
https://clients.ihme.services/data-explorer</t>
      </text>
    </comment>
    <comment authorId="0" ref="B20">
      <text>
        <t xml:space="preserve">Data from 2019 Evidence Action surveys
https://docs.google.com/spreadsheets/d/1s9DJcFwFHiyjkvR2UMmrYDH5ZPOfMoDFtHYeUFwpaVY/edit?usp=sharing</t>
      </text>
    </comment>
    <comment authorId="0" ref="C20">
      <text>
        <t xml:space="preserve">Data from 2019 Evidence Action surveys
https://docs.google.com/spreadsheets/d/1s9DJcFwFHiyjkvR2UMmrYDH5ZPOfMoDFtHYeUFwpaVY/edit?usp=sharing</t>
      </text>
    </comment>
    <comment authorId="0" ref="D20">
      <text>
        <t xml:space="preserve">Data from 2019 Evidence Action surveys
https://docs.google.com/spreadsheets/d/1s9DJcFwFHiyjkvR2UMmrYDH5ZPOfMoDFtHYeUFwpaVY/edit?usp=sharing</t>
      </text>
    </comment>
    <comment authorId="0" ref="F20">
      <text>
        <t xml:space="preserve">This represents estimated under-5 mortality rate per 1,000 live births in 2017. It is not annualized, i.e. it represents deaths over a 5-year period. https://vizhub.healthdata.org/lbd/under5</t>
      </text>
    </comment>
    <comment authorId="0" ref="F22">
      <text>
        <t xml:space="preserve">Listed under "Bunyole" district on the GBD map, which is the old name</t>
      </text>
    </comment>
    <comment authorId="0" ref="F25">
      <text>
        <t xml:space="preserve">Listed as "Bungokho" district on the GBD map</t>
      </text>
    </comment>
    <comment authorId="0" ref="F26">
      <text>
        <t xml:space="preserve">Listed as "Bubulo" district on the GBD map. We believe Namisindwa and Manafwa districts are both represented by "Bubulo" on the GBD map, based on descriptions on the district websites.
https://manafwa.go.ug/lg/overview
https://www.namisindwa.go.ug/lg/overview</t>
      </text>
    </comment>
    <comment authorId="0" ref="F27">
      <text>
        <t xml:space="preserve">Listed as "Bubulo" district on the GBD map. We believe Namisindwa and Manafwa districts are both represented by "Bubulo" on the GBD map, based on descriptions on the district websites.
https://manafwa.go.ug/lg/overview
https://www.namisindwa.go.ug/lg/overview</t>
      </text>
    </comment>
    <comment authorId="0" ref="F28">
      <text>
        <t xml:space="preserve">Listed as "Busiki" district on the GBD map</t>
      </text>
    </comment>
    <comment authorId="0" ref="F30">
      <text>
        <t xml:space="preserve">The closest area of overlap with Sironko district is labeled as "Budadiri" district on the GBD map</t>
      </text>
    </comment>
    <comment authorId="0" ref="F31">
      <text>
        <t xml:space="preserve">The closest area of overlap with Tororo district is labeled as "Kisoko" district on the GBD map</t>
      </text>
    </comment>
    <comment authorId="0" ref="F36">
      <text>
        <t xml:space="preserve">This represents estimated under-5 mortality rate per 1,000 live births in 2017. It is not annualized, i.e. it represents deaths over a 5-year period. https://vizhub.healthdata.org/lbd/under5</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This is a rough, subjective weight based on how similar a trial's intervention is to dispensers for safe water and in-line chlorination, which are chlorination-only interventions. We down-weight trials by 25% if they incorporate a safe storage vessel.
This weight is intended to privilege trials whose mechanism of mortality reduction is most similar to simple chlorination. This weight does not take intervention adherence or the local burden of diarrheal disease into account. These are incorporated as part of the external validity adjustment.  
Please note that this adjustment is not applied to a study's effect size; it applies only to how much a study's effect size impacts the overall weighted average. We adjust effect size for additional interventions using an additional internal validity adjustment.</t>
      </text>
    </comment>
    <comment authorId="0" ref="D4">
      <text>
        <t xml:space="preserve">"We randomly assigned 492 rural Guatemalan households to five different water treatment groups: flocculant-disinfectant,
flocculant-disinfectant plus a customized vessel, bleach, bleach plus a vessel, and control."  Reller et al. 2003, abstract.
In this analysis, we only include the treatment groups that used bleach or bleach plus a safe storage vessel. Bleach is a means of chlorination that is safe at the appropriate dose.</t>
      </text>
    </comment>
    <comment authorId="0" ref="F4">
      <text>
        <t xml:space="preserve">Personal communication from Steven Luby; published here with permission.</t>
      </text>
    </comment>
    <comment authorId="0" ref="I4">
      <text>
        <t xml:space="preserve">Personal communication from Steven Luby; published here with permission.</t>
      </text>
    </comment>
    <comment authorId="0" ref="O4">
      <text>
        <t xml:space="preserve">Downweighted because half the intervention group used safe storage vessels (12.5%). Safe storage vessels help reduce recontamination of water after it is collected.</t>
      </text>
    </comment>
    <comment authorId="0" ref="F5">
      <text>
        <t xml:space="preserve">Personal communication from Thomas Clasen; published here with permission.</t>
      </text>
    </comment>
    <comment authorId="0" ref="I5">
      <text>
        <t xml:space="preserve">Personal communication from Thomas Clasen; published here with permission.</t>
      </text>
    </comment>
    <comment authorId="0" ref="D6">
      <text>
        <t xml:space="preserve">"The water intervention, which was modelled on a successful intervention from a previous trial, provided a 10 L vessel with a lid, tap, and regular supply of sodium dichloroisocyanurate tablets (Medentech, Wexford, Ireland) to the household of index children." Luby et al. 2018, Pg. e305.</t>
      </text>
    </comment>
    <comment authorId="0" ref="E6">
      <text>
        <t xml:space="preserve">Supplementary table S7, Luby et al. 2018.
https://doi.org/10.1016/S2214-109X(17)30490-4</t>
      </text>
    </comment>
    <comment authorId="0" ref="F6">
      <text>
        <t xml:space="preserve">Supplementary table S7, Luby et al. 2018.
https://doi.org/10.1016/S2214-109X(17)30490-4</t>
      </text>
    </comment>
    <comment authorId="0" ref="H6">
      <text>
        <t xml:space="preserve">Supplementary table S7, Luby et al. 2018.
https://doi.org/10.1016/S2214-109X(17)30490-4</t>
      </text>
    </comment>
    <comment authorId="0" ref="I6">
      <text>
        <t xml:space="preserve">Supplementary table S7, Luby et al. 2018.
https://doi.org/10.1016/S2214-109X(17)30490-4</t>
      </text>
    </comment>
    <comment authorId="0" ref="O6">
      <text>
        <t xml:space="preserve">Downweighted because the water purification intervention included  safe storage vessels (25%). Safe storage vessels help reduce recontamination of water after it is collected.</t>
      </text>
    </comment>
    <comment authorId="0" ref="E7">
      <text>
        <t xml:space="preserve">Supplementary table S7, Null et al. 2018.
https://doi.org/10.1016/S2214-109X(18)30005-6</t>
      </text>
    </comment>
    <comment authorId="0" ref="F7">
      <text>
        <t xml:space="preserve">Supplementary table S7, Null et al. 2018.
https://doi.org/10.1016/S2214-109X(18)30005-6</t>
      </text>
    </comment>
    <comment authorId="0" ref="H7">
      <text>
        <t xml:space="preserve">Supplementary table S7, Null et al. 2018.
https://doi.org/10.1016/S2214-109X(18)30005-6</t>
      </text>
    </comment>
    <comment authorId="0" ref="I7">
      <text>
        <t xml:space="preserve">Supplementary table S7, Null et al. 2018.
https://doi.org/10.1016/S2214-109X(18)30005-6</t>
      </text>
    </comment>
    <comment authorId="0" ref="D8">
      <text>
        <t xml:space="preserve">"The WASH intervention included a play space to minimise geophagia and ingestion of chicken faeces by children in addition to conventional WASH interventions (sanitation, water treatment, handwashing, and hygienic preparation of food)." Humphrey et al. 2019, Pg. e133.</t>
      </text>
    </comment>
    <comment authorId="0" ref="E8">
      <text>
        <t xml:space="preserve">Table 6, Humphrey et al. 2019.
https://doi.org/10.1016/S2214-109X(18)30374-7
</t>
      </text>
    </comment>
    <comment authorId="0" ref="F8">
      <text>
        <t xml:space="preserve">Table 6, Humphrey et al. 2019.
https://doi.org/10.1016/S2214-109X(18)30374-7</t>
      </text>
    </comment>
    <comment authorId="0" ref="H8">
      <text>
        <t xml:space="preserve">Table 6, Humphrey et al. 2019.
https://doi.org/10.1016/S2214-109X(18)30374-7</t>
      </text>
    </comment>
    <comment authorId="0" ref="I8">
      <text>
        <t xml:space="preserve">Table 6, Humphrey et al. 2019.
https://doi.org/10.1016/S2214-109X(18)30374-7</t>
      </text>
    </comment>
    <comment authorId="0" ref="O8">
      <text>
        <t xml:space="preserve">This trial included several interventions in addition to chlorination, so we downweight it by 50%.</t>
      </text>
    </comment>
    <comment authorId="0" ref="B13">
      <text>
        <t xml:space="preserve">This bound assumes that the sampling distribution of ln(RR) is normally distributed and that the individual estimates are independent. </t>
      </text>
    </comment>
    <comment authorId="0" ref="B14">
      <text>
        <t xml:space="preserve">This bound assumes that the sampling distribution of ln(RR) is normally distributed and that the individual estimates are independent.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http://ghdx.healthdata.org/gbd-results-tool?params=gbd-api-2019-permalink/bb750e9c926afe9b97e2f73b6d41877d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Clasen et al. 2015, abstract.
https://doi.org/10.1002/14651858.cd004794.pub3</t>
      </text>
    </comment>
    <comment authorId="0" ref="A4">
      <text>
        <t xml:space="preserve">From figure 2 of Savovic et al. 2012, "Lack of Double-Blinding or Unclear Double-Blinding (vs. Double-Blind)". This large meta-analysis measured the difference in effect size between trials that were blinded vs. not blinded/unclear. Mortality is an objective outcome and therefore should not be subject to self-report bias. We use it here to control for unobserved characteristics of unblinded studies that may cause them to report biased effect sizes. In other words, studies that are not blinded may also be less rigorous in other ways that lead them to report biased effect sizes for unrelated reasons. https://doi.org/10.7326/0003-4819-157-6-201209180-00537</t>
      </text>
    </comment>
    <comment authorId="0" ref="A5">
      <text>
        <t xml:space="preserve">From figure 2 of Savovic et al. 2012, "Lack of Double-Blinding or Unclear Double-Blinding (vs. Double-Blind)".  This large meta-analysis measured the difference in effect size between trials that were blinded vs. not blinded/unclear.   https://doi.org/10.7326/0003-4819-157-6-201209180-00537</t>
      </text>
    </comment>
    <comment authorId="0" ref="A6">
      <text>
        <t xml:space="preserve">This is the reduction in effect size attributable to blinding but not unobserved characteristics that correlate with blinding.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Some of the interventions in RCTs we include could impact mortality via mechanisms that are different from those that drive the mortality effect of water quality interventions.  This adjustment is an attempt to exclude the portion of the measured effect size that would not apply to interventions that are limited to water quality.</t>
      </text>
    </comment>
    <comment authorId="0" ref="D3">
      <text>
        <t xml:space="preserve">This is a general internal validity adjustment for limitations of the trials included in the Clasen et al. 2015 meta-analysis, which is the basis for our mortality reduction estimate.  We correct for self-report bias separately, so this reflects our rough guess of the degree to which the effect size estimate is overestimated for other reasons.  We have not put much thought into this adjustment because morbidity only makes up a small share of total benefits.
https://doi.org/10.1002/14651858.CD004794.pub3</t>
      </text>
    </comment>
    <comment authorId="0" ref="A4">
      <text>
        <t xml:space="preserve">The Mills-Reincke phenomenon is the hypothesis that enteric diseases increase the risk of mortality from non-enteric diseases. Our estimate of the under-5 mortality impact of water quality interventions implies that this hypothesis is correct in under-5s, and the hypothesis has also received support from other lines of investigation (see the water quality report for more information, link below).
However, we do not have much evidence on whether it operates in people over 5. Based on conversations with experts (below), we believe a likely mechanism by which the Mills-Reincke phenomenon operates is that enteric diseases impair nutritional status and body energy reserves, increasing risk from subsequent infectious diseases. This mechanism is expected to affect young children the most, since they have smaller body reserves of energy, protein, and other nutrients.  
We identified one study that addresses this hypothesis empirically in under-5s and over-5s side-by-side. Newman et al. 2020 measured the risk of respiratory infection following a bout of diarrhea in infants and mothers. Infants had a substantially elevated risk of respiratory infection following diarrhea, while mothers did not. This provides some evidence that the Mills-Reincke phenomenon may not operate in adults. It is worth noting that the “over 5” category we use in this CEA is not composed solely of adults, and children over 5 may still be susceptible to the Mills-Reincke phenomenon.
To derive this adjustment, we assume that Mills-Reincke has an impact half as large in over-5s as in under-5s. This is a very uncertain guess. We also assume that water quality interventions avert 2.7 non-enteric deaths for each enteric death averted (see water quality report for calculation, link below), and that the 50% downward adjustment only applies to non-enteric deaths.
https://www.givewell.org/international/technical/programs/water-quality-interventions
https://docs.google.com/document/d/1ZFwNK2RUI8k5hKA8oDI8-Z33nERaLbvt-Y5lYmojPTg/edit?usp=sharing
https://dx.doi.org/10.4269%2Fajtmh.19-0405</t>
      </text>
    </comment>
    <comment authorId="0" ref="A10">
      <text>
        <t xml:space="preserve">This adjustment reflects our skepticism of the mortality reduction effect size the model is generating, given our understanding of the plausible paths from water quality to mortality reduction. Our plausibility modeling suggests that two conditions need to be met to justify an effect size as large as this model generates without the plausibility adjustment: 1) water quality interventions must substantially impact mortality from non-waterborne diseases, such as respiratory diseases, 2) water quality interventions must disproportionately impact severe disease (e.g., a 10% reduction in diarrhea morbidity implies a 30% reduction in diarrhea mortality).  Our research on these topics suggests that the first condition is likely met, but the second probably is not. We chose a plausibility adjustment that limits under-5 mortality reduction to a level that can be explained by the first mechanism only, using optimistic assumptions.
This adjustment is not intended to reflect our best guess of the intervention's effect size, but rather to exclude values we believe are implausible.
https://docs.google.com/document/d/1m_VU_vSyz1KlcDN69ZNU1X7bzYUpDn9yN8CW0VQcXU4/edit?usp=sharing
https://docs.google.com/spreadsheets/d/1TGlqAp3aZvsG8lagYajP1h27z_nN-4flLsHVhQrhDMU/edit?usp=sharing</t>
      </text>
    </comment>
    <comment authorId="0" ref="B11">
      <text>
        <t xml:space="preserve">Calculations can be found here, in column "Assumption 4." 
https://docs.google.com/spreadsheets/d/1TGlqAp3aZvsG8lagYajP1h27z_nN-4flLsHVhQrhDMU/edit?usp=sharing</t>
      </text>
    </comment>
    <comment authorId="0" ref="B12">
      <text>
        <t xml:space="preserve">Calculations can be found here, in column "Assumption 4." 
https://docs.google.com/spreadsheets/d/1TGlqAp3aZvsG8lagYajP1h27z_nN-4flLsHVhQrhDMU/edit#gid=2078125475</t>
      </text>
    </comment>
    <comment authorId="0" ref="B13">
      <text>
        <t xml:space="preserve">Calculations can be found here, in column "Assumption 4." 
https://docs.google.com/spreadsheets/d/1TGlqAp3aZvsG8lagYajP1h27z_nN-4flLsHVhQrhDMU/edit#gid=992070972</t>
      </text>
    </comment>
    <comment authorId="0" ref="B14">
      <text>
        <t xml:space="preserve">Calculations can be found here, in column "Assumption 4." 
https://docs.google.com/spreadsheets/d/1TGlqAp3aZvsG8lagYajP1h27z_nN-4flLsHVhQrhDMU/edit#gid=1470987866</t>
      </text>
    </comment>
    <comment authorId="0" ref="B18">
      <text>
        <t xml:space="preserve">GBD Results Tool
http://ghdx.healthdata.org/gbd-results-tool?params=gbd-api-2019-permalink/11b40fcd1310c26df2a69d3ddf14ce5a</t>
      </text>
    </comment>
    <comment authorId="0" ref="A25">
      <text>
        <t xml:space="preserve">We assume that Mills-Reincke has an impact half as large in over-5s as in under-5s. This is a very uncertain guess. We identified one piece of evidence suggesting that the Mills-Reincke phenomenon operates in infants but not adults (below). However, our CEA divides beneficiaries into under-5s and over-5s, and children over 5 may still be susceptible to some degree.
https://dx.doi.org/10.4269%2Fajtmh.19-0405</t>
      </text>
    </comment>
    <comment authorId="0" ref="C32">
      <text>
        <t xml:space="preserve">We only consider additional treatments that were included in study arms we use for mortality effect size estimation</t>
      </text>
    </comment>
    <comment authorId="0" ref="E32">
      <text>
        <t xml:space="preserve">This is the proportion of the intervention groups that have relevant bundled treatments.</t>
      </text>
    </comment>
    <comment authorId="0" ref="F32">
      <text>
        <t xml:space="preserve">Assumptions. These are rough assumptions based on a review of meta-analyses related to the impact of water treatment, safe storage vessels, handwashing, and sanitation interventions on diarrhea. The evidence underlying these assumptions is cited after the assumptions.
1. Reductions in under-5 all-cause mortality risk track with reductions in under-5 diarrhea risk, such that evidence on the latter can be used to infer the former.
2. In water chlorination interventions with a safe storage vessel, the vessel causes one quarter as much reduction in mortality as filtration alone, such that the vessel accounts for one-fifth of total effect size (when no other interventions are present).  
3. In water quality interventions with handwashing, the handwashing intervention causes the same magnitude of reduction in mortality as the water quality intervention alone, such that half of effect size is attributable to the handwashing when they are both present (with no other interventions).
5. Humphrey 2019 included multiple interventions: Water chlorination, handwashing, infant play space and education to prevent geophagia, education on hygienic prep of complementary food, education on safe disposal of feces. Since it includes handwashing plus other non-chlorination interventions that should reduce diarrhea risk, we expect the majority of the effect size to be attributable to interventions other than chlorination. We assume that 1/3 of the effect size is attributable to water chlorination, and 2/3 is attributable to the other interventions in relevant intervention groups.
Supporting evidence:
Clasen et al. 2015 is a Cochrane meta-analysis reporting that point-of-use water treatment reduces diarrhea prevalence by 42% in children under 5 (analysis 1.2). Subgroup analysis of chlorination trials with vs. without additional storage vessels (analysis 3.5) suggest that provision of a safe vessel does not increase effect size where both interventions are present (20% and 25% reduction, respectively). However, subgroup analyses of flocculation/disinfection (analysis 4.4) and filtration (analysis 5.9) suggest that safe storage vessels substantially increase effect size. It is plausible that chlorination benefits less from a safe storage vessel because residual free chlorine prevents recontamination that can occur with filtered water (or flocculated/disinfected water, which uses a low level of chlorine). However, given the results for flocculation/disinfection and filtration, we believe it is likely that safe storage vessels provide some benefit for chlorination as well, so we subjectively assume that the vessel causes one quarter as much reduction in mortality as filtration alone, such that the vessel accounts for one-fifth of total effect size (when no other interventions are present).
https://dx.doi.org/10.1002%2F14651858.CD004794.pub3
Ejemot‐Nwadiaro et al. 2015 is a Cochrane meta-analysis reporting that handwashing interventions in low-income settings reduce diarrhea prevalence by 28% ("around one quarter", abstract).  We take this to be roughly equivalent to water chlorination without a safe storage vessel.
https://dx.doi.org/10.1002%2F14651858.CD004265.pub3
Wolf et al. 2018 is a meta-analysis reporting that sanitation interventions reduce diarrhea prevalence by 25%. We do not know how sanitation may impact effect size when bundled with several other interventions, as in Humphrey et al. 2019, so our assumption in that case is particularly uncertain, but we assume sanitation makes a contribution.
https://doi.org/10.1111/tmi.13051</t>
      </text>
    </comment>
    <comment authorId="0" ref="I32">
      <text>
        <t xml:space="preserve">
</t>
      </text>
    </comment>
    <comment authorId="0" ref="D33">
      <text>
        <t xml:space="preserve">"We randomly assigned 492 rural Guatemalan households to five different water treatment groups: flocculant-disinfectant,
flocculant-disinfectant plus a customized vessel, bleach, bleach plus a vessel, and control."  In this analysis, we only include the treatment groups that used bleach or bleach plus a safe storage vessel.  Reller et al. 2003, abstract.</t>
      </text>
    </comment>
    <comment authorId="0" ref="E33">
      <text>
        <t xml:space="preserve">One intervention group received bleach with a safe storage vessel, and one received bleach without a safe storage vessel.
"We randomly assigned 492 rural Guatemalan households to five different water treatment groups: flocculant-disinfectant, flocculant-disinfectant plus a customized vessel, bleach, bleach plus a vessel, and control."  Reller et al. 2003.</t>
      </text>
    </comment>
    <comment authorId="0" ref="D35">
      <text>
        <t xml:space="preserve">"The water intervention, which was modelled on a successful intervention from a previous trial, provided a 10 L vessel with a lid, tap, and regular supply of sodium dichloroisocyanurate tablets (Medentech, Wexford, Ireland) to the household of index children." Luby et al. 2018, Pg. e305.</t>
      </text>
    </comment>
    <comment authorId="0" ref="D37">
      <text>
        <t xml:space="preserve">"The WASH intervention included a play space to minimise geophagia and ingestion of chicken faeces by children in addition to conventional WASH interventions (sanitation, water treatment, handwashing, and hygienic preparation of food)." Humphrey et al. 2019, Pg. e133.</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adjustment accounts for the fact that the proportion of total mortality due to water quality may differ by time and location. I estimated this by determining the proportion of under-5 deaths that are attributed to enteric infections in the Global Burden of Diseases database, both at the time/location of the trials included in the Kremer et al. meta-analysis, and in Kenya as a whole in 2019. Data and calculations are in the "Deaths linked to water quality" tab.</t>
      </text>
    </comment>
    <comment authorId="0" ref="A5">
      <text>
        <t xml:space="preserve">This accounts for the fact that adherence/coverage is higher for ILC than the trials in the Kremer et al. meta-analysis.</t>
      </text>
    </comment>
    <comment authorId="0" ref="A9">
      <text>
        <t xml:space="preserve">This adjustment accounts for the fact that the proportion of total mortality and morbidity due to water quality may differ by time and location. I estimated this by determining the proportion of under-5 deaths that are attributed to enteric infections in the Global Burden of Diseases database, both at the time/location of the trials included in the Kremer et al. meta-analysis, and in Kenya as a whole in 2019. Data and calculations are in the "Deaths linked to water quality" tab.</t>
      </text>
    </comment>
    <comment authorId="0" ref="A10">
      <text>
        <t xml:space="preserve">This accounts for the fact that adherence/coverage is higher for ILC than the trials in the Kremer et al. meta-analysis.</t>
      </text>
    </comment>
    <comment authorId="0" ref="A14">
      <text>
        <t xml:space="preserve">This adjustment accounts for the fact that the proportion of total mortality and morbidity due to water quality may differ by time and location. I estimated this by determining the proportion of under-5 deaths that are attributed to enteric infections in the Global Burden of Diseases database, both at the time/location of the trials included in the Kremer et al. meta-analysis, and in Uganda as a whole in 2019. Data and calculations are in the "Deaths linked to water quality" tab.</t>
      </text>
    </comment>
    <comment authorId="0" ref="A15">
      <text>
        <t xml:space="preserve">This accounts for the fact that adherence/coverage is higher for ILC than the trials in the Kremer et al. meta-analysis.</t>
      </text>
    </comment>
    <comment authorId="0" ref="A19">
      <text>
        <t xml:space="preserve">This adjustment accounts for the fact that the proportion of total mortality and morbidity due to water quality may differ by time and location. I estimated this by determining the proportion of under-5 deaths that are attributed to enteric infections in the Global Burden of Diseases database, both at the time/location of the trials included in the Kremer et al. meta-analysis, and in Malawi as a whole in 2019. Data and calculations are in the "Deaths linked to water quality" tab.</t>
      </text>
    </comment>
    <comment authorId="0" ref="A20">
      <text>
        <t xml:space="preserve">This accounts for the fact that adherence/coverage is higher for ILC than the trials in the Kremer et al. meta-analysis.</t>
      </text>
    </comment>
    <comment authorId="0" ref="A27">
      <text>
        <t xml:space="preserve">This accounts for the fact that adherence/coverage is higher for ILC than the trials in the Kremer et al. meta-analysis.</t>
      </text>
    </comment>
    <comment authorId="0" ref="A28">
      <text>
        <t xml:space="preserve">This is a rough guess to estimate how much less effective the intervention would be in the typically less intensive charity context, vs. the relatively intensive RCT context.  This includes things like device maintenance, but not individual adherence, which is factored into the adherence adjustment.</t>
      </text>
    </comment>
    <comment authorId="0" ref="A32">
      <text>
        <t xml:space="preserve">This accounts for the fact that adherence/coverage is higher for ILC than the trials in the Kremer et al. meta-analysis.</t>
      </text>
    </comment>
    <comment authorId="0" ref="A36">
      <text>
        <t xml:space="preserve">This accounts for the fact that adherence/coverage is higher for ILC than the trials in the Kremer et al. meta-analysis.</t>
      </text>
    </comment>
    <comment authorId="0" ref="A40">
      <text>
        <t xml:space="preserve">This accounts for the fact that adherence/coverage is higher for ILC than the trials in the Kremer et al. meta-analysis.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This adjustment accounts for the fact that mortality and morbidity due to water quality may differ by time and location. I estimated this by determining the proportion of total deaths that are attributed to enteric infections in the Global Burden of Diseases database, both at the time/location of the trials included in the Kremer et al. meta-analysis, and in Kenya as a whole in 2019. Data and calculations are below.</t>
      </text>
    </comment>
    <comment authorId="0" ref="C15">
      <text>
        <t xml:space="preserve">The paper does not explicitly state when outcome data were collected.  Inferred a date range of 2013-2014 from the following quote, and the follow-up times of 1 and 2 years. "Between May 31, 2012, and July 7, 2013, 5551 pregnant women in 720 clusters were randomly allocated to
one of seven groups." Luby et al. 2018, abstract.</t>
      </text>
    </comment>
    <comment authorId="0" ref="C16">
      <text>
        <t xml:space="preserve">These are the years in which outcome data were collected.  "Children were aged 2–18 months (median 12 months) at 1-year follow-up (January, 2014, to June, 2015) and aged 16–31 months (median 25 months) at 2-year follow-up (February, 2015, to July, 2016), but 11 184 (87%) of 12 841 children were in the target age ranges of 9–15 months at year 1 and 21–27 months at year 2 (appendix p 12)." Null et al. 2018, Pg. e321</t>
      </text>
    </comment>
    <comment authorId="0" ref="C17">
      <text>
        <t xml:space="preserve">The paper does not explicitly state when outcome data were collected.  Inferred a date range of 2013-2016 from the following quote, and the follow-up times of 12 and 18 months.  " Between Nov 22, 2012, and March 27, 2015, 5280 pregnant women were enrolled from 211 clusters. 3686 children born to HIV-negative mothers were assessed at age 18 months" Humphrey et al. 2019, abstract.</t>
      </text>
    </comment>
    <comment authorId="0" ref="A22">
      <text>
        <t xml:space="preserve">http://ghdx.healthdata.org/gbd-results-tool?params=gbd-api-2019-permalink/f9b19d9701fa958afd1eb0f2c848090a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2019 monitoring data from Evidence Action
https://docs.google.com/spreadsheets/d/1s9DJcFwFHiyjkvR2UMmrYDH5ZPOfMoDFtHYeUFwpaVY/edit?usp=sharing</t>
      </text>
    </comment>
    <comment authorId="0" ref="A8">
      <text>
        <t xml:space="preserve">2019 monitoring data from Evidence Action
https://docs.google.com/spreadsheets/d/1s9DJcFwFHiyjkvR2UMmrYDH5ZPOfMoDFtHYeUFwpaVY/edit?usp=sharing</t>
      </text>
    </comment>
    <comment authorId="0" ref="A9">
      <text>
        <t xml:space="preserve">2019 monitoring data from Evidence Action. Added together percentage of people who self-report use of WaterGuard, AquaTabs, and PUR.
https://docs.google.com/spreadsheets/d/1s9DJcFwFHiyjkvR2UMmrYDH5ZPOfMoDFtHYeUFwpaVY/edit?usp=sharing</t>
      </text>
    </comment>
    <comment authorId="0" ref="A11">
      <text>
        <t xml:space="preserve">2019 monitoring data from Evidence Action
https://docs.google.com/spreadsheets/d/1s9DJcFwFHiyjkvR2UMmrYDH5ZPOfMoDFtHYeUFwpaVY/edit?usp=sharing</t>
      </text>
    </comment>
    <comment authorId="0" ref="A12">
      <text>
        <t xml:space="preserve">We use the measured total chlorination rate in this calculation because it is a more sensitive measure of chlorination than the free chlorine rate.</t>
      </text>
    </comment>
    <comment authorId="0" ref="A16">
      <text>
        <t xml:space="preserve">This is the percent reporting any water treatment minus the percent reporting use of dispensers.  2019 monitoring data from Evidence Action.  
https://docs.google.com/spreadsheets/d/1s9DJcFwFHiyjkvR2UMmrYDH5ZPOfMoDFtHYeUFwpaVY/edit?usp=sharing</t>
      </text>
    </comment>
    <comment authorId="0" ref="A18">
      <text>
        <t xml:space="preserve">This calculation assumes that everyone who treated water prior to dispensers switched to dispensers, except the people who continue to use non-dispensers water treatments after dispensers are installed.</t>
      </text>
    </comment>
    <comment authorId="0" ref="B22">
      <text>
        <t xml:space="preserve">Detectable free chlorine in tap water, table 3, Pickering et al. 2019.  
https://doi.org/10.1016/S2214-109X(19)30315-8</t>
      </text>
    </comment>
    <comment authorId="0" ref="A25">
      <text>
        <t xml:space="preserve">This calculation assumes that everyone who treated water prior to dispensers switched to dispensers, except the people who continue to use non-dispensers water treatments after dispensers are installed.</t>
      </text>
    </comment>
    <comment authorId="0" ref="A26">
      <text>
        <t xml:space="preserve">This is a rough guess to account for the possibility that fewer people would use ILC-treated water if chlorine levels were increased relative to Pickering et al. 2019, which used a low chlorine dose in part for taste acceptability.</t>
      </text>
    </comment>
    <comment authorId="0" ref="B30">
      <text>
        <t xml:space="preserve">Dispensers for Safe Water baseline monitoring data from 2012 to 2015, shared with permission. Data are from an incomplete sample and so must be interpreted with some caution.
https://docs.google.com/spreadsheets/d/13c2BTHCaWSDtwF4by02g2jCVT6bSq0krDa1936xtHoI/edit?usp=sharing
</t>
      </text>
    </comment>
    <comment authorId="0" ref="C30">
      <text>
        <t xml:space="preserve">Dispensers for Safe Water baseline monitoring data from 2013 and 2015, shared with permission.  Data are from a very incomplete sample and so must be interpreted with substantial caution.
https://docs.google.com/spreadsheets/d/13c2BTHCaWSDtwF4by02g2jCVT6bSq0krDa1936xtHoI/edit?usp=sharing</t>
      </text>
    </comment>
    <comment authorId="0" ref="D30">
      <text>
        <t xml:space="preserve">Dispensers for Safe Water baseline monitoring data from 2014, shared with permission.  Data are from a very incomplete sample and so must be interpreted with substantial caution.
https://docs.google.com/spreadsheets/d/13c2BTHCaWSDtwF4by02g2jCVT6bSq0krDa1936xtHoI/edit?usp=sharing</t>
      </text>
    </comment>
    <comment authorId="0" ref="A34">
      <text>
        <t xml:space="preserve">DHS surveys define "appropriate" treatment methods as those that have been demonstrated to substantially reduce microbiological contamination: "boiling, bleaching, filtering, and solar disinfecting". DHS Malawi 2015-16, Pg. 18.
https://dhsprogram.com/pubs/pdf/FR319/FR319.pdf
We examined the possibility that these figures could be inflated due to the presence of Dispensers for Safe Water in these countries.  DSW figures suggest that they served less than 5 percent of the rural population of these countries in 2016 (DHS surveys are 2014-2016), suggesting that the figures are not likely to be substantially affected by the presence of DSW.
https://docs.google.com/spreadsheets/d/1LmUUtZbCH6-cmxAA1RKH3FPTUtwVHLXQj94KbIiqnXo/edit#gid=44868700</t>
      </text>
    </comment>
    <comment authorId="0" ref="B34">
      <text>
        <t xml:space="preserve">Kenya DHS, 2014, Table 2.1, Pg. 12.
https://dhsprogram.com/pubs/pdf/FR308/FR308.pdf</t>
      </text>
    </comment>
    <comment authorId="0" ref="C34">
      <text>
        <t xml:space="preserve">Uganda DHS, 2016, Table 2.1, Pg. 21.
https://dhsprogram.com/pubs/pdf/FR333/FR333.pdf</t>
      </text>
    </comment>
    <comment authorId="0" ref="D34">
      <text>
        <t xml:space="preserve">Malawi DHS, 2015-16, Table 2.1, Pg. 18.
https://dhsprogram.com/pubs/pdf/FR319/FR319.pdf</t>
      </text>
    </comment>
    <comment authorId="0" ref="A35">
      <text>
        <t xml:space="preserve">This is an input into our adjustment for the fact that DSW and ILC may select sub-national regions that have lower baseline water treatment rates than the national average. We use data from Uganda because we have national and regional data from DHS, as well as information on which region DSW has tentatively prioritized for further expansion. We do not use data from Malawi because the information we have received from DSW only represents three large regions and is therefore less granular than the information from Uganda.
We do not use data from regions with a substantial current DSW presence, since water treatment rates may reflect the use of dispensers and therefore do not permit an informative counterfactual. 
Data are from the DHS StatCompiler website and reflect 2016 DHS data on "Percentage of the de jure population living in households using an appropriate treatment method, including boiling, bleaching, filtering or solar disinfecting."
https://www.statcompiler.com/en/</t>
      </text>
    </comment>
    <comment authorId="0" ref="A36">
      <text>
        <t xml:space="preserve">This is an input into our adjustment for the fact that DSW and ILC may select sub-national regions that have lower baseline water treatment rates than the national average.  We use data from Uganda because we have national and regional data from DHS, as well as information on which region DSW has tentatively prioritized for further expansion. 
We do not use data from regions with a substantial current DSW presence, since water treatment rates may reflect the use of dispensers and therefore do not permit an informative counterfactual. 
Data are from the DHS StatCompiler website and reflect 2016 DHS data on "Percentage of the de jure population living in households using an appropriate treatment method, including boiling, bleaching, filtering or solar disinfecting."
https://www.statcompiler.com/en/</t>
      </text>
    </comment>
    <comment authorId="0" ref="A37">
      <text>
        <t xml:space="preserve">This is our adjustment for the fact that DSW and ILC may select sub-national regions that have lower baseline water treatment rates than the national average.  We use data from Uganda because we have national and regional data from DHS, as well as information on which region DSW has tentatively prioritized for further expansion. 
We do not use data from regions with a substantial current DSW presence, since water treatment rates may reflect the use of dispensers and therefore do not permit an informative counterfactual. </t>
      </text>
    </comment>
    <comment authorId="0" ref="B38">
      <text>
        <t xml:space="preserve">We use the self-report bias adjustment derived from DSW data, since it cannot be derived from DHS data.</t>
      </text>
    </comment>
    <comment authorId="0" ref="C38">
      <text>
        <t xml:space="preserve">We use the self-report bias adjustment derived from DSW data, since it cannot be derived from DHS data.</t>
      </text>
    </comment>
    <comment authorId="0" ref="D38">
      <text>
        <t xml:space="preserve">We use the self-report bias adjustment derived from DSW data, since it cannot be derived from DHS data.</t>
      </text>
    </comment>
    <comment authorId="0" ref="A39">
      <text>
        <t xml:space="preserve">We are uncertain how much weight to assign to DSW and DHS data, each of which has substantial uncertainties. DSW data are from very limited samples, particularly in Uganda and Malawi, but represent baseline data from actual DSW populations. DHS data are from larger samples, but not actual DSW populations.
We weight them equally.</t>
      </text>
    </comment>
    <comment authorId="0" ref="A40">
      <text>
        <t xml:space="preserve">We are uncertain how much weight to assign to DSW and DHS data, each of which has substantial uncertainties. DSW data are from very limited samples, particularly in Uganda and Malawi, but represent baseline data from actual DSW populations. DHS data are from larger samples, but not actual DSW populations.
We weight them equally.</t>
      </text>
    </comment>
    <comment authorId="0" ref="B44">
      <text>
        <t xml:space="preserve">Counterfactual was estimated by examining water treatment rates at baseline or in control groups.</t>
      </text>
    </comment>
    <comment authorId="0" ref="B45">
      <text>
        <t xml:space="preserve">Averaged together water quality data for both bleach treatment groups in table 5, then subtracted control value. We use the measure of percent of samples with free chlorine &gt;0.1 ppm on unannounced visits.</t>
      </text>
    </comment>
    <comment authorId="0" ref="B46">
      <text>
        <t xml:space="preserve">Residual free chlorine in intervention minus control groups from table 3.</t>
      </text>
    </comment>
    <comment authorId="0" ref="B47">
      <text>
        <t xml:space="preserve">Averaged together detectable free chlorine data for the water group for years 1 and 2. Table 3.  
Table 2 reports that 0% of the population reports treating water at baseline.</t>
      </text>
    </comment>
    <comment authorId="0" ref="B48">
      <text>
        <t xml:space="preserve">Averaged together detectable free chlorine from years 1 and 2 of the water group. Subtracted detectable free chlorine rate (3%) in the control groups. Table 2.</t>
      </text>
    </comment>
    <comment authorId="0" ref="B49">
      <text>
        <t xml:space="preserve">Compared data from control group (standard of care) and WASH group from table 2. The data are from a survey question, "ever treats drinking water to make safer". I believe this may overestimate compliance since it's subjective and doesn't refer to a single point in time.
Later, the paper states that "too  few samples of water were tested   for free chlorine to objectively validate water chlorination. Of the 752 water samples from WASH households that were tested at 12 months, only 438 (58%) had more  than 0·1 parts per million of free chlorine."  
Since both estimates have limitations, I averaged them together to yield the final figure of 66%.</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Data from 2019 Evidence Action surveys
https://docs.google.com/spreadsheets/d/1s9DJcFwFHiyjkvR2UMmrYDH5ZPOfMoDFtHYeUFwpaVY/edit?usp=sharing</t>
      </text>
    </comment>
    <comment authorId="0" ref="C3">
      <text>
        <t xml:space="preserve">Data from 2019 Evidence Action surveys
https://docs.google.com/spreadsheets/d/1s9DJcFwFHiyjkvR2UMmrYDH5ZPOfMoDFtHYeUFwpaVY/edit?usp=sharing</t>
      </text>
    </comment>
    <comment authorId="0" ref="D3">
      <text>
        <t xml:space="preserve">Data from 2019 Evidence Action surveys
https://docs.google.com/spreadsheets/d/1s9DJcFwFHiyjkvR2UMmrYDH5ZPOfMoDFtHYeUFwpaVY/edit?usp=sharing</t>
      </text>
    </comment>
    <comment authorId="0" ref="F3">
      <text>
        <t xml:space="preserve">2014 Kenya DHS report.
https://dhsprogram.com/publications/publication-fr308-dhs-final-reports.cfm</t>
      </text>
    </comment>
    <comment authorId="0" ref="G3">
      <text>
        <t xml:space="preserve">Prevalence is converted to incidence using this formula: 
incidence = (prevalence * period) / (recall period + case duration + 1)</t>
      </text>
    </comment>
    <comment authorId="0" ref="B19">
      <text>
        <t xml:space="preserve">Data from 2019 Evidence Action surveys
https://docs.google.com/spreadsheets/d/1s9DJcFwFHiyjkvR2UMmrYDH5ZPOfMoDFtHYeUFwpaVY/edit?usp=sharing</t>
      </text>
    </comment>
    <comment authorId="0" ref="C19">
      <text>
        <t xml:space="preserve">Data from 2019 Evidence Action surveys
https://docs.google.com/spreadsheets/d/1s9DJcFwFHiyjkvR2UMmrYDH5ZPOfMoDFtHYeUFwpaVY/edit?usp=sharing</t>
      </text>
    </comment>
    <comment authorId="0" ref="D19">
      <text>
        <t xml:space="preserve">Data from 2019 Evidence Action surveys
https://docs.google.com/spreadsheets/d/1s9DJcFwFHiyjkvR2UMmrYDH5ZPOfMoDFtHYeUFwpaVY/edit?usp=sharing</t>
      </text>
    </comment>
    <comment authorId="0" ref="F19">
      <text>
        <t xml:space="preserve">DHS Uganda 2016
https://dhsprogram.com/publications/publication-fr333-dhs-final-reports.cfm</t>
      </text>
    </comment>
    <comment authorId="0" ref="G19">
      <text>
        <t xml:space="preserve">The 2016 Uganda DHS report only reports diarrhea prevalence by region</t>
      </text>
    </comment>
    <comment authorId="0" ref="H19">
      <text>
        <t xml:space="preserve">Prevalence is converted to incidence using this formula: 
incidence = (prevalence * period) / (recall period + case duration + 1)</t>
      </text>
    </comment>
    <comment authorId="0" ref="B37">
      <text>
        <t xml:space="preserve">Data from 2019 Evidence Action surveys
https://docs.google.com/spreadsheets/d/1s9DJcFwFHiyjkvR2UMmrYDH5ZPOfMoDFtHYeUFwpaVY/edit?usp=sharing</t>
      </text>
    </comment>
    <comment authorId="0" ref="C37">
      <text>
        <t xml:space="preserve">Data from 2019 Evidence Action surveys
https://docs.google.com/spreadsheets/d/1s9DJcFwFHiyjkvR2UMmrYDH5ZPOfMoDFtHYeUFwpaVY/edit?usp=sharing</t>
      </text>
    </comment>
    <comment authorId="0" ref="D37">
      <text>
        <t xml:space="preserve">Data from 2019 Evidence Action surveys
https://docs.google.com/spreadsheets/d/1s9DJcFwFHiyjkvR2UMmrYDH5ZPOfMoDFtHYeUFwpaVY/edit?usp=sharing</t>
      </text>
    </comment>
    <comment authorId="0" ref="F37">
      <text>
        <t xml:space="preserve">DHS Malawi 2015-2016
https://dhsprogram.com/publications/publication-fr319-dhs-final-reports.cfm</t>
      </text>
    </comment>
    <comment authorId="0" ref="G37">
      <text>
        <t xml:space="preserve">The 2015-2016 Malawi DHS report only reports diarrhea prevalence by region</t>
      </text>
    </comment>
    <comment authorId="0" ref="H37">
      <text>
        <t xml:space="preserve">Prevalence is converted to incidence using this formula: 
incidence = (prevalence * period) / (recall period + case duration + 1)</t>
      </text>
    </comment>
    <comment authorId="0" ref="A51">
      <text>
        <t xml:space="preserve">Meta-analysis of under-5 diarrhea case duration in low- and middle-income countries from Lamberti et al. 2012, figure 3. p. 8.
https://doi.org/10.1186/1471-2458-12-276</t>
      </text>
    </comment>
    <comment authorId="0" ref="A58">
      <text>
        <t xml:space="preserve">This adjustment presumes that the time trend is approximately linear, which appears to the be case (see graph to the right)</t>
      </text>
    </comment>
    <comment authorId="0" ref="B70">
      <text>
        <t xml:space="preserve">DHS Kenya 2014, table 10.7.
https://dhsprogram.com/publications/publication-fr308-dhs-final-reports.cfm</t>
      </text>
    </comment>
    <comment authorId="0" ref="C70">
      <text>
        <t xml:space="preserve">DHS Kenya 2014, table 10.7.
https://dhsprogram.com/publications/publication-fr308-dhs-final-reports.cfm</t>
      </text>
    </comment>
    <comment authorId="0" ref="D70">
      <text>
        <t xml:space="preserve">DHS Uganda 2016, table 10.8.
https://dhsprogram.com/publications/publication-fr333-dhs-final-reports.cfm</t>
      </text>
    </comment>
    <comment authorId="0" ref="E70">
      <text>
        <t xml:space="preserve">DHS Malawi 2015-2016
https://dhsprogram.com/publications/publication-fr319-dhs-final-reports.cfm</t>
      </text>
    </comment>
    <comment authorId="0" ref="A73">
      <text>
        <t xml:space="preserve">Estimates are from Baral et al. 2020, table 3 (weighted mean). Kenya is a lower middle income country; Uganda and Malawi are low-income countries.
https://doi.org/10.1186/s12889-020-08595-8</t>
      </text>
    </comment>
    <comment authorId="0" ref="A74">
      <text>
        <t xml:space="preserve">Estimates are from Baral et al. 2020, table 3 (weighted mean). 
 Kenya is a lower middle income country; Uganda and Malawi are low-income countries.
https://doi.org/10.1186/s12889-020-08595-8</t>
      </text>
    </comment>
    <comment authorId="0" ref="A80">
      <text>
        <t xml:space="preserve">We performed a quick literature search for data on the proportion of under-5 diarrhea cases that are hospitalized in sub-Saharan Africa. We excluded studies published more than 10 years ago and those conducted in the context of free healthcare.</t>
      </text>
    </comment>
    <comment authorId="0" ref="A88">
      <text>
        <t xml:space="preserve">http://ghdx.healthdata.org/gbd-results-tool?params=gbd-api-2019-permalink/a72f4dbe2dac7d0e1a718246712949f3</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This column indicates whether an item is explicitly included in the CEA. Some items that are not explicitly included may be accounted for indirectly through the parameter values individuals use.</t>
      </text>
    </comment>
    <comment authorId="0" ref="C1">
      <text>
        <t xml:space="preserve">In most cases, we have not done detailed modeling of excluded effects.
These estimates should be viewed as extremely rough. The actual impact of adding or removing an item from the CEA will differ from person to person.
Note that we do not update these estimates with every CEA release. The estimates displayed here may be out-of-date. </t>
      </text>
    </comment>
  </commentList>
</comments>
</file>

<file path=xl/sharedStrings.xml><?xml version="1.0" encoding="utf-8"?>
<sst xmlns="http://schemas.openxmlformats.org/spreadsheetml/2006/main" count="4836" uniqueCount="502">
  <si>
    <t>Notes on how to engage with this cost-effectiveness analysis</t>
  </si>
  <si>
    <t>General:</t>
  </si>
  <si>
    <t>Published April 2022</t>
  </si>
  <si>
    <t>Make an editable copy of this spreadsheet by clicking "File" →  "Make a copy..."</t>
  </si>
  <si>
    <t>Enter values in the "User inputs" and "Moral weights" tabs. View results on the "Results" tab.</t>
  </si>
  <si>
    <t>Standard color code on intervention tabs:</t>
  </si>
  <si>
    <t>Blue marks on-sheet calculations</t>
  </si>
  <si>
    <t>Yellow marks parameters pulled from the "Moral weights" tab</t>
  </si>
  <si>
    <t>Helpful GiveWell references:</t>
  </si>
  <si>
    <t>In-line chlorination</t>
  </si>
  <si>
    <t>Country</t>
  </si>
  <si>
    <t>Kenya</t>
  </si>
  <si>
    <t>Cost-effectiveness in multiples of cash</t>
  </si>
  <si>
    <t>Dispensers for Safe Water</t>
  </si>
  <si>
    <t>Uganda</t>
  </si>
  <si>
    <t>Malawi</t>
  </si>
  <si>
    <t>Cost-effectiveness in multiples of cash, long term</t>
  </si>
  <si>
    <t>Cost-effectiveness in multiples of cash, short term</t>
  </si>
  <si>
    <t>Spending per country</t>
  </si>
  <si>
    <t>Cost-effectiveness in multiples of cash, weighted by spending per country</t>
  </si>
  <si>
    <t>Cost-effectiveness in multiples of cash, weighted by spending per country, short term</t>
  </si>
  <si>
    <t>Moral weights</t>
  </si>
  <si>
    <t>GiveWell 2020</t>
  </si>
  <si>
    <t>Value assigned to averting the death of an individual under 5 (Kenya)</t>
  </si>
  <si>
    <t>Value assigned to averting the death of an individual under 5 (Uganda)</t>
  </si>
  <si>
    <t>Value assigned to averting the death of an individual under 5 (Malawi)</t>
  </si>
  <si>
    <t>Value assigned to averting the death of an individual 5 or older (malaria reference)</t>
  </si>
  <si>
    <t>Value assigned to averting the death of an individual 5 or older (Kenya)</t>
  </si>
  <si>
    <t>Value assigned to averting the death of an individual 5 or older (Uganda)</t>
  </si>
  <si>
    <t>Value assigned to averting the death of an individual 5 or older (Malawi)</t>
  </si>
  <si>
    <t>Value assigned to averting the death of an individual 5 or older (Sub-Saharan Africa)</t>
  </si>
  <si>
    <t>Value of averting one year of life lost to disease/disability (YLD)</t>
  </si>
  <si>
    <t>Kenya under 5</t>
  </si>
  <si>
    <t>-1 month</t>
  </si>
  <si>
    <t>Early Neonatal</t>
  </si>
  <si>
    <t>Late Neonatal</t>
  </si>
  <si>
    <t>Post Neonatal</t>
  </si>
  <si>
    <t>1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</si>
  <si>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</si>
  <si>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</si>
  <si>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</si>
  <si>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</si>
  <si>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</si>
  <si>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</si>
  <si>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</si>
  <si>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</si>
  <si>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</si>
  <si>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</si>
  <si>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</si>
  <si>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</si>
  <si>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</si>
  <si>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</si>
  <si>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</si>
  <si>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</si>
  <si>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plus</t>
  </si>
  <si>
    <t>% in each age bracket</t>
  </si>
  <si>
    <t>Value of preventing death</t>
  </si>
  <si>
    <t>Uganda under 5</t>
  </si>
  <si>
    <t>Malawi under 5</t>
  </si>
  <si>
    <t>Kenya over 5</t>
  </si>
  <si>
    <t>Uganda over 5</t>
  </si>
  <si>
    <t>Malawi over 5</t>
  </si>
  <si>
    <t>Sub-Saharan Africa over 5</t>
  </si>
  <si>
    <t>GBD data</t>
  </si>
  <si>
    <t>measure</t>
  </si>
  <si>
    <t>location</t>
  </si>
  <si>
    <t>sex</t>
  </si>
  <si>
    <t>age</t>
  </si>
  <si>
    <t>cause</t>
  </si>
  <si>
    <t>metric</t>
  </si>
  <si>
    <t>year</t>
  </si>
  <si>
    <t>val</t>
  </si>
  <si>
    <t>upper</t>
  </si>
  <si>
    <t>lower</t>
  </si>
  <si>
    <t>Deaths</t>
  </si>
  <si>
    <t>Sub-Saharan Africa</t>
  </si>
  <si>
    <t>Both</t>
  </si>
  <si>
    <t>Enteric infections</t>
  </si>
  <si>
    <t>Number</t>
  </si>
  <si>
    <t>Under-5 deaths averted</t>
  </si>
  <si>
    <t>Percent of population that is under 5, Kenya 2019</t>
  </si>
  <si>
    <t>Annual all-cause mortality in under-5s, Kenya 2019</t>
  </si>
  <si>
    <t>Relative risk of all-cause mortality</t>
  </si>
  <si>
    <t>Internal validity adjustment, under-5 mortality</t>
  </si>
  <si>
    <t>External validity adjustment</t>
  </si>
  <si>
    <t>Percent reduction in under-5 all-cause mortality, initial estimate</t>
  </si>
  <si>
    <t>Maximum plausible percent reduction in under-5 all-cause mortality</t>
  </si>
  <si>
    <t>Percent reduction in under-5 all-cause mortality, final estimate</t>
  </si>
  <si>
    <t>Annual under-5 deaths averted per 100,000 people covered, adjusted</t>
  </si>
  <si>
    <t>Moral value per under-5 death averted</t>
  </si>
  <si>
    <t>Units of value per 100,000 people covered</t>
  </si>
  <si>
    <t>Over-5 deaths averted</t>
  </si>
  <si>
    <t>Percent of population that is over 5, Kenya 2019</t>
  </si>
  <si>
    <t>Annual all-cause mortality in over-5s, Kenya 2019</t>
  </si>
  <si>
    <t>Over-5 mortality scaling factor</t>
  </si>
  <si>
    <t>Internal validity adjustment, over-5 mortality</t>
  </si>
  <si>
    <t>Plausibility cap adjustment</t>
  </si>
  <si>
    <t>Annual over-5 deaths averted per 100,000 people covered, adjusted</t>
  </si>
  <si>
    <t>Implied reduction in over-5 all-cause mortality, for illustration only</t>
  </si>
  <si>
    <t>Moral value per over-5 death averted</t>
  </si>
  <si>
    <t>Units of value per 100,000 covered</t>
  </si>
  <si>
    <t>Morbidity</t>
  </si>
  <si>
    <t>Annual YLDs attributed to enteric infections per 100,000, Kenya 2019</t>
  </si>
  <si>
    <t>Relative risk of diarrhea incidence/prevalence from in-line chlorination</t>
  </si>
  <si>
    <t>Internal validity adjustment</t>
  </si>
  <si>
    <t>Implied reduction in morbidity</t>
  </si>
  <si>
    <t>Annual YLDs averted per 100,000 people covered, adjusted</t>
  </si>
  <si>
    <t>Moral value per YLD averted</t>
  </si>
  <si>
    <t>Development effects</t>
  </si>
  <si>
    <t>Units of value for development effects per treatment-year from seasonal malaria chemoprevention</t>
  </si>
  <si>
    <t>Development effects of in-line chlorination as a percentage of seasonal malaria chemoprevention</t>
  </si>
  <si>
    <t>Percent of population that is 5-14, Kenya 2019</t>
  </si>
  <si>
    <t>YLD rate attributed to enteric infections in under-5s, Kenya 2019</t>
  </si>
  <si>
    <t>YLD rate attributed to enteric infections in 5-14s, Kenya 2019</t>
  </si>
  <si>
    <t>Per capita burden of enteric infection morbidity in 5-14s as a percentage of under-5 morbidity</t>
  </si>
  <si>
    <t>Annual units of value per 100,000 covered</t>
  </si>
  <si>
    <t>Adjusted annual units of value per 100,000 covered</t>
  </si>
  <si>
    <t>Medical costs averted</t>
  </si>
  <si>
    <t>Baseline annual diarrhea incidence per under-5 child</t>
  </si>
  <si>
    <t>Morbidity reduction</t>
  </si>
  <si>
    <t>Averted diarrhea cases per under-five child per year</t>
  </si>
  <si>
    <t>Annual cost of diarrhea illness averted, per under-5</t>
  </si>
  <si>
    <t>Percentage of the population that is under 5, 2019</t>
  </si>
  <si>
    <t>Annual cost of diarrhea illness averted, per person served</t>
  </si>
  <si>
    <t>Non-diarrheal illness averted multiplier</t>
  </si>
  <si>
    <t>Total annual cost of illness averted, per person served</t>
  </si>
  <si>
    <t>Internal validity adjustment for medical costs averted</t>
  </si>
  <si>
    <t>External validity adjustment for medical costs averted</t>
  </si>
  <si>
    <t>Adjusted total annual cost of illness averted, per person served</t>
  </si>
  <si>
    <t>Average consumption per capita, national average</t>
  </si>
  <si>
    <t>Per capita increase in ln(consumption) resulting from intervention</t>
  </si>
  <si>
    <t>Value assigned to doubling consumption for one person for one year</t>
  </si>
  <si>
    <t>Value assigned to increasing ln(consumption) by one unit for one person for one year</t>
  </si>
  <si>
    <t>Units of value from medical costs averted per person, per year</t>
  </si>
  <si>
    <t>Costs</t>
  </si>
  <si>
    <t>Annual cost per person served</t>
  </si>
  <si>
    <t>Results</t>
  </si>
  <si>
    <t>Units of value per dollar donated</t>
  </si>
  <si>
    <t>Total units of value per $10,000 donated</t>
  </si>
  <si>
    <t>Units of value per $10,000 donated, GiveDirectly</t>
  </si>
  <si>
    <t>ILC vs. cash</t>
  </si>
  <si>
    <t>Contribution of each outcome to overall cost-effectiveness</t>
  </si>
  <si>
    <t>Percent of cost-effectiveness coming from under-5 mortality reduction</t>
  </si>
  <si>
    <t>Percent of cost-effectiveness coming from over-5 mortality reduction</t>
  </si>
  <si>
    <t>Percent of cost-effectiveness coming from morbidity reduction</t>
  </si>
  <si>
    <t>Percent of cost-effectiveness coming from development effects</t>
  </si>
  <si>
    <t>Percent of cost-effectiveness coming from medical costs averted</t>
  </si>
  <si>
    <t>Note: This does not include leverage and funging adjustments.</t>
  </si>
  <si>
    <t>Percent of population that is under 5, 2019</t>
  </si>
  <si>
    <t>Annual all-cause mortality in under-5s, DSW counties</t>
  </si>
  <si>
    <t>Percent of population that is over 5, 2019</t>
  </si>
  <si>
    <t>Annual all-cause mortality in over-5s, 2019</t>
  </si>
  <si>
    <t>Annual YLDs attributed to enteric infections per 100,000, 2019</t>
  </si>
  <si>
    <t xml:space="preserve">Relative risk reduction for diarrhea episodes </t>
  </si>
  <si>
    <t>Percent of population that is 5-14, 2019</t>
  </si>
  <si>
    <t>YLD rate attributed to enteric infections in under-5s, 2019</t>
  </si>
  <si>
    <t>YLD rate attributed to enteric infections in 5-14s, 2019</t>
  </si>
  <si>
    <t>Adjustment for lower than average consumption in DSW beneficiaries</t>
  </si>
  <si>
    <t>DSW beneficiary annual consumption per capita, rough estimate</t>
  </si>
  <si>
    <t>Annual cost per under-5 child served</t>
  </si>
  <si>
    <t>DSW vs. cash before adjustments</t>
  </si>
  <si>
    <t xml:space="preserve">Downside adjustments </t>
  </si>
  <si>
    <t>Risk of wastage</t>
  </si>
  <si>
    <t>Double treatment</t>
  </si>
  <si>
    <t>Ineffective goods</t>
  </si>
  <si>
    <t>Goods purchased and left in storage until they expire / Cash doesn't reach recipients or is taken back from them inappropriately</t>
  </si>
  <si>
    <t>Total adjustment for risk of wastage</t>
  </si>
  <si>
    <t>Quality of monitoring and evaluation</t>
  </si>
  <si>
    <t>Unrepresentative monitoring results</t>
  </si>
  <si>
    <t>False monitoring results</t>
  </si>
  <si>
    <t>Total adjustment for quality of monitoring and evaluation</t>
  </si>
  <si>
    <t>Confidence in funds being used for intended purpose</t>
  </si>
  <si>
    <t>Change of priorities</t>
  </si>
  <si>
    <t>Non-funding bottlenecks</t>
  </si>
  <si>
    <t>Within-org fungibility</t>
  </si>
  <si>
    <t>Total adjustment for confidence in funds being used for intended purpose</t>
  </si>
  <si>
    <t>Total downside adjustment factor</t>
  </si>
  <si>
    <t>Inclusion/exclusion</t>
  </si>
  <si>
    <t>Adjustments for excluded effects</t>
  </si>
  <si>
    <t xml:space="preserve">Treatment costs averted </t>
  </si>
  <si>
    <t>Spillover effects on neighbouring communities</t>
  </si>
  <si>
    <t>Total adjustment factor for excluded effects</t>
  </si>
  <si>
    <t>Total units of value after adjustments for downside adjustments and excluded effects</t>
  </si>
  <si>
    <t>Leverage / Funging</t>
  </si>
  <si>
    <t>Government costs</t>
  </si>
  <si>
    <t>Upstream / downstream expenditure</t>
  </si>
  <si>
    <t xml:space="preserve">How much of government spending is upstream of IRC </t>
  </si>
  <si>
    <t xml:space="preserve">Expenditure causally upstream of our donation - GW </t>
  </si>
  <si>
    <t>Expenditure causally upstream of our donation - other donors</t>
  </si>
  <si>
    <t>Expenditure causally downstream of our donation</t>
  </si>
  <si>
    <t>What would happen in absence of DSW's funding?</t>
  </si>
  <si>
    <t>Government costs would replace DSW's costs</t>
  </si>
  <si>
    <t>Other philanthropic actors would replace DSW's costs</t>
  </si>
  <si>
    <t>Other actors' upstream costs would stay the same (downstream costs would shrink in proportion to the total size of the program)</t>
  </si>
  <si>
    <t xml:space="preserve"> </t>
  </si>
  <si>
    <t>The program would not exist</t>
  </si>
  <si>
    <t>What fraction of the program would still happen in absence of DSW's funding? (by scenario)</t>
  </si>
  <si>
    <t>Overall</t>
  </si>
  <si>
    <t>Counterfactual value of spending from other actors (units of value per dollar)</t>
  </si>
  <si>
    <t>Other water quality philanthropic funders</t>
  </si>
  <si>
    <t>Units of value created in absence of DSW's spending (by scenario)</t>
  </si>
  <si>
    <t>Units of value attributed to 10K of DSW's spending</t>
  </si>
  <si>
    <t>DSW vs. cash</t>
  </si>
  <si>
    <t>How much of government spending is upstream of DSW</t>
  </si>
  <si>
    <t>Under-5 mortality</t>
  </si>
  <si>
    <r>
      <rPr/>
      <t xml:space="preserve">See this document for an explanation of how we selected data for these estimates. </t>
    </r>
    <r>
      <rPr>
        <color rgb="FF1155CC"/>
        <u/>
      </rPr>
      <t>https://docs.google.com/document/d/1Y72rwA9ClqXF0e47xGY4xeilAT_1645wK7PXq9V6Vf4/edit?usp=sharing</t>
    </r>
  </si>
  <si>
    <t>Kenya DSW Counties</t>
  </si>
  <si>
    <t>Children &lt;5 per household</t>
  </si>
  <si>
    <t>Households per dispenser</t>
  </si>
  <si>
    <t># of dispensers</t>
  </si>
  <si>
    <t>Children &lt;5 served</t>
  </si>
  <si>
    <t>Under-5 mortality rate (GBD)</t>
  </si>
  <si>
    <t>Busia</t>
  </si>
  <si>
    <t>Siaya</t>
  </si>
  <si>
    <t>Homa Bay</t>
  </si>
  <si>
    <t>Migori</t>
  </si>
  <si>
    <t>Vihiga</t>
  </si>
  <si>
    <t>Kakamega</t>
  </si>
  <si>
    <t>Bungoma</t>
  </si>
  <si>
    <t>Uasin Gishu</t>
  </si>
  <si>
    <t>Trans Nzoia</t>
  </si>
  <si>
    <t>Population-weighted average</t>
  </si>
  <si>
    <t>Annualized rate</t>
  </si>
  <si>
    <t>Uganda DSW Districts</t>
  </si>
  <si>
    <t>Budaka</t>
  </si>
  <si>
    <t>Butaleja</t>
  </si>
  <si>
    <t>Butebo</t>
  </si>
  <si>
    <t>Kibuku</t>
  </si>
  <si>
    <t>Mbale</t>
  </si>
  <si>
    <t>Manafwa</t>
  </si>
  <si>
    <t>Namisindwa</t>
  </si>
  <si>
    <t>Namutumba</t>
  </si>
  <si>
    <t>Pallisa</t>
  </si>
  <si>
    <t>Sironko</t>
  </si>
  <si>
    <t>Tororo</t>
  </si>
  <si>
    <t>Malawi DSW Districts</t>
  </si>
  <si>
    <t>Under-5 mortality rate</t>
  </si>
  <si>
    <t>Zomba</t>
  </si>
  <si>
    <t>Over-5 mortality</t>
  </si>
  <si>
    <t>Annual mortality rate, 2019, age 5-14</t>
  </si>
  <si>
    <t>Annual mortality rate, 2019, age 15-49</t>
  </si>
  <si>
    <t>Annual mortality rate, 2019, age 50-69</t>
  </si>
  <si>
    <t>Annual mortality rate, 2019, age 70+</t>
  </si>
  <si>
    <t>Total population 5-14 in 2019</t>
  </si>
  <si>
    <t>Total population 15-49 in 2019</t>
  </si>
  <si>
    <t>Total population 50-69 in 2019</t>
  </si>
  <si>
    <t>Total population 70+ in 2019</t>
  </si>
  <si>
    <t>Total population over 5</t>
  </si>
  <si>
    <t>Annual mortality rate, 2019, over 5 (per 100k)</t>
  </si>
  <si>
    <t>Percent</t>
  </si>
  <si>
    <t>Source for annual mortality</t>
  </si>
  <si>
    <t>http://ghdx.healthdata.org/gbd-results-tool?params=gbd-api-2019-permalink/8fc83ccd3f9357ffa4925efe478e5e60</t>
  </si>
  <si>
    <t>Source for population</t>
  </si>
  <si>
    <t>https://docs.google.com/spreadsheets/d/1MsFXeSfBx1tA2_hLikyeNRvy2YKEtM53XyOfxw_XtVg/edit#gid=0</t>
  </si>
  <si>
    <t>We began with all 13 trials of water quality interventions reporting under-5 all-cause mortality included in the Kremer et al. meta-analysis.  We excluded trials in which the intervention did not involve chlorination.  We excluded trials with follow-up of less than one year, which excludes shorter trials that tend to be less robust and may have greater publication bias.  This also limits excess uncertainty that is intruduced by pooling trials with large variation in follow-up length.  We excluded Haushofer et al. for two reasons. First, it is a follow-up of the Null 2018 RCT, so it does not meet the independence assumption underlying this meta-analysis method. Second, we find the effect size implausibly large (including the bottom of the 95% confidence interval) given the modest intervention effect on chlorination rates (see our accompanying water quality report for more information).  We then generated weights based on inverse variance (a common meta-analysis method that minimizes variance of the mean), and similarity to simple chlorination interventions such as Dispensers for Safe Water and in-line chlorination, and took the weighted mean of the effect size of each trial on mortality. The pooling method was designed with help from statistics consultant Megan Higgs. Unpublished mortality data for Reller 2003 and Boisson 2013 are included with permission from the authors.</t>
  </si>
  <si>
    <t>Trial</t>
  </si>
  <si>
    <t>Intervention type</t>
  </si>
  <si>
    <t>Addl interventions?</t>
  </si>
  <si>
    <t>Type</t>
  </si>
  <si>
    <t>Control n</t>
  </si>
  <si>
    <t>Control deaths</t>
  </si>
  <si>
    <t>Control nondeaths</t>
  </si>
  <si>
    <t>Treatment n</t>
  </si>
  <si>
    <t>Treatment deaths</t>
  </si>
  <si>
    <t>Treatment nondeaths</t>
  </si>
  <si>
    <t>Mortality RR</t>
  </si>
  <si>
    <t>ln(Mortality RR)</t>
  </si>
  <si>
    <t>SE of ln(RR)</t>
  </si>
  <si>
    <t>1/variance weight</t>
  </si>
  <si>
    <t>Similarity weight</t>
  </si>
  <si>
    <t>Total weight</t>
  </si>
  <si>
    <t>% weight</t>
  </si>
  <si>
    <t>Reller 2003</t>
  </si>
  <si>
    <t>Chlorination</t>
  </si>
  <si>
    <t>yes</t>
  </si>
  <si>
    <t>Safe storage vessel</t>
  </si>
  <si>
    <t>Boisson 2013</t>
  </si>
  <si>
    <t>no</t>
  </si>
  <si>
    <t>Luby 2018</t>
  </si>
  <si>
    <t>Null 2018</t>
  </si>
  <si>
    <t>Humphrey 2019</t>
  </si>
  <si>
    <t>Handwashing, infant play space and education to prevent geophagia, education on hygienic prep of complementary food, education on safe disposal of feces</t>
  </si>
  <si>
    <t>Pooled ln(RR)</t>
  </si>
  <si>
    <t>Pooled relative risk</t>
  </si>
  <si>
    <t>95% CI lower bound</t>
  </si>
  <si>
    <t>95% CI upper bound</t>
  </si>
  <si>
    <t>Percent of total age 5-14 mortality attributed to enteric infections in 2019</t>
  </si>
  <si>
    <t>Percent of total age 15-49 mortality attributed to enteric infections in 2019</t>
  </si>
  <si>
    <t>Percent of total age 50-69 mortality attributed to enteric infections in 2019</t>
  </si>
  <si>
    <t>Percent of total age 70+ mortality attributed to enteric infections in 2019</t>
  </si>
  <si>
    <t>Total mortality 5-14 in 2019</t>
  </si>
  <si>
    <t>Total mortality 15-49 in 2019</t>
  </si>
  <si>
    <t>Total mortality 50-69 in 2019</t>
  </si>
  <si>
    <t>Total mortality 70+ in 2019</t>
  </si>
  <si>
    <t>Total mortality over 5</t>
  </si>
  <si>
    <t>Percent of total under-5 mortality attributed to enteric infections in 2019</t>
  </si>
  <si>
    <t>Percent of total over-5 mortality attributed to enteric infections in 2019</t>
  </si>
  <si>
    <t>Scaling factor</t>
  </si>
  <si>
    <t>Source for mortality attributed to enteric infections</t>
  </si>
  <si>
    <t>http://ghdx.healthdata.org/gbd-results-tool?params=gbd-api-2019-permalink/523dbc2310120ceac6bb14926f3e0802</t>
  </si>
  <si>
    <t>Source for total under-5 mortality attributed to enteric infections</t>
  </si>
  <si>
    <t>Relative risk of diarrhea with chlorination in randomized controlled trials</t>
  </si>
  <si>
    <t>Diarrhea relative risk with chlorination</t>
  </si>
  <si>
    <t>Effect size in blinded vs. unblinded trials with objective outcome (mortality)</t>
  </si>
  <si>
    <t>Effect size in blinded vs. unblinded trials with subjective outcome</t>
  </si>
  <si>
    <t>Adjustment for self-report bias</t>
  </si>
  <si>
    <t>Diarrhea RR adjusted for self-report bias</t>
  </si>
  <si>
    <t>Mortality internal validity adjustment</t>
  </si>
  <si>
    <t>Morbidity internal validity adjustment</t>
  </si>
  <si>
    <t>Adjustment for bundled interventions</t>
  </si>
  <si>
    <t>Internal validity adjustment for morbidity</t>
  </si>
  <si>
    <t>Adjustment for smaller Mills-Reincke effect in over-5s</t>
  </si>
  <si>
    <t>Internal validity adjustment for under-5 mortality</t>
  </si>
  <si>
    <t>Internal validity adjustment for over-5 mortality</t>
  </si>
  <si>
    <t>Plausibility limit</t>
  </si>
  <si>
    <t>Maximum plausible under-5 mortality effect size, ILC Kenya</t>
  </si>
  <si>
    <t>Maximum plausible under-5 mortality effect size, DSW Kenya</t>
  </si>
  <si>
    <t>Maximum plausible under-5 mortality effect size, DSW Uganda</t>
  </si>
  <si>
    <t>Maximum plausible under-5 mortality effect size, DSW Malawi</t>
  </si>
  <si>
    <t>Mills-Reincke adjustment</t>
  </si>
  <si>
    <t>Percent of all-cause mortality caused by enteric infections, Kenya 2019</t>
  </si>
  <si>
    <t>Reduction in diarrhea morbidity caused by in-line chlorination in Kenya</t>
  </si>
  <si>
    <t>Reduction in all-cause mortality implied by enteric infection mortality data, ILC Kenya</t>
  </si>
  <si>
    <t>Reduction in all-cause mortality implied by our CEA, ILC Kenya</t>
  </si>
  <si>
    <t>Percent of all-cause mortality reduction not directly attributable to enteric mortality reduction</t>
  </si>
  <si>
    <t>All-cause mortality reduction is X fold greater than expected</t>
  </si>
  <si>
    <t>Estimated non-enteric deaths averted per enteric death averted, for illustration only</t>
  </si>
  <si>
    <t>Impact of Mills-Reincke effect in over-5s relative to under-5s</t>
  </si>
  <si>
    <t>Bundled intervention adjustment</t>
  </si>
  <si>
    <t>Water treatment</t>
  </si>
  <si>
    <t>Additional interventions?</t>
  </si>
  <si>
    <t>Proportion of intervention groups with relevant bundled treatments</t>
  </si>
  <si>
    <t>Contribution of additional intervention to effect size in groups that include it</t>
  </si>
  <si>
    <t>Overall contribution of additional mechanism to effect size</t>
  </si>
  <si>
    <t>Original mortality RR</t>
  </si>
  <si>
    <t>Adjusted mortality RR</t>
  </si>
  <si>
    <t>Study weight</t>
  </si>
  <si>
    <t>Pooled effect size estimate, adjusted for bundled treatments</t>
  </si>
  <si>
    <t>Pooled effect size, original</t>
  </si>
  <si>
    <t>Adjustment for bundled treatments</t>
  </si>
  <si>
    <t>Mortality</t>
  </si>
  <si>
    <t>ILC Kenya</t>
  </si>
  <si>
    <t>Adjustment for proportion of deaths linked to water quality in Kremer et al. vs Kenya</t>
  </si>
  <si>
    <t>Adherence adjustment</t>
  </si>
  <si>
    <t>DSW Kenya</t>
  </si>
  <si>
    <t>DSW Uganda</t>
  </si>
  <si>
    <t>Adjustment for proportion of deaths linked to water quality in Kremer et al. vs Uganda</t>
  </si>
  <si>
    <t>DSW Malawi</t>
  </si>
  <si>
    <t>Adjustment for proportion of deaths linked to water quality in Kremer et al. vs Malawi</t>
  </si>
  <si>
    <t>Adjustment for less intensive implementation in charity context vs. RCT</t>
  </si>
  <si>
    <t>Adjustment for proportion of deaths linked to water quality</t>
  </si>
  <si>
    <t>Percent of total mortality attributed to enteric infections in 2019</t>
  </si>
  <si>
    <t>Adjustment for proportion of deaths linked to water quality in Kremer et al. vs beneficiaries</t>
  </si>
  <si>
    <t>Calculations for adjustment by total deaths attributed to enteric infections</t>
  </si>
  <si>
    <t>Location</t>
  </si>
  <si>
    <t>Year conducted</t>
  </si>
  <si>
    <t>% deaths attributed to enteric infections (GBD)</t>
  </si>
  <si>
    <t>Weight in meta-analysis</t>
  </si>
  <si>
    <t>Guatemala</t>
  </si>
  <si>
    <t>2001-2002</t>
  </si>
  <si>
    <t>India</t>
  </si>
  <si>
    <t>2010-2011</t>
  </si>
  <si>
    <t>Bangladesh</t>
  </si>
  <si>
    <t>2013-2014</t>
  </si>
  <si>
    <t>2014-2016</t>
  </si>
  <si>
    <t>Zimbabwe</t>
  </si>
  <si>
    <t>2013-2016</t>
  </si>
  <si>
    <t>Weighted average</t>
  </si>
  <si>
    <t>GBD raw data</t>
  </si>
  <si>
    <t>Under 5</t>
  </si>
  <si>
    <t>All Ages</t>
  </si>
  <si>
    <t>YLDs (Years Lived with Disability)</t>
  </si>
  <si>
    <t>Pakistan</t>
  </si>
  <si>
    <t>Rwanda</t>
  </si>
  <si>
    <t>Uzbekistan</t>
  </si>
  <si>
    <t>Zambia</t>
  </si>
  <si>
    <t>Adherence in trials underlying Kremer et al. meta-analysis vs. DSW and ILC</t>
  </si>
  <si>
    <t>Weighted average adherence in Kremer et al. meta-analysis trials</t>
  </si>
  <si>
    <t>DSW adherence adjustment</t>
  </si>
  <si>
    <t>% of households whose water tests positive for free chlorine</t>
  </si>
  <si>
    <t>% of households that self-report using dispensers</t>
  </si>
  <si>
    <t>% of households that self-report using chlorination methods other than dispensers</t>
  </si>
  <si>
    <t>% of households that self-report chlorinating water</t>
  </si>
  <si>
    <t>% of households whose water tests positive for total chlorine</t>
  </si>
  <si>
    <t>% of chlorinated water that was chlorinated via dispensers use</t>
  </si>
  <si>
    <t>% of households using a water point with a dispenser that use dispensers</t>
  </si>
  <si>
    <t>% of households that would treat water in the absence of dispensers</t>
  </si>
  <si>
    <t>% of households that self-report non-dispenser water treatment</t>
  </si>
  <si>
    <t>% of households that use non-dispenser water treatment, adjusted for self-report bias</t>
  </si>
  <si>
    <t>Increase in water treatment as a result of dispensers, percentage points</t>
  </si>
  <si>
    <t>Adherence adjustment for DSW</t>
  </si>
  <si>
    <t>ILC adherence adjustment</t>
  </si>
  <si>
    <t>Adherence in Pickering et al. 2019 (free chlorine rate of samples)</t>
  </si>
  <si>
    <t>Increase in water treatment as a result of ILC</t>
  </si>
  <si>
    <t>Adjustment for lower ILC adherence with higher Cl level</t>
  </si>
  <si>
    <t>Adherence adjustment for ILC</t>
  </si>
  <si>
    <t>Calculations for counterfactual water treatment in DSW and ILC</t>
  </si>
  <si>
    <t>Self-reported water treatment rate, all methods, DSW baseline</t>
  </si>
  <si>
    <t>Adjusted counterfactual water treatment rate, all methods, DSW</t>
  </si>
  <si>
    <t>Self-reported water treatment rate, rural, all "appropriate" methods, DHS</t>
  </si>
  <si>
    <t>% of people treating water, Uganda mean</t>
  </si>
  <si>
    <t>% of people treating water, Uganda region tentatively prioritized by DSW</t>
  </si>
  <si>
    <t>Adjustment for national DHS data overestimating water treatment rates in DSW regions</t>
  </si>
  <si>
    <t>Adjusted counterfactual water treatment rate, all "appropriate" methods, DHS</t>
  </si>
  <si>
    <t>Weight assigned to DSW estimate</t>
  </si>
  <si>
    <t>Weight assigned to DHS estimate</t>
  </si>
  <si>
    <t>Adjusted counterfactual water treatment rate, weighted average of DSW and DHS</t>
  </si>
  <si>
    <t>Water treatment coverage in Kremer et al. trials</t>
  </si>
  <si>
    <t>Intervention coverage (minus counterfactual water treatment coverage)</t>
  </si>
  <si>
    <t>Adjusted study weight</t>
  </si>
  <si>
    <t>Weighted average adherence</t>
  </si>
  <si>
    <t>Kenya under-5 annual diarrhea incidence</t>
  </si>
  <si>
    <t>U5 diarrhea prevalence</t>
  </si>
  <si>
    <t>U5 diarrhea annual incidence</t>
  </si>
  <si>
    <t>Adjusted for time trend</t>
  </si>
  <si>
    <t>Uganda under-5 annual diarrhea incidence</t>
  </si>
  <si>
    <t>Corresponding region</t>
  </si>
  <si>
    <t>Bukedi</t>
  </si>
  <si>
    <t>Bugisu</t>
  </si>
  <si>
    <t>Busoga</t>
  </si>
  <si>
    <t>Malawi under-5 annual diarrhea incidence</t>
  </si>
  <si>
    <t>Malawi DSW health clusters</t>
  </si>
  <si>
    <t>Chingale</t>
  </si>
  <si>
    <t>Southern</t>
  </si>
  <si>
    <t>Zomba City</t>
  </si>
  <si>
    <t>Domasi</t>
  </si>
  <si>
    <t>Likangala</t>
  </si>
  <si>
    <t>Matawale</t>
  </si>
  <si>
    <t>Mayaka</t>
  </si>
  <si>
    <t>Thondwe</t>
  </si>
  <si>
    <t>Diarrhea case duration</t>
  </si>
  <si>
    <t xml:space="preserve">Diarrhea case duration data from Lamberti et al. 2012 </t>
  </si>
  <si>
    <t>% of cases</t>
  </si>
  <si>
    <t>Duration (days)</t>
  </si>
  <si>
    <t>Mean duration (days)</t>
  </si>
  <si>
    <t>Severity</t>
  </si>
  <si>
    <t>Mild</t>
  </si>
  <si>
    <t>Moderate</t>
  </si>
  <si>
    <t>Severe</t>
  </si>
  <si>
    <t>Adjustment for time trend in diarrhea incidence</t>
  </si>
  <si>
    <t>Slope of change in diarrhea incidence in sub-Saharan Africa, 1999-2019</t>
  </si>
  <si>
    <t>Intercept of change in diarrhea incidence in sub-Saharan Africa, 1999-2019</t>
  </si>
  <si>
    <t>Adjustment for diarrhea incidence change, 2014-2019</t>
  </si>
  <si>
    <t>Adjustment for diarrhea incidence change, 2016-2019</t>
  </si>
  <si>
    <t>Adjustment for diarrhea incidence change, 2015.5-2019</t>
  </si>
  <si>
    <t>Cost of diarrhea illness averted</t>
  </si>
  <si>
    <t>Kenya ILC</t>
  </si>
  <si>
    <t>Kenya DSW</t>
  </si>
  <si>
    <t>Uganda DSW</t>
  </si>
  <si>
    <t>Malawi DSW</t>
  </si>
  <si>
    <t>% of children under 5 with diarrhea who seek care</t>
  </si>
  <si>
    <t>% of total diarrhea cases that receive inpatient care</t>
  </si>
  <si>
    <t>% of total diarrhea cases that receive outpatient care</t>
  </si>
  <si>
    <t>Cost per inpatient episode (direct + indirect)</t>
  </si>
  <si>
    <t>Cost per outpatient episode (direct + indirect)</t>
  </si>
  <si>
    <t>Annual cost of diarrhea illness, per under 5</t>
  </si>
  <si>
    <t>Publication</t>
  </si>
  <si>
    <t>Percent of under-5 diarrhea cases that are hospitalized</t>
  </si>
  <si>
    <t>Burton et al. 2011</t>
  </si>
  <si>
    <t>Rural Kenya</t>
  </si>
  <si>
    <t>Page et al. 2011</t>
  </si>
  <si>
    <t>Rural Niger</t>
  </si>
  <si>
    <t>Breiman et al. 2011</t>
  </si>
  <si>
    <t>Urban Kenya</t>
  </si>
  <si>
    <t>Omore et al. 2013</t>
  </si>
  <si>
    <t>Western Kenya</t>
  </si>
  <si>
    <t>Mean</t>
  </si>
  <si>
    <t>GBD diarrhea incidence data for time trend</t>
  </si>
  <si>
    <t>Incidence</t>
  </si>
  <si>
    <t>Diarrheal diseases</t>
  </si>
  <si>
    <t>Rate</t>
  </si>
  <si>
    <t>Items considered for inclusion</t>
  </si>
  <si>
    <t>Included?</t>
  </si>
  <si>
    <t>Rough best guess of effect size</t>
  </si>
  <si>
    <t>Can it be objectively justified?</t>
  </si>
  <si>
    <t>Ease of modelling</t>
  </si>
  <si>
    <t>Consistency</t>
  </si>
  <si>
    <t>Notes</t>
  </si>
  <si>
    <t>Color code</t>
  </si>
  <si>
    <t>&lt;15% = very low</t>
  </si>
  <si>
    <t>0 = Not really</t>
  </si>
  <si>
    <t>0 = It is impossible to model the effect with any reasonable degree of accuracy</t>
  </si>
  <si>
    <t>15-25% = medium</t>
  </si>
  <si>
    <t>1 = Quantifying the effect is a guess - but some answers are more likely than others; the evidence relies on non-experimental studies; or the evidence is very contradictory.</t>
  </si>
  <si>
    <t>1 = It's unclear how we would model this effect, and it would add a lot of complexity to the model</t>
  </si>
  <si>
    <t>1 = The effect would be equally relevant to other CEAs, and has not been included</t>
  </si>
  <si>
    <t>25-50% = high</t>
  </si>
  <si>
    <t>2 = Quantifying the effect requires an extrapolation from direct evidence, the evidence is mixed, or the evidence relies on quasi-experimental studies.</t>
  </si>
  <si>
    <t>2 = The methodology is clear, but adds substantial complexity to the model</t>
  </si>
  <si>
    <t>2 = The effect is included in other CEAs, but is less (half as) relevant here OR the effect is not included in other CEAs, but is more (twice as) relevant here</t>
  </si>
  <si>
    <t>&gt;50% = very high</t>
  </si>
  <si>
    <t>3 = There is strong direct evidence of this effect (e.g. an RCT in a similar setting); or the effect is obvious</t>
  </si>
  <si>
    <t>3 = The methodology is clear and simple</t>
  </si>
  <si>
    <t>3 = The effect is included in other CEAs</t>
  </si>
  <si>
    <t>[Intervention name]</t>
  </si>
  <si>
    <t>[Item — e.g. "Child Mortaliy"]</t>
  </si>
  <si>
    <t>["Included" or "Excluded"]</t>
  </si>
  <si>
    <t>[E.g. "Main effect of intervention; Drawing on a meta-analysis of RCTs"]</t>
  </si>
  <si>
    <t>Percent reduction in under-5 all-cause mortality</t>
  </si>
  <si>
    <t>Percent reduction in over-5 all-cause mortality</t>
  </si>
  <si>
    <t>Percent reduction in morbidity</t>
  </si>
  <si>
    <t>Development effects -  annual units of value per 100,000 covered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</si>
</sst>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0.000000000"/>
    <numFmt numFmtId="166" formatCode="0.0"/>
    <numFmt numFmtId="167" formatCode="0.000"/>
    <numFmt numFmtId="168" formatCode="0.0%"/>
    <numFmt numFmtId="169" formatCode="&quot;$&quot;#,##0.00"/>
    <numFmt numFmtId="170" formatCode="&quot;$&quot;#,##0"/>
    <numFmt numFmtId="171" formatCode="0.0000"/>
    <numFmt numFmtId="172" formatCode="#,##0.0000"/>
    <numFmt numFmtId="173" formatCode="0.00000"/>
    <numFmt numFmtId="174" formatCode="#,##0.000"/>
  </numFmts>
  <fonts count="26">
    <font>
      <sz val="11.0"/>
      <color rgb="FF000000"/>
      <name val="Calibri"/>
    </font>
    <font>
      <b/>
      <sz val="14.0"/>
      <color rgb="FF000000"/>
      <name val="Calibri"/>
    </font>
    <font>
      <sz val="11.0"/>
      <name val="Calibri"/>
    </font>
    <font>
      <u/>
      <sz val="11.0"/>
      <color rgb="FF0563C1"/>
      <name val="Calibri"/>
    </font>
    <font>
      <b/>
    </font>
    <font/>
    <font>
      <b/>
      <sz val="11.0"/>
      <color rgb="FF000000"/>
      <name val="Calibri"/>
    </font>
    <font>
      <i/>
      <sz val="14.0"/>
      <color rgb="FF000000"/>
      <name val="Calibri"/>
    </font>
    <font>
      <b/>
      <sz val="11.0"/>
      <name val="Calibri"/>
    </font>
    <font>
      <sz val="11.0"/>
      <color rgb="FF274E13"/>
      <name val="Calibri"/>
    </font>
    <font>
      <u/>
      <sz val="11.0"/>
      <color rgb="FF1155CC"/>
      <name val="Calibri"/>
    </font>
    <font>
      <name val="Calibri"/>
    </font>
    <font>
      <b/>
      <sz val="12.0"/>
      <name val="Calibri"/>
    </font>
    <font>
      <b/>
      <sz val="14.0"/>
    </font>
    <font>
      <b/>
      <sz val="14.0"/>
      <name val="Calibri"/>
    </font>
    <font>
      <sz val="11.0"/>
      <color rgb="FF38761D"/>
      <name val="Calibri"/>
    </font>
    <font>
      <i/>
      <sz val="11.0"/>
      <name val="Calibri"/>
    </font>
    <font>
      <u/>
      <color rgb="FF0000FF"/>
    </font>
    <font>
      <u/>
      <color rgb="FF1155CC"/>
    </font>
    <font>
      <u/>
      <color rgb="FF0000FF"/>
    </font>
    <font>
      <u/>
      <color rgb="FF0000FF"/>
    </font>
    <font>
      <u/>
      <color rgb="FF0000FF"/>
    </font>
    <font>
      <sz val="9.0"/>
      <color rgb="FF454545"/>
      <name val="Verdana"/>
    </font>
    <font>
      <u/>
      <sz val="11.0"/>
      <color rgb="FF1155CC"/>
      <name val="Calibri"/>
    </font>
    <font>
      <name val="Arial"/>
    </font>
    <font>
      <sz val="14.0"/>
    </font>
  </fonts>
  <fills count="13">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rgb="FFD9EAD3"/>
        <bgColor rgb="FFD9EAD3"/>
      </patternFill>
    </fill>
    <fill>
      <patternFill patternType="solid">
        <fgColor rgb="FFDD7E6B"/>
        <bgColor rgb="FFDD7E6B"/>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s>
  <borders count="3">
    <border/>
    <border>
      <right/>
    </border>
    <border>
      <bottom style="thin">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0" numFmtId="0" xfId="0" applyAlignment="1" applyFont="1">
      <alignment shrinkToFit="0" wrapText="0"/>
    </xf>
    <xf borderId="0" fillId="3" fontId="1" numFmtId="0" xfId="0" applyAlignment="1" applyFill="1" applyFont="1">
      <alignment vertical="bottom"/>
    </xf>
    <xf borderId="0" fillId="2" fontId="2" numFmtId="0" xfId="0" applyAlignment="1" applyFont="1">
      <alignment vertical="bottom"/>
    </xf>
    <xf borderId="0" fillId="0" fontId="2" numFmtId="0" xfId="0" applyAlignment="1" applyFont="1">
      <alignment vertical="bottom"/>
    </xf>
    <xf borderId="0" fillId="2" fontId="0" numFmtId="0" xfId="0" applyAlignment="1" applyFont="1">
      <alignment readingOrder="0" vertical="bottom"/>
    </xf>
    <xf borderId="0" fillId="2" fontId="0" numFmtId="0" xfId="0" applyAlignment="1" applyFont="1">
      <alignment readingOrder="0" shrinkToFit="0" vertical="bottom" wrapText="1"/>
    </xf>
    <xf borderId="0" fillId="4" fontId="1" numFmtId="0" xfId="0" applyAlignment="1" applyFill="1" applyFont="1">
      <alignment readingOrder="0" vertical="bottom"/>
    </xf>
    <xf borderId="0" fillId="5" fontId="2" numFmtId="0" xfId="0" applyAlignment="1" applyFill="1" applyFont="1">
      <alignment readingOrder="0" vertical="bottom"/>
    </xf>
    <xf borderId="0" fillId="6" fontId="2" numFmtId="0" xfId="0" applyAlignment="1" applyFill="1" applyFont="1">
      <alignment readingOrder="0" shrinkToFit="0" vertical="bottom" wrapText="1"/>
    </xf>
    <xf borderId="0" fillId="4" fontId="1" numFmtId="0" xfId="0" applyAlignment="1" applyFont="1">
      <alignment vertical="bottom"/>
    </xf>
    <xf borderId="0" fillId="0" fontId="3" numFmtId="0" xfId="0" applyAlignment="1" applyFont="1">
      <alignment shrinkToFit="0" vertical="bottom" wrapText="1"/>
    </xf>
    <xf borderId="0" fillId="0" fontId="4" numFmtId="0" xfId="0" applyAlignment="1" applyFont="1">
      <alignment readingOrder="0"/>
    </xf>
    <xf borderId="0" fillId="0" fontId="5" numFmtId="0" xfId="0" applyAlignment="1" applyFont="1">
      <alignment readingOrder="0"/>
    </xf>
    <xf borderId="0" fillId="0" fontId="5" numFmtId="164" xfId="0" applyAlignment="1" applyFont="1" applyNumberFormat="1">
      <alignment readingOrder="0"/>
    </xf>
    <xf borderId="0" fillId="0" fontId="5" numFmtId="0" xfId="0" applyAlignment="1" applyFont="1">
      <alignment readingOrder="0" shrinkToFit="0" wrapText="1"/>
    </xf>
    <xf borderId="0" fillId="0" fontId="2" numFmtId="164" xfId="0" applyAlignment="1" applyFont="1" applyNumberFormat="1">
      <alignment horizontal="right" vertical="bottom"/>
    </xf>
    <xf borderId="0" fillId="0" fontId="2" numFmtId="0" xfId="0" applyAlignment="1" applyFont="1">
      <alignment horizontal="right" shrinkToFit="0" vertical="bottom" wrapText="1"/>
    </xf>
    <xf borderId="0" fillId="0" fontId="2" numFmtId="9" xfId="0" applyAlignment="1" applyFont="1" applyNumberFormat="1">
      <alignment horizontal="right" readingOrder="0" vertical="bottom"/>
    </xf>
    <xf borderId="0" fillId="0" fontId="2" numFmtId="164" xfId="0" applyAlignment="1" applyFont="1" applyNumberFormat="1">
      <alignment horizontal="right" readingOrder="0" vertical="bottom"/>
    </xf>
    <xf borderId="0" fillId="0" fontId="2" numFmtId="9" xfId="0" applyAlignment="1" applyFont="1" applyNumberFormat="1">
      <alignment horizontal="right" vertical="bottom"/>
    </xf>
    <xf borderId="0" fillId="0" fontId="5" numFmtId="164" xfId="0" applyFont="1" applyNumberFormat="1"/>
    <xf borderId="0" fillId="0" fontId="1" numFmtId="0" xfId="0" applyAlignment="1" applyFont="1">
      <alignment readingOrder="0" vertical="bottom"/>
    </xf>
    <xf borderId="0" fillId="0" fontId="6" numFmtId="0" xfId="0" applyAlignment="1" applyFont="1">
      <alignment horizontal="center" readingOrder="0"/>
    </xf>
    <xf borderId="0" fillId="0" fontId="6" numFmtId="165" xfId="0" applyAlignment="1" applyFont="1" applyNumberFormat="1">
      <alignment horizontal="center"/>
    </xf>
    <xf borderId="0" fillId="0" fontId="1" numFmtId="165" xfId="0" applyAlignment="1" applyFont="1" applyNumberFormat="1">
      <alignment horizontal="center" vertical="bottom"/>
    </xf>
    <xf borderId="0" fillId="0" fontId="1" numFmtId="0" xfId="0" applyAlignment="1" applyFont="1">
      <alignment horizontal="center"/>
    </xf>
    <xf borderId="0" fillId="0" fontId="1" numFmtId="0" xfId="0" applyAlignment="1" applyFont="1">
      <alignment horizontal="center" vertical="bottom"/>
    </xf>
    <xf borderId="0" fillId="0" fontId="7" numFmtId="0" xfId="0" applyAlignment="1" applyFont="1">
      <alignment vertical="bottom"/>
    </xf>
    <xf borderId="0" fillId="0" fontId="8" numFmtId="0" xfId="0" applyAlignment="1" applyFont="1">
      <alignmen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0" numFmtId="0" xfId="0" applyAlignment="1" applyFont="1">
      <alignment horizontal="left" readingOrder="0" shrinkToFit="0" vertical="center" wrapText="0"/>
    </xf>
    <xf borderId="0" fillId="0" fontId="9" numFmtId="1" xfId="0" applyAlignment="1" applyFont="1" applyNumberFormat="1">
      <alignment horizontal="right" readingOrder="0" vertical="bottom"/>
    </xf>
    <xf borderId="0" fillId="0" fontId="0" numFmtId="2" xfId="0" applyAlignment="1" applyFont="1" applyNumberFormat="1">
      <alignment horizontal="right" vertical="bottom"/>
    </xf>
    <xf borderId="0" fillId="0" fontId="2" numFmtId="2" xfId="0" applyAlignment="1" applyFont="1" applyNumberFormat="1">
      <alignment vertical="bottom"/>
    </xf>
    <xf borderId="0" fillId="0" fontId="0" numFmtId="166" xfId="0" applyAlignment="1" applyFont="1" applyNumberFormat="1">
      <alignment horizontal="right" vertical="bottom"/>
    </xf>
    <xf borderId="0" fillId="0" fontId="0" numFmtId="167" xfId="0" applyAlignment="1" applyFont="1" applyNumberFormat="1">
      <alignment horizontal="right" vertical="bottom"/>
    </xf>
    <xf borderId="0" fillId="0" fontId="0" numFmtId="1" xfId="0" applyAlignment="1" applyFont="1" applyNumberFormat="1">
      <alignment readingOrder="0" vertical="bottom"/>
    </xf>
    <xf borderId="0" fillId="0" fontId="0" numFmtId="1" xfId="0" applyAlignment="1" applyFont="1" applyNumberFormat="1">
      <alignment horizontal="right" vertical="bottom"/>
    </xf>
    <xf borderId="0" fillId="0" fontId="2" numFmtId="1" xfId="0" applyAlignment="1" applyFont="1" applyNumberFormat="1">
      <alignment vertical="bottom"/>
    </xf>
    <xf borderId="1" fillId="0" fontId="10" numFmtId="1" xfId="0" applyAlignment="1" applyBorder="1" applyFont="1" applyNumberFormat="1">
      <alignment shrinkToFit="0" vertical="bottom" wrapText="0"/>
    </xf>
    <xf borderId="0" fillId="0" fontId="0" numFmtId="1" xfId="0" applyAlignment="1" applyFont="1" applyNumberFormat="1">
      <alignment readingOrder="0" shrinkToFit="0" vertical="bottom" wrapText="0"/>
    </xf>
    <xf borderId="0" fillId="0" fontId="9" numFmtId="166" xfId="0" applyAlignment="1" applyFont="1" applyNumberFormat="1">
      <alignment horizontal="right" readingOrder="0" vertical="bottom"/>
    </xf>
    <xf borderId="0" fillId="0" fontId="2" numFmtId="1" xfId="0" applyAlignment="1" applyFont="1" applyNumberFormat="1">
      <alignment horizontal="right" vertical="bottom"/>
    </xf>
    <xf borderId="0" fillId="0" fontId="2" numFmtId="166" xfId="0" applyAlignment="1" applyFont="1" applyNumberFormat="1">
      <alignment horizontal="right" vertical="bottom"/>
    </xf>
    <xf borderId="0" fillId="0" fontId="11" numFmtId="0" xfId="0" applyAlignment="1" applyFont="1">
      <alignment vertical="bottom"/>
    </xf>
    <xf borderId="0" fillId="0" fontId="6" numFmtId="0" xfId="0" applyAlignment="1" applyFont="1">
      <alignment readingOrder="0" shrinkToFit="0" wrapText="0"/>
    </xf>
    <xf borderId="0" fillId="0" fontId="5" numFmtId="9" xfId="0" applyFont="1" applyNumberFormat="1"/>
    <xf borderId="0" fillId="0" fontId="5" numFmtId="10" xfId="0" applyFont="1" applyNumberFormat="1"/>
    <xf borderId="0" fillId="0" fontId="5" numFmtId="3" xfId="0" applyFont="1" applyNumberFormat="1"/>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0" xfId="0" applyAlignment="1" applyFont="1">
      <alignment readingOrder="0" shrinkToFit="0"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bottom" wrapText="0"/>
    </xf>
    <xf borderId="0" fillId="4" fontId="12" numFmtId="0" xfId="0" applyAlignment="1" applyFont="1">
      <alignment readingOrder="0" vertical="bottom"/>
    </xf>
    <xf borderId="0" fillId="4" fontId="11" numFmtId="0" xfId="0" applyAlignment="1" applyFont="1">
      <alignment vertical="bottom"/>
    </xf>
    <xf borderId="0" fillId="0" fontId="0" numFmtId="3" xfId="0" applyAlignment="1" applyFont="1" applyNumberFormat="1">
      <alignment horizontal="left" readingOrder="0" shrinkToFit="0" vertical="center" wrapText="0"/>
    </xf>
    <xf borderId="0" fillId="0" fontId="0" numFmtId="168" xfId="0" applyAlignment="1" applyFont="1" applyNumberFormat="1">
      <alignment horizontal="right" readingOrder="0" shrinkToFit="0" vertical="center" wrapText="0"/>
    </xf>
    <xf borderId="0" fillId="0" fontId="0" numFmtId="10" xfId="0" applyAlignment="1" applyFont="1" applyNumberFormat="1">
      <alignment horizontal="right" readingOrder="0" shrinkToFit="0" vertical="center" wrapText="0"/>
    </xf>
    <xf borderId="0" fillId="0" fontId="2" numFmtId="164" xfId="0" applyAlignment="1" applyFont="1" applyNumberFormat="1">
      <alignment readingOrder="0" shrinkToFit="0" wrapText="0"/>
    </xf>
    <xf borderId="0" fillId="0" fontId="0" numFmtId="4" xfId="0" applyAlignment="1" applyFont="1" applyNumberFormat="1">
      <alignment horizontal="right" readingOrder="0" shrinkToFit="0" vertical="center" wrapText="0"/>
    </xf>
    <xf borderId="0" fillId="0" fontId="0" numFmtId="2" xfId="0" applyAlignment="1" applyFont="1" applyNumberFormat="1">
      <alignment horizontal="right" shrinkToFit="0" vertical="center" wrapText="0"/>
    </xf>
    <xf borderId="0" fillId="5" fontId="0" numFmtId="0" xfId="0" applyAlignment="1" applyFont="1">
      <alignment readingOrder="0" shrinkToFit="0" wrapText="0"/>
    </xf>
    <xf borderId="0" fillId="5" fontId="0" numFmtId="168" xfId="0" applyAlignment="1" applyFont="1" applyNumberFormat="1">
      <alignment horizontal="right" shrinkToFit="0" vertical="center" wrapText="0"/>
    </xf>
    <xf borderId="0" fillId="0" fontId="0" numFmtId="168" xfId="0" applyAlignment="1" applyFont="1" applyNumberFormat="1">
      <alignment horizontal="right" shrinkToFit="0" vertical="center" wrapText="0"/>
    </xf>
    <xf borderId="0" fillId="5" fontId="2" numFmtId="3" xfId="0" applyAlignment="1" applyFont="1" applyNumberFormat="1">
      <alignment horizontal="left" readingOrder="0" shrinkToFit="0" vertical="center" wrapText="0"/>
    </xf>
    <xf borderId="0" fillId="5" fontId="0" numFmtId="1" xfId="0" applyAlignment="1" applyFont="1" applyNumberFormat="1">
      <alignment horizontal="right" shrinkToFit="0" vertical="center" wrapText="0"/>
    </xf>
    <xf borderId="0" fillId="6" fontId="0" numFmtId="0" xfId="0" applyAlignment="1" applyFont="1">
      <alignment horizontal="left" readingOrder="0" shrinkToFit="0" vertical="center" wrapText="0"/>
    </xf>
    <xf borderId="0" fillId="6" fontId="0" numFmtId="1" xfId="0" applyAlignment="1" applyFont="1" applyNumberFormat="1">
      <alignment horizontal="right" readingOrder="0" shrinkToFit="0" vertical="center" wrapText="0"/>
    </xf>
    <xf borderId="0" fillId="5" fontId="0" numFmtId="0" xfId="0" applyAlignment="1" applyFont="1">
      <alignment horizontal="left" readingOrder="0" shrinkToFit="0" vertical="center" wrapText="0"/>
    </xf>
    <xf borderId="0" fillId="5" fontId="0" numFmtId="3" xfId="0" applyAlignment="1" applyFont="1" applyNumberFormat="1">
      <alignment horizontal="right" shrinkToFit="0" vertical="center" wrapText="0"/>
    </xf>
    <xf borderId="0" fillId="0" fontId="0" numFmtId="9" xfId="0" applyAlignment="1" applyFont="1" applyNumberFormat="1">
      <alignment horizontal="right" shrinkToFit="0" vertical="center" wrapText="0"/>
    </xf>
    <xf borderId="0" fillId="5" fontId="5" numFmtId="168" xfId="0" applyFont="1" applyNumberFormat="1"/>
    <xf borderId="0" fillId="0" fontId="5" numFmtId="10" xfId="0" applyAlignment="1" applyFont="1" applyNumberFormat="1">
      <alignment readingOrder="0"/>
    </xf>
    <xf borderId="0" fillId="0" fontId="0" numFmtId="4" xfId="0" applyAlignment="1" applyFont="1" applyNumberFormat="1">
      <alignment horizontal="right" shrinkToFit="0" vertical="center" wrapText="0"/>
    </xf>
    <xf borderId="0" fillId="0" fontId="5" numFmtId="4" xfId="0" applyFont="1" applyNumberFormat="1"/>
    <xf borderId="0" fillId="5" fontId="5" numFmtId="4" xfId="0" applyFont="1" applyNumberFormat="1"/>
    <xf borderId="0" fillId="5" fontId="5" numFmtId="3" xfId="0" applyFont="1" applyNumberFormat="1"/>
    <xf borderId="0" fillId="7" fontId="0" numFmtId="0" xfId="0" applyAlignment="1" applyFill="1" applyFont="1">
      <alignment readingOrder="0" shrinkToFit="0" wrapText="0"/>
    </xf>
    <xf borderId="0" fillId="7" fontId="5" numFmtId="9" xfId="0" applyFont="1" applyNumberFormat="1"/>
    <xf borderId="0" fillId="6" fontId="0" numFmtId="0" xfId="0" applyAlignment="1" applyFont="1">
      <alignment readingOrder="0" shrinkToFit="0" wrapText="0"/>
    </xf>
    <xf borderId="0" fillId="6" fontId="5" numFmtId="164" xfId="0" applyAlignment="1" applyFont="1" applyNumberFormat="1">
      <alignment readingOrder="0"/>
    </xf>
    <xf borderId="0" fillId="5" fontId="5" numFmtId="1" xfId="0" applyFont="1" applyNumberFormat="1"/>
    <xf borderId="0" fillId="0" fontId="5" numFmtId="1" xfId="0" applyAlignment="1" applyFont="1" applyNumberFormat="1">
      <alignment readingOrder="0"/>
    </xf>
    <xf borderId="0" fillId="0" fontId="0" numFmtId="164" xfId="0" applyAlignment="1" applyFont="1" applyNumberFormat="1">
      <alignment horizontal="left" readingOrder="0" shrinkToFit="0" vertical="center" wrapText="0"/>
    </xf>
    <xf borderId="0" fillId="0" fontId="0" numFmtId="2" xfId="0" applyAlignment="1" applyFont="1" applyNumberFormat="1">
      <alignment horizontal="right" readingOrder="0" shrinkToFit="0" vertical="center" wrapText="0"/>
    </xf>
    <xf borderId="0" fillId="0" fontId="5" numFmtId="2" xfId="0" applyAlignment="1" applyFont="1" applyNumberFormat="1">
      <alignment readingOrder="0"/>
    </xf>
    <xf borderId="0" fillId="0" fontId="5" numFmtId="2" xfId="0" applyFont="1" applyNumberFormat="1"/>
    <xf borderId="0" fillId="7" fontId="0" numFmtId="0" xfId="0" applyAlignment="1" applyFont="1">
      <alignment horizontal="left" readingOrder="0" shrinkToFit="0" vertical="center" wrapText="0"/>
    </xf>
    <xf borderId="0" fillId="7" fontId="5" numFmtId="168" xfId="0" applyFont="1" applyNumberFormat="1"/>
    <xf borderId="0" fillId="5" fontId="0" numFmtId="169" xfId="0" applyAlignment="1" applyFont="1" applyNumberFormat="1">
      <alignment readingOrder="0" shrinkToFit="0" wrapText="0"/>
    </xf>
    <xf borderId="0" fillId="6" fontId="0" numFmtId="169" xfId="0" applyAlignment="1" applyFont="1" applyNumberFormat="1">
      <alignment readingOrder="0" shrinkToFit="0" wrapText="0"/>
    </xf>
    <xf borderId="0" fillId="6" fontId="5" numFmtId="166" xfId="0" applyAlignment="1" applyFont="1" applyNumberFormat="1">
      <alignment readingOrder="0"/>
    </xf>
    <xf borderId="0" fillId="6" fontId="5" numFmtId="0" xfId="0" applyAlignment="1" applyFont="1">
      <alignment readingOrder="0"/>
    </xf>
    <xf borderId="0" fillId="0" fontId="5" numFmtId="9" xfId="0" applyAlignment="1" applyFont="1" applyNumberFormat="1">
      <alignment readingOrder="0"/>
    </xf>
    <xf borderId="0" fillId="0" fontId="5" numFmtId="168" xfId="0" applyAlignment="1" applyFont="1" applyNumberFormat="1">
      <alignment readingOrder="0"/>
    </xf>
    <xf borderId="0" fillId="5" fontId="5" numFmtId="0" xfId="0" applyAlignment="1" applyFont="1">
      <alignment readingOrder="0"/>
    </xf>
    <xf borderId="0" fillId="5" fontId="5" numFmtId="9" xfId="0" applyFont="1" applyNumberFormat="1"/>
    <xf borderId="0" fillId="5" fontId="5" numFmtId="0" xfId="0" applyFont="1"/>
    <xf borderId="0" fillId="5" fontId="5" numFmtId="164" xfId="0" applyFont="1" applyNumberFormat="1"/>
    <xf borderId="0" fillId="0" fontId="5" numFmtId="168" xfId="0" applyFont="1" applyNumberFormat="1"/>
    <xf borderId="0" fillId="5" fontId="5" numFmtId="169" xfId="0" applyFont="1" applyNumberFormat="1"/>
    <xf borderId="0" fillId="5" fontId="5" numFmtId="164" xfId="0" applyAlignment="1" applyFont="1" applyNumberFormat="1">
      <alignment readingOrder="0"/>
    </xf>
    <xf borderId="0" fillId="0" fontId="5" numFmtId="166" xfId="0" applyFont="1" applyNumberFormat="1"/>
    <xf borderId="0" fillId="0" fontId="5" numFmtId="170" xfId="0" applyAlignment="1" applyFont="1" applyNumberFormat="1">
      <alignment readingOrder="0"/>
    </xf>
    <xf borderId="0" fillId="5" fontId="5" numFmtId="171" xfId="0" applyFont="1" applyNumberFormat="1"/>
    <xf borderId="0" fillId="5" fontId="5" numFmtId="4" xfId="0" applyAlignment="1" applyFont="1" applyNumberFormat="1">
      <alignment readingOrder="0"/>
    </xf>
    <xf borderId="0" fillId="5" fontId="5" numFmtId="172" xfId="0" applyFont="1" applyNumberFormat="1"/>
    <xf borderId="0" fillId="3" fontId="5" numFmtId="4" xfId="0" applyFont="1" applyNumberFormat="1"/>
    <xf borderId="0" fillId="0" fontId="5" numFmtId="169" xfId="0" applyAlignment="1" applyFont="1" applyNumberFormat="1">
      <alignment readingOrder="0"/>
    </xf>
    <xf borderId="0" fillId="5" fontId="5" numFmtId="169" xfId="0" applyAlignment="1" applyFont="1" applyNumberFormat="1">
      <alignment readingOrder="0"/>
    </xf>
    <xf borderId="0" fillId="7" fontId="6" numFmtId="0" xfId="0" applyAlignment="1" applyFont="1">
      <alignment readingOrder="0" shrinkToFit="0" wrapText="0"/>
    </xf>
    <xf borderId="0" fillId="7" fontId="4" numFmtId="164" xfId="0" applyFont="1" applyNumberFormat="1"/>
    <xf borderId="0" fillId="4" fontId="0" numFmtId="166" xfId="0" applyAlignment="1" applyFont="1" applyNumberFormat="1">
      <alignment horizontal="center" shrinkToFit="0" wrapText="0"/>
    </xf>
    <xf borderId="0" fillId="7" fontId="5" numFmtId="0" xfId="0" applyFont="1"/>
    <xf borderId="0" fillId="0" fontId="13" numFmtId="0" xfId="0" applyAlignment="1" applyFont="1">
      <alignment readingOrder="0"/>
    </xf>
    <xf borderId="0" fillId="0" fontId="13" numFmtId="0" xfId="0" applyAlignment="1" applyFont="1">
      <alignment horizontal="center" readingOrder="0" shrinkToFit="0" wrapText="1"/>
    </xf>
    <xf borderId="0" fillId="0" fontId="5" numFmtId="170" xfId="0" applyFont="1" applyNumberFormat="1"/>
    <xf borderId="0" fillId="5" fontId="5" numFmtId="170" xfId="0" applyFont="1" applyNumberFormat="1"/>
    <xf borderId="0" fillId="0" fontId="5" numFmtId="169" xfId="0" applyAlignment="1" applyFont="1" applyNumberFormat="1">
      <alignment readingOrder="0"/>
    </xf>
    <xf borderId="0" fillId="5" fontId="5" numFmtId="169" xfId="0" applyAlignment="1" applyFont="1" applyNumberFormat="1">
      <alignment readingOrder="0"/>
    </xf>
    <xf borderId="0" fillId="8" fontId="6" numFmtId="0" xfId="0" applyAlignment="1" applyFill="1" applyFont="1">
      <alignment readingOrder="0" shrinkToFit="0" wrapText="0"/>
    </xf>
    <xf borderId="0" fillId="8" fontId="4" numFmtId="164" xfId="0" applyFont="1" applyNumberFormat="1"/>
    <xf borderId="0" fillId="8" fontId="0" numFmtId="0" xfId="0" applyAlignment="1" applyFont="1">
      <alignment readingOrder="0" shrinkToFit="0" wrapText="0"/>
    </xf>
    <xf borderId="0" fillId="8" fontId="5" numFmtId="0" xfId="0" applyFont="1"/>
    <xf borderId="0" fillId="8" fontId="14" numFmtId="0" xfId="0" applyAlignment="1" applyFont="1">
      <alignment vertical="bottom"/>
    </xf>
    <xf borderId="0" fillId="8" fontId="2" numFmtId="4" xfId="0" applyAlignment="1" applyFont="1" applyNumberFormat="1">
      <alignment vertical="bottom"/>
    </xf>
    <xf borderId="0" fillId="8" fontId="2" numFmtId="0" xfId="0" applyAlignment="1" applyFont="1">
      <alignment vertical="bottom"/>
    </xf>
    <xf borderId="0" fillId="8" fontId="2" numFmtId="166" xfId="0" applyAlignment="1" applyFont="1" applyNumberFormat="1">
      <alignment vertical="bottom"/>
    </xf>
    <xf borderId="0" fillId="8" fontId="6" numFmtId="0" xfId="0" applyAlignment="1" applyFont="1">
      <alignment shrinkToFit="0" vertical="bottom" wrapText="1"/>
    </xf>
    <xf borderId="0" fillId="8" fontId="2" numFmtId="10" xfId="0" applyAlignment="1" applyFont="1" applyNumberFormat="1">
      <alignment vertical="bottom"/>
    </xf>
    <xf borderId="0" fillId="8" fontId="0" numFmtId="0" xfId="0" applyAlignment="1" applyFont="1">
      <alignment vertical="bottom"/>
    </xf>
    <xf borderId="0" fillId="8" fontId="2" numFmtId="9" xfId="0" applyAlignment="1" applyFont="1" applyNumberFormat="1">
      <alignment horizontal="right" vertical="bottom"/>
    </xf>
    <xf borderId="0" fillId="8" fontId="2" numFmtId="9" xfId="0" applyAlignment="1" applyFont="1" applyNumberFormat="1">
      <alignment horizontal="right" readingOrder="0" vertical="bottom"/>
    </xf>
    <xf borderId="0" fillId="8" fontId="0" numFmtId="0" xfId="0" applyAlignment="1" applyFont="1">
      <alignment vertical="bottom"/>
    </xf>
    <xf borderId="0" fillId="8" fontId="2" numFmtId="9" xfId="0" applyAlignment="1" applyFont="1" applyNumberFormat="1">
      <alignment vertical="bottom"/>
    </xf>
    <xf borderId="0" fillId="8" fontId="6" numFmtId="0" xfId="0" applyAlignment="1" applyFont="1">
      <alignment vertical="bottom"/>
    </xf>
    <xf borderId="0" fillId="8" fontId="14" numFmtId="0" xfId="0" applyAlignment="1" applyFont="1">
      <alignment vertical="bottom"/>
    </xf>
    <xf borderId="0" fillId="8" fontId="8" numFmtId="0" xfId="0" applyAlignment="1" applyFont="1">
      <alignment shrinkToFit="0" vertical="bottom" wrapText="1"/>
    </xf>
    <xf borderId="0" fillId="8" fontId="2" numFmtId="0" xfId="0" applyAlignment="1" applyFont="1">
      <alignment shrinkToFit="0" vertical="bottom" wrapText="1"/>
    </xf>
    <xf borderId="0" fillId="8" fontId="15" numFmtId="9" xfId="0" applyAlignment="1" applyFont="1" applyNumberFormat="1">
      <alignment horizontal="right" vertical="bottom"/>
    </xf>
    <xf borderId="0" fillId="8" fontId="2" numFmtId="0" xfId="0" applyAlignment="1" applyFont="1">
      <alignment vertical="bottom"/>
    </xf>
    <xf borderId="0" fillId="8" fontId="2" numFmtId="2" xfId="0" applyAlignment="1" applyFont="1" applyNumberFormat="1">
      <alignment horizontal="right" vertical="bottom"/>
    </xf>
    <xf borderId="0" fillId="8" fontId="2" numFmtId="2" xfId="0" applyAlignment="1" applyFont="1" applyNumberFormat="1">
      <alignment vertical="bottom"/>
    </xf>
    <xf borderId="0" fillId="8" fontId="2" numFmtId="169" xfId="0" applyAlignment="1" applyFont="1" applyNumberFormat="1">
      <alignment horizontal="right" readingOrder="0" vertical="bottom"/>
    </xf>
    <xf borderId="0" fillId="8" fontId="2" numFmtId="169" xfId="0" applyAlignment="1" applyFont="1" applyNumberFormat="1">
      <alignment horizontal="right" vertical="bottom"/>
    </xf>
    <xf borderId="0" fillId="8" fontId="2" numFmtId="172" xfId="0" applyAlignment="1" applyFont="1" applyNumberFormat="1">
      <alignment vertical="bottom"/>
    </xf>
    <xf borderId="0" fillId="8" fontId="2" numFmtId="172" xfId="0" applyAlignment="1" applyFont="1" applyNumberFormat="1">
      <alignment readingOrder="0" shrinkToFit="0" vertical="bottom" wrapText="1"/>
    </xf>
    <xf borderId="0" fillId="8" fontId="2" numFmtId="172" xfId="0" applyAlignment="1" applyFont="1" applyNumberFormat="1">
      <alignment shrinkToFit="0" vertical="bottom" wrapText="1"/>
    </xf>
    <xf borderId="0" fillId="8" fontId="16" numFmtId="0" xfId="0" applyAlignment="1" applyFont="1">
      <alignment shrinkToFit="0" vertical="bottom" wrapText="1"/>
    </xf>
    <xf borderId="0" fillId="8" fontId="2" numFmtId="164" xfId="0" applyAlignment="1" applyFont="1" applyNumberFormat="1">
      <alignment vertical="bottom"/>
    </xf>
    <xf borderId="0" fillId="8" fontId="2" numFmtId="4" xfId="0" applyAlignment="1" applyFont="1" applyNumberFormat="1">
      <alignment shrinkToFit="0" vertical="bottom" wrapText="1"/>
    </xf>
    <xf borderId="0" fillId="8" fontId="0" numFmtId="9" xfId="0" applyAlignment="1" applyFont="1" applyNumberFormat="1">
      <alignment horizontal="right" vertical="bottom"/>
    </xf>
    <xf borderId="0" fillId="8" fontId="0" numFmtId="9" xfId="0" applyAlignment="1" applyFont="1" applyNumberFormat="1">
      <alignment horizontal="right" readingOrder="0" vertical="bottom"/>
    </xf>
    <xf borderId="0" fillId="8" fontId="0" numFmtId="0" xfId="0" applyAlignment="1" applyFont="1">
      <alignment horizontal="right" readingOrder="0" vertical="bottom"/>
    </xf>
    <xf borderId="0" fillId="8" fontId="2" numFmtId="173" xfId="0" applyAlignment="1" applyFont="1" applyNumberFormat="1">
      <alignment vertical="bottom"/>
    </xf>
    <xf borderId="0" fillId="8" fontId="8" numFmtId="9" xfId="0" applyAlignment="1" applyFont="1" applyNumberFormat="1">
      <alignment horizontal="right" vertical="bottom"/>
    </xf>
    <xf borderId="0" fillId="8" fontId="2" numFmtId="174" xfId="0" applyAlignment="1" applyFont="1" applyNumberFormat="1">
      <alignment horizontal="right" vertical="bottom"/>
    </xf>
    <xf borderId="0" fillId="8" fontId="2" numFmtId="4" xfId="0" applyAlignment="1" applyFont="1" applyNumberFormat="1">
      <alignment horizontal="right" vertical="bottom"/>
    </xf>
    <xf borderId="0" fillId="8" fontId="2" numFmtId="3" xfId="0" applyAlignment="1" applyFont="1" applyNumberFormat="1">
      <alignment horizontal="right" vertical="bottom"/>
    </xf>
    <xf borderId="0" fillId="8" fontId="8" numFmtId="3" xfId="0" applyAlignment="1" applyFont="1" applyNumberFormat="1">
      <alignment horizontal="right" vertical="bottom"/>
    </xf>
    <xf borderId="0" fillId="8" fontId="2" numFmtId="164" xfId="0" applyAlignment="1" applyFont="1" applyNumberFormat="1">
      <alignment horizontal="right" vertical="bottom"/>
    </xf>
    <xf borderId="0" fillId="8" fontId="8" numFmtId="164" xfId="0" applyAlignment="1" applyFont="1" applyNumberFormat="1">
      <alignment horizontal="right" vertical="bottom"/>
    </xf>
    <xf borderId="0" fillId="8" fontId="2" numFmtId="168" xfId="0" applyAlignment="1" applyFont="1" applyNumberFormat="1">
      <alignment horizontal="right" vertical="bottom"/>
    </xf>
    <xf borderId="0" fillId="8" fontId="0" numFmtId="0" xfId="0" applyAlignment="1" applyFont="1">
      <alignment readingOrder="0" vertical="bottom"/>
    </xf>
    <xf borderId="0" fillId="0" fontId="4" numFmtId="0" xfId="0" applyAlignment="1" applyFont="1">
      <alignment readingOrder="0"/>
    </xf>
    <xf borderId="0" fillId="0" fontId="5" numFmtId="0" xfId="0" applyAlignment="1" applyFont="1">
      <alignment readingOrder="0"/>
    </xf>
    <xf borderId="0" fillId="0" fontId="17" numFmtId="0" xfId="0" applyAlignment="1" applyFont="1">
      <alignment readingOrder="0"/>
    </xf>
    <xf borderId="0" fillId="0" fontId="4" numFmtId="0" xfId="0" applyFont="1"/>
    <xf borderId="0" fillId="0" fontId="4" numFmtId="0" xfId="0" applyFont="1"/>
    <xf borderId="0" fillId="0" fontId="5" numFmtId="0" xfId="0" applyFont="1"/>
    <xf borderId="0" fillId="0" fontId="11" numFmtId="2" xfId="0" applyAlignment="1" applyFont="1" applyNumberFormat="1">
      <alignment horizontal="right" vertical="top"/>
    </xf>
    <xf borderId="0" fillId="0" fontId="11" numFmtId="3" xfId="0" applyAlignment="1" applyFont="1" applyNumberFormat="1">
      <alignment horizontal="right" vertical="top"/>
    </xf>
    <xf borderId="0" fillId="0" fontId="11" numFmtId="0" xfId="0" applyAlignment="1" applyFont="1">
      <alignment horizontal="right" vertical="top"/>
    </xf>
    <xf borderId="0" fillId="0" fontId="4" numFmtId="10" xfId="0" applyFont="1" applyNumberFormat="1"/>
    <xf borderId="0" fillId="0" fontId="11" numFmtId="1" xfId="0" applyAlignment="1" applyFont="1" applyNumberFormat="1">
      <alignment horizontal="right" vertical="top"/>
    </xf>
    <xf borderId="0" fillId="0" fontId="5" numFmtId="166" xfId="0" applyAlignment="1" applyFont="1" applyNumberFormat="1">
      <alignment readingOrder="0"/>
    </xf>
    <xf borderId="0" fillId="0" fontId="5" numFmtId="3" xfId="0" applyAlignment="1" applyFont="1" applyNumberFormat="1">
      <alignment readingOrder="0"/>
    </xf>
    <xf borderId="0" fillId="0" fontId="5" numFmtId="0" xfId="0" applyAlignment="1" applyFont="1">
      <alignment horizontal="right" readingOrder="0"/>
    </xf>
    <xf borderId="0" fillId="0" fontId="5" numFmtId="4" xfId="0" applyAlignment="1" applyFont="1" applyNumberFormat="1">
      <alignment readingOrder="0"/>
    </xf>
    <xf borderId="0" fillId="0" fontId="18" numFmtId="0" xfId="0" applyAlignment="1" applyFont="1">
      <alignment readingOrder="0"/>
    </xf>
    <xf borderId="0" fillId="0" fontId="19" numFmtId="0" xfId="0" applyAlignment="1" applyFont="1">
      <alignment readingOrder="0"/>
    </xf>
    <xf borderId="0" fillId="0" fontId="5" numFmtId="0" xfId="0" applyAlignment="1" applyFont="1">
      <alignment readingOrder="0" shrinkToFit="0" vertical="top" wrapText="1"/>
    </xf>
    <xf borderId="0" fillId="0" fontId="20" numFmtId="0" xfId="0" applyFont="1"/>
    <xf borderId="0" fillId="0" fontId="4" numFmtId="2" xfId="0" applyFont="1" applyNumberFormat="1"/>
    <xf borderId="0" fillId="0" fontId="5" numFmtId="1" xfId="0" applyFont="1" applyNumberFormat="1"/>
    <xf borderId="0" fillId="0" fontId="21" numFmtId="0" xfId="0" applyFont="1"/>
    <xf borderId="0" fillId="2" fontId="22" numFmtId="0" xfId="0" applyAlignment="1" applyFont="1">
      <alignment readingOrder="0"/>
    </xf>
    <xf borderId="0" fillId="0" fontId="2" numFmtId="0" xfId="0" applyAlignment="1" applyFont="1">
      <alignment horizontal="right" vertical="bottom"/>
    </xf>
    <xf borderId="0" fillId="0" fontId="2" numFmtId="0" xfId="0" applyAlignment="1" applyFont="1">
      <alignment readingOrder="0" vertical="bottom"/>
    </xf>
    <xf borderId="0" fillId="0" fontId="2" numFmtId="2" xfId="0" applyAlignment="1" applyFont="1" applyNumberFormat="1">
      <alignment horizontal="right" vertical="bottom"/>
    </xf>
    <xf borderId="2" fillId="0" fontId="5" numFmtId="0" xfId="0" applyAlignment="1" applyBorder="1" applyFont="1">
      <alignment readingOrder="0" shrinkToFit="0" wrapText="1"/>
    </xf>
    <xf borderId="2" fillId="0" fontId="5" numFmtId="0" xfId="0" applyBorder="1" applyFont="1"/>
    <xf borderId="0" fillId="0" fontId="5" numFmtId="0" xfId="0" applyAlignment="1" applyFont="1">
      <alignment shrinkToFit="0" wrapText="1"/>
    </xf>
    <xf borderId="0" fillId="0" fontId="5" numFmtId="167" xfId="0" applyFont="1" applyNumberFormat="1"/>
    <xf borderId="0" fillId="0" fontId="5" numFmtId="171" xfId="0" applyFont="1" applyNumberFormat="1"/>
    <xf borderId="0" fillId="0" fontId="5" numFmtId="0" xfId="0" applyAlignment="1" applyFont="1">
      <alignment horizontal="center" readingOrder="0"/>
    </xf>
    <xf borderId="0" fillId="0" fontId="8" numFmtId="0" xfId="0" applyAlignment="1" applyFont="1">
      <alignment readingOrder="0" vertical="bottom"/>
    </xf>
    <xf borderId="0" fillId="0" fontId="2" numFmtId="0" xfId="0" applyAlignment="1" applyFont="1">
      <alignment vertical="bottom"/>
    </xf>
    <xf borderId="0" fillId="0" fontId="2" numFmtId="10" xfId="0" applyAlignment="1" applyFont="1" applyNumberFormat="1">
      <alignment horizontal="right" vertical="bottom"/>
    </xf>
    <xf borderId="0" fillId="0" fontId="2" numFmtId="10" xfId="0" applyAlignment="1" applyFont="1" applyNumberFormat="1">
      <alignment vertical="bottom"/>
    </xf>
    <xf borderId="0" fillId="0" fontId="8" numFmtId="2" xfId="0" applyAlignment="1" applyFont="1" applyNumberFormat="1">
      <alignment horizontal="right" vertical="bottom"/>
    </xf>
    <xf borderId="0" fillId="0" fontId="2" numFmtId="168" xfId="0" applyAlignment="1" applyFont="1" applyNumberFormat="1">
      <alignment vertical="bottom"/>
    </xf>
    <xf borderId="2" fillId="0" fontId="2" numFmtId="0" xfId="0" applyAlignment="1" applyBorder="1" applyFont="1">
      <alignment vertical="bottom"/>
    </xf>
    <xf borderId="2" fillId="0" fontId="2" numFmtId="0" xfId="0" applyAlignment="1" applyBorder="1" applyFont="1">
      <alignment readingOrder="0" vertical="bottom"/>
    </xf>
    <xf borderId="2" fillId="0" fontId="2" numFmtId="0" xfId="0" applyAlignment="1" applyBorder="1" applyFont="1">
      <alignment shrinkToFit="0" vertical="bottom" wrapText="0"/>
    </xf>
    <xf borderId="0" fillId="0" fontId="23" numFmtId="0" xfId="0" applyAlignment="1" applyFont="1">
      <alignment vertical="bottom"/>
    </xf>
    <xf borderId="0" fillId="0" fontId="2" numFmtId="0" xfId="0" applyAlignment="1" applyFont="1">
      <alignment horizontal="center" vertical="bottom"/>
    </xf>
    <xf borderId="0" fillId="0" fontId="2" numFmtId="168" xfId="0" applyAlignment="1" applyFont="1" applyNumberFormat="1">
      <alignment horizontal="right" vertical="bottom"/>
    </xf>
    <xf borderId="0" fillId="0" fontId="8" numFmtId="168" xfId="0" applyAlignment="1" applyFont="1" applyNumberFormat="1">
      <alignment horizontal="right" vertical="bottom"/>
    </xf>
    <xf borderId="0" fillId="0" fontId="6" numFmtId="0" xfId="0" applyAlignment="1" applyFont="1">
      <alignment readingOrder="0" shrinkToFit="0" vertical="bottom" wrapText="0"/>
    </xf>
    <xf borderId="0" fillId="0" fontId="4" numFmtId="9" xfId="0" applyAlignment="1" applyFont="1" applyNumberFormat="1">
      <alignment readingOrder="0"/>
    </xf>
    <xf borderId="2" fillId="0" fontId="4" numFmtId="0" xfId="0" applyAlignment="1" applyBorder="1" applyFont="1">
      <alignment readingOrder="0"/>
    </xf>
    <xf borderId="0" fillId="0" fontId="4" numFmtId="4" xfId="0" applyFont="1" applyNumberFormat="1"/>
    <xf borderId="2" fillId="0" fontId="4" numFmtId="4" xfId="0" applyAlignment="1" applyBorder="1" applyFont="1" applyNumberFormat="1">
      <alignment readingOrder="0"/>
    </xf>
    <xf borderId="0" fillId="0" fontId="4" numFmtId="168" xfId="0" applyFont="1" applyNumberFormat="1"/>
    <xf borderId="0" fillId="0" fontId="4" numFmtId="9" xfId="0" applyFont="1" applyNumberFormat="1"/>
    <xf borderId="0" fillId="0" fontId="4" numFmtId="166" xfId="0" applyFont="1" applyNumberFormat="1"/>
    <xf borderId="0" fillId="0" fontId="4" numFmtId="164" xfId="0" applyFont="1" applyNumberFormat="1"/>
    <xf borderId="0" fillId="0" fontId="8" numFmtId="0" xfId="0" applyAlignment="1" applyFont="1">
      <alignment vertical="bottom"/>
    </xf>
    <xf borderId="0" fillId="0" fontId="24" numFmtId="0" xfId="0" applyAlignment="1" applyFont="1">
      <alignment vertical="bottom"/>
    </xf>
    <xf borderId="0" fillId="0" fontId="24" numFmtId="168" xfId="0" applyAlignment="1" applyFont="1" applyNumberFormat="1">
      <alignment vertical="bottom"/>
    </xf>
    <xf borderId="0" fillId="0" fontId="4" numFmtId="3" xfId="0" applyFont="1" applyNumberFormat="1"/>
    <xf borderId="0" fillId="0" fontId="5" numFmtId="169" xfId="0" applyFont="1" applyNumberFormat="1"/>
    <xf borderId="0" fillId="4" fontId="14" numFmtId="0" xfId="0" applyAlignment="1" applyFont="1">
      <alignment shrinkToFit="0" vertical="bottom" wrapText="1"/>
    </xf>
    <xf borderId="0" fillId="4" fontId="2" numFmtId="3" xfId="0" applyAlignment="1" applyFont="1" applyNumberFormat="1">
      <alignment vertical="bottom"/>
    </xf>
    <xf borderId="0" fillId="4" fontId="2" numFmtId="3" xfId="0" applyAlignment="1" applyFont="1" applyNumberFormat="1">
      <alignment readingOrder="0" vertical="bottom"/>
    </xf>
    <xf borderId="0" fillId="4" fontId="2" numFmtId="174" xfId="0" applyAlignment="1" applyFont="1" applyNumberFormat="1">
      <alignment vertical="bottom"/>
    </xf>
    <xf borderId="0" fillId="0" fontId="25" numFmtId="0" xfId="0" applyAlignment="1" applyFont="1">
      <alignment horizontal="center" readingOrder="0" vertical="center"/>
    </xf>
    <xf borderId="0" fillId="9" fontId="5" numFmtId="0" xfId="0" applyAlignment="1" applyFill="1" applyFont="1">
      <alignment readingOrder="0" shrinkToFit="0" wrapText="0"/>
    </xf>
    <xf borderId="0" fillId="0" fontId="4" numFmtId="0" xfId="0" applyAlignment="1" applyFont="1">
      <alignment readingOrder="0" shrinkToFit="0" wrapText="0"/>
    </xf>
    <xf borderId="0" fillId="0" fontId="25" numFmtId="0" xfId="0" applyAlignment="1" applyFont="1">
      <alignment horizontal="right" readingOrder="0" vertical="center"/>
    </xf>
    <xf borderId="0" fillId="10" fontId="5" numFmtId="0" xfId="0" applyAlignment="1" applyFill="1" applyFont="1">
      <alignment readingOrder="0" shrinkToFit="0" wrapText="0"/>
    </xf>
    <xf borderId="0" fillId="11" fontId="5" numFmtId="0" xfId="0" applyAlignment="1" applyFill="1" applyFont="1">
      <alignment readingOrder="0" shrinkToFit="0" wrapText="0"/>
    </xf>
    <xf borderId="0" fillId="12" fontId="5" numFmtId="0" xfId="0" applyAlignment="1" applyFill="1" applyFont="1">
      <alignment readingOrder="0" shrinkToFit="0" wrapText="0"/>
    </xf>
    <xf borderId="0" fillId="0" fontId="5" numFmtId="0" xfId="0" applyAlignment="1" applyFont="1">
      <alignment readingOrder="0" shrinkToFit="0" wrapText="0"/>
    </xf>
    <xf borderId="0" fillId="11" fontId="5" numFmtId="9" xfId="0" applyAlignment="1" applyFont="1" applyNumberFormat="1">
      <alignment readingOrder="0"/>
    </xf>
    <xf borderId="0" fillId="11" fontId="5" numFmtId="0" xfId="0" applyAlignment="1" applyFont="1">
      <alignment readingOrder="0"/>
    </xf>
    <xf borderId="0" fillId="0" fontId="5" numFmtId="0" xfId="0" applyAlignment="1" applyFont="1">
      <alignment shrinkToFit="0" wrapText="0"/>
    </xf>
    <xf borderId="0" fillId="0" fontId="5" numFmtId="169" xfId="0" applyFont="1" applyNumberFormat="1"/>
  </cellXfs>
  <cellStyles count="1">
    <cellStyle xfId="0" name="Normal" builtinId="0"/>
  </cellStyles>
  <dxfs count="5">
    <dxf>
      <font/>
      <fill>
        <patternFill patternType="solid">
          <fgColor rgb="FFDD7E6B"/>
          <bgColor rgb="FFDD7E6B"/>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38761D"/>
          <bgColor rgb="FF38761D"/>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xVal>
            <c:numRef>
              <c:f>'Costs averted supp calculations'!$G$91:$G$111</c:f>
            </c:numRef>
          </c:xVal>
          <c:yVal>
            <c:numRef>
              <c:f>'Costs averted supp calculations'!$H$91:$H$111</c:f>
              <c:numCache/>
            </c:numRef>
          </c:yVal>
        </c:ser>
        <c:dLbls>
          <c:showLegendKey val="0"/>
          <c:showVal val="0"/>
          <c:showCatName val="0"/>
          <c:showSerName val="0"/>
          <c:showPercent val="0"/>
          <c:showBubbleSize val="0"/>
        </c:dLbls>
        <c:axId val="606001404"/>
        <c:axId val="329598738"/>
      </c:scatterChart>
      <c:valAx>
        <c:axId val="6060014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29598738"/>
      </c:valAx>
      <c:valAx>
        <c:axId val="329598738"/>
        <c:scaling>
          <c:orientation val="minMax"/>
          <c:min val="2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06001404"/>
      </c:valAx>
    </c:plotArea>
    <c:legend>
      <c:legendPos val="r"/>
      <c:overlay val="0"/>
      <c:txPr>
        <a:bodyPr/>
        <a:lstStyle/>
        <a:p>
          <a:pPr lvl="0">
            <a:defRPr b="0">
              <a:solidFill>
                <a:srgbClr val="000000"/>
              </a:solidFill>
              <a:latin typeface="Roboto"/>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56</xdr:row>
      <xdr:rowOff>161925</xdr:rowOff>
    </xdr:from>
    <xdr:ext cx="3086100" cy="1905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Y72rwA9ClqXF0e47xGY4xeilAT_1645wK7PXq9V6Vf4/edit?usp=sharing" TargetMode="External"/><Relationship Id="rId3" Type="http://schemas.openxmlformats.org/officeDocument/2006/relationships/hyperlink" Target="http://ghdx.healthdata.org/gbd-results-tool?params=gbd-api-2019-permalink/8fc83ccd3f9357ffa4925efe478e5e60" TargetMode="External"/><Relationship Id="rId4" Type="http://schemas.openxmlformats.org/officeDocument/2006/relationships/hyperlink" Target="https://docs.google.com/spreadsheets/d/1MsFXeSfBx1tA2_hLikyeNRvy2YKEtM53XyOfxw_XtVg/edit" TargetMode="External"/><Relationship Id="rId5" Type="http://schemas.openxmlformats.org/officeDocument/2006/relationships/drawing" Target="../drawings/drawing7.xml"/><Relationship Id="rId6"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i.org/10.4269/ajtmh.2003.69.411" TargetMode="External"/><Relationship Id="rId3" Type="http://schemas.openxmlformats.org/officeDocument/2006/relationships/hyperlink" Target="https://doi.org/10.1371/journal.pmed.1001497" TargetMode="External"/><Relationship Id="rId4" Type="http://schemas.openxmlformats.org/officeDocument/2006/relationships/hyperlink" Target="https://doi.org/10.1016/S2214-109X(17)30490-4" TargetMode="External"/><Relationship Id="rId5" Type="http://schemas.openxmlformats.org/officeDocument/2006/relationships/hyperlink" Target="https://doi.org/10.1016/S2214-109X(18)30005-6" TargetMode="External"/><Relationship Id="rId6" Type="http://schemas.openxmlformats.org/officeDocument/2006/relationships/hyperlink" Target="https://doi.org/10.1016/S2214-109X(18)30374-7" TargetMode="External"/><Relationship Id="rId7" Type="http://schemas.openxmlformats.org/officeDocument/2006/relationships/drawing" Target="../drawings/drawing8.xml"/><Relationship Id="rId8"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ghdx.healthdata.org/gbd-results-tool?params=gbd-api-2019-permalink/523dbc2310120ceac6bb14926f3e0802" TargetMode="External"/><Relationship Id="rId3" Type="http://schemas.openxmlformats.org/officeDocument/2006/relationships/hyperlink" Target="http://ghdx.healthdata.org/gbd-results-tool?params=gbd-api-2019-permalink/523dbc2310120ceac6bb14926f3e0802" TargetMode="External"/><Relationship Id="rId4" Type="http://schemas.openxmlformats.org/officeDocument/2006/relationships/drawing" Target="../drawings/drawing9.xml"/><Relationship Id="rId5"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i.org/10.4269/ajtmh.2003.69.411" TargetMode="External"/><Relationship Id="rId3" Type="http://schemas.openxmlformats.org/officeDocument/2006/relationships/hyperlink" Target="https://doi.org/10.1371/journal.pmed.1001497" TargetMode="External"/><Relationship Id="rId4" Type="http://schemas.openxmlformats.org/officeDocument/2006/relationships/hyperlink" Target="https://doi.org/10.1016/S2214-109X(17)30490-4" TargetMode="External"/><Relationship Id="rId5" Type="http://schemas.openxmlformats.org/officeDocument/2006/relationships/hyperlink" Target="https://doi.org/10.1016/S2214-109X(18)30005-6" TargetMode="External"/><Relationship Id="rId6" Type="http://schemas.openxmlformats.org/officeDocument/2006/relationships/hyperlink" Target="https://doi.org/10.1016/S2214-109X(18)30374-7" TargetMode="External"/><Relationship Id="rId7" Type="http://schemas.openxmlformats.org/officeDocument/2006/relationships/drawing" Target="../drawings/drawing11.xml"/><Relationship Id="rId8"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i.org/10.4269/ajtmh.2003.69.411" TargetMode="External"/><Relationship Id="rId3" Type="http://schemas.openxmlformats.org/officeDocument/2006/relationships/hyperlink" Target="https://doi.org/10.1371/journal.pmed.1001497" TargetMode="External"/><Relationship Id="rId4" Type="http://schemas.openxmlformats.org/officeDocument/2006/relationships/hyperlink" Target="https://doi.org/10.1016/S2214-109X(17)30490-4" TargetMode="External"/><Relationship Id="rId5" Type="http://schemas.openxmlformats.org/officeDocument/2006/relationships/hyperlink" Target="https://doi.org/10.1016/S2214-109X(18)30005-6" TargetMode="External"/><Relationship Id="rId6" Type="http://schemas.openxmlformats.org/officeDocument/2006/relationships/hyperlink" Target="https://doi.org/10.1016/S2214-109X(18)30374-7" TargetMode="External"/><Relationship Id="rId7" Type="http://schemas.openxmlformats.org/officeDocument/2006/relationships/drawing" Target="../drawings/drawing13.xml"/><Relationship Id="rId8"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doi.org/10.4269/ajtmh.2003.69.411" TargetMode="External"/><Relationship Id="rId3" Type="http://schemas.openxmlformats.org/officeDocument/2006/relationships/hyperlink" Target="https://doi.org/10.1371/journal.pmed.1001497" TargetMode="External"/><Relationship Id="rId4" Type="http://schemas.openxmlformats.org/officeDocument/2006/relationships/hyperlink" Target="https://doi.org/10.1016/S2214-109X(17)30490-4" TargetMode="External"/><Relationship Id="rId5" Type="http://schemas.openxmlformats.org/officeDocument/2006/relationships/hyperlink" Target="https://doi.org/10.1016/S2214-109X(18)30005-6" TargetMode="External"/><Relationship Id="rId6" Type="http://schemas.openxmlformats.org/officeDocument/2006/relationships/hyperlink" Target="https://doi.org/10.1016/S2214-109X(18)30374-7" TargetMode="External"/><Relationship Id="rId7" Type="http://schemas.openxmlformats.org/officeDocument/2006/relationships/drawing" Target="../drawings/drawing14.xml"/><Relationship Id="rId8"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dx.doi.org/10.3329%2Fjhpn.v29i1.7567" TargetMode="External"/><Relationship Id="rId3" Type="http://schemas.openxmlformats.org/officeDocument/2006/relationships/hyperlink" Target="https://dx.doi.org/10.1186%2F1471-2458-11-389" TargetMode="External"/><Relationship Id="rId4" Type="http://schemas.openxmlformats.org/officeDocument/2006/relationships/hyperlink" Target="https://dx.doi.org/10.3329%2Fjhpn.v29i2.7854" TargetMode="External"/><Relationship Id="rId5" Type="http://schemas.openxmlformats.org/officeDocument/2006/relationships/hyperlink" Target="https://dx.doi.org/10.4269%2Fajtmh.12-0755" TargetMode="External"/><Relationship Id="rId6" Type="http://schemas.openxmlformats.org/officeDocument/2006/relationships/drawing" Target="../drawings/drawing15.xml"/><Relationship Id="rId7"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sheetViews>
  <sheetFormatPr customHeight="1" defaultColWidth="17.29" defaultRowHeight="15.0"/>
  <cols>
    <col customWidth="1" min="1" max="1" width="213.14"/>
    <col customWidth="1" min="2" max="10" width="7.71"/>
    <col customWidth="1" min="11" max="26" width="15.14"/>
  </cols>
  <sheetData>
    <row r="1" ht="13.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4"/>
      <c r="D2" s="4"/>
      <c r="E2" s="5"/>
      <c r="F2" s="5"/>
      <c r="G2" s="5"/>
      <c r="H2" s="5"/>
      <c r="I2" s="5"/>
      <c r="J2" s="5"/>
      <c r="K2" s="5"/>
      <c r="L2" s="5"/>
      <c r="M2" s="5"/>
      <c r="N2" s="5"/>
      <c r="O2" s="5"/>
      <c r="P2" s="5"/>
      <c r="Q2" s="5"/>
      <c r="R2" s="5"/>
      <c r="S2" s="5"/>
      <c r="T2" s="5"/>
      <c r="U2" s="5"/>
      <c r="V2" s="5"/>
      <c r="W2" s="5"/>
      <c r="X2" s="5"/>
      <c r="Y2" s="5"/>
      <c r="Z2" s="5"/>
    </row>
    <row r="3">
      <c r="A3" s="6" t="s">
        <v>2</v>
      </c>
      <c r="B3" s="5"/>
      <c r="C3" s="5"/>
      <c r="D3" s="5"/>
      <c r="E3" s="5"/>
      <c r="F3" s="5"/>
      <c r="G3" s="5"/>
      <c r="H3" s="5"/>
      <c r="I3" s="5"/>
      <c r="J3" s="5"/>
      <c r="K3" s="5"/>
      <c r="L3" s="5"/>
      <c r="M3" s="5"/>
      <c r="N3" s="5"/>
      <c r="O3" s="5"/>
      <c r="P3" s="5"/>
      <c r="Q3" s="5"/>
      <c r="R3" s="5"/>
      <c r="S3" s="5"/>
      <c r="T3" s="5"/>
      <c r="U3" s="5"/>
      <c r="V3" s="5"/>
      <c r="W3" s="5"/>
      <c r="X3" s="5"/>
      <c r="Y3" s="5"/>
      <c r="Z3" s="5"/>
    </row>
    <row r="4">
      <c r="A4" s="7" t="s">
        <v>3</v>
      </c>
      <c r="B4" s="5"/>
      <c r="C4" s="5"/>
      <c r="D4" s="5"/>
      <c r="E4" s="5"/>
      <c r="F4" s="5"/>
      <c r="G4" s="5"/>
      <c r="H4" s="5"/>
      <c r="I4" s="5"/>
      <c r="J4" s="5"/>
      <c r="K4" s="5"/>
      <c r="L4" s="5"/>
      <c r="M4" s="5"/>
      <c r="N4" s="5"/>
      <c r="O4" s="5"/>
      <c r="P4" s="5"/>
      <c r="Q4" s="5"/>
      <c r="R4" s="5"/>
      <c r="S4" s="5"/>
      <c r="T4" s="5"/>
      <c r="U4" s="5"/>
      <c r="V4" s="5"/>
      <c r="W4" s="5"/>
      <c r="X4" s="5"/>
      <c r="Y4" s="5"/>
      <c r="Z4" s="5"/>
    </row>
    <row r="5">
      <c r="A5" s="7" t="s">
        <v>4</v>
      </c>
      <c r="B5" s="5"/>
      <c r="C5" s="5"/>
      <c r="D5" s="5"/>
      <c r="E5" s="5"/>
      <c r="F5" s="5"/>
      <c r="G5" s="5"/>
      <c r="H5" s="5"/>
      <c r="I5" s="5"/>
      <c r="J5" s="5"/>
      <c r="K5" s="5"/>
      <c r="L5" s="5"/>
      <c r="M5" s="5"/>
      <c r="N5" s="5"/>
      <c r="O5" s="5"/>
      <c r="P5" s="5"/>
      <c r="Q5" s="5"/>
      <c r="R5" s="5"/>
      <c r="S5" s="5"/>
      <c r="T5" s="5"/>
      <c r="U5" s="5"/>
      <c r="V5" s="5"/>
      <c r="W5" s="5"/>
      <c r="X5" s="5"/>
      <c r="Y5" s="5"/>
      <c r="Z5" s="5"/>
    </row>
    <row r="6">
      <c r="A6" s="4"/>
      <c r="B6" s="5"/>
      <c r="C6" s="5"/>
      <c r="D6" s="5"/>
      <c r="E6" s="5"/>
      <c r="F6" s="5"/>
      <c r="G6" s="5"/>
      <c r="H6" s="5"/>
      <c r="I6" s="5"/>
      <c r="J6" s="5"/>
      <c r="K6" s="5"/>
      <c r="L6" s="5"/>
      <c r="M6" s="5"/>
      <c r="N6" s="5"/>
      <c r="O6" s="5"/>
      <c r="P6" s="5"/>
      <c r="Q6" s="5"/>
      <c r="R6" s="5"/>
      <c r="S6" s="5"/>
      <c r="T6" s="5"/>
      <c r="U6" s="5"/>
      <c r="V6" s="5"/>
      <c r="W6" s="5"/>
      <c r="X6" s="5"/>
      <c r="Y6" s="5"/>
      <c r="Z6" s="5"/>
    </row>
    <row r="7">
      <c r="A7" s="8" t="s">
        <v>5</v>
      </c>
      <c r="B7" s="5"/>
      <c r="C7" s="5"/>
      <c r="D7" s="5"/>
      <c r="E7" s="5"/>
      <c r="F7" s="5"/>
      <c r="G7" s="5"/>
      <c r="H7" s="5"/>
      <c r="I7" s="5"/>
      <c r="J7" s="5"/>
      <c r="K7" s="5"/>
      <c r="L7" s="5"/>
      <c r="M7" s="5"/>
      <c r="N7" s="5"/>
      <c r="O7" s="5"/>
      <c r="P7" s="5"/>
      <c r="Q7" s="5"/>
      <c r="R7" s="5"/>
      <c r="S7" s="5"/>
      <c r="T7" s="5"/>
      <c r="U7" s="5"/>
      <c r="V7" s="5"/>
      <c r="W7" s="5"/>
      <c r="X7" s="5"/>
      <c r="Y7" s="5"/>
      <c r="Z7" s="5"/>
    </row>
    <row r="8">
      <c r="A8" s="9" t="s">
        <v>6</v>
      </c>
      <c r="B8" s="4"/>
      <c r="C8" s="4"/>
      <c r="D8" s="4"/>
      <c r="E8" s="5"/>
      <c r="F8" s="5"/>
      <c r="G8" s="5"/>
      <c r="H8" s="5"/>
      <c r="I8" s="5"/>
      <c r="J8" s="5"/>
      <c r="K8" s="5"/>
      <c r="L8" s="5"/>
      <c r="M8" s="5"/>
      <c r="N8" s="5"/>
      <c r="O8" s="5"/>
      <c r="P8" s="5"/>
      <c r="Q8" s="5"/>
      <c r="R8" s="5"/>
      <c r="S8" s="5"/>
      <c r="T8" s="5"/>
      <c r="U8" s="5"/>
      <c r="V8" s="5"/>
      <c r="W8" s="5"/>
      <c r="X8" s="5"/>
      <c r="Y8" s="5"/>
      <c r="Z8" s="5"/>
    </row>
    <row r="9">
      <c r="A9" s="10" t="s">
        <v>7</v>
      </c>
      <c r="B9" s="4"/>
      <c r="C9" s="4"/>
      <c r="D9" s="4"/>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11" t="s">
        <v>8</v>
      </c>
      <c r="B11" s="5"/>
      <c r="C11" s="5"/>
      <c r="D11" s="5"/>
      <c r="E11" s="5"/>
      <c r="F11" s="5"/>
      <c r="G11" s="5"/>
      <c r="H11" s="5"/>
      <c r="I11" s="5"/>
      <c r="J11" s="5"/>
      <c r="K11" s="5"/>
      <c r="L11" s="5"/>
      <c r="M11" s="5"/>
      <c r="N11" s="5"/>
      <c r="O11" s="5"/>
      <c r="P11" s="5"/>
      <c r="Q11" s="5"/>
      <c r="R11" s="5"/>
      <c r="S11" s="5"/>
      <c r="T11" s="5"/>
      <c r="U11" s="5"/>
      <c r="V11" s="5"/>
      <c r="W11" s="5"/>
      <c r="X11" s="5"/>
      <c r="Y11" s="5"/>
      <c r="Z11" s="5"/>
    </row>
    <row r="12">
      <c r="A12" s="12" t="str">
        <f>HYPERLINK("https://docs.google.com/document/d/1ZKq-MNU-xtn_48uN33L6VvBEZRAduvjwWMeaEffL4K4/","Guide to GiveWell cost-effectiveness analyses")</f>
        <v>Guide to GiveWell cost-effectiveness analyses</v>
      </c>
      <c r="B12" s="5"/>
      <c r="C12" s="5"/>
      <c r="D12" s="5"/>
      <c r="E12" s="5"/>
      <c r="F12" s="5"/>
      <c r="G12" s="5"/>
      <c r="H12" s="5"/>
      <c r="I12" s="5"/>
      <c r="J12" s="5"/>
      <c r="K12" s="5"/>
      <c r="L12" s="5"/>
      <c r="M12" s="5"/>
      <c r="N12" s="5"/>
      <c r="O12" s="5"/>
      <c r="P12" s="5"/>
      <c r="Q12" s="5"/>
      <c r="R12" s="5"/>
      <c r="S12" s="5"/>
      <c r="T12" s="5"/>
      <c r="U12" s="5"/>
      <c r="V12" s="5"/>
      <c r="W12" s="5"/>
      <c r="X12" s="5"/>
      <c r="Y12" s="5"/>
      <c r="Z12" s="5"/>
    </row>
    <row r="13">
      <c r="A13" s="12" t="str">
        <f>HYPERLINK("http://www.givewell.org/charities/top-charities","Full reviews of our top charities")</f>
        <v>Full reviews of our top charities</v>
      </c>
      <c r="B13" s="5"/>
      <c r="C13" s="5"/>
      <c r="D13" s="5"/>
      <c r="E13" s="5"/>
      <c r="F13" s="5"/>
      <c r="G13" s="5"/>
      <c r="H13" s="5"/>
      <c r="I13" s="5"/>
      <c r="J13" s="5"/>
      <c r="K13" s="5"/>
      <c r="L13" s="5"/>
      <c r="M13" s="5"/>
      <c r="N13" s="5"/>
      <c r="O13" s="5"/>
      <c r="P13" s="5"/>
      <c r="Q13" s="5"/>
      <c r="R13" s="5"/>
      <c r="S13" s="5"/>
      <c r="T13" s="5"/>
      <c r="U13" s="5"/>
      <c r="V13" s="5"/>
      <c r="W13" s="5"/>
      <c r="X13" s="5"/>
      <c r="Y13" s="5"/>
      <c r="Z13" s="5"/>
    </row>
    <row r="14">
      <c r="A14" s="12" t="str">
        <f>HYPERLINK("http://www.givewell.org/international/technical/criteria/cost-effectiveness/cost-effectiveness-models","Past versions of our cost-effectiveness analyses")</f>
        <v>Past versions of our cost-effectiveness analyses</v>
      </c>
      <c r="B14" s="5"/>
      <c r="C14" s="5"/>
      <c r="D14" s="5"/>
      <c r="E14" s="5"/>
      <c r="F14" s="5"/>
      <c r="G14" s="5"/>
      <c r="H14" s="5"/>
      <c r="I14" s="5"/>
      <c r="J14" s="5"/>
      <c r="K14" s="5"/>
      <c r="L14" s="5"/>
      <c r="M14" s="5"/>
      <c r="N14" s="5"/>
      <c r="O14" s="5"/>
      <c r="P14" s="5"/>
      <c r="Q14" s="5"/>
      <c r="R14" s="5"/>
      <c r="S14" s="5"/>
      <c r="T14" s="5"/>
      <c r="U14" s="5"/>
      <c r="V14" s="5"/>
      <c r="W14" s="5"/>
      <c r="X14" s="5"/>
      <c r="Y14" s="5"/>
      <c r="Z14" s="5"/>
    </row>
    <row r="15">
      <c r="A15" s="12" t="str">
        <f>HYPERLINK("http://www.givewell.org/international/technical/criteria/cost-effectiveness","Discussion of cost-effectiveness as a criterion")</f>
        <v>Discussion of cost-effectiveness as a criterion</v>
      </c>
      <c r="B15" s="5"/>
      <c r="C15" s="5"/>
      <c r="D15" s="5"/>
      <c r="E15" s="5"/>
      <c r="F15" s="5"/>
      <c r="G15" s="5"/>
      <c r="H15" s="5"/>
      <c r="I15" s="5"/>
      <c r="J15" s="5"/>
      <c r="K15" s="5"/>
      <c r="L15" s="5"/>
      <c r="M15" s="5"/>
      <c r="N15" s="5"/>
      <c r="O15" s="5"/>
      <c r="P15" s="5"/>
      <c r="Q15" s="5"/>
      <c r="R15" s="5"/>
      <c r="S15" s="5"/>
      <c r="T15" s="5"/>
      <c r="U15" s="5"/>
      <c r="V15" s="5"/>
      <c r="W15" s="5"/>
      <c r="X15" s="5"/>
      <c r="Y15" s="5"/>
      <c r="Z15" s="5"/>
    </row>
    <row r="16">
      <c r="A16" s="12" t="str">
        <f>HYPERLINK("http://www.givewell.org/international/technical/criteria/cost-effectiveness#MoreonGiveWellsviewsoncosteffectivenessestimates","Blog posts discussing cost-effectiveness")</f>
        <v>Blog posts discussing cost-effectiveness</v>
      </c>
      <c r="B16" s="5"/>
      <c r="C16" s="5"/>
      <c r="D16" s="5"/>
      <c r="E16" s="5"/>
      <c r="F16" s="5"/>
      <c r="G16" s="5"/>
      <c r="H16" s="5"/>
      <c r="I16" s="5"/>
      <c r="J16" s="5"/>
      <c r="K16" s="5"/>
      <c r="L16" s="5"/>
      <c r="M16" s="5"/>
      <c r="N16" s="5"/>
      <c r="O16" s="5"/>
      <c r="P16" s="5"/>
      <c r="Q16" s="5"/>
      <c r="R16" s="5"/>
      <c r="S16" s="5"/>
      <c r="T16" s="5"/>
      <c r="U16" s="5"/>
      <c r="V16" s="5"/>
      <c r="W16" s="5"/>
      <c r="X16" s="5"/>
      <c r="Y16" s="5"/>
      <c r="Z16" s="5"/>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35.29"/>
    <col customWidth="1" min="2" max="2" width="33.71"/>
  </cols>
  <sheetData>
    <row r="1">
      <c r="A1" s="13" t="s">
        <v>9</v>
      </c>
    </row>
    <row r="3">
      <c r="A3" s="14" t="s">
        <v>10</v>
      </c>
      <c r="B3" s="14" t="s">
        <v>11</v>
      </c>
    </row>
    <row r="4">
      <c r="A4" s="14" t="s">
        <v>12</v>
      </c>
      <c r="B4" s="15">
        <f>'ILC Kenya'!B78</f>
        <v>7.60245168</v>
      </c>
    </row>
    <row r="7">
      <c r="A7" s="13" t="s">
        <v>13</v>
      </c>
    </row>
    <row r="9">
      <c r="A9" s="14" t="s">
        <v>10</v>
      </c>
      <c r="B9" s="5" t="s">
        <v>11</v>
      </c>
      <c r="C9" s="5" t="s">
        <v>14</v>
      </c>
      <c r="D9" s="5" t="s">
        <v>15</v>
      </c>
    </row>
    <row r="10">
      <c r="A10" s="16" t="s">
        <v>16</v>
      </c>
      <c r="B10" s="17">
        <f>DSW!B145</f>
        <v>4.421618553</v>
      </c>
      <c r="C10" s="17">
        <f>DSW!C145</f>
        <v>7.015706986</v>
      </c>
      <c r="D10" s="17">
        <f>DSW!D145</f>
        <v>8.657297146</v>
      </c>
    </row>
    <row r="11">
      <c r="A11" s="16" t="s">
        <v>17</v>
      </c>
      <c r="B11" s="17">
        <f>'DSW_short term'!B145</f>
        <v>3.567165234</v>
      </c>
      <c r="C11" s="17">
        <f>'DSW_short term'!C145</f>
        <v>6.261619971</v>
      </c>
      <c r="D11" s="17">
        <f>'DSW_short term'!D145</f>
        <v>7.737402198</v>
      </c>
      <c r="E11" s="18"/>
    </row>
    <row r="12">
      <c r="A12" s="16"/>
      <c r="B12" s="17"/>
      <c r="C12" s="17"/>
      <c r="D12" s="17"/>
      <c r="E12" s="18"/>
    </row>
    <row r="13">
      <c r="A13" s="16" t="s">
        <v>18</v>
      </c>
      <c r="B13" s="19">
        <v>0.12</v>
      </c>
      <c r="C13" s="19">
        <v>0.44</v>
      </c>
      <c r="D13" s="19">
        <v>0.43</v>
      </c>
      <c r="E13" s="18"/>
    </row>
    <row r="14">
      <c r="A14" s="16" t="s">
        <v>19</v>
      </c>
      <c r="B14" s="20">
        <f>IFERROR(__xludf.DUMMYFUNCTION("AVERAGE.WEIGHTED(B10:D10,B13:D13)"),7.414285932455127)</f>
        <v>7.414285932</v>
      </c>
      <c r="C14" s="20"/>
      <c r="D14" s="20"/>
      <c r="E14" s="21"/>
    </row>
    <row r="15">
      <c r="A15" s="16" t="s">
        <v>20</v>
      </c>
      <c r="B15" s="22">
        <f>IFERROR(__xludf.DUMMYFUNCTION("AVERAGE.WEIGHTED(B11:D11,B13:D13)"),6.576015717483511)</f>
        <v>6.576015717</v>
      </c>
      <c r="E15" s="17"/>
    </row>
    <row r="16">
      <c r="E16" s="17"/>
    </row>
    <row r="17">
      <c r="E17"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82.29"/>
    <col customWidth="1" min="2" max="2" width="13.57"/>
    <col customWidth="1" min="3" max="3" width="10.0"/>
    <col customWidth="1" min="4" max="17" width="10.14"/>
    <col customWidth="1" min="18" max="18" width="10.29"/>
    <col customWidth="1" min="19" max="28" width="10.14"/>
  </cols>
  <sheetData>
    <row r="1" ht="13.5" customHeight="1">
      <c r="A1" s="23" t="s">
        <v>21</v>
      </c>
      <c r="B1" s="24" t="s">
        <v>22</v>
      </c>
      <c r="C1" s="25"/>
      <c r="D1" s="25"/>
      <c r="E1" s="25"/>
      <c r="F1" s="26"/>
      <c r="G1" s="27"/>
      <c r="H1" s="27"/>
      <c r="I1" s="27"/>
      <c r="J1" s="27"/>
      <c r="K1" s="28"/>
      <c r="L1" s="28"/>
      <c r="M1" s="28"/>
      <c r="N1" s="27"/>
      <c r="O1" s="27"/>
      <c r="P1" s="27"/>
      <c r="Q1" s="27"/>
      <c r="R1" s="27"/>
      <c r="S1" s="29"/>
      <c r="T1" s="5"/>
      <c r="U1" s="5"/>
      <c r="V1" s="5"/>
      <c r="W1" s="5"/>
      <c r="X1" s="5"/>
      <c r="Y1" s="5"/>
      <c r="Z1" s="5"/>
      <c r="AA1" s="5"/>
      <c r="AB1" s="5"/>
    </row>
    <row r="2" ht="13.5" customHeight="1">
      <c r="A2" s="30"/>
      <c r="B2" s="31"/>
      <c r="C2" s="31"/>
      <c r="D2" s="31"/>
      <c r="E2" s="31"/>
      <c r="F2" s="32"/>
      <c r="G2" s="31"/>
      <c r="H2" s="31"/>
      <c r="I2" s="31"/>
      <c r="J2" s="31"/>
      <c r="K2" s="31"/>
      <c r="L2" s="31"/>
      <c r="M2" s="31"/>
      <c r="N2" s="31"/>
      <c r="O2" s="31"/>
      <c r="P2" s="31"/>
      <c r="Q2" s="31"/>
      <c r="R2" s="31"/>
      <c r="S2" s="31"/>
      <c r="T2" s="31"/>
      <c r="U2" s="5"/>
      <c r="V2" s="5"/>
      <c r="W2" s="5"/>
      <c r="X2" s="5"/>
      <c r="Y2" s="5"/>
      <c r="Z2" s="5"/>
      <c r="AA2" s="5"/>
      <c r="AB2" s="5"/>
    </row>
    <row r="3" ht="16.5" customHeight="1">
      <c r="A3" s="33" t="s">
        <v>23</v>
      </c>
      <c r="B3" s="34">
        <f>B19</f>
        <v>107.9874399</v>
      </c>
      <c r="C3" s="35"/>
      <c r="D3" s="36"/>
      <c r="E3" s="35"/>
      <c r="F3" s="37"/>
      <c r="G3" s="35"/>
      <c r="H3" s="38"/>
      <c r="I3" s="35"/>
      <c r="J3" s="37"/>
      <c r="K3" s="35"/>
      <c r="L3" s="35"/>
      <c r="M3" s="37"/>
      <c r="N3" s="35"/>
      <c r="O3" s="37"/>
      <c r="P3" s="35"/>
      <c r="Q3" s="36"/>
      <c r="R3" s="35"/>
      <c r="S3" s="36"/>
      <c r="T3" s="36"/>
      <c r="U3" s="36"/>
      <c r="V3" s="36"/>
      <c r="W3" s="36"/>
      <c r="X3" s="36"/>
      <c r="Y3" s="36"/>
      <c r="Z3" s="36"/>
      <c r="AA3" s="36"/>
      <c r="AB3" s="36"/>
    </row>
    <row r="4" ht="16.5" customHeight="1">
      <c r="A4" s="33" t="s">
        <v>24</v>
      </c>
      <c r="B4" s="34">
        <f>B27</f>
        <v>111.4184423</v>
      </c>
      <c r="C4" s="35"/>
      <c r="D4" s="36"/>
      <c r="E4" s="35"/>
      <c r="F4" s="37"/>
      <c r="G4" s="35"/>
      <c r="H4" s="38"/>
      <c r="I4" s="35"/>
      <c r="J4" s="37"/>
      <c r="K4" s="35"/>
      <c r="L4" s="35"/>
      <c r="M4" s="37"/>
      <c r="N4" s="35"/>
      <c r="O4" s="37"/>
      <c r="P4" s="35"/>
      <c r="Q4" s="36"/>
      <c r="R4" s="35"/>
      <c r="S4" s="36"/>
      <c r="T4" s="36"/>
      <c r="U4" s="36"/>
      <c r="V4" s="36"/>
      <c r="W4" s="36"/>
      <c r="X4" s="36"/>
      <c r="Y4" s="36"/>
      <c r="Z4" s="36"/>
      <c r="AA4" s="36"/>
      <c r="AB4" s="36"/>
    </row>
    <row r="5" ht="16.5" customHeight="1">
      <c r="A5" s="33" t="s">
        <v>25</v>
      </c>
      <c r="B5" s="34">
        <f>B35</f>
        <v>112.9244859</v>
      </c>
      <c r="C5" s="35"/>
      <c r="D5" s="36"/>
      <c r="E5" s="35"/>
      <c r="F5" s="37"/>
      <c r="G5" s="35"/>
      <c r="H5" s="38"/>
      <c r="I5" s="35"/>
      <c r="J5" s="37"/>
      <c r="K5" s="35"/>
      <c r="L5" s="35"/>
      <c r="M5" s="37"/>
      <c r="N5" s="35"/>
      <c r="O5" s="37"/>
      <c r="P5" s="35"/>
      <c r="Q5" s="36"/>
      <c r="R5" s="35"/>
      <c r="S5" s="36"/>
      <c r="T5" s="36"/>
      <c r="U5" s="36"/>
      <c r="V5" s="36"/>
      <c r="W5" s="36"/>
      <c r="X5" s="36"/>
      <c r="Y5" s="36"/>
      <c r="Z5" s="36"/>
      <c r="AA5" s="36"/>
      <c r="AB5" s="36"/>
    </row>
    <row r="6" ht="13.5" customHeight="1">
      <c r="A6" s="39" t="s">
        <v>26</v>
      </c>
      <c r="B6" s="34">
        <v>83.1</v>
      </c>
      <c r="C6" s="40"/>
      <c r="D6" s="41"/>
      <c r="E6" s="40"/>
      <c r="F6" s="40"/>
      <c r="G6" s="40"/>
      <c r="H6" s="37"/>
      <c r="I6" s="40"/>
      <c r="J6" s="40"/>
      <c r="K6" s="40"/>
      <c r="L6" s="40"/>
      <c r="M6" s="40"/>
      <c r="N6" s="40"/>
      <c r="O6" s="40"/>
      <c r="P6" s="40"/>
      <c r="Q6" s="41"/>
      <c r="R6" s="40"/>
      <c r="S6" s="42"/>
      <c r="T6" s="41"/>
      <c r="U6" s="41"/>
      <c r="V6" s="41"/>
      <c r="W6" s="41"/>
      <c r="X6" s="41"/>
      <c r="Y6" s="41"/>
      <c r="Z6" s="41"/>
      <c r="AA6" s="41"/>
      <c r="AB6" s="41"/>
    </row>
    <row r="7" ht="13.5" customHeight="1">
      <c r="A7" s="39" t="s">
        <v>27</v>
      </c>
      <c r="B7" s="34">
        <f>B43</f>
        <v>68.40005376</v>
      </c>
      <c r="C7" s="40"/>
      <c r="D7" s="41"/>
      <c r="E7" s="40"/>
      <c r="F7" s="40"/>
      <c r="G7" s="40"/>
      <c r="H7" s="37"/>
      <c r="I7" s="40"/>
      <c r="J7" s="40"/>
      <c r="K7" s="40"/>
      <c r="L7" s="40"/>
      <c r="M7" s="40"/>
      <c r="N7" s="40"/>
      <c r="O7" s="40"/>
      <c r="P7" s="40"/>
      <c r="Q7" s="41"/>
      <c r="R7" s="40"/>
      <c r="S7" s="42"/>
      <c r="T7" s="41"/>
      <c r="U7" s="41"/>
      <c r="V7" s="41"/>
      <c r="W7" s="41"/>
      <c r="X7" s="41"/>
      <c r="Y7" s="41"/>
      <c r="Z7" s="41"/>
      <c r="AA7" s="41"/>
      <c r="AB7" s="41"/>
    </row>
    <row r="8" ht="13.5" customHeight="1">
      <c r="A8" s="39" t="s">
        <v>28</v>
      </c>
      <c r="B8" s="34">
        <f>B51</f>
        <v>70.6723783</v>
      </c>
      <c r="C8" s="40"/>
      <c r="D8" s="41"/>
      <c r="E8" s="40"/>
      <c r="F8" s="40"/>
      <c r="G8" s="40"/>
      <c r="H8" s="37"/>
      <c r="I8" s="40"/>
      <c r="J8" s="40"/>
      <c r="K8" s="40"/>
      <c r="L8" s="40"/>
      <c r="M8" s="40"/>
      <c r="N8" s="40"/>
      <c r="O8" s="40"/>
      <c r="P8" s="40"/>
      <c r="Q8" s="41"/>
      <c r="R8" s="40"/>
      <c r="S8" s="42"/>
      <c r="T8" s="41"/>
      <c r="U8" s="41"/>
      <c r="V8" s="41"/>
      <c r="W8" s="41"/>
      <c r="X8" s="41"/>
      <c r="Y8" s="41"/>
      <c r="Z8" s="41"/>
      <c r="AA8" s="41"/>
      <c r="AB8" s="41"/>
    </row>
    <row r="9" ht="13.5" customHeight="1">
      <c r="A9" s="39" t="s">
        <v>29</v>
      </c>
      <c r="B9" s="34">
        <f>B59</f>
        <v>66.07771501</v>
      </c>
      <c r="C9" s="40"/>
      <c r="D9" s="41"/>
      <c r="E9" s="40"/>
      <c r="F9" s="40"/>
      <c r="G9" s="40"/>
      <c r="H9" s="37"/>
      <c r="I9" s="40"/>
      <c r="J9" s="40"/>
      <c r="K9" s="40"/>
      <c r="L9" s="40"/>
      <c r="M9" s="40"/>
      <c r="N9" s="40"/>
      <c r="O9" s="40"/>
      <c r="P9" s="40"/>
      <c r="Q9" s="41"/>
      <c r="R9" s="40"/>
      <c r="S9" s="42"/>
      <c r="T9" s="41"/>
      <c r="U9" s="41"/>
      <c r="V9" s="41"/>
      <c r="W9" s="41"/>
      <c r="X9" s="41"/>
      <c r="Y9" s="41"/>
      <c r="Z9" s="41"/>
      <c r="AA9" s="41"/>
      <c r="AB9" s="41"/>
    </row>
    <row r="10" ht="13.5" customHeight="1">
      <c r="A10" s="39" t="s">
        <v>30</v>
      </c>
      <c r="B10" s="34">
        <f>B67</f>
        <v>67.7720015</v>
      </c>
      <c r="C10" s="40"/>
      <c r="D10" s="41"/>
      <c r="E10" s="40"/>
      <c r="F10" s="40"/>
      <c r="G10" s="40"/>
      <c r="H10" s="37"/>
      <c r="I10" s="40"/>
      <c r="J10" s="40"/>
      <c r="K10" s="40"/>
      <c r="L10" s="40"/>
      <c r="M10" s="40"/>
      <c r="N10" s="40"/>
      <c r="O10" s="40"/>
      <c r="P10" s="40"/>
      <c r="Q10" s="41"/>
      <c r="R10" s="40"/>
      <c r="S10" s="42"/>
      <c r="T10" s="41"/>
      <c r="U10" s="41"/>
      <c r="V10" s="41"/>
      <c r="W10" s="41"/>
      <c r="X10" s="41"/>
      <c r="Y10" s="41"/>
      <c r="Z10" s="41"/>
      <c r="AA10" s="41"/>
      <c r="AB10" s="41"/>
    </row>
    <row r="11" ht="13.5" customHeight="1">
      <c r="A11" s="43" t="s">
        <v>31</v>
      </c>
      <c r="B11" s="44">
        <v>2.3</v>
      </c>
      <c r="C11" s="40"/>
      <c r="D11" s="41"/>
      <c r="E11" s="45"/>
      <c r="F11" s="45"/>
      <c r="G11" s="45"/>
      <c r="H11" s="46"/>
      <c r="I11" s="45"/>
      <c r="J11" s="45"/>
      <c r="K11" s="45"/>
      <c r="L11" s="45"/>
      <c r="M11" s="45"/>
      <c r="N11" s="45"/>
      <c r="O11" s="45"/>
      <c r="P11" s="45"/>
      <c r="Q11" s="41"/>
      <c r="R11" s="45"/>
      <c r="S11" s="42"/>
      <c r="T11" s="41"/>
      <c r="U11" s="41"/>
      <c r="V11" s="41"/>
      <c r="W11" s="41"/>
      <c r="X11" s="41"/>
      <c r="Y11" s="41"/>
      <c r="Z11" s="41"/>
      <c r="AA11" s="41"/>
      <c r="AB11" s="41"/>
    </row>
    <row r="12">
      <c r="A12" s="2"/>
      <c r="B12" s="2"/>
      <c r="C12" s="2"/>
      <c r="D12" s="2"/>
      <c r="E12" s="2"/>
      <c r="F12" s="2"/>
      <c r="G12" s="2"/>
      <c r="H12" s="2"/>
      <c r="I12" s="2"/>
      <c r="J12" s="2"/>
      <c r="K12" s="2"/>
      <c r="L12" s="2"/>
      <c r="M12" s="2"/>
      <c r="N12" s="47"/>
      <c r="O12" s="47"/>
      <c r="P12" s="2"/>
      <c r="Q12" s="2"/>
      <c r="R12" s="2"/>
      <c r="S12" s="2"/>
      <c r="T12" s="2"/>
      <c r="U12" s="2"/>
      <c r="V12" s="2"/>
      <c r="W12" s="2"/>
      <c r="X12" s="2"/>
      <c r="Y12" s="2"/>
      <c r="Z12" s="2"/>
      <c r="AA12" s="2"/>
      <c r="AB12" s="2"/>
    </row>
    <row r="13">
      <c r="A13" s="48" t="s">
        <v>32</v>
      </c>
      <c r="B13" s="2"/>
      <c r="C13" s="2"/>
      <c r="D13" s="2"/>
      <c r="E13" s="2"/>
      <c r="F13" s="2"/>
      <c r="G13" s="2"/>
      <c r="H13" s="2"/>
      <c r="I13" s="2"/>
      <c r="J13" s="2"/>
      <c r="K13" s="2"/>
      <c r="L13" s="2"/>
      <c r="M13" s="2"/>
      <c r="N13" s="47"/>
      <c r="O13" s="47"/>
      <c r="P13" s="2"/>
      <c r="Q13" s="2"/>
      <c r="R13" s="2"/>
      <c r="S13" s="2"/>
      <c r="T13" s="2"/>
      <c r="U13" s="2"/>
      <c r="V13" s="2"/>
      <c r="W13" s="2"/>
      <c r="X13" s="2"/>
      <c r="Y13" s="2"/>
      <c r="Z13" s="2"/>
      <c r="AA13" s="2"/>
      <c r="AB13" s="2"/>
    </row>
    <row r="14">
      <c r="C14" t="s">
        <v>33</v>
      </c>
      <c r="D14" t="s">
        <v>34</v>
      </c>
      <c r="E14" t="s">
        <v>35</v>
      </c>
      <c r="F14" t="s">
        <v>36</v>
      </c>
      <c r="G14" t="s">
        <v>37</v>
      </c>
      <c r="H14" t="s">
        <v>38</v>
      </c>
      <c r="I14" t="s">
        <v>39</v>
      </c>
      <c r="J14" t="s">
        <v>40</v>
      </c>
      <c r="K14" t="s">
        <v>41</v>
      </c>
      <c r="L14" t="s">
        <v>42</v>
      </c>
      <c r="M14" t="s">
        <v>43</v>
      </c>
      <c r="N14" t="s">
        <v>44</v>
      </c>
      <c r="O14" t="s">
        <v>45</v>
      </c>
      <c r="P14" t="s">
        <v>46</v>
      </c>
      <c r="Q14" t="s">
        <v>47</v>
      </c>
      <c r="R14" t="s">
        <v>48</v>
      </c>
      <c r="S14" t="s">
        <v>49</v>
      </c>
      <c r="T14" t="s">
        <v>50</v>
      </c>
      <c r="U14" t="s">
        <v>51</v>
      </c>
      <c r="V14" t="s">
        <v>52</v>
      </c>
      <c r="W14" t="s">
        <v>53</v>
      </c>
      <c r="X14" t="s">
        <v>54</v>
      </c>
    </row>
    <row r="15">
      <c r="A15" t="s">
        <v>21</v>
      </c>
      <c r="C15">
        <v>33.4</v>
      </c>
      <c r="D15">
        <v>83.6</v>
      </c>
      <c r="E15">
        <v>84.5</v>
      </c>
      <c r="F15">
        <v>100.7</v>
      </c>
      <c r="G15">
        <v>127.3</v>
      </c>
      <c r="H15">
        <v>134.3</v>
      </c>
      <c r="I15">
        <v>133.1</v>
      </c>
      <c r="J15">
        <v>126.3</v>
      </c>
      <c r="K15">
        <v>118.0</v>
      </c>
      <c r="L15">
        <v>112.7</v>
      </c>
      <c r="M15">
        <v>106.3</v>
      </c>
      <c r="N15">
        <v>99.7</v>
      </c>
      <c r="O15">
        <v>86.4</v>
      </c>
      <c r="P15">
        <v>75.7</v>
      </c>
      <c r="Q15">
        <v>65.2</v>
      </c>
      <c r="R15">
        <v>54.8</v>
      </c>
      <c r="S15">
        <v>39.6</v>
      </c>
      <c r="T15">
        <v>31.4</v>
      </c>
      <c r="U15">
        <v>21.2</v>
      </c>
      <c r="V15">
        <v>16.5</v>
      </c>
      <c r="W15">
        <v>12.4</v>
      </c>
      <c r="X15">
        <v>12.4</v>
      </c>
    </row>
    <row r="17">
      <c r="A17" t="s">
        <v>55</v>
      </c>
      <c r="C17" s="49"/>
      <c r="D17" s="50">
        <f>$H146/sum($H$146:$H$149)</f>
        <v>0.06895421041</v>
      </c>
      <c r="E17" s="50">
        <f>$H147/sum($H$146:$H$149)</f>
        <v>0.09503949095</v>
      </c>
      <c r="F17" s="50">
        <f>$H148/sum($H$146:$H$149)</f>
        <v>0.4598334907</v>
      </c>
      <c r="G17" s="50">
        <f>$H149/sum($H$146:$H$149)</f>
        <v>0.3761728079</v>
      </c>
      <c r="H17" s="50"/>
      <c r="I17" s="50"/>
      <c r="J17" s="50"/>
      <c r="K17" s="50"/>
      <c r="L17" s="50"/>
      <c r="M17" s="50"/>
      <c r="N17" s="50"/>
      <c r="O17" s="50"/>
      <c r="P17" s="50"/>
      <c r="Q17" s="50"/>
      <c r="R17" s="50"/>
      <c r="S17" s="50"/>
      <c r="T17" s="50"/>
      <c r="U17" s="50"/>
      <c r="V17" s="50"/>
      <c r="W17" s="50"/>
      <c r="X17" s="50"/>
    </row>
    <row r="19">
      <c r="A19" t="s">
        <v>56</v>
      </c>
      <c r="B19" s="51">
        <f>SUMPRODUCT(C15:X15,C17:X17)</f>
        <v>107.9874399</v>
      </c>
      <c r="C19">
        <v>33.4</v>
      </c>
      <c r="D19">
        <v>83.6</v>
      </c>
      <c r="E19">
        <v>84.5</v>
      </c>
      <c r="F19">
        <v>100.7</v>
      </c>
      <c r="G19">
        <v>127.3</v>
      </c>
      <c r="H19">
        <v>134.3</v>
      </c>
      <c r="I19">
        <v>133.1</v>
      </c>
      <c r="J19">
        <v>126.3</v>
      </c>
      <c r="K19">
        <v>118.0</v>
      </c>
      <c r="L19">
        <v>112.7</v>
      </c>
      <c r="M19">
        <v>106.3</v>
      </c>
      <c r="N19">
        <v>99.7</v>
      </c>
      <c r="O19">
        <v>86.4</v>
      </c>
      <c r="P19">
        <v>75.7</v>
      </c>
      <c r="Q19">
        <v>65.2</v>
      </c>
      <c r="R19">
        <v>54.8</v>
      </c>
      <c r="S19">
        <v>39.6</v>
      </c>
      <c r="T19">
        <v>31.4</v>
      </c>
      <c r="U19">
        <v>21.2</v>
      </c>
      <c r="V19">
        <v>16.5</v>
      </c>
      <c r="W19">
        <v>12.4</v>
      </c>
      <c r="X19">
        <v>12.4</v>
      </c>
    </row>
    <row r="20">
      <c r="A20" s="2"/>
      <c r="B20" s="2"/>
      <c r="C20" s="2"/>
      <c r="D20" s="2"/>
      <c r="E20" s="2"/>
      <c r="F20" s="2"/>
      <c r="G20" s="2"/>
      <c r="H20" s="2"/>
      <c r="I20" s="2"/>
      <c r="J20" s="2"/>
      <c r="K20" s="2"/>
      <c r="L20" s="2"/>
      <c r="M20" s="2"/>
      <c r="N20" s="47"/>
      <c r="O20" s="47"/>
      <c r="P20" s="2"/>
      <c r="Q20" s="2"/>
      <c r="R20" s="2"/>
      <c r="S20" s="2"/>
      <c r="T20" s="2"/>
      <c r="U20" s="2"/>
      <c r="V20" s="2"/>
      <c r="W20" s="2"/>
      <c r="X20" s="2"/>
      <c r="Y20" s="2"/>
      <c r="Z20" s="2"/>
      <c r="AA20" s="2"/>
      <c r="AB20" s="2"/>
    </row>
    <row r="21">
      <c r="A21" s="48" t="s">
        <v>57</v>
      </c>
      <c r="B21" s="2"/>
      <c r="C21" s="2"/>
      <c r="D21" s="2"/>
      <c r="E21" s="2"/>
      <c r="F21" s="2"/>
      <c r="G21" s="2"/>
      <c r="H21" s="2"/>
      <c r="I21" s="2"/>
      <c r="J21" s="2"/>
      <c r="K21" s="2"/>
      <c r="L21" s="2"/>
      <c r="M21" s="2"/>
      <c r="N21" s="47"/>
      <c r="O21" s="47"/>
      <c r="P21" s="2"/>
      <c r="Q21" s="2"/>
      <c r="R21" s="2"/>
      <c r="S21" s="2"/>
      <c r="T21" s="2"/>
      <c r="U21" s="2"/>
      <c r="V21" s="2"/>
      <c r="W21" s="2"/>
      <c r="X21" s="2"/>
      <c r="Y21" s="2"/>
      <c r="Z21" s="2"/>
      <c r="AA21" s="2"/>
      <c r="AB21" s="2"/>
    </row>
    <row r="22">
      <c r="C22" t="s">
        <v>33</v>
      </c>
      <c r="D22" t="s">
        <v>34</v>
      </c>
      <c r="E22" t="s">
        <v>35</v>
      </c>
      <c r="F22" t="s">
        <v>36</v>
      </c>
      <c r="G22" t="s">
        <v>37</v>
      </c>
      <c r="H22" t="s">
        <v>38</v>
      </c>
      <c r="I22" t="s">
        <v>39</v>
      </c>
      <c r="J22" t="s">
        <v>40</v>
      </c>
      <c r="K22" t="s">
        <v>41</v>
      </c>
      <c r="L22" t="s">
        <v>42</v>
      </c>
      <c r="M22" t="s">
        <v>43</v>
      </c>
      <c r="N22" t="s">
        <v>44</v>
      </c>
      <c r="O22" t="s">
        <v>45</v>
      </c>
      <c r="P22" t="s">
        <v>46</v>
      </c>
      <c r="Q22" t="s">
        <v>47</v>
      </c>
      <c r="R22" t="s">
        <v>48</v>
      </c>
      <c r="S22" t="s">
        <v>49</v>
      </c>
      <c r="T22" t="s">
        <v>50</v>
      </c>
      <c r="U22" t="s">
        <v>51</v>
      </c>
      <c r="V22" t="s">
        <v>52</v>
      </c>
      <c r="W22" t="s">
        <v>53</v>
      </c>
      <c r="X22" t="s">
        <v>54</v>
      </c>
    </row>
    <row r="23">
      <c r="A23" t="s">
        <v>21</v>
      </c>
      <c r="C23">
        <v>33.4</v>
      </c>
      <c r="D23">
        <v>83.6</v>
      </c>
      <c r="E23">
        <v>84.5</v>
      </c>
      <c r="F23">
        <v>100.7</v>
      </c>
      <c r="G23">
        <v>127.3</v>
      </c>
      <c r="H23">
        <v>134.3</v>
      </c>
      <c r="I23">
        <v>133.1</v>
      </c>
      <c r="J23">
        <v>126.3</v>
      </c>
      <c r="K23">
        <v>118.0</v>
      </c>
      <c r="L23">
        <v>112.7</v>
      </c>
      <c r="M23">
        <v>106.3</v>
      </c>
      <c r="N23">
        <v>99.7</v>
      </c>
      <c r="O23">
        <v>86.4</v>
      </c>
      <c r="P23">
        <v>75.7</v>
      </c>
      <c r="Q23">
        <v>65.2</v>
      </c>
      <c r="R23">
        <v>54.8</v>
      </c>
      <c r="S23">
        <v>39.6</v>
      </c>
      <c r="T23">
        <v>31.4</v>
      </c>
      <c r="U23">
        <v>21.2</v>
      </c>
      <c r="V23">
        <v>16.5</v>
      </c>
      <c r="W23">
        <v>12.4</v>
      </c>
      <c r="X23">
        <v>12.4</v>
      </c>
    </row>
    <row r="25">
      <c r="A25" t="s">
        <v>55</v>
      </c>
      <c r="C25" s="49"/>
      <c r="D25" s="50">
        <f>$H142/sum($H$142:$H$145)</f>
        <v>0.03158763346</v>
      </c>
      <c r="E25" s="50">
        <f>$H143/sum($H$142:$H$145)</f>
        <v>0.05441371806</v>
      </c>
      <c r="F25" s="50">
        <f>$H144/sum($H$142:$H$145)</f>
        <v>0.457604172</v>
      </c>
      <c r="G25" s="50">
        <f>$H145/sum($H$142:$H$145)</f>
        <v>0.4563944765</v>
      </c>
      <c r="H25" s="50"/>
      <c r="I25" s="50"/>
      <c r="J25" s="50"/>
      <c r="K25" s="50"/>
      <c r="L25" s="50"/>
      <c r="M25" s="50"/>
      <c r="N25" s="50"/>
      <c r="O25" s="50"/>
      <c r="P25" s="50"/>
      <c r="Q25" s="50"/>
      <c r="R25" s="50"/>
      <c r="S25" s="50"/>
      <c r="T25" s="50"/>
      <c r="U25" s="50"/>
      <c r="V25" s="50"/>
      <c r="W25" s="50"/>
      <c r="X25" s="50"/>
    </row>
    <row r="27">
      <c r="A27" t="s">
        <v>56</v>
      </c>
      <c r="B27" s="51">
        <f>SUMPRODUCT(C23:X23,C25:X25)</f>
        <v>111.4184423</v>
      </c>
      <c r="C27">
        <v>33.4</v>
      </c>
      <c r="D27">
        <v>83.6</v>
      </c>
      <c r="E27">
        <v>84.5</v>
      </c>
      <c r="F27">
        <v>100.7</v>
      </c>
      <c r="G27">
        <v>127.3</v>
      </c>
      <c r="H27">
        <v>134.3</v>
      </c>
      <c r="I27">
        <v>133.1</v>
      </c>
      <c r="J27">
        <v>126.3</v>
      </c>
      <c r="K27">
        <v>118.0</v>
      </c>
      <c r="L27">
        <v>112.7</v>
      </c>
      <c r="M27">
        <v>106.3</v>
      </c>
      <c r="N27">
        <v>99.7</v>
      </c>
      <c r="O27">
        <v>86.4</v>
      </c>
      <c r="P27">
        <v>75.7</v>
      </c>
      <c r="Q27">
        <v>65.2</v>
      </c>
      <c r="R27">
        <v>54.8</v>
      </c>
      <c r="S27">
        <v>39.6</v>
      </c>
      <c r="T27">
        <v>31.4</v>
      </c>
      <c r="U27">
        <v>21.2</v>
      </c>
      <c r="V27">
        <v>16.5</v>
      </c>
      <c r="W27">
        <v>12.4</v>
      </c>
      <c r="X27">
        <v>12.4</v>
      </c>
    </row>
    <row r="28">
      <c r="A28" s="2"/>
      <c r="B28" s="2"/>
      <c r="C28" s="2"/>
      <c r="D28" s="2"/>
      <c r="E28" s="2"/>
      <c r="F28" s="2"/>
      <c r="G28" s="2"/>
      <c r="H28" s="2"/>
      <c r="I28" s="2"/>
      <c r="J28" s="2"/>
      <c r="K28" s="2"/>
      <c r="L28" s="2"/>
      <c r="M28" s="2"/>
      <c r="N28" s="47"/>
      <c r="O28" s="47"/>
      <c r="P28" s="2"/>
      <c r="Q28" s="2"/>
      <c r="R28" s="2"/>
      <c r="S28" s="2"/>
      <c r="T28" s="2"/>
      <c r="U28" s="2"/>
      <c r="V28" s="2"/>
      <c r="W28" s="2"/>
      <c r="X28" s="2"/>
      <c r="Y28" s="2"/>
      <c r="Z28" s="2"/>
      <c r="AA28" s="2"/>
      <c r="AB28" s="2"/>
    </row>
    <row r="29">
      <c r="A29" s="48" t="s">
        <v>58</v>
      </c>
      <c r="B29" s="2"/>
      <c r="C29" s="2"/>
      <c r="D29" s="2"/>
      <c r="E29" s="2"/>
      <c r="F29" s="2"/>
      <c r="G29" s="2"/>
      <c r="H29" s="2"/>
      <c r="I29" s="2"/>
      <c r="J29" s="2"/>
      <c r="K29" s="2"/>
      <c r="L29" s="2"/>
      <c r="M29" s="2"/>
      <c r="N29" s="47"/>
      <c r="O29" s="47"/>
      <c r="P29" s="2"/>
      <c r="Q29" s="2"/>
      <c r="R29" s="2"/>
      <c r="S29" s="2"/>
      <c r="T29" s="2"/>
      <c r="U29" s="2"/>
      <c r="V29" s="2"/>
      <c r="W29" s="2"/>
      <c r="X29" s="2"/>
      <c r="Y29" s="2"/>
      <c r="Z29" s="2"/>
      <c r="AA29" s="2"/>
      <c r="AB29" s="2"/>
    </row>
    <row r="30">
      <c r="C30" t="s">
        <v>33</v>
      </c>
      <c r="D30" t="s">
        <v>34</v>
      </c>
      <c r="E30" t="s">
        <v>35</v>
      </c>
      <c r="F30" t="s">
        <v>36</v>
      </c>
      <c r="G30" t="s">
        <v>37</v>
      </c>
      <c r="H30" t="s">
        <v>38</v>
      </c>
      <c r="I30" t="s">
        <v>39</v>
      </c>
      <c r="J30" t="s">
        <v>40</v>
      </c>
      <c r="K30" t="s">
        <v>41</v>
      </c>
      <c r="L30" t="s">
        <v>42</v>
      </c>
      <c r="M30" t="s">
        <v>43</v>
      </c>
      <c r="N30" t="s">
        <v>44</v>
      </c>
      <c r="O30" t="s">
        <v>45</v>
      </c>
      <c r="P30" t="s">
        <v>46</v>
      </c>
      <c r="Q30" t="s">
        <v>47</v>
      </c>
      <c r="R30" t="s">
        <v>48</v>
      </c>
      <c r="S30" t="s">
        <v>49</v>
      </c>
      <c r="T30" t="s">
        <v>50</v>
      </c>
      <c r="U30" t="s">
        <v>51</v>
      </c>
      <c r="V30" t="s">
        <v>52</v>
      </c>
      <c r="W30" t="s">
        <v>53</v>
      </c>
      <c r="X30" t="s">
        <v>54</v>
      </c>
    </row>
    <row r="31">
      <c r="A31" t="s">
        <v>21</v>
      </c>
      <c r="C31">
        <v>33.4</v>
      </c>
      <c r="D31">
        <v>83.6</v>
      </c>
      <c r="E31">
        <v>84.5</v>
      </c>
      <c r="F31">
        <v>100.7</v>
      </c>
      <c r="G31">
        <v>127.3</v>
      </c>
      <c r="H31">
        <v>134.3</v>
      </c>
      <c r="I31">
        <v>133.1</v>
      </c>
      <c r="J31">
        <v>126.3</v>
      </c>
      <c r="K31">
        <v>118.0</v>
      </c>
      <c r="L31">
        <v>112.7</v>
      </c>
      <c r="M31">
        <v>106.3</v>
      </c>
      <c r="N31">
        <v>99.7</v>
      </c>
      <c r="O31">
        <v>86.4</v>
      </c>
      <c r="P31">
        <v>75.7</v>
      </c>
      <c r="Q31">
        <v>65.2</v>
      </c>
      <c r="R31">
        <v>54.8</v>
      </c>
      <c r="S31">
        <v>39.6</v>
      </c>
      <c r="T31">
        <v>31.4</v>
      </c>
      <c r="U31">
        <v>21.2</v>
      </c>
      <c r="V31">
        <v>16.5</v>
      </c>
      <c r="W31">
        <v>12.4</v>
      </c>
      <c r="X31">
        <v>12.4</v>
      </c>
    </row>
    <row r="33">
      <c r="A33" t="s">
        <v>55</v>
      </c>
      <c r="C33" s="49"/>
      <c r="D33" s="50">
        <f>$H154/sum($H$154:$H$157)</f>
        <v>0.02134948439</v>
      </c>
      <c r="E33" s="50">
        <f>$H155/sum($H$154:$H$157)</f>
        <v>0.04160428799</v>
      </c>
      <c r="F33" s="50">
        <f>$H156/sum($H$154:$H$157)</f>
        <v>0.4384164684</v>
      </c>
      <c r="G33" s="50">
        <f>$H157/sum($H$154:$H$157)</f>
        <v>0.4986297593</v>
      </c>
      <c r="H33" s="50"/>
      <c r="I33" s="50"/>
      <c r="J33" s="50"/>
      <c r="K33" s="50"/>
      <c r="L33" s="50"/>
      <c r="M33" s="50"/>
      <c r="N33" s="50"/>
      <c r="O33" s="50"/>
      <c r="P33" s="50"/>
      <c r="Q33" s="50"/>
      <c r="R33" s="50"/>
      <c r="S33" s="50"/>
      <c r="T33" s="50"/>
      <c r="U33" s="50"/>
      <c r="V33" s="50"/>
      <c r="W33" s="50"/>
      <c r="X33" s="50"/>
    </row>
    <row r="35">
      <c r="A35" t="s">
        <v>56</v>
      </c>
      <c r="B35" s="51">
        <f>SUMPRODUCT(C31:X31,C33:X33)</f>
        <v>112.9244859</v>
      </c>
      <c r="C35">
        <v>33.4</v>
      </c>
      <c r="D35">
        <v>83.6</v>
      </c>
      <c r="E35">
        <v>84.5</v>
      </c>
      <c r="F35">
        <v>100.7</v>
      </c>
      <c r="G35">
        <v>127.3</v>
      </c>
      <c r="H35">
        <v>134.3</v>
      </c>
      <c r="I35">
        <v>133.1</v>
      </c>
      <c r="J35">
        <v>126.3</v>
      </c>
      <c r="K35">
        <v>118.0</v>
      </c>
      <c r="L35">
        <v>112.7</v>
      </c>
      <c r="M35">
        <v>106.3</v>
      </c>
      <c r="N35">
        <v>99.7</v>
      </c>
      <c r="O35">
        <v>86.4</v>
      </c>
      <c r="P35">
        <v>75.7</v>
      </c>
      <c r="Q35">
        <v>65.2</v>
      </c>
      <c r="R35">
        <v>54.8</v>
      </c>
      <c r="S35">
        <v>39.6</v>
      </c>
      <c r="T35">
        <v>31.4</v>
      </c>
      <c r="U35">
        <v>21.2</v>
      </c>
      <c r="V35">
        <v>16.5</v>
      </c>
      <c r="W35">
        <v>12.4</v>
      </c>
      <c r="X35">
        <v>12.4</v>
      </c>
    </row>
    <row r="36">
      <c r="B36" s="51"/>
    </row>
    <row r="37">
      <c r="A37" s="48" t="s">
        <v>59</v>
      </c>
      <c r="B37" s="2"/>
      <c r="C37" s="2"/>
      <c r="D37" s="2"/>
      <c r="E37" s="2"/>
      <c r="F37" s="2"/>
      <c r="G37" s="2"/>
      <c r="H37" s="2"/>
      <c r="I37" s="2"/>
      <c r="J37" s="2"/>
      <c r="K37" s="2"/>
      <c r="L37" s="2"/>
      <c r="M37" s="2"/>
      <c r="N37" s="47"/>
      <c r="O37" s="47"/>
      <c r="P37" s="2"/>
      <c r="Q37" s="2"/>
      <c r="R37" s="2"/>
      <c r="S37" s="2"/>
      <c r="T37" s="2"/>
      <c r="U37" s="2"/>
      <c r="V37" s="2"/>
      <c r="W37" s="2"/>
      <c r="X37" s="2"/>
      <c r="Y37" s="2"/>
      <c r="Z37" s="2"/>
      <c r="AA37" s="2"/>
      <c r="AB37" s="2"/>
    </row>
    <row r="38">
      <c r="C38" t="s">
        <v>33</v>
      </c>
      <c r="D38" t="s">
        <v>34</v>
      </c>
      <c r="E38" t="s">
        <v>35</v>
      </c>
      <c r="F38" t="s">
        <v>36</v>
      </c>
      <c r="G38" t="s">
        <v>37</v>
      </c>
      <c r="H38" t="s">
        <v>38</v>
      </c>
      <c r="I38" t="s">
        <v>39</v>
      </c>
      <c r="J38" t="s">
        <v>40</v>
      </c>
      <c r="K38" t="s">
        <v>41</v>
      </c>
      <c r="L38" t="s">
        <v>42</v>
      </c>
      <c r="M38" t="s">
        <v>43</v>
      </c>
      <c r="N38" t="s">
        <v>44</v>
      </c>
      <c r="O38" t="s">
        <v>45</v>
      </c>
      <c r="P38" t="s">
        <v>46</v>
      </c>
      <c r="Q38" t="s">
        <v>47</v>
      </c>
      <c r="R38" t="s">
        <v>48</v>
      </c>
      <c r="S38" t="s">
        <v>49</v>
      </c>
      <c r="T38" t="s">
        <v>50</v>
      </c>
      <c r="U38" t="s">
        <v>51</v>
      </c>
      <c r="V38" t="s">
        <v>52</v>
      </c>
      <c r="W38" t="s">
        <v>53</v>
      </c>
      <c r="X38" t="s">
        <v>54</v>
      </c>
    </row>
    <row r="39">
      <c r="A39" t="s">
        <v>21</v>
      </c>
      <c r="C39">
        <v>33.4</v>
      </c>
      <c r="D39">
        <v>83.6</v>
      </c>
      <c r="E39">
        <v>84.5</v>
      </c>
      <c r="F39">
        <v>100.7</v>
      </c>
      <c r="G39">
        <v>127.3</v>
      </c>
      <c r="H39">
        <v>134.3</v>
      </c>
      <c r="I39">
        <v>133.1</v>
      </c>
      <c r="J39">
        <v>126.3</v>
      </c>
      <c r="K39">
        <v>118.0</v>
      </c>
      <c r="L39">
        <v>112.7</v>
      </c>
      <c r="M39">
        <v>106.3</v>
      </c>
      <c r="N39">
        <v>99.7</v>
      </c>
      <c r="O39">
        <v>86.4</v>
      </c>
      <c r="P39">
        <v>75.7</v>
      </c>
      <c r="Q39">
        <v>65.2</v>
      </c>
      <c r="R39">
        <v>54.8</v>
      </c>
      <c r="S39">
        <v>39.6</v>
      </c>
      <c r="T39">
        <v>31.4</v>
      </c>
      <c r="U39">
        <v>21.2</v>
      </c>
      <c r="V39">
        <v>16.5</v>
      </c>
      <c r="W39">
        <v>12.4</v>
      </c>
      <c r="X39">
        <v>12.4</v>
      </c>
    </row>
    <row r="41">
      <c r="A41" t="s">
        <v>55</v>
      </c>
      <c r="C41" s="49"/>
      <c r="H41" s="50">
        <f>$H108/SUM($H$108:$H$124)</f>
        <v>0.09145176114</v>
      </c>
      <c r="I41" s="50">
        <f>$H109/SUM($H$108:$H$124)</f>
        <v>0.05724747796</v>
      </c>
      <c r="J41" s="50">
        <f>$H110/SUM($H$108:$H$124)</f>
        <v>0.06169103782</v>
      </c>
      <c r="K41" s="50">
        <f>$H111/SUM($H$108:$H$124)</f>
        <v>0.05197942092</v>
      </c>
      <c r="L41" s="50">
        <f>$H112/SUM($H$108:$H$124)</f>
        <v>0.04019978978</v>
      </c>
      <c r="M41" s="50">
        <f>$H113/SUM($H$108:$H$124)</f>
        <v>0.03730391158</v>
      </c>
      <c r="N41" s="50">
        <f>$H114/SUM($H$108:$H$124)</f>
        <v>0.03748868404</v>
      </c>
      <c r="O41" s="50">
        <f>$H115/SUM($H$108:$H$124)</f>
        <v>0.03843948807</v>
      </c>
      <c r="P41" s="50">
        <f>$H116/SUM($H$108:$H$124)</f>
        <v>0.04192458184</v>
      </c>
      <c r="Q41" s="50">
        <f>$H117/SUM($H$108:$H$124)</f>
        <v>0.04536601324</v>
      </c>
      <c r="R41" s="50">
        <f>$H118/SUM($H$108:$H$124)</f>
        <v>0.05404625</v>
      </c>
      <c r="S41" s="50">
        <f>$H119/SUM($H$108:$H$124)</f>
        <v>0.07441503385</v>
      </c>
      <c r="T41" s="50">
        <f>$H120/SUM($H$108:$H$124)</f>
        <v>0.07495247207</v>
      </c>
      <c r="U41" s="50">
        <f>$H121/SUM($H$108:$H$124)</f>
        <v>0.07713444329</v>
      </c>
      <c r="V41" s="50">
        <f>$H122/SUM($H$108:$H$124)</f>
        <v>0.07483791873</v>
      </c>
      <c r="W41" s="50">
        <f>$H123/SUM($H$108:$H$124)</f>
        <v>0.06438659299</v>
      </c>
      <c r="X41" s="50">
        <f>$H124/SUM($H$108:$H$124)</f>
        <v>0.07713512269</v>
      </c>
    </row>
    <row r="43">
      <c r="A43" t="s">
        <v>56</v>
      </c>
      <c r="B43" s="51">
        <f>SUMPRODUCT(C39:X39,C41:X41)</f>
        <v>68.40005376</v>
      </c>
      <c r="C43">
        <v>33.4</v>
      </c>
      <c r="D43">
        <v>83.6</v>
      </c>
      <c r="E43">
        <v>84.5</v>
      </c>
      <c r="F43">
        <v>100.7</v>
      </c>
      <c r="G43">
        <v>127.3</v>
      </c>
      <c r="H43">
        <v>134.3</v>
      </c>
      <c r="I43">
        <v>133.1</v>
      </c>
      <c r="J43">
        <v>126.3</v>
      </c>
      <c r="K43">
        <v>118.0</v>
      </c>
      <c r="L43">
        <v>112.7</v>
      </c>
      <c r="M43">
        <v>106.3</v>
      </c>
      <c r="N43">
        <v>99.7</v>
      </c>
      <c r="O43">
        <v>86.4</v>
      </c>
      <c r="P43">
        <v>75.7</v>
      </c>
      <c r="Q43">
        <v>65.2</v>
      </c>
      <c r="R43">
        <v>54.8</v>
      </c>
      <c r="S43">
        <v>39.6</v>
      </c>
      <c r="T43">
        <v>31.4</v>
      </c>
      <c r="U43">
        <v>21.2</v>
      </c>
      <c r="V43">
        <v>16.5</v>
      </c>
      <c r="W43">
        <v>12.4</v>
      </c>
      <c r="X43">
        <v>12.4</v>
      </c>
    </row>
    <row r="44">
      <c r="A44" s="2"/>
      <c r="B44" s="2"/>
      <c r="C44" s="2"/>
      <c r="D44" s="2"/>
      <c r="E44" s="2"/>
      <c r="F44" s="2"/>
      <c r="G44" s="2"/>
      <c r="H44" s="2"/>
      <c r="I44" s="2"/>
      <c r="J44" s="2"/>
      <c r="K44" s="2"/>
      <c r="L44" s="2"/>
      <c r="M44" s="2"/>
      <c r="N44" s="47"/>
      <c r="O44" s="47"/>
      <c r="P44" s="2"/>
      <c r="Q44" s="2"/>
      <c r="R44" s="2"/>
      <c r="S44" s="2"/>
      <c r="T44" s="2"/>
      <c r="U44" s="2"/>
      <c r="V44" s="2"/>
      <c r="W44" s="2"/>
      <c r="X44" s="2"/>
      <c r="Y44" s="2"/>
      <c r="Z44" s="2"/>
      <c r="AA44" s="2"/>
      <c r="AB44" s="2"/>
    </row>
    <row r="45">
      <c r="A45" s="48" t="s">
        <v>60</v>
      </c>
      <c r="B45" s="2"/>
      <c r="C45" s="2"/>
      <c r="D45" s="2"/>
      <c r="E45" s="2"/>
      <c r="F45" s="2"/>
      <c r="G45" s="2"/>
      <c r="H45" s="2"/>
      <c r="I45" s="2"/>
      <c r="J45" s="2"/>
      <c r="K45" s="2"/>
      <c r="L45" s="2"/>
      <c r="M45" s="2"/>
      <c r="N45" s="47"/>
      <c r="O45" s="47"/>
      <c r="P45" s="2"/>
      <c r="Q45" s="2"/>
      <c r="R45" s="2"/>
      <c r="S45" s="2"/>
      <c r="T45" s="2"/>
      <c r="U45" s="2"/>
      <c r="V45" s="2"/>
      <c r="W45" s="2"/>
      <c r="X45" s="2"/>
      <c r="Y45" s="2"/>
      <c r="Z45" s="2"/>
      <c r="AA45" s="2"/>
      <c r="AB45" s="2"/>
    </row>
    <row r="46">
      <c r="C46" t="s">
        <v>33</v>
      </c>
      <c r="D46" t="s">
        <v>34</v>
      </c>
      <c r="E46" t="s">
        <v>35</v>
      </c>
      <c r="F46" t="s">
        <v>36</v>
      </c>
      <c r="G46" t="s">
        <v>37</v>
      </c>
      <c r="H46" t="s">
        <v>38</v>
      </c>
      <c r="I46" t="s">
        <v>39</v>
      </c>
      <c r="J46" t="s">
        <v>40</v>
      </c>
      <c r="K46" t="s">
        <v>41</v>
      </c>
      <c r="L46" t="s">
        <v>42</v>
      </c>
      <c r="M46" t="s">
        <v>43</v>
      </c>
      <c r="N46" t="s">
        <v>44</v>
      </c>
      <c r="O46" t="s">
        <v>45</v>
      </c>
      <c r="P46" t="s">
        <v>46</v>
      </c>
      <c r="Q46" t="s">
        <v>47</v>
      </c>
      <c r="R46" t="s">
        <v>48</v>
      </c>
      <c r="S46" t="s">
        <v>49</v>
      </c>
      <c r="T46" t="s">
        <v>50</v>
      </c>
      <c r="U46" t="s">
        <v>51</v>
      </c>
      <c r="V46" t="s">
        <v>52</v>
      </c>
      <c r="W46" t="s">
        <v>53</v>
      </c>
      <c r="X46" t="s">
        <v>54</v>
      </c>
    </row>
    <row r="47">
      <c r="A47" t="s">
        <v>21</v>
      </c>
      <c r="C47">
        <v>33.4</v>
      </c>
      <c r="D47">
        <v>83.6</v>
      </c>
      <c r="E47">
        <v>84.5</v>
      </c>
      <c r="F47">
        <v>100.7</v>
      </c>
      <c r="G47">
        <v>127.3</v>
      </c>
      <c r="H47">
        <v>134.3</v>
      </c>
      <c r="I47">
        <v>133.1</v>
      </c>
      <c r="J47">
        <v>126.3</v>
      </c>
      <c r="K47">
        <v>118.0</v>
      </c>
      <c r="L47">
        <v>112.7</v>
      </c>
      <c r="M47">
        <v>106.3</v>
      </c>
      <c r="N47">
        <v>99.7</v>
      </c>
      <c r="O47">
        <v>86.4</v>
      </c>
      <c r="P47">
        <v>75.7</v>
      </c>
      <c r="Q47">
        <v>65.2</v>
      </c>
      <c r="R47">
        <v>54.8</v>
      </c>
      <c r="S47">
        <v>39.6</v>
      </c>
      <c r="T47">
        <v>31.4</v>
      </c>
      <c r="U47">
        <v>21.2</v>
      </c>
      <c r="V47">
        <v>16.5</v>
      </c>
      <c r="W47">
        <v>12.4</v>
      </c>
      <c r="X47">
        <v>12.4</v>
      </c>
    </row>
    <row r="49">
      <c r="A49" t="s">
        <v>55</v>
      </c>
      <c r="C49" s="49"/>
      <c r="H49" s="50">
        <f>$H91/SUM($H$91:$H$107)</f>
        <v>0.1117946219</v>
      </c>
      <c r="I49" s="50">
        <f>$H92/SUM($H$91:$H$107)</f>
        <v>0.06016085572</v>
      </c>
      <c r="J49" s="50">
        <f>$H93/SUM($H$91:$H$107)</f>
        <v>0.06213842288</v>
      </c>
      <c r="K49" s="50">
        <f>$H94/SUM($H$91:$H$107)</f>
        <v>0.05418792928</v>
      </c>
      <c r="L49" s="50">
        <f>$H95/SUM($H$91:$H$107)</f>
        <v>0.04259509372</v>
      </c>
      <c r="M49" s="50">
        <f>$H96/SUM($H$91:$H$107)</f>
        <v>0.0380923329</v>
      </c>
      <c r="N49" s="50">
        <f>$H97/SUM($H$91:$H$107)</f>
        <v>0.03520624591</v>
      </c>
      <c r="O49" s="50">
        <f>$H98/SUM($H$91:$H$107)</f>
        <v>0.03710857565</v>
      </c>
      <c r="P49" s="50">
        <f>$H99/SUM($H$91:$H$107)</f>
        <v>0.04068586173</v>
      </c>
      <c r="Q49" s="50">
        <f>$H100/SUM($H$91:$H$107)</f>
        <v>0.04371491987</v>
      </c>
      <c r="R49" s="50">
        <f>$H101/SUM($H$91:$H$107)</f>
        <v>0.05015718521</v>
      </c>
      <c r="S49" s="50">
        <f>$H102/SUM($H$91:$H$107)</f>
        <v>0.06428447949</v>
      </c>
      <c r="T49" s="50">
        <f>$H103/SUM($H$91:$H$107)</f>
        <v>0.06485639275</v>
      </c>
      <c r="U49" s="50">
        <f>$H104/SUM($H$91:$H$107)</f>
        <v>0.06965287165</v>
      </c>
      <c r="V49" s="50">
        <f>$H105/SUM($H$91:$H$107)</f>
        <v>0.07578220143</v>
      </c>
      <c r="W49" s="50">
        <f>$H106/SUM($H$91:$H$107)</f>
        <v>0.06942645769</v>
      </c>
      <c r="X49" s="50">
        <f>$H107/SUM($H$91:$H$107)</f>
        <v>0.08015555216</v>
      </c>
    </row>
    <row r="51">
      <c r="A51" t="s">
        <v>56</v>
      </c>
      <c r="B51" s="51">
        <f>SUMPRODUCT(C47:X47,C49:X49)</f>
        <v>70.6723783</v>
      </c>
      <c r="C51">
        <v>33.4</v>
      </c>
      <c r="D51">
        <v>83.6</v>
      </c>
      <c r="E51">
        <v>84.5</v>
      </c>
      <c r="F51">
        <v>100.7</v>
      </c>
      <c r="G51">
        <v>127.3</v>
      </c>
      <c r="H51">
        <v>134.3</v>
      </c>
      <c r="I51">
        <v>133.1</v>
      </c>
      <c r="J51">
        <v>126.3</v>
      </c>
      <c r="K51">
        <v>118.0</v>
      </c>
      <c r="L51">
        <v>112.7</v>
      </c>
      <c r="M51">
        <v>106.3</v>
      </c>
      <c r="N51">
        <v>99.7</v>
      </c>
      <c r="O51">
        <v>86.4</v>
      </c>
      <c r="P51">
        <v>75.7</v>
      </c>
      <c r="Q51">
        <v>65.2</v>
      </c>
      <c r="R51">
        <v>54.8</v>
      </c>
      <c r="S51">
        <v>39.6</v>
      </c>
      <c r="T51">
        <v>31.4</v>
      </c>
      <c r="U51">
        <v>21.2</v>
      </c>
      <c r="V51">
        <v>16.5</v>
      </c>
      <c r="W51">
        <v>12.4</v>
      </c>
      <c r="X51">
        <v>12.4</v>
      </c>
    </row>
    <row r="52">
      <c r="A52" s="2"/>
      <c r="B52" s="2"/>
      <c r="C52" s="2"/>
      <c r="D52" s="2"/>
      <c r="E52" s="2"/>
      <c r="F52" s="2"/>
      <c r="G52" s="2"/>
      <c r="H52" s="2"/>
      <c r="I52" s="2"/>
      <c r="J52" s="2"/>
      <c r="K52" s="2"/>
      <c r="L52" s="2"/>
      <c r="M52" s="2"/>
      <c r="N52" s="47"/>
      <c r="O52" s="47"/>
      <c r="P52" s="2"/>
      <c r="Q52" s="2"/>
      <c r="R52" s="2"/>
      <c r="S52" s="2"/>
      <c r="T52" s="2"/>
      <c r="U52" s="2"/>
      <c r="V52" s="2"/>
      <c r="W52" s="2"/>
      <c r="X52" s="2"/>
      <c r="Y52" s="2"/>
      <c r="Z52" s="2"/>
      <c r="AA52" s="2"/>
      <c r="AB52" s="2"/>
    </row>
    <row r="53">
      <c r="A53" s="48" t="s">
        <v>61</v>
      </c>
      <c r="B53" s="2"/>
      <c r="C53" s="2"/>
      <c r="D53" s="2"/>
      <c r="E53" s="2"/>
      <c r="F53" s="2"/>
      <c r="G53" s="2"/>
      <c r="H53" s="2"/>
      <c r="I53" s="2"/>
      <c r="J53" s="2"/>
      <c r="K53" s="2"/>
      <c r="L53" s="2"/>
      <c r="M53" s="2"/>
      <c r="N53" s="47"/>
      <c r="O53" s="47"/>
      <c r="P53" s="2"/>
      <c r="Q53" s="2"/>
      <c r="R53" s="2"/>
      <c r="S53" s="2"/>
      <c r="T53" s="2"/>
      <c r="U53" s="2"/>
      <c r="V53" s="2"/>
      <c r="W53" s="2"/>
      <c r="X53" s="2"/>
      <c r="Y53" s="2"/>
      <c r="Z53" s="2"/>
      <c r="AA53" s="2"/>
      <c r="AB53" s="2"/>
    </row>
    <row r="54">
      <c r="C54" t="s">
        <v>33</v>
      </c>
      <c r="D54" t="s">
        <v>34</v>
      </c>
      <c r="E54" t="s">
        <v>35</v>
      </c>
      <c r="F54" t="s">
        <v>36</v>
      </c>
      <c r="G54" t="s">
        <v>37</v>
      </c>
      <c r="H54" t="s">
        <v>38</v>
      </c>
      <c r="I54" t="s">
        <v>39</v>
      </c>
      <c r="J54" t="s">
        <v>40</v>
      </c>
      <c r="K54" t="s">
        <v>41</v>
      </c>
      <c r="L54" t="s">
        <v>42</v>
      </c>
      <c r="M54" t="s">
        <v>43</v>
      </c>
      <c r="N54" t="s">
        <v>44</v>
      </c>
      <c r="O54" t="s">
        <v>45</v>
      </c>
      <c r="P54" t="s">
        <v>46</v>
      </c>
      <c r="Q54" t="s">
        <v>47</v>
      </c>
      <c r="R54" t="s">
        <v>48</v>
      </c>
      <c r="S54" t="s">
        <v>49</v>
      </c>
      <c r="T54" t="s">
        <v>50</v>
      </c>
      <c r="U54" t="s">
        <v>51</v>
      </c>
      <c r="V54" t="s">
        <v>52</v>
      </c>
      <c r="W54" t="s">
        <v>53</v>
      </c>
      <c r="X54" t="s">
        <v>54</v>
      </c>
    </row>
    <row r="55">
      <c r="A55" t="s">
        <v>21</v>
      </c>
      <c r="C55">
        <v>33.4</v>
      </c>
      <c r="D55">
        <v>83.6</v>
      </c>
      <c r="E55">
        <v>84.5</v>
      </c>
      <c r="F55">
        <v>100.7</v>
      </c>
      <c r="G55">
        <v>127.3</v>
      </c>
      <c r="H55">
        <v>134.3</v>
      </c>
      <c r="I55">
        <v>133.1</v>
      </c>
      <c r="J55">
        <v>126.3</v>
      </c>
      <c r="K55">
        <v>118.0</v>
      </c>
      <c r="L55">
        <v>112.7</v>
      </c>
      <c r="M55">
        <v>106.3</v>
      </c>
      <c r="N55">
        <v>99.7</v>
      </c>
      <c r="O55">
        <v>86.4</v>
      </c>
      <c r="P55">
        <v>75.7</v>
      </c>
      <c r="Q55">
        <v>65.2</v>
      </c>
      <c r="R55">
        <v>54.8</v>
      </c>
      <c r="S55">
        <v>39.6</v>
      </c>
      <c r="T55">
        <v>31.4</v>
      </c>
      <c r="U55">
        <v>21.2</v>
      </c>
      <c r="V55">
        <v>16.5</v>
      </c>
      <c r="W55">
        <v>12.4</v>
      </c>
      <c r="X55">
        <v>12.4</v>
      </c>
    </row>
    <row r="57">
      <c r="A57" t="s">
        <v>55</v>
      </c>
      <c r="C57" s="49"/>
      <c r="H57" s="50">
        <f>$H125/SUM($H$125:$H$141)</f>
        <v>0.09093610513</v>
      </c>
      <c r="I57" s="50">
        <f>$H126/SUM($H$125:$H$141)</f>
        <v>0.04444264488</v>
      </c>
      <c r="J57" s="50">
        <f>$H127/SUM($H$125:$H$141)</f>
        <v>0.05398355778</v>
      </c>
      <c r="K57" s="50">
        <f>$H128/SUM($H$125:$H$141)</f>
        <v>0.05002952419</v>
      </c>
      <c r="L57" s="50">
        <f>$H129/SUM($H$125:$H$141)</f>
        <v>0.04070897832</v>
      </c>
      <c r="M57" s="50">
        <f>$H130/SUM($H$125:$H$141)</f>
        <v>0.04010152123</v>
      </c>
      <c r="N57" s="50">
        <f>$H131/SUM($H$125:$H$141)</f>
        <v>0.03907847571</v>
      </c>
      <c r="O57" s="50">
        <f>$H132/SUM($H$125:$H$141)</f>
        <v>0.04041631765</v>
      </c>
      <c r="P57" s="50">
        <f>$H133/SUM($H$125:$H$141)</f>
        <v>0.0427977788</v>
      </c>
      <c r="Q57" s="50">
        <f>$H134/SUM($H$125:$H$141)</f>
        <v>0.04200567289</v>
      </c>
      <c r="R57" s="50">
        <f>$H135/SUM($H$125:$H$141)</f>
        <v>0.04831219302</v>
      </c>
      <c r="S57" s="50">
        <f>$H136/SUM($H$125:$H$141)</f>
        <v>0.07236098252</v>
      </c>
      <c r="T57" s="50">
        <f>$H137/SUM($H$125:$H$141)</f>
        <v>0.08182584898</v>
      </c>
      <c r="U57" s="50">
        <f>$H138/SUM($H$125:$H$141)</f>
        <v>0.082401855</v>
      </c>
      <c r="V57" s="50">
        <f>$H139/SUM($H$125:$H$141)</f>
        <v>0.07854821337</v>
      </c>
      <c r="W57" s="50">
        <f>$H140/SUM($H$125:$H$141)</f>
        <v>0.06707821275</v>
      </c>
      <c r="X57" s="50">
        <f>$H141/SUM($H$125:$H$141)</f>
        <v>0.0849721178</v>
      </c>
    </row>
    <row r="59">
      <c r="A59" t="s">
        <v>56</v>
      </c>
      <c r="B59" s="51">
        <f>SUMPRODUCT(C55:X55,C57:X57)</f>
        <v>66.07771501</v>
      </c>
      <c r="C59">
        <v>33.4</v>
      </c>
      <c r="D59">
        <v>83.6</v>
      </c>
      <c r="E59">
        <v>84.5</v>
      </c>
      <c r="F59">
        <v>100.7</v>
      </c>
      <c r="G59">
        <v>127.3</v>
      </c>
      <c r="H59">
        <v>134.3</v>
      </c>
      <c r="I59">
        <v>133.1</v>
      </c>
      <c r="J59">
        <v>126.3</v>
      </c>
      <c r="K59">
        <v>118.0</v>
      </c>
      <c r="L59">
        <v>112.7</v>
      </c>
      <c r="M59">
        <v>106.3</v>
      </c>
      <c r="N59">
        <v>99.7</v>
      </c>
      <c r="O59">
        <v>86.4</v>
      </c>
      <c r="P59">
        <v>75.7</v>
      </c>
      <c r="Q59">
        <v>65.2</v>
      </c>
      <c r="R59">
        <v>54.8</v>
      </c>
      <c r="S59">
        <v>39.6</v>
      </c>
      <c r="T59">
        <v>31.4</v>
      </c>
      <c r="U59">
        <v>21.2</v>
      </c>
      <c r="V59">
        <v>16.5</v>
      </c>
      <c r="W59">
        <v>12.4</v>
      </c>
      <c r="X59">
        <v>12.4</v>
      </c>
    </row>
    <row r="60">
      <c r="A60" s="2"/>
      <c r="B60" s="2"/>
      <c r="C60" s="2"/>
      <c r="D60" s="2"/>
      <c r="E60" s="2"/>
      <c r="F60" s="2"/>
      <c r="G60" s="2"/>
      <c r="H60" s="2"/>
      <c r="I60" s="2"/>
      <c r="J60" s="2"/>
      <c r="K60" s="2"/>
      <c r="L60" s="2"/>
      <c r="M60" s="2"/>
      <c r="N60" s="47"/>
      <c r="O60" s="47"/>
      <c r="P60" s="2"/>
      <c r="Q60" s="2"/>
      <c r="R60" s="2"/>
      <c r="S60" s="2"/>
      <c r="T60" s="2"/>
      <c r="U60" s="2"/>
      <c r="V60" s="2"/>
      <c r="W60" s="2"/>
      <c r="X60" s="2"/>
      <c r="Y60" s="2"/>
      <c r="Z60" s="2"/>
      <c r="AA60" s="2"/>
      <c r="AB60" s="2"/>
    </row>
    <row r="61">
      <c r="A61" s="48" t="s">
        <v>62</v>
      </c>
      <c r="B61" s="2"/>
      <c r="C61" s="2"/>
      <c r="D61" s="2"/>
      <c r="E61" s="2"/>
      <c r="F61" s="2"/>
      <c r="G61" s="2"/>
      <c r="H61" s="2"/>
      <c r="I61" s="2"/>
      <c r="J61" s="2"/>
      <c r="K61" s="2"/>
      <c r="L61" s="2"/>
      <c r="M61" s="2"/>
      <c r="N61" s="47"/>
      <c r="O61" s="47"/>
      <c r="P61" s="2"/>
      <c r="Q61" s="2"/>
      <c r="R61" s="2"/>
      <c r="S61" s="2"/>
      <c r="T61" s="2"/>
      <c r="U61" s="2"/>
      <c r="V61" s="2"/>
      <c r="W61" s="2"/>
      <c r="X61" s="2"/>
      <c r="Y61" s="2"/>
      <c r="Z61" s="2"/>
      <c r="AA61" s="2"/>
      <c r="AB61" s="2"/>
    </row>
    <row r="62">
      <c r="C62" t="s">
        <v>33</v>
      </c>
      <c r="D62" t="s">
        <v>34</v>
      </c>
      <c r="E62" t="s">
        <v>35</v>
      </c>
      <c r="F62" t="s">
        <v>36</v>
      </c>
      <c r="G62" t="s">
        <v>37</v>
      </c>
      <c r="H62" t="s">
        <v>38</v>
      </c>
      <c r="I62" t="s">
        <v>39</v>
      </c>
      <c r="J62" t="s">
        <v>40</v>
      </c>
      <c r="K62" t="s">
        <v>41</v>
      </c>
      <c r="L62" t="s">
        <v>42</v>
      </c>
      <c r="M62" t="s">
        <v>43</v>
      </c>
      <c r="N62" t="s">
        <v>44</v>
      </c>
      <c r="O62" t="s">
        <v>45</v>
      </c>
      <c r="P62" t="s">
        <v>46</v>
      </c>
      <c r="Q62" t="s">
        <v>47</v>
      </c>
      <c r="R62" t="s">
        <v>48</v>
      </c>
      <c r="S62" t="s">
        <v>49</v>
      </c>
      <c r="T62" t="s">
        <v>50</v>
      </c>
      <c r="U62" t="s">
        <v>51</v>
      </c>
      <c r="V62" t="s">
        <v>52</v>
      </c>
      <c r="W62" t="s">
        <v>53</v>
      </c>
      <c r="X62" t="s">
        <v>54</v>
      </c>
    </row>
    <row r="63">
      <c r="A63" t="s">
        <v>21</v>
      </c>
      <c r="C63">
        <v>33.4</v>
      </c>
      <c r="D63">
        <v>83.6</v>
      </c>
      <c r="E63">
        <v>84.5</v>
      </c>
      <c r="F63">
        <v>100.7</v>
      </c>
      <c r="G63">
        <v>127.3</v>
      </c>
      <c r="H63">
        <v>134.3</v>
      </c>
      <c r="I63">
        <v>133.1</v>
      </c>
      <c r="J63">
        <v>126.3</v>
      </c>
      <c r="K63">
        <v>118.0</v>
      </c>
      <c r="L63">
        <v>112.7</v>
      </c>
      <c r="M63">
        <v>106.3</v>
      </c>
      <c r="N63">
        <v>99.7</v>
      </c>
      <c r="O63">
        <v>86.4</v>
      </c>
      <c r="P63">
        <v>75.7</v>
      </c>
      <c r="Q63">
        <v>65.2</v>
      </c>
      <c r="R63">
        <v>54.8</v>
      </c>
      <c r="S63">
        <v>39.6</v>
      </c>
      <c r="T63">
        <v>31.4</v>
      </c>
      <c r="U63">
        <v>21.2</v>
      </c>
      <c r="V63">
        <v>16.5</v>
      </c>
      <c r="W63">
        <v>12.4</v>
      </c>
      <c r="X63">
        <v>12.4</v>
      </c>
    </row>
    <row r="65">
      <c r="A65" t="s">
        <v>55</v>
      </c>
      <c r="C65" s="49"/>
      <c r="H65" s="50">
        <f>$H74/SUM($H$74:$H$90)</f>
        <v>0.1162539345</v>
      </c>
      <c r="I65" s="50">
        <f>$H75/SUM($H$74:$H$90)</f>
        <v>0.05201603377</v>
      </c>
      <c r="J65" s="50">
        <f>$H76/SUM($H$74:$H$90)</f>
        <v>0.04381356078</v>
      </c>
      <c r="K65" s="50">
        <f>$H77/SUM($H$74:$H$90)</f>
        <v>0.0409011031</v>
      </c>
      <c r="L65" s="50">
        <f>$H78/SUM($H$74:$H$90)</f>
        <v>0.0369371751</v>
      </c>
      <c r="M65" s="50">
        <f>$H79/SUM($H$74:$H$90)</f>
        <v>0.03661420045</v>
      </c>
      <c r="N65" s="50">
        <f>$H80/SUM($H$74:$H$90)</f>
        <v>0.03754598088</v>
      </c>
      <c r="O65" s="50">
        <f>$H81/SUM($H$74:$H$90)</f>
        <v>0.04064939837</v>
      </c>
      <c r="P65" s="50">
        <f>$H82/SUM($H$74:$H$90)</f>
        <v>0.04478841257</v>
      </c>
      <c r="Q65" s="50">
        <f>$H83/SUM($H$74:$H$90)</f>
        <v>0.04993439235</v>
      </c>
      <c r="R65" s="50">
        <f>$H84/SUM($H$74:$H$90)</f>
        <v>0.0584242032</v>
      </c>
      <c r="S65" s="50">
        <f>$H85/SUM($H$74:$H$90)</f>
        <v>0.07126602046</v>
      </c>
      <c r="T65" s="50">
        <f>$H86/SUM($H$74:$H$90)</f>
        <v>0.07080150681</v>
      </c>
      <c r="U65" s="50">
        <f>$H87/SUM($H$74:$H$90)</f>
        <v>0.0719933467</v>
      </c>
      <c r="V65" s="50">
        <f>$H88/SUM($H$74:$H$90)</f>
        <v>0.07757667537</v>
      </c>
      <c r="W65" s="50">
        <f>$H89/SUM($H$74:$H$90)</f>
        <v>0.0702178495</v>
      </c>
      <c r="X65" s="50">
        <f>$H90/SUM($H$74:$H$90)</f>
        <v>0.0802662061</v>
      </c>
    </row>
    <row r="67">
      <c r="A67" t="s">
        <v>56</v>
      </c>
      <c r="B67" s="51">
        <f>SUMPRODUCT(C63:X63,C65:X65)</f>
        <v>67.7720015</v>
      </c>
      <c r="C67">
        <v>33.4</v>
      </c>
      <c r="D67">
        <v>83.6</v>
      </c>
      <c r="E67">
        <v>84.5</v>
      </c>
      <c r="F67">
        <v>100.7</v>
      </c>
      <c r="G67">
        <v>127.3</v>
      </c>
      <c r="H67">
        <v>134.3</v>
      </c>
      <c r="I67">
        <v>133.1</v>
      </c>
      <c r="J67">
        <v>126.3</v>
      </c>
      <c r="K67">
        <v>118.0</v>
      </c>
      <c r="L67">
        <v>112.7</v>
      </c>
      <c r="M67">
        <v>106.3</v>
      </c>
      <c r="N67">
        <v>99.7</v>
      </c>
      <c r="O67">
        <v>86.4</v>
      </c>
      <c r="P67">
        <v>75.7</v>
      </c>
      <c r="Q67">
        <v>65.2</v>
      </c>
      <c r="R67">
        <v>54.8</v>
      </c>
      <c r="S67">
        <v>39.6</v>
      </c>
      <c r="T67">
        <v>31.4</v>
      </c>
      <c r="U67">
        <v>21.2</v>
      </c>
      <c r="V67">
        <v>16.5</v>
      </c>
      <c r="W67">
        <v>12.4</v>
      </c>
      <c r="X67">
        <v>12.4</v>
      </c>
    </row>
    <row r="68">
      <c r="A68" s="2"/>
      <c r="B68" s="2"/>
      <c r="C68" s="2"/>
      <c r="D68" s="2"/>
      <c r="E68" s="2"/>
      <c r="F68" s="2"/>
      <c r="G68" s="2"/>
      <c r="H68" s="2"/>
      <c r="I68" s="2"/>
      <c r="J68" s="2"/>
      <c r="K68" s="2"/>
      <c r="L68" s="2"/>
      <c r="M68" s="2"/>
      <c r="N68" s="47"/>
      <c r="O68" s="47"/>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47"/>
      <c r="O69" s="47"/>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47"/>
      <c r="O70" s="47"/>
      <c r="P70" s="2"/>
      <c r="Q70" s="2"/>
      <c r="R70" s="2"/>
      <c r="S70" s="2"/>
      <c r="T70" s="2"/>
      <c r="U70" s="2"/>
      <c r="V70" s="2"/>
      <c r="W70" s="2"/>
      <c r="X70" s="2"/>
      <c r="Y70" s="2"/>
      <c r="Z70" s="2"/>
      <c r="AA70" s="2"/>
      <c r="AB70" s="2"/>
    </row>
    <row r="71">
      <c r="A71" s="48" t="s">
        <v>63</v>
      </c>
      <c r="B71" s="2"/>
      <c r="C71" s="2"/>
      <c r="D71" s="2"/>
      <c r="E71" s="2"/>
      <c r="F71" s="2"/>
      <c r="G71" s="2"/>
      <c r="H71" s="2"/>
      <c r="I71" s="2"/>
      <c r="J71" s="2"/>
      <c r="K71" s="2"/>
      <c r="L71" s="2"/>
      <c r="M71" s="2"/>
      <c r="N71" s="47"/>
      <c r="O71" s="47"/>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47"/>
      <c r="O72" s="47"/>
      <c r="P72" s="2"/>
      <c r="Q72" s="2"/>
      <c r="R72" s="2"/>
      <c r="S72" s="2"/>
      <c r="T72" s="2"/>
      <c r="U72" s="2"/>
      <c r="V72" s="2"/>
      <c r="W72" s="2"/>
      <c r="X72" s="2"/>
      <c r="Y72" s="2"/>
      <c r="Z72" s="2"/>
      <c r="AA72" s="2"/>
      <c r="AB72" s="2"/>
    </row>
    <row r="73">
      <c r="A73" s="52" t="s">
        <v>64</v>
      </c>
      <c r="B73" s="52" t="s">
        <v>65</v>
      </c>
      <c r="C73" s="52" t="s">
        <v>66</v>
      </c>
      <c r="D73" s="52" t="s">
        <v>67</v>
      </c>
      <c r="E73" s="52" t="s">
        <v>68</v>
      </c>
      <c r="F73" s="52" t="s">
        <v>69</v>
      </c>
      <c r="G73" s="52" t="s">
        <v>70</v>
      </c>
      <c r="H73" s="52" t="s">
        <v>71</v>
      </c>
      <c r="I73" s="52" t="s">
        <v>72</v>
      </c>
      <c r="J73" s="52" t="s">
        <v>73</v>
      </c>
      <c r="K73" s="2"/>
      <c r="L73" s="2"/>
      <c r="M73" s="2"/>
      <c r="N73" s="47"/>
      <c r="O73" s="47"/>
      <c r="P73" s="2"/>
      <c r="Q73" s="2"/>
      <c r="R73" s="2"/>
      <c r="S73" s="2"/>
      <c r="T73" s="2"/>
      <c r="U73" s="2"/>
      <c r="V73" s="2"/>
      <c r="W73" s="2"/>
      <c r="X73" s="2"/>
      <c r="Y73" s="2"/>
      <c r="Z73" s="2"/>
      <c r="AA73" s="2"/>
      <c r="AB73" s="2"/>
    </row>
    <row r="74">
      <c r="A74" s="52" t="s">
        <v>74</v>
      </c>
      <c r="B74" s="52" t="s">
        <v>75</v>
      </c>
      <c r="C74" s="52" t="s">
        <v>76</v>
      </c>
      <c r="D74" s="52" t="s">
        <v>38</v>
      </c>
      <c r="E74" s="52" t="s">
        <v>77</v>
      </c>
      <c r="F74" s="52" t="s">
        <v>78</v>
      </c>
      <c r="G74" s="53">
        <v>2019.0</v>
      </c>
      <c r="H74" s="53">
        <v>31711.74</v>
      </c>
      <c r="I74" s="53">
        <v>44172.62</v>
      </c>
      <c r="J74" s="53">
        <v>22845.46</v>
      </c>
      <c r="K74" s="2"/>
      <c r="L74" s="2"/>
      <c r="M74" s="2"/>
      <c r="N74" s="47"/>
      <c r="O74" s="47"/>
      <c r="P74" s="2"/>
      <c r="Q74" s="2"/>
      <c r="R74" s="2"/>
      <c r="S74" s="2"/>
      <c r="T74" s="2"/>
      <c r="U74" s="2"/>
      <c r="V74" s="2"/>
      <c r="W74" s="2"/>
      <c r="X74" s="2"/>
      <c r="Y74" s="2"/>
      <c r="Z74" s="2"/>
      <c r="AA74" s="2"/>
      <c r="AB74" s="2"/>
    </row>
    <row r="75">
      <c r="A75" s="52" t="s">
        <v>74</v>
      </c>
      <c r="B75" s="52" t="s">
        <v>75</v>
      </c>
      <c r="C75" s="52" t="s">
        <v>76</v>
      </c>
      <c r="D75" s="52" t="s">
        <v>39</v>
      </c>
      <c r="E75" s="52" t="s">
        <v>77</v>
      </c>
      <c r="F75" s="52" t="s">
        <v>78</v>
      </c>
      <c r="G75" s="53">
        <v>2019.0</v>
      </c>
      <c r="H75" s="53">
        <v>14188.93</v>
      </c>
      <c r="I75" s="53">
        <v>19769.38</v>
      </c>
      <c r="J75" s="53">
        <v>10036.62</v>
      </c>
      <c r="K75" s="2"/>
      <c r="L75" s="2"/>
      <c r="M75" s="2"/>
      <c r="N75" s="47"/>
      <c r="O75" s="47"/>
      <c r="P75" s="2"/>
      <c r="Q75" s="2"/>
      <c r="R75" s="2"/>
      <c r="S75" s="2"/>
      <c r="T75" s="2"/>
      <c r="U75" s="2"/>
      <c r="V75" s="2"/>
      <c r="W75" s="2"/>
      <c r="X75" s="2"/>
      <c r="Y75" s="2"/>
      <c r="Z75" s="2"/>
      <c r="AA75" s="2"/>
      <c r="AB75" s="2"/>
    </row>
    <row r="76">
      <c r="A76" s="52" t="s">
        <v>74</v>
      </c>
      <c r="B76" s="52" t="s">
        <v>75</v>
      </c>
      <c r="C76" s="52" t="s">
        <v>76</v>
      </c>
      <c r="D76" s="52" t="s">
        <v>40</v>
      </c>
      <c r="E76" s="52" t="s">
        <v>77</v>
      </c>
      <c r="F76" s="52" t="s">
        <v>78</v>
      </c>
      <c r="G76" s="53">
        <v>2019.0</v>
      </c>
      <c r="H76" s="53">
        <v>11951.46</v>
      </c>
      <c r="I76" s="53">
        <v>17858.92</v>
      </c>
      <c r="J76" s="53">
        <v>8026.263</v>
      </c>
      <c r="K76" s="2"/>
      <c r="L76" s="2"/>
      <c r="M76" s="2"/>
      <c r="N76" s="47"/>
      <c r="O76" s="47"/>
      <c r="P76" s="2"/>
      <c r="Q76" s="2"/>
      <c r="R76" s="2"/>
      <c r="S76" s="2"/>
      <c r="T76" s="2"/>
      <c r="U76" s="2"/>
      <c r="V76" s="2"/>
      <c r="W76" s="2"/>
      <c r="X76" s="2"/>
      <c r="Y76" s="2"/>
      <c r="Z76" s="2"/>
      <c r="AA76" s="2"/>
      <c r="AB76" s="2"/>
    </row>
    <row r="77">
      <c r="A77" s="52" t="s">
        <v>74</v>
      </c>
      <c r="B77" s="52" t="s">
        <v>75</v>
      </c>
      <c r="C77" s="52" t="s">
        <v>76</v>
      </c>
      <c r="D77" s="52" t="s">
        <v>41</v>
      </c>
      <c r="E77" s="52" t="s">
        <v>77</v>
      </c>
      <c r="F77" s="52" t="s">
        <v>78</v>
      </c>
      <c r="G77" s="53">
        <v>2019.0</v>
      </c>
      <c r="H77" s="53">
        <v>11157.0</v>
      </c>
      <c r="I77" s="53">
        <v>16946.38</v>
      </c>
      <c r="J77" s="53">
        <v>7211.808</v>
      </c>
      <c r="K77" s="2"/>
      <c r="L77" s="2"/>
      <c r="M77" s="2"/>
      <c r="N77" s="47"/>
      <c r="O77" s="47"/>
      <c r="P77" s="2"/>
      <c r="Q77" s="2"/>
      <c r="R77" s="2"/>
      <c r="S77" s="2"/>
      <c r="T77" s="2"/>
      <c r="U77" s="2"/>
      <c r="V77" s="2"/>
      <c r="W77" s="2"/>
      <c r="X77" s="2"/>
      <c r="Y77" s="2"/>
      <c r="Z77" s="2"/>
      <c r="AA77" s="2"/>
      <c r="AB77" s="2"/>
    </row>
    <row r="78">
      <c r="A78" s="52" t="s">
        <v>74</v>
      </c>
      <c r="B78" s="52" t="s">
        <v>75</v>
      </c>
      <c r="C78" s="52" t="s">
        <v>76</v>
      </c>
      <c r="D78" s="52" t="s">
        <v>42</v>
      </c>
      <c r="E78" s="52" t="s">
        <v>77</v>
      </c>
      <c r="F78" s="52" t="s">
        <v>78</v>
      </c>
      <c r="G78" s="53">
        <v>2019.0</v>
      </c>
      <c r="H78" s="53">
        <v>10075.72</v>
      </c>
      <c r="I78" s="53">
        <v>15604.45</v>
      </c>
      <c r="J78" s="53">
        <v>6465.784</v>
      </c>
      <c r="K78" s="2"/>
      <c r="L78" s="2"/>
      <c r="M78" s="2"/>
      <c r="N78" s="47"/>
      <c r="O78" s="47"/>
      <c r="P78" s="2"/>
      <c r="Q78" s="2"/>
      <c r="R78" s="2"/>
      <c r="S78" s="2"/>
      <c r="T78" s="2"/>
      <c r="U78" s="2"/>
      <c r="V78" s="2"/>
      <c r="W78" s="2"/>
      <c r="X78" s="2"/>
      <c r="Y78" s="2"/>
      <c r="Z78" s="2"/>
      <c r="AA78" s="2"/>
      <c r="AB78" s="2"/>
    </row>
    <row r="79">
      <c r="A79" s="52" t="s">
        <v>74</v>
      </c>
      <c r="B79" s="52" t="s">
        <v>75</v>
      </c>
      <c r="C79" s="52" t="s">
        <v>76</v>
      </c>
      <c r="D79" s="52" t="s">
        <v>43</v>
      </c>
      <c r="E79" s="52" t="s">
        <v>77</v>
      </c>
      <c r="F79" s="52" t="s">
        <v>78</v>
      </c>
      <c r="G79" s="53">
        <v>2019.0</v>
      </c>
      <c r="H79" s="53">
        <v>9987.619</v>
      </c>
      <c r="I79" s="53">
        <v>15836.47</v>
      </c>
      <c r="J79" s="53">
        <v>6419.897</v>
      </c>
      <c r="K79" s="2"/>
      <c r="L79" s="2"/>
      <c r="M79" s="2"/>
      <c r="N79" s="47"/>
      <c r="O79" s="47"/>
      <c r="P79" s="2"/>
      <c r="Q79" s="2"/>
      <c r="R79" s="2"/>
      <c r="S79" s="2"/>
      <c r="T79" s="2"/>
      <c r="U79" s="2"/>
      <c r="V79" s="2"/>
      <c r="W79" s="2"/>
      <c r="X79" s="2"/>
      <c r="Y79" s="2"/>
      <c r="Z79" s="2"/>
      <c r="AA79" s="2"/>
      <c r="AB79" s="2"/>
    </row>
    <row r="80">
      <c r="A80" s="52" t="s">
        <v>74</v>
      </c>
      <c r="B80" s="52" t="s">
        <v>75</v>
      </c>
      <c r="C80" s="52" t="s">
        <v>76</v>
      </c>
      <c r="D80" s="52" t="s">
        <v>44</v>
      </c>
      <c r="E80" s="52" t="s">
        <v>77</v>
      </c>
      <c r="F80" s="52" t="s">
        <v>78</v>
      </c>
      <c r="G80" s="53">
        <v>2019.0</v>
      </c>
      <c r="H80" s="53">
        <v>10241.79</v>
      </c>
      <c r="I80" s="53">
        <v>16103.97</v>
      </c>
      <c r="J80" s="53">
        <v>6587.959</v>
      </c>
      <c r="K80" s="2"/>
      <c r="L80" s="2"/>
      <c r="M80" s="2"/>
      <c r="N80" s="47"/>
      <c r="O80" s="47"/>
      <c r="P80" s="2"/>
      <c r="Q80" s="2"/>
      <c r="R80" s="2"/>
      <c r="S80" s="2"/>
      <c r="T80" s="2"/>
      <c r="U80" s="2"/>
      <c r="V80" s="2"/>
      <c r="W80" s="2"/>
      <c r="X80" s="2"/>
      <c r="Y80" s="2"/>
      <c r="Z80" s="2"/>
      <c r="AA80" s="2"/>
      <c r="AB80" s="2"/>
    </row>
    <row r="81">
      <c r="A81" s="52" t="s">
        <v>74</v>
      </c>
      <c r="B81" s="52" t="s">
        <v>75</v>
      </c>
      <c r="C81" s="52" t="s">
        <v>76</v>
      </c>
      <c r="D81" s="52" t="s">
        <v>45</v>
      </c>
      <c r="E81" s="52" t="s">
        <v>77</v>
      </c>
      <c r="F81" s="52" t="s">
        <v>78</v>
      </c>
      <c r="G81" s="53">
        <v>2019.0</v>
      </c>
      <c r="H81" s="53">
        <v>11088.34</v>
      </c>
      <c r="I81" s="53">
        <v>17905.91</v>
      </c>
      <c r="J81" s="53">
        <v>7032.376</v>
      </c>
      <c r="K81" s="2"/>
      <c r="L81" s="2"/>
      <c r="M81" s="2"/>
      <c r="N81" s="47"/>
      <c r="O81" s="47"/>
      <c r="P81" s="2"/>
      <c r="Q81" s="2"/>
      <c r="R81" s="2"/>
      <c r="S81" s="2"/>
      <c r="T81" s="2"/>
      <c r="U81" s="2"/>
      <c r="V81" s="2"/>
      <c r="W81" s="2"/>
      <c r="X81" s="2"/>
      <c r="Y81" s="2"/>
      <c r="Z81" s="2"/>
      <c r="AA81" s="2"/>
      <c r="AB81" s="2"/>
    </row>
    <row r="82">
      <c r="A82" s="52" t="s">
        <v>74</v>
      </c>
      <c r="B82" s="52" t="s">
        <v>75</v>
      </c>
      <c r="C82" s="52" t="s">
        <v>76</v>
      </c>
      <c r="D82" s="52" t="s">
        <v>46</v>
      </c>
      <c r="E82" s="52" t="s">
        <v>77</v>
      </c>
      <c r="F82" s="52" t="s">
        <v>78</v>
      </c>
      <c r="G82" s="53">
        <v>2019.0</v>
      </c>
      <c r="H82" s="53">
        <v>12217.38</v>
      </c>
      <c r="I82" s="53">
        <v>19575.53</v>
      </c>
      <c r="J82" s="53">
        <v>7793.059</v>
      </c>
      <c r="K82" s="2"/>
      <c r="L82" s="2"/>
      <c r="M82" s="2"/>
      <c r="N82" s="47"/>
      <c r="O82" s="47"/>
      <c r="P82" s="2"/>
      <c r="Q82" s="2"/>
      <c r="R82" s="2"/>
      <c r="S82" s="2"/>
      <c r="T82" s="2"/>
      <c r="U82" s="2"/>
      <c r="V82" s="2"/>
      <c r="W82" s="2"/>
      <c r="X82" s="2"/>
      <c r="Y82" s="2"/>
      <c r="Z82" s="2"/>
      <c r="AA82" s="2"/>
      <c r="AB82" s="2"/>
    </row>
    <row r="83">
      <c r="A83" s="52" t="s">
        <v>74</v>
      </c>
      <c r="B83" s="52" t="s">
        <v>75</v>
      </c>
      <c r="C83" s="52" t="s">
        <v>76</v>
      </c>
      <c r="D83" s="52" t="s">
        <v>47</v>
      </c>
      <c r="E83" s="52" t="s">
        <v>77</v>
      </c>
      <c r="F83" s="52" t="s">
        <v>78</v>
      </c>
      <c r="G83" s="53">
        <v>2019.0</v>
      </c>
      <c r="H83" s="53">
        <v>13621.1</v>
      </c>
      <c r="I83" s="53">
        <v>22430.69</v>
      </c>
      <c r="J83" s="53">
        <v>8409.627</v>
      </c>
      <c r="K83" s="2"/>
      <c r="L83" s="2"/>
      <c r="M83" s="2"/>
      <c r="N83" s="47"/>
      <c r="O83" s="47"/>
      <c r="P83" s="2"/>
      <c r="Q83" s="2"/>
      <c r="R83" s="2"/>
      <c r="S83" s="2"/>
      <c r="T83" s="2"/>
      <c r="U83" s="2"/>
      <c r="V83" s="2"/>
      <c r="W83" s="2"/>
      <c r="X83" s="2"/>
      <c r="Y83" s="2"/>
      <c r="Z83" s="2"/>
      <c r="AA83" s="2"/>
      <c r="AB83" s="2"/>
    </row>
    <row r="84">
      <c r="A84" s="52" t="s">
        <v>74</v>
      </c>
      <c r="B84" s="52" t="s">
        <v>75</v>
      </c>
      <c r="C84" s="52" t="s">
        <v>76</v>
      </c>
      <c r="D84" s="52" t="s">
        <v>48</v>
      </c>
      <c r="E84" s="52" t="s">
        <v>77</v>
      </c>
      <c r="F84" s="52" t="s">
        <v>78</v>
      </c>
      <c r="G84" s="53">
        <v>2019.0</v>
      </c>
      <c r="H84" s="53">
        <v>15936.95</v>
      </c>
      <c r="I84" s="53">
        <v>25911.77</v>
      </c>
      <c r="J84" s="53">
        <v>9942.258</v>
      </c>
      <c r="K84" s="2"/>
      <c r="L84" s="2"/>
      <c r="M84" s="2"/>
      <c r="N84" s="47"/>
      <c r="O84" s="47"/>
      <c r="P84" s="2"/>
      <c r="Q84" s="2"/>
      <c r="R84" s="2"/>
      <c r="S84" s="2"/>
      <c r="T84" s="2"/>
      <c r="U84" s="2"/>
      <c r="V84" s="2"/>
      <c r="W84" s="2"/>
      <c r="X84" s="2"/>
      <c r="Y84" s="2"/>
      <c r="Z84" s="2"/>
      <c r="AA84" s="2"/>
      <c r="AB84" s="2"/>
    </row>
    <row r="85">
      <c r="A85" s="52" t="s">
        <v>74</v>
      </c>
      <c r="B85" s="52" t="s">
        <v>75</v>
      </c>
      <c r="C85" s="52" t="s">
        <v>76</v>
      </c>
      <c r="D85" s="52" t="s">
        <v>49</v>
      </c>
      <c r="E85" s="52" t="s">
        <v>77</v>
      </c>
      <c r="F85" s="52" t="s">
        <v>78</v>
      </c>
      <c r="G85" s="53">
        <v>2019.0</v>
      </c>
      <c r="H85" s="53">
        <v>19439.94</v>
      </c>
      <c r="I85" s="53">
        <v>30982.75</v>
      </c>
      <c r="J85" s="53">
        <v>11913.31</v>
      </c>
      <c r="K85" s="2"/>
      <c r="L85" s="2"/>
      <c r="M85" s="2"/>
      <c r="N85" s="47"/>
      <c r="O85" s="47"/>
      <c r="P85" s="2"/>
      <c r="Q85" s="2"/>
      <c r="R85" s="2"/>
      <c r="S85" s="2"/>
      <c r="T85" s="2"/>
      <c r="U85" s="2"/>
      <c r="V85" s="2"/>
      <c r="W85" s="2"/>
      <c r="X85" s="2"/>
      <c r="Y85" s="2"/>
      <c r="Z85" s="2"/>
      <c r="AA85" s="2"/>
      <c r="AB85" s="2"/>
    </row>
    <row r="86">
      <c r="A86" s="52" t="s">
        <v>74</v>
      </c>
      <c r="B86" s="52" t="s">
        <v>75</v>
      </c>
      <c r="C86" s="52" t="s">
        <v>76</v>
      </c>
      <c r="D86" s="52" t="s">
        <v>50</v>
      </c>
      <c r="E86" s="52" t="s">
        <v>77</v>
      </c>
      <c r="F86" s="52" t="s">
        <v>78</v>
      </c>
      <c r="G86" s="53">
        <v>2019.0</v>
      </c>
      <c r="H86" s="53">
        <v>19313.23</v>
      </c>
      <c r="I86" s="53">
        <v>31844.76</v>
      </c>
      <c r="J86" s="53">
        <v>11630.48</v>
      </c>
      <c r="K86" s="2"/>
      <c r="L86" s="2"/>
      <c r="M86" s="2"/>
      <c r="N86" s="47"/>
      <c r="O86" s="47"/>
      <c r="P86" s="2"/>
      <c r="Q86" s="2"/>
      <c r="R86" s="2"/>
      <c r="S86" s="2"/>
      <c r="T86" s="2"/>
      <c r="U86" s="2"/>
      <c r="V86" s="2"/>
      <c r="W86" s="2"/>
      <c r="X86" s="2"/>
      <c r="Y86" s="2"/>
      <c r="Z86" s="2"/>
      <c r="AA86" s="2"/>
      <c r="AB86" s="2"/>
    </row>
    <row r="87">
      <c r="A87" s="52" t="s">
        <v>74</v>
      </c>
      <c r="B87" s="52" t="s">
        <v>75</v>
      </c>
      <c r="C87" s="52" t="s">
        <v>76</v>
      </c>
      <c r="D87" s="52" t="s">
        <v>51</v>
      </c>
      <c r="E87" s="52" t="s">
        <v>77</v>
      </c>
      <c r="F87" s="52" t="s">
        <v>78</v>
      </c>
      <c r="G87" s="53">
        <v>2019.0</v>
      </c>
      <c r="H87" s="53">
        <v>19638.34</v>
      </c>
      <c r="I87" s="53">
        <v>32337.9</v>
      </c>
      <c r="J87" s="53">
        <v>11666.37</v>
      </c>
      <c r="K87" s="2"/>
      <c r="L87" s="2"/>
      <c r="M87" s="2"/>
      <c r="N87" s="47"/>
      <c r="O87" s="47"/>
      <c r="P87" s="2"/>
      <c r="Q87" s="2"/>
      <c r="R87" s="2"/>
      <c r="S87" s="2"/>
      <c r="T87" s="2"/>
      <c r="U87" s="2"/>
      <c r="V87" s="2"/>
      <c r="W87" s="2"/>
      <c r="X87" s="2"/>
      <c r="Y87" s="2"/>
      <c r="Z87" s="2"/>
      <c r="AA87" s="2"/>
      <c r="AB87" s="2"/>
    </row>
    <row r="88">
      <c r="A88" s="52" t="s">
        <v>74</v>
      </c>
      <c r="B88" s="52" t="s">
        <v>75</v>
      </c>
      <c r="C88" s="52" t="s">
        <v>76</v>
      </c>
      <c r="D88" s="52" t="s">
        <v>52</v>
      </c>
      <c r="E88" s="52" t="s">
        <v>77</v>
      </c>
      <c r="F88" s="52" t="s">
        <v>78</v>
      </c>
      <c r="G88" s="53">
        <v>2019.0</v>
      </c>
      <c r="H88" s="53">
        <v>21161.36</v>
      </c>
      <c r="I88" s="53">
        <v>35454.73</v>
      </c>
      <c r="J88" s="53">
        <v>12233.08</v>
      </c>
      <c r="K88" s="2"/>
      <c r="L88" s="2"/>
      <c r="M88" s="2"/>
      <c r="N88" s="47"/>
      <c r="O88" s="47"/>
      <c r="P88" s="2"/>
      <c r="Q88" s="2"/>
      <c r="R88" s="2"/>
      <c r="S88" s="2"/>
      <c r="T88" s="2"/>
      <c r="U88" s="2"/>
      <c r="V88" s="2"/>
      <c r="W88" s="2"/>
      <c r="X88" s="2"/>
      <c r="Y88" s="2"/>
      <c r="Z88" s="2"/>
      <c r="AA88" s="2"/>
      <c r="AB88" s="2"/>
    </row>
    <row r="89">
      <c r="A89" s="52" t="s">
        <v>74</v>
      </c>
      <c r="B89" s="52" t="s">
        <v>75</v>
      </c>
      <c r="C89" s="52" t="s">
        <v>76</v>
      </c>
      <c r="D89" s="52" t="s">
        <v>53</v>
      </c>
      <c r="E89" s="52" t="s">
        <v>77</v>
      </c>
      <c r="F89" s="52" t="s">
        <v>78</v>
      </c>
      <c r="G89" s="53">
        <v>2019.0</v>
      </c>
      <c r="H89" s="53">
        <v>19154.02</v>
      </c>
      <c r="I89" s="53">
        <v>32270.26</v>
      </c>
      <c r="J89" s="53">
        <v>11094.15</v>
      </c>
      <c r="K89" s="2"/>
      <c r="L89" s="2"/>
      <c r="M89" s="2"/>
      <c r="N89" s="47"/>
      <c r="O89" s="47"/>
      <c r="P89" s="2"/>
      <c r="Q89" s="2"/>
      <c r="R89" s="2"/>
      <c r="S89" s="2"/>
      <c r="T89" s="2"/>
      <c r="U89" s="2"/>
      <c r="V89" s="2"/>
      <c r="W89" s="2"/>
      <c r="X89" s="2"/>
      <c r="Y89" s="2"/>
      <c r="Z89" s="2"/>
      <c r="AA89" s="2"/>
      <c r="AB89" s="2"/>
    </row>
    <row r="90">
      <c r="A90" s="52" t="s">
        <v>74</v>
      </c>
      <c r="B90" s="52" t="s">
        <v>75</v>
      </c>
      <c r="C90" s="52" t="s">
        <v>76</v>
      </c>
      <c r="D90" s="52" t="s">
        <v>54</v>
      </c>
      <c r="E90" s="52" t="s">
        <v>77</v>
      </c>
      <c r="F90" s="52" t="s">
        <v>78</v>
      </c>
      <c r="G90" s="53">
        <v>2019.0</v>
      </c>
      <c r="H90" s="53">
        <v>21895.01</v>
      </c>
      <c r="I90" s="53">
        <v>38390.7</v>
      </c>
      <c r="J90" s="53">
        <v>12791.87</v>
      </c>
      <c r="K90" s="2"/>
      <c r="L90" s="2"/>
      <c r="M90" s="2"/>
      <c r="N90" s="47"/>
      <c r="O90" s="47"/>
      <c r="P90" s="2"/>
      <c r="Q90" s="2"/>
      <c r="R90" s="2"/>
      <c r="S90" s="2"/>
      <c r="T90" s="2"/>
      <c r="U90" s="2"/>
      <c r="V90" s="2"/>
      <c r="W90" s="2"/>
      <c r="X90" s="2"/>
      <c r="Y90" s="2"/>
      <c r="Z90" s="2"/>
      <c r="AA90" s="2"/>
      <c r="AB90" s="2"/>
    </row>
    <row r="91">
      <c r="A91" s="52" t="s">
        <v>74</v>
      </c>
      <c r="B91" s="52" t="s">
        <v>14</v>
      </c>
      <c r="C91" s="52" t="s">
        <v>76</v>
      </c>
      <c r="D91" s="52" t="s">
        <v>38</v>
      </c>
      <c r="E91" s="52" t="s">
        <v>77</v>
      </c>
      <c r="F91" s="52" t="s">
        <v>78</v>
      </c>
      <c r="G91" s="53">
        <v>2019.0</v>
      </c>
      <c r="H91" s="53">
        <v>780.6872</v>
      </c>
      <c r="I91" s="53">
        <v>1372.728</v>
      </c>
      <c r="J91" s="53">
        <v>421.7773</v>
      </c>
      <c r="K91" s="2"/>
      <c r="L91" s="2"/>
      <c r="M91" s="2"/>
      <c r="N91" s="47"/>
      <c r="O91" s="47"/>
      <c r="P91" s="2"/>
      <c r="Q91" s="2"/>
      <c r="R91" s="2"/>
      <c r="S91" s="2"/>
      <c r="T91" s="2"/>
      <c r="U91" s="2"/>
      <c r="V91" s="2"/>
      <c r="W91" s="2"/>
      <c r="X91" s="2"/>
      <c r="Y91" s="2"/>
      <c r="Z91" s="2"/>
      <c r="AA91" s="2"/>
      <c r="AB91" s="2"/>
    </row>
    <row r="92">
      <c r="A92" s="52" t="s">
        <v>74</v>
      </c>
      <c r="B92" s="52" t="s">
        <v>14</v>
      </c>
      <c r="C92" s="52" t="s">
        <v>76</v>
      </c>
      <c r="D92" s="52" t="s">
        <v>39</v>
      </c>
      <c r="E92" s="52" t="s">
        <v>77</v>
      </c>
      <c r="F92" s="52" t="s">
        <v>78</v>
      </c>
      <c r="G92" s="53">
        <v>2019.0</v>
      </c>
      <c r="H92" s="53">
        <v>420.1169</v>
      </c>
      <c r="I92" s="53">
        <v>690.1588</v>
      </c>
      <c r="J92" s="53">
        <v>233.7401</v>
      </c>
      <c r="K92" s="2"/>
      <c r="L92" s="2"/>
      <c r="M92" s="2"/>
      <c r="N92" s="47"/>
      <c r="O92" s="47"/>
      <c r="P92" s="2"/>
      <c r="Q92" s="2"/>
      <c r="R92" s="2"/>
      <c r="S92" s="2"/>
      <c r="T92" s="2"/>
      <c r="U92" s="2"/>
      <c r="V92" s="2"/>
      <c r="W92" s="2"/>
      <c r="X92" s="2"/>
      <c r="Y92" s="2"/>
      <c r="Z92" s="2"/>
      <c r="AA92" s="2"/>
      <c r="AB92" s="2"/>
    </row>
    <row r="93">
      <c r="A93" s="52" t="s">
        <v>74</v>
      </c>
      <c r="B93" s="52" t="s">
        <v>14</v>
      </c>
      <c r="C93" s="52" t="s">
        <v>76</v>
      </c>
      <c r="D93" s="52" t="s">
        <v>40</v>
      </c>
      <c r="E93" s="52" t="s">
        <v>77</v>
      </c>
      <c r="F93" s="52" t="s">
        <v>78</v>
      </c>
      <c r="G93" s="53">
        <v>2019.0</v>
      </c>
      <c r="H93" s="53">
        <v>433.9267</v>
      </c>
      <c r="I93" s="53">
        <v>763.6959</v>
      </c>
      <c r="J93" s="53">
        <v>224.6774</v>
      </c>
      <c r="K93" s="2"/>
      <c r="L93" s="2"/>
      <c r="M93" s="2"/>
      <c r="N93" s="47"/>
      <c r="O93" s="47"/>
      <c r="P93" s="2"/>
      <c r="Q93" s="2"/>
      <c r="R93" s="2"/>
      <c r="S93" s="2"/>
      <c r="T93" s="2"/>
      <c r="U93" s="2"/>
      <c r="V93" s="2"/>
      <c r="W93" s="2"/>
      <c r="X93" s="2"/>
      <c r="Y93" s="2"/>
      <c r="Z93" s="2"/>
      <c r="AA93" s="2"/>
      <c r="AB93" s="2"/>
    </row>
    <row r="94">
      <c r="A94" s="52" t="s">
        <v>74</v>
      </c>
      <c r="B94" s="52" t="s">
        <v>14</v>
      </c>
      <c r="C94" s="52" t="s">
        <v>76</v>
      </c>
      <c r="D94" s="52" t="s">
        <v>41</v>
      </c>
      <c r="E94" s="52" t="s">
        <v>77</v>
      </c>
      <c r="F94" s="52" t="s">
        <v>78</v>
      </c>
      <c r="G94" s="53">
        <v>2019.0</v>
      </c>
      <c r="H94" s="53">
        <v>378.4066</v>
      </c>
      <c r="I94" s="53">
        <v>746.4625</v>
      </c>
      <c r="J94" s="53">
        <v>178.392</v>
      </c>
      <c r="K94" s="2"/>
      <c r="L94" s="2"/>
      <c r="M94" s="2"/>
      <c r="N94" s="47"/>
      <c r="O94" s="47"/>
      <c r="P94" s="2"/>
      <c r="Q94" s="2"/>
      <c r="R94" s="2"/>
      <c r="S94" s="2"/>
      <c r="T94" s="2"/>
      <c r="U94" s="2"/>
      <c r="V94" s="2"/>
      <c r="W94" s="2"/>
      <c r="X94" s="2"/>
      <c r="Y94" s="2"/>
      <c r="Z94" s="2"/>
      <c r="AA94" s="2"/>
      <c r="AB94" s="2"/>
    </row>
    <row r="95">
      <c r="A95" s="52" t="s">
        <v>74</v>
      </c>
      <c r="B95" s="52" t="s">
        <v>14</v>
      </c>
      <c r="C95" s="52" t="s">
        <v>76</v>
      </c>
      <c r="D95" s="52" t="s">
        <v>42</v>
      </c>
      <c r="E95" s="52" t="s">
        <v>77</v>
      </c>
      <c r="F95" s="52" t="s">
        <v>78</v>
      </c>
      <c r="G95" s="53">
        <v>2019.0</v>
      </c>
      <c r="H95" s="53">
        <v>297.4512</v>
      </c>
      <c r="I95" s="53">
        <v>534.3811</v>
      </c>
      <c r="J95" s="53">
        <v>139.5141</v>
      </c>
      <c r="K95" s="2"/>
      <c r="L95" s="2"/>
      <c r="M95" s="2"/>
      <c r="N95" s="47"/>
      <c r="O95" s="47"/>
      <c r="P95" s="2"/>
      <c r="Q95" s="2"/>
      <c r="R95" s="2"/>
      <c r="S95" s="2"/>
      <c r="T95" s="2"/>
      <c r="U95" s="2"/>
      <c r="V95" s="2"/>
      <c r="W95" s="2"/>
      <c r="X95" s="2"/>
      <c r="Y95" s="2"/>
      <c r="Z95" s="2"/>
      <c r="AA95" s="2"/>
      <c r="AB95" s="2"/>
    </row>
    <row r="96">
      <c r="A96" s="52" t="s">
        <v>74</v>
      </c>
      <c r="B96" s="52" t="s">
        <v>14</v>
      </c>
      <c r="C96" s="52" t="s">
        <v>76</v>
      </c>
      <c r="D96" s="52" t="s">
        <v>43</v>
      </c>
      <c r="E96" s="52" t="s">
        <v>77</v>
      </c>
      <c r="F96" s="52" t="s">
        <v>78</v>
      </c>
      <c r="G96" s="53">
        <v>2019.0</v>
      </c>
      <c r="H96" s="53">
        <v>266.0074</v>
      </c>
      <c r="I96" s="53">
        <v>485.5955</v>
      </c>
      <c r="J96" s="53">
        <v>124.2225</v>
      </c>
      <c r="K96" s="2"/>
      <c r="L96" s="2"/>
      <c r="M96" s="2"/>
      <c r="N96" s="47"/>
      <c r="O96" s="47"/>
      <c r="P96" s="2"/>
      <c r="Q96" s="2"/>
      <c r="R96" s="2"/>
      <c r="S96" s="2"/>
      <c r="T96" s="2"/>
      <c r="U96" s="2"/>
      <c r="V96" s="2"/>
      <c r="W96" s="2"/>
      <c r="X96" s="2"/>
      <c r="Y96" s="2"/>
      <c r="Z96" s="2"/>
      <c r="AA96" s="2"/>
      <c r="AB96" s="2"/>
    </row>
    <row r="97">
      <c r="A97" s="52" t="s">
        <v>74</v>
      </c>
      <c r="B97" s="52" t="s">
        <v>14</v>
      </c>
      <c r="C97" s="52" t="s">
        <v>76</v>
      </c>
      <c r="D97" s="52" t="s">
        <v>44</v>
      </c>
      <c r="E97" s="52" t="s">
        <v>77</v>
      </c>
      <c r="F97" s="52" t="s">
        <v>78</v>
      </c>
      <c r="G97" s="53">
        <v>2019.0</v>
      </c>
      <c r="H97" s="53">
        <v>245.8532</v>
      </c>
      <c r="I97" s="53">
        <v>454.4765</v>
      </c>
      <c r="J97" s="53">
        <v>112.9999</v>
      </c>
      <c r="K97" s="2"/>
      <c r="L97" s="2"/>
      <c r="M97" s="2"/>
      <c r="N97" s="47"/>
      <c r="O97" s="47"/>
      <c r="P97" s="2"/>
      <c r="Q97" s="2"/>
      <c r="R97" s="2"/>
      <c r="S97" s="2"/>
      <c r="T97" s="2"/>
      <c r="U97" s="2"/>
      <c r="V97" s="2"/>
      <c r="W97" s="2"/>
      <c r="X97" s="2"/>
      <c r="Y97" s="2"/>
      <c r="Z97" s="2"/>
      <c r="AA97" s="2"/>
      <c r="AB97" s="2"/>
    </row>
    <row r="98">
      <c r="A98" s="52" t="s">
        <v>74</v>
      </c>
      <c r="B98" s="52" t="s">
        <v>14</v>
      </c>
      <c r="C98" s="52" t="s">
        <v>76</v>
      </c>
      <c r="D98" s="52" t="s">
        <v>45</v>
      </c>
      <c r="E98" s="52" t="s">
        <v>77</v>
      </c>
      <c r="F98" s="52" t="s">
        <v>78</v>
      </c>
      <c r="G98" s="53">
        <v>2019.0</v>
      </c>
      <c r="H98" s="53">
        <v>259.1376</v>
      </c>
      <c r="I98" s="53">
        <v>482.479</v>
      </c>
      <c r="J98" s="53">
        <v>110.8677</v>
      </c>
      <c r="K98" s="2"/>
      <c r="L98" s="2"/>
      <c r="M98" s="2"/>
      <c r="N98" s="47"/>
      <c r="O98" s="47"/>
      <c r="P98" s="2"/>
      <c r="Q98" s="2"/>
      <c r="R98" s="2"/>
      <c r="S98" s="2"/>
      <c r="T98" s="2"/>
      <c r="U98" s="2"/>
      <c r="V98" s="2"/>
      <c r="W98" s="2"/>
      <c r="X98" s="2"/>
      <c r="Y98" s="2"/>
      <c r="Z98" s="2"/>
      <c r="AA98" s="2"/>
      <c r="AB98" s="2"/>
    </row>
    <row r="99">
      <c r="A99" s="52" t="s">
        <v>74</v>
      </c>
      <c r="B99" s="52" t="s">
        <v>14</v>
      </c>
      <c r="C99" s="52" t="s">
        <v>76</v>
      </c>
      <c r="D99" s="52" t="s">
        <v>46</v>
      </c>
      <c r="E99" s="52" t="s">
        <v>77</v>
      </c>
      <c r="F99" s="52" t="s">
        <v>78</v>
      </c>
      <c r="G99" s="53">
        <v>2019.0</v>
      </c>
      <c r="H99" s="53">
        <v>284.1186</v>
      </c>
      <c r="I99" s="53">
        <v>523.8817</v>
      </c>
      <c r="J99" s="53">
        <v>123.5307</v>
      </c>
      <c r="K99" s="2"/>
      <c r="L99" s="2"/>
      <c r="M99" s="2"/>
      <c r="N99" s="47"/>
      <c r="O99" s="47"/>
      <c r="P99" s="2"/>
      <c r="Q99" s="2"/>
      <c r="R99" s="2"/>
      <c r="S99" s="2"/>
      <c r="T99" s="2"/>
      <c r="U99" s="2"/>
      <c r="V99" s="2"/>
      <c r="W99" s="2"/>
      <c r="X99" s="2"/>
      <c r="Y99" s="2"/>
      <c r="Z99" s="2"/>
      <c r="AA99" s="2"/>
      <c r="AB99" s="2"/>
    </row>
    <row r="100">
      <c r="A100" s="52" t="s">
        <v>74</v>
      </c>
      <c r="B100" s="52" t="s">
        <v>14</v>
      </c>
      <c r="C100" s="52" t="s">
        <v>76</v>
      </c>
      <c r="D100" s="52" t="s">
        <v>47</v>
      </c>
      <c r="E100" s="52" t="s">
        <v>77</v>
      </c>
      <c r="F100" s="52" t="s">
        <v>78</v>
      </c>
      <c r="G100" s="53">
        <v>2019.0</v>
      </c>
      <c r="H100" s="53">
        <v>305.2712</v>
      </c>
      <c r="I100" s="53">
        <v>555.7323</v>
      </c>
      <c r="J100" s="53">
        <v>134.6674</v>
      </c>
      <c r="K100" s="2"/>
      <c r="L100" s="2"/>
      <c r="M100" s="2"/>
      <c r="N100" s="47"/>
      <c r="O100" s="47"/>
      <c r="P100" s="2"/>
      <c r="Q100" s="2"/>
      <c r="R100" s="2"/>
      <c r="S100" s="2"/>
      <c r="T100" s="2"/>
      <c r="U100" s="2"/>
      <c r="V100" s="2"/>
      <c r="W100" s="2"/>
      <c r="X100" s="2"/>
      <c r="Y100" s="2"/>
      <c r="Z100" s="2"/>
      <c r="AA100" s="2"/>
      <c r="AB100" s="2"/>
    </row>
    <row r="101">
      <c r="A101" s="52" t="s">
        <v>74</v>
      </c>
      <c r="B101" s="52" t="s">
        <v>14</v>
      </c>
      <c r="C101" s="52" t="s">
        <v>76</v>
      </c>
      <c r="D101" s="52" t="s">
        <v>48</v>
      </c>
      <c r="E101" s="52" t="s">
        <v>77</v>
      </c>
      <c r="F101" s="52" t="s">
        <v>78</v>
      </c>
      <c r="G101" s="53">
        <v>2019.0</v>
      </c>
      <c r="H101" s="53">
        <v>350.259</v>
      </c>
      <c r="I101" s="53">
        <v>625.2253</v>
      </c>
      <c r="J101" s="53">
        <v>161.6615</v>
      </c>
      <c r="K101" s="2"/>
      <c r="L101" s="2"/>
      <c r="M101" s="2"/>
      <c r="N101" s="47"/>
      <c r="O101" s="47"/>
      <c r="P101" s="2"/>
      <c r="Q101" s="2"/>
      <c r="R101" s="2"/>
      <c r="S101" s="2"/>
      <c r="T101" s="2"/>
      <c r="U101" s="2"/>
      <c r="V101" s="2"/>
      <c r="W101" s="2"/>
      <c r="X101" s="2"/>
      <c r="Y101" s="2"/>
      <c r="Z101" s="2"/>
      <c r="AA101" s="2"/>
      <c r="AB101" s="2"/>
    </row>
    <row r="102">
      <c r="A102" s="52" t="s">
        <v>74</v>
      </c>
      <c r="B102" s="52" t="s">
        <v>14</v>
      </c>
      <c r="C102" s="52" t="s">
        <v>76</v>
      </c>
      <c r="D102" s="52" t="s">
        <v>49</v>
      </c>
      <c r="E102" s="52" t="s">
        <v>77</v>
      </c>
      <c r="F102" s="52" t="s">
        <v>78</v>
      </c>
      <c r="G102" s="53">
        <v>2019.0</v>
      </c>
      <c r="H102" s="53">
        <v>448.9131</v>
      </c>
      <c r="I102" s="53">
        <v>824.8917</v>
      </c>
      <c r="J102" s="53">
        <v>204.4079</v>
      </c>
      <c r="K102" s="2"/>
      <c r="L102" s="2"/>
      <c r="M102" s="2"/>
      <c r="N102" s="47"/>
      <c r="O102" s="47"/>
      <c r="P102" s="2"/>
      <c r="Q102" s="2"/>
      <c r="R102" s="2"/>
      <c r="S102" s="2"/>
      <c r="T102" s="2"/>
      <c r="U102" s="2"/>
      <c r="V102" s="2"/>
      <c r="W102" s="2"/>
      <c r="X102" s="2"/>
      <c r="Y102" s="2"/>
      <c r="Z102" s="2"/>
      <c r="AA102" s="2"/>
      <c r="AB102" s="2"/>
    </row>
    <row r="103">
      <c r="A103" s="52" t="s">
        <v>74</v>
      </c>
      <c r="B103" s="52" t="s">
        <v>14</v>
      </c>
      <c r="C103" s="52" t="s">
        <v>76</v>
      </c>
      <c r="D103" s="52" t="s">
        <v>50</v>
      </c>
      <c r="E103" s="52" t="s">
        <v>77</v>
      </c>
      <c r="F103" s="52" t="s">
        <v>78</v>
      </c>
      <c r="G103" s="53">
        <v>2019.0</v>
      </c>
      <c r="H103" s="53">
        <v>452.9069</v>
      </c>
      <c r="I103" s="53">
        <v>821.789</v>
      </c>
      <c r="J103" s="53">
        <v>206.8778</v>
      </c>
      <c r="K103" s="2"/>
      <c r="L103" s="2"/>
      <c r="M103" s="2"/>
      <c r="N103" s="47"/>
      <c r="O103" s="47"/>
      <c r="P103" s="2"/>
      <c r="Q103" s="2"/>
      <c r="R103" s="2"/>
      <c r="S103" s="2"/>
      <c r="T103" s="2"/>
      <c r="U103" s="2"/>
      <c r="V103" s="2"/>
      <c r="W103" s="2"/>
      <c r="X103" s="2"/>
      <c r="Y103" s="2"/>
      <c r="Z103" s="2"/>
      <c r="AA103" s="2"/>
      <c r="AB103" s="2"/>
    </row>
    <row r="104">
      <c r="A104" s="52" t="s">
        <v>74</v>
      </c>
      <c r="B104" s="52" t="s">
        <v>14</v>
      </c>
      <c r="C104" s="52" t="s">
        <v>76</v>
      </c>
      <c r="D104" s="52" t="s">
        <v>51</v>
      </c>
      <c r="E104" s="52" t="s">
        <v>77</v>
      </c>
      <c r="F104" s="52" t="s">
        <v>78</v>
      </c>
      <c r="G104" s="53">
        <v>2019.0</v>
      </c>
      <c r="H104" s="53">
        <v>486.4018</v>
      </c>
      <c r="I104" s="53">
        <v>882.2831</v>
      </c>
      <c r="J104" s="53">
        <v>222.0346</v>
      </c>
      <c r="K104" s="2"/>
      <c r="L104" s="2"/>
      <c r="M104" s="2"/>
      <c r="N104" s="47"/>
      <c r="O104" s="47"/>
      <c r="P104" s="2"/>
      <c r="Q104" s="2"/>
      <c r="R104" s="2"/>
      <c r="S104" s="2"/>
      <c r="T104" s="2"/>
      <c r="U104" s="2"/>
      <c r="V104" s="2"/>
      <c r="W104" s="2"/>
      <c r="X104" s="2"/>
      <c r="Y104" s="2"/>
      <c r="Z104" s="2"/>
      <c r="AA104" s="2"/>
      <c r="AB104" s="2"/>
    </row>
    <row r="105">
      <c r="A105" s="52" t="s">
        <v>74</v>
      </c>
      <c r="B105" s="52" t="s">
        <v>14</v>
      </c>
      <c r="C105" s="52" t="s">
        <v>76</v>
      </c>
      <c r="D105" s="52" t="s">
        <v>52</v>
      </c>
      <c r="E105" s="52" t="s">
        <v>77</v>
      </c>
      <c r="F105" s="52" t="s">
        <v>78</v>
      </c>
      <c r="G105" s="53">
        <v>2019.0</v>
      </c>
      <c r="H105" s="53">
        <v>529.2043</v>
      </c>
      <c r="I105" s="53">
        <v>1010.668</v>
      </c>
      <c r="J105" s="53">
        <v>250.993</v>
      </c>
      <c r="K105" s="2"/>
      <c r="L105" s="2"/>
      <c r="M105" s="2"/>
      <c r="N105" s="47"/>
      <c r="O105" s="47"/>
      <c r="P105" s="2"/>
      <c r="Q105" s="2"/>
      <c r="R105" s="2"/>
      <c r="S105" s="2"/>
      <c r="T105" s="2"/>
      <c r="U105" s="2"/>
      <c r="V105" s="2"/>
      <c r="W105" s="2"/>
      <c r="X105" s="2"/>
      <c r="Y105" s="2"/>
      <c r="Z105" s="2"/>
      <c r="AA105" s="2"/>
      <c r="AB105" s="2"/>
    </row>
    <row r="106">
      <c r="A106" s="52" t="s">
        <v>74</v>
      </c>
      <c r="B106" s="52" t="s">
        <v>14</v>
      </c>
      <c r="C106" s="52" t="s">
        <v>76</v>
      </c>
      <c r="D106" s="52" t="s">
        <v>53</v>
      </c>
      <c r="E106" s="52" t="s">
        <v>77</v>
      </c>
      <c r="F106" s="52" t="s">
        <v>78</v>
      </c>
      <c r="G106" s="53">
        <v>2019.0</v>
      </c>
      <c r="H106" s="53">
        <v>484.8207</v>
      </c>
      <c r="I106" s="53">
        <v>918.9482</v>
      </c>
      <c r="J106" s="53">
        <v>232.909</v>
      </c>
      <c r="K106" s="2"/>
      <c r="L106" s="2"/>
      <c r="M106" s="2"/>
      <c r="N106" s="47"/>
      <c r="O106" s="47"/>
      <c r="P106" s="2"/>
      <c r="Q106" s="2"/>
      <c r="R106" s="2"/>
      <c r="S106" s="2"/>
      <c r="T106" s="2"/>
      <c r="U106" s="2"/>
      <c r="V106" s="2"/>
      <c r="W106" s="2"/>
      <c r="X106" s="2"/>
      <c r="Y106" s="2"/>
      <c r="Z106" s="2"/>
      <c r="AA106" s="2"/>
      <c r="AB106" s="2"/>
    </row>
    <row r="107">
      <c r="A107" s="52" t="s">
        <v>74</v>
      </c>
      <c r="B107" s="52" t="s">
        <v>14</v>
      </c>
      <c r="C107" s="52" t="s">
        <v>76</v>
      </c>
      <c r="D107" s="52" t="s">
        <v>54</v>
      </c>
      <c r="E107" s="52" t="s">
        <v>77</v>
      </c>
      <c r="F107" s="52" t="s">
        <v>78</v>
      </c>
      <c r="G107" s="53">
        <v>2019.0</v>
      </c>
      <c r="H107" s="53">
        <v>559.7444</v>
      </c>
      <c r="I107" s="53">
        <v>1166.957</v>
      </c>
      <c r="J107" s="53">
        <v>250.344</v>
      </c>
      <c r="K107" s="2"/>
      <c r="L107" s="2"/>
      <c r="M107" s="2"/>
      <c r="N107" s="47"/>
      <c r="O107" s="47"/>
      <c r="P107" s="2"/>
      <c r="Q107" s="2"/>
      <c r="R107" s="2"/>
      <c r="S107" s="2"/>
      <c r="T107" s="2"/>
      <c r="U107" s="2"/>
      <c r="V107" s="2"/>
      <c r="W107" s="2"/>
      <c r="X107" s="2"/>
      <c r="Y107" s="2"/>
      <c r="Z107" s="2"/>
      <c r="AA107" s="2"/>
      <c r="AB107" s="2"/>
    </row>
    <row r="108">
      <c r="A108" s="52" t="s">
        <v>74</v>
      </c>
      <c r="B108" s="52" t="s">
        <v>11</v>
      </c>
      <c r="C108" s="52" t="s">
        <v>76</v>
      </c>
      <c r="D108" s="52" t="s">
        <v>38</v>
      </c>
      <c r="E108" s="52" t="s">
        <v>77</v>
      </c>
      <c r="F108" s="52" t="s">
        <v>78</v>
      </c>
      <c r="G108" s="53">
        <v>2019.0</v>
      </c>
      <c r="H108" s="53">
        <v>1211.471</v>
      </c>
      <c r="I108" s="53">
        <v>1721.13</v>
      </c>
      <c r="J108" s="53">
        <v>852.4953</v>
      </c>
      <c r="K108" s="2"/>
      <c r="L108" s="2"/>
      <c r="M108" s="2"/>
      <c r="N108" s="47"/>
      <c r="O108" s="47"/>
      <c r="P108" s="2"/>
      <c r="Q108" s="2"/>
      <c r="R108" s="2"/>
      <c r="S108" s="2"/>
      <c r="T108" s="2"/>
      <c r="U108" s="2"/>
      <c r="V108" s="2"/>
      <c r="W108" s="2"/>
      <c r="X108" s="2"/>
      <c r="Y108" s="2"/>
      <c r="Z108" s="2"/>
      <c r="AA108" s="2"/>
      <c r="AB108" s="2"/>
    </row>
    <row r="109">
      <c r="A109" s="52" t="s">
        <v>74</v>
      </c>
      <c r="B109" s="52" t="s">
        <v>11</v>
      </c>
      <c r="C109" s="52" t="s">
        <v>76</v>
      </c>
      <c r="D109" s="52" t="s">
        <v>39</v>
      </c>
      <c r="E109" s="52" t="s">
        <v>77</v>
      </c>
      <c r="F109" s="52" t="s">
        <v>78</v>
      </c>
      <c r="G109" s="53">
        <v>2019.0</v>
      </c>
      <c r="H109" s="53">
        <v>758.3633</v>
      </c>
      <c r="I109" s="53">
        <v>1099.768</v>
      </c>
      <c r="J109" s="53">
        <v>511.0669</v>
      </c>
      <c r="K109" s="2"/>
      <c r="L109" s="2"/>
      <c r="M109" s="2"/>
      <c r="N109" s="47"/>
      <c r="O109" s="47"/>
      <c r="P109" s="2"/>
      <c r="Q109" s="2"/>
      <c r="R109" s="2"/>
      <c r="S109" s="2"/>
      <c r="T109" s="2"/>
      <c r="U109" s="2"/>
      <c r="V109" s="2"/>
      <c r="W109" s="2"/>
      <c r="X109" s="2"/>
      <c r="Y109" s="2"/>
      <c r="Z109" s="2"/>
      <c r="AA109" s="2"/>
      <c r="AB109" s="2"/>
    </row>
    <row r="110">
      <c r="A110" s="52" t="s">
        <v>74</v>
      </c>
      <c r="B110" s="52" t="s">
        <v>11</v>
      </c>
      <c r="C110" s="52" t="s">
        <v>76</v>
      </c>
      <c r="D110" s="52" t="s">
        <v>40</v>
      </c>
      <c r="E110" s="52" t="s">
        <v>77</v>
      </c>
      <c r="F110" s="52" t="s">
        <v>78</v>
      </c>
      <c r="G110" s="53">
        <v>2019.0</v>
      </c>
      <c r="H110" s="53">
        <v>817.2276</v>
      </c>
      <c r="I110" s="53">
        <v>1252.097</v>
      </c>
      <c r="J110" s="53">
        <v>518.6371</v>
      </c>
      <c r="K110" s="2"/>
      <c r="L110" s="2"/>
      <c r="M110" s="2"/>
      <c r="N110" s="47"/>
      <c r="O110" s="47"/>
      <c r="P110" s="2"/>
      <c r="Q110" s="2"/>
      <c r="R110" s="2"/>
      <c r="S110" s="2"/>
      <c r="T110" s="2"/>
      <c r="U110" s="2"/>
      <c r="V110" s="2"/>
      <c r="W110" s="2"/>
      <c r="X110" s="2"/>
      <c r="Y110" s="2"/>
      <c r="Z110" s="2"/>
      <c r="AA110" s="2"/>
      <c r="AB110" s="2"/>
    </row>
    <row r="111">
      <c r="A111" s="52" t="s">
        <v>74</v>
      </c>
      <c r="B111" s="52" t="s">
        <v>11</v>
      </c>
      <c r="C111" s="52" t="s">
        <v>76</v>
      </c>
      <c r="D111" s="52" t="s">
        <v>41</v>
      </c>
      <c r="E111" s="52" t="s">
        <v>77</v>
      </c>
      <c r="F111" s="52" t="s">
        <v>78</v>
      </c>
      <c r="G111" s="53">
        <v>2019.0</v>
      </c>
      <c r="H111" s="53">
        <v>688.5768</v>
      </c>
      <c r="I111" s="53">
        <v>1098.855</v>
      </c>
      <c r="J111" s="53">
        <v>437.7363</v>
      </c>
      <c r="K111" s="2"/>
      <c r="L111" s="2"/>
      <c r="M111" s="2"/>
      <c r="N111" s="47"/>
      <c r="O111" s="47"/>
      <c r="P111" s="2"/>
      <c r="Q111" s="2"/>
      <c r="R111" s="2"/>
      <c r="S111" s="2"/>
      <c r="T111" s="2"/>
      <c r="U111" s="2"/>
      <c r="V111" s="2"/>
      <c r="W111" s="2"/>
      <c r="X111" s="2"/>
      <c r="Y111" s="2"/>
      <c r="Z111" s="2"/>
      <c r="AA111" s="2"/>
      <c r="AB111" s="2"/>
    </row>
    <row r="112">
      <c r="A112" s="52" t="s">
        <v>74</v>
      </c>
      <c r="B112" s="52" t="s">
        <v>11</v>
      </c>
      <c r="C112" s="52" t="s">
        <v>76</v>
      </c>
      <c r="D112" s="52" t="s">
        <v>42</v>
      </c>
      <c r="E112" s="52" t="s">
        <v>77</v>
      </c>
      <c r="F112" s="52" t="s">
        <v>78</v>
      </c>
      <c r="G112" s="53">
        <v>2019.0</v>
      </c>
      <c r="H112" s="53">
        <v>532.5308</v>
      </c>
      <c r="I112" s="53">
        <v>841.9466</v>
      </c>
      <c r="J112" s="53">
        <v>334.7631</v>
      </c>
      <c r="K112" s="2"/>
      <c r="L112" s="2"/>
      <c r="M112" s="2"/>
      <c r="N112" s="47"/>
      <c r="O112" s="47"/>
      <c r="P112" s="2"/>
      <c r="Q112" s="2"/>
      <c r="R112" s="2"/>
      <c r="S112" s="2"/>
      <c r="T112" s="2"/>
      <c r="U112" s="2"/>
      <c r="V112" s="2"/>
      <c r="W112" s="2"/>
      <c r="X112" s="2"/>
      <c r="Y112" s="2"/>
      <c r="Z112" s="2"/>
      <c r="AA112" s="2"/>
      <c r="AB112" s="2"/>
    </row>
    <row r="113">
      <c r="A113" s="52" t="s">
        <v>74</v>
      </c>
      <c r="B113" s="52" t="s">
        <v>11</v>
      </c>
      <c r="C113" s="52" t="s">
        <v>76</v>
      </c>
      <c r="D113" s="52" t="s">
        <v>43</v>
      </c>
      <c r="E113" s="52" t="s">
        <v>77</v>
      </c>
      <c r="F113" s="52" t="s">
        <v>78</v>
      </c>
      <c r="G113" s="53">
        <v>2019.0</v>
      </c>
      <c r="H113" s="53">
        <v>494.1688</v>
      </c>
      <c r="I113" s="53">
        <v>788.8952</v>
      </c>
      <c r="J113" s="53">
        <v>314.3372</v>
      </c>
      <c r="K113" s="2"/>
      <c r="L113" s="2"/>
      <c r="M113" s="2"/>
      <c r="N113" s="47"/>
      <c r="O113" s="47"/>
      <c r="P113" s="2"/>
      <c r="Q113" s="2"/>
      <c r="R113" s="2"/>
      <c r="S113" s="2"/>
      <c r="T113" s="2"/>
      <c r="U113" s="2"/>
      <c r="V113" s="2"/>
      <c r="W113" s="2"/>
      <c r="X113" s="2"/>
      <c r="Y113" s="2"/>
      <c r="Z113" s="2"/>
      <c r="AA113" s="2"/>
      <c r="AB113" s="2"/>
    </row>
    <row r="114">
      <c r="A114" s="52" t="s">
        <v>74</v>
      </c>
      <c r="B114" s="52" t="s">
        <v>11</v>
      </c>
      <c r="C114" s="52" t="s">
        <v>76</v>
      </c>
      <c r="D114" s="52" t="s">
        <v>44</v>
      </c>
      <c r="E114" s="52" t="s">
        <v>77</v>
      </c>
      <c r="F114" s="52" t="s">
        <v>78</v>
      </c>
      <c r="G114" s="53">
        <v>2019.0</v>
      </c>
      <c r="H114" s="53">
        <v>496.6165</v>
      </c>
      <c r="I114" s="53">
        <v>820.0051</v>
      </c>
      <c r="J114" s="53">
        <v>312.4588</v>
      </c>
      <c r="K114" s="2"/>
      <c r="L114" s="2"/>
      <c r="M114" s="2"/>
      <c r="N114" s="47"/>
      <c r="O114" s="47"/>
      <c r="P114" s="2"/>
      <c r="Q114" s="2"/>
      <c r="R114" s="2"/>
      <c r="S114" s="2"/>
      <c r="T114" s="2"/>
      <c r="U114" s="2"/>
      <c r="V114" s="2"/>
      <c r="W114" s="2"/>
      <c r="X114" s="2"/>
      <c r="Y114" s="2"/>
      <c r="Z114" s="2"/>
      <c r="AA114" s="2"/>
      <c r="AB114" s="2"/>
    </row>
    <row r="115">
      <c r="A115" s="52" t="s">
        <v>74</v>
      </c>
      <c r="B115" s="52" t="s">
        <v>11</v>
      </c>
      <c r="C115" s="52" t="s">
        <v>76</v>
      </c>
      <c r="D115" s="52" t="s">
        <v>45</v>
      </c>
      <c r="E115" s="52" t="s">
        <v>77</v>
      </c>
      <c r="F115" s="52" t="s">
        <v>78</v>
      </c>
      <c r="G115" s="53">
        <v>2019.0</v>
      </c>
      <c r="H115" s="53">
        <v>509.2119</v>
      </c>
      <c r="I115" s="53">
        <v>876.0441</v>
      </c>
      <c r="J115" s="53">
        <v>312.0849</v>
      </c>
      <c r="K115" s="2"/>
      <c r="L115" s="2"/>
      <c r="M115" s="2"/>
      <c r="N115" s="47"/>
      <c r="O115" s="47"/>
      <c r="P115" s="2"/>
      <c r="Q115" s="2"/>
      <c r="R115" s="2"/>
      <c r="S115" s="2"/>
      <c r="T115" s="2"/>
      <c r="U115" s="2"/>
      <c r="V115" s="2"/>
      <c r="W115" s="2"/>
      <c r="X115" s="2"/>
      <c r="Y115" s="2"/>
      <c r="Z115" s="2"/>
      <c r="AA115" s="2"/>
      <c r="AB115" s="2"/>
    </row>
    <row r="116">
      <c r="A116" s="52" t="s">
        <v>74</v>
      </c>
      <c r="B116" s="52" t="s">
        <v>11</v>
      </c>
      <c r="C116" s="52" t="s">
        <v>76</v>
      </c>
      <c r="D116" s="52" t="s">
        <v>46</v>
      </c>
      <c r="E116" s="52" t="s">
        <v>77</v>
      </c>
      <c r="F116" s="52" t="s">
        <v>78</v>
      </c>
      <c r="G116" s="53">
        <v>2019.0</v>
      </c>
      <c r="H116" s="53">
        <v>555.3793</v>
      </c>
      <c r="I116" s="53">
        <v>982.5313</v>
      </c>
      <c r="J116" s="53">
        <v>327.7457</v>
      </c>
      <c r="K116" s="2"/>
      <c r="L116" s="2"/>
      <c r="M116" s="2"/>
      <c r="N116" s="47"/>
      <c r="O116" s="47"/>
      <c r="P116" s="2"/>
      <c r="Q116" s="2"/>
      <c r="R116" s="2"/>
      <c r="S116" s="2"/>
      <c r="T116" s="2"/>
      <c r="U116" s="2"/>
      <c r="V116" s="2"/>
      <c r="W116" s="2"/>
      <c r="X116" s="2"/>
      <c r="Y116" s="2"/>
      <c r="Z116" s="2"/>
      <c r="AA116" s="2"/>
      <c r="AB116" s="2"/>
    </row>
    <row r="117">
      <c r="A117" s="52" t="s">
        <v>74</v>
      </c>
      <c r="B117" s="52" t="s">
        <v>11</v>
      </c>
      <c r="C117" s="52" t="s">
        <v>76</v>
      </c>
      <c r="D117" s="52" t="s">
        <v>47</v>
      </c>
      <c r="E117" s="52" t="s">
        <v>77</v>
      </c>
      <c r="F117" s="52" t="s">
        <v>78</v>
      </c>
      <c r="G117" s="53">
        <v>2019.0</v>
      </c>
      <c r="H117" s="53">
        <v>600.9683</v>
      </c>
      <c r="I117" s="53">
        <v>1091.831</v>
      </c>
      <c r="J117" s="53">
        <v>339.9703</v>
      </c>
      <c r="K117" s="2"/>
      <c r="L117" s="2"/>
      <c r="M117" s="2"/>
      <c r="N117" s="47"/>
      <c r="O117" s="47"/>
      <c r="P117" s="2"/>
      <c r="Q117" s="2"/>
      <c r="R117" s="2"/>
      <c r="S117" s="2"/>
      <c r="T117" s="2"/>
      <c r="U117" s="2"/>
      <c r="V117" s="2"/>
      <c r="W117" s="2"/>
      <c r="X117" s="2"/>
      <c r="Y117" s="2"/>
      <c r="Z117" s="2"/>
      <c r="AA117" s="2"/>
      <c r="AB117" s="2"/>
    </row>
    <row r="118">
      <c r="A118" s="52" t="s">
        <v>74</v>
      </c>
      <c r="B118" s="52" t="s">
        <v>11</v>
      </c>
      <c r="C118" s="52" t="s">
        <v>76</v>
      </c>
      <c r="D118" s="52" t="s">
        <v>48</v>
      </c>
      <c r="E118" s="52" t="s">
        <v>77</v>
      </c>
      <c r="F118" s="52" t="s">
        <v>78</v>
      </c>
      <c r="G118" s="53">
        <v>2019.0</v>
      </c>
      <c r="H118" s="53">
        <v>715.9563</v>
      </c>
      <c r="I118" s="53">
        <v>1285.669</v>
      </c>
      <c r="J118" s="53">
        <v>403.4205</v>
      </c>
      <c r="K118" s="2"/>
      <c r="L118" s="2"/>
      <c r="M118" s="2"/>
      <c r="N118" s="47"/>
      <c r="O118" s="47"/>
      <c r="P118" s="2"/>
      <c r="Q118" s="2"/>
      <c r="R118" s="2"/>
      <c r="S118" s="2"/>
      <c r="T118" s="2"/>
      <c r="U118" s="2"/>
      <c r="V118" s="2"/>
      <c r="W118" s="2"/>
      <c r="X118" s="2"/>
      <c r="Y118" s="2"/>
      <c r="Z118" s="2"/>
      <c r="AA118" s="2"/>
      <c r="AB118" s="2"/>
    </row>
    <row r="119">
      <c r="A119" s="52" t="s">
        <v>74</v>
      </c>
      <c r="B119" s="52" t="s">
        <v>11</v>
      </c>
      <c r="C119" s="52" t="s">
        <v>76</v>
      </c>
      <c r="D119" s="52" t="s">
        <v>49</v>
      </c>
      <c r="E119" s="52" t="s">
        <v>77</v>
      </c>
      <c r="F119" s="52" t="s">
        <v>78</v>
      </c>
      <c r="G119" s="53">
        <v>2019.0</v>
      </c>
      <c r="H119" s="53">
        <v>985.7837</v>
      </c>
      <c r="I119" s="53">
        <v>1754.217</v>
      </c>
      <c r="J119" s="53">
        <v>517.7824</v>
      </c>
      <c r="K119" s="2"/>
      <c r="L119" s="2"/>
      <c r="M119" s="2"/>
      <c r="N119" s="47"/>
      <c r="O119" s="47"/>
      <c r="P119" s="2"/>
      <c r="Q119" s="2"/>
      <c r="R119" s="2"/>
      <c r="S119" s="2"/>
      <c r="T119" s="2"/>
      <c r="U119" s="2"/>
      <c r="V119" s="2"/>
      <c r="W119" s="2"/>
      <c r="X119" s="2"/>
      <c r="Y119" s="2"/>
      <c r="Z119" s="2"/>
      <c r="AA119" s="2"/>
      <c r="AB119" s="2"/>
    </row>
    <row r="120">
      <c r="A120" s="52" t="s">
        <v>74</v>
      </c>
      <c r="B120" s="52" t="s">
        <v>11</v>
      </c>
      <c r="C120" s="52" t="s">
        <v>76</v>
      </c>
      <c r="D120" s="52" t="s">
        <v>50</v>
      </c>
      <c r="E120" s="52" t="s">
        <v>77</v>
      </c>
      <c r="F120" s="52" t="s">
        <v>78</v>
      </c>
      <c r="G120" s="53">
        <v>2019.0</v>
      </c>
      <c r="H120" s="53">
        <v>992.9032</v>
      </c>
      <c r="I120" s="53">
        <v>1787.687</v>
      </c>
      <c r="J120" s="53">
        <v>502.8543</v>
      </c>
      <c r="K120" s="2"/>
      <c r="L120" s="2"/>
      <c r="M120" s="2"/>
      <c r="N120" s="47"/>
      <c r="O120" s="47"/>
      <c r="P120" s="2"/>
      <c r="Q120" s="2"/>
      <c r="R120" s="2"/>
      <c r="S120" s="2"/>
      <c r="T120" s="2"/>
      <c r="U120" s="2"/>
      <c r="V120" s="2"/>
      <c r="W120" s="2"/>
      <c r="X120" s="2"/>
      <c r="Y120" s="2"/>
      <c r="Z120" s="2"/>
      <c r="AA120" s="2"/>
      <c r="AB120" s="2"/>
    </row>
    <row r="121">
      <c r="A121" s="52" t="s">
        <v>74</v>
      </c>
      <c r="B121" s="52" t="s">
        <v>11</v>
      </c>
      <c r="C121" s="52" t="s">
        <v>76</v>
      </c>
      <c r="D121" s="52" t="s">
        <v>51</v>
      </c>
      <c r="E121" s="52" t="s">
        <v>77</v>
      </c>
      <c r="F121" s="52" t="s">
        <v>78</v>
      </c>
      <c r="G121" s="53">
        <v>2019.0</v>
      </c>
      <c r="H121" s="53">
        <v>1021.808</v>
      </c>
      <c r="I121" s="53">
        <v>1783.861</v>
      </c>
      <c r="J121" s="53">
        <v>493.302</v>
      </c>
      <c r="K121" s="2"/>
      <c r="L121" s="2"/>
      <c r="M121" s="2"/>
      <c r="N121" s="47"/>
      <c r="O121" s="47"/>
      <c r="P121" s="2"/>
      <c r="Q121" s="2"/>
      <c r="R121" s="2"/>
      <c r="S121" s="2"/>
      <c r="T121" s="2"/>
      <c r="U121" s="2"/>
      <c r="V121" s="2"/>
      <c r="W121" s="2"/>
      <c r="X121" s="2"/>
      <c r="Y121" s="2"/>
      <c r="Z121" s="2"/>
      <c r="AA121" s="2"/>
      <c r="AB121" s="2"/>
    </row>
    <row r="122">
      <c r="A122" s="52" t="s">
        <v>74</v>
      </c>
      <c r="B122" s="52" t="s">
        <v>11</v>
      </c>
      <c r="C122" s="52" t="s">
        <v>76</v>
      </c>
      <c r="D122" s="52" t="s">
        <v>52</v>
      </c>
      <c r="E122" s="52" t="s">
        <v>77</v>
      </c>
      <c r="F122" s="52" t="s">
        <v>78</v>
      </c>
      <c r="G122" s="53">
        <v>2019.0</v>
      </c>
      <c r="H122" s="53">
        <v>991.3857</v>
      </c>
      <c r="I122" s="53">
        <v>1680.864</v>
      </c>
      <c r="J122" s="53">
        <v>484.5635</v>
      </c>
      <c r="K122" s="2"/>
      <c r="L122" s="2"/>
      <c r="M122" s="2"/>
      <c r="N122" s="47"/>
      <c r="O122" s="47"/>
      <c r="P122" s="2"/>
      <c r="Q122" s="2"/>
      <c r="R122" s="2"/>
      <c r="S122" s="2"/>
      <c r="T122" s="2"/>
      <c r="U122" s="2"/>
      <c r="V122" s="2"/>
      <c r="W122" s="2"/>
      <c r="X122" s="2"/>
      <c r="Y122" s="2"/>
      <c r="Z122" s="2"/>
      <c r="AA122" s="2"/>
      <c r="AB122" s="2"/>
    </row>
    <row r="123">
      <c r="A123" s="52" t="s">
        <v>74</v>
      </c>
      <c r="B123" s="52" t="s">
        <v>11</v>
      </c>
      <c r="C123" s="52" t="s">
        <v>76</v>
      </c>
      <c r="D123" s="52" t="s">
        <v>53</v>
      </c>
      <c r="E123" s="52" t="s">
        <v>77</v>
      </c>
      <c r="F123" s="52" t="s">
        <v>78</v>
      </c>
      <c r="G123" s="53">
        <v>2019.0</v>
      </c>
      <c r="H123" s="53">
        <v>852.9359</v>
      </c>
      <c r="I123" s="53">
        <v>1471.556</v>
      </c>
      <c r="J123" s="53">
        <v>427.6247</v>
      </c>
      <c r="K123" s="2"/>
      <c r="L123" s="2"/>
      <c r="M123" s="2"/>
      <c r="N123" s="47"/>
      <c r="O123" s="47"/>
      <c r="P123" s="2"/>
      <c r="Q123" s="2"/>
      <c r="R123" s="2"/>
      <c r="S123" s="2"/>
      <c r="T123" s="2"/>
      <c r="U123" s="2"/>
      <c r="V123" s="2"/>
      <c r="W123" s="2"/>
      <c r="X123" s="2"/>
      <c r="Y123" s="2"/>
      <c r="Z123" s="2"/>
      <c r="AA123" s="2"/>
      <c r="AB123" s="2"/>
    </row>
    <row r="124">
      <c r="A124" s="52" t="s">
        <v>74</v>
      </c>
      <c r="B124" s="52" t="s">
        <v>11</v>
      </c>
      <c r="C124" s="52" t="s">
        <v>76</v>
      </c>
      <c r="D124" s="52" t="s">
        <v>54</v>
      </c>
      <c r="E124" s="52" t="s">
        <v>77</v>
      </c>
      <c r="F124" s="52" t="s">
        <v>78</v>
      </c>
      <c r="G124" s="53">
        <v>2019.0</v>
      </c>
      <c r="H124" s="53">
        <v>1021.817</v>
      </c>
      <c r="I124" s="53">
        <v>1833.761</v>
      </c>
      <c r="J124" s="53">
        <v>530.1551</v>
      </c>
      <c r="K124" s="2"/>
      <c r="L124" s="2"/>
      <c r="M124" s="2"/>
      <c r="N124" s="47"/>
      <c r="O124" s="47"/>
      <c r="P124" s="2"/>
      <c r="Q124" s="2"/>
      <c r="R124" s="2"/>
      <c r="S124" s="2"/>
      <c r="T124" s="2"/>
      <c r="U124" s="2"/>
      <c r="V124" s="2"/>
      <c r="W124" s="2"/>
      <c r="X124" s="2"/>
      <c r="Y124" s="2"/>
      <c r="Z124" s="2"/>
      <c r="AA124" s="2"/>
      <c r="AB124" s="2"/>
    </row>
    <row r="125">
      <c r="A125" s="52" t="s">
        <v>74</v>
      </c>
      <c r="B125" s="52" t="s">
        <v>15</v>
      </c>
      <c r="C125" s="52" t="s">
        <v>76</v>
      </c>
      <c r="D125" s="52" t="s">
        <v>38</v>
      </c>
      <c r="E125" s="52" t="s">
        <v>77</v>
      </c>
      <c r="F125" s="52" t="s">
        <v>78</v>
      </c>
      <c r="G125" s="53">
        <v>2019.0</v>
      </c>
      <c r="H125" s="53">
        <v>477.3622</v>
      </c>
      <c r="I125" s="53">
        <v>816.2582</v>
      </c>
      <c r="J125" s="53">
        <v>276.3716</v>
      </c>
      <c r="K125" s="2"/>
      <c r="L125" s="2"/>
      <c r="M125" s="2"/>
      <c r="N125" s="47"/>
      <c r="O125" s="47"/>
      <c r="P125" s="2"/>
      <c r="Q125" s="2"/>
      <c r="R125" s="2"/>
      <c r="S125" s="2"/>
      <c r="T125" s="2"/>
      <c r="U125" s="2"/>
      <c r="V125" s="2"/>
      <c r="W125" s="2"/>
      <c r="X125" s="2"/>
      <c r="Y125" s="2"/>
      <c r="Z125" s="2"/>
      <c r="AA125" s="2"/>
      <c r="AB125" s="2"/>
    </row>
    <row r="126">
      <c r="A126" s="52" t="s">
        <v>74</v>
      </c>
      <c r="B126" s="52" t="s">
        <v>15</v>
      </c>
      <c r="C126" s="52" t="s">
        <v>76</v>
      </c>
      <c r="D126" s="52" t="s">
        <v>39</v>
      </c>
      <c r="E126" s="52" t="s">
        <v>77</v>
      </c>
      <c r="F126" s="52" t="s">
        <v>78</v>
      </c>
      <c r="G126" s="53">
        <v>2019.0</v>
      </c>
      <c r="H126" s="53">
        <v>233.2983</v>
      </c>
      <c r="I126" s="53">
        <v>382.1484</v>
      </c>
      <c r="J126" s="53">
        <v>135.6561</v>
      </c>
      <c r="K126" s="2"/>
      <c r="L126" s="2"/>
      <c r="M126" s="2"/>
      <c r="N126" s="47"/>
      <c r="O126" s="47"/>
      <c r="P126" s="2"/>
      <c r="Q126" s="2"/>
      <c r="R126" s="2"/>
      <c r="S126" s="2"/>
      <c r="T126" s="2"/>
      <c r="U126" s="2"/>
      <c r="V126" s="2"/>
      <c r="W126" s="2"/>
      <c r="X126" s="2"/>
      <c r="Y126" s="2"/>
      <c r="Z126" s="2"/>
      <c r="AA126" s="2"/>
      <c r="AB126" s="2"/>
    </row>
    <row r="127">
      <c r="A127" s="52" t="s">
        <v>74</v>
      </c>
      <c r="B127" s="52" t="s">
        <v>15</v>
      </c>
      <c r="C127" s="52" t="s">
        <v>76</v>
      </c>
      <c r="D127" s="52" t="s">
        <v>40</v>
      </c>
      <c r="E127" s="52" t="s">
        <v>77</v>
      </c>
      <c r="F127" s="52" t="s">
        <v>78</v>
      </c>
      <c r="G127" s="53">
        <v>2019.0</v>
      </c>
      <c r="H127" s="53">
        <v>283.3826</v>
      </c>
      <c r="I127" s="53">
        <v>487.8986</v>
      </c>
      <c r="J127" s="53">
        <v>152.9403</v>
      </c>
      <c r="K127" s="2"/>
      <c r="L127" s="2"/>
      <c r="M127" s="2"/>
      <c r="N127" s="47"/>
      <c r="O127" s="47"/>
      <c r="P127" s="2"/>
      <c r="Q127" s="2"/>
      <c r="R127" s="2"/>
      <c r="S127" s="2"/>
      <c r="T127" s="2"/>
      <c r="U127" s="2"/>
      <c r="V127" s="2"/>
      <c r="W127" s="2"/>
      <c r="X127" s="2"/>
      <c r="Y127" s="2"/>
      <c r="Z127" s="2"/>
      <c r="AA127" s="2"/>
      <c r="AB127" s="2"/>
    </row>
    <row r="128">
      <c r="A128" s="52" t="s">
        <v>74</v>
      </c>
      <c r="B128" s="52" t="s">
        <v>15</v>
      </c>
      <c r="C128" s="52" t="s">
        <v>76</v>
      </c>
      <c r="D128" s="52" t="s">
        <v>41</v>
      </c>
      <c r="E128" s="52" t="s">
        <v>77</v>
      </c>
      <c r="F128" s="52" t="s">
        <v>78</v>
      </c>
      <c r="G128" s="53">
        <v>2019.0</v>
      </c>
      <c r="H128" s="53">
        <v>262.6262</v>
      </c>
      <c r="I128" s="53">
        <v>472.7968</v>
      </c>
      <c r="J128" s="53">
        <v>138.6381</v>
      </c>
      <c r="K128" s="2"/>
      <c r="L128" s="2"/>
      <c r="M128" s="2"/>
      <c r="N128" s="47"/>
      <c r="O128" s="47"/>
      <c r="P128" s="2"/>
      <c r="Q128" s="2"/>
      <c r="R128" s="2"/>
      <c r="S128" s="2"/>
      <c r="T128" s="2"/>
      <c r="U128" s="2"/>
      <c r="V128" s="2"/>
      <c r="W128" s="2"/>
      <c r="X128" s="2"/>
      <c r="Y128" s="2"/>
      <c r="Z128" s="2"/>
      <c r="AA128" s="2"/>
      <c r="AB128" s="2"/>
    </row>
    <row r="129">
      <c r="A129" s="52" t="s">
        <v>74</v>
      </c>
      <c r="B129" s="52" t="s">
        <v>15</v>
      </c>
      <c r="C129" s="52" t="s">
        <v>76</v>
      </c>
      <c r="D129" s="52" t="s">
        <v>42</v>
      </c>
      <c r="E129" s="52" t="s">
        <v>77</v>
      </c>
      <c r="F129" s="52" t="s">
        <v>78</v>
      </c>
      <c r="G129" s="53">
        <v>2019.0</v>
      </c>
      <c r="H129" s="53">
        <v>213.6987</v>
      </c>
      <c r="I129" s="53">
        <v>366.3898</v>
      </c>
      <c r="J129" s="53">
        <v>114.2085</v>
      </c>
      <c r="K129" s="2"/>
      <c r="L129" s="2"/>
      <c r="M129" s="2"/>
      <c r="N129" s="47"/>
      <c r="O129" s="47"/>
      <c r="P129" s="2"/>
      <c r="Q129" s="2"/>
      <c r="R129" s="2"/>
      <c r="S129" s="2"/>
      <c r="T129" s="2"/>
      <c r="U129" s="2"/>
      <c r="V129" s="2"/>
      <c r="W129" s="2"/>
      <c r="X129" s="2"/>
      <c r="Y129" s="2"/>
      <c r="Z129" s="2"/>
      <c r="AA129" s="2"/>
      <c r="AB129" s="2"/>
    </row>
    <row r="130">
      <c r="A130" s="52" t="s">
        <v>74</v>
      </c>
      <c r="B130" s="52" t="s">
        <v>15</v>
      </c>
      <c r="C130" s="52" t="s">
        <v>76</v>
      </c>
      <c r="D130" s="52" t="s">
        <v>43</v>
      </c>
      <c r="E130" s="52" t="s">
        <v>77</v>
      </c>
      <c r="F130" s="52" t="s">
        <v>78</v>
      </c>
      <c r="G130" s="53">
        <v>2019.0</v>
      </c>
      <c r="H130" s="53">
        <v>210.5099</v>
      </c>
      <c r="I130" s="53">
        <v>357.7727</v>
      </c>
      <c r="J130" s="53">
        <v>112.8233</v>
      </c>
      <c r="K130" s="2"/>
      <c r="L130" s="2"/>
      <c r="M130" s="2"/>
      <c r="N130" s="47"/>
      <c r="O130" s="47"/>
      <c r="P130" s="2"/>
      <c r="Q130" s="2"/>
      <c r="R130" s="2"/>
      <c r="S130" s="2"/>
      <c r="T130" s="2"/>
      <c r="U130" s="2"/>
      <c r="V130" s="2"/>
      <c r="W130" s="2"/>
      <c r="X130" s="2"/>
      <c r="Y130" s="2"/>
      <c r="Z130" s="2"/>
      <c r="AA130" s="2"/>
      <c r="AB130" s="2"/>
    </row>
    <row r="131">
      <c r="A131" s="52" t="s">
        <v>74</v>
      </c>
      <c r="B131" s="52" t="s">
        <v>15</v>
      </c>
      <c r="C131" s="52" t="s">
        <v>76</v>
      </c>
      <c r="D131" s="52" t="s">
        <v>44</v>
      </c>
      <c r="E131" s="52" t="s">
        <v>77</v>
      </c>
      <c r="F131" s="52" t="s">
        <v>78</v>
      </c>
      <c r="G131" s="53">
        <v>2019.0</v>
      </c>
      <c r="H131" s="53">
        <v>205.1395</v>
      </c>
      <c r="I131" s="53">
        <v>360.6593</v>
      </c>
      <c r="J131" s="53">
        <v>111.2683</v>
      </c>
      <c r="K131" s="2"/>
      <c r="L131" s="2"/>
      <c r="M131" s="2"/>
      <c r="N131" s="47"/>
      <c r="O131" s="47"/>
      <c r="P131" s="2"/>
      <c r="Q131" s="2"/>
      <c r="R131" s="2"/>
      <c r="S131" s="2"/>
      <c r="T131" s="2"/>
      <c r="U131" s="2"/>
      <c r="V131" s="2"/>
      <c r="W131" s="2"/>
      <c r="X131" s="2"/>
      <c r="Y131" s="2"/>
      <c r="Z131" s="2"/>
      <c r="AA131" s="2"/>
      <c r="AB131" s="2"/>
    </row>
    <row r="132">
      <c r="A132" s="52" t="s">
        <v>74</v>
      </c>
      <c r="B132" s="52" t="s">
        <v>15</v>
      </c>
      <c r="C132" s="52" t="s">
        <v>76</v>
      </c>
      <c r="D132" s="52" t="s">
        <v>45</v>
      </c>
      <c r="E132" s="52" t="s">
        <v>77</v>
      </c>
      <c r="F132" s="52" t="s">
        <v>78</v>
      </c>
      <c r="G132" s="53">
        <v>2019.0</v>
      </c>
      <c r="H132" s="53">
        <v>212.1624</v>
      </c>
      <c r="I132" s="53">
        <v>381.562</v>
      </c>
      <c r="J132" s="53">
        <v>106.9842</v>
      </c>
      <c r="K132" s="2"/>
      <c r="L132" s="2"/>
      <c r="M132" s="2"/>
      <c r="N132" s="47"/>
      <c r="O132" s="47"/>
      <c r="P132" s="2"/>
      <c r="Q132" s="2"/>
      <c r="R132" s="2"/>
      <c r="S132" s="2"/>
      <c r="T132" s="2"/>
      <c r="U132" s="2"/>
      <c r="V132" s="2"/>
      <c r="W132" s="2"/>
      <c r="X132" s="2"/>
      <c r="Y132" s="2"/>
      <c r="Z132" s="2"/>
      <c r="AA132" s="2"/>
      <c r="AB132" s="2"/>
    </row>
    <row r="133">
      <c r="A133" s="52" t="s">
        <v>74</v>
      </c>
      <c r="B133" s="52" t="s">
        <v>15</v>
      </c>
      <c r="C133" s="52" t="s">
        <v>76</v>
      </c>
      <c r="D133" s="52" t="s">
        <v>46</v>
      </c>
      <c r="E133" s="52" t="s">
        <v>77</v>
      </c>
      <c r="F133" s="52" t="s">
        <v>78</v>
      </c>
      <c r="G133" s="53">
        <v>2019.0</v>
      </c>
      <c r="H133" s="53">
        <v>224.6637</v>
      </c>
      <c r="I133" s="53">
        <v>395.841</v>
      </c>
      <c r="J133" s="53">
        <v>117.7612</v>
      </c>
      <c r="K133" s="2"/>
      <c r="L133" s="2"/>
      <c r="M133" s="2"/>
      <c r="N133" s="47"/>
      <c r="O133" s="47"/>
      <c r="P133" s="2"/>
      <c r="Q133" s="2"/>
      <c r="R133" s="2"/>
      <c r="S133" s="2"/>
      <c r="T133" s="2"/>
      <c r="U133" s="2"/>
      <c r="V133" s="2"/>
      <c r="W133" s="2"/>
      <c r="X133" s="2"/>
      <c r="Y133" s="2"/>
      <c r="Z133" s="2"/>
      <c r="AA133" s="2"/>
      <c r="AB133" s="2"/>
    </row>
    <row r="134">
      <c r="A134" s="52" t="s">
        <v>74</v>
      </c>
      <c r="B134" s="52" t="s">
        <v>15</v>
      </c>
      <c r="C134" s="52" t="s">
        <v>76</v>
      </c>
      <c r="D134" s="52" t="s">
        <v>47</v>
      </c>
      <c r="E134" s="52" t="s">
        <v>77</v>
      </c>
      <c r="F134" s="52" t="s">
        <v>78</v>
      </c>
      <c r="G134" s="53">
        <v>2019.0</v>
      </c>
      <c r="H134" s="53">
        <v>220.5056</v>
      </c>
      <c r="I134" s="53">
        <v>389.2317</v>
      </c>
      <c r="J134" s="53">
        <v>114.696</v>
      </c>
      <c r="K134" s="2"/>
      <c r="L134" s="2"/>
      <c r="M134" s="2"/>
      <c r="N134" s="47"/>
      <c r="O134" s="47"/>
      <c r="P134" s="2"/>
      <c r="Q134" s="2"/>
      <c r="R134" s="2"/>
      <c r="S134" s="2"/>
      <c r="T134" s="2"/>
      <c r="U134" s="2"/>
      <c r="V134" s="2"/>
      <c r="W134" s="2"/>
      <c r="X134" s="2"/>
      <c r="Y134" s="2"/>
      <c r="Z134" s="2"/>
      <c r="AA134" s="2"/>
      <c r="AB134" s="2"/>
    </row>
    <row r="135">
      <c r="A135" s="52" t="s">
        <v>74</v>
      </c>
      <c r="B135" s="52" t="s">
        <v>15</v>
      </c>
      <c r="C135" s="52" t="s">
        <v>76</v>
      </c>
      <c r="D135" s="52" t="s">
        <v>48</v>
      </c>
      <c r="E135" s="52" t="s">
        <v>77</v>
      </c>
      <c r="F135" s="52" t="s">
        <v>78</v>
      </c>
      <c r="G135" s="53">
        <v>2019.0</v>
      </c>
      <c r="H135" s="53">
        <v>253.6112</v>
      </c>
      <c r="I135" s="53">
        <v>440.7194</v>
      </c>
      <c r="J135" s="53">
        <v>132.6534</v>
      </c>
      <c r="K135" s="2"/>
      <c r="L135" s="2"/>
      <c r="M135" s="2"/>
      <c r="N135" s="47"/>
      <c r="O135" s="47"/>
      <c r="P135" s="2"/>
      <c r="Q135" s="2"/>
      <c r="R135" s="2"/>
      <c r="S135" s="2"/>
      <c r="T135" s="2"/>
      <c r="U135" s="2"/>
      <c r="V135" s="2"/>
      <c r="W135" s="2"/>
      <c r="X135" s="2"/>
      <c r="Y135" s="2"/>
      <c r="Z135" s="2"/>
      <c r="AA135" s="2"/>
      <c r="AB135" s="2"/>
    </row>
    <row r="136">
      <c r="A136" s="52" t="s">
        <v>74</v>
      </c>
      <c r="B136" s="52" t="s">
        <v>15</v>
      </c>
      <c r="C136" s="52" t="s">
        <v>76</v>
      </c>
      <c r="D136" s="52" t="s">
        <v>49</v>
      </c>
      <c r="E136" s="52" t="s">
        <v>77</v>
      </c>
      <c r="F136" s="52" t="s">
        <v>78</v>
      </c>
      <c r="G136" s="53">
        <v>2019.0</v>
      </c>
      <c r="H136" s="53">
        <v>379.8535</v>
      </c>
      <c r="I136" s="53">
        <v>636.8218</v>
      </c>
      <c r="J136" s="53">
        <v>200.0799</v>
      </c>
      <c r="K136" s="2"/>
      <c r="L136" s="2"/>
      <c r="M136" s="2"/>
      <c r="N136" s="47"/>
      <c r="O136" s="47"/>
      <c r="P136" s="2"/>
      <c r="Q136" s="2"/>
      <c r="R136" s="2"/>
      <c r="S136" s="2"/>
      <c r="T136" s="2"/>
      <c r="U136" s="2"/>
      <c r="V136" s="2"/>
      <c r="W136" s="2"/>
      <c r="X136" s="2"/>
      <c r="Y136" s="2"/>
      <c r="Z136" s="2"/>
      <c r="AA136" s="2"/>
      <c r="AB136" s="2"/>
    </row>
    <row r="137">
      <c r="A137" s="52" t="s">
        <v>74</v>
      </c>
      <c r="B137" s="52" t="s">
        <v>15</v>
      </c>
      <c r="C137" s="52" t="s">
        <v>76</v>
      </c>
      <c r="D137" s="52" t="s">
        <v>50</v>
      </c>
      <c r="E137" s="52" t="s">
        <v>77</v>
      </c>
      <c r="F137" s="52" t="s">
        <v>78</v>
      </c>
      <c r="G137" s="53">
        <v>2019.0</v>
      </c>
      <c r="H137" s="53">
        <v>429.5386</v>
      </c>
      <c r="I137" s="53">
        <v>738.9769</v>
      </c>
      <c r="J137" s="53">
        <v>225.9602</v>
      </c>
      <c r="K137" s="2"/>
      <c r="L137" s="2"/>
      <c r="M137" s="2"/>
      <c r="N137" s="47"/>
      <c r="O137" s="47"/>
      <c r="P137" s="2"/>
      <c r="Q137" s="2"/>
      <c r="R137" s="2"/>
      <c r="S137" s="2"/>
      <c r="T137" s="2"/>
      <c r="U137" s="2"/>
      <c r="V137" s="2"/>
      <c r="W137" s="2"/>
      <c r="X137" s="2"/>
      <c r="Y137" s="2"/>
      <c r="Z137" s="2"/>
      <c r="AA137" s="2"/>
      <c r="AB137" s="2"/>
    </row>
    <row r="138">
      <c r="A138" s="52" t="s">
        <v>74</v>
      </c>
      <c r="B138" s="52" t="s">
        <v>15</v>
      </c>
      <c r="C138" s="52" t="s">
        <v>76</v>
      </c>
      <c r="D138" s="52" t="s">
        <v>51</v>
      </c>
      <c r="E138" s="52" t="s">
        <v>77</v>
      </c>
      <c r="F138" s="52" t="s">
        <v>78</v>
      </c>
      <c r="G138" s="53">
        <v>2019.0</v>
      </c>
      <c r="H138" s="53">
        <v>432.5623</v>
      </c>
      <c r="I138" s="53">
        <v>704.9248</v>
      </c>
      <c r="J138" s="53">
        <v>233.8974</v>
      </c>
      <c r="K138" s="2"/>
      <c r="L138" s="2"/>
      <c r="M138" s="2"/>
      <c r="N138" s="47"/>
      <c r="O138" s="47"/>
      <c r="P138" s="2"/>
      <c r="Q138" s="2"/>
      <c r="R138" s="2"/>
      <c r="S138" s="2"/>
      <c r="T138" s="2"/>
      <c r="U138" s="2"/>
      <c r="V138" s="2"/>
      <c r="W138" s="2"/>
      <c r="X138" s="2"/>
      <c r="Y138" s="2"/>
      <c r="Z138" s="2"/>
      <c r="AA138" s="2"/>
      <c r="AB138" s="2"/>
    </row>
    <row r="139">
      <c r="A139" s="52" t="s">
        <v>74</v>
      </c>
      <c r="B139" s="52" t="s">
        <v>15</v>
      </c>
      <c r="C139" s="52" t="s">
        <v>76</v>
      </c>
      <c r="D139" s="52" t="s">
        <v>52</v>
      </c>
      <c r="E139" s="52" t="s">
        <v>77</v>
      </c>
      <c r="F139" s="52" t="s">
        <v>78</v>
      </c>
      <c r="G139" s="53">
        <v>2019.0</v>
      </c>
      <c r="H139" s="53">
        <v>412.3329</v>
      </c>
      <c r="I139" s="53">
        <v>704.0689</v>
      </c>
      <c r="J139" s="53">
        <v>216.4557</v>
      </c>
      <c r="K139" s="2"/>
      <c r="L139" s="2"/>
      <c r="M139" s="2"/>
      <c r="N139" s="47"/>
      <c r="O139" s="47"/>
      <c r="P139" s="2"/>
      <c r="Q139" s="2"/>
      <c r="R139" s="2"/>
      <c r="S139" s="2"/>
      <c r="T139" s="2"/>
      <c r="U139" s="2"/>
      <c r="V139" s="2"/>
      <c r="W139" s="2"/>
      <c r="X139" s="2"/>
      <c r="Y139" s="2"/>
      <c r="Z139" s="2"/>
      <c r="AA139" s="2"/>
      <c r="AB139" s="2"/>
    </row>
    <row r="140">
      <c r="A140" s="52" t="s">
        <v>74</v>
      </c>
      <c r="B140" s="52" t="s">
        <v>15</v>
      </c>
      <c r="C140" s="52" t="s">
        <v>76</v>
      </c>
      <c r="D140" s="52" t="s">
        <v>53</v>
      </c>
      <c r="E140" s="52" t="s">
        <v>77</v>
      </c>
      <c r="F140" s="52" t="s">
        <v>78</v>
      </c>
      <c r="G140" s="53">
        <v>2019.0</v>
      </c>
      <c r="H140" s="53">
        <v>352.122</v>
      </c>
      <c r="I140" s="53">
        <v>611.4111</v>
      </c>
      <c r="J140" s="53">
        <v>181.9131</v>
      </c>
      <c r="K140" s="2"/>
      <c r="L140" s="2"/>
      <c r="M140" s="2"/>
      <c r="N140" s="47"/>
      <c r="O140" s="47"/>
      <c r="P140" s="2"/>
      <c r="Q140" s="2"/>
      <c r="R140" s="2"/>
      <c r="S140" s="2"/>
      <c r="T140" s="2"/>
      <c r="U140" s="2"/>
      <c r="V140" s="2"/>
      <c r="W140" s="2"/>
      <c r="X140" s="2"/>
      <c r="Y140" s="2"/>
      <c r="Z140" s="2"/>
      <c r="AA140" s="2"/>
      <c r="AB140" s="2"/>
    </row>
    <row r="141">
      <c r="A141" s="52" t="s">
        <v>74</v>
      </c>
      <c r="B141" s="52" t="s">
        <v>15</v>
      </c>
      <c r="C141" s="52" t="s">
        <v>76</v>
      </c>
      <c r="D141" s="52" t="s">
        <v>54</v>
      </c>
      <c r="E141" s="52" t="s">
        <v>77</v>
      </c>
      <c r="F141" s="52" t="s">
        <v>78</v>
      </c>
      <c r="G141" s="53">
        <v>2019.0</v>
      </c>
      <c r="H141" s="53">
        <v>446.0547</v>
      </c>
      <c r="I141" s="53">
        <v>818.9077</v>
      </c>
      <c r="J141" s="53">
        <v>229.657</v>
      </c>
      <c r="K141" s="2"/>
      <c r="L141" s="2"/>
      <c r="M141" s="2"/>
      <c r="N141" s="47"/>
      <c r="O141" s="47"/>
      <c r="P141" s="2"/>
      <c r="Q141" s="2"/>
      <c r="R141" s="2"/>
      <c r="S141" s="2"/>
      <c r="T141" s="2"/>
      <c r="U141" s="2"/>
      <c r="V141" s="2"/>
      <c r="W141" s="2"/>
      <c r="X141" s="2"/>
      <c r="Y141" s="2"/>
      <c r="Z141" s="2"/>
      <c r="AA141" s="2"/>
      <c r="AB141" s="2"/>
    </row>
    <row r="142">
      <c r="A142" s="54" t="s">
        <v>74</v>
      </c>
      <c r="B142" s="54" t="s">
        <v>14</v>
      </c>
      <c r="C142" s="54" t="s">
        <v>76</v>
      </c>
      <c r="D142" s="54" t="s">
        <v>34</v>
      </c>
      <c r="E142" s="54" t="s">
        <v>77</v>
      </c>
      <c r="F142" s="54" t="s">
        <v>78</v>
      </c>
      <c r="G142" s="54">
        <v>2019.0</v>
      </c>
      <c r="H142" s="54">
        <v>149.9941463</v>
      </c>
      <c r="I142" s="54">
        <v>324.1622862</v>
      </c>
      <c r="J142" s="54">
        <v>59.01805376</v>
      </c>
      <c r="K142" s="2"/>
      <c r="L142" s="2"/>
      <c r="M142" s="2"/>
      <c r="N142" s="47"/>
      <c r="O142" s="47"/>
      <c r="P142" s="2"/>
      <c r="Q142" s="2"/>
      <c r="R142" s="2"/>
      <c r="S142" s="2"/>
      <c r="T142" s="2"/>
      <c r="U142" s="2"/>
      <c r="V142" s="2"/>
      <c r="W142" s="2"/>
      <c r="X142" s="2"/>
      <c r="Y142" s="2"/>
      <c r="Z142" s="2"/>
      <c r="AA142" s="2"/>
      <c r="AB142" s="2"/>
    </row>
    <row r="143">
      <c r="A143" s="54" t="s">
        <v>74</v>
      </c>
      <c r="B143" s="54" t="s">
        <v>14</v>
      </c>
      <c r="C143" s="54" t="s">
        <v>76</v>
      </c>
      <c r="D143" s="54" t="s">
        <v>35</v>
      </c>
      <c r="E143" s="54" t="s">
        <v>77</v>
      </c>
      <c r="F143" s="54" t="s">
        <v>78</v>
      </c>
      <c r="G143" s="54">
        <v>2019.0</v>
      </c>
      <c r="H143" s="54">
        <v>258.3840033</v>
      </c>
      <c r="I143" s="54">
        <v>604.4135699</v>
      </c>
      <c r="J143" s="54">
        <v>85.95106763</v>
      </c>
      <c r="K143" s="2"/>
      <c r="L143" s="2"/>
      <c r="M143" s="2"/>
      <c r="N143" s="47"/>
      <c r="O143" s="47"/>
      <c r="P143" s="2"/>
      <c r="Q143" s="2"/>
      <c r="R143" s="2"/>
      <c r="S143" s="2"/>
      <c r="T143" s="2"/>
      <c r="U143" s="2"/>
      <c r="V143" s="2"/>
      <c r="W143" s="2"/>
      <c r="X143" s="2"/>
      <c r="Y143" s="2"/>
      <c r="Z143" s="2"/>
      <c r="AA143" s="2"/>
      <c r="AB143" s="2"/>
    </row>
    <row r="144">
      <c r="A144" s="54" t="s">
        <v>74</v>
      </c>
      <c r="B144" s="54" t="s">
        <v>14</v>
      </c>
      <c r="C144" s="54" t="s">
        <v>76</v>
      </c>
      <c r="D144" s="54" t="s">
        <v>36</v>
      </c>
      <c r="E144" s="54" t="s">
        <v>77</v>
      </c>
      <c r="F144" s="54" t="s">
        <v>78</v>
      </c>
      <c r="G144" s="54">
        <v>2019.0</v>
      </c>
      <c r="H144" s="54">
        <v>2172.937305</v>
      </c>
      <c r="I144" s="54">
        <v>4044.598363</v>
      </c>
      <c r="J144" s="54">
        <v>902.8824446</v>
      </c>
      <c r="K144" s="2"/>
      <c r="L144" s="2"/>
      <c r="M144" s="2"/>
      <c r="N144" s="47"/>
      <c r="O144" s="47"/>
      <c r="P144" s="2"/>
      <c r="Q144" s="2"/>
      <c r="R144" s="2"/>
      <c r="S144" s="2"/>
      <c r="T144" s="2"/>
      <c r="U144" s="2"/>
      <c r="V144" s="2"/>
      <c r="W144" s="2"/>
      <c r="X144" s="2"/>
      <c r="Y144" s="2"/>
      <c r="Z144" s="2"/>
      <c r="AA144" s="2"/>
      <c r="AB144" s="2"/>
    </row>
    <row r="145">
      <c r="A145" s="54" t="s">
        <v>74</v>
      </c>
      <c r="B145" s="54" t="s">
        <v>14</v>
      </c>
      <c r="C145" s="54" t="s">
        <v>76</v>
      </c>
      <c r="D145" s="54" t="s">
        <v>37</v>
      </c>
      <c r="E145" s="54" t="s">
        <v>77</v>
      </c>
      <c r="F145" s="54" t="s">
        <v>78</v>
      </c>
      <c r="G145" s="54">
        <v>2019.0</v>
      </c>
      <c r="H145" s="54">
        <v>2167.193056</v>
      </c>
      <c r="I145" s="54">
        <v>4005.703162</v>
      </c>
      <c r="J145" s="54">
        <v>996.9093509</v>
      </c>
      <c r="K145" s="2"/>
      <c r="L145" s="2"/>
      <c r="M145" s="2"/>
      <c r="N145" s="47"/>
      <c r="O145" s="47"/>
      <c r="P145" s="2"/>
      <c r="Q145" s="2"/>
      <c r="R145" s="2"/>
      <c r="S145" s="2"/>
      <c r="T145" s="2"/>
      <c r="U145" s="2"/>
      <c r="V145" s="2"/>
      <c r="W145" s="2"/>
      <c r="X145" s="2"/>
      <c r="Y145" s="2"/>
      <c r="Z145" s="2"/>
      <c r="AA145" s="2"/>
      <c r="AB145" s="2"/>
    </row>
    <row r="146">
      <c r="A146" s="54" t="s">
        <v>74</v>
      </c>
      <c r="B146" s="54" t="s">
        <v>11</v>
      </c>
      <c r="C146" s="54" t="s">
        <v>76</v>
      </c>
      <c r="D146" s="54" t="s">
        <v>34</v>
      </c>
      <c r="E146" s="54" t="s">
        <v>77</v>
      </c>
      <c r="F146" s="54" t="s">
        <v>78</v>
      </c>
      <c r="G146" s="54">
        <v>2019.0</v>
      </c>
      <c r="H146" s="54">
        <v>637.9846233</v>
      </c>
      <c r="I146" s="54">
        <v>963.2247227</v>
      </c>
      <c r="J146" s="54">
        <v>347.9167142</v>
      </c>
      <c r="K146" s="2"/>
      <c r="L146" s="2"/>
      <c r="M146" s="2"/>
      <c r="N146" s="47"/>
      <c r="O146" s="47"/>
      <c r="P146" s="2"/>
      <c r="Q146" s="2"/>
      <c r="R146" s="2"/>
      <c r="S146" s="2"/>
      <c r="T146" s="2"/>
      <c r="U146" s="2"/>
      <c r="V146" s="2"/>
      <c r="W146" s="2"/>
      <c r="X146" s="2"/>
      <c r="Y146" s="2"/>
      <c r="Z146" s="2"/>
      <c r="AA146" s="2"/>
      <c r="AB146" s="2"/>
    </row>
    <row r="147">
      <c r="A147" s="54" t="s">
        <v>74</v>
      </c>
      <c r="B147" s="54" t="s">
        <v>11</v>
      </c>
      <c r="C147" s="54" t="s">
        <v>76</v>
      </c>
      <c r="D147" s="54" t="s">
        <v>35</v>
      </c>
      <c r="E147" s="54" t="s">
        <v>77</v>
      </c>
      <c r="F147" s="54" t="s">
        <v>78</v>
      </c>
      <c r="G147" s="54">
        <v>2019.0</v>
      </c>
      <c r="H147" s="54">
        <v>879.3333064</v>
      </c>
      <c r="I147" s="54">
        <v>1264.183742</v>
      </c>
      <c r="J147" s="54">
        <v>505.1790467</v>
      </c>
      <c r="K147" s="2"/>
      <c r="L147" s="2"/>
      <c r="M147" s="2"/>
      <c r="N147" s="47"/>
      <c r="O147" s="47"/>
      <c r="P147" s="2"/>
      <c r="Q147" s="2"/>
      <c r="R147" s="2"/>
      <c r="S147" s="2"/>
      <c r="T147" s="2"/>
      <c r="U147" s="2"/>
      <c r="V147" s="2"/>
      <c r="W147" s="2"/>
      <c r="X147" s="2"/>
      <c r="Y147" s="2"/>
      <c r="Z147" s="2"/>
      <c r="AA147" s="2"/>
      <c r="AB147" s="2"/>
    </row>
    <row r="148">
      <c r="A148" s="54" t="s">
        <v>74</v>
      </c>
      <c r="B148" s="54" t="s">
        <v>11</v>
      </c>
      <c r="C148" s="54" t="s">
        <v>76</v>
      </c>
      <c r="D148" s="54" t="s">
        <v>36</v>
      </c>
      <c r="E148" s="54" t="s">
        <v>77</v>
      </c>
      <c r="F148" s="54" t="s">
        <v>78</v>
      </c>
      <c r="G148" s="54">
        <v>2019.0</v>
      </c>
      <c r="H148" s="54">
        <v>4254.514621</v>
      </c>
      <c r="I148" s="54">
        <v>5980.468029</v>
      </c>
      <c r="J148" s="54">
        <v>2821.291949</v>
      </c>
      <c r="K148" s="2"/>
      <c r="L148" s="2"/>
      <c r="M148" s="2"/>
      <c r="N148" s="47"/>
      <c r="O148" s="47"/>
      <c r="P148" s="2"/>
      <c r="Q148" s="2"/>
      <c r="R148" s="2"/>
      <c r="S148" s="2"/>
      <c r="T148" s="2"/>
      <c r="U148" s="2"/>
      <c r="V148" s="2"/>
      <c r="W148" s="2"/>
      <c r="X148" s="2"/>
      <c r="Y148" s="2"/>
      <c r="Z148" s="2"/>
      <c r="AA148" s="2"/>
      <c r="AB148" s="2"/>
    </row>
    <row r="149">
      <c r="A149" s="54" t="s">
        <v>74</v>
      </c>
      <c r="B149" s="54" t="s">
        <v>11</v>
      </c>
      <c r="C149" s="54" t="s">
        <v>76</v>
      </c>
      <c r="D149" s="54" t="s">
        <v>37</v>
      </c>
      <c r="E149" s="54" t="s">
        <v>77</v>
      </c>
      <c r="F149" s="54" t="s">
        <v>78</v>
      </c>
      <c r="G149" s="54">
        <v>2019.0</v>
      </c>
      <c r="H149" s="54">
        <v>3480.461392</v>
      </c>
      <c r="I149" s="54">
        <v>4779.22137</v>
      </c>
      <c r="J149" s="54">
        <v>2375.539858</v>
      </c>
      <c r="K149" s="2"/>
      <c r="L149" s="2"/>
      <c r="M149" s="2"/>
      <c r="N149" s="47"/>
      <c r="O149" s="47"/>
      <c r="P149" s="2"/>
      <c r="Q149" s="2"/>
      <c r="R149" s="2"/>
      <c r="S149" s="2"/>
      <c r="T149" s="2"/>
      <c r="U149" s="2"/>
      <c r="V149" s="2"/>
      <c r="W149" s="2"/>
      <c r="X149" s="2"/>
      <c r="Y149" s="2"/>
      <c r="Z149" s="2"/>
      <c r="AA149" s="2"/>
      <c r="AB149" s="2"/>
    </row>
    <row r="150">
      <c r="A150" s="54" t="s">
        <v>74</v>
      </c>
      <c r="B150" s="54" t="s">
        <v>75</v>
      </c>
      <c r="C150" s="54" t="s">
        <v>76</v>
      </c>
      <c r="D150" s="54" t="s">
        <v>34</v>
      </c>
      <c r="E150" s="54" t="s">
        <v>77</v>
      </c>
      <c r="F150" s="54" t="s">
        <v>78</v>
      </c>
      <c r="G150" s="54">
        <v>2019.0</v>
      </c>
      <c r="H150" s="54">
        <v>7777.223996</v>
      </c>
      <c r="I150" s="54">
        <v>9875.909912</v>
      </c>
      <c r="J150" s="54">
        <v>6041.766913</v>
      </c>
      <c r="K150" s="2"/>
      <c r="L150" s="2"/>
      <c r="M150" s="2"/>
      <c r="N150" s="47"/>
      <c r="O150" s="47"/>
      <c r="P150" s="2"/>
      <c r="Q150" s="2"/>
      <c r="R150" s="2"/>
      <c r="S150" s="2"/>
      <c r="T150" s="2"/>
      <c r="U150" s="2"/>
      <c r="V150" s="2"/>
      <c r="W150" s="2"/>
      <c r="X150" s="2"/>
      <c r="Y150" s="2"/>
      <c r="Z150" s="2"/>
      <c r="AA150" s="2"/>
      <c r="AB150" s="2"/>
    </row>
    <row r="151">
      <c r="A151" s="54" t="s">
        <v>74</v>
      </c>
      <c r="B151" s="54" t="s">
        <v>75</v>
      </c>
      <c r="C151" s="54" t="s">
        <v>76</v>
      </c>
      <c r="D151" s="54" t="s">
        <v>35</v>
      </c>
      <c r="E151" s="54" t="s">
        <v>77</v>
      </c>
      <c r="F151" s="54" t="s">
        <v>78</v>
      </c>
      <c r="G151" s="54">
        <v>2019.0</v>
      </c>
      <c r="H151" s="54">
        <v>17471.59065</v>
      </c>
      <c r="I151" s="54">
        <v>22906.32929</v>
      </c>
      <c r="J151" s="54">
        <v>12693.74593</v>
      </c>
      <c r="K151" s="2"/>
      <c r="L151" s="2"/>
      <c r="M151" s="2"/>
      <c r="N151" s="47"/>
      <c r="O151" s="47"/>
      <c r="P151" s="2"/>
      <c r="Q151" s="2"/>
      <c r="R151" s="2"/>
      <c r="S151" s="2"/>
      <c r="T151" s="2"/>
      <c r="U151" s="2"/>
      <c r="V151" s="2"/>
      <c r="W151" s="2"/>
      <c r="X151" s="2"/>
      <c r="Y151" s="2"/>
      <c r="Z151" s="2"/>
      <c r="AA151" s="2"/>
      <c r="AB151" s="2"/>
    </row>
    <row r="152">
      <c r="A152" s="54" t="s">
        <v>74</v>
      </c>
      <c r="B152" s="54" t="s">
        <v>75</v>
      </c>
      <c r="C152" s="54" t="s">
        <v>76</v>
      </c>
      <c r="D152" s="54" t="s">
        <v>36</v>
      </c>
      <c r="E152" s="54" t="s">
        <v>77</v>
      </c>
      <c r="F152" s="54" t="s">
        <v>78</v>
      </c>
      <c r="G152" s="54">
        <v>2019.0</v>
      </c>
      <c r="H152" s="54">
        <v>176793.2139</v>
      </c>
      <c r="I152" s="54">
        <v>230756.0685</v>
      </c>
      <c r="J152" s="54">
        <v>135270.2771</v>
      </c>
      <c r="K152" s="2"/>
      <c r="L152" s="2"/>
      <c r="M152" s="2"/>
      <c r="N152" s="47"/>
      <c r="O152" s="47"/>
      <c r="P152" s="2"/>
      <c r="Q152" s="2"/>
      <c r="R152" s="2"/>
      <c r="S152" s="2"/>
      <c r="T152" s="2"/>
      <c r="U152" s="2"/>
      <c r="V152" s="2"/>
      <c r="W152" s="2"/>
      <c r="X152" s="2"/>
      <c r="Y152" s="2"/>
      <c r="Z152" s="2"/>
      <c r="AA152" s="2"/>
      <c r="AB152" s="2"/>
    </row>
    <row r="153">
      <c r="A153" s="54" t="s">
        <v>74</v>
      </c>
      <c r="B153" s="54" t="s">
        <v>75</v>
      </c>
      <c r="C153" s="54" t="s">
        <v>76</v>
      </c>
      <c r="D153" s="54" t="s">
        <v>37</v>
      </c>
      <c r="E153" s="54" t="s">
        <v>77</v>
      </c>
      <c r="F153" s="54" t="s">
        <v>78</v>
      </c>
      <c r="G153" s="54">
        <v>2019.0</v>
      </c>
      <c r="H153" s="54">
        <v>208102.6995</v>
      </c>
      <c r="I153" s="54">
        <v>282809.2695</v>
      </c>
      <c r="J153" s="54">
        <v>147486.6946</v>
      </c>
      <c r="K153" s="2"/>
      <c r="L153" s="2"/>
      <c r="M153" s="2"/>
      <c r="N153" s="47"/>
      <c r="O153" s="47"/>
      <c r="P153" s="2"/>
      <c r="Q153" s="2"/>
      <c r="R153" s="2"/>
      <c r="S153" s="2"/>
      <c r="T153" s="2"/>
      <c r="U153" s="2"/>
      <c r="V153" s="2"/>
      <c r="W153" s="2"/>
      <c r="X153" s="2"/>
      <c r="Y153" s="2"/>
      <c r="Z153" s="2"/>
      <c r="AA153" s="2"/>
      <c r="AB153" s="2"/>
    </row>
    <row r="154">
      <c r="A154" s="54" t="s">
        <v>74</v>
      </c>
      <c r="B154" s="54" t="s">
        <v>15</v>
      </c>
      <c r="C154" s="54" t="s">
        <v>76</v>
      </c>
      <c r="D154" s="54" t="s">
        <v>34</v>
      </c>
      <c r="E154" s="54" t="s">
        <v>77</v>
      </c>
      <c r="F154" s="54" t="s">
        <v>78</v>
      </c>
      <c r="G154" s="54">
        <v>2019.0</v>
      </c>
      <c r="H154" s="54">
        <v>69.87584405</v>
      </c>
      <c r="I154" s="54">
        <v>121.5446725</v>
      </c>
      <c r="J154" s="54">
        <v>35.65575758</v>
      </c>
      <c r="K154" s="2"/>
      <c r="L154" s="2"/>
      <c r="M154" s="2"/>
      <c r="N154" s="47"/>
      <c r="O154" s="47"/>
      <c r="P154" s="2"/>
      <c r="Q154" s="2"/>
      <c r="R154" s="2"/>
      <c r="S154" s="2"/>
      <c r="T154" s="2"/>
      <c r="U154" s="2"/>
      <c r="V154" s="2"/>
      <c r="W154" s="2"/>
      <c r="X154" s="2"/>
      <c r="Y154" s="2"/>
      <c r="Z154" s="2"/>
      <c r="AA154" s="2"/>
      <c r="AB154" s="2"/>
    </row>
    <row r="155">
      <c r="A155" s="54" t="s">
        <v>74</v>
      </c>
      <c r="B155" s="54" t="s">
        <v>15</v>
      </c>
      <c r="C155" s="54" t="s">
        <v>76</v>
      </c>
      <c r="D155" s="54" t="s">
        <v>35</v>
      </c>
      <c r="E155" s="54" t="s">
        <v>77</v>
      </c>
      <c r="F155" s="54" t="s">
        <v>78</v>
      </c>
      <c r="G155" s="54">
        <v>2019.0</v>
      </c>
      <c r="H155" s="54">
        <v>136.1688501</v>
      </c>
      <c r="I155" s="54">
        <v>255.1241629</v>
      </c>
      <c r="J155" s="54">
        <v>65.32491605</v>
      </c>
      <c r="K155" s="2"/>
      <c r="L155" s="2"/>
      <c r="M155" s="2"/>
      <c r="N155" s="47"/>
      <c r="O155" s="47"/>
      <c r="P155" s="2"/>
      <c r="Q155" s="2"/>
      <c r="R155" s="2"/>
      <c r="S155" s="2"/>
      <c r="T155" s="2"/>
      <c r="U155" s="2"/>
      <c r="V155" s="2"/>
      <c r="W155" s="2"/>
      <c r="X155" s="2"/>
      <c r="Y155" s="2"/>
      <c r="Z155" s="2"/>
      <c r="AA155" s="2"/>
      <c r="AB155" s="2"/>
    </row>
    <row r="156">
      <c r="A156" s="54" t="s">
        <v>74</v>
      </c>
      <c r="B156" s="54" t="s">
        <v>15</v>
      </c>
      <c r="C156" s="54" t="s">
        <v>76</v>
      </c>
      <c r="D156" s="54" t="s">
        <v>36</v>
      </c>
      <c r="E156" s="54" t="s">
        <v>77</v>
      </c>
      <c r="F156" s="54" t="s">
        <v>78</v>
      </c>
      <c r="G156" s="54">
        <v>2019.0</v>
      </c>
      <c r="H156" s="54">
        <v>1434.916189</v>
      </c>
      <c r="I156" s="54">
        <v>2376.83122</v>
      </c>
      <c r="J156" s="54">
        <v>767.8501066</v>
      </c>
      <c r="K156" s="2"/>
      <c r="L156" s="2"/>
      <c r="M156" s="2"/>
      <c r="N156" s="47"/>
      <c r="O156" s="47"/>
      <c r="P156" s="2"/>
      <c r="Q156" s="2"/>
      <c r="R156" s="2"/>
      <c r="S156" s="2"/>
      <c r="T156" s="2"/>
      <c r="U156" s="2"/>
      <c r="V156" s="2"/>
      <c r="W156" s="2"/>
      <c r="X156" s="2"/>
      <c r="Y156" s="2"/>
      <c r="Z156" s="2"/>
      <c r="AA156" s="2"/>
      <c r="AB156" s="2"/>
    </row>
    <row r="157">
      <c r="A157" s="54" t="s">
        <v>74</v>
      </c>
      <c r="B157" s="54" t="s">
        <v>15</v>
      </c>
      <c r="C157" s="54" t="s">
        <v>76</v>
      </c>
      <c r="D157" s="54" t="s">
        <v>37</v>
      </c>
      <c r="E157" s="54" t="s">
        <v>77</v>
      </c>
      <c r="F157" s="54" t="s">
        <v>78</v>
      </c>
      <c r="G157" s="54">
        <v>2019.0</v>
      </c>
      <c r="H157" s="54">
        <v>1631.991418</v>
      </c>
      <c r="I157" s="54">
        <v>2670.503491</v>
      </c>
      <c r="J157" s="54">
        <v>935.9762792</v>
      </c>
      <c r="K157" s="2"/>
      <c r="L157" s="2"/>
      <c r="M157" s="2"/>
      <c r="N157" s="47"/>
      <c r="O157" s="47"/>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47"/>
      <c r="O158" s="47"/>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47"/>
      <c r="O159" s="47"/>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47"/>
      <c r="O160" s="47"/>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47"/>
      <c r="O161" s="47"/>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47"/>
      <c r="O162" s="47"/>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47"/>
      <c r="O163" s="47"/>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47"/>
      <c r="O164" s="47"/>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47"/>
      <c r="O165" s="47"/>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47"/>
      <c r="O166" s="47"/>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47"/>
      <c r="O167" s="47"/>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47"/>
      <c r="O168" s="47"/>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47"/>
      <c r="O169" s="47"/>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47"/>
      <c r="O170" s="47"/>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47"/>
      <c r="O171" s="47"/>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47"/>
      <c r="O172" s="47"/>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47"/>
      <c r="O173" s="47"/>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47"/>
      <c r="O174" s="47"/>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47"/>
      <c r="O175" s="47"/>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47"/>
      <c r="O176" s="47"/>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47"/>
      <c r="O177" s="47"/>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47"/>
      <c r="O178" s="47"/>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47"/>
      <c r="O179" s="47"/>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47"/>
      <c r="O180" s="47"/>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47"/>
      <c r="O181" s="47"/>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47"/>
      <c r="O182" s="47"/>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47"/>
      <c r="O183" s="47"/>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47"/>
      <c r="O184" s="47"/>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47"/>
      <c r="O185" s="47"/>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47"/>
      <c r="O186" s="47"/>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47"/>
      <c r="O187" s="47"/>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47"/>
      <c r="O188" s="47"/>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47"/>
      <c r="O189" s="47"/>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47"/>
      <c r="O190" s="47"/>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47"/>
      <c r="O191" s="47"/>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47"/>
      <c r="O192" s="47"/>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47"/>
      <c r="O193" s="47"/>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47"/>
      <c r="O194" s="47"/>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47"/>
      <c r="O195" s="47"/>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47"/>
      <c r="O196" s="47"/>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47"/>
      <c r="O197" s="47"/>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47"/>
      <c r="O198" s="47"/>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47"/>
      <c r="O199" s="47"/>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47"/>
      <c r="O200" s="47"/>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47"/>
      <c r="O201" s="47"/>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47"/>
      <c r="O202" s="47"/>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47"/>
      <c r="O203" s="47"/>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47"/>
      <c r="O204" s="47"/>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47"/>
      <c r="O205" s="47"/>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47"/>
      <c r="O206" s="47"/>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47"/>
      <c r="O207" s="47"/>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47"/>
      <c r="O208" s="47"/>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47"/>
      <c r="O209" s="47"/>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47"/>
      <c r="O210" s="47"/>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47"/>
      <c r="O211" s="47"/>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47"/>
      <c r="O212" s="47"/>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47"/>
      <c r="O213" s="47"/>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47"/>
      <c r="O214" s="47"/>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47"/>
      <c r="O215" s="47"/>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47"/>
      <c r="O216" s="47"/>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47"/>
      <c r="O217" s="47"/>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47"/>
      <c r="O218" s="47"/>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47"/>
      <c r="O219" s="47"/>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47"/>
      <c r="O220" s="47"/>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47"/>
      <c r="O221" s="47"/>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47"/>
      <c r="O222" s="47"/>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47"/>
      <c r="O223" s="47"/>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47"/>
      <c r="O224" s="47"/>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47"/>
      <c r="O225" s="47"/>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47"/>
      <c r="O226" s="47"/>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47"/>
      <c r="O227" s="47"/>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47"/>
      <c r="O228" s="47"/>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47"/>
      <c r="O229" s="47"/>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47"/>
      <c r="O230" s="47"/>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47"/>
      <c r="O231" s="47"/>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47"/>
      <c r="O232" s="47"/>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47"/>
      <c r="O233" s="47"/>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47"/>
      <c r="O234" s="47"/>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47"/>
      <c r="O235" s="47"/>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47"/>
      <c r="O236" s="47"/>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47"/>
      <c r="O237" s="47"/>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47"/>
      <c r="O238" s="47"/>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47"/>
      <c r="O239" s="47"/>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47"/>
      <c r="O240" s="47"/>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47"/>
      <c r="O241" s="47"/>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47"/>
      <c r="O242" s="47"/>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47"/>
      <c r="O243" s="47"/>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47"/>
      <c r="O244" s="47"/>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47"/>
      <c r="O245" s="47"/>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47"/>
      <c r="O246" s="47"/>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47"/>
      <c r="O247" s="47"/>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47"/>
      <c r="O248" s="47"/>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47"/>
      <c r="O249" s="47"/>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47"/>
      <c r="O250" s="47"/>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47"/>
      <c r="O251" s="47"/>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47"/>
      <c r="O252" s="47"/>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47"/>
      <c r="O253" s="47"/>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47"/>
      <c r="O254" s="47"/>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47"/>
      <c r="O255" s="47"/>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47"/>
      <c r="O256" s="47"/>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47"/>
      <c r="O257" s="47"/>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47"/>
      <c r="O258" s="47"/>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47"/>
      <c r="O259" s="47"/>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47"/>
      <c r="O260" s="47"/>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47"/>
      <c r="O261" s="47"/>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47"/>
      <c r="O262" s="47"/>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47"/>
      <c r="O263" s="47"/>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47"/>
      <c r="O264" s="47"/>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47"/>
      <c r="O265" s="47"/>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47"/>
      <c r="O266" s="47"/>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47"/>
      <c r="O267" s="47"/>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47"/>
      <c r="O268" s="47"/>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47"/>
      <c r="O269" s="47"/>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47"/>
      <c r="O270" s="47"/>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47"/>
      <c r="O271" s="47"/>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47"/>
      <c r="O272" s="47"/>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47"/>
      <c r="O273" s="47"/>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47"/>
      <c r="O274" s="47"/>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47"/>
      <c r="O275" s="47"/>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47"/>
      <c r="O276" s="47"/>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47"/>
      <c r="O277" s="47"/>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47"/>
      <c r="O278" s="47"/>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47"/>
      <c r="O279" s="47"/>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47"/>
      <c r="O280" s="47"/>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47"/>
      <c r="O281" s="47"/>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47"/>
      <c r="O282" s="47"/>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47"/>
      <c r="O283" s="47"/>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47"/>
      <c r="O284" s="47"/>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47"/>
      <c r="O285" s="47"/>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47"/>
      <c r="O286" s="47"/>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47"/>
      <c r="O287" s="47"/>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47"/>
      <c r="O288" s="47"/>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47"/>
      <c r="O289" s="47"/>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47"/>
      <c r="O290" s="47"/>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47"/>
      <c r="O291" s="47"/>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47"/>
      <c r="O292" s="47"/>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47"/>
      <c r="O293" s="47"/>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47"/>
      <c r="O294" s="47"/>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47"/>
      <c r="O295" s="47"/>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47"/>
      <c r="O296" s="47"/>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47"/>
      <c r="O297" s="47"/>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47"/>
      <c r="O298" s="47"/>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47"/>
      <c r="O299" s="47"/>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47"/>
      <c r="O300" s="47"/>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47"/>
      <c r="O301" s="47"/>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47"/>
      <c r="O302" s="47"/>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47"/>
      <c r="O303" s="47"/>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47"/>
      <c r="O304" s="47"/>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47"/>
      <c r="O305" s="47"/>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47"/>
      <c r="O306" s="47"/>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47"/>
      <c r="O307" s="47"/>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47"/>
      <c r="O308" s="47"/>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47"/>
      <c r="O309" s="47"/>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47"/>
      <c r="O310" s="47"/>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47"/>
      <c r="O311" s="47"/>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47"/>
      <c r="O312" s="47"/>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47"/>
      <c r="O313" s="47"/>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47"/>
      <c r="O314" s="47"/>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47"/>
      <c r="O315" s="47"/>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47"/>
      <c r="O316" s="47"/>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47"/>
      <c r="O317" s="47"/>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47"/>
      <c r="O318" s="47"/>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47"/>
      <c r="O319" s="47"/>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47"/>
      <c r="O320" s="47"/>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47"/>
      <c r="O321" s="47"/>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47"/>
      <c r="O322" s="47"/>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47"/>
      <c r="O323" s="47"/>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47"/>
      <c r="O324" s="47"/>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47"/>
      <c r="O325" s="47"/>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47"/>
      <c r="O326" s="47"/>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47"/>
      <c r="O327" s="47"/>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47"/>
      <c r="O328" s="47"/>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47"/>
      <c r="O329" s="47"/>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47"/>
      <c r="O330" s="47"/>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47"/>
      <c r="O331" s="47"/>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47"/>
      <c r="O332" s="47"/>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47"/>
      <c r="O333" s="47"/>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47"/>
      <c r="O334" s="47"/>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47"/>
      <c r="O335" s="47"/>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47"/>
      <c r="O336" s="47"/>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47"/>
      <c r="O337" s="47"/>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47"/>
      <c r="O338" s="47"/>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47"/>
      <c r="O339" s="47"/>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47"/>
      <c r="O340" s="47"/>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47"/>
      <c r="O341" s="47"/>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47"/>
      <c r="O342" s="47"/>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47"/>
      <c r="O343" s="47"/>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47"/>
      <c r="O344" s="47"/>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47"/>
      <c r="O345" s="47"/>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47"/>
      <c r="O346" s="47"/>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47"/>
      <c r="O347" s="47"/>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47"/>
      <c r="O348" s="47"/>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47"/>
      <c r="O349" s="47"/>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47"/>
      <c r="O350" s="47"/>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47"/>
      <c r="O351" s="47"/>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47"/>
      <c r="O352" s="47"/>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47"/>
      <c r="O353" s="47"/>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47"/>
      <c r="O354" s="47"/>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47"/>
      <c r="O355" s="47"/>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47"/>
      <c r="O356" s="47"/>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47"/>
      <c r="O357" s="47"/>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47"/>
      <c r="O358" s="47"/>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47"/>
      <c r="O359" s="47"/>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47"/>
      <c r="O360" s="47"/>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47"/>
      <c r="O361" s="47"/>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47"/>
      <c r="O362" s="47"/>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47"/>
      <c r="O363" s="47"/>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47"/>
      <c r="O364" s="47"/>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47"/>
      <c r="O365" s="47"/>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47"/>
      <c r="O366" s="47"/>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47"/>
      <c r="O367" s="47"/>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47"/>
      <c r="O368" s="47"/>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47"/>
      <c r="O369" s="47"/>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47"/>
      <c r="O370" s="47"/>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47"/>
      <c r="O371" s="47"/>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47"/>
      <c r="O372" s="47"/>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47"/>
      <c r="O373" s="47"/>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47"/>
      <c r="O374" s="47"/>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47"/>
      <c r="O375" s="47"/>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47"/>
      <c r="O376" s="47"/>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47"/>
      <c r="O377" s="47"/>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47"/>
      <c r="O378" s="47"/>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47"/>
      <c r="O379" s="47"/>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47"/>
      <c r="O380" s="47"/>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47"/>
      <c r="O381" s="47"/>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47"/>
      <c r="O382" s="47"/>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47"/>
      <c r="O383" s="47"/>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47"/>
      <c r="O384" s="47"/>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47"/>
      <c r="O385" s="47"/>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47"/>
      <c r="O386" s="47"/>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47"/>
      <c r="O387" s="47"/>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47"/>
      <c r="O388" s="47"/>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47"/>
      <c r="O389" s="47"/>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47"/>
      <c r="O390" s="47"/>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47"/>
      <c r="O391" s="47"/>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47"/>
      <c r="O392" s="47"/>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47"/>
      <c r="O393" s="47"/>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47"/>
      <c r="O394" s="47"/>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47"/>
      <c r="O395" s="47"/>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47"/>
      <c r="O396" s="47"/>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47"/>
      <c r="O397" s="47"/>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47"/>
      <c r="O398" s="47"/>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47"/>
      <c r="O399" s="47"/>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47"/>
      <c r="O400" s="47"/>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47"/>
      <c r="O401" s="47"/>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47"/>
      <c r="O402" s="47"/>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47"/>
      <c r="O403" s="47"/>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47"/>
      <c r="O404" s="47"/>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47"/>
      <c r="O405" s="47"/>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47"/>
      <c r="O406" s="47"/>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47"/>
      <c r="O407" s="47"/>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47"/>
      <c r="O408" s="47"/>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47"/>
      <c r="O409" s="47"/>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47"/>
      <c r="O410" s="47"/>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47"/>
      <c r="O411" s="47"/>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47"/>
      <c r="O412" s="47"/>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47"/>
      <c r="O413" s="47"/>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47"/>
      <c r="O414" s="47"/>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47"/>
      <c r="O415" s="47"/>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47"/>
      <c r="O416" s="47"/>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47"/>
      <c r="O417" s="47"/>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47"/>
      <c r="O418" s="47"/>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47"/>
      <c r="O419" s="47"/>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47"/>
      <c r="O420" s="47"/>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47"/>
      <c r="O421" s="47"/>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47"/>
      <c r="O422" s="47"/>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47"/>
      <c r="O423" s="47"/>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47"/>
      <c r="O424" s="47"/>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47"/>
      <c r="O425" s="47"/>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47"/>
      <c r="O426" s="47"/>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47"/>
      <c r="O427" s="47"/>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47"/>
      <c r="O428" s="47"/>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47"/>
      <c r="O429" s="47"/>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47"/>
      <c r="O430" s="47"/>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47"/>
      <c r="O431" s="47"/>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47"/>
      <c r="O432" s="47"/>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47"/>
      <c r="O433" s="47"/>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47"/>
      <c r="O434" s="47"/>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47"/>
      <c r="O435" s="47"/>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47"/>
      <c r="O436" s="47"/>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47"/>
      <c r="O437" s="47"/>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47"/>
      <c r="O438" s="47"/>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47"/>
      <c r="O439" s="47"/>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47"/>
      <c r="O440" s="47"/>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47"/>
      <c r="O441" s="47"/>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47"/>
      <c r="O442" s="47"/>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47"/>
      <c r="O443" s="47"/>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47"/>
      <c r="O444" s="47"/>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47"/>
      <c r="O445" s="47"/>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47"/>
      <c r="O446" s="47"/>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47"/>
      <c r="O447" s="47"/>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47"/>
      <c r="O448" s="47"/>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47"/>
      <c r="O449" s="47"/>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47"/>
      <c r="O450" s="47"/>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47"/>
      <c r="O451" s="47"/>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47"/>
      <c r="O452" s="47"/>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47"/>
      <c r="O453" s="47"/>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47"/>
      <c r="O454" s="47"/>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47"/>
      <c r="O455" s="47"/>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47"/>
      <c r="O456" s="47"/>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47"/>
      <c r="O457" s="47"/>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47"/>
      <c r="O458" s="47"/>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47"/>
      <c r="O459" s="47"/>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47"/>
      <c r="O460" s="47"/>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47"/>
      <c r="O461" s="47"/>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47"/>
      <c r="O462" s="47"/>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47"/>
      <c r="O463" s="47"/>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47"/>
      <c r="O464" s="47"/>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47"/>
      <c r="O465" s="47"/>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47"/>
      <c r="O466" s="47"/>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47"/>
      <c r="O467" s="47"/>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47"/>
      <c r="O468" s="47"/>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47"/>
      <c r="O469" s="47"/>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47"/>
      <c r="O470" s="47"/>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47"/>
      <c r="O471" s="47"/>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47"/>
      <c r="O472" s="47"/>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47"/>
      <c r="O473" s="47"/>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47"/>
      <c r="O474" s="47"/>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47"/>
      <c r="O475" s="47"/>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47"/>
      <c r="O476" s="47"/>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47"/>
      <c r="O477" s="47"/>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47"/>
      <c r="O478" s="47"/>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47"/>
      <c r="O479" s="47"/>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47"/>
      <c r="O480" s="47"/>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47"/>
      <c r="O481" s="47"/>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47"/>
      <c r="O482" s="47"/>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47"/>
      <c r="O483" s="47"/>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47"/>
      <c r="O484" s="47"/>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47"/>
      <c r="O485" s="47"/>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47"/>
      <c r="O486" s="47"/>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47"/>
      <c r="O487" s="47"/>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47"/>
      <c r="O488" s="47"/>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47"/>
      <c r="O489" s="47"/>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47"/>
      <c r="O490" s="47"/>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47"/>
      <c r="O491" s="47"/>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47"/>
      <c r="O492" s="47"/>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47"/>
      <c r="O493" s="47"/>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47"/>
      <c r="O494" s="47"/>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47"/>
      <c r="O495" s="47"/>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47"/>
      <c r="O496" s="47"/>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47"/>
      <c r="O497" s="47"/>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47"/>
      <c r="O498" s="47"/>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47"/>
      <c r="O499" s="47"/>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47"/>
      <c r="O500" s="47"/>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47"/>
      <c r="O501" s="47"/>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47"/>
      <c r="O502" s="47"/>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47"/>
      <c r="O503" s="47"/>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47"/>
      <c r="O504" s="47"/>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47"/>
      <c r="O505" s="47"/>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47"/>
      <c r="O506" s="47"/>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47"/>
      <c r="O507" s="47"/>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47"/>
      <c r="O508" s="47"/>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47"/>
      <c r="O509" s="47"/>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47"/>
      <c r="O510" s="47"/>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47"/>
      <c r="O511" s="47"/>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47"/>
      <c r="O512" s="47"/>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47"/>
      <c r="O513" s="47"/>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47"/>
      <c r="O514" s="47"/>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47"/>
      <c r="O515" s="47"/>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47"/>
      <c r="O516" s="47"/>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47"/>
      <c r="O517" s="47"/>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47"/>
      <c r="O518" s="47"/>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47"/>
      <c r="O519" s="47"/>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47"/>
      <c r="O520" s="47"/>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47"/>
      <c r="O521" s="47"/>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47"/>
      <c r="O522" s="47"/>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47"/>
      <c r="O523" s="47"/>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47"/>
      <c r="O524" s="47"/>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47"/>
      <c r="O525" s="47"/>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47"/>
      <c r="O526" s="47"/>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47"/>
      <c r="O527" s="47"/>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47"/>
      <c r="O528" s="47"/>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47"/>
      <c r="O529" s="47"/>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47"/>
      <c r="O530" s="47"/>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47"/>
      <c r="O531" s="47"/>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47"/>
      <c r="O532" s="47"/>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47"/>
      <c r="O533" s="47"/>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47"/>
      <c r="O534" s="47"/>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47"/>
      <c r="O535" s="47"/>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47"/>
      <c r="O536" s="47"/>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47"/>
      <c r="O537" s="47"/>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47"/>
      <c r="O538" s="47"/>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47"/>
      <c r="O539" s="47"/>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47"/>
      <c r="O540" s="47"/>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47"/>
      <c r="O541" s="47"/>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47"/>
      <c r="O542" s="47"/>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47"/>
      <c r="O543" s="47"/>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47"/>
      <c r="O544" s="47"/>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47"/>
      <c r="O545" s="47"/>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47"/>
      <c r="O546" s="47"/>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47"/>
      <c r="O547" s="47"/>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47"/>
      <c r="O548" s="47"/>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47"/>
      <c r="O549" s="47"/>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47"/>
      <c r="O550" s="47"/>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47"/>
      <c r="O551" s="47"/>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47"/>
      <c r="O552" s="47"/>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47"/>
      <c r="O553" s="47"/>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47"/>
      <c r="O554" s="47"/>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47"/>
      <c r="O555" s="47"/>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47"/>
      <c r="O556" s="47"/>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47"/>
      <c r="O557" s="47"/>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47"/>
      <c r="O558" s="47"/>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47"/>
      <c r="O559" s="47"/>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47"/>
      <c r="O560" s="47"/>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47"/>
      <c r="O561" s="47"/>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47"/>
      <c r="O562" s="47"/>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47"/>
      <c r="O563" s="47"/>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47"/>
      <c r="O564" s="47"/>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47"/>
      <c r="O565" s="47"/>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47"/>
      <c r="O566" s="47"/>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47"/>
      <c r="O567" s="47"/>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47"/>
      <c r="O568" s="47"/>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47"/>
      <c r="O569" s="47"/>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47"/>
      <c r="O570" s="47"/>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47"/>
      <c r="O571" s="47"/>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47"/>
      <c r="O572" s="47"/>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47"/>
      <c r="O573" s="47"/>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47"/>
      <c r="O574" s="47"/>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47"/>
      <c r="O575" s="47"/>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47"/>
      <c r="O576" s="47"/>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47"/>
      <c r="O577" s="47"/>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47"/>
      <c r="O578" s="47"/>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47"/>
      <c r="O579" s="47"/>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47"/>
      <c r="O580" s="47"/>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47"/>
      <c r="O581" s="47"/>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47"/>
      <c r="O582" s="47"/>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47"/>
      <c r="O583" s="47"/>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47"/>
      <c r="O584" s="47"/>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47"/>
      <c r="O585" s="47"/>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47"/>
      <c r="O586" s="47"/>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47"/>
      <c r="O587" s="47"/>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47"/>
      <c r="O588" s="47"/>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47"/>
      <c r="O589" s="47"/>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47"/>
      <c r="O590" s="47"/>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47"/>
      <c r="O591" s="47"/>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47"/>
      <c r="O592" s="47"/>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47"/>
      <c r="O593" s="47"/>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47"/>
      <c r="O594" s="47"/>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47"/>
      <c r="O595" s="47"/>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47"/>
      <c r="O596" s="47"/>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47"/>
      <c r="O597" s="47"/>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47"/>
      <c r="O598" s="47"/>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47"/>
      <c r="O599" s="47"/>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47"/>
      <c r="O600" s="47"/>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47"/>
      <c r="O601" s="47"/>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47"/>
      <c r="O602" s="47"/>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47"/>
      <c r="O603" s="47"/>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47"/>
      <c r="O604" s="47"/>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47"/>
      <c r="O605" s="47"/>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47"/>
      <c r="O606" s="47"/>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47"/>
      <c r="O607" s="47"/>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47"/>
      <c r="O608" s="47"/>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47"/>
      <c r="O609" s="47"/>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47"/>
      <c r="O610" s="47"/>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47"/>
      <c r="O611" s="47"/>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47"/>
      <c r="O612" s="47"/>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47"/>
      <c r="O613" s="47"/>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47"/>
      <c r="O614" s="47"/>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47"/>
      <c r="O615" s="47"/>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47"/>
      <c r="O616" s="47"/>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47"/>
      <c r="O617" s="47"/>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47"/>
      <c r="O618" s="47"/>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47"/>
      <c r="O619" s="47"/>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47"/>
      <c r="O620" s="47"/>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47"/>
      <c r="O621" s="47"/>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47"/>
      <c r="O622" s="47"/>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47"/>
      <c r="O623" s="47"/>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47"/>
      <c r="O624" s="47"/>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47"/>
      <c r="O625" s="47"/>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47"/>
      <c r="O626" s="47"/>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47"/>
      <c r="O627" s="47"/>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47"/>
      <c r="O628" s="47"/>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47"/>
      <c r="O629" s="47"/>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47"/>
      <c r="O630" s="47"/>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47"/>
      <c r="O631" s="47"/>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47"/>
      <c r="O632" s="47"/>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47"/>
      <c r="O633" s="47"/>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47"/>
      <c r="O634" s="47"/>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47"/>
      <c r="O635" s="47"/>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47"/>
      <c r="O636" s="47"/>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47"/>
      <c r="O637" s="47"/>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47"/>
      <c r="O638" s="47"/>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47"/>
      <c r="O639" s="47"/>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47"/>
      <c r="O640" s="47"/>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47"/>
      <c r="O641" s="47"/>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47"/>
      <c r="O642" s="47"/>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47"/>
      <c r="O643" s="47"/>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47"/>
      <c r="O644" s="47"/>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47"/>
      <c r="O645" s="47"/>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47"/>
      <c r="O646" s="47"/>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47"/>
      <c r="O647" s="47"/>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47"/>
      <c r="O648" s="47"/>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47"/>
      <c r="O649" s="47"/>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47"/>
      <c r="O650" s="47"/>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47"/>
      <c r="O651" s="47"/>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47"/>
      <c r="O652" s="47"/>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47"/>
      <c r="O653" s="47"/>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47"/>
      <c r="O654" s="47"/>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47"/>
      <c r="O655" s="47"/>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47"/>
      <c r="O656" s="47"/>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47"/>
      <c r="O657" s="47"/>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47"/>
      <c r="O658" s="47"/>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47"/>
      <c r="O659" s="47"/>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47"/>
      <c r="O660" s="47"/>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47"/>
      <c r="O661" s="47"/>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47"/>
      <c r="O662" s="47"/>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47"/>
      <c r="O663" s="47"/>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47"/>
      <c r="O664" s="47"/>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47"/>
      <c r="O665" s="47"/>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47"/>
      <c r="O666" s="47"/>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47"/>
      <c r="O667" s="47"/>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47"/>
      <c r="O668" s="47"/>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47"/>
      <c r="O669" s="47"/>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47"/>
      <c r="O670" s="47"/>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47"/>
      <c r="O671" s="47"/>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47"/>
      <c r="O672" s="47"/>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47"/>
      <c r="O673" s="47"/>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47"/>
      <c r="O674" s="47"/>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47"/>
      <c r="O675" s="47"/>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47"/>
      <c r="O676" s="47"/>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47"/>
      <c r="O677" s="47"/>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47"/>
      <c r="O678" s="47"/>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47"/>
      <c r="O679" s="47"/>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47"/>
      <c r="O680" s="47"/>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47"/>
      <c r="O681" s="47"/>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47"/>
      <c r="O682" s="47"/>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47"/>
      <c r="O683" s="47"/>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47"/>
      <c r="O684" s="47"/>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47"/>
      <c r="O685" s="47"/>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47"/>
      <c r="O686" s="47"/>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47"/>
      <c r="O687" s="47"/>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47"/>
      <c r="O688" s="47"/>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47"/>
      <c r="O689" s="47"/>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47"/>
      <c r="O690" s="47"/>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47"/>
      <c r="O691" s="47"/>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47"/>
      <c r="O692" s="47"/>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47"/>
      <c r="O693" s="47"/>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47"/>
      <c r="O694" s="47"/>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47"/>
      <c r="O695" s="47"/>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47"/>
      <c r="O696" s="47"/>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47"/>
      <c r="O697" s="47"/>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47"/>
      <c r="O698" s="47"/>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47"/>
      <c r="O699" s="47"/>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47"/>
      <c r="O700" s="47"/>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47"/>
      <c r="O701" s="47"/>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47"/>
      <c r="O702" s="47"/>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47"/>
      <c r="O703" s="47"/>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47"/>
      <c r="O704" s="47"/>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47"/>
      <c r="O705" s="47"/>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47"/>
      <c r="O706" s="47"/>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47"/>
      <c r="O707" s="47"/>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47"/>
      <c r="O708" s="47"/>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47"/>
      <c r="O709" s="47"/>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47"/>
      <c r="O710" s="47"/>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47"/>
      <c r="O711" s="47"/>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47"/>
      <c r="O712" s="47"/>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47"/>
      <c r="O713" s="47"/>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47"/>
      <c r="O714" s="47"/>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47"/>
      <c r="O715" s="47"/>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47"/>
      <c r="O716" s="47"/>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47"/>
      <c r="O717" s="47"/>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47"/>
      <c r="O718" s="47"/>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47"/>
      <c r="O719" s="47"/>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47"/>
      <c r="O720" s="47"/>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47"/>
      <c r="O721" s="47"/>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47"/>
      <c r="O722" s="47"/>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47"/>
      <c r="O723" s="47"/>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47"/>
      <c r="O724" s="47"/>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47"/>
      <c r="O725" s="47"/>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47"/>
      <c r="O726" s="47"/>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47"/>
      <c r="O727" s="47"/>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47"/>
      <c r="O728" s="47"/>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47"/>
      <c r="O729" s="47"/>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47"/>
      <c r="O730" s="47"/>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47"/>
      <c r="O731" s="47"/>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47"/>
      <c r="O732" s="47"/>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47"/>
      <c r="O733" s="47"/>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47"/>
      <c r="O734" s="47"/>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47"/>
      <c r="O735" s="47"/>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47"/>
      <c r="O736" s="47"/>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47"/>
      <c r="O737" s="47"/>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47"/>
      <c r="O738" s="47"/>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47"/>
      <c r="O739" s="47"/>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47"/>
      <c r="O740" s="47"/>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47"/>
      <c r="O741" s="47"/>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47"/>
      <c r="O742" s="47"/>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47"/>
      <c r="O743" s="47"/>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47"/>
      <c r="O744" s="47"/>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47"/>
      <c r="O745" s="47"/>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47"/>
      <c r="O746" s="47"/>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47"/>
      <c r="O747" s="47"/>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47"/>
      <c r="O748" s="47"/>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47"/>
      <c r="O749" s="47"/>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47"/>
      <c r="O750" s="47"/>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47"/>
      <c r="O751" s="47"/>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47"/>
      <c r="O752" s="47"/>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47"/>
      <c r="O753" s="47"/>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47"/>
      <c r="O754" s="47"/>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47"/>
      <c r="O755" s="47"/>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47"/>
      <c r="O756" s="47"/>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47"/>
      <c r="O757" s="47"/>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47"/>
      <c r="O758" s="47"/>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47"/>
      <c r="O759" s="47"/>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47"/>
      <c r="O760" s="47"/>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47"/>
      <c r="O761" s="47"/>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47"/>
      <c r="O762" s="47"/>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47"/>
      <c r="O763" s="47"/>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47"/>
      <c r="O764" s="47"/>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47"/>
      <c r="O765" s="47"/>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47"/>
      <c r="O766" s="47"/>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47"/>
      <c r="O767" s="47"/>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47"/>
      <c r="O768" s="47"/>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47"/>
      <c r="O769" s="47"/>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47"/>
      <c r="O770" s="47"/>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47"/>
      <c r="O771" s="47"/>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47"/>
      <c r="O772" s="47"/>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47"/>
      <c r="O773" s="47"/>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47"/>
      <c r="O774" s="47"/>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47"/>
      <c r="O775" s="47"/>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47"/>
      <c r="O776" s="47"/>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47"/>
      <c r="O777" s="47"/>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47"/>
      <c r="O778" s="47"/>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47"/>
      <c r="O779" s="47"/>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47"/>
      <c r="O780" s="47"/>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47"/>
      <c r="O781" s="47"/>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47"/>
      <c r="O782" s="47"/>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47"/>
      <c r="O783" s="47"/>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47"/>
      <c r="O784" s="47"/>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47"/>
      <c r="O785" s="47"/>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47"/>
      <c r="O786" s="47"/>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47"/>
      <c r="O787" s="47"/>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47"/>
      <c r="O788" s="47"/>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47"/>
      <c r="O789" s="47"/>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47"/>
      <c r="O790" s="47"/>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47"/>
      <c r="O791" s="47"/>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47"/>
      <c r="O792" s="47"/>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47"/>
      <c r="O793" s="47"/>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47"/>
      <c r="O794" s="47"/>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47"/>
      <c r="O795" s="47"/>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47"/>
      <c r="O796" s="47"/>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47"/>
      <c r="O797" s="47"/>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47"/>
      <c r="O798" s="47"/>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47"/>
      <c r="O799" s="47"/>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47"/>
      <c r="O800" s="47"/>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47"/>
      <c r="O801" s="47"/>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47"/>
      <c r="O802" s="47"/>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47"/>
      <c r="O803" s="47"/>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47"/>
      <c r="O804" s="47"/>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47"/>
      <c r="O805" s="47"/>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47"/>
      <c r="O806" s="47"/>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47"/>
      <c r="O807" s="47"/>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47"/>
      <c r="O808" s="47"/>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47"/>
      <c r="O809" s="47"/>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47"/>
      <c r="O810" s="47"/>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47"/>
      <c r="O811" s="47"/>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47"/>
      <c r="O812" s="47"/>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47"/>
      <c r="O813" s="47"/>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47"/>
      <c r="O814" s="47"/>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47"/>
      <c r="O815" s="47"/>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47"/>
      <c r="O816" s="47"/>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47"/>
      <c r="O817" s="47"/>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47"/>
      <c r="O818" s="47"/>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47"/>
      <c r="O819" s="47"/>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47"/>
      <c r="O820" s="47"/>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47"/>
      <c r="O821" s="47"/>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47"/>
      <c r="O822" s="47"/>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47"/>
      <c r="O823" s="47"/>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47"/>
      <c r="O824" s="47"/>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47"/>
      <c r="O825" s="47"/>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47"/>
      <c r="O826" s="47"/>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47"/>
      <c r="O827" s="47"/>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47"/>
      <c r="O828" s="47"/>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47"/>
      <c r="O829" s="47"/>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47"/>
      <c r="O830" s="47"/>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47"/>
      <c r="O831" s="47"/>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47"/>
      <c r="O832" s="47"/>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47"/>
      <c r="O833" s="47"/>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47"/>
      <c r="O834" s="47"/>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47"/>
      <c r="O835" s="47"/>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47"/>
      <c r="O836" s="47"/>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47"/>
      <c r="O837" s="47"/>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47"/>
      <c r="O838" s="47"/>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47"/>
      <c r="O839" s="47"/>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47"/>
      <c r="O840" s="47"/>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47"/>
      <c r="O841" s="47"/>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47"/>
      <c r="O842" s="47"/>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47"/>
      <c r="O843" s="47"/>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47"/>
      <c r="O844" s="47"/>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47"/>
      <c r="O845" s="47"/>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47"/>
      <c r="O846" s="47"/>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47"/>
      <c r="O847" s="47"/>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47"/>
      <c r="O848" s="47"/>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47"/>
      <c r="O849" s="47"/>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47"/>
      <c r="O850" s="47"/>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47"/>
      <c r="O851" s="47"/>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47"/>
      <c r="O852" s="47"/>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47"/>
      <c r="O853" s="47"/>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47"/>
      <c r="O854" s="47"/>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47"/>
      <c r="O855" s="47"/>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47"/>
      <c r="O856" s="47"/>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47"/>
      <c r="O857" s="47"/>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47"/>
      <c r="O858" s="47"/>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47"/>
      <c r="O859" s="47"/>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47"/>
      <c r="O860" s="47"/>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47"/>
      <c r="O861" s="47"/>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47"/>
      <c r="O862" s="47"/>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47"/>
      <c r="O863" s="47"/>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47"/>
      <c r="O864" s="47"/>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47"/>
      <c r="O865" s="47"/>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47"/>
      <c r="O866" s="47"/>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47"/>
      <c r="O867" s="47"/>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47"/>
      <c r="O868" s="47"/>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47"/>
      <c r="O869" s="47"/>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47"/>
      <c r="O870" s="47"/>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47"/>
      <c r="O871" s="47"/>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47"/>
      <c r="O872" s="47"/>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47"/>
      <c r="O873" s="47"/>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47"/>
      <c r="O874" s="47"/>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47"/>
      <c r="O875" s="47"/>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47"/>
      <c r="O876" s="47"/>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47"/>
      <c r="O877" s="47"/>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47"/>
      <c r="O878" s="47"/>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47"/>
      <c r="O879" s="47"/>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47"/>
      <c r="O880" s="47"/>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47"/>
      <c r="O881" s="47"/>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47"/>
      <c r="O882" s="47"/>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47"/>
      <c r="O883" s="47"/>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47"/>
      <c r="O884" s="47"/>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47"/>
      <c r="O885" s="47"/>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47"/>
      <c r="O886" s="47"/>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47"/>
      <c r="O887" s="47"/>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47"/>
      <c r="O888" s="47"/>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47"/>
      <c r="O889" s="47"/>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47"/>
      <c r="O890" s="47"/>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47"/>
      <c r="O891" s="47"/>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47"/>
      <c r="O892" s="47"/>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47"/>
      <c r="O893" s="47"/>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47"/>
      <c r="O894" s="47"/>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47"/>
      <c r="O895" s="47"/>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47"/>
      <c r="O896" s="47"/>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47"/>
      <c r="O897" s="47"/>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47"/>
      <c r="O898" s="47"/>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47"/>
      <c r="O899" s="47"/>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47"/>
      <c r="O900" s="47"/>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47"/>
      <c r="O901" s="47"/>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47"/>
      <c r="O902" s="47"/>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47"/>
      <c r="O903" s="47"/>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47"/>
      <c r="O904" s="47"/>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47"/>
      <c r="O905" s="47"/>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47"/>
      <c r="O906" s="47"/>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47"/>
      <c r="O907" s="47"/>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47"/>
      <c r="O908" s="47"/>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47"/>
      <c r="O909" s="47"/>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47"/>
      <c r="O910" s="47"/>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47"/>
      <c r="O911" s="47"/>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47"/>
      <c r="O912" s="47"/>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47"/>
      <c r="O913" s="47"/>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47"/>
      <c r="O914" s="47"/>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47"/>
      <c r="O915" s="47"/>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47"/>
      <c r="O916" s="47"/>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47"/>
      <c r="O917" s="47"/>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47"/>
      <c r="O918" s="47"/>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47"/>
      <c r="O919" s="47"/>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47"/>
      <c r="O920" s="47"/>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47"/>
      <c r="O921" s="47"/>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47"/>
      <c r="O922" s="47"/>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47"/>
      <c r="O923" s="47"/>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47"/>
      <c r="O924" s="47"/>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47"/>
      <c r="O925" s="47"/>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47"/>
      <c r="O926" s="47"/>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47"/>
      <c r="O927" s="47"/>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47"/>
      <c r="O928" s="47"/>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47"/>
      <c r="O929" s="47"/>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47"/>
      <c r="O930" s="47"/>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47"/>
      <c r="O931" s="47"/>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47"/>
      <c r="O932" s="47"/>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47"/>
      <c r="O933" s="47"/>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47"/>
      <c r="O934" s="47"/>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47"/>
      <c r="O935" s="47"/>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47"/>
      <c r="O936" s="47"/>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47"/>
      <c r="O937" s="47"/>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47"/>
      <c r="O938" s="47"/>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47"/>
      <c r="O939" s="47"/>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47"/>
      <c r="O940" s="47"/>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47"/>
      <c r="O941" s="47"/>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47"/>
      <c r="O942" s="47"/>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47"/>
      <c r="O943" s="47"/>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47"/>
      <c r="O944" s="47"/>
      <c r="P944" s="2"/>
      <c r="Q944" s="2"/>
      <c r="R944" s="2"/>
      <c r="S944" s="2"/>
      <c r="T944" s="2"/>
      <c r="U944" s="2"/>
      <c r="V944" s="2"/>
      <c r="W944" s="2"/>
      <c r="X944" s="2"/>
      <c r="Y944" s="2"/>
      <c r="Z944" s="2"/>
      <c r="AA944" s="2"/>
      <c r="AB944" s="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85.14"/>
    <col customWidth="1" min="2" max="2" width="15.14"/>
  </cols>
  <sheetData>
    <row r="1" ht="13.5" customHeight="1">
      <c r="A1" s="55" t="s">
        <v>9</v>
      </c>
      <c r="B1" s="56" t="s">
        <v>11</v>
      </c>
    </row>
    <row r="2" ht="14.25" customHeight="1">
      <c r="A2" s="57" t="s">
        <v>79</v>
      </c>
      <c r="B2" s="58"/>
    </row>
    <row r="3" ht="13.5" customHeight="1">
      <c r="A3" s="59" t="s">
        <v>80</v>
      </c>
      <c r="B3" s="60">
        <v>0.128</v>
      </c>
    </row>
    <row r="4" ht="13.5" customHeight="1">
      <c r="A4" s="33" t="s">
        <v>81</v>
      </c>
      <c r="B4" s="61">
        <v>0.00831</v>
      </c>
    </row>
    <row r="5" ht="13.5" customHeight="1">
      <c r="A5" s="62" t="s">
        <v>82</v>
      </c>
      <c r="B5" s="63">
        <f>'Mortality effect size'!B11</f>
        <v>0.8638932195</v>
      </c>
    </row>
    <row r="6">
      <c r="A6" s="33" t="s">
        <v>83</v>
      </c>
      <c r="B6" s="64">
        <f>'Internal validity adjustment'!B6</f>
        <v>0.7957578162</v>
      </c>
    </row>
    <row r="7">
      <c r="A7" s="33" t="s">
        <v>84</v>
      </c>
      <c r="B7" s="64">
        <f>'External validity adjustment'!B6</f>
        <v>1.213858014</v>
      </c>
    </row>
    <row r="8">
      <c r="A8" s="65" t="s">
        <v>85</v>
      </c>
      <c r="B8" s="66">
        <f>(1-B5)*B6*B7</f>
        <v>0.1314705756</v>
      </c>
    </row>
    <row r="9">
      <c r="A9" s="54" t="s">
        <v>86</v>
      </c>
      <c r="B9" s="67">
        <f>'Internal validity adjustment'!B11</f>
        <v>0.109</v>
      </c>
    </row>
    <row r="10">
      <c r="A10" s="65" t="s">
        <v>87</v>
      </c>
      <c r="B10" s="66">
        <f>MIN(B8,B9)</f>
        <v>0.109</v>
      </c>
    </row>
    <row r="11">
      <c r="A11" s="68" t="s">
        <v>88</v>
      </c>
      <c r="B11" s="69">
        <f>B3*B4*B10*100000</f>
        <v>11.594112</v>
      </c>
    </row>
    <row r="12">
      <c r="A12" s="70" t="s">
        <v>89</v>
      </c>
      <c r="B12" s="71">
        <f>'Moral weights'!B3</f>
        <v>107.9874399</v>
      </c>
    </row>
    <row r="13">
      <c r="A13" s="72" t="s">
        <v>90</v>
      </c>
      <c r="B13" s="73">
        <f>B11*B12</f>
        <v>1252.018473</v>
      </c>
    </row>
    <row r="14">
      <c r="A14" s="33"/>
      <c r="B14" s="74"/>
    </row>
    <row r="15">
      <c r="A15" s="57" t="s">
        <v>91</v>
      </c>
      <c r="B15" s="58"/>
    </row>
    <row r="16">
      <c r="A16" s="65" t="s">
        <v>92</v>
      </c>
      <c r="B16" s="75">
        <f>1-B3</f>
        <v>0.872</v>
      </c>
    </row>
    <row r="17">
      <c r="A17" s="33" t="s">
        <v>93</v>
      </c>
      <c r="B17" s="76">
        <f>'Baseline mortality'!E57</f>
        <v>0.005490364913</v>
      </c>
    </row>
    <row r="18" ht="13.5" customHeight="1">
      <c r="A18" s="62" t="s">
        <v>82</v>
      </c>
      <c r="B18" s="63">
        <f>B5</f>
        <v>0.8638932195</v>
      </c>
    </row>
    <row r="19" ht="13.5" customHeight="1">
      <c r="A19" s="54" t="s">
        <v>94</v>
      </c>
      <c r="B19" s="77">
        <f>'Adult mortality scaling factor'!B17</f>
        <v>0.3173973417</v>
      </c>
    </row>
    <row r="20">
      <c r="A20" s="33" t="s">
        <v>95</v>
      </c>
      <c r="B20" s="78">
        <f>'Internal validity adjustment'!B7</f>
        <v>0.504149833</v>
      </c>
    </row>
    <row r="21">
      <c r="A21" s="33" t="s">
        <v>84</v>
      </c>
      <c r="B21" s="78">
        <f>'External validity adjustment'!B6</f>
        <v>1.213858014</v>
      </c>
    </row>
    <row r="22">
      <c r="A22" s="72" t="s">
        <v>96</v>
      </c>
      <c r="B22" s="79">
        <f>B10/B8</f>
        <v>0.8290828539</v>
      </c>
    </row>
    <row r="23">
      <c r="A23" s="68" t="s">
        <v>97</v>
      </c>
      <c r="B23" s="80">
        <f>B16*B17*(1-B18)*B19*B20*B21*B22*100000</f>
        <v>10.49364077</v>
      </c>
    </row>
    <row r="24">
      <c r="A24" s="81" t="s">
        <v>98</v>
      </c>
      <c r="B24" s="82">
        <f>(1-B18)*B19*B20*B21*B22</f>
        <v>0.0219183823</v>
      </c>
    </row>
    <row r="25">
      <c r="A25" s="83" t="s">
        <v>99</v>
      </c>
      <c r="B25" s="84">
        <f>'Moral weights'!B7</f>
        <v>68.40005376</v>
      </c>
    </row>
    <row r="26">
      <c r="A26" s="72" t="s">
        <v>100</v>
      </c>
      <c r="B26" s="85">
        <f>B23*B25</f>
        <v>717.7655931</v>
      </c>
    </row>
    <row r="27">
      <c r="A27" s="2"/>
      <c r="B27" s="78"/>
    </row>
    <row r="28">
      <c r="A28" s="57" t="s">
        <v>101</v>
      </c>
      <c r="B28" s="58"/>
    </row>
    <row r="29">
      <c r="A29" s="54" t="s">
        <v>102</v>
      </c>
      <c r="B29" s="86">
        <v>179.59</v>
      </c>
    </row>
    <row r="30">
      <c r="A30" s="87" t="s">
        <v>103</v>
      </c>
      <c r="B30" s="88">
        <f>'Morbidity effect size'!B7</f>
        <v>0.805</v>
      </c>
    </row>
    <row r="31">
      <c r="A31" s="33" t="s">
        <v>104</v>
      </c>
      <c r="B31" s="89">
        <f>'Internal validity adjustment'!E3</f>
        <v>0.9</v>
      </c>
    </row>
    <row r="32">
      <c r="A32" s="33" t="s">
        <v>84</v>
      </c>
      <c r="B32" s="90">
        <f>'External validity adjustment'!B29</f>
        <v>0.9561222858</v>
      </c>
    </row>
    <row r="33">
      <c r="A33" s="91" t="s">
        <v>105</v>
      </c>
      <c r="B33" s="92">
        <f>(1-B30)*B31*B32</f>
        <v>0.1677994612</v>
      </c>
    </row>
    <row r="34">
      <c r="A34" s="93" t="s">
        <v>106</v>
      </c>
      <c r="B34" s="85">
        <f>B29*(1-B30)*B31*B32</f>
        <v>30.13510523</v>
      </c>
    </row>
    <row r="35">
      <c r="A35" s="94" t="s">
        <v>107</v>
      </c>
      <c r="B35" s="95">
        <f>'Moral weights'!B11</f>
        <v>2.3</v>
      </c>
    </row>
    <row r="36">
      <c r="A36" s="93" t="s">
        <v>100</v>
      </c>
      <c r="B36" s="85">
        <f>B34*B35</f>
        <v>69.31074203</v>
      </c>
    </row>
    <row r="37">
      <c r="A37" s="2"/>
      <c r="B37" s="78"/>
    </row>
    <row r="38">
      <c r="A38" s="57" t="s">
        <v>108</v>
      </c>
      <c r="B38" s="58"/>
    </row>
    <row r="39">
      <c r="A39" s="83" t="s">
        <v>109</v>
      </c>
      <c r="B39" s="96">
        <v>0.126</v>
      </c>
    </row>
    <row r="40">
      <c r="A40" s="54" t="s">
        <v>110</v>
      </c>
      <c r="B40" s="97">
        <v>0.44</v>
      </c>
    </row>
    <row r="41">
      <c r="A41" s="54" t="s">
        <v>80</v>
      </c>
      <c r="B41" s="97">
        <f>B3</f>
        <v>0.128</v>
      </c>
    </row>
    <row r="42">
      <c r="A42" s="54" t="s">
        <v>111</v>
      </c>
      <c r="B42" s="98">
        <v>0.254</v>
      </c>
    </row>
    <row r="43">
      <c r="A43" s="14" t="s">
        <v>112</v>
      </c>
      <c r="B43" s="86">
        <v>317.43</v>
      </c>
    </row>
    <row r="44">
      <c r="A44" s="14" t="s">
        <v>113</v>
      </c>
      <c r="B44" s="86">
        <v>124.83</v>
      </c>
    </row>
    <row r="45">
      <c r="A45" s="99" t="s">
        <v>114</v>
      </c>
      <c r="B45" s="100">
        <f>B44/B43</f>
        <v>0.3932520556</v>
      </c>
    </row>
    <row r="46">
      <c r="A46" s="93" t="s">
        <v>115</v>
      </c>
      <c r="B46" s="80">
        <f>((B39*B40*B41)+(B39*B40*B42*B45))*100000</f>
        <v>1263.400107</v>
      </c>
    </row>
    <row r="47">
      <c r="A47" s="33" t="s">
        <v>104</v>
      </c>
      <c r="B47" s="78">
        <f>'Internal validity adjustment'!B6</f>
        <v>0.7957578162</v>
      </c>
    </row>
    <row r="48">
      <c r="A48" s="33" t="s">
        <v>84</v>
      </c>
      <c r="B48" s="78">
        <f>'External validity adjustment'!B6</f>
        <v>1.213858014</v>
      </c>
    </row>
    <row r="49">
      <c r="A49" s="93" t="s">
        <v>116</v>
      </c>
      <c r="B49" s="80">
        <f>B46*B47*B48</f>
        <v>1220.364912</v>
      </c>
    </row>
    <row r="50">
      <c r="A50" s="2"/>
      <c r="B50" s="78"/>
    </row>
    <row r="51">
      <c r="A51" s="57" t="s">
        <v>117</v>
      </c>
      <c r="B51" s="58"/>
    </row>
    <row r="52">
      <c r="A52" s="101" t="s">
        <v>118</v>
      </c>
      <c r="B52" s="102">
        <f>'Costs averted supp calculations'!G13</f>
        <v>4.017337674</v>
      </c>
    </row>
    <row r="53">
      <c r="A53" t="s">
        <v>119</v>
      </c>
      <c r="B53" s="103">
        <f>B33</f>
        <v>0.1677994612</v>
      </c>
    </row>
    <row r="54">
      <c r="A54" s="99" t="s">
        <v>120</v>
      </c>
      <c r="B54" s="79">
        <f>B52*B53</f>
        <v>0.674107097</v>
      </c>
    </row>
    <row r="55">
      <c r="A55" s="65" t="s">
        <v>121</v>
      </c>
      <c r="B55" s="104">
        <f>'Costs averted supp calculations'!B76</f>
        <v>15.9491464</v>
      </c>
    </row>
    <row r="56">
      <c r="A56" s="54" t="s">
        <v>122</v>
      </c>
      <c r="B56" s="103">
        <f>B3</f>
        <v>0.128</v>
      </c>
    </row>
    <row r="57">
      <c r="A57" s="65" t="s">
        <v>123</v>
      </c>
      <c r="B57" s="104">
        <f>B55*B56</f>
        <v>2.04149074</v>
      </c>
    </row>
    <row r="58">
      <c r="A58" s="65" t="s">
        <v>124</v>
      </c>
      <c r="B58" s="105">
        <f>'Internal validity adjustment'!B23</f>
        <v>3.744005318</v>
      </c>
    </row>
    <row r="59">
      <c r="A59" s="65" t="s">
        <v>125</v>
      </c>
      <c r="B59" s="104">
        <f>B57*B58</f>
        <v>7.643352186</v>
      </c>
    </row>
    <row r="60">
      <c r="A60" s="14" t="s">
        <v>126</v>
      </c>
      <c r="B60" s="106">
        <v>1.0</v>
      </c>
    </row>
    <row r="61">
      <c r="A61" s="14" t="s">
        <v>127</v>
      </c>
      <c r="B61" s="106">
        <v>1.1</v>
      </c>
    </row>
    <row r="62">
      <c r="A62" s="65" t="s">
        <v>128</v>
      </c>
      <c r="B62" s="104">
        <f>B59*B60*B61</f>
        <v>8.407687405</v>
      </c>
    </row>
    <row r="63">
      <c r="A63" s="14" t="s">
        <v>129</v>
      </c>
      <c r="B63" s="107">
        <f>99.82*12</f>
        <v>1197.84</v>
      </c>
    </row>
    <row r="64">
      <c r="A64" s="65" t="s">
        <v>130</v>
      </c>
      <c r="B64" s="108">
        <f>ln(B63+B62)-LN(B63)</f>
        <v>0.006994521644</v>
      </c>
    </row>
    <row r="65">
      <c r="A65" s="83" t="s">
        <v>131</v>
      </c>
      <c r="B65" s="95">
        <v>1.0</v>
      </c>
    </row>
    <row r="66">
      <c r="A66" s="65" t="s">
        <v>132</v>
      </c>
      <c r="B66" s="109">
        <f>B65/ln(2)</f>
        <v>1.442695041</v>
      </c>
    </row>
    <row r="67">
      <c r="A67" s="65" t="s">
        <v>133</v>
      </c>
      <c r="B67" s="110">
        <f>B64*B66</f>
        <v>0.01009096169</v>
      </c>
    </row>
    <row r="68">
      <c r="A68" s="65" t="s">
        <v>100</v>
      </c>
      <c r="B68" s="80">
        <f>B67*100000</f>
        <v>1009.096169</v>
      </c>
    </row>
    <row r="69">
      <c r="A69" s="2"/>
      <c r="B69" s="78"/>
    </row>
    <row r="70">
      <c r="A70" s="57" t="s">
        <v>134</v>
      </c>
      <c r="B70" s="111"/>
    </row>
    <row r="71">
      <c r="A71" s="54"/>
      <c r="B71" s="112"/>
    </row>
    <row r="72">
      <c r="A72" s="65" t="s">
        <v>135</v>
      </c>
      <c r="B72" s="113">
        <f>DSW!B74</f>
        <v>1.676032735</v>
      </c>
    </row>
    <row r="73">
      <c r="A73" s="2"/>
      <c r="B73" s="78"/>
    </row>
    <row r="74">
      <c r="A74" s="57" t="s">
        <v>136</v>
      </c>
      <c r="B74" s="58"/>
    </row>
    <row r="75">
      <c r="A75" s="65" t="s">
        <v>137</v>
      </c>
      <c r="B75" s="79">
        <f>((B13+B26+B36+B49+B68)/100000)/B72</f>
        <v>0.02546821313</v>
      </c>
    </row>
    <row r="76">
      <c r="A76" s="65" t="s">
        <v>138</v>
      </c>
      <c r="B76" s="80">
        <f>B75*10000</f>
        <v>254.6821313</v>
      </c>
    </row>
    <row r="77">
      <c r="A77" s="65" t="s">
        <v>139</v>
      </c>
      <c r="B77" s="105">
        <v>33.5</v>
      </c>
    </row>
    <row r="78">
      <c r="A78" s="114" t="s">
        <v>140</v>
      </c>
      <c r="B78" s="115">
        <f>B76/B77</f>
        <v>7.60245168</v>
      </c>
    </row>
    <row r="79">
      <c r="A79" s="2"/>
      <c r="B79" s="78"/>
    </row>
    <row r="80">
      <c r="A80" s="57" t="s">
        <v>141</v>
      </c>
      <c r="B80" s="116"/>
    </row>
    <row r="81">
      <c r="A81" s="65" t="s">
        <v>142</v>
      </c>
      <c r="B81" s="100">
        <f>B13/(B$13+B$26+B$36+B$49+B$68)</f>
        <v>0.2933119551</v>
      </c>
    </row>
    <row r="82">
      <c r="A82" s="65" t="s">
        <v>143</v>
      </c>
      <c r="B82" s="100">
        <f>B26/(B$13+B$26+B$36+B$49+B$68)</f>
        <v>0.1681518555</v>
      </c>
    </row>
    <row r="83">
      <c r="A83" s="65" t="s">
        <v>144</v>
      </c>
      <c r="B83" s="100">
        <f>B36/(B$13+B$26+B$36+B$49+B$68)</f>
        <v>0.01623751541</v>
      </c>
    </row>
    <row r="84">
      <c r="A84" s="65" t="s">
        <v>145</v>
      </c>
      <c r="B84" s="100">
        <f>B49/(B$13+B$26+B$36+B$49+B$68)</f>
        <v>0.2858964351</v>
      </c>
    </row>
    <row r="85">
      <c r="A85" s="65" t="s">
        <v>146</v>
      </c>
      <c r="B85" s="100">
        <f>B68/(B$13+B$26+B$36+B$49+B$68)</f>
        <v>0.2364022389</v>
      </c>
    </row>
    <row r="86">
      <c r="A86" s="2"/>
    </row>
    <row r="87">
      <c r="A87" s="81" t="s">
        <v>147</v>
      </c>
      <c r="B87" s="117"/>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87.57"/>
    <col customWidth="1" min="2" max="4" width="23.29"/>
  </cols>
  <sheetData>
    <row r="1" ht="13.5" customHeight="1">
      <c r="A1" s="118" t="s">
        <v>13</v>
      </c>
      <c r="B1" s="119" t="s">
        <v>11</v>
      </c>
      <c r="C1" s="119" t="s">
        <v>14</v>
      </c>
      <c r="D1" s="119" t="s">
        <v>15</v>
      </c>
    </row>
    <row r="2" ht="14.25" customHeight="1">
      <c r="A2" s="57" t="s">
        <v>79</v>
      </c>
      <c r="B2" s="58"/>
      <c r="C2" s="58"/>
      <c r="D2" s="58"/>
    </row>
    <row r="3" ht="13.5" customHeight="1">
      <c r="A3" s="59" t="s">
        <v>148</v>
      </c>
      <c r="B3" s="60">
        <v>0.1255</v>
      </c>
      <c r="C3" s="60">
        <v>0.1362</v>
      </c>
      <c r="D3" s="60">
        <v>0.137</v>
      </c>
    </row>
    <row r="4" ht="13.5" customHeight="1">
      <c r="A4" s="33" t="s">
        <v>149</v>
      </c>
      <c r="B4" s="61">
        <f>'Baseline mortality'!$F17</f>
        <v>0.01188230598</v>
      </c>
      <c r="C4" s="61">
        <f>'Baseline mortality'!$F33</f>
        <v>0.01093611839</v>
      </c>
      <c r="D4" s="61">
        <f>'Baseline mortality'!$F38</f>
        <v>0.01342</v>
      </c>
    </row>
    <row r="5" ht="13.5" customHeight="1">
      <c r="A5" s="62" t="s">
        <v>82</v>
      </c>
      <c r="B5" s="63">
        <f>'Mortality effect size'!B11</f>
        <v>0.8638932195</v>
      </c>
      <c r="C5" s="63">
        <f>'Mortality effect size'!B11</f>
        <v>0.8638932195</v>
      </c>
      <c r="D5" s="63">
        <f>'Mortality effect size'!B11</f>
        <v>0.8638932195</v>
      </c>
    </row>
    <row r="6">
      <c r="A6" s="33" t="s">
        <v>83</v>
      </c>
      <c r="B6" s="88">
        <f>'Internal validity adjustment'!B6</f>
        <v>0.7957578162</v>
      </c>
      <c r="C6" s="88">
        <f>'Internal validity adjustment'!B6</f>
        <v>0.7957578162</v>
      </c>
      <c r="D6" s="88">
        <f>'Internal validity adjustment'!B6</f>
        <v>0.7957578162</v>
      </c>
    </row>
    <row r="7">
      <c r="A7" s="33" t="s">
        <v>84</v>
      </c>
      <c r="B7" s="88">
        <f>'External validity adjustment'!B11</f>
        <v>0.5582511733</v>
      </c>
      <c r="C7" s="88">
        <f>'External validity adjustment'!B16</f>
        <v>0.5660223142</v>
      </c>
      <c r="D7" s="88">
        <f>'External validity adjustment'!B21</f>
        <v>1.108251354</v>
      </c>
    </row>
    <row r="8">
      <c r="A8" s="65" t="s">
        <v>85</v>
      </c>
      <c r="B8" s="66">
        <f t="shared" ref="B8:D8" si="1">(1-B5)*B6*B7</f>
        <v>0.06046308729</v>
      </c>
      <c r="C8" s="66">
        <f t="shared" si="1"/>
        <v>0.06130476429</v>
      </c>
      <c r="D8" s="66">
        <f t="shared" si="1"/>
        <v>0.1200325258</v>
      </c>
    </row>
    <row r="9">
      <c r="A9" s="54" t="s">
        <v>86</v>
      </c>
      <c r="B9" s="67">
        <f>'Internal validity adjustment'!B12</f>
        <v>0.056</v>
      </c>
      <c r="C9" s="67">
        <f>'Internal validity adjustment'!B13</f>
        <v>0.084</v>
      </c>
      <c r="D9" s="67">
        <f>'Internal validity adjustment'!B14</f>
        <v>0.109</v>
      </c>
    </row>
    <row r="10">
      <c r="A10" s="65" t="s">
        <v>87</v>
      </c>
      <c r="B10" s="66">
        <f t="shared" ref="B10:D10" si="2">MIN(B8,B9)</f>
        <v>0.056</v>
      </c>
      <c r="C10" s="66">
        <f t="shared" si="2"/>
        <v>0.06130476429</v>
      </c>
      <c r="D10" s="66">
        <f t="shared" si="2"/>
        <v>0.109</v>
      </c>
    </row>
    <row r="11">
      <c r="A11" s="68" t="s">
        <v>88</v>
      </c>
      <c r="B11" s="69">
        <f t="shared" ref="B11:D11" si="3">B3*B4*B10*100000</f>
        <v>8.350884645</v>
      </c>
      <c r="C11" s="69">
        <f t="shared" si="3"/>
        <v>9.131340498</v>
      </c>
      <c r="D11" s="69">
        <f t="shared" si="3"/>
        <v>20.040086</v>
      </c>
    </row>
    <row r="12">
      <c r="A12" s="70" t="s">
        <v>89</v>
      </c>
      <c r="B12" s="71">
        <f>'Moral weights'!B3</f>
        <v>107.9874399</v>
      </c>
      <c r="C12" s="71">
        <f>'Moral weights'!B4</f>
        <v>111.4184423</v>
      </c>
      <c r="D12" s="71">
        <f>'Moral weights'!B5</f>
        <v>112.9244859</v>
      </c>
    </row>
    <row r="13">
      <c r="A13" s="72" t="s">
        <v>100</v>
      </c>
      <c r="B13" s="69">
        <f t="shared" ref="B13:D13" si="4">B11*B12</f>
        <v>901.790654</v>
      </c>
      <c r="C13" s="69">
        <f t="shared" si="4"/>
        <v>1017.399734</v>
      </c>
      <c r="D13" s="69">
        <f t="shared" si="4"/>
        <v>2263.01641</v>
      </c>
    </row>
    <row r="14">
      <c r="A14" s="33"/>
      <c r="B14" s="74"/>
      <c r="C14" s="74"/>
      <c r="D14" s="74"/>
    </row>
    <row r="15">
      <c r="A15" s="57" t="s">
        <v>91</v>
      </c>
      <c r="B15" s="58"/>
      <c r="C15" s="58"/>
      <c r="D15" s="58"/>
    </row>
    <row r="16">
      <c r="A16" s="65" t="s">
        <v>150</v>
      </c>
      <c r="B16" s="75">
        <f t="shared" ref="B16:D16" si="5">1-B3</f>
        <v>0.8745</v>
      </c>
      <c r="C16" s="75">
        <f t="shared" si="5"/>
        <v>0.8638</v>
      </c>
      <c r="D16" s="75">
        <f t="shared" si="5"/>
        <v>0.863</v>
      </c>
    </row>
    <row r="17">
      <c r="A17" s="33" t="s">
        <v>151</v>
      </c>
      <c r="B17" s="76">
        <f>'Baseline mortality'!$E57</f>
        <v>0.005490364913</v>
      </c>
      <c r="C17" s="76">
        <f>'Baseline mortality'!$F57</f>
        <v>0.004440337846</v>
      </c>
      <c r="D17" s="76">
        <f>'Baseline mortality'!$G57</f>
        <v>0.005351292874</v>
      </c>
    </row>
    <row r="18" ht="13.5" customHeight="1">
      <c r="A18" s="62" t="s">
        <v>82</v>
      </c>
      <c r="B18" s="77">
        <f t="shared" ref="B18:D18" si="6">B5</f>
        <v>0.8638932195</v>
      </c>
      <c r="C18" s="77">
        <f t="shared" si="6"/>
        <v>0.8638932195</v>
      </c>
      <c r="D18" s="77">
        <f t="shared" si="6"/>
        <v>0.8638932195</v>
      </c>
    </row>
    <row r="19" ht="13.5" customHeight="1">
      <c r="A19" s="54" t="s">
        <v>94</v>
      </c>
      <c r="B19" s="78">
        <f>'Adult mortality scaling factor'!$B17</f>
        <v>0.3173973417</v>
      </c>
      <c r="C19" s="78">
        <f>'Adult mortality scaling factor'!$C17</f>
        <v>0.8917343791</v>
      </c>
      <c r="D19" s="78">
        <f>'Adult mortality scaling factor'!$D17</f>
        <v>0.6011232958</v>
      </c>
    </row>
    <row r="20">
      <c r="A20" s="33" t="s">
        <v>95</v>
      </c>
      <c r="B20" s="88">
        <f>'Internal validity adjustment'!B7</f>
        <v>0.504149833</v>
      </c>
      <c r="C20" s="88">
        <f>'Internal validity adjustment'!B7</f>
        <v>0.504149833</v>
      </c>
      <c r="D20" s="88">
        <f>'Internal validity adjustment'!B7</f>
        <v>0.504149833</v>
      </c>
    </row>
    <row r="21">
      <c r="A21" s="33" t="s">
        <v>84</v>
      </c>
      <c r="B21" s="88">
        <f>'External validity adjustment'!B11</f>
        <v>0.5582511733</v>
      </c>
      <c r="C21" s="88">
        <f>'External validity adjustment'!B16</f>
        <v>0.5660223142</v>
      </c>
      <c r="D21" s="88">
        <f>'External validity adjustment'!B21</f>
        <v>1.108251354</v>
      </c>
    </row>
    <row r="22">
      <c r="A22" s="72" t="s">
        <v>96</v>
      </c>
      <c r="B22" s="79">
        <f t="shared" ref="B22:D22" si="7">B10/B8</f>
        <v>0.9261849256</v>
      </c>
      <c r="C22" s="79">
        <f t="shared" si="7"/>
        <v>1</v>
      </c>
      <c r="D22" s="79">
        <f t="shared" si="7"/>
        <v>0.9080871976</v>
      </c>
    </row>
    <row r="23">
      <c r="A23" s="68" t="s">
        <v>97</v>
      </c>
      <c r="B23" s="80">
        <f t="shared" ref="B23:D23" si="8">B16*B17*(1-B18)*B19*B20*B21*B22*100000</f>
        <v>5.406684791</v>
      </c>
      <c r="C23" s="80">
        <f t="shared" si="8"/>
        <v>13.28426916</v>
      </c>
      <c r="D23" s="80">
        <f t="shared" si="8"/>
        <v>19.17071397</v>
      </c>
    </row>
    <row r="24">
      <c r="A24" s="81" t="s">
        <v>98</v>
      </c>
      <c r="B24" s="82">
        <f t="shared" ref="B24:D24" si="9">(1-B18)*B19*B20*B21*B22</f>
        <v>0.01126082026</v>
      </c>
      <c r="C24" s="82">
        <f t="shared" si="9"/>
        <v>0.03463446248</v>
      </c>
      <c r="D24" s="82">
        <f t="shared" si="9"/>
        <v>0.04151153294</v>
      </c>
    </row>
    <row r="25">
      <c r="A25" s="83" t="s">
        <v>99</v>
      </c>
      <c r="B25" s="84">
        <f>'Moral weights'!B7</f>
        <v>68.40005376</v>
      </c>
      <c r="C25" s="84">
        <f>'Moral weights'!B8</f>
        <v>70.6723783</v>
      </c>
      <c r="D25" s="84">
        <f>'Moral weights'!B9</f>
        <v>66.07771501</v>
      </c>
    </row>
    <row r="26">
      <c r="A26" s="72" t="s">
        <v>100</v>
      </c>
      <c r="B26" s="85">
        <f t="shared" ref="B26:D26" si="10">B23*B25</f>
        <v>369.8175304</v>
      </c>
      <c r="C26" s="85">
        <f t="shared" si="10"/>
        <v>938.8308955</v>
      </c>
      <c r="D26" s="85">
        <f t="shared" si="10"/>
        <v>1266.756974</v>
      </c>
    </row>
    <row r="27">
      <c r="A27" s="2"/>
      <c r="B27" s="78"/>
      <c r="C27" s="78"/>
      <c r="D27" s="78"/>
    </row>
    <row r="28">
      <c r="A28" s="57" t="s">
        <v>101</v>
      </c>
      <c r="B28" s="58"/>
      <c r="C28" s="58"/>
      <c r="D28" s="58"/>
    </row>
    <row r="29">
      <c r="A29" s="54" t="s">
        <v>152</v>
      </c>
      <c r="B29" s="86">
        <v>179.59</v>
      </c>
      <c r="C29" s="86">
        <v>190.23</v>
      </c>
      <c r="D29" s="86">
        <v>218.97</v>
      </c>
    </row>
    <row r="30">
      <c r="A30" s="14" t="s">
        <v>153</v>
      </c>
      <c r="B30" s="88">
        <f>'Morbidity effect size'!B7</f>
        <v>0.805</v>
      </c>
      <c r="C30" s="88">
        <f>'Morbidity effect size'!B7</f>
        <v>0.805</v>
      </c>
      <c r="D30" s="88">
        <f>'Morbidity effect size'!B7</f>
        <v>0.805</v>
      </c>
    </row>
    <row r="31">
      <c r="A31" s="33" t="s">
        <v>104</v>
      </c>
      <c r="B31" s="88">
        <f>'Internal validity adjustment'!E3</f>
        <v>0.9</v>
      </c>
      <c r="C31" s="88">
        <f>'Internal validity adjustment'!E3</f>
        <v>0.9</v>
      </c>
      <c r="D31" s="88">
        <f>'Internal validity adjustment'!E3</f>
        <v>0.9</v>
      </c>
    </row>
    <row r="32">
      <c r="A32" s="33" t="s">
        <v>84</v>
      </c>
      <c r="B32" s="88">
        <f>'External validity adjustment'!B33</f>
        <v>0.4885766261</v>
      </c>
      <c r="C32" s="88">
        <f>'External validity adjustment'!B37</f>
        <v>0.7852240424</v>
      </c>
      <c r="D32" s="88">
        <f>'External validity adjustment'!B41</f>
        <v>1.017093319</v>
      </c>
    </row>
    <row r="33">
      <c r="A33" s="91" t="s">
        <v>105</v>
      </c>
      <c r="B33" s="92">
        <f t="shared" ref="B33:D33" si="11">(1-B30)*B31*B32</f>
        <v>0.08574519788</v>
      </c>
      <c r="C33" s="92">
        <f t="shared" si="11"/>
        <v>0.1378068194</v>
      </c>
      <c r="D33" s="92">
        <f t="shared" si="11"/>
        <v>0.1784998775</v>
      </c>
    </row>
    <row r="34">
      <c r="A34" s="93" t="s">
        <v>106</v>
      </c>
      <c r="B34" s="85">
        <f t="shared" ref="B34:D34" si="12">B29*(1-B30)*B31*B32</f>
        <v>15.39898009</v>
      </c>
      <c r="C34" s="85">
        <f t="shared" si="12"/>
        <v>26.21499126</v>
      </c>
      <c r="D34" s="85">
        <f t="shared" si="12"/>
        <v>39.08611818</v>
      </c>
    </row>
    <row r="35">
      <c r="A35" s="94" t="s">
        <v>107</v>
      </c>
      <c r="B35" s="95">
        <f>'Moral weights'!$B11</f>
        <v>2.3</v>
      </c>
      <c r="C35" s="95">
        <f>'Moral weights'!$B11</f>
        <v>2.3</v>
      </c>
      <c r="D35" s="95">
        <f>'Moral weights'!$B11</f>
        <v>2.3</v>
      </c>
    </row>
    <row r="36">
      <c r="A36" s="93" t="s">
        <v>100</v>
      </c>
      <c r="B36" s="85">
        <f t="shared" ref="B36:D36" si="13">B34*B35</f>
        <v>35.4176542</v>
      </c>
      <c r="C36" s="85">
        <f t="shared" si="13"/>
        <v>60.2944799</v>
      </c>
      <c r="D36" s="85">
        <f t="shared" si="13"/>
        <v>89.89807182</v>
      </c>
    </row>
    <row r="37">
      <c r="A37" s="2"/>
      <c r="B37" s="78"/>
      <c r="C37" s="78"/>
      <c r="D37" s="78"/>
    </row>
    <row r="38">
      <c r="A38" s="57" t="s">
        <v>108</v>
      </c>
      <c r="B38" s="58"/>
      <c r="C38" s="58"/>
      <c r="D38" s="58"/>
    </row>
    <row r="39">
      <c r="A39" s="83" t="s">
        <v>109</v>
      </c>
      <c r="B39" s="96">
        <v>0.126</v>
      </c>
      <c r="C39" s="96">
        <v>0.126</v>
      </c>
      <c r="D39" s="96">
        <v>0.126</v>
      </c>
    </row>
    <row r="40">
      <c r="A40" s="54" t="s">
        <v>110</v>
      </c>
      <c r="B40" s="97">
        <v>0.44</v>
      </c>
      <c r="C40" s="97">
        <v>0.44</v>
      </c>
      <c r="D40" s="97">
        <v>0.44</v>
      </c>
    </row>
    <row r="41">
      <c r="A41" s="54" t="s">
        <v>148</v>
      </c>
      <c r="B41" s="97">
        <f t="shared" ref="B41:D41" si="14">B3</f>
        <v>0.1255</v>
      </c>
      <c r="C41" s="97">
        <f t="shared" si="14"/>
        <v>0.1362</v>
      </c>
      <c r="D41" s="97">
        <f t="shared" si="14"/>
        <v>0.137</v>
      </c>
    </row>
    <row r="42">
      <c r="A42" s="54" t="s">
        <v>154</v>
      </c>
      <c r="B42" s="98">
        <v>0.254</v>
      </c>
      <c r="C42" s="98">
        <v>0.292</v>
      </c>
      <c r="D42" s="98">
        <v>0.287</v>
      </c>
    </row>
    <row r="43">
      <c r="A43" s="14" t="s">
        <v>155</v>
      </c>
      <c r="B43" s="86">
        <v>317.43</v>
      </c>
      <c r="C43" s="86">
        <v>398.01</v>
      </c>
      <c r="D43" s="86">
        <v>460.79</v>
      </c>
    </row>
    <row r="44">
      <c r="A44" s="14" t="s">
        <v>156</v>
      </c>
      <c r="B44" s="86">
        <v>124.83</v>
      </c>
      <c r="C44" s="86">
        <v>116.35</v>
      </c>
      <c r="D44" s="86">
        <v>140.43</v>
      </c>
    </row>
    <row r="45">
      <c r="A45" s="99" t="s">
        <v>114</v>
      </c>
      <c r="B45" s="100">
        <f t="shared" ref="B45:D45" si="15">B44/B43</f>
        <v>0.3932520556</v>
      </c>
      <c r="C45" s="100">
        <f t="shared" si="15"/>
        <v>0.2923293385</v>
      </c>
      <c r="D45" s="100">
        <f t="shared" si="15"/>
        <v>0.3047592179</v>
      </c>
    </row>
    <row r="46">
      <c r="A46" s="93" t="s">
        <v>115</v>
      </c>
      <c r="B46" s="80">
        <f t="shared" ref="B46:D46" si="16">((B39*B40*B41)+(B39*B40*B42*B45))*100000</f>
        <v>1249.540107</v>
      </c>
      <c r="C46" s="80">
        <f t="shared" si="16"/>
        <v>1228.329565</v>
      </c>
      <c r="D46" s="80">
        <f t="shared" si="16"/>
        <v>1244.438925</v>
      </c>
    </row>
    <row r="47">
      <c r="A47" s="33" t="s">
        <v>104</v>
      </c>
      <c r="B47" s="78">
        <f>'Internal validity adjustment'!$B6</f>
        <v>0.7957578162</v>
      </c>
      <c r="C47" s="78">
        <f>'Internal validity adjustment'!B6</f>
        <v>0.7957578162</v>
      </c>
      <c r="D47" s="78">
        <f>'Internal validity adjustment'!B6</f>
        <v>0.7957578162</v>
      </c>
    </row>
    <row r="48">
      <c r="A48" s="33" t="s">
        <v>84</v>
      </c>
      <c r="B48" s="78">
        <f>'External validity adjustment'!B11</f>
        <v>0.5582511733</v>
      </c>
      <c r="C48" s="78">
        <f>'External validity adjustment'!B16</f>
        <v>0.5660223142</v>
      </c>
      <c r="D48" s="78">
        <f>'External validity adjustment'!B21</f>
        <v>1.108251354</v>
      </c>
    </row>
    <row r="49">
      <c r="A49" s="93" t="s">
        <v>116</v>
      </c>
      <c r="B49" s="80">
        <f t="shared" ref="B49:D49" si="17">B46*B47*B48</f>
        <v>555.0866184</v>
      </c>
      <c r="C49" s="80">
        <f t="shared" si="17"/>
        <v>553.2601254</v>
      </c>
      <c r="D49" s="80">
        <f t="shared" si="17"/>
        <v>1097.470286</v>
      </c>
    </row>
    <row r="50">
      <c r="A50" s="2"/>
      <c r="B50" s="78"/>
      <c r="C50" s="78"/>
      <c r="D50" s="78"/>
    </row>
    <row r="51">
      <c r="A51" s="57" t="s">
        <v>117</v>
      </c>
      <c r="B51" s="58"/>
      <c r="C51" s="58"/>
      <c r="D51" s="58"/>
    </row>
    <row r="52">
      <c r="A52" s="101" t="s">
        <v>118</v>
      </c>
      <c r="B52" s="102">
        <f>'Costs averted supp calculations'!G13</f>
        <v>4.017337674</v>
      </c>
      <c r="C52" s="102">
        <f>'Costs averted supp calculations'!H31</f>
        <v>3.568323628</v>
      </c>
      <c r="D52" s="102">
        <f>'Costs averted supp calculations'!H45</f>
        <v>4.125390599</v>
      </c>
    </row>
    <row r="53">
      <c r="A53" t="s">
        <v>119</v>
      </c>
      <c r="B53" s="103">
        <f t="shared" ref="B53:D53" si="18">B33</f>
        <v>0.08574519788</v>
      </c>
      <c r="C53" s="103">
        <f t="shared" si="18"/>
        <v>0.1378068194</v>
      </c>
      <c r="D53" s="103">
        <f t="shared" si="18"/>
        <v>0.1784998775</v>
      </c>
    </row>
    <row r="54">
      <c r="A54" s="99" t="s">
        <v>120</v>
      </c>
      <c r="B54" s="79">
        <f t="shared" ref="B54:D54" si="19">B52*B53</f>
        <v>0.3444674138</v>
      </c>
      <c r="C54" s="79">
        <f t="shared" si="19"/>
        <v>0.4917393299</v>
      </c>
      <c r="D54" s="79">
        <f t="shared" si="19"/>
        <v>0.7363817167</v>
      </c>
    </row>
    <row r="55">
      <c r="A55" s="65" t="s">
        <v>121</v>
      </c>
      <c r="B55" s="104">
        <f>'Costs averted supp calculations'!C76</f>
        <v>8.149982753</v>
      </c>
      <c r="C55" s="104">
        <f>'Costs averted supp calculations'!D76</f>
        <v>5.700287798</v>
      </c>
      <c r="D55" s="104">
        <f>'Costs averted supp calculations'!E76</f>
        <v>8.053742402</v>
      </c>
    </row>
    <row r="56">
      <c r="A56" s="54" t="s">
        <v>122</v>
      </c>
      <c r="B56" s="103">
        <f t="shared" ref="B56:D56" si="20">B3</f>
        <v>0.1255</v>
      </c>
      <c r="C56" s="103">
        <f t="shared" si="20"/>
        <v>0.1362</v>
      </c>
      <c r="D56" s="103">
        <f t="shared" si="20"/>
        <v>0.137</v>
      </c>
    </row>
    <row r="57">
      <c r="A57" s="65" t="s">
        <v>123</v>
      </c>
      <c r="B57" s="104">
        <f t="shared" ref="B57:D57" si="21">B55*B56</f>
        <v>1.022822836</v>
      </c>
      <c r="C57" s="104">
        <f t="shared" si="21"/>
        <v>0.7763791981</v>
      </c>
      <c r="D57" s="104">
        <f t="shared" si="21"/>
        <v>1.103362709</v>
      </c>
    </row>
    <row r="58">
      <c r="A58" s="65" t="s">
        <v>124</v>
      </c>
      <c r="B58" s="105">
        <f>'Internal validity adjustment'!B23</f>
        <v>3.744005318</v>
      </c>
      <c r="C58" s="105">
        <f>'Internal validity adjustment'!B23</f>
        <v>3.744005318</v>
      </c>
      <c r="D58" s="105">
        <f>'Internal validity adjustment'!B23</f>
        <v>3.744005318</v>
      </c>
    </row>
    <row r="59">
      <c r="A59" s="65" t="s">
        <v>125</v>
      </c>
      <c r="B59" s="104">
        <f t="shared" ref="B59:D59" si="22">B57*B58</f>
        <v>3.829454136</v>
      </c>
      <c r="C59" s="104">
        <f t="shared" si="22"/>
        <v>2.906767846</v>
      </c>
      <c r="D59" s="104">
        <f t="shared" si="22"/>
        <v>4.130995851</v>
      </c>
    </row>
    <row r="60">
      <c r="A60" s="14" t="s">
        <v>126</v>
      </c>
      <c r="B60" s="106">
        <v>1.0</v>
      </c>
      <c r="C60" s="106">
        <v>1.0</v>
      </c>
      <c r="D60" s="106">
        <v>1.0</v>
      </c>
    </row>
    <row r="61">
      <c r="A61" s="14" t="s">
        <v>127</v>
      </c>
      <c r="B61" s="106">
        <v>1.1</v>
      </c>
      <c r="C61" s="106">
        <v>1.1</v>
      </c>
      <c r="D61" s="106">
        <v>1.1</v>
      </c>
    </row>
    <row r="62">
      <c r="A62" s="65" t="s">
        <v>128</v>
      </c>
      <c r="B62" s="104">
        <f t="shared" ref="B62:D62" si="23">B59*B60*B61</f>
        <v>4.212399549</v>
      </c>
      <c r="C62" s="104">
        <f t="shared" si="23"/>
        <v>3.197444631</v>
      </c>
      <c r="D62" s="104">
        <f t="shared" si="23"/>
        <v>4.544095436</v>
      </c>
    </row>
    <row r="63">
      <c r="A63" s="14" t="s">
        <v>129</v>
      </c>
      <c r="B63" s="120">
        <f>99.82*12</f>
        <v>1197.84</v>
      </c>
      <c r="C63" s="107">
        <f>97.43*12</f>
        <v>1169.16</v>
      </c>
      <c r="D63" s="107">
        <f>62.79*12</f>
        <v>753.48</v>
      </c>
    </row>
    <row r="64">
      <c r="A64" s="14" t="s">
        <v>157</v>
      </c>
      <c r="B64" s="98">
        <v>0.558</v>
      </c>
      <c r="C64" s="98">
        <v>0.534</v>
      </c>
      <c r="D64" s="98">
        <v>0.53</v>
      </c>
    </row>
    <row r="65">
      <c r="A65" s="99" t="s">
        <v>158</v>
      </c>
      <c r="B65" s="121">
        <f t="shared" ref="B65:D65" si="24">B63*B64</f>
        <v>668.39472</v>
      </c>
      <c r="C65" s="121">
        <f t="shared" si="24"/>
        <v>624.33144</v>
      </c>
      <c r="D65" s="121">
        <f t="shared" si="24"/>
        <v>399.3444</v>
      </c>
    </row>
    <row r="66">
      <c r="A66" s="65" t="s">
        <v>130</v>
      </c>
      <c r="B66" s="108">
        <f t="shared" ref="B66:D66" si="25">ln(B65+B62)-LN(B65)</f>
        <v>0.006282487138</v>
      </c>
      <c r="C66" s="108">
        <f t="shared" si="25"/>
        <v>0.005108320028</v>
      </c>
      <c r="D66" s="108">
        <f t="shared" si="25"/>
        <v>0.01131463599</v>
      </c>
    </row>
    <row r="67">
      <c r="A67" s="83" t="s">
        <v>131</v>
      </c>
      <c r="B67" s="95">
        <v>1.0</v>
      </c>
      <c r="C67" s="95">
        <v>1.0</v>
      </c>
      <c r="D67" s="95">
        <v>1.0</v>
      </c>
    </row>
    <row r="68">
      <c r="A68" s="65" t="s">
        <v>132</v>
      </c>
      <c r="B68" s="109">
        <f t="shared" ref="B68:D68" si="26">B67/ln(2)</f>
        <v>1.442695041</v>
      </c>
      <c r="C68" s="109">
        <f t="shared" si="26"/>
        <v>1.442695041</v>
      </c>
      <c r="D68" s="109">
        <f t="shared" si="26"/>
        <v>1.442695041</v>
      </c>
    </row>
    <row r="69">
      <c r="A69" s="65" t="s">
        <v>133</v>
      </c>
      <c r="B69" s="110">
        <f t="shared" ref="B69:D69" si="27">B66*B68</f>
        <v>0.009063713038</v>
      </c>
      <c r="C69" s="110">
        <f t="shared" si="27"/>
        <v>0.007369747971</v>
      </c>
      <c r="D69" s="110">
        <f t="shared" si="27"/>
        <v>0.01632356923</v>
      </c>
    </row>
    <row r="70">
      <c r="A70" s="65" t="s">
        <v>100</v>
      </c>
      <c r="B70" s="80">
        <f t="shared" ref="B70:D70" si="28">B69*100000</f>
        <v>906.3713038</v>
      </c>
      <c r="C70" s="80">
        <f t="shared" si="28"/>
        <v>736.9747971</v>
      </c>
      <c r="D70" s="80">
        <f t="shared" si="28"/>
        <v>1632.356923</v>
      </c>
    </row>
    <row r="71">
      <c r="A71" s="2"/>
      <c r="B71" s="78"/>
      <c r="C71" s="78"/>
      <c r="D71" s="78"/>
    </row>
    <row r="72">
      <c r="A72" s="57" t="s">
        <v>134</v>
      </c>
      <c r="B72" s="111"/>
      <c r="C72" s="111"/>
      <c r="D72" s="111"/>
    </row>
    <row r="73">
      <c r="A73" s="54" t="s">
        <v>159</v>
      </c>
      <c r="B73" s="122">
        <v>17.68</v>
      </c>
      <c r="C73" s="112">
        <v>8.1</v>
      </c>
      <c r="D73" s="112">
        <v>15.56</v>
      </c>
    </row>
    <row r="74">
      <c r="A74" s="65" t="s">
        <v>135</v>
      </c>
      <c r="B74" s="123">
        <f>IFERROR(__xludf.DUMMYFUNCTION("IMPORTRANGE(""https://docs.google.com/spreadsheets/d/1cCwtsgnz-Va6YXiq3YfCBS0tXhPCGwXft9-I3VIi2_I/edit#gid=1489192849"",""Costs!d33"")"),2.4905135258789595)</f>
        <v>2.490513526</v>
      </c>
      <c r="C74" s="113">
        <f>IFERROR(__xludf.DUMMYFUNCTION("IMPORTRANGE(""https://docs.google.com/spreadsheets/d/1cCwtsgnz-Va6YXiq3YfCBS0tXhPCGwXft9-I3VIi2_I/edit#gid=1489192849"",""Costs!c33"")"),1.3777443795781372)</f>
        <v>1.37774438</v>
      </c>
      <c r="D74" s="113">
        <f>IFERROR(__xludf.DUMMYFUNCTION("IMPORTRANGE(""https://docs.google.com/spreadsheets/d/1cCwtsgnz-Va6YXiq3YfCBS0tXhPCGwXft9-I3VIi2_I/edit#gid=1489192849"",""Costs!b33"")"),2.0960773568600675)</f>
        <v>2.096077357</v>
      </c>
    </row>
    <row r="75">
      <c r="A75" s="2"/>
      <c r="B75" s="78"/>
      <c r="C75" s="78"/>
      <c r="D75" s="78"/>
    </row>
    <row r="76">
      <c r="A76" s="57" t="s">
        <v>136</v>
      </c>
      <c r="B76" s="58"/>
      <c r="C76" s="58"/>
      <c r="D76" s="58"/>
    </row>
    <row r="77">
      <c r="A77" s="65" t="s">
        <v>137</v>
      </c>
      <c r="B77" s="79">
        <f t="shared" ref="B77:D77" si="29">((B13+B26+B36+B49+B70)/100000)/B74</f>
        <v>0.01111611614</v>
      </c>
      <c r="C77" s="79">
        <f t="shared" si="29"/>
        <v>0.02400125946</v>
      </c>
      <c r="D77" s="79">
        <f t="shared" si="29"/>
        <v>0.03029229167</v>
      </c>
    </row>
    <row r="78">
      <c r="A78" s="65" t="s">
        <v>138</v>
      </c>
      <c r="B78" s="80">
        <f t="shared" ref="B78:D78" si="30">B77*10000</f>
        <v>111.1611614</v>
      </c>
      <c r="C78" s="80">
        <f t="shared" si="30"/>
        <v>240.0125946</v>
      </c>
      <c r="D78" s="80">
        <f t="shared" si="30"/>
        <v>302.9229167</v>
      </c>
    </row>
    <row r="79">
      <c r="A79" s="65" t="s">
        <v>139</v>
      </c>
      <c r="B79" s="105">
        <v>33.5</v>
      </c>
      <c r="C79" s="105">
        <v>33.5</v>
      </c>
      <c r="D79" s="105">
        <v>33.5</v>
      </c>
    </row>
    <row r="80">
      <c r="A80" s="124" t="s">
        <v>160</v>
      </c>
      <c r="B80" s="125">
        <f t="shared" ref="B80:D80" si="31">B78/B79</f>
        <v>3.318243625</v>
      </c>
      <c r="C80" s="125">
        <f t="shared" si="31"/>
        <v>7.164555063</v>
      </c>
      <c r="D80" s="125">
        <f t="shared" si="31"/>
        <v>9.042475125</v>
      </c>
    </row>
    <row r="81">
      <c r="A81" s="126"/>
      <c r="B81" s="127"/>
      <c r="C81" s="127"/>
      <c r="D81" s="127"/>
    </row>
    <row r="82">
      <c r="A82" s="128" t="s">
        <v>161</v>
      </c>
      <c r="B82" s="129"/>
      <c r="C82" s="129"/>
      <c r="D82" s="129"/>
    </row>
    <row r="83">
      <c r="A83" s="130"/>
      <c r="B83" s="131"/>
      <c r="C83" s="131"/>
      <c r="D83" s="131"/>
    </row>
    <row r="84">
      <c r="A84" s="132" t="s">
        <v>162</v>
      </c>
      <c r="B84" s="133"/>
      <c r="C84" s="133"/>
      <c r="D84" s="133"/>
    </row>
    <row r="85">
      <c r="A85" s="134" t="s">
        <v>163</v>
      </c>
      <c r="B85" s="135">
        <v>0.0</v>
      </c>
      <c r="C85" s="135">
        <v>0.0</v>
      </c>
      <c r="D85" s="135">
        <v>0.0</v>
      </c>
    </row>
    <row r="86">
      <c r="A86" s="134" t="s">
        <v>164</v>
      </c>
      <c r="B86" s="136">
        <v>0.0</v>
      </c>
      <c r="C86" s="136">
        <v>0.0</v>
      </c>
      <c r="D86" s="136">
        <v>0.0</v>
      </c>
    </row>
    <row r="87">
      <c r="A87" s="134" t="s">
        <v>165</v>
      </c>
      <c r="B87" s="135">
        <v>0.0</v>
      </c>
      <c r="C87" s="135">
        <v>0.0</v>
      </c>
      <c r="D87" s="135">
        <v>0.0</v>
      </c>
    </row>
    <row r="88">
      <c r="A88" s="137" t="s">
        <v>166</v>
      </c>
      <c r="B88" s="135">
        <f t="shared" ref="B88:D88" si="32">sum(B85:B87)</f>
        <v>0</v>
      </c>
      <c r="C88" s="135">
        <f t="shared" si="32"/>
        <v>0</v>
      </c>
      <c r="D88" s="135">
        <f t="shared" si="32"/>
        <v>0</v>
      </c>
    </row>
    <row r="89">
      <c r="A89" s="134"/>
      <c r="B89" s="138"/>
      <c r="C89" s="138"/>
      <c r="D89" s="138"/>
    </row>
    <row r="90">
      <c r="A90" s="139" t="s">
        <v>167</v>
      </c>
      <c r="B90" s="138"/>
      <c r="C90" s="138"/>
      <c r="D90" s="138"/>
    </row>
    <row r="91">
      <c r="A91" s="134" t="s">
        <v>168</v>
      </c>
      <c r="B91" s="136">
        <v>0.1</v>
      </c>
      <c r="C91" s="136">
        <v>0.1</v>
      </c>
      <c r="D91" s="136">
        <v>0.1</v>
      </c>
    </row>
    <row r="92">
      <c r="A92" s="137" t="s">
        <v>169</v>
      </c>
      <c r="B92" s="135">
        <v>0.0</v>
      </c>
      <c r="C92" s="135">
        <v>0.0</v>
      </c>
      <c r="D92" s="135">
        <v>0.0</v>
      </c>
    </row>
    <row r="93">
      <c r="A93" s="137" t="s">
        <v>170</v>
      </c>
      <c r="B93" s="135">
        <f t="shared" ref="B93:D93" si="33">sum(B91:B92)</f>
        <v>0.1</v>
      </c>
      <c r="C93" s="135">
        <f t="shared" si="33"/>
        <v>0.1</v>
      </c>
      <c r="D93" s="135">
        <f t="shared" si="33"/>
        <v>0.1</v>
      </c>
    </row>
    <row r="94">
      <c r="A94" s="137"/>
      <c r="B94" s="138"/>
      <c r="C94" s="138"/>
      <c r="D94" s="138"/>
    </row>
    <row r="95">
      <c r="A95" s="139" t="s">
        <v>171</v>
      </c>
      <c r="B95" s="138"/>
      <c r="C95" s="138"/>
      <c r="D95" s="138"/>
    </row>
    <row r="96">
      <c r="A96" s="137" t="s">
        <v>172</v>
      </c>
      <c r="B96" s="135">
        <v>0.0</v>
      </c>
      <c r="C96" s="135">
        <v>0.0</v>
      </c>
      <c r="D96" s="135">
        <v>0.0</v>
      </c>
    </row>
    <row r="97">
      <c r="A97" s="137" t="s">
        <v>173</v>
      </c>
      <c r="B97" s="135">
        <v>0.0</v>
      </c>
      <c r="C97" s="135">
        <v>0.0</v>
      </c>
      <c r="D97" s="135">
        <v>0.0</v>
      </c>
    </row>
    <row r="98">
      <c r="A98" s="137" t="s">
        <v>174</v>
      </c>
      <c r="B98" s="136">
        <v>0.0</v>
      </c>
      <c r="C98" s="136">
        <v>0.0</v>
      </c>
      <c r="D98" s="136">
        <v>0.0</v>
      </c>
    </row>
    <row r="99">
      <c r="A99" s="137" t="s">
        <v>175</v>
      </c>
      <c r="B99" s="135">
        <f t="shared" ref="B99:D99" si="34">sum(B96:B98)</f>
        <v>0</v>
      </c>
      <c r="C99" s="135">
        <f t="shared" si="34"/>
        <v>0</v>
      </c>
      <c r="D99" s="135">
        <f t="shared" si="34"/>
        <v>0</v>
      </c>
    </row>
    <row r="100">
      <c r="A100" s="137"/>
      <c r="B100" s="138"/>
      <c r="C100" s="138"/>
      <c r="D100" s="138"/>
    </row>
    <row r="101">
      <c r="A101" s="139" t="s">
        <v>176</v>
      </c>
      <c r="B101" s="135">
        <f t="shared" ref="B101:D101" si="35">1-sum(B88,B93,B99)</f>
        <v>0.9</v>
      </c>
      <c r="C101" s="135">
        <f t="shared" si="35"/>
        <v>0.9</v>
      </c>
      <c r="D101" s="135">
        <f t="shared" si="35"/>
        <v>0.9</v>
      </c>
    </row>
    <row r="102">
      <c r="A102" s="137"/>
      <c r="B102" s="138"/>
      <c r="C102" s="138"/>
      <c r="D102" s="138"/>
    </row>
    <row r="103">
      <c r="A103" s="140" t="s">
        <v>177</v>
      </c>
      <c r="B103" s="129"/>
      <c r="C103" s="129"/>
      <c r="D103" s="129"/>
    </row>
    <row r="104">
      <c r="A104" s="141" t="s">
        <v>178</v>
      </c>
      <c r="B104" s="131"/>
      <c r="C104" s="131"/>
      <c r="D104" s="131"/>
    </row>
    <row r="105">
      <c r="A105" s="142" t="s">
        <v>179</v>
      </c>
      <c r="B105" s="143">
        <v>0.0</v>
      </c>
      <c r="C105" s="143">
        <v>0.0</v>
      </c>
      <c r="D105" s="143">
        <v>0.0</v>
      </c>
    </row>
    <row r="106">
      <c r="A106" s="142" t="s">
        <v>180</v>
      </c>
      <c r="B106" s="143">
        <v>0.05</v>
      </c>
      <c r="C106" s="143">
        <v>0.05</v>
      </c>
      <c r="D106" s="143">
        <v>0.05</v>
      </c>
    </row>
    <row r="107">
      <c r="A107" s="144"/>
      <c r="B107" s="138"/>
      <c r="C107" s="138"/>
      <c r="D107" s="138"/>
    </row>
    <row r="108">
      <c r="A108" s="137" t="s">
        <v>181</v>
      </c>
      <c r="B108" s="135">
        <f t="shared" ref="B108:D108" si="36">sum(1,B105:B106)</f>
        <v>1.05</v>
      </c>
      <c r="C108" s="135">
        <f t="shared" si="36"/>
        <v>1.05</v>
      </c>
      <c r="D108" s="135">
        <f t="shared" si="36"/>
        <v>1.05</v>
      </c>
    </row>
    <row r="109">
      <c r="A109" s="142" t="s">
        <v>182</v>
      </c>
      <c r="B109" s="145">
        <f t="shared" ref="B109:D109" si="37">B78*B101*B108</f>
        <v>105.0472975</v>
      </c>
      <c r="C109" s="145">
        <f t="shared" si="37"/>
        <v>226.8119019</v>
      </c>
      <c r="D109" s="145">
        <f t="shared" si="37"/>
        <v>286.2621563</v>
      </c>
    </row>
    <row r="110">
      <c r="A110" s="142"/>
      <c r="B110" s="146"/>
      <c r="C110" s="146"/>
      <c r="D110" s="146"/>
    </row>
    <row r="111">
      <c r="A111" s="140" t="s">
        <v>183</v>
      </c>
      <c r="B111" s="129"/>
      <c r="C111" s="129"/>
      <c r="D111" s="129"/>
    </row>
    <row r="112">
      <c r="A112" s="142" t="s">
        <v>184</v>
      </c>
      <c r="B112" s="147">
        <f>IFERROR(__xludf.DUMMYFUNCTION("IMPORTRANGE(""https://docs.google.com/spreadsheets/d/1cCwtsgnz-Va6YXiq3YfCBS0tXhPCGwXft9-I3VIi2_I/edit#gid=1489192849"",""Costs!d65:d65"")"),0.0)</f>
        <v>0</v>
      </c>
      <c r="C112" s="148">
        <f>IFERROR(__xludf.DUMMYFUNCTION("IMPORTRANGE(""https://docs.google.com/spreadsheets/d/1cCwtsgnz-Va6YXiq3YfCBS0tXhPCGwXft9-I3VIi2_I/edit#gid=1489192849"",""Costs!C65:C65"")"),0.03289856102039222)</f>
        <v>0.03289856102</v>
      </c>
      <c r="D112" s="148">
        <f>IFERROR(__xludf.DUMMYFUNCTION("IMPORTRANGE(""https://docs.google.com/spreadsheets/d/1cCwtsgnz-Va6YXiq3YfCBS0tXhPCGwXft9-I3VIi2_I/edit#gid=1489192849"",""Costs!B65"")"),0.22188710821689012)</f>
        <v>0.2218871082</v>
      </c>
    </row>
    <row r="113">
      <c r="A113" s="149"/>
      <c r="B113" s="131"/>
      <c r="C113" s="131"/>
      <c r="D113" s="131"/>
    </row>
    <row r="114">
      <c r="A114" s="149" t="s">
        <v>185</v>
      </c>
      <c r="B114" s="131"/>
      <c r="C114" s="131"/>
      <c r="D114" s="131"/>
    </row>
    <row r="115">
      <c r="A115" s="150" t="s">
        <v>186</v>
      </c>
      <c r="B115" s="148">
        <v>0.0</v>
      </c>
      <c r="C115" s="148">
        <v>0.0</v>
      </c>
      <c r="D115" s="148">
        <v>0.0</v>
      </c>
    </row>
    <row r="116">
      <c r="A116" s="151" t="s">
        <v>187</v>
      </c>
      <c r="B116" s="148">
        <f t="shared" ref="B116:D116" si="38">B74</f>
        <v>2.490513526</v>
      </c>
      <c r="C116" s="148">
        <f t="shared" si="38"/>
        <v>1.37774438</v>
      </c>
      <c r="D116" s="148">
        <f t="shared" si="38"/>
        <v>2.096077357</v>
      </c>
    </row>
    <row r="117">
      <c r="A117" s="151" t="s">
        <v>188</v>
      </c>
      <c r="B117" s="148">
        <v>0.0</v>
      </c>
      <c r="C117" s="148">
        <v>0.0</v>
      </c>
      <c r="D117" s="148">
        <v>0.0</v>
      </c>
    </row>
    <row r="118">
      <c r="A118" s="151" t="s">
        <v>189</v>
      </c>
      <c r="B118" s="148">
        <f t="shared" ref="B118:D118" si="39">B112</f>
        <v>0</v>
      </c>
      <c r="C118" s="148">
        <f t="shared" si="39"/>
        <v>0.03289856102</v>
      </c>
      <c r="D118" s="148">
        <f t="shared" si="39"/>
        <v>0.2218871082</v>
      </c>
    </row>
    <row r="119">
      <c r="A119" s="152" t="s">
        <v>190</v>
      </c>
      <c r="B119" s="153"/>
      <c r="C119" s="153"/>
      <c r="D119" s="153"/>
    </row>
    <row r="120">
      <c r="A120" s="154" t="s">
        <v>191</v>
      </c>
      <c r="B120" s="155">
        <v>0.0</v>
      </c>
      <c r="C120" s="155">
        <v>0.0</v>
      </c>
      <c r="D120" s="155">
        <v>0.0</v>
      </c>
    </row>
    <row r="121">
      <c r="A121" s="154" t="s">
        <v>192</v>
      </c>
      <c r="B121" s="156">
        <f>IFERROR(__xludf.DUMMYFUNCTION("IMPORTRANGE(""https://docs.google.com/spreadsheets/d/1cCwtsgnz-Va6YXiq3YfCBS0tXhPCGwXft9-I3VIi2_I/edit#gid=1103475127"", ""Funging!B17:B17"")"),0.20722834574289595)</f>
        <v>0.2072283457</v>
      </c>
      <c r="C121" s="156">
        <f>IFERROR(__xludf.DUMMYFUNCTION("IMPORTRANGE(""https://docs.google.com/spreadsheets/d/1cCwtsgnz-Va6YXiq3YfCBS0tXhPCGwXft9-I3VIi2_I/edit#gid=1103475127"", ""Funging!c17:c17"")"),0.1179736068395167)</f>
        <v>0.1179736068</v>
      </c>
      <c r="D121" s="156">
        <f>IFERROR(__xludf.DUMMYFUNCTION("IMPORTRANGE(""https://docs.google.com/spreadsheets/d/1cCwtsgnz-Va6YXiq3YfCBS0tXhPCGwXft9-I3VIi2_I/edit#gid=1103475127"", ""Funging!d17:d17"")"),0.11160523878411771)</f>
        <v>0.1116052388</v>
      </c>
    </row>
    <row r="122">
      <c r="A122" s="154" t="s">
        <v>193</v>
      </c>
      <c r="B122" s="155">
        <v>0.0</v>
      </c>
      <c r="C122" s="155">
        <v>0.0</v>
      </c>
      <c r="D122" s="157" t="s">
        <v>194</v>
      </c>
    </row>
    <row r="123">
      <c r="A123" s="154" t="s">
        <v>195</v>
      </c>
      <c r="B123" s="155">
        <f t="shared" ref="B123:D123" si="40">1-sum(B120:B122)</f>
        <v>0.7927716543</v>
      </c>
      <c r="C123" s="155">
        <f t="shared" si="40"/>
        <v>0.8820263932</v>
      </c>
      <c r="D123" s="155">
        <f t="shared" si="40"/>
        <v>0.8883947612</v>
      </c>
    </row>
    <row r="124">
      <c r="A124" s="144"/>
      <c r="B124" s="158"/>
      <c r="C124" s="158"/>
      <c r="D124" s="158"/>
    </row>
    <row r="125">
      <c r="A125" s="152" t="s">
        <v>196</v>
      </c>
      <c r="B125" s="153"/>
      <c r="C125" s="153"/>
      <c r="D125" s="153"/>
    </row>
    <row r="126">
      <c r="A126" s="142" t="s">
        <v>191</v>
      </c>
      <c r="B126" s="135">
        <v>1.0</v>
      </c>
      <c r="C126" s="135">
        <v>1.0</v>
      </c>
      <c r="D126" s="135">
        <v>1.0</v>
      </c>
    </row>
    <row r="127">
      <c r="A127" s="142" t="s">
        <v>192</v>
      </c>
      <c r="B127" s="135">
        <v>1.0</v>
      </c>
      <c r="C127" s="135">
        <v>1.0</v>
      </c>
      <c r="D127" s="135">
        <v>1.0</v>
      </c>
    </row>
    <row r="128">
      <c r="A128" s="154" t="s">
        <v>193</v>
      </c>
      <c r="B128" s="135">
        <f t="shared" ref="B128:D128" si="41">B117/(B116+B117)</f>
        <v>0</v>
      </c>
      <c r="C128" s="135">
        <f t="shared" si="41"/>
        <v>0</v>
      </c>
      <c r="D128" s="135">
        <f t="shared" si="41"/>
        <v>0</v>
      </c>
    </row>
    <row r="129">
      <c r="A129" s="144" t="s">
        <v>195</v>
      </c>
      <c r="B129" s="135">
        <v>0.0</v>
      </c>
      <c r="C129" s="135">
        <v>0.0</v>
      </c>
      <c r="D129" s="135">
        <v>0.0</v>
      </c>
    </row>
    <row r="130">
      <c r="A130" s="141" t="s">
        <v>197</v>
      </c>
      <c r="B130" s="159">
        <f t="shared" ref="B130:D130" si="42">sumproduct(B120:B123,B126:B129)</f>
        <v>0.2072283457</v>
      </c>
      <c r="C130" s="159">
        <f t="shared" si="42"/>
        <v>0.1179736068</v>
      </c>
      <c r="D130" s="159">
        <f t="shared" si="42"/>
        <v>0.1116052388</v>
      </c>
    </row>
    <row r="131">
      <c r="A131" s="131"/>
      <c r="B131" s="131"/>
      <c r="C131" s="131"/>
      <c r="D131" s="131"/>
    </row>
    <row r="132">
      <c r="A132" s="152" t="s">
        <v>198</v>
      </c>
      <c r="B132" s="138"/>
      <c r="C132" s="138"/>
      <c r="D132" s="138"/>
    </row>
    <row r="133">
      <c r="A133" s="144" t="s">
        <v>184</v>
      </c>
      <c r="B133" s="160">
        <f t="shared" ref="B133:D133" si="43">117/20005</f>
        <v>0.005848537866</v>
      </c>
      <c r="C133" s="160">
        <f t="shared" si="43"/>
        <v>0.005848537866</v>
      </c>
      <c r="D133" s="160">
        <f t="shared" si="43"/>
        <v>0.005848537866</v>
      </c>
    </row>
    <row r="134">
      <c r="A134" s="142" t="s">
        <v>199</v>
      </c>
      <c r="B134" s="160">
        <f t="shared" ref="B134:D134" si="44">B133*1.2</f>
        <v>0.007018245439</v>
      </c>
      <c r="C134" s="160">
        <f t="shared" si="44"/>
        <v>0.007018245439</v>
      </c>
      <c r="D134" s="160">
        <f t="shared" si="44"/>
        <v>0.007018245439</v>
      </c>
    </row>
    <row r="135">
      <c r="A135" s="152"/>
      <c r="B135" s="138"/>
      <c r="C135" s="138"/>
      <c r="D135" s="138"/>
    </row>
    <row r="136">
      <c r="A136" s="152" t="s">
        <v>200</v>
      </c>
      <c r="B136" s="138"/>
      <c r="C136" s="138"/>
      <c r="D136" s="138"/>
    </row>
    <row r="137">
      <c r="A137" s="142" t="s">
        <v>191</v>
      </c>
      <c r="B137" s="161">
        <f t="shared" ref="B137:D137" si="45">(B109*B126)-B133*B74*B126*10000</f>
        <v>-40.61132906</v>
      </c>
      <c r="C137" s="161">
        <f t="shared" si="45"/>
        <v>146.2340002</v>
      </c>
      <c r="D137" s="161">
        <f t="shared" si="45"/>
        <v>163.6722784</v>
      </c>
    </row>
    <row r="138">
      <c r="A138" s="142" t="s">
        <v>192</v>
      </c>
      <c r="B138" s="161">
        <f t="shared" ref="B138:D138" si="46">(B109*B127)-B134*B74*B127*10000</f>
        <v>-69.74305438</v>
      </c>
      <c r="C138" s="161">
        <f t="shared" si="46"/>
        <v>130.1184198</v>
      </c>
      <c r="D138" s="161">
        <f t="shared" si="46"/>
        <v>139.1543028</v>
      </c>
    </row>
    <row r="139">
      <c r="A139" s="154" t="s">
        <v>193</v>
      </c>
      <c r="B139" s="162">
        <f t="shared" ref="B139:D139" si="47">(B109*B128)+((B117*B133*10000)*(1-B128))</f>
        <v>0</v>
      </c>
      <c r="C139" s="162">
        <f t="shared" si="47"/>
        <v>0</v>
      </c>
      <c r="D139" s="162">
        <f t="shared" si="47"/>
        <v>0</v>
      </c>
    </row>
    <row r="140">
      <c r="A140" s="142" t="s">
        <v>195</v>
      </c>
      <c r="B140" s="162">
        <f t="shared" ref="B140:D140" si="48">(B109*B129)+B133*B112*10000</f>
        <v>0</v>
      </c>
      <c r="C140" s="162">
        <f t="shared" si="48"/>
        <v>1.924084798</v>
      </c>
      <c r="D140" s="162">
        <f t="shared" si="48"/>
        <v>12.97715154</v>
      </c>
    </row>
    <row r="141">
      <c r="A141" s="141" t="s">
        <v>197</v>
      </c>
      <c r="B141" s="163">
        <f t="shared" ref="B141:D141" si="49">SUMPRODUCT(B120:B123,B137:B140)</f>
        <v>-14.45273779</v>
      </c>
      <c r="C141" s="163">
        <f t="shared" si="49"/>
        <v>17.04763288</v>
      </c>
      <c r="D141" s="163">
        <f t="shared" si="49"/>
        <v>27.05918264</v>
      </c>
    </row>
    <row r="142">
      <c r="A142" s="144"/>
      <c r="B142" s="144"/>
      <c r="C142" s="144"/>
      <c r="D142" s="144"/>
    </row>
    <row r="143">
      <c r="A143" s="142" t="s">
        <v>201</v>
      </c>
      <c r="B143" s="161">
        <f t="shared" ref="B143:D143" si="50">B109-B141</f>
        <v>119.5000353</v>
      </c>
      <c r="C143" s="161">
        <f t="shared" si="50"/>
        <v>209.764269</v>
      </c>
      <c r="D143" s="161">
        <f t="shared" si="50"/>
        <v>259.2029736</v>
      </c>
    </row>
    <row r="144">
      <c r="A144" s="137" t="s">
        <v>139</v>
      </c>
      <c r="B144" s="164">
        <v>33.5</v>
      </c>
      <c r="C144" s="164">
        <v>33.5</v>
      </c>
      <c r="D144" s="164">
        <v>33.5</v>
      </c>
    </row>
    <row r="145">
      <c r="A145" s="139" t="s">
        <v>202</v>
      </c>
      <c r="B145" s="165">
        <f t="shared" ref="B145:D145" si="51">B143/B144</f>
        <v>3.567165234</v>
      </c>
      <c r="C145" s="165">
        <f t="shared" si="51"/>
        <v>6.261619971</v>
      </c>
      <c r="D145" s="165">
        <f t="shared" si="51"/>
        <v>7.737402198</v>
      </c>
    </row>
    <row r="146">
      <c r="A146" s="144"/>
      <c r="B146" s="133"/>
      <c r="C146" s="133"/>
      <c r="D146" s="133"/>
    </row>
    <row r="147">
      <c r="A147" s="144" t="s">
        <v>141</v>
      </c>
      <c r="B147" s="131"/>
      <c r="C147" s="131"/>
      <c r="D147" s="131"/>
    </row>
    <row r="148">
      <c r="A148" s="137" t="s">
        <v>142</v>
      </c>
      <c r="B148" s="135">
        <f t="shared" ref="B148:D148" si="52">B13/(B$13+B$26+B$36+B$49+B$70)</f>
        <v>0.3257344929</v>
      </c>
      <c r="C148" s="135">
        <f t="shared" si="52"/>
        <v>0.307672684</v>
      </c>
      <c r="D148" s="166">
        <f t="shared" si="52"/>
        <v>0.3564086756</v>
      </c>
    </row>
    <row r="149">
      <c r="A149" s="137" t="s">
        <v>143</v>
      </c>
      <c r="B149" s="135">
        <f t="shared" ref="B149:D149" si="53">B26/(B$13+B$26+B$36+B$49+B$70)</f>
        <v>0.1335812532</v>
      </c>
      <c r="C149" s="135">
        <f t="shared" si="53"/>
        <v>0.2839126173</v>
      </c>
      <c r="D149" s="166">
        <f t="shared" si="53"/>
        <v>0.1995050382</v>
      </c>
    </row>
    <row r="150">
      <c r="A150" s="137" t="s">
        <v>144</v>
      </c>
      <c r="B150" s="135">
        <f t="shared" ref="B150:D150" si="54">B36/(B$13+B$26+B$36+B$49+B$70)</f>
        <v>0.01279315946</v>
      </c>
      <c r="C150" s="135">
        <f t="shared" si="54"/>
        <v>0.01823370287</v>
      </c>
      <c r="D150" s="166">
        <f t="shared" si="54"/>
        <v>0.01415829447</v>
      </c>
    </row>
    <row r="151">
      <c r="A151" s="137" t="s">
        <v>145</v>
      </c>
      <c r="B151" s="135">
        <f t="shared" ref="B151:D151" si="55">B$49/(B$13+B$26+B$36+B$49+B$70)</f>
        <v>0.2005020316</v>
      </c>
      <c r="C151" s="135">
        <f t="shared" si="55"/>
        <v>0.167311846</v>
      </c>
      <c r="D151" s="166">
        <f t="shared" si="55"/>
        <v>0.1728436124</v>
      </c>
    </row>
    <row r="152">
      <c r="A152" s="167" t="s">
        <v>146</v>
      </c>
      <c r="B152" s="135">
        <f t="shared" ref="B152:D152" si="56">B70/(B$13+B$26+B$36+B$49+B$70)</f>
        <v>0.3273890628</v>
      </c>
      <c r="C152" s="135">
        <f t="shared" si="56"/>
        <v>0.2228691498</v>
      </c>
      <c r="D152" s="166">
        <f t="shared" si="56"/>
        <v>0.2570843793</v>
      </c>
    </row>
    <row r="153">
      <c r="A153" s="5"/>
      <c r="B153" s="5"/>
      <c r="C153" s="5"/>
      <c r="D153" s="5"/>
    </row>
    <row r="154">
      <c r="A154" s="5"/>
      <c r="B154" s="5"/>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70.14"/>
    <col customWidth="1" min="2" max="4" width="23.29"/>
  </cols>
  <sheetData>
    <row r="1" ht="13.5" customHeight="1">
      <c r="A1" s="118" t="s">
        <v>13</v>
      </c>
      <c r="B1" s="119" t="s">
        <v>11</v>
      </c>
      <c r="C1" s="119" t="s">
        <v>14</v>
      </c>
      <c r="D1" s="119" t="s">
        <v>15</v>
      </c>
    </row>
    <row r="2" ht="14.25" customHeight="1">
      <c r="A2" s="57" t="s">
        <v>79</v>
      </c>
      <c r="B2" s="58"/>
      <c r="C2" s="58"/>
      <c r="D2" s="58"/>
    </row>
    <row r="3" ht="13.5" customHeight="1">
      <c r="A3" s="59" t="s">
        <v>148</v>
      </c>
      <c r="B3" s="60">
        <v>0.1255</v>
      </c>
      <c r="C3" s="60">
        <v>0.1362</v>
      </c>
      <c r="D3" s="60">
        <v>0.137</v>
      </c>
    </row>
    <row r="4" ht="13.5" customHeight="1">
      <c r="A4" s="33" t="s">
        <v>149</v>
      </c>
      <c r="B4" s="61">
        <f>'Baseline mortality'!$F17</f>
        <v>0.01188230598</v>
      </c>
      <c r="C4" s="61">
        <f>'Baseline mortality'!$F33</f>
        <v>0.01093611839</v>
      </c>
      <c r="D4" s="61">
        <f>'Baseline mortality'!$F38</f>
        <v>0.01342</v>
      </c>
    </row>
    <row r="5" ht="13.5" customHeight="1">
      <c r="A5" s="62" t="s">
        <v>82</v>
      </c>
      <c r="B5" s="63">
        <f>'Mortality effect size'!B11</f>
        <v>0.8638932195</v>
      </c>
      <c r="C5" s="63">
        <f>'Mortality effect size'!B11</f>
        <v>0.8638932195</v>
      </c>
      <c r="D5" s="63">
        <f>'Mortality effect size'!B11</f>
        <v>0.8638932195</v>
      </c>
    </row>
    <row r="6">
      <c r="A6" s="33" t="s">
        <v>83</v>
      </c>
      <c r="B6" s="88">
        <f>'Internal validity adjustment'!B6</f>
        <v>0.7957578162</v>
      </c>
      <c r="C6" s="88">
        <f>'Internal validity adjustment'!B6</f>
        <v>0.7957578162</v>
      </c>
      <c r="D6" s="88">
        <f>'Internal validity adjustment'!B6</f>
        <v>0.7957578162</v>
      </c>
    </row>
    <row r="7">
      <c r="A7" s="33" t="s">
        <v>84</v>
      </c>
      <c r="B7" s="88">
        <f>'External validity adjustment'!B11</f>
        <v>0.5582511733</v>
      </c>
      <c r="C7" s="88">
        <f>'External validity adjustment'!B16</f>
        <v>0.5660223142</v>
      </c>
      <c r="D7" s="88">
        <f>'External validity adjustment'!B21</f>
        <v>1.108251354</v>
      </c>
    </row>
    <row r="8">
      <c r="A8" s="65" t="s">
        <v>85</v>
      </c>
      <c r="B8" s="66">
        <f t="shared" ref="B8:D8" si="1">(1-B5)*B6*B7</f>
        <v>0.06046308729</v>
      </c>
      <c r="C8" s="66">
        <f t="shared" si="1"/>
        <v>0.06130476429</v>
      </c>
      <c r="D8" s="66">
        <f t="shared" si="1"/>
        <v>0.1200325258</v>
      </c>
    </row>
    <row r="9">
      <c r="A9" s="54" t="s">
        <v>86</v>
      </c>
      <c r="B9" s="67">
        <f>'Internal validity adjustment'!B12</f>
        <v>0.056</v>
      </c>
      <c r="C9" s="67">
        <f>'Internal validity adjustment'!B13</f>
        <v>0.084</v>
      </c>
      <c r="D9" s="67">
        <f>'Internal validity adjustment'!B14</f>
        <v>0.109</v>
      </c>
    </row>
    <row r="10">
      <c r="A10" s="65" t="s">
        <v>87</v>
      </c>
      <c r="B10" s="66">
        <f t="shared" ref="B10:D10" si="2">MIN(B8,B9)</f>
        <v>0.056</v>
      </c>
      <c r="C10" s="66">
        <f t="shared" si="2"/>
        <v>0.06130476429</v>
      </c>
      <c r="D10" s="66">
        <f t="shared" si="2"/>
        <v>0.109</v>
      </c>
    </row>
    <row r="11">
      <c r="A11" s="68" t="s">
        <v>88</v>
      </c>
      <c r="B11" s="69">
        <f t="shared" ref="B11:D11" si="3">B3*B4*B10*100000</f>
        <v>8.350884645</v>
      </c>
      <c r="C11" s="69">
        <f t="shared" si="3"/>
        <v>9.131340498</v>
      </c>
      <c r="D11" s="69">
        <f t="shared" si="3"/>
        <v>20.040086</v>
      </c>
    </row>
    <row r="12">
      <c r="A12" s="70" t="s">
        <v>89</v>
      </c>
      <c r="B12" s="71">
        <f>'Moral weights'!B3</f>
        <v>107.9874399</v>
      </c>
      <c r="C12" s="71">
        <f>'Moral weights'!B4</f>
        <v>111.4184423</v>
      </c>
      <c r="D12" s="71">
        <f>'Moral weights'!B5</f>
        <v>112.9244859</v>
      </c>
    </row>
    <row r="13">
      <c r="A13" s="72" t="s">
        <v>100</v>
      </c>
      <c r="B13" s="69">
        <f t="shared" ref="B13:D13" si="4">B11*B12</f>
        <v>901.790654</v>
      </c>
      <c r="C13" s="69">
        <f t="shared" si="4"/>
        <v>1017.399734</v>
      </c>
      <c r="D13" s="69">
        <f t="shared" si="4"/>
        <v>2263.01641</v>
      </c>
    </row>
    <row r="14">
      <c r="A14" s="33"/>
      <c r="B14" s="74"/>
      <c r="C14" s="74"/>
      <c r="D14" s="74"/>
    </row>
    <row r="15">
      <c r="A15" s="57" t="s">
        <v>91</v>
      </c>
      <c r="B15" s="58"/>
      <c r="C15" s="58"/>
      <c r="D15" s="58"/>
    </row>
    <row r="16">
      <c r="A16" s="65" t="s">
        <v>150</v>
      </c>
      <c r="B16" s="75">
        <f t="shared" ref="B16:D16" si="5">1-B3</f>
        <v>0.8745</v>
      </c>
      <c r="C16" s="75">
        <f t="shared" si="5"/>
        <v>0.8638</v>
      </c>
      <c r="D16" s="75">
        <f t="shared" si="5"/>
        <v>0.863</v>
      </c>
    </row>
    <row r="17">
      <c r="A17" s="33" t="s">
        <v>151</v>
      </c>
      <c r="B17" s="76">
        <f>'Baseline mortality'!$E57</f>
        <v>0.005490364913</v>
      </c>
      <c r="C17" s="76">
        <f>'Baseline mortality'!$F57</f>
        <v>0.004440337846</v>
      </c>
      <c r="D17" s="76">
        <f>'Baseline mortality'!$G57</f>
        <v>0.005351292874</v>
      </c>
    </row>
    <row r="18" ht="13.5" customHeight="1">
      <c r="A18" s="62" t="s">
        <v>82</v>
      </c>
      <c r="B18" s="77">
        <f t="shared" ref="B18:D18" si="6">B5</f>
        <v>0.8638932195</v>
      </c>
      <c r="C18" s="77">
        <f t="shared" si="6"/>
        <v>0.8638932195</v>
      </c>
      <c r="D18" s="77">
        <f t="shared" si="6"/>
        <v>0.8638932195</v>
      </c>
    </row>
    <row r="19" ht="13.5" customHeight="1">
      <c r="A19" s="54" t="s">
        <v>94</v>
      </c>
      <c r="B19" s="78">
        <f>'Adult mortality scaling factor'!$B17</f>
        <v>0.3173973417</v>
      </c>
      <c r="C19" s="78">
        <f>'Adult mortality scaling factor'!$C17</f>
        <v>0.8917343791</v>
      </c>
      <c r="D19" s="78">
        <f>'Adult mortality scaling factor'!$D17</f>
        <v>0.6011232958</v>
      </c>
    </row>
    <row r="20">
      <c r="A20" s="33" t="s">
        <v>95</v>
      </c>
      <c r="B20" s="88">
        <f>'Internal validity adjustment'!B7</f>
        <v>0.504149833</v>
      </c>
      <c r="C20" s="88">
        <f>'Internal validity adjustment'!B7</f>
        <v>0.504149833</v>
      </c>
      <c r="D20" s="88">
        <f>'Internal validity adjustment'!B7</f>
        <v>0.504149833</v>
      </c>
    </row>
    <row r="21">
      <c r="A21" s="33" t="s">
        <v>84</v>
      </c>
      <c r="B21" s="88">
        <f>'External validity adjustment'!B11</f>
        <v>0.5582511733</v>
      </c>
      <c r="C21" s="88">
        <f>'External validity adjustment'!B16</f>
        <v>0.5660223142</v>
      </c>
      <c r="D21" s="88">
        <f>'External validity adjustment'!B21</f>
        <v>1.108251354</v>
      </c>
    </row>
    <row r="22">
      <c r="A22" s="72" t="s">
        <v>96</v>
      </c>
      <c r="B22" s="79">
        <f t="shared" ref="B22:D22" si="7">B10/B8</f>
        <v>0.9261849256</v>
      </c>
      <c r="C22" s="79">
        <f t="shared" si="7"/>
        <v>1</v>
      </c>
      <c r="D22" s="79">
        <f t="shared" si="7"/>
        <v>0.9080871976</v>
      </c>
    </row>
    <row r="23">
      <c r="A23" s="68" t="s">
        <v>97</v>
      </c>
      <c r="B23" s="80">
        <f t="shared" ref="B23:D23" si="8">B16*B17*(1-B18)*B19*B20*B21*B22*100000</f>
        <v>5.406684791</v>
      </c>
      <c r="C23" s="80">
        <f t="shared" si="8"/>
        <v>13.28426916</v>
      </c>
      <c r="D23" s="80">
        <f t="shared" si="8"/>
        <v>19.17071397</v>
      </c>
    </row>
    <row r="24">
      <c r="A24" s="81" t="s">
        <v>98</v>
      </c>
      <c r="B24" s="82">
        <f t="shared" ref="B24:D24" si="9">(1-B18)*B19*B20*B21*B22</f>
        <v>0.01126082026</v>
      </c>
      <c r="C24" s="82">
        <f t="shared" si="9"/>
        <v>0.03463446248</v>
      </c>
      <c r="D24" s="82">
        <f t="shared" si="9"/>
        <v>0.04151153294</v>
      </c>
    </row>
    <row r="25">
      <c r="A25" s="83" t="s">
        <v>99</v>
      </c>
      <c r="B25" s="84">
        <f>'Moral weights'!B7</f>
        <v>68.40005376</v>
      </c>
      <c r="C25" s="84">
        <f>'Moral weights'!B8</f>
        <v>70.6723783</v>
      </c>
      <c r="D25" s="84">
        <f>'Moral weights'!B9</f>
        <v>66.07771501</v>
      </c>
    </row>
    <row r="26">
      <c r="A26" s="72" t="s">
        <v>100</v>
      </c>
      <c r="B26" s="85">
        <f t="shared" ref="B26:D26" si="10">B23*B25</f>
        <v>369.8175304</v>
      </c>
      <c r="C26" s="85">
        <f t="shared" si="10"/>
        <v>938.8308955</v>
      </c>
      <c r="D26" s="85">
        <f t="shared" si="10"/>
        <v>1266.756974</v>
      </c>
    </row>
    <row r="27">
      <c r="A27" s="2"/>
      <c r="B27" s="78"/>
      <c r="C27" s="78"/>
      <c r="D27" s="78"/>
    </row>
    <row r="28">
      <c r="A28" s="57" t="s">
        <v>101</v>
      </c>
      <c r="B28" s="58"/>
      <c r="C28" s="58"/>
      <c r="D28" s="58"/>
    </row>
    <row r="29">
      <c r="A29" s="54" t="s">
        <v>152</v>
      </c>
      <c r="B29" s="86">
        <v>179.59</v>
      </c>
      <c r="C29" s="86">
        <v>190.23</v>
      </c>
      <c r="D29" s="86">
        <v>218.97</v>
      </c>
    </row>
    <row r="30">
      <c r="A30" s="14" t="s">
        <v>153</v>
      </c>
      <c r="B30" s="88">
        <f>'Morbidity effect size'!B7</f>
        <v>0.805</v>
      </c>
      <c r="C30" s="88">
        <f>'Morbidity effect size'!B7</f>
        <v>0.805</v>
      </c>
      <c r="D30" s="88">
        <f>'Morbidity effect size'!B7</f>
        <v>0.805</v>
      </c>
    </row>
    <row r="31">
      <c r="A31" s="33" t="s">
        <v>104</v>
      </c>
      <c r="B31" s="88">
        <f>'Internal validity adjustment'!E3</f>
        <v>0.9</v>
      </c>
      <c r="C31" s="88">
        <f>'Internal validity adjustment'!E3</f>
        <v>0.9</v>
      </c>
      <c r="D31" s="88">
        <f>'Internal validity adjustment'!E3</f>
        <v>0.9</v>
      </c>
    </row>
    <row r="32">
      <c r="A32" s="33" t="s">
        <v>84</v>
      </c>
      <c r="B32" s="88">
        <f>'External validity adjustment'!B33</f>
        <v>0.4885766261</v>
      </c>
      <c r="C32" s="88">
        <f>'External validity adjustment'!B37</f>
        <v>0.7852240424</v>
      </c>
      <c r="D32" s="88">
        <f>'External validity adjustment'!B41</f>
        <v>1.017093319</v>
      </c>
    </row>
    <row r="33">
      <c r="A33" s="91" t="s">
        <v>105</v>
      </c>
      <c r="B33" s="92">
        <f t="shared" ref="B33:D33" si="11">(1-B30)*B31*B32</f>
        <v>0.08574519788</v>
      </c>
      <c r="C33" s="92">
        <f t="shared" si="11"/>
        <v>0.1378068194</v>
      </c>
      <c r="D33" s="92">
        <f t="shared" si="11"/>
        <v>0.1784998775</v>
      </c>
    </row>
    <row r="34">
      <c r="A34" s="93" t="s">
        <v>106</v>
      </c>
      <c r="B34" s="85">
        <f t="shared" ref="B34:D34" si="12">B29*(1-B30)*B31*B32</f>
        <v>15.39898009</v>
      </c>
      <c r="C34" s="85">
        <f t="shared" si="12"/>
        <v>26.21499126</v>
      </c>
      <c r="D34" s="85">
        <f t="shared" si="12"/>
        <v>39.08611818</v>
      </c>
    </row>
    <row r="35">
      <c r="A35" s="94" t="s">
        <v>107</v>
      </c>
      <c r="B35" s="95">
        <f>'Moral weights'!$B11</f>
        <v>2.3</v>
      </c>
      <c r="C35" s="95">
        <f>'Moral weights'!$B11</f>
        <v>2.3</v>
      </c>
      <c r="D35" s="95">
        <f>'Moral weights'!$B11</f>
        <v>2.3</v>
      </c>
    </row>
    <row r="36">
      <c r="A36" s="93" t="s">
        <v>100</v>
      </c>
      <c r="B36" s="85">
        <f t="shared" ref="B36:D36" si="13">B34*B35</f>
        <v>35.4176542</v>
      </c>
      <c r="C36" s="85">
        <f t="shared" si="13"/>
        <v>60.2944799</v>
      </c>
      <c r="D36" s="85">
        <f t="shared" si="13"/>
        <v>89.89807182</v>
      </c>
    </row>
    <row r="37">
      <c r="A37" s="2"/>
      <c r="B37" s="78"/>
      <c r="C37" s="78"/>
      <c r="D37" s="78"/>
    </row>
    <row r="38">
      <c r="A38" s="57" t="s">
        <v>108</v>
      </c>
      <c r="B38" s="58"/>
      <c r="C38" s="58"/>
      <c r="D38" s="58"/>
    </row>
    <row r="39">
      <c r="A39" s="83" t="s">
        <v>109</v>
      </c>
      <c r="B39" s="96">
        <v>0.126</v>
      </c>
      <c r="C39" s="96">
        <v>0.126</v>
      </c>
      <c r="D39" s="96">
        <v>0.126</v>
      </c>
    </row>
    <row r="40">
      <c r="A40" s="54" t="s">
        <v>110</v>
      </c>
      <c r="B40" s="97">
        <v>0.44</v>
      </c>
      <c r="C40" s="97">
        <v>0.44</v>
      </c>
      <c r="D40" s="97">
        <v>0.44</v>
      </c>
    </row>
    <row r="41">
      <c r="A41" s="54" t="s">
        <v>148</v>
      </c>
      <c r="B41" s="97">
        <f t="shared" ref="B41:D41" si="14">B3</f>
        <v>0.1255</v>
      </c>
      <c r="C41" s="97">
        <f t="shared" si="14"/>
        <v>0.1362</v>
      </c>
      <c r="D41" s="97">
        <f t="shared" si="14"/>
        <v>0.137</v>
      </c>
    </row>
    <row r="42">
      <c r="A42" s="54" t="s">
        <v>154</v>
      </c>
      <c r="B42" s="98">
        <v>0.254</v>
      </c>
      <c r="C42" s="98">
        <v>0.292</v>
      </c>
      <c r="D42" s="98">
        <v>0.287</v>
      </c>
    </row>
    <row r="43">
      <c r="A43" s="14" t="s">
        <v>155</v>
      </c>
      <c r="B43" s="86">
        <v>317.43</v>
      </c>
      <c r="C43" s="86">
        <v>398.01</v>
      </c>
      <c r="D43" s="86">
        <v>460.79</v>
      </c>
    </row>
    <row r="44">
      <c r="A44" s="14" t="s">
        <v>156</v>
      </c>
      <c r="B44" s="86">
        <v>124.83</v>
      </c>
      <c r="C44" s="86">
        <v>116.35</v>
      </c>
      <c r="D44" s="86">
        <v>140.43</v>
      </c>
    </row>
    <row r="45">
      <c r="A45" s="99" t="s">
        <v>114</v>
      </c>
      <c r="B45" s="100">
        <f t="shared" ref="B45:D45" si="15">B44/B43</f>
        <v>0.3932520556</v>
      </c>
      <c r="C45" s="100">
        <f t="shared" si="15"/>
        <v>0.2923293385</v>
      </c>
      <c r="D45" s="100">
        <f t="shared" si="15"/>
        <v>0.3047592179</v>
      </c>
    </row>
    <row r="46">
      <c r="A46" s="93" t="s">
        <v>115</v>
      </c>
      <c r="B46" s="80">
        <f t="shared" ref="B46:D46" si="16">((B39*B40*B41)+(B39*B40*B42*B45))*100000</f>
        <v>1249.540107</v>
      </c>
      <c r="C46" s="80">
        <f t="shared" si="16"/>
        <v>1228.329565</v>
      </c>
      <c r="D46" s="80">
        <f t="shared" si="16"/>
        <v>1244.438925</v>
      </c>
    </row>
    <row r="47">
      <c r="A47" s="33" t="s">
        <v>104</v>
      </c>
      <c r="B47" s="78">
        <f>'Internal validity adjustment'!$B6</f>
        <v>0.7957578162</v>
      </c>
      <c r="C47" s="78">
        <f>'Internal validity adjustment'!B6</f>
        <v>0.7957578162</v>
      </c>
      <c r="D47" s="78">
        <f>'Internal validity adjustment'!B6</f>
        <v>0.7957578162</v>
      </c>
    </row>
    <row r="48">
      <c r="A48" s="33" t="s">
        <v>84</v>
      </c>
      <c r="B48" s="78">
        <f>'External validity adjustment'!B11</f>
        <v>0.5582511733</v>
      </c>
      <c r="C48" s="78">
        <f>'External validity adjustment'!B16</f>
        <v>0.5660223142</v>
      </c>
      <c r="D48" s="78">
        <f>'External validity adjustment'!B21</f>
        <v>1.108251354</v>
      </c>
    </row>
    <row r="49">
      <c r="A49" s="93" t="s">
        <v>116</v>
      </c>
      <c r="B49" s="80">
        <f t="shared" ref="B49:D49" si="17">B46*B47*B48</f>
        <v>555.0866184</v>
      </c>
      <c r="C49" s="80">
        <f t="shared" si="17"/>
        <v>553.2601254</v>
      </c>
      <c r="D49" s="80">
        <f t="shared" si="17"/>
        <v>1097.470286</v>
      </c>
    </row>
    <row r="50">
      <c r="A50" s="2"/>
      <c r="B50" s="78"/>
      <c r="C50" s="78"/>
      <c r="D50" s="78"/>
    </row>
    <row r="51">
      <c r="A51" s="57" t="s">
        <v>117</v>
      </c>
      <c r="B51" s="58"/>
      <c r="C51" s="58"/>
      <c r="D51" s="58"/>
    </row>
    <row r="52">
      <c r="A52" s="101" t="s">
        <v>118</v>
      </c>
      <c r="B52" s="102">
        <f>'Costs averted supp calculations'!G13</f>
        <v>4.017337674</v>
      </c>
      <c r="C52" s="102">
        <f>'Costs averted supp calculations'!H31</f>
        <v>3.568323628</v>
      </c>
      <c r="D52" s="102">
        <f>'Costs averted supp calculations'!H45</f>
        <v>4.125390599</v>
      </c>
    </row>
    <row r="53">
      <c r="A53" t="s">
        <v>119</v>
      </c>
      <c r="B53" s="103">
        <f t="shared" ref="B53:D53" si="18">B33</f>
        <v>0.08574519788</v>
      </c>
      <c r="C53" s="103">
        <f t="shared" si="18"/>
        <v>0.1378068194</v>
      </c>
      <c r="D53" s="103">
        <f t="shared" si="18"/>
        <v>0.1784998775</v>
      </c>
    </row>
    <row r="54">
      <c r="A54" s="99" t="s">
        <v>120</v>
      </c>
      <c r="B54" s="79">
        <f t="shared" ref="B54:D54" si="19">B52*B53</f>
        <v>0.3444674138</v>
      </c>
      <c r="C54" s="79">
        <f t="shared" si="19"/>
        <v>0.4917393299</v>
      </c>
      <c r="D54" s="79">
        <f t="shared" si="19"/>
        <v>0.7363817167</v>
      </c>
    </row>
    <row r="55">
      <c r="A55" s="65" t="s">
        <v>121</v>
      </c>
      <c r="B55" s="104">
        <f>'Costs averted supp calculations'!C76</f>
        <v>8.149982753</v>
      </c>
      <c r="C55" s="104">
        <f>'Costs averted supp calculations'!D76</f>
        <v>5.700287798</v>
      </c>
      <c r="D55" s="104">
        <f>'Costs averted supp calculations'!E76</f>
        <v>8.053742402</v>
      </c>
    </row>
    <row r="56">
      <c r="A56" s="54" t="s">
        <v>122</v>
      </c>
      <c r="B56" s="103">
        <f t="shared" ref="B56:D56" si="20">B3</f>
        <v>0.1255</v>
      </c>
      <c r="C56" s="103">
        <f t="shared" si="20"/>
        <v>0.1362</v>
      </c>
      <c r="D56" s="103">
        <f t="shared" si="20"/>
        <v>0.137</v>
      </c>
    </row>
    <row r="57">
      <c r="A57" s="65" t="s">
        <v>123</v>
      </c>
      <c r="B57" s="104">
        <f t="shared" ref="B57:D57" si="21">B55*B56</f>
        <v>1.022822836</v>
      </c>
      <c r="C57" s="104">
        <f t="shared" si="21"/>
        <v>0.7763791981</v>
      </c>
      <c r="D57" s="104">
        <f t="shared" si="21"/>
        <v>1.103362709</v>
      </c>
    </row>
    <row r="58">
      <c r="A58" s="65" t="s">
        <v>124</v>
      </c>
      <c r="B58" s="105">
        <f>'Internal validity adjustment'!B23</f>
        <v>3.744005318</v>
      </c>
      <c r="C58" s="105">
        <f>'Internal validity adjustment'!B23</f>
        <v>3.744005318</v>
      </c>
      <c r="D58" s="105">
        <f>'Internal validity adjustment'!B23</f>
        <v>3.744005318</v>
      </c>
    </row>
    <row r="59">
      <c r="A59" s="65" t="s">
        <v>125</v>
      </c>
      <c r="B59" s="104">
        <f t="shared" ref="B59:D59" si="22">B57*B58</f>
        <v>3.829454136</v>
      </c>
      <c r="C59" s="104">
        <f t="shared" si="22"/>
        <v>2.906767846</v>
      </c>
      <c r="D59" s="104">
        <f t="shared" si="22"/>
        <v>4.130995851</v>
      </c>
    </row>
    <row r="60">
      <c r="A60" s="14" t="s">
        <v>126</v>
      </c>
      <c r="B60" s="106">
        <v>1.0</v>
      </c>
      <c r="C60" s="106">
        <v>1.0</v>
      </c>
      <c r="D60" s="106">
        <v>1.0</v>
      </c>
    </row>
    <row r="61">
      <c r="A61" s="14" t="s">
        <v>127</v>
      </c>
      <c r="B61" s="106">
        <v>1.1</v>
      </c>
      <c r="C61" s="106">
        <v>1.1</v>
      </c>
      <c r="D61" s="106">
        <v>1.1</v>
      </c>
    </row>
    <row r="62">
      <c r="A62" s="65" t="s">
        <v>128</v>
      </c>
      <c r="B62" s="104">
        <f t="shared" ref="B62:D62" si="23">B59*B60*B61</f>
        <v>4.212399549</v>
      </c>
      <c r="C62" s="104">
        <f t="shared" si="23"/>
        <v>3.197444631</v>
      </c>
      <c r="D62" s="104">
        <f t="shared" si="23"/>
        <v>4.544095436</v>
      </c>
    </row>
    <row r="63">
      <c r="A63" s="14" t="s">
        <v>129</v>
      </c>
      <c r="B63" s="120">
        <f>99.82*12</f>
        <v>1197.84</v>
      </c>
      <c r="C63" s="107">
        <f>97.43*12</f>
        <v>1169.16</v>
      </c>
      <c r="D63" s="107">
        <f>62.79*12</f>
        <v>753.48</v>
      </c>
    </row>
    <row r="64">
      <c r="A64" s="14" t="s">
        <v>157</v>
      </c>
      <c r="B64" s="98">
        <v>0.558</v>
      </c>
      <c r="C64" s="98">
        <v>0.534</v>
      </c>
      <c r="D64" s="98">
        <v>0.53</v>
      </c>
    </row>
    <row r="65">
      <c r="A65" s="99" t="s">
        <v>158</v>
      </c>
      <c r="B65" s="121">
        <f t="shared" ref="B65:D65" si="24">B63*B64</f>
        <v>668.39472</v>
      </c>
      <c r="C65" s="121">
        <f t="shared" si="24"/>
        <v>624.33144</v>
      </c>
      <c r="D65" s="121">
        <f t="shared" si="24"/>
        <v>399.3444</v>
      </c>
    </row>
    <row r="66">
      <c r="A66" s="65" t="s">
        <v>130</v>
      </c>
      <c r="B66" s="108">
        <f t="shared" ref="B66:D66" si="25">ln(B65+B62)-LN(B65)</f>
        <v>0.006282487138</v>
      </c>
      <c r="C66" s="108">
        <f t="shared" si="25"/>
        <v>0.005108320028</v>
      </c>
      <c r="D66" s="108">
        <f t="shared" si="25"/>
        <v>0.01131463599</v>
      </c>
    </row>
    <row r="67">
      <c r="A67" s="83" t="s">
        <v>131</v>
      </c>
      <c r="B67" s="95">
        <v>1.0</v>
      </c>
      <c r="C67" s="95">
        <v>1.0</v>
      </c>
      <c r="D67" s="95">
        <v>1.0</v>
      </c>
    </row>
    <row r="68">
      <c r="A68" s="65" t="s">
        <v>132</v>
      </c>
      <c r="B68" s="109">
        <f t="shared" ref="B68:D68" si="26">B67/ln(2)</f>
        <v>1.442695041</v>
      </c>
      <c r="C68" s="109">
        <f t="shared" si="26"/>
        <v>1.442695041</v>
      </c>
      <c r="D68" s="109">
        <f t="shared" si="26"/>
        <v>1.442695041</v>
      </c>
    </row>
    <row r="69">
      <c r="A69" s="65" t="s">
        <v>133</v>
      </c>
      <c r="B69" s="110">
        <f t="shared" ref="B69:D69" si="27">B66*B68</f>
        <v>0.009063713038</v>
      </c>
      <c r="C69" s="110">
        <f t="shared" si="27"/>
        <v>0.007369747971</v>
      </c>
      <c r="D69" s="110">
        <f t="shared" si="27"/>
        <v>0.01632356923</v>
      </c>
    </row>
    <row r="70">
      <c r="A70" s="65" t="s">
        <v>100</v>
      </c>
      <c r="B70" s="80">
        <f t="shared" ref="B70:D70" si="28">B69*100000</f>
        <v>906.3713038</v>
      </c>
      <c r="C70" s="80">
        <f t="shared" si="28"/>
        <v>736.9747971</v>
      </c>
      <c r="D70" s="80">
        <f t="shared" si="28"/>
        <v>1632.356923</v>
      </c>
    </row>
    <row r="71">
      <c r="A71" s="2"/>
      <c r="B71" s="78"/>
      <c r="C71" s="51"/>
      <c r="D71" s="51"/>
    </row>
    <row r="72">
      <c r="A72" s="57" t="s">
        <v>134</v>
      </c>
      <c r="B72" s="111"/>
      <c r="C72" s="111"/>
      <c r="D72" s="111"/>
    </row>
    <row r="73">
      <c r="A73" s="54"/>
      <c r="B73" s="122"/>
      <c r="C73" s="112"/>
      <c r="D73" s="112"/>
    </row>
    <row r="74">
      <c r="A74" s="65" t="s">
        <v>135</v>
      </c>
      <c r="B74" s="123">
        <f>IFERROR(__xludf.DUMMYFUNCTION("IMPORTRANGE(""https://docs.google.com/spreadsheets/d/1cCwtsgnz-Va6YXiq3YfCBS0tXhPCGwXft9-I3VIi2_I/edit#gid=1489192849"",""Costs!d61"")"),1.6760327345434698)</f>
        <v>1.676032735</v>
      </c>
      <c r="C74" s="113">
        <f>IFERROR(__xludf.DUMMYFUNCTION("IMPORTRANGE(""https://docs.google.com/spreadsheets/d/1cCwtsgnz-Va6YXiq3YfCBS0tXhPCGwXft9-I3VIi2_I/edit#gid=1489192849"",""Costs!c61"")"),1.2160493032038628)</f>
        <v>1.216049303</v>
      </c>
      <c r="D74" s="113">
        <f>IFERROR(__xludf.DUMMYFUNCTION("IMPORTRANGE(""https://docs.google.com/spreadsheets/d/1cCwtsgnz-Va6YXiq3YfCBS0tXhPCGwXft9-I3VIi2_I/edit#gid=1489192849"",""Costs!b61"")"),1.857356006279095)</f>
        <v>1.857356006</v>
      </c>
    </row>
    <row r="75">
      <c r="A75" s="2"/>
      <c r="B75" s="78"/>
      <c r="C75" s="78"/>
    </row>
    <row r="76">
      <c r="A76" s="57" t="s">
        <v>136</v>
      </c>
      <c r="B76" s="58"/>
      <c r="C76" s="58"/>
      <c r="D76" s="58"/>
    </row>
    <row r="77">
      <c r="A77" s="65" t="s">
        <v>137</v>
      </c>
      <c r="B77" s="79">
        <f t="shared" ref="B77:D77" si="29">((B13+B26+B36+B49+B70)/100000)/B74</f>
        <v>0.01651807691</v>
      </c>
      <c r="C77" s="79">
        <f t="shared" si="29"/>
        <v>0.02719264773</v>
      </c>
      <c r="D77" s="79">
        <f t="shared" si="29"/>
        <v>0.03418568462</v>
      </c>
    </row>
    <row r="78">
      <c r="A78" s="65" t="s">
        <v>138</v>
      </c>
      <c r="B78" s="80">
        <f t="shared" ref="B78:D78" si="30">B77*10000</f>
        <v>165.1807691</v>
      </c>
      <c r="C78" s="80">
        <f t="shared" si="30"/>
        <v>271.9264773</v>
      </c>
      <c r="D78" s="80">
        <f t="shared" si="30"/>
        <v>341.8568462</v>
      </c>
    </row>
    <row r="79">
      <c r="A79" s="65" t="s">
        <v>139</v>
      </c>
      <c r="B79" s="105">
        <v>33.5</v>
      </c>
      <c r="C79" s="105">
        <v>33.5</v>
      </c>
      <c r="D79" s="105">
        <v>33.5</v>
      </c>
    </row>
    <row r="80">
      <c r="A80" s="124" t="s">
        <v>160</v>
      </c>
      <c r="B80" s="125">
        <f t="shared" ref="B80:D80" si="31">B78/B79</f>
        <v>4.930769226</v>
      </c>
      <c r="C80" s="125">
        <f t="shared" si="31"/>
        <v>8.117208278</v>
      </c>
      <c r="D80" s="125">
        <f t="shared" si="31"/>
        <v>10.20468198</v>
      </c>
    </row>
    <row r="81">
      <c r="A81" s="126"/>
      <c r="B81" s="127"/>
      <c r="C81" s="127"/>
      <c r="D81" s="127"/>
    </row>
    <row r="82">
      <c r="A82" s="128" t="s">
        <v>161</v>
      </c>
      <c r="B82" s="129"/>
      <c r="C82" s="129"/>
      <c r="D82" s="129"/>
    </row>
    <row r="83">
      <c r="A83" s="130"/>
      <c r="B83" s="131"/>
      <c r="C83" s="131"/>
      <c r="D83" s="131"/>
    </row>
    <row r="84">
      <c r="A84" s="132" t="s">
        <v>162</v>
      </c>
      <c r="B84" s="133"/>
      <c r="C84" s="133"/>
      <c r="D84" s="133"/>
    </row>
    <row r="85">
      <c r="A85" s="134" t="s">
        <v>163</v>
      </c>
      <c r="B85" s="135">
        <v>0.0</v>
      </c>
      <c r="C85" s="135">
        <v>0.0</v>
      </c>
      <c r="D85" s="135">
        <v>0.0</v>
      </c>
    </row>
    <row r="86">
      <c r="A86" s="134" t="s">
        <v>164</v>
      </c>
      <c r="B86" s="136">
        <v>0.0</v>
      </c>
      <c r="C86" s="136">
        <v>0.0</v>
      </c>
      <c r="D86" s="136">
        <v>0.0</v>
      </c>
    </row>
    <row r="87">
      <c r="A87" s="134" t="s">
        <v>165</v>
      </c>
      <c r="B87" s="135">
        <v>0.0</v>
      </c>
      <c r="C87" s="135">
        <v>0.0</v>
      </c>
      <c r="D87" s="135">
        <v>0.0</v>
      </c>
    </row>
    <row r="88">
      <c r="A88" s="137" t="s">
        <v>166</v>
      </c>
      <c r="B88" s="135">
        <f t="shared" ref="B88:D88" si="32">sum(B85:B87)</f>
        <v>0</v>
      </c>
      <c r="C88" s="135">
        <f t="shared" si="32"/>
        <v>0</v>
      </c>
      <c r="D88" s="135">
        <f t="shared" si="32"/>
        <v>0</v>
      </c>
    </row>
    <row r="89">
      <c r="A89" s="134"/>
      <c r="B89" s="138"/>
      <c r="C89" s="138"/>
      <c r="D89" s="138"/>
    </row>
    <row r="90">
      <c r="A90" s="139" t="s">
        <v>167</v>
      </c>
      <c r="B90" s="138"/>
      <c r="C90" s="138"/>
      <c r="D90" s="138"/>
    </row>
    <row r="91">
      <c r="A91" s="134" t="s">
        <v>168</v>
      </c>
      <c r="B91" s="136">
        <v>0.1</v>
      </c>
      <c r="C91" s="136">
        <v>0.1</v>
      </c>
      <c r="D91" s="136">
        <v>0.1</v>
      </c>
    </row>
    <row r="92">
      <c r="A92" s="137" t="s">
        <v>169</v>
      </c>
      <c r="B92" s="135">
        <v>0.0</v>
      </c>
      <c r="C92" s="135">
        <v>0.0</v>
      </c>
      <c r="D92" s="135">
        <v>0.0</v>
      </c>
    </row>
    <row r="93">
      <c r="A93" s="137" t="s">
        <v>170</v>
      </c>
      <c r="B93" s="135">
        <f t="shared" ref="B93:D93" si="33">sum(B91:B92)</f>
        <v>0.1</v>
      </c>
      <c r="C93" s="135">
        <f t="shared" si="33"/>
        <v>0.1</v>
      </c>
      <c r="D93" s="135">
        <f t="shared" si="33"/>
        <v>0.1</v>
      </c>
    </row>
    <row r="94">
      <c r="A94" s="137"/>
      <c r="B94" s="138"/>
      <c r="C94" s="138"/>
      <c r="D94" s="138"/>
    </row>
    <row r="95">
      <c r="A95" s="139" t="s">
        <v>171</v>
      </c>
      <c r="B95" s="138"/>
      <c r="C95" s="138"/>
      <c r="D95" s="138"/>
    </row>
    <row r="96">
      <c r="A96" s="137" t="s">
        <v>172</v>
      </c>
      <c r="B96" s="135">
        <v>0.0</v>
      </c>
      <c r="C96" s="135">
        <v>0.0</v>
      </c>
      <c r="D96" s="135">
        <v>0.0</v>
      </c>
    </row>
    <row r="97">
      <c r="A97" s="137" t="s">
        <v>173</v>
      </c>
      <c r="B97" s="135">
        <v>0.0</v>
      </c>
      <c r="C97" s="135">
        <v>0.0</v>
      </c>
      <c r="D97" s="135">
        <v>0.0</v>
      </c>
    </row>
    <row r="98">
      <c r="A98" s="137" t="s">
        <v>174</v>
      </c>
      <c r="B98" s="136">
        <v>0.0</v>
      </c>
      <c r="C98" s="136">
        <v>0.0</v>
      </c>
      <c r="D98" s="136">
        <v>0.0</v>
      </c>
    </row>
    <row r="99">
      <c r="A99" s="137" t="s">
        <v>175</v>
      </c>
      <c r="B99" s="135">
        <f t="shared" ref="B99:D99" si="34">sum(B96:B98)</f>
        <v>0</v>
      </c>
      <c r="C99" s="135">
        <f t="shared" si="34"/>
        <v>0</v>
      </c>
      <c r="D99" s="135">
        <f t="shared" si="34"/>
        <v>0</v>
      </c>
    </row>
    <row r="100">
      <c r="A100" s="137"/>
      <c r="B100" s="138"/>
      <c r="C100" s="138"/>
      <c r="D100" s="138"/>
    </row>
    <row r="101">
      <c r="A101" s="139" t="s">
        <v>176</v>
      </c>
      <c r="B101" s="135">
        <f t="shared" ref="B101:D101" si="35">1-sum(B88,B93,B99)</f>
        <v>0.9</v>
      </c>
      <c r="C101" s="135">
        <f t="shared" si="35"/>
        <v>0.9</v>
      </c>
      <c r="D101" s="135">
        <f t="shared" si="35"/>
        <v>0.9</v>
      </c>
    </row>
    <row r="102">
      <c r="A102" s="137"/>
      <c r="B102" s="138"/>
      <c r="C102" s="138"/>
      <c r="D102" s="138"/>
    </row>
    <row r="103">
      <c r="A103" s="140" t="s">
        <v>177</v>
      </c>
      <c r="B103" s="129"/>
      <c r="C103" s="129"/>
      <c r="D103" s="129"/>
    </row>
    <row r="104">
      <c r="A104" s="141" t="s">
        <v>178</v>
      </c>
      <c r="B104" s="131"/>
      <c r="C104" s="131"/>
      <c r="D104" s="131"/>
    </row>
    <row r="105">
      <c r="A105" s="142" t="s">
        <v>179</v>
      </c>
      <c r="B105" s="143">
        <v>0.0</v>
      </c>
      <c r="C105" s="143">
        <v>0.0</v>
      </c>
      <c r="D105" s="143">
        <v>0.0</v>
      </c>
    </row>
    <row r="106">
      <c r="A106" s="142" t="s">
        <v>180</v>
      </c>
      <c r="B106" s="143">
        <v>0.05</v>
      </c>
      <c r="C106" s="143">
        <v>0.05</v>
      </c>
      <c r="D106" s="143">
        <v>0.05</v>
      </c>
    </row>
    <row r="107">
      <c r="A107" s="144"/>
      <c r="B107" s="138"/>
      <c r="C107" s="138"/>
      <c r="D107" s="138"/>
    </row>
    <row r="108">
      <c r="A108" s="137" t="s">
        <v>181</v>
      </c>
      <c r="B108" s="135">
        <f t="shared" ref="B108:D108" si="36">sum(1,B105:B106)</f>
        <v>1.05</v>
      </c>
      <c r="C108" s="135">
        <f t="shared" si="36"/>
        <v>1.05</v>
      </c>
      <c r="D108" s="135">
        <f t="shared" si="36"/>
        <v>1.05</v>
      </c>
    </row>
    <row r="109">
      <c r="A109" s="142" t="s">
        <v>182</v>
      </c>
      <c r="B109" s="145">
        <f t="shared" ref="B109:D109" si="37">B78*B101*B108</f>
        <v>156.0958268</v>
      </c>
      <c r="C109" s="145">
        <f t="shared" si="37"/>
        <v>256.970521</v>
      </c>
      <c r="D109" s="145">
        <f t="shared" si="37"/>
        <v>323.0547196</v>
      </c>
    </row>
    <row r="110">
      <c r="A110" s="142"/>
      <c r="B110" s="146"/>
      <c r="C110" s="146"/>
      <c r="D110" s="146"/>
    </row>
    <row r="111">
      <c r="A111" s="140" t="s">
        <v>183</v>
      </c>
      <c r="B111" s="129"/>
      <c r="C111" s="129"/>
      <c r="D111" s="129"/>
    </row>
    <row r="112">
      <c r="A112" s="142" t="s">
        <v>184</v>
      </c>
      <c r="B112" s="147">
        <f>IFERROR(__xludf.DUMMYFUNCTION("IMPORTRANGE(""https://docs.google.com/spreadsheets/d/1cCwtsgnz-Va6YXiq3YfCBS0tXhPCGwXft9-I3VIi2_I/edit#gid=1489192849"",""Costs!d65"")"),0.0)</f>
        <v>0</v>
      </c>
      <c r="C112" s="148">
        <f>IFERROR(__xludf.DUMMYFUNCTION("IMPORTRANGE(""https://docs.google.com/spreadsheets/d/1cCwtsgnz-Va6YXiq3YfCBS0tXhPCGwXft9-I3VIi2_I/edit#gid=1489192849"",""Costs!C65"")"),0.03289856102039222)</f>
        <v>0.03289856102</v>
      </c>
      <c r="D112" s="148">
        <f>IFERROR(__xludf.DUMMYFUNCTION("IMPORTRANGE(""https://docs.google.com/spreadsheets/d/1cCwtsgnz-Va6YXiq3YfCBS0tXhPCGwXft9-I3VIi2_I/edit#gid=1489192849"",""Costs!B65"")"),0.22188710821689012)</f>
        <v>0.2218871082</v>
      </c>
    </row>
    <row r="113">
      <c r="A113" s="149"/>
      <c r="B113" s="131"/>
      <c r="C113" s="131"/>
      <c r="D113" s="131"/>
    </row>
    <row r="114">
      <c r="A114" s="149" t="s">
        <v>185</v>
      </c>
      <c r="B114" s="131"/>
      <c r="C114" s="131"/>
      <c r="D114" s="131"/>
    </row>
    <row r="115">
      <c r="A115" s="150" t="s">
        <v>203</v>
      </c>
      <c r="B115" s="148">
        <v>0.0</v>
      </c>
      <c r="C115" s="148">
        <v>0.0</v>
      </c>
      <c r="D115" s="148">
        <v>0.0</v>
      </c>
    </row>
    <row r="116">
      <c r="A116" s="151" t="s">
        <v>187</v>
      </c>
      <c r="B116" s="148">
        <f t="shared" ref="B116:D116" si="38">B74</f>
        <v>1.676032735</v>
      </c>
      <c r="C116" s="148">
        <f t="shared" si="38"/>
        <v>1.216049303</v>
      </c>
      <c r="D116" s="148">
        <f t="shared" si="38"/>
        <v>1.857356006</v>
      </c>
    </row>
    <row r="117">
      <c r="A117" s="151" t="s">
        <v>188</v>
      </c>
      <c r="B117" s="148">
        <v>0.0</v>
      </c>
      <c r="C117" s="148">
        <v>0.0</v>
      </c>
      <c r="D117" s="148">
        <v>0.0</v>
      </c>
    </row>
    <row r="118">
      <c r="A118" s="151" t="s">
        <v>189</v>
      </c>
      <c r="B118" s="148">
        <f t="shared" ref="B118:D118" si="39">B112</f>
        <v>0</v>
      </c>
      <c r="C118" s="148">
        <f t="shared" si="39"/>
        <v>0.03289856102</v>
      </c>
      <c r="D118" s="148">
        <f t="shared" si="39"/>
        <v>0.2218871082</v>
      </c>
    </row>
    <row r="119">
      <c r="A119" s="152" t="s">
        <v>190</v>
      </c>
      <c r="B119" s="153"/>
      <c r="C119" s="153"/>
      <c r="D119" s="153"/>
    </row>
    <row r="120">
      <c r="A120" s="154" t="s">
        <v>191</v>
      </c>
      <c r="B120" s="155">
        <v>0.0</v>
      </c>
      <c r="C120" s="155">
        <v>0.0</v>
      </c>
      <c r="D120" s="155">
        <v>0.0</v>
      </c>
    </row>
    <row r="121">
      <c r="A121" s="154" t="s">
        <v>192</v>
      </c>
      <c r="B121" s="156">
        <f>IFERROR(__xludf.DUMMYFUNCTION("IMPORTRANGE(""https://docs.google.com/spreadsheets/d/1cCwtsgnz-Va6YXiq3YfCBS0tXhPCGwXft9-I3VIi2_I/edit#gid=1103475127"", ""Funging!B17"")"),0.20722834574289595)</f>
        <v>0.2072283457</v>
      </c>
      <c r="C121" s="156">
        <f>IFERROR(__xludf.DUMMYFUNCTION("IMPORTRANGE(""https://docs.google.com/spreadsheets/d/1cCwtsgnz-Va6YXiq3YfCBS0tXhPCGwXft9-I3VIi2_I/edit#gid=1103475127"", ""Funging!c17:c17"")"),0.1179736068395167)</f>
        <v>0.1179736068</v>
      </c>
      <c r="D121" s="156">
        <f>IFERROR(__xludf.DUMMYFUNCTION("IMPORTRANGE(""https://docs.google.com/spreadsheets/d/1cCwtsgnz-Va6YXiq3YfCBS0tXhPCGwXft9-I3VIi2_I/edit#gid=1103475127"", ""Funging!d17:d17"")"),0.11160523878411771)</f>
        <v>0.1116052388</v>
      </c>
    </row>
    <row r="122">
      <c r="A122" s="154" t="s">
        <v>193</v>
      </c>
      <c r="B122" s="155">
        <v>0.0</v>
      </c>
      <c r="C122" s="155">
        <v>0.0</v>
      </c>
      <c r="D122" s="155">
        <v>0.0</v>
      </c>
    </row>
    <row r="123">
      <c r="A123" s="154" t="s">
        <v>195</v>
      </c>
      <c r="B123" s="155">
        <f t="shared" ref="B123:D123" si="40">1-sum(B120:B122)</f>
        <v>0.7927716543</v>
      </c>
      <c r="C123" s="155">
        <f t="shared" si="40"/>
        <v>0.8820263932</v>
      </c>
      <c r="D123" s="155">
        <f t="shared" si="40"/>
        <v>0.8883947612</v>
      </c>
    </row>
    <row r="124">
      <c r="A124" s="144"/>
      <c r="B124" s="158"/>
      <c r="C124" s="158"/>
      <c r="D124" s="158"/>
    </row>
    <row r="125">
      <c r="A125" s="152" t="s">
        <v>196</v>
      </c>
      <c r="B125" s="153"/>
      <c r="C125" s="153"/>
      <c r="D125" s="153"/>
    </row>
    <row r="126">
      <c r="A126" s="142" t="s">
        <v>191</v>
      </c>
      <c r="B126" s="135">
        <v>1.0</v>
      </c>
      <c r="C126" s="135">
        <v>1.0</v>
      </c>
      <c r="D126" s="135">
        <v>1.0</v>
      </c>
    </row>
    <row r="127">
      <c r="A127" s="142" t="s">
        <v>192</v>
      </c>
      <c r="B127" s="135">
        <v>1.0</v>
      </c>
      <c r="C127" s="135">
        <v>1.0</v>
      </c>
      <c r="D127" s="135">
        <v>1.0</v>
      </c>
    </row>
    <row r="128">
      <c r="A128" s="154" t="s">
        <v>193</v>
      </c>
      <c r="B128" s="135">
        <f t="shared" ref="B128:D128" si="41">B117/(B116+B117)</f>
        <v>0</v>
      </c>
      <c r="C128" s="135">
        <f t="shared" si="41"/>
        <v>0</v>
      </c>
      <c r="D128" s="135">
        <f t="shared" si="41"/>
        <v>0</v>
      </c>
    </row>
    <row r="129">
      <c r="A129" s="144" t="s">
        <v>195</v>
      </c>
      <c r="B129" s="135">
        <v>0.0</v>
      </c>
      <c r="C129" s="135">
        <v>0.0</v>
      </c>
      <c r="D129" s="135">
        <v>0.0</v>
      </c>
    </row>
    <row r="130">
      <c r="A130" s="141" t="s">
        <v>197</v>
      </c>
      <c r="B130" s="159">
        <f t="shared" ref="B130:D130" si="42">sumproduct(B120:B123,B126:B129)</f>
        <v>0.2072283457</v>
      </c>
      <c r="C130" s="159">
        <f t="shared" si="42"/>
        <v>0.1179736068</v>
      </c>
      <c r="D130" s="159">
        <f t="shared" si="42"/>
        <v>0.1116052388</v>
      </c>
    </row>
    <row r="131">
      <c r="A131" s="131"/>
      <c r="B131" s="131"/>
      <c r="C131" s="131"/>
      <c r="D131" s="131"/>
    </row>
    <row r="132">
      <c r="A132" s="152" t="s">
        <v>198</v>
      </c>
      <c r="B132" s="138"/>
      <c r="C132" s="138"/>
      <c r="D132" s="138"/>
    </row>
    <row r="133">
      <c r="A133" s="144" t="s">
        <v>184</v>
      </c>
      <c r="B133" s="160">
        <f t="shared" ref="B133:D133" si="43">117/20005</f>
        <v>0.005848537866</v>
      </c>
      <c r="C133" s="160">
        <f t="shared" si="43"/>
        <v>0.005848537866</v>
      </c>
      <c r="D133" s="160">
        <f t="shared" si="43"/>
        <v>0.005848537866</v>
      </c>
    </row>
    <row r="134">
      <c r="A134" s="142" t="s">
        <v>199</v>
      </c>
      <c r="B134" s="160">
        <f t="shared" ref="B134:D134" si="44">B133*1.2</f>
        <v>0.007018245439</v>
      </c>
      <c r="C134" s="160">
        <f t="shared" si="44"/>
        <v>0.007018245439</v>
      </c>
      <c r="D134" s="160">
        <f t="shared" si="44"/>
        <v>0.007018245439</v>
      </c>
    </row>
    <row r="135">
      <c r="A135" s="152"/>
      <c r="B135" s="138"/>
      <c r="C135" s="138"/>
      <c r="D135" s="138"/>
    </row>
    <row r="136">
      <c r="A136" s="152" t="s">
        <v>200</v>
      </c>
      <c r="B136" s="129"/>
      <c r="C136" s="129"/>
      <c r="D136" s="129"/>
    </row>
    <row r="137">
      <c r="A137" s="142" t="s">
        <v>191</v>
      </c>
      <c r="B137" s="161">
        <f t="shared" ref="B137:D137" si="45">(B109*B126)-B133*B74*B126*10000</f>
        <v>58.07241765</v>
      </c>
      <c r="C137" s="161">
        <f t="shared" si="45"/>
        <v>185.8494171</v>
      </c>
      <c r="D137" s="161">
        <f t="shared" si="45"/>
        <v>214.4265503</v>
      </c>
    </row>
    <row r="138">
      <c r="A138" s="142" t="s">
        <v>192</v>
      </c>
      <c r="B138" s="161">
        <f t="shared" ref="B138:D138" si="46">(B109*B127)-B134*B74*B127*10000</f>
        <v>38.46773583</v>
      </c>
      <c r="C138" s="161">
        <f t="shared" si="46"/>
        <v>171.6251963</v>
      </c>
      <c r="D138" s="161">
        <f t="shared" si="46"/>
        <v>192.7009164</v>
      </c>
    </row>
    <row r="139">
      <c r="A139" s="154" t="s">
        <v>193</v>
      </c>
      <c r="B139" s="162">
        <f t="shared" ref="B139:D139" si="47">(B109*B128)+((B117*B133*10000)*(1-B128))</f>
        <v>0</v>
      </c>
      <c r="C139" s="162">
        <f t="shared" si="47"/>
        <v>0</v>
      </c>
      <c r="D139" s="162">
        <f t="shared" si="47"/>
        <v>0</v>
      </c>
    </row>
    <row r="140">
      <c r="A140" s="142" t="s">
        <v>195</v>
      </c>
      <c r="B140" s="162">
        <f t="shared" ref="B140:D140" si="48">(B109*B129)+B133*B112*10000</f>
        <v>0</v>
      </c>
      <c r="C140" s="162">
        <f t="shared" si="48"/>
        <v>1.924084798</v>
      </c>
      <c r="D140" s="162">
        <f t="shared" si="48"/>
        <v>12.97715154</v>
      </c>
    </row>
    <row r="141">
      <c r="A141" s="141" t="s">
        <v>197</v>
      </c>
      <c r="B141" s="163">
        <f t="shared" ref="B141:D141" si="49">SUMPRODUCT(B120:B123,B137:B140)</f>
        <v>7.97160526</v>
      </c>
      <c r="C141" s="163">
        <f t="shared" si="49"/>
        <v>21.94433701</v>
      </c>
      <c r="D141" s="163">
        <f t="shared" si="49"/>
        <v>33.03526524</v>
      </c>
    </row>
    <row r="142">
      <c r="A142" s="144"/>
      <c r="B142" s="144"/>
      <c r="C142" s="144"/>
      <c r="D142" s="144"/>
    </row>
    <row r="143">
      <c r="A143" s="142" t="s">
        <v>201</v>
      </c>
      <c r="B143" s="161">
        <f t="shared" ref="B143:D143" si="50">B109-B141</f>
        <v>148.1242215</v>
      </c>
      <c r="C143" s="161">
        <f t="shared" si="50"/>
        <v>235.026184</v>
      </c>
      <c r="D143" s="161">
        <f t="shared" si="50"/>
        <v>290.0194544</v>
      </c>
    </row>
    <row r="144">
      <c r="A144" s="137" t="s">
        <v>139</v>
      </c>
      <c r="B144" s="164">
        <v>33.5</v>
      </c>
      <c r="C144" s="164">
        <v>33.5</v>
      </c>
      <c r="D144" s="164">
        <v>33.5</v>
      </c>
    </row>
    <row r="145">
      <c r="A145" s="139" t="s">
        <v>202</v>
      </c>
      <c r="B145" s="165">
        <f t="shared" ref="B145:D145" si="51">B143/B144</f>
        <v>4.421618553</v>
      </c>
      <c r="C145" s="165">
        <f t="shared" si="51"/>
        <v>7.015706986</v>
      </c>
      <c r="D145" s="165">
        <f t="shared" si="51"/>
        <v>8.657297146</v>
      </c>
    </row>
    <row r="146">
      <c r="A146" s="144"/>
      <c r="B146" s="133"/>
      <c r="C146" s="133"/>
      <c r="D146" s="133"/>
    </row>
    <row r="147">
      <c r="A147" s="144" t="s">
        <v>141</v>
      </c>
      <c r="B147" s="131"/>
      <c r="C147" s="131"/>
      <c r="D147" s="131"/>
    </row>
    <row r="148">
      <c r="A148" s="137" t="s">
        <v>142</v>
      </c>
      <c r="B148" s="135">
        <f t="shared" ref="B148:D148" si="52">B13/(B$13+B$26+B$36+B$49+B$70)</f>
        <v>0.3257344929</v>
      </c>
      <c r="C148" s="135">
        <f t="shared" si="52"/>
        <v>0.307672684</v>
      </c>
      <c r="D148" s="135">
        <f t="shared" si="52"/>
        <v>0.3564086756</v>
      </c>
    </row>
    <row r="149">
      <c r="A149" s="137" t="s">
        <v>143</v>
      </c>
      <c r="B149" s="135">
        <f t="shared" ref="B149:D149" si="53">B26/(B$13+B$26+B$36+B$49+B$70)</f>
        <v>0.1335812532</v>
      </c>
      <c r="C149" s="135">
        <f t="shared" si="53"/>
        <v>0.2839126173</v>
      </c>
      <c r="D149" s="135">
        <f t="shared" si="53"/>
        <v>0.1995050382</v>
      </c>
    </row>
    <row r="150">
      <c r="A150" s="137" t="s">
        <v>144</v>
      </c>
      <c r="B150" s="135">
        <f t="shared" ref="B150:D150" si="54">B36/(B$13+B$26+B$36+B$49+B$70)</f>
        <v>0.01279315946</v>
      </c>
      <c r="C150" s="135">
        <f t="shared" si="54"/>
        <v>0.01823370287</v>
      </c>
      <c r="D150" s="135">
        <f t="shared" si="54"/>
        <v>0.01415829447</v>
      </c>
    </row>
    <row r="151">
      <c r="A151" s="137" t="s">
        <v>145</v>
      </c>
      <c r="B151" s="135">
        <f t="shared" ref="B151:D151" si="55">B$49/(B$13+B$26+B$36+B$49+B$70)</f>
        <v>0.2005020316</v>
      </c>
      <c r="C151" s="135">
        <f t="shared" si="55"/>
        <v>0.167311846</v>
      </c>
      <c r="D151" s="135">
        <f t="shared" si="55"/>
        <v>0.1728436124</v>
      </c>
    </row>
    <row r="152">
      <c r="A152" s="167" t="s">
        <v>146</v>
      </c>
      <c r="B152" s="135">
        <f t="shared" ref="B152:D152" si="56">B70/(B$13+B$26+B$36+B$49+B$70)</f>
        <v>0.3273890628</v>
      </c>
      <c r="C152" s="135">
        <f t="shared" si="56"/>
        <v>0.2228691498</v>
      </c>
      <c r="D152" s="135">
        <f t="shared" si="56"/>
        <v>0.2570843793</v>
      </c>
    </row>
    <row r="153">
      <c r="A153" s="5"/>
      <c r="B153" s="5"/>
      <c r="C153" s="5"/>
      <c r="D153" s="5"/>
    </row>
    <row r="154">
      <c r="A154" s="5"/>
      <c r="B154" s="5"/>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8.14"/>
    <col customWidth="1" min="2" max="4" width="20.86"/>
    <col customWidth="1" min="5" max="5" width="16.71"/>
    <col customWidth="1" min="6" max="6" width="27.43"/>
    <col customWidth="1" min="7" max="7" width="19.71"/>
    <col customWidth="1" min="9" max="9" width="20.14"/>
    <col customWidth="1" min="14" max="14" width="19.86"/>
  </cols>
  <sheetData>
    <row r="1">
      <c r="A1" s="168" t="s">
        <v>204</v>
      </c>
      <c r="B1" s="168"/>
      <c r="C1" s="168"/>
      <c r="D1" s="168"/>
    </row>
    <row r="2">
      <c r="A2" s="169"/>
      <c r="B2" s="169"/>
      <c r="C2" s="169"/>
      <c r="D2" s="169"/>
    </row>
    <row r="3">
      <c r="A3" s="170" t="s">
        <v>205</v>
      </c>
      <c r="B3" s="169"/>
      <c r="C3" s="169"/>
      <c r="D3" s="169"/>
    </row>
    <row r="6">
      <c r="A6" s="171" t="s">
        <v>206</v>
      </c>
      <c r="B6" s="13" t="s">
        <v>207</v>
      </c>
      <c r="C6" s="13" t="s">
        <v>208</v>
      </c>
      <c r="D6" s="13" t="s">
        <v>209</v>
      </c>
      <c r="E6" s="13" t="s">
        <v>210</v>
      </c>
      <c r="F6" s="13" t="s">
        <v>211</v>
      </c>
      <c r="G6" s="13"/>
      <c r="H6" s="172"/>
      <c r="I6" s="172"/>
      <c r="J6" s="172"/>
      <c r="K6" s="172"/>
      <c r="L6" s="172"/>
      <c r="M6" s="13"/>
      <c r="N6" s="172"/>
      <c r="O6" s="172"/>
      <c r="P6" s="172"/>
      <c r="Q6" s="172"/>
      <c r="R6" s="172"/>
      <c r="S6" s="172"/>
      <c r="T6" s="172"/>
      <c r="U6" s="172"/>
      <c r="V6" s="172"/>
      <c r="W6" s="172"/>
      <c r="X6" s="172"/>
      <c r="Y6" s="172"/>
      <c r="Z6" s="172"/>
      <c r="AA6" s="172"/>
      <c r="AB6" s="172"/>
      <c r="AC6" s="172"/>
      <c r="AD6" s="172"/>
      <c r="AE6" s="172"/>
      <c r="AF6" s="172"/>
      <c r="AG6" s="172"/>
      <c r="AH6" s="172"/>
      <c r="AI6" s="172"/>
    </row>
    <row r="7">
      <c r="A7" s="173" t="s">
        <v>212</v>
      </c>
      <c r="B7" s="174">
        <v>0.7</v>
      </c>
      <c r="C7" s="174">
        <v>29.09</v>
      </c>
      <c r="D7" s="175">
        <v>1351.0</v>
      </c>
      <c r="E7" s="51">
        <f t="shared" ref="E7:E15" si="1">B7*C7*D7</f>
        <v>27510.413</v>
      </c>
      <c r="F7" s="14">
        <v>1126.0</v>
      </c>
    </row>
    <row r="8">
      <c r="A8" s="173" t="s">
        <v>213</v>
      </c>
      <c r="B8" s="174">
        <v>0.73</v>
      </c>
      <c r="C8" s="174">
        <v>22.73</v>
      </c>
      <c r="D8" s="175">
        <v>3021.0</v>
      </c>
      <c r="E8" s="51">
        <f t="shared" si="1"/>
        <v>50127.1509</v>
      </c>
      <c r="F8" s="14">
        <v>1282.0</v>
      </c>
    </row>
    <row r="9">
      <c r="A9" s="14" t="s">
        <v>214</v>
      </c>
      <c r="B9" s="174">
        <v>0.58</v>
      </c>
      <c r="C9" s="174">
        <v>21.83</v>
      </c>
      <c r="D9" s="175">
        <v>1511.0</v>
      </c>
      <c r="E9" s="51">
        <f t="shared" si="1"/>
        <v>19131.3754</v>
      </c>
      <c r="F9" s="14">
        <v>1477.0</v>
      </c>
    </row>
    <row r="10">
      <c r="A10" s="173" t="s">
        <v>215</v>
      </c>
      <c r="B10" s="174">
        <v>0.6</v>
      </c>
      <c r="C10" s="174">
        <v>24.99</v>
      </c>
      <c r="D10" s="175">
        <v>4058.0</v>
      </c>
      <c r="E10" s="51">
        <f t="shared" si="1"/>
        <v>60845.652</v>
      </c>
      <c r="F10" s="14">
        <v>1593.0</v>
      </c>
    </row>
    <row r="11">
      <c r="A11" s="173" t="s">
        <v>216</v>
      </c>
      <c r="B11" s="174">
        <v>0.64</v>
      </c>
      <c r="C11" s="174">
        <v>21.74</v>
      </c>
      <c r="D11" s="175">
        <v>2359.0</v>
      </c>
      <c r="E11" s="51">
        <f t="shared" si="1"/>
        <v>32822.1824</v>
      </c>
      <c r="F11" s="14">
        <v>987.0</v>
      </c>
    </row>
    <row r="12">
      <c r="A12" s="173" t="s">
        <v>217</v>
      </c>
      <c r="B12" s="174">
        <v>0.61</v>
      </c>
      <c r="C12" s="174">
        <v>22.87</v>
      </c>
      <c r="D12" s="175">
        <v>2876.0</v>
      </c>
      <c r="E12" s="51">
        <f t="shared" si="1"/>
        <v>40122.2132</v>
      </c>
      <c r="F12" s="14">
        <v>1025.0</v>
      </c>
    </row>
    <row r="13">
      <c r="A13" s="173" t="s">
        <v>218</v>
      </c>
      <c r="B13" s="174">
        <v>0.79</v>
      </c>
      <c r="C13" s="174">
        <v>15.5</v>
      </c>
      <c r="D13" s="175">
        <v>1079.0</v>
      </c>
      <c r="E13" s="51">
        <f t="shared" si="1"/>
        <v>13212.355</v>
      </c>
      <c r="F13" s="14">
        <v>753.0</v>
      </c>
    </row>
    <row r="14">
      <c r="A14" s="173" t="s">
        <v>219</v>
      </c>
      <c r="B14" s="174">
        <v>0.81</v>
      </c>
      <c r="C14" s="174">
        <v>17.21</v>
      </c>
      <c r="D14" s="176">
        <v>374.0</v>
      </c>
      <c r="E14" s="51">
        <f t="shared" si="1"/>
        <v>5213.5974</v>
      </c>
      <c r="F14" s="14">
        <v>502.0</v>
      </c>
    </row>
    <row r="15">
      <c r="A15" s="173" t="s">
        <v>220</v>
      </c>
      <c r="B15" s="174">
        <v>0.56</v>
      </c>
      <c r="C15" s="174">
        <v>23.59</v>
      </c>
      <c r="D15" s="175">
        <v>1125.0</v>
      </c>
      <c r="E15" s="51">
        <f t="shared" si="1"/>
        <v>14861.7</v>
      </c>
      <c r="F15" s="14">
        <v>471.0</v>
      </c>
    </row>
    <row r="16">
      <c r="A16" s="14" t="s">
        <v>221</v>
      </c>
      <c r="B16" s="14"/>
      <c r="C16" s="14"/>
      <c r="D16" s="14"/>
      <c r="E16" s="106"/>
      <c r="F16" s="106">
        <f>IFERROR(__xludf.DUMMYFUNCTION("AVERAGE.WEIGHTED(F7:F15,E7:E15)"),1188.2305982519292)</f>
        <v>1188.230598</v>
      </c>
    </row>
    <row r="17">
      <c r="A17" s="13" t="s">
        <v>222</v>
      </c>
      <c r="B17" s="13"/>
      <c r="C17" s="13"/>
      <c r="D17" s="13"/>
      <c r="F17" s="177">
        <f>F16/100000</f>
        <v>0.01188230598</v>
      </c>
    </row>
    <row r="20">
      <c r="A20" s="171" t="s">
        <v>223</v>
      </c>
      <c r="B20" s="13" t="s">
        <v>207</v>
      </c>
      <c r="C20" s="13" t="s">
        <v>208</v>
      </c>
      <c r="D20" s="13" t="s">
        <v>209</v>
      </c>
      <c r="E20" s="13" t="s">
        <v>210</v>
      </c>
      <c r="F20" s="13" t="s">
        <v>211</v>
      </c>
      <c r="G20" s="13"/>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row>
    <row r="21">
      <c r="A21" s="173" t="s">
        <v>224</v>
      </c>
      <c r="B21" s="176">
        <v>0.95</v>
      </c>
      <c r="C21" s="176">
        <v>41.42</v>
      </c>
      <c r="D21" s="178">
        <v>414.0</v>
      </c>
      <c r="E21" s="51">
        <f t="shared" ref="E21:E31" si="2">B21*C21*D21</f>
        <v>16290.486</v>
      </c>
      <c r="F21" s="14">
        <v>51.8</v>
      </c>
    </row>
    <row r="22">
      <c r="A22" s="173" t="s">
        <v>225</v>
      </c>
      <c r="B22" s="176">
        <v>0.98</v>
      </c>
      <c r="C22" s="176">
        <v>58.84</v>
      </c>
      <c r="D22" s="178">
        <v>379.0</v>
      </c>
      <c r="E22" s="51">
        <f t="shared" si="2"/>
        <v>21854.3528</v>
      </c>
      <c r="F22" s="179">
        <v>55.0</v>
      </c>
    </row>
    <row r="23">
      <c r="A23" s="173" t="s">
        <v>226</v>
      </c>
      <c r="B23" s="176">
        <v>0.59</v>
      </c>
      <c r="C23" s="176">
        <v>56.06</v>
      </c>
      <c r="D23" s="178">
        <v>310.0</v>
      </c>
      <c r="E23" s="51">
        <f t="shared" si="2"/>
        <v>10253.374</v>
      </c>
      <c r="F23" s="179">
        <v>52.0</v>
      </c>
    </row>
    <row r="24">
      <c r="A24" s="173" t="s">
        <v>227</v>
      </c>
      <c r="B24" s="176">
        <v>1.03</v>
      </c>
      <c r="C24" s="176">
        <v>42.92</v>
      </c>
      <c r="D24" s="178">
        <v>357.0</v>
      </c>
      <c r="E24" s="51">
        <f t="shared" si="2"/>
        <v>15782.1132</v>
      </c>
      <c r="F24" s="14">
        <v>54.3</v>
      </c>
    </row>
    <row r="25">
      <c r="A25" s="173" t="s">
        <v>228</v>
      </c>
      <c r="B25" s="176">
        <v>0.69</v>
      </c>
      <c r="C25" s="174">
        <v>46.3</v>
      </c>
      <c r="D25" s="178">
        <v>384.0</v>
      </c>
      <c r="E25" s="51">
        <f t="shared" si="2"/>
        <v>12267.648</v>
      </c>
      <c r="F25" s="14">
        <v>47.9</v>
      </c>
    </row>
    <row r="26">
      <c r="A26" s="173" t="s">
        <v>229</v>
      </c>
      <c r="B26" s="176">
        <v>0.75</v>
      </c>
      <c r="C26" s="176">
        <v>35.92</v>
      </c>
      <c r="D26" s="178">
        <v>862.0</v>
      </c>
      <c r="E26" s="51">
        <f t="shared" si="2"/>
        <v>23222.28</v>
      </c>
      <c r="F26" s="14">
        <v>55.3</v>
      </c>
    </row>
    <row r="27">
      <c r="A27" s="173" t="s">
        <v>230</v>
      </c>
      <c r="B27" s="176">
        <v>0.65</v>
      </c>
      <c r="C27" s="176">
        <v>47.84</v>
      </c>
      <c r="D27" s="178">
        <v>555.0</v>
      </c>
      <c r="E27" s="51">
        <f t="shared" si="2"/>
        <v>17258.28</v>
      </c>
      <c r="F27" s="14">
        <v>55.3</v>
      </c>
    </row>
    <row r="28">
      <c r="A28" s="173" t="s">
        <v>231</v>
      </c>
      <c r="B28" s="176">
        <v>0.93</v>
      </c>
      <c r="C28" s="176">
        <v>54.57</v>
      </c>
      <c r="D28" s="178">
        <v>407.0</v>
      </c>
      <c r="E28" s="51">
        <f t="shared" si="2"/>
        <v>20655.2907</v>
      </c>
      <c r="F28" s="14">
        <v>59.2</v>
      </c>
    </row>
    <row r="29">
      <c r="A29" s="14" t="s">
        <v>232</v>
      </c>
      <c r="B29" s="176">
        <v>0.58</v>
      </c>
      <c r="C29" s="176">
        <v>61.69</v>
      </c>
      <c r="D29" s="178">
        <v>422.0</v>
      </c>
      <c r="E29" s="51">
        <f t="shared" si="2"/>
        <v>15099.2444</v>
      </c>
      <c r="F29" s="179">
        <v>54.0</v>
      </c>
    </row>
    <row r="30">
      <c r="A30" s="173" t="s">
        <v>233</v>
      </c>
      <c r="B30" s="176">
        <v>0.82</v>
      </c>
      <c r="C30" s="176">
        <v>24.16</v>
      </c>
      <c r="D30" s="178">
        <v>734.0</v>
      </c>
      <c r="E30" s="51">
        <f t="shared" si="2"/>
        <v>14541.4208</v>
      </c>
      <c r="F30" s="14">
        <v>47.9</v>
      </c>
    </row>
    <row r="31">
      <c r="A31" s="173" t="s">
        <v>234</v>
      </c>
      <c r="B31" s="176">
        <v>0.82</v>
      </c>
      <c r="C31" s="176">
        <v>46.55</v>
      </c>
      <c r="D31" s="178">
        <v>565.0</v>
      </c>
      <c r="E31" s="51">
        <f t="shared" si="2"/>
        <v>21566.615</v>
      </c>
      <c r="F31" s="14">
        <v>61.5</v>
      </c>
    </row>
    <row r="32">
      <c r="A32" s="14" t="s">
        <v>221</v>
      </c>
      <c r="B32" s="14"/>
      <c r="C32" s="14"/>
      <c r="D32" s="14"/>
      <c r="E32" s="106"/>
      <c r="F32" s="106">
        <f>IFERROR(__xludf.DUMMYFUNCTION("AVERAGE.WEIGHTED(F21:F31,E21:E31)"),54.68059192771852)</f>
        <v>54.68059193</v>
      </c>
    </row>
    <row r="33">
      <c r="A33" s="13" t="s">
        <v>222</v>
      </c>
      <c r="B33" s="13"/>
      <c r="C33" s="13"/>
      <c r="D33" s="13"/>
      <c r="F33" s="177">
        <f>(F32/1000)/5</f>
        <v>0.01093611839</v>
      </c>
    </row>
    <row r="36">
      <c r="A36" s="171" t="s">
        <v>235</v>
      </c>
      <c r="B36" s="171"/>
      <c r="C36" s="171"/>
      <c r="D36" s="171"/>
      <c r="E36" s="13"/>
      <c r="F36" s="13" t="s">
        <v>236</v>
      </c>
      <c r="G36" s="13"/>
      <c r="H36" s="172"/>
      <c r="I36" s="172"/>
      <c r="J36" s="172"/>
      <c r="K36" s="172"/>
      <c r="L36" s="172"/>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row>
    <row r="37">
      <c r="A37" s="173" t="s">
        <v>237</v>
      </c>
      <c r="B37" s="173"/>
      <c r="C37" s="173"/>
      <c r="D37" s="173"/>
      <c r="E37" s="180"/>
      <c r="F37" s="14">
        <v>67.1</v>
      </c>
    </row>
    <row r="38">
      <c r="A38" s="13" t="s">
        <v>222</v>
      </c>
      <c r="B38" s="13"/>
      <c r="C38" s="13"/>
      <c r="D38" s="13"/>
      <c r="F38" s="177">
        <f>(F37/1000)/5</f>
        <v>0.01342</v>
      </c>
    </row>
    <row r="41">
      <c r="A41" s="13" t="s">
        <v>238</v>
      </c>
      <c r="B41" s="13"/>
      <c r="C41" s="13"/>
      <c r="D41" s="13"/>
    </row>
    <row r="43">
      <c r="E43" s="181" t="s">
        <v>11</v>
      </c>
      <c r="F43" s="181" t="s">
        <v>14</v>
      </c>
      <c r="G43" s="181" t="s">
        <v>15</v>
      </c>
    </row>
    <row r="44">
      <c r="A44" s="14"/>
      <c r="B44" s="14"/>
      <c r="C44" s="14"/>
      <c r="D44" s="14"/>
      <c r="E44" s="14"/>
      <c r="F44" s="14"/>
      <c r="G44" s="14"/>
    </row>
    <row r="45">
      <c r="A45" s="14" t="s">
        <v>239</v>
      </c>
      <c r="B45" s="14"/>
      <c r="C45" s="14"/>
      <c r="D45" s="14"/>
      <c r="E45" s="14">
        <v>63.09</v>
      </c>
      <c r="F45" s="14">
        <v>77.49</v>
      </c>
      <c r="G45" s="14">
        <v>92.23</v>
      </c>
    </row>
    <row r="46">
      <c r="A46" s="14" t="s">
        <v>240</v>
      </c>
      <c r="B46" s="14"/>
      <c r="C46" s="14"/>
      <c r="D46" s="14"/>
      <c r="E46" s="14">
        <v>336.64</v>
      </c>
      <c r="F46" s="14">
        <v>271.83</v>
      </c>
      <c r="G46" s="14">
        <v>324.93</v>
      </c>
    </row>
    <row r="47">
      <c r="A47" s="14" t="s">
        <v>241</v>
      </c>
      <c r="B47" s="14"/>
      <c r="C47" s="14"/>
      <c r="D47" s="14"/>
      <c r="E47" s="182">
        <v>1844.62</v>
      </c>
      <c r="F47" s="14">
        <v>1706.55</v>
      </c>
      <c r="G47" s="14">
        <v>2017.29</v>
      </c>
    </row>
    <row r="48">
      <c r="A48" s="14" t="s">
        <v>242</v>
      </c>
      <c r="B48" s="14"/>
      <c r="C48" s="14"/>
      <c r="D48" s="14"/>
      <c r="E48" s="182">
        <v>7744.32</v>
      </c>
      <c r="F48" s="14">
        <v>7839.23</v>
      </c>
      <c r="G48" s="14">
        <v>7988.33</v>
      </c>
    </row>
    <row r="49">
      <c r="A49" s="14"/>
      <c r="B49" s="14"/>
      <c r="C49" s="14"/>
      <c r="D49" s="14"/>
      <c r="E49" s="182"/>
    </row>
    <row r="50">
      <c r="A50" s="14" t="s">
        <v>243</v>
      </c>
      <c r="B50" s="14"/>
      <c r="C50" s="14"/>
      <c r="D50" s="14"/>
      <c r="E50" s="14">
        <v>1.27440431E7</v>
      </c>
      <c r="F50" s="14">
        <v>1.19877221E7</v>
      </c>
      <c r="G50" s="14">
        <v>5291885.59</v>
      </c>
    </row>
    <row r="51">
      <c r="A51" s="14" t="s">
        <v>244</v>
      </c>
      <c r="B51" s="14"/>
      <c r="C51" s="14"/>
      <c r="D51" s="14"/>
      <c r="E51" s="14">
        <v>2.60477685E7</v>
      </c>
      <c r="F51" s="14">
        <v>1.88807584E7</v>
      </c>
      <c r="G51" s="14">
        <v>8999476.38</v>
      </c>
    </row>
    <row r="52">
      <c r="A52" s="14" t="s">
        <v>245</v>
      </c>
      <c r="B52" s="14"/>
      <c r="C52" s="14"/>
      <c r="D52" s="14"/>
      <c r="E52" s="14">
        <v>4134770.05</v>
      </c>
      <c r="F52" s="14">
        <v>2563429.11</v>
      </c>
      <c r="G52" s="14">
        <v>1243971.29</v>
      </c>
    </row>
    <row r="53">
      <c r="A53" s="14" t="s">
        <v>246</v>
      </c>
      <c r="B53" s="14"/>
      <c r="C53" s="14"/>
      <c r="D53" s="14"/>
      <c r="E53" s="14">
        <v>885085.038</v>
      </c>
      <c r="F53" s="14">
        <v>596196.792</v>
      </c>
      <c r="G53" s="14">
        <v>320894.418</v>
      </c>
    </row>
    <row r="54">
      <c r="A54" s="14" t="s">
        <v>247</v>
      </c>
      <c r="B54" s="14"/>
      <c r="C54" s="14"/>
      <c r="D54" s="14"/>
      <c r="E54">
        <f t="shared" ref="E54:G54" si="3">sum(E50:E53)</f>
        <v>43811666.69</v>
      </c>
      <c r="F54">
        <f t="shared" si="3"/>
        <v>34028106.4</v>
      </c>
      <c r="G54">
        <f t="shared" si="3"/>
        <v>15856227.68</v>
      </c>
    </row>
    <row r="56">
      <c r="A56" s="14" t="s">
        <v>248</v>
      </c>
      <c r="B56" s="14"/>
      <c r="C56" s="14"/>
      <c r="D56" s="14"/>
      <c r="E56" s="90">
        <f>IFERROR(__xludf.DUMMYFUNCTION("average.weighted(E45:E48,E50:E53)"),549.0364913399334)</f>
        <v>549.0364913</v>
      </c>
      <c r="F56" s="90">
        <f>IFERROR(__xludf.DUMMYFUNCTION("average.weighted(F45:F48,F50:F53)"),444.0337845521016)</f>
        <v>444.0337846</v>
      </c>
      <c r="G56" s="90">
        <f>IFERROR(__xludf.DUMMYFUNCTION("average.weighted(G45:G48,G50:G53)"),535.1292873801242)</f>
        <v>535.1292874</v>
      </c>
    </row>
    <row r="57">
      <c r="A57" s="14" t="s">
        <v>249</v>
      </c>
      <c r="B57" s="14"/>
      <c r="C57" s="14"/>
      <c r="D57" s="14"/>
      <c r="E57" s="50">
        <f t="shared" ref="E57:G57" si="4">E56/100000</f>
        <v>0.005490364913</v>
      </c>
      <c r="F57" s="50">
        <f t="shared" si="4"/>
        <v>0.004440337846</v>
      </c>
      <c r="G57" s="50">
        <f t="shared" si="4"/>
        <v>0.005351292874</v>
      </c>
    </row>
    <row r="58">
      <c r="E58" s="90"/>
      <c r="F58" s="90"/>
      <c r="G58" s="90"/>
    </row>
    <row r="60">
      <c r="A60" s="14" t="s">
        <v>250</v>
      </c>
      <c r="B60" s="14"/>
      <c r="C60" s="14"/>
      <c r="D60" s="14"/>
      <c r="E60" s="183" t="s">
        <v>251</v>
      </c>
    </row>
    <row r="61">
      <c r="A61" s="14" t="s">
        <v>252</v>
      </c>
      <c r="B61" s="14"/>
      <c r="C61" s="14"/>
      <c r="D61" s="14"/>
      <c r="E61" s="184" t="s">
        <v>253</v>
      </c>
    </row>
  </sheetData>
  <hyperlinks>
    <hyperlink r:id="rId2" ref="A3"/>
    <hyperlink r:id="rId3" ref="E60"/>
    <hyperlink r:id="rId4" location="gid=0" ref="E61"/>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0.86"/>
    <col customWidth="1" min="2" max="2" width="23.43"/>
    <col customWidth="1" min="3" max="3" width="18.86"/>
    <col customWidth="1" min="5" max="5" width="10.43"/>
    <col customWidth="1" min="6" max="6" width="15.29"/>
    <col customWidth="1" min="8" max="8" width="13.0"/>
    <col customWidth="1" min="10" max="10" width="20.71"/>
    <col customWidth="1" min="11" max="11" width="13.14"/>
    <col customWidth="1" min="12" max="12" width="15.86"/>
    <col customWidth="1" min="13" max="13" width="13.14"/>
    <col customWidth="1" min="16" max="16" width="14.43"/>
    <col customWidth="1" min="17" max="17" width="11.29"/>
  </cols>
  <sheetData>
    <row r="1" ht="97.5" customHeight="1">
      <c r="A1" s="185" t="s">
        <v>254</v>
      </c>
    </row>
    <row r="3">
      <c r="A3" s="172" t="s">
        <v>255</v>
      </c>
      <c r="B3" s="172" t="s">
        <v>256</v>
      </c>
      <c r="C3" s="172" t="s">
        <v>257</v>
      </c>
      <c r="D3" s="172" t="s">
        <v>258</v>
      </c>
      <c r="E3" s="172" t="s">
        <v>259</v>
      </c>
      <c r="F3" s="172" t="s">
        <v>260</v>
      </c>
      <c r="G3" s="172" t="s">
        <v>261</v>
      </c>
      <c r="H3" s="172" t="s">
        <v>262</v>
      </c>
      <c r="I3" s="172" t="s">
        <v>263</v>
      </c>
      <c r="J3" s="172" t="s">
        <v>264</v>
      </c>
      <c r="K3" s="172" t="s">
        <v>265</v>
      </c>
      <c r="L3" s="13" t="s">
        <v>266</v>
      </c>
      <c r="M3" s="13" t="s">
        <v>267</v>
      </c>
      <c r="N3" s="172" t="s">
        <v>268</v>
      </c>
      <c r="O3" s="172" t="s">
        <v>269</v>
      </c>
      <c r="P3" s="172" t="s">
        <v>270</v>
      </c>
      <c r="Q3" s="172" t="s">
        <v>271</v>
      </c>
      <c r="R3" s="172"/>
      <c r="S3" s="172"/>
      <c r="T3" s="172"/>
      <c r="U3" s="172"/>
      <c r="V3" s="172"/>
      <c r="W3" s="172"/>
      <c r="X3" s="172"/>
      <c r="Y3" s="172"/>
      <c r="Z3" s="172"/>
      <c r="AA3" s="172"/>
    </row>
    <row r="4">
      <c r="A4" s="186" t="s">
        <v>272</v>
      </c>
      <c r="B4" s="14" t="s">
        <v>273</v>
      </c>
      <c r="C4" t="s">
        <v>274</v>
      </c>
      <c r="D4" t="s">
        <v>275</v>
      </c>
      <c r="E4">
        <v>187.0</v>
      </c>
      <c r="F4" s="14">
        <v>2.0</v>
      </c>
      <c r="G4">
        <f t="shared" ref="G4:G8" si="1">E4-F4</f>
        <v>185</v>
      </c>
      <c r="H4">
        <v>739.0</v>
      </c>
      <c r="I4" s="14">
        <v>3.0</v>
      </c>
      <c r="J4">
        <f t="shared" ref="J4:J8" si="2">H4-I4</f>
        <v>736</v>
      </c>
      <c r="K4" s="90">
        <f t="shared" ref="K4:K8" si="3">(I4/H4)/(F4/E4)</f>
        <v>0.3795669824</v>
      </c>
      <c r="L4" s="90">
        <f t="shared" ref="L4:L8" si="4">LN(K4)</f>
        <v>-0.968724196</v>
      </c>
      <c r="M4" s="90">
        <f t="shared" ref="M4:M8" si="5">SQRT((1/F4)+(1/I4)-(1/E4)-(1/H4))</f>
        <v>0.9091933567</v>
      </c>
      <c r="N4" s="106">
        <f t="shared" ref="N4:N8" si="6">1/(M4^2)</f>
        <v>1.209727331</v>
      </c>
      <c r="O4" s="182">
        <v>0.875</v>
      </c>
      <c r="P4" s="106">
        <f t="shared" ref="P4:P8" si="7">N4*O4</f>
        <v>1.058511414</v>
      </c>
      <c r="Q4" s="49">
        <f t="shared" ref="Q4:Q8" si="8">P4/SUM(P$4:P$8)</f>
        <v>0.01955927109</v>
      </c>
    </row>
    <row r="5">
      <c r="A5" s="186" t="s">
        <v>276</v>
      </c>
      <c r="B5" t="s">
        <v>273</v>
      </c>
      <c r="C5" t="s">
        <v>277</v>
      </c>
      <c r="E5">
        <v>1484.0</v>
      </c>
      <c r="F5">
        <v>1.0</v>
      </c>
      <c r="G5">
        <f t="shared" si="1"/>
        <v>1483</v>
      </c>
      <c r="H5">
        <v>1507.0</v>
      </c>
      <c r="I5">
        <v>2.0</v>
      </c>
      <c r="J5">
        <f t="shared" si="2"/>
        <v>1505</v>
      </c>
      <c r="K5" s="90">
        <f t="shared" si="3"/>
        <v>1.96947578</v>
      </c>
      <c r="L5" s="90">
        <f t="shared" si="4"/>
        <v>0.6777674057</v>
      </c>
      <c r="M5" s="90">
        <f t="shared" si="5"/>
        <v>1.224198748</v>
      </c>
      <c r="N5" s="106">
        <f t="shared" si="6"/>
        <v>0.667261608</v>
      </c>
      <c r="O5" s="78">
        <v>1.0</v>
      </c>
      <c r="P5" s="106">
        <f t="shared" si="7"/>
        <v>0.667261608</v>
      </c>
      <c r="Q5" s="49">
        <f t="shared" si="8"/>
        <v>0.01232972125</v>
      </c>
    </row>
    <row r="6">
      <c r="A6" s="186" t="s">
        <v>278</v>
      </c>
      <c r="B6" t="s">
        <v>273</v>
      </c>
      <c r="C6" t="s">
        <v>274</v>
      </c>
      <c r="D6" t="s">
        <v>275</v>
      </c>
      <c r="E6" s="14">
        <v>1306.0</v>
      </c>
      <c r="F6">
        <v>62.0</v>
      </c>
      <c r="G6">
        <f t="shared" si="1"/>
        <v>1244</v>
      </c>
      <c r="H6" s="14">
        <v>656.0</v>
      </c>
      <c r="I6">
        <v>27.0</v>
      </c>
      <c r="J6">
        <f t="shared" si="2"/>
        <v>629</v>
      </c>
      <c r="K6" s="90">
        <f t="shared" si="3"/>
        <v>0.8669846577</v>
      </c>
      <c r="L6" s="90">
        <f t="shared" si="4"/>
        <v>-0.1427339981</v>
      </c>
      <c r="M6" s="90">
        <f t="shared" si="5"/>
        <v>0.2255570488</v>
      </c>
      <c r="N6" s="106">
        <f t="shared" si="6"/>
        <v>19.65564016</v>
      </c>
      <c r="O6" s="78">
        <v>0.75</v>
      </c>
      <c r="P6" s="106">
        <f t="shared" si="7"/>
        <v>14.74173012</v>
      </c>
      <c r="Q6" s="49">
        <f t="shared" si="8"/>
        <v>0.2723990425</v>
      </c>
    </row>
    <row r="7">
      <c r="A7" s="186" t="s">
        <v>279</v>
      </c>
      <c r="B7" t="s">
        <v>273</v>
      </c>
      <c r="C7" t="s">
        <v>277</v>
      </c>
      <c r="E7">
        <v>2811.0</v>
      </c>
      <c r="F7">
        <v>114.0</v>
      </c>
      <c r="G7">
        <f t="shared" si="1"/>
        <v>2697</v>
      </c>
      <c r="H7">
        <v>888.0</v>
      </c>
      <c r="I7">
        <v>30.0</v>
      </c>
      <c r="J7">
        <f t="shared" si="2"/>
        <v>858</v>
      </c>
      <c r="K7" s="90">
        <f t="shared" si="3"/>
        <v>0.8330369844</v>
      </c>
      <c r="L7" s="90">
        <f t="shared" si="4"/>
        <v>-0.1826772388</v>
      </c>
      <c r="M7" s="90">
        <f t="shared" si="5"/>
        <v>0.2015524541</v>
      </c>
      <c r="N7" s="106">
        <f t="shared" si="6"/>
        <v>24.61635912</v>
      </c>
      <c r="O7" s="78">
        <v>1.0</v>
      </c>
      <c r="P7" s="106">
        <f t="shared" si="7"/>
        <v>24.61635912</v>
      </c>
      <c r="Q7" s="49">
        <f t="shared" si="8"/>
        <v>0.4548633439</v>
      </c>
    </row>
    <row r="8">
      <c r="A8" s="186" t="s">
        <v>280</v>
      </c>
      <c r="B8" t="s">
        <v>273</v>
      </c>
      <c r="C8" t="s">
        <v>274</v>
      </c>
      <c r="D8" t="s">
        <v>281</v>
      </c>
      <c r="E8">
        <v>959.0</v>
      </c>
      <c r="F8">
        <v>50.0</v>
      </c>
      <c r="G8">
        <f t="shared" si="1"/>
        <v>909</v>
      </c>
      <c r="H8">
        <v>995.0</v>
      </c>
      <c r="I8" s="14">
        <v>49.0</v>
      </c>
      <c r="J8">
        <f t="shared" si="2"/>
        <v>946</v>
      </c>
      <c r="K8" s="90">
        <f t="shared" si="3"/>
        <v>0.9445427136</v>
      </c>
      <c r="L8" s="90">
        <f t="shared" si="4"/>
        <v>-0.05705436959</v>
      </c>
      <c r="M8" s="90">
        <f t="shared" si="5"/>
        <v>0.1958580743</v>
      </c>
      <c r="N8" s="106">
        <f t="shared" si="6"/>
        <v>26.06855987</v>
      </c>
      <c r="O8" s="78">
        <v>0.5</v>
      </c>
      <c r="P8" s="106">
        <f t="shared" si="7"/>
        <v>13.03427993</v>
      </c>
      <c r="Q8" s="49">
        <f t="shared" si="8"/>
        <v>0.2408486213</v>
      </c>
    </row>
    <row r="10">
      <c r="A10" s="14" t="s">
        <v>282</v>
      </c>
      <c r="B10" s="90">
        <f>IFERROR(__xludf.DUMMYFUNCTION("AVERAGE.WEIGHTED(L4:L8,Q4:Q8)"),-0.14630610636010422)</f>
        <v>-0.1463061064</v>
      </c>
    </row>
    <row r="11">
      <c r="A11" s="13" t="s">
        <v>283</v>
      </c>
      <c r="B11" s="187">
        <f>EXP(B10)</f>
        <v>0.8638932195</v>
      </c>
    </row>
    <row r="12">
      <c r="A12" s="14" t="s">
        <v>267</v>
      </c>
      <c r="B12" s="90">
        <f>SQRT((M4*$Q4)^2+(M5*$Q5)^2+(M6*$Q6)^2+(M7*$Q7)^2+(M8*$Q8)^2)</f>
        <v>0.1222675323</v>
      </c>
    </row>
    <row r="13">
      <c r="A13" s="13" t="s">
        <v>284</v>
      </c>
      <c r="B13" s="187">
        <f>exp(B10-1.96*B12)</f>
        <v>0.6798041957</v>
      </c>
    </row>
    <row r="14">
      <c r="A14" s="13" t="s">
        <v>285</v>
      </c>
      <c r="B14" s="187">
        <f>exp(B10+1.96*B12)</f>
        <v>1.097833022</v>
      </c>
    </row>
  </sheetData>
  <mergeCells count="1">
    <mergeCell ref="A1:J1"/>
  </mergeCells>
  <hyperlinks>
    <hyperlink r:id="rId2" ref="A4"/>
    <hyperlink r:id="rId3" ref="A5"/>
    <hyperlink r:id="rId4" ref="A6"/>
    <hyperlink r:id="rId5" ref="A7"/>
    <hyperlink r:id="rId6" ref="A8"/>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71.57"/>
  </cols>
  <sheetData>
    <row r="1">
      <c r="B1" s="181" t="s">
        <v>11</v>
      </c>
      <c r="C1" s="181" t="s">
        <v>14</v>
      </c>
      <c r="D1" s="181" t="s">
        <v>15</v>
      </c>
    </row>
    <row r="2">
      <c r="A2" s="14"/>
      <c r="B2" s="14"/>
      <c r="C2" s="14"/>
      <c r="D2" s="14"/>
    </row>
    <row r="3">
      <c r="A3" s="14" t="s">
        <v>286</v>
      </c>
      <c r="B3" s="14">
        <v>24.5</v>
      </c>
      <c r="C3" s="14">
        <v>12.92</v>
      </c>
      <c r="D3" s="14">
        <v>14.54</v>
      </c>
    </row>
    <row r="4">
      <c r="A4" s="14" t="s">
        <v>287</v>
      </c>
      <c r="B4" s="14">
        <v>4.67</v>
      </c>
      <c r="C4" s="14">
        <v>4.21</v>
      </c>
      <c r="D4" s="89">
        <v>5.5</v>
      </c>
    </row>
    <row r="5">
      <c r="A5" s="14" t="s">
        <v>288</v>
      </c>
      <c r="B5" s="14">
        <v>4.32</v>
      </c>
      <c r="C5" s="14">
        <v>3.56</v>
      </c>
      <c r="D5" s="14">
        <v>5.11</v>
      </c>
    </row>
    <row r="6">
      <c r="A6" s="14" t="s">
        <v>289</v>
      </c>
      <c r="B6" s="14">
        <v>5.67</v>
      </c>
      <c r="C6" s="14">
        <v>4.41</v>
      </c>
      <c r="D6" s="14">
        <v>6.41</v>
      </c>
    </row>
    <row r="7">
      <c r="A7" s="14"/>
      <c r="B7" s="14"/>
    </row>
    <row r="8">
      <c r="A8" s="14" t="s">
        <v>290</v>
      </c>
      <c r="B8" s="86">
        <v>8040.73853</v>
      </c>
      <c r="C8" s="86">
        <v>9289.745458</v>
      </c>
      <c r="D8" s="86">
        <v>4880.543594</v>
      </c>
    </row>
    <row r="9">
      <c r="A9" s="14" t="s">
        <v>291</v>
      </c>
      <c r="B9" s="86">
        <v>87687.69832</v>
      </c>
      <c r="C9" s="86">
        <v>51322.95167</v>
      </c>
      <c r="D9" s="86">
        <v>29241.81924</v>
      </c>
    </row>
    <row r="10">
      <c r="A10" s="14" t="s">
        <v>292</v>
      </c>
      <c r="B10" s="86">
        <v>76270.71155</v>
      </c>
      <c r="C10" s="86">
        <v>43746.17398</v>
      </c>
      <c r="D10" s="86">
        <v>25094.52944</v>
      </c>
    </row>
    <row r="11">
      <c r="A11" s="14" t="s">
        <v>293</v>
      </c>
      <c r="B11" s="86">
        <v>68543.78657</v>
      </c>
      <c r="C11" s="86">
        <v>46737.21172</v>
      </c>
      <c r="D11" s="86">
        <v>25634.09738</v>
      </c>
    </row>
    <row r="12">
      <c r="A12" s="14" t="s">
        <v>294</v>
      </c>
      <c r="B12" s="188">
        <f t="shared" ref="B12:D12" si="1">sum(B8:B11)</f>
        <v>240542.935</v>
      </c>
      <c r="C12" s="188">
        <f t="shared" si="1"/>
        <v>151096.0828</v>
      </c>
      <c r="D12" s="188">
        <f t="shared" si="1"/>
        <v>84850.98965</v>
      </c>
    </row>
    <row r="14">
      <c r="A14" s="14" t="s">
        <v>295</v>
      </c>
      <c r="B14" s="14">
        <v>17.35</v>
      </c>
      <c r="C14" s="14">
        <v>5.18</v>
      </c>
      <c r="D14" s="14">
        <v>10.28</v>
      </c>
    </row>
    <row r="15">
      <c r="A15" s="14" t="s">
        <v>296</v>
      </c>
      <c r="B15" s="90">
        <f>IFERROR(__xludf.DUMMYFUNCTION("AVERAGE.WEIGHTED(B3:B6,B8:B11)"),5.506843878214529)</f>
        <v>5.506843878</v>
      </c>
      <c r="C15" s="90">
        <f>IFERROR(__xludf.DUMMYFUNCTION("AVERAGE.WEIGHTED(C3:C6,C8:C11)"),4.619184083657283)</f>
        <v>4.619184084</v>
      </c>
      <c r="D15" s="90">
        <f>IFERROR(__xludf.DUMMYFUNCTION("AVERAGE.WEIGHTED(D3:D6,D8:D11)"),6.1795474803426975)</f>
        <v>6.17954748</v>
      </c>
    </row>
    <row r="16">
      <c r="B16" s="90"/>
      <c r="C16" s="90"/>
      <c r="D16" s="90"/>
    </row>
    <row r="17">
      <c r="A17" s="14" t="s">
        <v>297</v>
      </c>
      <c r="B17" s="187">
        <f t="shared" ref="B17:D17" si="2">B15/B14</f>
        <v>0.3173973417</v>
      </c>
      <c r="C17" s="187">
        <f t="shared" si="2"/>
        <v>0.8917343791</v>
      </c>
      <c r="D17" s="187">
        <f t="shared" si="2"/>
        <v>0.6011232958</v>
      </c>
    </row>
    <row r="19">
      <c r="A19" s="14" t="s">
        <v>298</v>
      </c>
      <c r="B19" s="189" t="s">
        <v>299</v>
      </c>
    </row>
    <row r="20">
      <c r="A20" s="14" t="s">
        <v>300</v>
      </c>
      <c r="B20" s="183" t="s">
        <v>299</v>
      </c>
    </row>
    <row r="22">
      <c r="A22" s="190"/>
    </row>
  </sheetData>
  <hyperlinks>
    <hyperlink r:id="rId2" ref="B19"/>
    <hyperlink r:id="rId3" ref="B20"/>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68.43"/>
  </cols>
  <sheetData>
    <row r="2">
      <c r="A2" s="13" t="s">
        <v>301</v>
      </c>
    </row>
    <row r="3">
      <c r="A3" s="14" t="s">
        <v>302</v>
      </c>
      <c r="B3" s="14">
        <v>0.77</v>
      </c>
    </row>
    <row r="4">
      <c r="A4" s="5" t="s">
        <v>303</v>
      </c>
      <c r="B4" s="191">
        <v>0.92</v>
      </c>
    </row>
    <row r="5">
      <c r="A5" s="5" t="s">
        <v>304</v>
      </c>
      <c r="B5" s="191">
        <v>0.78</v>
      </c>
    </row>
    <row r="6">
      <c r="A6" s="192" t="s">
        <v>305</v>
      </c>
      <c r="B6" s="193">
        <f>B5/B4</f>
        <v>0.847826087</v>
      </c>
    </row>
    <row r="7">
      <c r="A7" s="14" t="s">
        <v>306</v>
      </c>
      <c r="B7" s="187">
        <f>1-((1-B3)*B6)</f>
        <v>0.805</v>
      </c>
    </row>
    <row r="9">
      <c r="A9" s="13"/>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84.14"/>
    <col customWidth="1" min="2" max="2" width="18.43"/>
    <col customWidth="1" min="3" max="3" width="22.71"/>
    <col customWidth="1" min="4" max="4" width="40.71"/>
    <col customWidth="1" min="5" max="5" width="26.29"/>
    <col customWidth="1" min="6" max="6" width="24.57"/>
    <col customWidth="1" min="7" max="7" width="23.29"/>
  </cols>
  <sheetData>
    <row r="1">
      <c r="B1" s="13"/>
      <c r="C1" s="13"/>
    </row>
    <row r="2">
      <c r="A2" s="13" t="s">
        <v>307</v>
      </c>
      <c r="B2" s="90"/>
      <c r="D2" s="13" t="s">
        <v>308</v>
      </c>
    </row>
    <row r="3">
      <c r="A3" s="14" t="s">
        <v>309</v>
      </c>
      <c r="B3" s="182">
        <f>B41</f>
        <v>0.7957578162</v>
      </c>
      <c r="D3" s="14" t="s">
        <v>310</v>
      </c>
      <c r="E3" s="14">
        <v>0.9</v>
      </c>
    </row>
    <row r="4">
      <c r="A4" s="14" t="s">
        <v>311</v>
      </c>
      <c r="B4" s="89">
        <f>B26</f>
        <v>0.6335468189</v>
      </c>
    </row>
    <row r="6">
      <c r="A6" s="14" t="s">
        <v>312</v>
      </c>
      <c r="B6" s="187">
        <f>B3</f>
        <v>0.7957578162</v>
      </c>
    </row>
    <row r="7">
      <c r="A7" s="14" t="s">
        <v>313</v>
      </c>
      <c r="B7" s="187">
        <f>B3*B4</f>
        <v>0.504149833</v>
      </c>
    </row>
    <row r="10">
      <c r="A10" s="13" t="s">
        <v>314</v>
      </c>
    </row>
    <row r="11">
      <c r="A11" s="14" t="s">
        <v>315</v>
      </c>
      <c r="B11" s="98">
        <v>0.109</v>
      </c>
    </row>
    <row r="12">
      <c r="A12" s="14" t="s">
        <v>316</v>
      </c>
      <c r="B12" s="98">
        <v>0.056</v>
      </c>
    </row>
    <row r="13">
      <c r="A13" s="14" t="s">
        <v>317</v>
      </c>
      <c r="B13" s="98">
        <v>0.084</v>
      </c>
    </row>
    <row r="14">
      <c r="A14" s="14" t="s">
        <v>318</v>
      </c>
      <c r="B14" s="98">
        <v>0.109</v>
      </c>
    </row>
    <row r="17">
      <c r="A17" s="13" t="s">
        <v>319</v>
      </c>
    </row>
    <row r="18">
      <c r="A18" s="14" t="s">
        <v>320</v>
      </c>
      <c r="B18" s="50">
        <v>0.1735</v>
      </c>
    </row>
    <row r="19">
      <c r="A19" s="14" t="s">
        <v>321</v>
      </c>
      <c r="B19" s="103">
        <f>'ILC Kenya'!B33</f>
        <v>0.1677994612</v>
      </c>
    </row>
    <row r="20">
      <c r="A20" s="14" t="s">
        <v>322</v>
      </c>
      <c r="B20" s="103">
        <f>B18*B19</f>
        <v>0.02911320651</v>
      </c>
    </row>
    <row r="21">
      <c r="A21" s="14" t="s">
        <v>323</v>
      </c>
      <c r="B21" s="103">
        <f>'ILC Kenya'!B10</f>
        <v>0.109</v>
      </c>
    </row>
    <row r="22">
      <c r="A22" s="14" t="s">
        <v>324</v>
      </c>
      <c r="B22" s="49">
        <f>1-B20/B21</f>
        <v>0.7329063623</v>
      </c>
    </row>
    <row r="23">
      <c r="A23" s="14" t="s">
        <v>325</v>
      </c>
      <c r="B23" s="78">
        <f>B21/B20</f>
        <v>3.744005318</v>
      </c>
      <c r="C23" s="90"/>
    </row>
    <row r="24">
      <c r="A24" s="14" t="s">
        <v>326</v>
      </c>
      <c r="B24" s="78">
        <f>B23-1</f>
        <v>2.744005318</v>
      </c>
      <c r="C24" s="90"/>
    </row>
    <row r="25">
      <c r="A25" s="14" t="s">
        <v>327</v>
      </c>
      <c r="B25" s="14">
        <v>0.5</v>
      </c>
    </row>
    <row r="26">
      <c r="A26" s="14" t="s">
        <v>311</v>
      </c>
      <c r="B26" s="90">
        <f>1-B22*B25</f>
        <v>0.6335468189</v>
      </c>
    </row>
    <row r="30">
      <c r="A30" s="13" t="s">
        <v>328</v>
      </c>
    </row>
    <row r="32">
      <c r="A32" s="194" t="s">
        <v>255</v>
      </c>
      <c r="B32" s="194" t="s">
        <v>329</v>
      </c>
      <c r="C32" s="194" t="s">
        <v>330</v>
      </c>
      <c r="D32" s="195" t="s">
        <v>258</v>
      </c>
      <c r="E32" s="194" t="s">
        <v>331</v>
      </c>
      <c r="F32" s="194" t="s">
        <v>332</v>
      </c>
      <c r="G32" s="194" t="s">
        <v>333</v>
      </c>
      <c r="H32" s="194" t="s">
        <v>334</v>
      </c>
      <c r="I32" s="194" t="s">
        <v>335</v>
      </c>
      <c r="J32" s="194" t="s">
        <v>336</v>
      </c>
      <c r="K32" s="196"/>
      <c r="L32" s="196"/>
      <c r="M32" s="196"/>
      <c r="N32" s="196"/>
      <c r="O32" s="196"/>
      <c r="P32" s="196"/>
      <c r="Q32" s="196"/>
      <c r="R32" s="196"/>
      <c r="S32" s="196"/>
      <c r="T32" s="196"/>
      <c r="U32" s="196"/>
      <c r="V32" s="196"/>
      <c r="W32" s="196"/>
      <c r="X32" s="196"/>
      <c r="Y32" s="196"/>
      <c r="Z32" s="196"/>
    </row>
    <row r="33">
      <c r="A33" s="183" t="s">
        <v>272</v>
      </c>
      <c r="B33" s="14" t="s">
        <v>273</v>
      </c>
      <c r="C33" s="14" t="s">
        <v>274</v>
      </c>
      <c r="D33" t="s">
        <v>275</v>
      </c>
      <c r="E33" s="89">
        <v>0.5</v>
      </c>
      <c r="F33" s="89">
        <v>0.2</v>
      </c>
      <c r="G33" s="97">
        <f t="shared" ref="G33:G37" si="1">E33*F33</f>
        <v>0.1</v>
      </c>
      <c r="H33" s="90">
        <f>'Mortality effect size'!K4</f>
        <v>0.3795669824</v>
      </c>
      <c r="I33" s="90">
        <f t="shared" ref="I33:I37" si="2">1-((1-H33)*(1-G33))</f>
        <v>0.4416102842</v>
      </c>
      <c r="J33" s="49">
        <f>'Mortality effect size'!Q4</f>
        <v>0.01955927109</v>
      </c>
    </row>
    <row r="34">
      <c r="A34" s="183" t="s">
        <v>276</v>
      </c>
      <c r="B34" s="14" t="s">
        <v>273</v>
      </c>
      <c r="C34" s="14" t="s">
        <v>277</v>
      </c>
      <c r="E34" s="90"/>
      <c r="F34" s="90"/>
      <c r="G34" s="97">
        <f t="shared" si="1"/>
        <v>0</v>
      </c>
      <c r="H34" s="90">
        <f>'Mortality effect size'!K5</f>
        <v>1.96947578</v>
      </c>
      <c r="I34" s="90">
        <f t="shared" si="2"/>
        <v>1.96947578</v>
      </c>
      <c r="J34" s="49">
        <f>'Mortality effect size'!Q5</f>
        <v>0.01232972125</v>
      </c>
    </row>
    <row r="35">
      <c r="A35" s="183" t="s">
        <v>278</v>
      </c>
      <c r="B35" s="14" t="s">
        <v>273</v>
      </c>
      <c r="C35" s="14" t="s">
        <v>274</v>
      </c>
      <c r="D35" t="s">
        <v>275</v>
      </c>
      <c r="E35" s="89">
        <v>1.0</v>
      </c>
      <c r="F35" s="89">
        <v>0.2</v>
      </c>
      <c r="G35" s="97">
        <f t="shared" si="1"/>
        <v>0.2</v>
      </c>
      <c r="H35" s="90">
        <f>'Mortality effect size'!K6</f>
        <v>0.8669846577</v>
      </c>
      <c r="I35" s="90">
        <f t="shared" si="2"/>
        <v>0.8935877262</v>
      </c>
      <c r="J35" s="49">
        <f>'Mortality effect size'!Q6</f>
        <v>0.2723990425</v>
      </c>
    </row>
    <row r="36">
      <c r="A36" s="183" t="s">
        <v>279</v>
      </c>
      <c r="B36" s="14" t="s">
        <v>273</v>
      </c>
      <c r="C36" s="14" t="s">
        <v>277</v>
      </c>
      <c r="E36" s="90"/>
      <c r="F36" s="90"/>
      <c r="G36" s="97">
        <f t="shared" si="1"/>
        <v>0</v>
      </c>
      <c r="H36" s="90">
        <f>'Mortality effect size'!K7</f>
        <v>0.8330369844</v>
      </c>
      <c r="I36" s="90">
        <f t="shared" si="2"/>
        <v>0.8330369844</v>
      </c>
      <c r="J36" s="49">
        <f>'Mortality effect size'!Q7</f>
        <v>0.4548633439</v>
      </c>
    </row>
    <row r="37">
      <c r="A37" s="183" t="s">
        <v>280</v>
      </c>
      <c r="B37" s="14" t="s">
        <v>273</v>
      </c>
      <c r="C37" s="14" t="s">
        <v>274</v>
      </c>
      <c r="D37" t="s">
        <v>281</v>
      </c>
      <c r="E37" s="89">
        <v>1.0</v>
      </c>
      <c r="F37" s="89">
        <v>0.67</v>
      </c>
      <c r="G37" s="97">
        <f t="shared" si="1"/>
        <v>0.67</v>
      </c>
      <c r="H37" s="90">
        <f>'Mortality effect size'!K8</f>
        <v>0.9445427136</v>
      </c>
      <c r="I37" s="90">
        <f t="shared" si="2"/>
        <v>0.9816990955</v>
      </c>
      <c r="J37" s="49">
        <f>'Mortality effect size'!Q8</f>
        <v>0.2408486213</v>
      </c>
    </row>
    <row r="39">
      <c r="A39" s="14" t="s">
        <v>337</v>
      </c>
      <c r="B39" s="90">
        <f>IFERROR(__xludf.DUMMYFUNCTION("AVERAGE.WEIGHTED(I33:I37,J33:J37)"),0.8916919655799829)</f>
        <v>0.8916919656</v>
      </c>
    </row>
    <row r="40">
      <c r="A40" s="14" t="s">
        <v>338</v>
      </c>
      <c r="B40" s="89">
        <f>'Mortality effect size'!B11</f>
        <v>0.8638932195</v>
      </c>
    </row>
    <row r="41">
      <c r="A41" s="14" t="s">
        <v>339</v>
      </c>
      <c r="B41" s="90">
        <f>(1-B39)/(1-B40)</f>
        <v>0.7957578162</v>
      </c>
    </row>
    <row r="44">
      <c r="A44" s="173"/>
    </row>
    <row r="49">
      <c r="E49" s="197"/>
      <c r="F49" s="198"/>
    </row>
    <row r="50">
      <c r="E50" s="197"/>
      <c r="F50" s="198"/>
      <c r="G50" s="197"/>
      <c r="H50" s="197"/>
    </row>
    <row r="51">
      <c r="E51" s="197"/>
      <c r="F51" s="198"/>
      <c r="G51" s="197"/>
      <c r="H51" s="197"/>
    </row>
    <row r="52">
      <c r="E52" s="197"/>
      <c r="F52" s="198"/>
      <c r="G52" s="197"/>
      <c r="H52" s="197"/>
    </row>
    <row r="53">
      <c r="E53" s="197"/>
      <c r="F53" s="198"/>
      <c r="G53" s="197"/>
      <c r="H53" s="197"/>
    </row>
    <row r="54">
      <c r="E54" s="197"/>
      <c r="F54" s="198"/>
      <c r="G54" s="197"/>
      <c r="H54" s="197"/>
    </row>
    <row r="55">
      <c r="E55" s="197"/>
      <c r="F55" s="198"/>
      <c r="G55" s="197"/>
      <c r="H55" s="197"/>
    </row>
    <row r="56">
      <c r="E56" s="197"/>
      <c r="F56" s="198"/>
      <c r="G56" s="197"/>
      <c r="H56" s="197"/>
    </row>
    <row r="58">
      <c r="B58" s="197"/>
    </row>
    <row r="66">
      <c r="E66" s="197"/>
      <c r="F66" s="197"/>
      <c r="G66" s="197"/>
      <c r="H66" s="197"/>
    </row>
    <row r="67">
      <c r="E67" s="197"/>
      <c r="F67" s="198"/>
      <c r="G67" s="197"/>
      <c r="H67" s="197"/>
    </row>
    <row r="68">
      <c r="E68" s="197"/>
      <c r="F68" s="198"/>
      <c r="G68" s="197"/>
      <c r="H68" s="197"/>
    </row>
    <row r="69">
      <c r="E69" s="197"/>
      <c r="F69" s="198"/>
      <c r="G69" s="197"/>
      <c r="H69" s="197"/>
    </row>
    <row r="70">
      <c r="E70" s="197"/>
      <c r="F70" s="198"/>
      <c r="G70" s="197"/>
      <c r="H70" s="197"/>
    </row>
    <row r="71">
      <c r="E71" s="197"/>
      <c r="F71" s="198"/>
      <c r="G71" s="197"/>
      <c r="H71" s="197"/>
    </row>
    <row r="72">
      <c r="E72" s="197"/>
      <c r="F72" s="198"/>
      <c r="G72" s="197"/>
      <c r="H72" s="197"/>
    </row>
    <row r="74">
      <c r="B74" s="197"/>
    </row>
    <row r="80">
      <c r="E80" s="197"/>
      <c r="F80" s="197"/>
    </row>
    <row r="81">
      <c r="E81" s="197"/>
      <c r="F81" s="197"/>
      <c r="G81" s="197"/>
    </row>
    <row r="82">
      <c r="E82" s="197"/>
      <c r="F82" s="197"/>
      <c r="G82" s="197"/>
    </row>
    <row r="83">
      <c r="E83" s="197"/>
      <c r="F83" s="197"/>
      <c r="G83" s="197"/>
    </row>
    <row r="85">
      <c r="B85" s="197"/>
    </row>
    <row r="89">
      <c r="A89" s="173"/>
      <c r="B89" s="173"/>
      <c r="C89" s="173"/>
      <c r="D89" s="173"/>
    </row>
    <row r="90">
      <c r="A90" s="173"/>
      <c r="C90" s="197"/>
    </row>
    <row r="91">
      <c r="A91" s="173"/>
      <c r="C91" s="197"/>
    </row>
    <row r="92">
      <c r="A92" s="173"/>
      <c r="C92" s="197"/>
    </row>
    <row r="93">
      <c r="A93" s="173"/>
      <c r="C93" s="197"/>
    </row>
    <row r="94">
      <c r="A94" s="173"/>
      <c r="C94" s="197"/>
    </row>
    <row r="95">
      <c r="A95" s="173"/>
      <c r="C95" s="197"/>
    </row>
    <row r="96">
      <c r="A96" s="173"/>
      <c r="C96" s="197"/>
    </row>
    <row r="97">
      <c r="A97" s="173"/>
      <c r="C97" s="197"/>
    </row>
    <row r="98">
      <c r="A98" s="173"/>
      <c r="C98" s="197"/>
    </row>
    <row r="99">
      <c r="A99" s="173"/>
      <c r="C99" s="197"/>
    </row>
    <row r="100">
      <c r="A100" s="173"/>
      <c r="C100" s="197"/>
    </row>
    <row r="101">
      <c r="A101" s="173"/>
      <c r="C101" s="197"/>
    </row>
    <row r="102">
      <c r="C102" s="197"/>
    </row>
    <row r="104">
      <c r="B104" s="90"/>
    </row>
    <row r="105">
      <c r="B105" s="90"/>
    </row>
    <row r="106">
      <c r="B106" s="90"/>
    </row>
  </sheetData>
  <hyperlinks>
    <hyperlink r:id="rId2" ref="A33"/>
    <hyperlink r:id="rId3" ref="A34"/>
    <hyperlink r:id="rId4" ref="A35"/>
    <hyperlink r:id="rId5" ref="A36"/>
    <hyperlink r:id="rId6" ref="A37"/>
  </hyperlinks>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88.0"/>
    <col customWidth="1" min="3" max="3" width="17.0"/>
    <col customWidth="1" min="4" max="4" width="76.29"/>
  </cols>
  <sheetData>
    <row r="1">
      <c r="A1" s="13" t="s">
        <v>340</v>
      </c>
      <c r="B1" s="13"/>
      <c r="C1" s="13"/>
    </row>
    <row r="2">
      <c r="A2" s="13"/>
      <c r="B2" s="13"/>
      <c r="C2" s="13"/>
    </row>
    <row r="3">
      <c r="A3" s="13" t="s">
        <v>341</v>
      </c>
      <c r="B3" s="13"/>
      <c r="C3" s="13"/>
    </row>
    <row r="4">
      <c r="A4" s="14" t="s">
        <v>342</v>
      </c>
      <c r="B4" s="89">
        <f>'Deaths linked to water quality'!B$6</f>
        <v>1.142607205</v>
      </c>
      <c r="C4" s="14"/>
    </row>
    <row r="5">
      <c r="A5" s="14" t="s">
        <v>343</v>
      </c>
      <c r="B5" s="78">
        <f>'Adherence adjustments'!B$27</f>
        <v>1.062358095</v>
      </c>
    </row>
    <row r="6">
      <c r="A6" s="14" t="s">
        <v>84</v>
      </c>
      <c r="B6" s="90">
        <f>B4*B5</f>
        <v>1.213858014</v>
      </c>
    </row>
    <row r="8">
      <c r="A8" s="13" t="s">
        <v>344</v>
      </c>
    </row>
    <row r="9">
      <c r="A9" s="14" t="s">
        <v>342</v>
      </c>
      <c r="B9" s="89">
        <f>'Deaths linked to water quality'!B6</f>
        <v>1.142607205</v>
      </c>
    </row>
    <row r="10">
      <c r="A10" s="14" t="s">
        <v>343</v>
      </c>
      <c r="B10" s="78">
        <f>'Adherence adjustments'!B19</f>
        <v>0.4885766261</v>
      </c>
    </row>
    <row r="11">
      <c r="A11" s="14" t="s">
        <v>84</v>
      </c>
      <c r="B11" s="90">
        <f>B9*B10</f>
        <v>0.5582511733</v>
      </c>
    </row>
    <row r="12">
      <c r="A12" s="183"/>
      <c r="C12" s="14"/>
    </row>
    <row r="13">
      <c r="A13" s="13" t="s">
        <v>345</v>
      </c>
    </row>
    <row r="14">
      <c r="A14" s="14" t="s">
        <v>346</v>
      </c>
      <c r="B14" s="89">
        <f>'Deaths linked to water quality'!C6</f>
        <v>0.7208418027</v>
      </c>
    </row>
    <row r="15">
      <c r="A15" s="14" t="s">
        <v>343</v>
      </c>
      <c r="B15" s="78">
        <f>'Adherence adjustments'!C19</f>
        <v>0.7852240424</v>
      </c>
    </row>
    <row r="16">
      <c r="A16" s="14" t="s">
        <v>84</v>
      </c>
      <c r="B16" s="90">
        <f>B14*B15</f>
        <v>0.5660223142</v>
      </c>
      <c r="C16" s="199"/>
    </row>
    <row r="17">
      <c r="C17" s="199"/>
    </row>
    <row r="18">
      <c r="A18" s="13" t="s">
        <v>347</v>
      </c>
    </row>
    <row r="19">
      <c r="A19" s="14" t="s">
        <v>348</v>
      </c>
      <c r="B19" s="89">
        <f>'Deaths linked to water quality'!D6</f>
        <v>1.089626029</v>
      </c>
      <c r="C19" s="14"/>
    </row>
    <row r="20">
      <c r="A20" s="14" t="s">
        <v>343</v>
      </c>
      <c r="B20" s="78">
        <f>'Adherence adjustments'!D19</f>
        <v>1.017093319</v>
      </c>
    </row>
    <row r="21">
      <c r="A21" s="14" t="s">
        <v>84</v>
      </c>
      <c r="B21" s="90">
        <f>B19*B20</f>
        <v>1.108251354</v>
      </c>
    </row>
    <row r="24">
      <c r="A24" s="13" t="s">
        <v>101</v>
      </c>
      <c r="C24" s="172"/>
    </row>
    <row r="26">
      <c r="A26" s="13" t="s">
        <v>341</v>
      </c>
      <c r="B26" s="13"/>
      <c r="C26" s="14"/>
      <c r="E26" s="89" t="str">
        <f>'Deaths linked to water quality'!G6</f>
        <v/>
      </c>
    </row>
    <row r="27">
      <c r="A27" s="14" t="s">
        <v>343</v>
      </c>
      <c r="B27" s="89">
        <f>'Adherence adjustments'!B27</f>
        <v>1.062358095</v>
      </c>
    </row>
    <row r="28">
      <c r="A28" s="14" t="s">
        <v>349</v>
      </c>
      <c r="B28" s="14">
        <v>0.9</v>
      </c>
    </row>
    <row r="29">
      <c r="A29" s="14" t="s">
        <v>84</v>
      </c>
      <c r="B29" s="90">
        <f>B27*B28</f>
        <v>0.9561222858</v>
      </c>
    </row>
    <row r="31">
      <c r="A31" s="13" t="s">
        <v>344</v>
      </c>
    </row>
    <row r="32">
      <c r="A32" s="14" t="s">
        <v>343</v>
      </c>
      <c r="B32" s="78">
        <f>'Adherence adjustments'!B19</f>
        <v>0.4885766261</v>
      </c>
    </row>
    <row r="33">
      <c r="A33" s="14" t="s">
        <v>84</v>
      </c>
      <c r="B33" s="90">
        <f>B32</f>
        <v>0.4885766261</v>
      </c>
    </row>
    <row r="34">
      <c r="A34" s="183"/>
    </row>
    <row r="35">
      <c r="A35" s="13" t="s">
        <v>345</v>
      </c>
    </row>
    <row r="36">
      <c r="A36" s="14" t="s">
        <v>343</v>
      </c>
      <c r="B36" s="78">
        <f>'Adherence adjustments'!C19</f>
        <v>0.7852240424</v>
      </c>
    </row>
    <row r="37">
      <c r="A37" s="14" t="s">
        <v>84</v>
      </c>
      <c r="B37" s="90">
        <f>B36</f>
        <v>0.7852240424</v>
      </c>
    </row>
    <row r="38">
      <c r="A38" s="13"/>
    </row>
    <row r="39">
      <c r="A39" s="13" t="s">
        <v>347</v>
      </c>
    </row>
    <row r="40">
      <c r="A40" s="14" t="s">
        <v>343</v>
      </c>
      <c r="B40" s="78">
        <f>'Adherence adjustments'!D19</f>
        <v>1.017093319</v>
      </c>
    </row>
    <row r="41">
      <c r="A41" s="14" t="s">
        <v>84</v>
      </c>
      <c r="B41" s="90">
        <f>B40</f>
        <v>1.017093319</v>
      </c>
    </row>
    <row r="44">
      <c r="A44" s="13"/>
    </row>
    <row r="46">
      <c r="A46" s="13"/>
    </row>
    <row r="47">
      <c r="B47" s="89"/>
    </row>
    <row r="49">
      <c r="B49" s="86"/>
    </row>
    <row r="50">
      <c r="B50" s="86"/>
    </row>
    <row r="51">
      <c r="B51" s="49"/>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88.0"/>
    <col customWidth="1" min="3" max="3" width="17.0"/>
    <col customWidth="1" min="4" max="4" width="17.43"/>
  </cols>
  <sheetData>
    <row r="1">
      <c r="A1" s="200" t="s">
        <v>350</v>
      </c>
      <c r="B1" s="5"/>
      <c r="C1" s="5"/>
      <c r="D1" s="5"/>
      <c r="E1" s="5"/>
      <c r="F1" s="5"/>
      <c r="G1" s="5"/>
      <c r="H1" s="5"/>
      <c r="I1" s="5"/>
      <c r="J1" s="5"/>
      <c r="K1" s="5"/>
      <c r="L1" s="5"/>
      <c r="M1" s="5"/>
      <c r="N1" s="5"/>
      <c r="O1" s="5"/>
      <c r="P1" s="5"/>
      <c r="Q1" s="5"/>
      <c r="R1" s="5"/>
      <c r="S1" s="5"/>
      <c r="T1" s="5"/>
      <c r="U1" s="5"/>
      <c r="V1" s="5"/>
      <c r="W1" s="5"/>
      <c r="X1" s="5"/>
      <c r="Y1" s="5"/>
      <c r="Z1" s="5"/>
    </row>
    <row r="2">
      <c r="A2" s="201"/>
      <c r="B2" s="5"/>
      <c r="C2" s="5"/>
      <c r="D2" s="5"/>
      <c r="E2" s="5"/>
      <c r="F2" s="5"/>
      <c r="G2" s="5"/>
      <c r="H2" s="5"/>
      <c r="I2" s="5"/>
      <c r="J2" s="5"/>
      <c r="K2" s="5"/>
      <c r="L2" s="5"/>
      <c r="M2" s="5"/>
      <c r="N2" s="5"/>
      <c r="O2" s="5"/>
      <c r="P2" s="5"/>
      <c r="Q2" s="5"/>
      <c r="R2" s="5"/>
      <c r="S2" s="5"/>
      <c r="T2" s="5"/>
      <c r="U2" s="5"/>
      <c r="V2" s="5"/>
      <c r="W2" s="5"/>
      <c r="X2" s="5"/>
      <c r="Y2" s="5"/>
      <c r="Z2" s="5"/>
    </row>
    <row r="3">
      <c r="A3" s="5"/>
      <c r="B3" s="5" t="s">
        <v>11</v>
      </c>
      <c r="C3" s="5" t="s">
        <v>14</v>
      </c>
      <c r="D3" s="5" t="s">
        <v>15</v>
      </c>
      <c r="E3" s="5"/>
      <c r="F3" s="5"/>
      <c r="G3" s="5"/>
      <c r="H3" s="5"/>
      <c r="I3" s="5"/>
      <c r="J3" s="5"/>
      <c r="K3" s="5"/>
      <c r="L3" s="5"/>
      <c r="M3" s="5"/>
      <c r="N3" s="5"/>
      <c r="O3" s="5"/>
      <c r="P3" s="5"/>
      <c r="Q3" s="5"/>
      <c r="R3" s="5"/>
      <c r="S3" s="5"/>
      <c r="T3" s="5"/>
      <c r="U3" s="5"/>
      <c r="V3" s="5"/>
      <c r="W3" s="5"/>
      <c r="X3" s="5"/>
      <c r="Y3" s="5"/>
      <c r="Z3" s="5"/>
    </row>
    <row r="4">
      <c r="A4" s="201"/>
      <c r="B4" s="201"/>
      <c r="C4" s="201"/>
      <c r="D4" s="201"/>
      <c r="E4" s="201"/>
      <c r="F4" s="5"/>
      <c r="G4" s="5"/>
      <c r="H4" s="5"/>
      <c r="I4" s="5"/>
      <c r="J4" s="5"/>
      <c r="K4" s="5"/>
      <c r="L4" s="5"/>
      <c r="M4" s="5"/>
      <c r="N4" s="5"/>
      <c r="O4" s="5"/>
      <c r="P4" s="5"/>
      <c r="Q4" s="5"/>
      <c r="R4" s="5"/>
      <c r="S4" s="5"/>
      <c r="T4" s="5"/>
      <c r="U4" s="5"/>
      <c r="V4" s="5"/>
      <c r="W4" s="5"/>
      <c r="X4" s="5"/>
      <c r="Y4" s="5"/>
      <c r="Z4" s="5"/>
    </row>
    <row r="5">
      <c r="A5" s="201" t="s">
        <v>351</v>
      </c>
      <c r="B5" s="202">
        <f>SUMIFS($H$25:$H$552, $B$25:$B$552, "Kenya", $G$25:$G$552, 2019, $A$25:$A$552, "deaths", $D$25:$D$552, "All Ages", $E$25:$E$552, "Enteric infections")</f>
        <v>0.076547203</v>
      </c>
      <c r="C5" s="202">
        <f>SUMIFS($H$25:$H$552, $B$25:$B$552, "Uganda", $G$25:$G$552, 2019, $A$25:$A$552, "deaths", $D$25:$D$552, "All Ages", $E$25:$E$552, "Enteric infections")</f>
        <v>0.048291682</v>
      </c>
      <c r="D5" s="202">
        <f>SUMIFS($H$25:$H$552, $B$25:$B$552, "Malawi", $G$25:$G$552, 2019, $A$25:$A$552, "deaths", $D$25:$D$552, "All Ages", $E$25:$E$552, "Enteric infections")</f>
        <v>0.072997811</v>
      </c>
      <c r="E5" s="203"/>
      <c r="F5" s="202"/>
      <c r="G5" s="202"/>
      <c r="H5" s="202"/>
      <c r="I5" s="5"/>
      <c r="J5" s="5"/>
      <c r="K5" s="5"/>
      <c r="L5" s="5"/>
      <c r="M5" s="5"/>
      <c r="N5" s="5"/>
      <c r="O5" s="5"/>
      <c r="P5" s="5"/>
      <c r="Q5" s="5"/>
      <c r="R5" s="5"/>
      <c r="S5" s="5"/>
      <c r="T5" s="5"/>
      <c r="U5" s="5"/>
      <c r="V5" s="5"/>
      <c r="W5" s="5"/>
      <c r="X5" s="5"/>
      <c r="Y5" s="5"/>
      <c r="Z5" s="5"/>
    </row>
    <row r="6">
      <c r="A6" s="201" t="s">
        <v>352</v>
      </c>
      <c r="B6" s="204">
        <f t="shared" ref="B6:D6" si="1">B5/$D18</f>
        <v>1.142607205</v>
      </c>
      <c r="C6" s="204">
        <f t="shared" si="1"/>
        <v>0.7208418027</v>
      </c>
      <c r="D6" s="204">
        <f t="shared" si="1"/>
        <v>1.089626029</v>
      </c>
      <c r="E6" s="203"/>
      <c r="F6" s="204"/>
      <c r="G6" s="204"/>
      <c r="H6" s="204"/>
      <c r="I6" s="5"/>
      <c r="J6" s="5"/>
      <c r="K6" s="5"/>
      <c r="L6" s="5"/>
      <c r="M6" s="5"/>
      <c r="N6" s="5"/>
      <c r="O6" s="5"/>
      <c r="P6" s="5"/>
      <c r="Q6" s="5"/>
      <c r="R6" s="5"/>
      <c r="S6" s="5"/>
      <c r="T6" s="5"/>
      <c r="U6" s="5"/>
      <c r="V6" s="5"/>
      <c r="W6" s="5"/>
      <c r="X6" s="5"/>
      <c r="Y6" s="5"/>
      <c r="Z6" s="5"/>
    </row>
    <row r="7">
      <c r="A7" s="201"/>
      <c r="B7" s="201"/>
      <c r="C7" s="201"/>
      <c r="D7" s="205"/>
      <c r="E7" s="203"/>
      <c r="F7" s="5"/>
      <c r="G7" s="5"/>
      <c r="H7" s="5"/>
      <c r="I7" s="5"/>
      <c r="J7" s="5"/>
      <c r="K7" s="5"/>
      <c r="L7" s="5"/>
      <c r="M7" s="5"/>
      <c r="N7" s="5"/>
      <c r="O7" s="5"/>
      <c r="P7" s="5"/>
      <c r="Q7" s="5"/>
      <c r="R7" s="5"/>
      <c r="S7" s="5"/>
      <c r="T7" s="5"/>
      <c r="U7" s="5"/>
      <c r="V7" s="5"/>
      <c r="W7" s="5"/>
      <c r="X7" s="5"/>
      <c r="Y7" s="5"/>
      <c r="Z7" s="5"/>
    </row>
    <row r="8">
      <c r="A8" s="201"/>
      <c r="B8" s="201"/>
      <c r="C8" s="201"/>
      <c r="D8" s="201"/>
      <c r="E8" s="201"/>
      <c r="F8" s="201"/>
      <c r="G8" s="201"/>
      <c r="H8" s="201"/>
      <c r="I8" s="201"/>
      <c r="J8" s="201"/>
      <c r="K8" s="5"/>
      <c r="L8" s="5"/>
      <c r="M8" s="5"/>
      <c r="N8" s="5"/>
      <c r="O8" s="5"/>
      <c r="P8" s="5"/>
      <c r="Q8" s="5"/>
      <c r="R8" s="5"/>
      <c r="S8" s="5"/>
      <c r="T8" s="5"/>
      <c r="U8" s="5"/>
      <c r="V8" s="5"/>
      <c r="W8" s="5"/>
      <c r="X8" s="5"/>
      <c r="Y8" s="5"/>
      <c r="Z8" s="5"/>
    </row>
    <row r="9">
      <c r="A9" s="201"/>
      <c r="B9" s="201"/>
      <c r="C9" s="201"/>
      <c r="D9" s="201"/>
      <c r="E9" s="201"/>
      <c r="F9" s="201"/>
      <c r="G9" s="201"/>
      <c r="H9" s="201"/>
      <c r="I9" s="201"/>
      <c r="J9" s="201"/>
      <c r="K9" s="5"/>
      <c r="L9" s="5"/>
      <c r="M9" s="5"/>
      <c r="N9" s="5"/>
      <c r="O9" s="5"/>
      <c r="P9" s="5"/>
      <c r="Q9" s="5"/>
      <c r="R9" s="5"/>
      <c r="S9" s="5"/>
      <c r="T9" s="5"/>
      <c r="U9" s="5"/>
      <c r="V9" s="5"/>
      <c r="W9" s="5"/>
      <c r="X9" s="5"/>
      <c r="Y9" s="5"/>
      <c r="Z9" s="5"/>
    </row>
    <row r="10">
      <c r="A10" s="200" t="s">
        <v>353</v>
      </c>
      <c r="B10" s="201"/>
      <c r="C10" s="201"/>
      <c r="D10" s="201"/>
      <c r="E10" s="201"/>
      <c r="F10" s="201"/>
      <c r="G10" s="201"/>
      <c r="H10" s="201"/>
      <c r="I10" s="201"/>
      <c r="J10" s="201"/>
      <c r="K10" s="5"/>
      <c r="L10" s="5"/>
      <c r="M10" s="5"/>
      <c r="N10" s="5"/>
      <c r="O10" s="5"/>
      <c r="P10" s="5"/>
      <c r="Q10" s="5"/>
      <c r="R10" s="5"/>
      <c r="S10" s="5"/>
      <c r="T10" s="5"/>
      <c r="U10" s="5"/>
      <c r="V10" s="5"/>
      <c r="W10" s="5"/>
      <c r="X10" s="5"/>
      <c r="Y10" s="5"/>
      <c r="Z10" s="5"/>
    </row>
    <row r="11">
      <c r="A11" s="201"/>
      <c r="B11" s="201"/>
      <c r="C11" s="201"/>
      <c r="D11" s="201"/>
      <c r="E11" s="201"/>
      <c r="F11" s="201"/>
      <c r="G11" s="201"/>
      <c r="H11" s="201"/>
      <c r="I11" s="201"/>
      <c r="J11" s="201"/>
      <c r="K11" s="5"/>
      <c r="L11" s="5"/>
      <c r="M11" s="5"/>
      <c r="N11" s="5"/>
      <c r="O11" s="5"/>
      <c r="P11" s="5"/>
      <c r="Q11" s="5"/>
      <c r="R11" s="5"/>
      <c r="S11" s="5"/>
      <c r="T11" s="5"/>
      <c r="U11" s="5"/>
      <c r="V11" s="5"/>
      <c r="W11" s="5"/>
      <c r="X11" s="5"/>
      <c r="Y11" s="5"/>
      <c r="Z11" s="5"/>
    </row>
    <row r="12">
      <c r="A12" s="206" t="s">
        <v>255</v>
      </c>
      <c r="B12" s="206" t="s">
        <v>354</v>
      </c>
      <c r="C12" s="206" t="s">
        <v>355</v>
      </c>
      <c r="D12" s="207" t="s">
        <v>356</v>
      </c>
      <c r="E12" s="208" t="s">
        <v>357</v>
      </c>
      <c r="F12" s="201"/>
      <c r="G12" s="201"/>
      <c r="H12" s="201"/>
      <c r="I12" s="201"/>
      <c r="J12" s="201"/>
      <c r="K12" s="5"/>
      <c r="L12" s="5"/>
      <c r="M12" s="5"/>
      <c r="N12" s="5"/>
      <c r="O12" s="5"/>
      <c r="P12" s="5"/>
      <c r="Q12" s="5"/>
      <c r="R12" s="5"/>
      <c r="S12" s="5"/>
      <c r="T12" s="5"/>
      <c r="U12" s="5"/>
      <c r="V12" s="5"/>
      <c r="W12" s="5"/>
      <c r="X12" s="5"/>
      <c r="Y12" s="5"/>
      <c r="Z12" s="5"/>
    </row>
    <row r="13">
      <c r="A13" s="209" t="s">
        <v>272</v>
      </c>
      <c r="B13" s="201" t="s">
        <v>358</v>
      </c>
      <c r="C13" s="210" t="s">
        <v>359</v>
      </c>
      <c r="D13" s="211">
        <f>(SUMIFS(H$25:H$552, B$25:B$552, "Guatemala", G$25:G$552, 2001, A$25:A$552, "deaths", D$25:D$552, "All Ages", E$25:E$552, "Enteric infections")+SUMIFS(H$25:H$552, B$25:B$552, "Guatemala", G$25:G$552, 2002, A$25:A$552, "deaths", D$25:D$552, "All Ages", E$25:E$552, "Enteric infections"))/2</f>
        <v>0.0725902165</v>
      </c>
      <c r="E13" s="21">
        <f>'Mortality effect size'!Q4</f>
        <v>0.01955927109</v>
      </c>
      <c r="F13" s="201"/>
      <c r="G13" s="201"/>
      <c r="H13" s="201"/>
      <c r="I13" s="201"/>
      <c r="J13" s="201"/>
      <c r="K13" s="5"/>
      <c r="L13" s="5"/>
      <c r="M13" s="5"/>
      <c r="N13" s="5"/>
      <c r="O13" s="5"/>
      <c r="P13" s="5"/>
      <c r="Q13" s="5"/>
      <c r="R13" s="5"/>
      <c r="S13" s="5"/>
      <c r="T13" s="5"/>
      <c r="U13" s="5"/>
      <c r="V13" s="5"/>
      <c r="W13" s="5"/>
      <c r="X13" s="5"/>
      <c r="Y13" s="5"/>
      <c r="Z13" s="5"/>
    </row>
    <row r="14">
      <c r="A14" s="209" t="s">
        <v>276</v>
      </c>
      <c r="B14" s="201" t="s">
        <v>360</v>
      </c>
      <c r="C14" s="210" t="s">
        <v>361</v>
      </c>
      <c r="D14" s="211">
        <f>(SUMIFS(H$25:H$552, B$25:B$552, "India", G$25:G$552, 2010, A$25:A$552, "deaths", D$25:D$552, "All Ages", E$25:E$552, "Enteric infections")+SUMIFS(H$25:H$552, B$25:B$552, "India", G$25:G$552, 2011, A$25:A$552, "deaths", D$25:D$552, "All Ages", E$25:E$552, "Enteric infections"))/2</f>
        <v>0.1015191275</v>
      </c>
      <c r="E14" s="21">
        <f>'Mortality effect size'!Q5</f>
        <v>0.01232972125</v>
      </c>
      <c r="F14" s="201"/>
      <c r="G14" s="201"/>
      <c r="H14" s="201"/>
      <c r="I14" s="201"/>
      <c r="J14" s="201"/>
      <c r="K14" s="5"/>
      <c r="L14" s="5"/>
      <c r="M14" s="5"/>
      <c r="N14" s="5"/>
      <c r="O14" s="5"/>
      <c r="P14" s="5"/>
      <c r="Q14" s="5"/>
      <c r="R14" s="5"/>
      <c r="S14" s="5"/>
      <c r="T14" s="5"/>
      <c r="U14" s="5"/>
      <c r="V14" s="5"/>
      <c r="W14" s="5"/>
      <c r="X14" s="5"/>
      <c r="Y14" s="5"/>
      <c r="Z14" s="5"/>
    </row>
    <row r="15">
      <c r="A15" s="209" t="s">
        <v>278</v>
      </c>
      <c r="B15" s="201" t="s">
        <v>362</v>
      </c>
      <c r="C15" s="210" t="s">
        <v>363</v>
      </c>
      <c r="D15" s="211">
        <f>(SUMIFS(H$25:H$552, B$25:B$552, "Bangladesh", G$25:G$552, 2013, A$25:A$552, "deaths", D$25:D$552, "All Ages", E$25:E$552, "Enteric infections")+SUMIFS(H$25:H$552, B$25:B$552, "Bangladesh", G$25:G$552, 2014, A$25:A$552, "deaths", D$25:D$552, "All Ages", E$25:E$552, "Enteric infections"))/2</f>
        <v>0.0550744905</v>
      </c>
      <c r="E15" s="21">
        <f>'Mortality effect size'!Q6</f>
        <v>0.2723990425</v>
      </c>
      <c r="F15" s="201"/>
      <c r="G15" s="201"/>
      <c r="H15" s="201"/>
      <c r="I15" s="201"/>
      <c r="J15" s="201"/>
      <c r="K15" s="5"/>
      <c r="L15" s="5"/>
      <c r="M15" s="5"/>
      <c r="N15" s="5"/>
      <c r="O15" s="5"/>
      <c r="P15" s="5"/>
      <c r="Q15" s="5"/>
      <c r="R15" s="5"/>
      <c r="S15" s="5"/>
      <c r="T15" s="5"/>
      <c r="U15" s="5"/>
      <c r="V15" s="5"/>
      <c r="W15" s="5"/>
      <c r="X15" s="5"/>
      <c r="Y15" s="5"/>
      <c r="Z15" s="5"/>
    </row>
    <row r="16">
      <c r="A16" s="209" t="s">
        <v>279</v>
      </c>
      <c r="B16" s="201" t="s">
        <v>11</v>
      </c>
      <c r="C16" s="210" t="s">
        <v>364</v>
      </c>
      <c r="D16" s="211">
        <f>SUMIFS(H$25:H$552, B$25:B$552, "Kenya", G$25:G$552, 2015, A$25:A$552, "deaths", D$25:D$552, "All Ages", E$25:E$552, "Enteric infections")</f>
        <v>0.086877618</v>
      </c>
      <c r="E16" s="21">
        <f>'Mortality effect size'!Q7</f>
        <v>0.4548633439</v>
      </c>
      <c r="F16" s="201"/>
      <c r="G16" s="201"/>
      <c r="H16" s="201"/>
      <c r="I16" s="201"/>
      <c r="J16" s="201"/>
      <c r="K16" s="5"/>
      <c r="L16" s="5"/>
      <c r="M16" s="5"/>
      <c r="N16" s="5"/>
      <c r="O16" s="5"/>
      <c r="P16" s="5"/>
      <c r="Q16" s="5"/>
      <c r="R16" s="5"/>
      <c r="S16" s="5"/>
      <c r="T16" s="5"/>
      <c r="U16" s="5"/>
      <c r="V16" s="5"/>
      <c r="W16" s="5"/>
      <c r="X16" s="5"/>
      <c r="Y16" s="5"/>
      <c r="Z16" s="5"/>
    </row>
    <row r="17">
      <c r="A17" s="209" t="s">
        <v>280</v>
      </c>
      <c r="B17" s="201" t="s">
        <v>365</v>
      </c>
      <c r="C17" s="210" t="s">
        <v>366</v>
      </c>
      <c r="D17" s="211">
        <f>(SUMIFS(H$25:H$552, B$25:B$552, "Zimbabwe", G$25:G$552, 2013, A$25:A$552, "deaths", D$25:D$552, "All Ages", E$25:E$552, "Enteric infections")+SUMIFS(H$25:H$552, B$25:B$552, "Zimbabwe", G$25:G$552, 2016, A$25:A$552, "deaths", D$25:D$552, "All Ages", E$25:E$552, "Enteric infections"))/2</f>
        <v>0.0406988305</v>
      </c>
      <c r="E17" s="21">
        <f>'Mortality effect size'!Q8</f>
        <v>0.2408486213</v>
      </c>
      <c r="F17" s="201"/>
      <c r="G17" s="201"/>
      <c r="H17" s="201"/>
      <c r="I17" s="201"/>
      <c r="J17" s="201"/>
      <c r="K17" s="5"/>
      <c r="L17" s="5"/>
      <c r="M17" s="5"/>
      <c r="N17" s="5"/>
      <c r="O17" s="5"/>
      <c r="P17" s="5"/>
      <c r="Q17" s="5"/>
      <c r="R17" s="5"/>
      <c r="S17" s="5"/>
      <c r="T17" s="5"/>
      <c r="U17" s="5"/>
      <c r="V17" s="5"/>
      <c r="W17" s="5"/>
      <c r="X17" s="5"/>
      <c r="Y17" s="5"/>
      <c r="Z17" s="5"/>
    </row>
    <row r="18">
      <c r="A18" s="201" t="s">
        <v>367</v>
      </c>
      <c r="B18" s="201"/>
      <c r="C18" s="201"/>
      <c r="D18" s="212">
        <f>SUMPRODUCT(D13:D17,E13:E17)</f>
        <v>0.06699345379</v>
      </c>
      <c r="E18" s="201"/>
      <c r="F18" s="201"/>
      <c r="G18" s="201"/>
      <c r="H18" s="201"/>
      <c r="I18" s="201"/>
      <c r="J18" s="201"/>
      <c r="K18" s="5"/>
      <c r="L18" s="5"/>
      <c r="M18" s="5"/>
      <c r="N18" s="5"/>
      <c r="O18" s="5"/>
      <c r="P18" s="5"/>
      <c r="Q18" s="5"/>
      <c r="R18" s="5"/>
      <c r="S18" s="5"/>
      <c r="T18" s="5"/>
      <c r="U18" s="5"/>
      <c r="V18" s="5"/>
      <c r="W18" s="5"/>
      <c r="X18" s="5"/>
      <c r="Y18" s="5"/>
      <c r="Z18" s="5"/>
    </row>
    <row r="19">
      <c r="A19" s="201"/>
      <c r="B19" s="201"/>
      <c r="C19" s="201"/>
      <c r="D19" s="201"/>
      <c r="E19" s="201"/>
      <c r="F19" s="201"/>
      <c r="G19" s="201"/>
      <c r="H19" s="201"/>
      <c r="I19" s="201"/>
      <c r="J19" s="201"/>
      <c r="K19" s="5"/>
      <c r="L19" s="5"/>
      <c r="M19" s="5"/>
      <c r="N19" s="5"/>
      <c r="O19" s="5"/>
      <c r="P19" s="5"/>
      <c r="Q19" s="5"/>
      <c r="R19" s="5"/>
      <c r="S19" s="5"/>
      <c r="T19" s="5"/>
      <c r="U19" s="5"/>
      <c r="V19" s="5"/>
      <c r="W19" s="5"/>
      <c r="X19" s="5"/>
      <c r="Y19" s="5"/>
      <c r="Z19" s="5"/>
    </row>
    <row r="20">
      <c r="A20" s="201"/>
      <c r="B20" s="201"/>
      <c r="C20" s="201"/>
      <c r="D20" s="201"/>
      <c r="E20" s="201"/>
      <c r="F20" s="201"/>
      <c r="G20" s="201"/>
      <c r="H20" s="201"/>
      <c r="I20" s="201"/>
      <c r="J20" s="201"/>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213" t="s">
        <v>368</v>
      </c>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t="s">
        <v>64</v>
      </c>
      <c r="B24" s="5" t="s">
        <v>65</v>
      </c>
      <c r="C24" s="5" t="s">
        <v>66</v>
      </c>
      <c r="D24" s="5" t="s">
        <v>67</v>
      </c>
      <c r="E24" s="5" t="s">
        <v>68</v>
      </c>
      <c r="F24" s="5" t="s">
        <v>69</v>
      </c>
      <c r="G24" s="5" t="s">
        <v>70</v>
      </c>
      <c r="H24" s="5" t="s">
        <v>71</v>
      </c>
      <c r="I24" s="5" t="s">
        <v>72</v>
      </c>
      <c r="J24" s="5" t="s">
        <v>73</v>
      </c>
      <c r="K24" s="5"/>
      <c r="L24" s="5"/>
      <c r="M24" s="5"/>
      <c r="N24" s="5"/>
      <c r="O24" s="5"/>
      <c r="P24" s="5"/>
      <c r="Q24" s="5"/>
      <c r="R24" s="5"/>
      <c r="S24" s="5"/>
      <c r="T24" s="5"/>
      <c r="U24" s="5"/>
      <c r="V24" s="5"/>
      <c r="W24" s="5"/>
      <c r="X24" s="5"/>
      <c r="Y24" s="5"/>
      <c r="Z24" s="5"/>
    </row>
    <row r="25">
      <c r="A25" s="5" t="s">
        <v>74</v>
      </c>
      <c r="B25" s="5" t="s">
        <v>362</v>
      </c>
      <c r="C25" s="5" t="s">
        <v>76</v>
      </c>
      <c r="D25" s="5" t="s">
        <v>369</v>
      </c>
      <c r="E25" s="5" t="s">
        <v>77</v>
      </c>
      <c r="F25" s="5" t="s">
        <v>249</v>
      </c>
      <c r="G25" s="191">
        <v>1996.0</v>
      </c>
      <c r="H25" s="191">
        <v>0.117682713</v>
      </c>
      <c r="I25" s="191">
        <v>0.147003699</v>
      </c>
      <c r="J25" s="191">
        <v>0.091416931</v>
      </c>
      <c r="K25" s="5"/>
      <c r="L25" s="5"/>
      <c r="M25" s="5"/>
      <c r="N25" s="5"/>
      <c r="O25" s="5"/>
      <c r="P25" s="5"/>
      <c r="Q25" s="5"/>
      <c r="R25" s="5"/>
      <c r="S25" s="5"/>
      <c r="T25" s="5"/>
      <c r="U25" s="5"/>
      <c r="V25" s="5"/>
      <c r="W25" s="5"/>
      <c r="X25" s="5"/>
      <c r="Y25" s="5"/>
      <c r="Z25" s="5"/>
    </row>
    <row r="26">
      <c r="A26" s="5" t="s">
        <v>74</v>
      </c>
      <c r="B26" s="5" t="s">
        <v>362</v>
      </c>
      <c r="C26" s="5" t="s">
        <v>76</v>
      </c>
      <c r="D26" s="5" t="s">
        <v>370</v>
      </c>
      <c r="E26" s="5" t="s">
        <v>77</v>
      </c>
      <c r="F26" s="5" t="s">
        <v>249</v>
      </c>
      <c r="G26" s="191">
        <v>1996.0</v>
      </c>
      <c r="H26" s="191">
        <v>0.100542195</v>
      </c>
      <c r="I26" s="191">
        <v>0.129911741</v>
      </c>
      <c r="J26" s="191">
        <v>0.079671727</v>
      </c>
      <c r="K26" s="5"/>
      <c r="L26" s="5"/>
      <c r="M26" s="5"/>
      <c r="N26" s="5"/>
      <c r="O26" s="5"/>
      <c r="P26" s="5"/>
      <c r="Q26" s="5"/>
      <c r="R26" s="5"/>
      <c r="S26" s="5"/>
      <c r="T26" s="5"/>
      <c r="U26" s="5"/>
      <c r="V26" s="5"/>
      <c r="W26" s="5"/>
      <c r="X26" s="5"/>
      <c r="Y26" s="5"/>
      <c r="Z26" s="5"/>
    </row>
    <row r="27">
      <c r="A27" s="5" t="s">
        <v>371</v>
      </c>
      <c r="B27" s="5" t="s">
        <v>362</v>
      </c>
      <c r="C27" s="5" t="s">
        <v>76</v>
      </c>
      <c r="D27" s="5" t="s">
        <v>369</v>
      </c>
      <c r="E27" s="5" t="s">
        <v>77</v>
      </c>
      <c r="F27" s="5" t="s">
        <v>249</v>
      </c>
      <c r="G27" s="191">
        <v>1996.0</v>
      </c>
      <c r="H27" s="191">
        <v>0.051674175</v>
      </c>
      <c r="I27" s="191">
        <v>0.064419699</v>
      </c>
      <c r="J27" s="191">
        <v>0.040822959</v>
      </c>
      <c r="K27" s="5"/>
      <c r="L27" s="5"/>
      <c r="M27" s="5"/>
      <c r="N27" s="5"/>
      <c r="O27" s="5"/>
      <c r="P27" s="5"/>
      <c r="Q27" s="5"/>
      <c r="R27" s="5"/>
      <c r="S27" s="5"/>
      <c r="T27" s="5"/>
      <c r="U27" s="5"/>
      <c r="V27" s="5"/>
      <c r="W27" s="5"/>
      <c r="X27" s="5"/>
      <c r="Y27" s="5"/>
      <c r="Z27" s="5"/>
    </row>
    <row r="28">
      <c r="A28" s="5" t="s">
        <v>371</v>
      </c>
      <c r="B28" s="5" t="s">
        <v>362</v>
      </c>
      <c r="C28" s="5" t="s">
        <v>76</v>
      </c>
      <c r="D28" s="5" t="s">
        <v>370</v>
      </c>
      <c r="E28" s="5" t="s">
        <v>77</v>
      </c>
      <c r="F28" s="5" t="s">
        <v>249</v>
      </c>
      <c r="G28" s="191">
        <v>1996.0</v>
      </c>
      <c r="H28" s="191">
        <v>0.025549862</v>
      </c>
      <c r="I28" s="191">
        <v>0.029879862</v>
      </c>
      <c r="J28" s="191">
        <v>0.02191678</v>
      </c>
      <c r="K28" s="5"/>
      <c r="L28" s="5"/>
      <c r="M28" s="5"/>
      <c r="N28" s="5"/>
      <c r="O28" s="5"/>
      <c r="P28" s="5"/>
      <c r="Q28" s="5"/>
      <c r="R28" s="5"/>
      <c r="S28" s="5"/>
      <c r="T28" s="5"/>
      <c r="U28" s="5"/>
      <c r="V28" s="5"/>
      <c r="W28" s="5"/>
      <c r="X28" s="5"/>
      <c r="Y28" s="5"/>
      <c r="Z28" s="5"/>
    </row>
    <row r="29">
      <c r="A29" s="5" t="s">
        <v>74</v>
      </c>
      <c r="B29" s="5" t="s">
        <v>358</v>
      </c>
      <c r="C29" s="5" t="s">
        <v>76</v>
      </c>
      <c r="D29" s="5" t="s">
        <v>369</v>
      </c>
      <c r="E29" s="5" t="s">
        <v>77</v>
      </c>
      <c r="F29" s="5" t="s">
        <v>249</v>
      </c>
      <c r="G29" s="191">
        <v>1996.0</v>
      </c>
      <c r="H29" s="191">
        <v>0.182504045</v>
      </c>
      <c r="I29" s="191">
        <v>0.201262698</v>
      </c>
      <c r="J29" s="191">
        <v>0.163492607</v>
      </c>
      <c r="K29" s="5"/>
      <c r="L29" s="5"/>
      <c r="M29" s="5"/>
      <c r="N29" s="5"/>
      <c r="O29" s="5"/>
      <c r="P29" s="5"/>
      <c r="Q29" s="5"/>
      <c r="R29" s="5"/>
      <c r="S29" s="5"/>
      <c r="T29" s="5"/>
      <c r="U29" s="5"/>
      <c r="V29" s="5"/>
      <c r="W29" s="5"/>
      <c r="X29" s="5"/>
      <c r="Y29" s="5"/>
      <c r="Z29" s="5"/>
    </row>
    <row r="30">
      <c r="A30" s="5" t="s">
        <v>74</v>
      </c>
      <c r="B30" s="5" t="s">
        <v>358</v>
      </c>
      <c r="C30" s="5" t="s">
        <v>76</v>
      </c>
      <c r="D30" s="5" t="s">
        <v>370</v>
      </c>
      <c r="E30" s="5" t="s">
        <v>77</v>
      </c>
      <c r="F30" s="5" t="s">
        <v>249</v>
      </c>
      <c r="G30" s="191">
        <v>1996.0</v>
      </c>
      <c r="H30" s="191">
        <v>0.096265637</v>
      </c>
      <c r="I30" s="191">
        <v>0.103665428</v>
      </c>
      <c r="J30" s="191">
        <v>0.089011577</v>
      </c>
      <c r="K30" s="5"/>
      <c r="L30" s="5"/>
      <c r="M30" s="5"/>
      <c r="N30" s="5"/>
      <c r="O30" s="5"/>
      <c r="P30" s="5"/>
      <c r="Q30" s="5"/>
      <c r="R30" s="5"/>
      <c r="S30" s="5"/>
      <c r="T30" s="5"/>
      <c r="U30" s="5"/>
      <c r="V30" s="5"/>
      <c r="W30" s="5"/>
      <c r="X30" s="5"/>
      <c r="Y30" s="5"/>
      <c r="Z30" s="5"/>
    </row>
    <row r="31">
      <c r="A31" s="5" t="s">
        <v>371</v>
      </c>
      <c r="B31" s="5" t="s">
        <v>358</v>
      </c>
      <c r="C31" s="5" t="s">
        <v>76</v>
      </c>
      <c r="D31" s="5" t="s">
        <v>369</v>
      </c>
      <c r="E31" s="5" t="s">
        <v>77</v>
      </c>
      <c r="F31" s="5" t="s">
        <v>249</v>
      </c>
      <c r="G31" s="191">
        <v>1996.0</v>
      </c>
      <c r="H31" s="191">
        <v>0.121018418</v>
      </c>
      <c r="I31" s="191">
        <v>0.143137005</v>
      </c>
      <c r="J31" s="191">
        <v>0.098830805</v>
      </c>
      <c r="K31" s="5"/>
      <c r="L31" s="5"/>
      <c r="M31" s="5"/>
      <c r="N31" s="5"/>
      <c r="O31" s="5"/>
      <c r="P31" s="5"/>
      <c r="Q31" s="5"/>
      <c r="R31" s="5"/>
      <c r="S31" s="5"/>
      <c r="T31" s="5"/>
      <c r="U31" s="5"/>
      <c r="V31" s="5"/>
      <c r="W31" s="5"/>
      <c r="X31" s="5"/>
      <c r="Y31" s="5"/>
      <c r="Z31" s="5"/>
    </row>
    <row r="32">
      <c r="A32" s="5" t="s">
        <v>371</v>
      </c>
      <c r="B32" s="5" t="s">
        <v>358</v>
      </c>
      <c r="C32" s="5" t="s">
        <v>76</v>
      </c>
      <c r="D32" s="5" t="s">
        <v>370</v>
      </c>
      <c r="E32" s="5" t="s">
        <v>77</v>
      </c>
      <c r="F32" s="5" t="s">
        <v>249</v>
      </c>
      <c r="G32" s="191">
        <v>1996.0</v>
      </c>
      <c r="H32" s="191">
        <v>0.034842165</v>
      </c>
      <c r="I32" s="191">
        <v>0.039632463</v>
      </c>
      <c r="J32" s="191">
        <v>0.030389339</v>
      </c>
      <c r="K32" s="5"/>
      <c r="L32" s="5"/>
      <c r="M32" s="5"/>
      <c r="N32" s="5"/>
      <c r="O32" s="5"/>
      <c r="P32" s="5"/>
      <c r="Q32" s="5"/>
      <c r="R32" s="5"/>
      <c r="S32" s="5"/>
      <c r="T32" s="5"/>
      <c r="U32" s="5"/>
      <c r="V32" s="5"/>
      <c r="W32" s="5"/>
      <c r="X32" s="5"/>
      <c r="Y32" s="5"/>
      <c r="Z32" s="5"/>
    </row>
    <row r="33">
      <c r="A33" s="5" t="s">
        <v>74</v>
      </c>
      <c r="B33" s="5" t="s">
        <v>360</v>
      </c>
      <c r="C33" s="5" t="s">
        <v>76</v>
      </c>
      <c r="D33" s="5" t="s">
        <v>369</v>
      </c>
      <c r="E33" s="5" t="s">
        <v>77</v>
      </c>
      <c r="F33" s="5" t="s">
        <v>249</v>
      </c>
      <c r="G33" s="191">
        <v>1996.0</v>
      </c>
      <c r="H33" s="191">
        <v>0.139588793</v>
      </c>
      <c r="I33" s="191">
        <v>0.168272556</v>
      </c>
      <c r="J33" s="191">
        <v>0.112220266</v>
      </c>
      <c r="K33" s="5"/>
      <c r="L33" s="5"/>
      <c r="M33" s="5"/>
      <c r="N33" s="5"/>
      <c r="O33" s="5"/>
      <c r="P33" s="5"/>
      <c r="Q33" s="5"/>
      <c r="R33" s="5"/>
      <c r="S33" s="5"/>
      <c r="T33" s="5"/>
      <c r="U33" s="5"/>
      <c r="V33" s="5"/>
      <c r="W33" s="5"/>
      <c r="X33" s="5"/>
      <c r="Y33" s="5"/>
      <c r="Z33" s="5"/>
    </row>
    <row r="34">
      <c r="A34" s="5" t="s">
        <v>74</v>
      </c>
      <c r="B34" s="5" t="s">
        <v>360</v>
      </c>
      <c r="C34" s="5" t="s">
        <v>76</v>
      </c>
      <c r="D34" s="5" t="s">
        <v>370</v>
      </c>
      <c r="E34" s="5" t="s">
        <v>77</v>
      </c>
      <c r="F34" s="5" t="s">
        <v>249</v>
      </c>
      <c r="G34" s="191">
        <v>1996.0</v>
      </c>
      <c r="H34" s="191">
        <v>0.135671093</v>
      </c>
      <c r="I34" s="191">
        <v>0.179502932</v>
      </c>
      <c r="J34" s="191">
        <v>0.099788584</v>
      </c>
      <c r="K34" s="5"/>
      <c r="L34" s="5"/>
      <c r="M34" s="5"/>
      <c r="N34" s="5"/>
      <c r="O34" s="5"/>
      <c r="P34" s="5"/>
      <c r="Q34" s="5"/>
      <c r="R34" s="5"/>
      <c r="S34" s="5"/>
      <c r="T34" s="5"/>
      <c r="U34" s="5"/>
      <c r="V34" s="5"/>
      <c r="W34" s="5"/>
      <c r="X34" s="5"/>
      <c r="Y34" s="5"/>
      <c r="Z34" s="5"/>
    </row>
    <row r="35">
      <c r="A35" s="5" t="s">
        <v>371</v>
      </c>
      <c r="B35" s="5" t="s">
        <v>360</v>
      </c>
      <c r="C35" s="5" t="s">
        <v>76</v>
      </c>
      <c r="D35" s="5" t="s">
        <v>369</v>
      </c>
      <c r="E35" s="5" t="s">
        <v>77</v>
      </c>
      <c r="F35" s="5" t="s">
        <v>249</v>
      </c>
      <c r="G35" s="191">
        <v>1996.0</v>
      </c>
      <c r="H35" s="191">
        <v>0.034721126</v>
      </c>
      <c r="I35" s="191">
        <v>0.043053417</v>
      </c>
      <c r="J35" s="191">
        <v>0.027785461</v>
      </c>
      <c r="K35" s="5"/>
      <c r="L35" s="5"/>
      <c r="M35" s="5"/>
      <c r="N35" s="5"/>
      <c r="O35" s="5"/>
      <c r="P35" s="5"/>
      <c r="Q35" s="5"/>
      <c r="R35" s="5"/>
      <c r="S35" s="5"/>
      <c r="T35" s="5"/>
      <c r="U35" s="5"/>
      <c r="V35" s="5"/>
      <c r="W35" s="5"/>
      <c r="X35" s="5"/>
      <c r="Y35" s="5"/>
      <c r="Z35" s="5"/>
    </row>
    <row r="36">
      <c r="A36" s="5" t="s">
        <v>371</v>
      </c>
      <c r="B36" s="5" t="s">
        <v>360</v>
      </c>
      <c r="C36" s="5" t="s">
        <v>76</v>
      </c>
      <c r="D36" s="5" t="s">
        <v>370</v>
      </c>
      <c r="E36" s="5" t="s">
        <v>77</v>
      </c>
      <c r="F36" s="5" t="s">
        <v>249</v>
      </c>
      <c r="G36" s="191">
        <v>1996.0</v>
      </c>
      <c r="H36" s="191">
        <v>0.025576731</v>
      </c>
      <c r="I36" s="191">
        <v>0.029557152</v>
      </c>
      <c r="J36" s="191">
        <v>0.022181372</v>
      </c>
      <c r="K36" s="5"/>
      <c r="L36" s="5"/>
      <c r="M36" s="5"/>
      <c r="N36" s="5"/>
      <c r="O36" s="5"/>
      <c r="P36" s="5"/>
      <c r="Q36" s="5"/>
      <c r="R36" s="5"/>
      <c r="S36" s="5"/>
      <c r="T36" s="5"/>
      <c r="U36" s="5"/>
      <c r="V36" s="5"/>
      <c r="W36" s="5"/>
      <c r="X36" s="5"/>
      <c r="Y36" s="5"/>
      <c r="Z36" s="5"/>
    </row>
    <row r="37">
      <c r="A37" s="5" t="s">
        <v>74</v>
      </c>
      <c r="B37" s="5" t="s">
        <v>11</v>
      </c>
      <c r="C37" s="5" t="s">
        <v>76</v>
      </c>
      <c r="D37" s="5" t="s">
        <v>369</v>
      </c>
      <c r="E37" s="5" t="s">
        <v>77</v>
      </c>
      <c r="F37" s="5" t="s">
        <v>249</v>
      </c>
      <c r="G37" s="191">
        <v>1996.0</v>
      </c>
      <c r="H37" s="191">
        <v>0.195761336</v>
      </c>
      <c r="I37" s="191">
        <v>0.258989494</v>
      </c>
      <c r="J37" s="191">
        <v>0.125072261</v>
      </c>
      <c r="K37" s="5"/>
      <c r="L37" s="5"/>
      <c r="M37" s="5"/>
      <c r="N37" s="5"/>
      <c r="O37" s="5"/>
      <c r="P37" s="5"/>
      <c r="Q37" s="5"/>
      <c r="R37" s="5"/>
      <c r="S37" s="5"/>
      <c r="T37" s="5"/>
      <c r="U37" s="5"/>
      <c r="V37" s="5"/>
      <c r="W37" s="5"/>
      <c r="X37" s="5"/>
      <c r="Y37" s="5"/>
      <c r="Z37" s="5"/>
    </row>
    <row r="38">
      <c r="A38" s="5" t="s">
        <v>74</v>
      </c>
      <c r="B38" s="5" t="s">
        <v>11</v>
      </c>
      <c r="C38" s="5" t="s">
        <v>76</v>
      </c>
      <c r="D38" s="5" t="s">
        <v>370</v>
      </c>
      <c r="E38" s="5" t="s">
        <v>77</v>
      </c>
      <c r="F38" s="5" t="s">
        <v>249</v>
      </c>
      <c r="G38" s="191">
        <v>1996.0</v>
      </c>
      <c r="H38" s="191">
        <v>0.105306439</v>
      </c>
      <c r="I38" s="191">
        <v>0.140895274</v>
      </c>
      <c r="J38" s="191">
        <v>0.071787443</v>
      </c>
      <c r="K38" s="5"/>
      <c r="L38" s="5"/>
      <c r="M38" s="5"/>
      <c r="N38" s="5"/>
      <c r="O38" s="5"/>
      <c r="P38" s="5"/>
      <c r="Q38" s="5"/>
      <c r="R38" s="5"/>
      <c r="S38" s="5"/>
      <c r="T38" s="5"/>
      <c r="U38" s="5"/>
      <c r="V38" s="5"/>
      <c r="W38" s="5"/>
      <c r="X38" s="5"/>
      <c r="Y38" s="5"/>
      <c r="Z38" s="5"/>
    </row>
    <row r="39">
      <c r="A39" s="5" t="s">
        <v>371</v>
      </c>
      <c r="B39" s="5" t="s">
        <v>11</v>
      </c>
      <c r="C39" s="5" t="s">
        <v>76</v>
      </c>
      <c r="D39" s="5" t="s">
        <v>369</v>
      </c>
      <c r="E39" s="5" t="s">
        <v>77</v>
      </c>
      <c r="F39" s="5" t="s">
        <v>249</v>
      </c>
      <c r="G39" s="191">
        <v>1996.0</v>
      </c>
      <c r="H39" s="191">
        <v>0.077567066</v>
      </c>
      <c r="I39" s="191">
        <v>0.094879524</v>
      </c>
      <c r="J39" s="191">
        <v>0.063033948</v>
      </c>
      <c r="K39" s="5"/>
      <c r="L39" s="5"/>
      <c r="M39" s="5"/>
      <c r="N39" s="5"/>
      <c r="O39" s="5"/>
      <c r="P39" s="5"/>
      <c r="Q39" s="5"/>
      <c r="R39" s="5"/>
      <c r="S39" s="5"/>
      <c r="T39" s="5"/>
      <c r="U39" s="5"/>
      <c r="V39" s="5"/>
      <c r="W39" s="5"/>
      <c r="X39" s="5"/>
      <c r="Y39" s="5"/>
      <c r="Z39" s="5"/>
    </row>
    <row r="40">
      <c r="A40" s="5" t="s">
        <v>371</v>
      </c>
      <c r="B40" s="5" t="s">
        <v>11</v>
      </c>
      <c r="C40" s="5" t="s">
        <v>76</v>
      </c>
      <c r="D40" s="5" t="s">
        <v>370</v>
      </c>
      <c r="E40" s="5" t="s">
        <v>77</v>
      </c>
      <c r="F40" s="5" t="s">
        <v>249</v>
      </c>
      <c r="G40" s="191">
        <v>1996.0</v>
      </c>
      <c r="H40" s="191">
        <v>0.022523422</v>
      </c>
      <c r="I40" s="191">
        <v>0.025725227</v>
      </c>
      <c r="J40" s="191">
        <v>0.019714208</v>
      </c>
      <c r="K40" s="5"/>
      <c r="L40" s="5"/>
      <c r="M40" s="5"/>
      <c r="N40" s="5"/>
      <c r="O40" s="5"/>
      <c r="P40" s="5"/>
      <c r="Q40" s="5"/>
      <c r="R40" s="5"/>
      <c r="S40" s="5"/>
      <c r="T40" s="5"/>
      <c r="U40" s="5"/>
      <c r="V40" s="5"/>
      <c r="W40" s="5"/>
      <c r="X40" s="5"/>
      <c r="Y40" s="5"/>
      <c r="Z40" s="5"/>
    </row>
    <row r="41">
      <c r="A41" s="5" t="s">
        <v>74</v>
      </c>
      <c r="B41" s="5" t="s">
        <v>15</v>
      </c>
      <c r="C41" s="5" t="s">
        <v>76</v>
      </c>
      <c r="D41" s="5" t="s">
        <v>369</v>
      </c>
      <c r="E41" s="5" t="s">
        <v>77</v>
      </c>
      <c r="F41" s="5" t="s">
        <v>249</v>
      </c>
      <c r="G41" s="191">
        <v>1996.0</v>
      </c>
      <c r="H41" s="191">
        <v>0.161778883</v>
      </c>
      <c r="I41" s="191">
        <v>0.221077739</v>
      </c>
      <c r="J41" s="191">
        <v>0.113219697</v>
      </c>
      <c r="K41" s="5"/>
      <c r="L41" s="5"/>
      <c r="M41" s="5"/>
      <c r="N41" s="5"/>
      <c r="O41" s="5"/>
      <c r="P41" s="5"/>
      <c r="Q41" s="5"/>
      <c r="R41" s="5"/>
      <c r="S41" s="5"/>
      <c r="T41" s="5"/>
      <c r="U41" s="5"/>
      <c r="V41" s="5"/>
      <c r="W41" s="5"/>
      <c r="X41" s="5"/>
      <c r="Y41" s="5"/>
      <c r="Z41" s="5"/>
    </row>
    <row r="42">
      <c r="A42" s="5" t="s">
        <v>74</v>
      </c>
      <c r="B42" s="5" t="s">
        <v>15</v>
      </c>
      <c r="C42" s="5" t="s">
        <v>76</v>
      </c>
      <c r="D42" s="5" t="s">
        <v>370</v>
      </c>
      <c r="E42" s="5" t="s">
        <v>77</v>
      </c>
      <c r="F42" s="5" t="s">
        <v>249</v>
      </c>
      <c r="G42" s="191">
        <v>1996.0</v>
      </c>
      <c r="H42" s="191">
        <v>0.10674014</v>
      </c>
      <c r="I42" s="191">
        <v>0.141510079</v>
      </c>
      <c r="J42" s="191">
        <v>0.077046982</v>
      </c>
      <c r="K42" s="5"/>
      <c r="L42" s="5"/>
      <c r="M42" s="5"/>
      <c r="N42" s="5"/>
      <c r="O42" s="5"/>
      <c r="P42" s="5"/>
      <c r="Q42" s="5"/>
      <c r="R42" s="5"/>
      <c r="S42" s="5"/>
      <c r="T42" s="5"/>
      <c r="U42" s="5"/>
      <c r="V42" s="5"/>
      <c r="W42" s="5"/>
      <c r="X42" s="5"/>
      <c r="Y42" s="5"/>
      <c r="Z42" s="5"/>
    </row>
    <row r="43">
      <c r="A43" s="5" t="s">
        <v>371</v>
      </c>
      <c r="B43" s="5" t="s">
        <v>15</v>
      </c>
      <c r="C43" s="5" t="s">
        <v>76</v>
      </c>
      <c r="D43" s="5" t="s">
        <v>369</v>
      </c>
      <c r="E43" s="5" t="s">
        <v>77</v>
      </c>
      <c r="F43" s="5" t="s">
        <v>249</v>
      </c>
      <c r="G43" s="191">
        <v>1996.0</v>
      </c>
      <c r="H43" s="191">
        <v>0.07982301</v>
      </c>
      <c r="I43" s="191">
        <v>0.097723178</v>
      </c>
      <c r="J43" s="191">
        <v>0.064865517</v>
      </c>
      <c r="K43" s="5"/>
      <c r="L43" s="5"/>
      <c r="M43" s="5"/>
      <c r="N43" s="5"/>
      <c r="O43" s="5"/>
      <c r="P43" s="5"/>
      <c r="Q43" s="5"/>
      <c r="R43" s="5"/>
      <c r="S43" s="5"/>
      <c r="T43" s="5"/>
      <c r="U43" s="5"/>
      <c r="V43" s="5"/>
      <c r="W43" s="5"/>
      <c r="X43" s="5"/>
      <c r="Y43" s="5"/>
      <c r="Z43" s="5"/>
    </row>
    <row r="44">
      <c r="A44" s="5" t="s">
        <v>371</v>
      </c>
      <c r="B44" s="5" t="s">
        <v>15</v>
      </c>
      <c r="C44" s="5" t="s">
        <v>76</v>
      </c>
      <c r="D44" s="5" t="s">
        <v>370</v>
      </c>
      <c r="E44" s="5" t="s">
        <v>77</v>
      </c>
      <c r="F44" s="5" t="s">
        <v>249</v>
      </c>
      <c r="G44" s="191">
        <v>1996.0</v>
      </c>
      <c r="H44" s="191">
        <v>0.02180962</v>
      </c>
      <c r="I44" s="191">
        <v>0.024701569</v>
      </c>
      <c r="J44" s="191">
        <v>0.018946378</v>
      </c>
      <c r="K44" s="5"/>
      <c r="L44" s="5"/>
      <c r="M44" s="5"/>
      <c r="N44" s="5"/>
      <c r="O44" s="5"/>
      <c r="P44" s="5"/>
      <c r="Q44" s="5"/>
      <c r="R44" s="5"/>
      <c r="S44" s="5"/>
      <c r="T44" s="5"/>
      <c r="U44" s="5"/>
      <c r="V44" s="5"/>
      <c r="W44" s="5"/>
      <c r="X44" s="5"/>
      <c r="Y44" s="5"/>
      <c r="Z44" s="5"/>
    </row>
    <row r="45">
      <c r="A45" s="5" t="s">
        <v>74</v>
      </c>
      <c r="B45" s="5" t="s">
        <v>372</v>
      </c>
      <c r="C45" s="5" t="s">
        <v>76</v>
      </c>
      <c r="D45" s="5" t="s">
        <v>369</v>
      </c>
      <c r="E45" s="5" t="s">
        <v>77</v>
      </c>
      <c r="F45" s="5" t="s">
        <v>249</v>
      </c>
      <c r="G45" s="191">
        <v>1996.0</v>
      </c>
      <c r="H45" s="191">
        <v>0.124956822</v>
      </c>
      <c r="I45" s="191">
        <v>0.165366272</v>
      </c>
      <c r="J45" s="191">
        <v>0.08940159</v>
      </c>
      <c r="K45" s="5"/>
      <c r="L45" s="5"/>
      <c r="M45" s="5"/>
      <c r="N45" s="5"/>
      <c r="O45" s="5"/>
      <c r="P45" s="5"/>
      <c r="Q45" s="5"/>
      <c r="R45" s="5"/>
      <c r="S45" s="5"/>
      <c r="T45" s="5"/>
      <c r="U45" s="5"/>
      <c r="V45" s="5"/>
      <c r="W45" s="5"/>
      <c r="X45" s="5"/>
      <c r="Y45" s="5"/>
      <c r="Z45" s="5"/>
    </row>
    <row r="46">
      <c r="A46" s="5" t="s">
        <v>74</v>
      </c>
      <c r="B46" s="5" t="s">
        <v>372</v>
      </c>
      <c r="C46" s="5" t="s">
        <v>76</v>
      </c>
      <c r="D46" s="5" t="s">
        <v>370</v>
      </c>
      <c r="E46" s="5" t="s">
        <v>77</v>
      </c>
      <c r="F46" s="5" t="s">
        <v>249</v>
      </c>
      <c r="G46" s="191">
        <v>1996.0</v>
      </c>
      <c r="H46" s="191">
        <v>0.107766129</v>
      </c>
      <c r="I46" s="191">
        <v>0.142464914</v>
      </c>
      <c r="J46" s="191">
        <v>0.078595339</v>
      </c>
      <c r="K46" s="5"/>
      <c r="L46" s="5"/>
      <c r="M46" s="5"/>
      <c r="N46" s="5"/>
      <c r="O46" s="5"/>
      <c r="P46" s="5"/>
      <c r="Q46" s="5"/>
      <c r="R46" s="5"/>
      <c r="S46" s="5"/>
      <c r="T46" s="5"/>
      <c r="U46" s="5"/>
      <c r="V46" s="5"/>
      <c r="W46" s="5"/>
      <c r="X46" s="5"/>
      <c r="Y46" s="5"/>
      <c r="Z46" s="5"/>
    </row>
    <row r="47">
      <c r="A47" s="5" t="s">
        <v>371</v>
      </c>
      <c r="B47" s="5" t="s">
        <v>372</v>
      </c>
      <c r="C47" s="5" t="s">
        <v>76</v>
      </c>
      <c r="D47" s="5" t="s">
        <v>369</v>
      </c>
      <c r="E47" s="5" t="s">
        <v>77</v>
      </c>
      <c r="F47" s="5" t="s">
        <v>249</v>
      </c>
      <c r="G47" s="191">
        <v>1996.0</v>
      </c>
      <c r="H47" s="191">
        <v>0.06962381</v>
      </c>
      <c r="I47" s="191">
        <v>0.087612999</v>
      </c>
      <c r="J47" s="191">
        <v>0.053359805</v>
      </c>
      <c r="K47" s="5"/>
      <c r="L47" s="5"/>
      <c r="M47" s="5"/>
      <c r="N47" s="5"/>
      <c r="O47" s="5"/>
      <c r="P47" s="5"/>
      <c r="Q47" s="5"/>
      <c r="R47" s="5"/>
      <c r="S47" s="5"/>
      <c r="T47" s="5"/>
      <c r="U47" s="5"/>
      <c r="V47" s="5"/>
      <c r="W47" s="5"/>
      <c r="X47" s="5"/>
      <c r="Y47" s="5"/>
      <c r="Z47" s="5"/>
    </row>
    <row r="48">
      <c r="A48" s="5" t="s">
        <v>371</v>
      </c>
      <c r="B48" s="5" t="s">
        <v>372</v>
      </c>
      <c r="C48" s="5" t="s">
        <v>76</v>
      </c>
      <c r="D48" s="5" t="s">
        <v>370</v>
      </c>
      <c r="E48" s="5" t="s">
        <v>77</v>
      </c>
      <c r="F48" s="5" t="s">
        <v>249</v>
      </c>
      <c r="G48" s="191">
        <v>1996.0</v>
      </c>
      <c r="H48" s="191">
        <v>0.030426118</v>
      </c>
      <c r="I48" s="191">
        <v>0.035547586</v>
      </c>
      <c r="J48" s="191">
        <v>0.026035253</v>
      </c>
      <c r="K48" s="5"/>
      <c r="L48" s="5"/>
      <c r="M48" s="5"/>
      <c r="N48" s="5"/>
      <c r="O48" s="5"/>
      <c r="P48" s="5"/>
      <c r="Q48" s="5"/>
      <c r="R48" s="5"/>
      <c r="S48" s="5"/>
      <c r="T48" s="5"/>
      <c r="U48" s="5"/>
      <c r="V48" s="5"/>
      <c r="W48" s="5"/>
      <c r="X48" s="5"/>
      <c r="Y48" s="5"/>
      <c r="Z48" s="5"/>
    </row>
    <row r="49">
      <c r="A49" s="5" t="s">
        <v>74</v>
      </c>
      <c r="B49" s="5" t="s">
        <v>373</v>
      </c>
      <c r="C49" s="5" t="s">
        <v>76</v>
      </c>
      <c r="D49" s="5" t="s">
        <v>369</v>
      </c>
      <c r="E49" s="5" t="s">
        <v>77</v>
      </c>
      <c r="F49" s="5" t="s">
        <v>249</v>
      </c>
      <c r="G49" s="191">
        <v>1996.0</v>
      </c>
      <c r="H49" s="191">
        <v>0.266453055</v>
      </c>
      <c r="I49" s="191">
        <v>0.353275765</v>
      </c>
      <c r="J49" s="191">
        <v>0.17478085</v>
      </c>
      <c r="K49" s="5"/>
      <c r="L49" s="5"/>
      <c r="M49" s="5"/>
      <c r="N49" s="5"/>
      <c r="O49" s="5"/>
      <c r="P49" s="5"/>
      <c r="Q49" s="5"/>
      <c r="R49" s="5"/>
      <c r="S49" s="5"/>
      <c r="T49" s="5"/>
      <c r="U49" s="5"/>
      <c r="V49" s="5"/>
      <c r="W49" s="5"/>
      <c r="X49" s="5"/>
      <c r="Y49" s="5"/>
      <c r="Z49" s="5"/>
    </row>
    <row r="50">
      <c r="A50" s="5" t="s">
        <v>74</v>
      </c>
      <c r="B50" s="5" t="s">
        <v>373</v>
      </c>
      <c r="C50" s="5" t="s">
        <v>76</v>
      </c>
      <c r="D50" s="5" t="s">
        <v>370</v>
      </c>
      <c r="E50" s="5" t="s">
        <v>77</v>
      </c>
      <c r="F50" s="5" t="s">
        <v>249</v>
      </c>
      <c r="G50" s="191">
        <v>1996.0</v>
      </c>
      <c r="H50" s="191">
        <v>0.161780387</v>
      </c>
      <c r="I50" s="191">
        <v>0.225910713</v>
      </c>
      <c r="J50" s="191">
        <v>0.101310025</v>
      </c>
      <c r="K50" s="5"/>
      <c r="L50" s="5"/>
      <c r="M50" s="5"/>
      <c r="N50" s="5"/>
      <c r="O50" s="5"/>
      <c r="P50" s="5"/>
      <c r="Q50" s="5"/>
      <c r="R50" s="5"/>
      <c r="S50" s="5"/>
      <c r="T50" s="5"/>
      <c r="U50" s="5"/>
      <c r="V50" s="5"/>
      <c r="W50" s="5"/>
      <c r="X50" s="5"/>
      <c r="Y50" s="5"/>
      <c r="Z50" s="5"/>
    </row>
    <row r="51">
      <c r="A51" s="5" t="s">
        <v>371</v>
      </c>
      <c r="B51" s="5" t="s">
        <v>373</v>
      </c>
      <c r="C51" s="5" t="s">
        <v>76</v>
      </c>
      <c r="D51" s="5" t="s">
        <v>369</v>
      </c>
      <c r="E51" s="5" t="s">
        <v>77</v>
      </c>
      <c r="F51" s="5" t="s">
        <v>249</v>
      </c>
      <c r="G51" s="191">
        <v>1996.0</v>
      </c>
      <c r="H51" s="191">
        <v>0.087664566</v>
      </c>
      <c r="I51" s="191">
        <v>0.103970525</v>
      </c>
      <c r="J51" s="191">
        <v>0.070788155</v>
      </c>
      <c r="K51" s="5"/>
      <c r="L51" s="5"/>
      <c r="M51" s="5"/>
      <c r="N51" s="5"/>
      <c r="O51" s="5"/>
      <c r="P51" s="5"/>
      <c r="Q51" s="5"/>
      <c r="R51" s="5"/>
      <c r="S51" s="5"/>
      <c r="T51" s="5"/>
      <c r="U51" s="5"/>
      <c r="V51" s="5"/>
      <c r="W51" s="5"/>
      <c r="X51" s="5"/>
      <c r="Y51" s="5"/>
      <c r="Z51" s="5"/>
    </row>
    <row r="52">
      <c r="A52" s="5" t="s">
        <v>371</v>
      </c>
      <c r="B52" s="5" t="s">
        <v>373</v>
      </c>
      <c r="C52" s="5" t="s">
        <v>76</v>
      </c>
      <c r="D52" s="5" t="s">
        <v>370</v>
      </c>
      <c r="E52" s="5" t="s">
        <v>77</v>
      </c>
      <c r="F52" s="5" t="s">
        <v>249</v>
      </c>
      <c r="G52" s="191">
        <v>1996.0</v>
      </c>
      <c r="H52" s="191">
        <v>0.021427779</v>
      </c>
      <c r="I52" s="191">
        <v>0.025490728</v>
      </c>
      <c r="J52" s="191">
        <v>0.017982766</v>
      </c>
      <c r="K52" s="5"/>
      <c r="L52" s="5"/>
      <c r="M52" s="5"/>
      <c r="N52" s="5"/>
      <c r="O52" s="5"/>
      <c r="P52" s="5"/>
      <c r="Q52" s="5"/>
      <c r="R52" s="5"/>
      <c r="S52" s="5"/>
      <c r="T52" s="5"/>
      <c r="U52" s="5"/>
      <c r="V52" s="5"/>
      <c r="W52" s="5"/>
      <c r="X52" s="5"/>
      <c r="Y52" s="5"/>
      <c r="Z52" s="5"/>
    </row>
    <row r="53">
      <c r="A53" s="5" t="s">
        <v>74</v>
      </c>
      <c r="B53" s="5" t="s">
        <v>14</v>
      </c>
      <c r="C53" s="5" t="s">
        <v>76</v>
      </c>
      <c r="D53" s="5" t="s">
        <v>369</v>
      </c>
      <c r="E53" s="5" t="s">
        <v>77</v>
      </c>
      <c r="F53" s="5" t="s">
        <v>249</v>
      </c>
      <c r="G53" s="191">
        <v>1996.0</v>
      </c>
      <c r="H53" s="191">
        <v>0.101904803</v>
      </c>
      <c r="I53" s="191">
        <v>0.164847565</v>
      </c>
      <c r="J53" s="191">
        <v>0.054098044</v>
      </c>
      <c r="K53" s="5"/>
      <c r="L53" s="5"/>
      <c r="M53" s="5"/>
      <c r="N53" s="5"/>
      <c r="O53" s="5"/>
      <c r="P53" s="5"/>
      <c r="Q53" s="5"/>
      <c r="R53" s="5"/>
      <c r="S53" s="5"/>
      <c r="T53" s="5"/>
      <c r="U53" s="5"/>
      <c r="V53" s="5"/>
      <c r="W53" s="5"/>
      <c r="X53" s="5"/>
      <c r="Y53" s="5"/>
      <c r="Z53" s="5"/>
    </row>
    <row r="54">
      <c r="A54" s="5" t="s">
        <v>74</v>
      </c>
      <c r="B54" s="5" t="s">
        <v>14</v>
      </c>
      <c r="C54" s="5" t="s">
        <v>76</v>
      </c>
      <c r="D54" s="5" t="s">
        <v>370</v>
      </c>
      <c r="E54" s="5" t="s">
        <v>77</v>
      </c>
      <c r="F54" s="5" t="s">
        <v>249</v>
      </c>
      <c r="G54" s="191">
        <v>1996.0</v>
      </c>
      <c r="H54" s="191">
        <v>0.068213967</v>
      </c>
      <c r="I54" s="191">
        <v>0.10063103</v>
      </c>
      <c r="J54" s="191">
        <v>0.041954506</v>
      </c>
      <c r="K54" s="5"/>
      <c r="L54" s="5"/>
      <c r="M54" s="5"/>
      <c r="N54" s="5"/>
      <c r="O54" s="5"/>
      <c r="P54" s="5"/>
      <c r="Q54" s="5"/>
      <c r="R54" s="5"/>
      <c r="S54" s="5"/>
      <c r="T54" s="5"/>
      <c r="U54" s="5"/>
      <c r="V54" s="5"/>
      <c r="W54" s="5"/>
      <c r="X54" s="5"/>
      <c r="Y54" s="5"/>
      <c r="Z54" s="5"/>
    </row>
    <row r="55">
      <c r="A55" s="5" t="s">
        <v>371</v>
      </c>
      <c r="B55" s="5" t="s">
        <v>14</v>
      </c>
      <c r="C55" s="5" t="s">
        <v>76</v>
      </c>
      <c r="D55" s="5" t="s">
        <v>369</v>
      </c>
      <c r="E55" s="5" t="s">
        <v>77</v>
      </c>
      <c r="F55" s="5" t="s">
        <v>249</v>
      </c>
      <c r="G55" s="191">
        <v>1996.0</v>
      </c>
      <c r="H55" s="191">
        <v>0.077670361</v>
      </c>
      <c r="I55" s="191">
        <v>0.097366031</v>
      </c>
      <c r="J55" s="191">
        <v>0.060547815</v>
      </c>
      <c r="K55" s="5"/>
      <c r="L55" s="5"/>
      <c r="M55" s="5"/>
      <c r="N55" s="5"/>
      <c r="O55" s="5"/>
      <c r="P55" s="5"/>
      <c r="Q55" s="5"/>
      <c r="R55" s="5"/>
      <c r="S55" s="5"/>
      <c r="T55" s="5"/>
      <c r="U55" s="5"/>
      <c r="V55" s="5"/>
      <c r="W55" s="5"/>
      <c r="X55" s="5"/>
      <c r="Y55" s="5"/>
      <c r="Z55" s="5"/>
    </row>
    <row r="56">
      <c r="A56" s="5" t="s">
        <v>371</v>
      </c>
      <c r="B56" s="5" t="s">
        <v>14</v>
      </c>
      <c r="C56" s="5" t="s">
        <v>76</v>
      </c>
      <c r="D56" s="5" t="s">
        <v>370</v>
      </c>
      <c r="E56" s="5" t="s">
        <v>77</v>
      </c>
      <c r="F56" s="5" t="s">
        <v>249</v>
      </c>
      <c r="G56" s="191">
        <v>1996.0</v>
      </c>
      <c r="H56" s="191">
        <v>0.020510314</v>
      </c>
      <c r="I56" s="191">
        <v>0.023898927</v>
      </c>
      <c r="J56" s="191">
        <v>0.017357088</v>
      </c>
      <c r="K56" s="5"/>
      <c r="L56" s="5"/>
      <c r="M56" s="5"/>
      <c r="N56" s="5"/>
      <c r="O56" s="5"/>
      <c r="P56" s="5"/>
      <c r="Q56" s="5"/>
      <c r="R56" s="5"/>
      <c r="S56" s="5"/>
      <c r="T56" s="5"/>
      <c r="U56" s="5"/>
      <c r="V56" s="5"/>
      <c r="W56" s="5"/>
      <c r="X56" s="5"/>
      <c r="Y56" s="5"/>
      <c r="Z56" s="5"/>
    </row>
    <row r="57">
      <c r="A57" s="5" t="s">
        <v>74</v>
      </c>
      <c r="B57" s="5" t="s">
        <v>374</v>
      </c>
      <c r="C57" s="5" t="s">
        <v>76</v>
      </c>
      <c r="D57" s="5" t="s">
        <v>369</v>
      </c>
      <c r="E57" s="5" t="s">
        <v>77</v>
      </c>
      <c r="F57" s="5" t="s">
        <v>249</v>
      </c>
      <c r="G57" s="191">
        <v>1996.0</v>
      </c>
      <c r="H57" s="191">
        <v>0.067925536</v>
      </c>
      <c r="I57" s="191">
        <v>0.075758399</v>
      </c>
      <c r="J57" s="191">
        <v>0.060896821</v>
      </c>
      <c r="K57" s="5"/>
      <c r="L57" s="5"/>
      <c r="M57" s="5"/>
      <c r="N57" s="5"/>
      <c r="O57" s="5"/>
      <c r="P57" s="5"/>
      <c r="Q57" s="5"/>
      <c r="R57" s="5"/>
      <c r="S57" s="5"/>
      <c r="T57" s="5"/>
      <c r="U57" s="5"/>
      <c r="V57" s="5"/>
      <c r="W57" s="5"/>
      <c r="X57" s="5"/>
      <c r="Y57" s="5"/>
      <c r="Z57" s="5"/>
    </row>
    <row r="58">
      <c r="A58" s="5" t="s">
        <v>74</v>
      </c>
      <c r="B58" s="5" t="s">
        <v>374</v>
      </c>
      <c r="C58" s="5" t="s">
        <v>76</v>
      </c>
      <c r="D58" s="5" t="s">
        <v>370</v>
      </c>
      <c r="E58" s="5" t="s">
        <v>77</v>
      </c>
      <c r="F58" s="5" t="s">
        <v>249</v>
      </c>
      <c r="G58" s="191">
        <v>1996.0</v>
      </c>
      <c r="H58" s="191">
        <v>0.014405228</v>
      </c>
      <c r="I58" s="191">
        <v>0.016580971</v>
      </c>
      <c r="J58" s="191">
        <v>0.012456326</v>
      </c>
      <c r="K58" s="5"/>
      <c r="L58" s="5"/>
      <c r="M58" s="5"/>
      <c r="N58" s="5"/>
      <c r="O58" s="5"/>
      <c r="P58" s="5"/>
      <c r="Q58" s="5"/>
      <c r="R58" s="5"/>
      <c r="S58" s="5"/>
      <c r="T58" s="5"/>
      <c r="U58" s="5"/>
      <c r="V58" s="5"/>
      <c r="W58" s="5"/>
      <c r="X58" s="5"/>
      <c r="Y58" s="5"/>
      <c r="Z58" s="5"/>
    </row>
    <row r="59">
      <c r="A59" s="5" t="s">
        <v>371</v>
      </c>
      <c r="B59" s="5" t="s">
        <v>374</v>
      </c>
      <c r="C59" s="5" t="s">
        <v>76</v>
      </c>
      <c r="D59" s="5" t="s">
        <v>369</v>
      </c>
      <c r="E59" s="5" t="s">
        <v>77</v>
      </c>
      <c r="F59" s="5" t="s">
        <v>249</v>
      </c>
      <c r="G59" s="191">
        <v>1996.0</v>
      </c>
      <c r="H59" s="191">
        <v>0.047863916</v>
      </c>
      <c r="I59" s="191">
        <v>0.060672374</v>
      </c>
      <c r="J59" s="191">
        <v>0.037788284</v>
      </c>
      <c r="K59" s="5"/>
      <c r="L59" s="5"/>
      <c r="M59" s="5"/>
      <c r="N59" s="5"/>
      <c r="O59" s="5"/>
      <c r="P59" s="5"/>
      <c r="Q59" s="5"/>
      <c r="R59" s="5"/>
      <c r="S59" s="5"/>
      <c r="T59" s="5"/>
      <c r="U59" s="5"/>
      <c r="V59" s="5"/>
      <c r="W59" s="5"/>
      <c r="X59" s="5"/>
      <c r="Y59" s="5"/>
      <c r="Z59" s="5"/>
    </row>
    <row r="60">
      <c r="A60" s="5" t="s">
        <v>371</v>
      </c>
      <c r="B60" s="5" t="s">
        <v>374</v>
      </c>
      <c r="C60" s="5" t="s">
        <v>76</v>
      </c>
      <c r="D60" s="5" t="s">
        <v>370</v>
      </c>
      <c r="E60" s="5" t="s">
        <v>77</v>
      </c>
      <c r="F60" s="5" t="s">
        <v>249</v>
      </c>
      <c r="G60" s="191">
        <v>1996.0</v>
      </c>
      <c r="H60" s="191">
        <v>0.012799849</v>
      </c>
      <c r="I60" s="191">
        <v>0.01493757</v>
      </c>
      <c r="J60" s="191">
        <v>0.01083831</v>
      </c>
      <c r="K60" s="5"/>
      <c r="L60" s="5"/>
      <c r="M60" s="5"/>
      <c r="N60" s="5"/>
      <c r="O60" s="5"/>
      <c r="P60" s="5"/>
      <c r="Q60" s="5"/>
      <c r="R60" s="5"/>
      <c r="S60" s="5"/>
      <c r="T60" s="5"/>
      <c r="U60" s="5"/>
      <c r="V60" s="5"/>
      <c r="W60" s="5"/>
      <c r="X60" s="5"/>
      <c r="Y60" s="5"/>
      <c r="Z60" s="5"/>
    </row>
    <row r="61">
      <c r="A61" s="5" t="s">
        <v>74</v>
      </c>
      <c r="B61" s="5" t="s">
        <v>375</v>
      </c>
      <c r="C61" s="5" t="s">
        <v>76</v>
      </c>
      <c r="D61" s="5" t="s">
        <v>369</v>
      </c>
      <c r="E61" s="5" t="s">
        <v>77</v>
      </c>
      <c r="F61" s="5" t="s">
        <v>249</v>
      </c>
      <c r="G61" s="191">
        <v>1996.0</v>
      </c>
      <c r="H61" s="191">
        <v>0.152181872</v>
      </c>
      <c r="I61" s="191">
        <v>0.21802433</v>
      </c>
      <c r="J61" s="191">
        <v>0.098345505</v>
      </c>
      <c r="K61" s="5"/>
      <c r="L61" s="5"/>
      <c r="M61" s="5"/>
      <c r="N61" s="5"/>
      <c r="O61" s="5"/>
      <c r="P61" s="5"/>
      <c r="Q61" s="5"/>
      <c r="R61" s="5"/>
      <c r="S61" s="5"/>
      <c r="T61" s="5"/>
      <c r="U61" s="5"/>
      <c r="V61" s="5"/>
      <c r="W61" s="5"/>
      <c r="X61" s="5"/>
      <c r="Y61" s="5"/>
      <c r="Z61" s="5"/>
    </row>
    <row r="62">
      <c r="A62" s="5" t="s">
        <v>74</v>
      </c>
      <c r="B62" s="5" t="s">
        <v>375</v>
      </c>
      <c r="C62" s="5" t="s">
        <v>76</v>
      </c>
      <c r="D62" s="5" t="s">
        <v>370</v>
      </c>
      <c r="E62" s="5" t="s">
        <v>77</v>
      </c>
      <c r="F62" s="5" t="s">
        <v>249</v>
      </c>
      <c r="G62" s="191">
        <v>1996.0</v>
      </c>
      <c r="H62" s="191">
        <v>0.093091213</v>
      </c>
      <c r="I62" s="191">
        <v>0.128919616</v>
      </c>
      <c r="J62" s="191">
        <v>0.061423529</v>
      </c>
      <c r="K62" s="5"/>
      <c r="L62" s="5"/>
      <c r="M62" s="5"/>
      <c r="N62" s="5"/>
      <c r="O62" s="5"/>
      <c r="P62" s="5"/>
      <c r="Q62" s="5"/>
      <c r="R62" s="5"/>
      <c r="S62" s="5"/>
      <c r="T62" s="5"/>
      <c r="U62" s="5"/>
      <c r="V62" s="5"/>
      <c r="W62" s="5"/>
      <c r="X62" s="5"/>
      <c r="Y62" s="5"/>
      <c r="Z62" s="5"/>
    </row>
    <row r="63">
      <c r="A63" s="5" t="s">
        <v>371</v>
      </c>
      <c r="B63" s="5" t="s">
        <v>375</v>
      </c>
      <c r="C63" s="5" t="s">
        <v>76</v>
      </c>
      <c r="D63" s="5" t="s">
        <v>369</v>
      </c>
      <c r="E63" s="5" t="s">
        <v>77</v>
      </c>
      <c r="F63" s="5" t="s">
        <v>249</v>
      </c>
      <c r="G63" s="191">
        <v>1996.0</v>
      </c>
      <c r="H63" s="191">
        <v>0.085598793</v>
      </c>
      <c r="I63" s="191">
        <v>0.101238828</v>
      </c>
      <c r="J63" s="191">
        <v>0.069761501</v>
      </c>
      <c r="K63" s="5"/>
      <c r="L63" s="5"/>
      <c r="M63" s="5"/>
      <c r="N63" s="5"/>
      <c r="O63" s="5"/>
      <c r="P63" s="5"/>
      <c r="Q63" s="5"/>
      <c r="R63" s="5"/>
      <c r="S63" s="5"/>
      <c r="T63" s="5"/>
      <c r="U63" s="5"/>
      <c r="V63" s="5"/>
      <c r="W63" s="5"/>
      <c r="X63" s="5"/>
      <c r="Y63" s="5"/>
      <c r="Z63" s="5"/>
    </row>
    <row r="64">
      <c r="A64" s="5" t="s">
        <v>371</v>
      </c>
      <c r="B64" s="5" t="s">
        <v>375</v>
      </c>
      <c r="C64" s="5" t="s">
        <v>76</v>
      </c>
      <c r="D64" s="5" t="s">
        <v>370</v>
      </c>
      <c r="E64" s="5" t="s">
        <v>77</v>
      </c>
      <c r="F64" s="5" t="s">
        <v>249</v>
      </c>
      <c r="G64" s="191">
        <v>1996.0</v>
      </c>
      <c r="H64" s="191">
        <v>0.024397538</v>
      </c>
      <c r="I64" s="191">
        <v>0.027573224</v>
      </c>
      <c r="J64" s="191">
        <v>0.02124355</v>
      </c>
      <c r="K64" s="5"/>
      <c r="L64" s="5"/>
      <c r="M64" s="5"/>
      <c r="N64" s="5"/>
      <c r="O64" s="5"/>
      <c r="P64" s="5"/>
      <c r="Q64" s="5"/>
      <c r="R64" s="5"/>
      <c r="S64" s="5"/>
      <c r="T64" s="5"/>
      <c r="U64" s="5"/>
      <c r="V64" s="5"/>
      <c r="W64" s="5"/>
      <c r="X64" s="5"/>
      <c r="Y64" s="5"/>
      <c r="Z64" s="5"/>
    </row>
    <row r="65">
      <c r="A65" s="5" t="s">
        <v>74</v>
      </c>
      <c r="B65" s="5" t="s">
        <v>365</v>
      </c>
      <c r="C65" s="5" t="s">
        <v>76</v>
      </c>
      <c r="D65" s="5" t="s">
        <v>369</v>
      </c>
      <c r="E65" s="5" t="s">
        <v>77</v>
      </c>
      <c r="F65" s="5" t="s">
        <v>249</v>
      </c>
      <c r="G65" s="191">
        <v>1996.0</v>
      </c>
      <c r="H65" s="191">
        <v>0.042950501</v>
      </c>
      <c r="I65" s="191">
        <v>0.065679758</v>
      </c>
      <c r="J65" s="191">
        <v>0.025797698</v>
      </c>
      <c r="K65" s="5"/>
      <c r="L65" s="5"/>
      <c r="M65" s="5"/>
      <c r="N65" s="5"/>
      <c r="O65" s="5"/>
      <c r="P65" s="5"/>
      <c r="Q65" s="5"/>
      <c r="R65" s="5"/>
      <c r="S65" s="5"/>
      <c r="T65" s="5"/>
      <c r="U65" s="5"/>
      <c r="V65" s="5"/>
      <c r="W65" s="5"/>
      <c r="X65" s="5"/>
      <c r="Y65" s="5"/>
      <c r="Z65" s="5"/>
    </row>
    <row r="66">
      <c r="A66" s="5" t="s">
        <v>74</v>
      </c>
      <c r="B66" s="5" t="s">
        <v>365</v>
      </c>
      <c r="C66" s="5" t="s">
        <v>76</v>
      </c>
      <c r="D66" s="5" t="s">
        <v>370</v>
      </c>
      <c r="E66" s="5" t="s">
        <v>77</v>
      </c>
      <c r="F66" s="5" t="s">
        <v>249</v>
      </c>
      <c r="G66" s="191">
        <v>1996.0</v>
      </c>
      <c r="H66" s="191">
        <v>0.027276064</v>
      </c>
      <c r="I66" s="191">
        <v>0.042104325</v>
      </c>
      <c r="J66" s="191">
        <v>0.01410412</v>
      </c>
      <c r="K66" s="5"/>
      <c r="L66" s="5"/>
      <c r="M66" s="5"/>
      <c r="N66" s="5"/>
      <c r="O66" s="5"/>
      <c r="P66" s="5"/>
      <c r="Q66" s="5"/>
      <c r="R66" s="5"/>
      <c r="S66" s="5"/>
      <c r="T66" s="5"/>
      <c r="U66" s="5"/>
      <c r="V66" s="5"/>
      <c r="W66" s="5"/>
      <c r="X66" s="5"/>
      <c r="Y66" s="5"/>
      <c r="Z66" s="5"/>
    </row>
    <row r="67">
      <c r="A67" s="5" t="s">
        <v>371</v>
      </c>
      <c r="B67" s="5" t="s">
        <v>365</v>
      </c>
      <c r="C67" s="5" t="s">
        <v>76</v>
      </c>
      <c r="D67" s="5" t="s">
        <v>369</v>
      </c>
      <c r="E67" s="5" t="s">
        <v>77</v>
      </c>
      <c r="F67" s="5" t="s">
        <v>249</v>
      </c>
      <c r="G67" s="191">
        <v>1996.0</v>
      </c>
      <c r="H67" s="191">
        <v>0.081674032</v>
      </c>
      <c r="I67" s="191">
        <v>0.101901682</v>
      </c>
      <c r="J67" s="191">
        <v>0.06277384</v>
      </c>
      <c r="K67" s="5"/>
      <c r="L67" s="5"/>
      <c r="M67" s="5"/>
      <c r="N67" s="5"/>
      <c r="O67" s="5"/>
      <c r="P67" s="5"/>
      <c r="Q67" s="5"/>
      <c r="R67" s="5"/>
      <c r="S67" s="5"/>
      <c r="T67" s="5"/>
      <c r="U67" s="5"/>
      <c r="V67" s="5"/>
      <c r="W67" s="5"/>
      <c r="X67" s="5"/>
      <c r="Y67" s="5"/>
      <c r="Z67" s="5"/>
    </row>
    <row r="68">
      <c r="A68" s="5" t="s">
        <v>371</v>
      </c>
      <c r="B68" s="5" t="s">
        <v>365</v>
      </c>
      <c r="C68" s="5" t="s">
        <v>76</v>
      </c>
      <c r="D68" s="5" t="s">
        <v>370</v>
      </c>
      <c r="E68" s="5" t="s">
        <v>77</v>
      </c>
      <c r="F68" s="5" t="s">
        <v>249</v>
      </c>
      <c r="G68" s="191">
        <v>1996.0</v>
      </c>
      <c r="H68" s="191">
        <v>0.019616594</v>
      </c>
      <c r="I68" s="191">
        <v>0.022889393</v>
      </c>
      <c r="J68" s="191">
        <v>0.016752851</v>
      </c>
      <c r="K68" s="5"/>
      <c r="L68" s="5"/>
      <c r="M68" s="5"/>
      <c r="N68" s="5"/>
      <c r="O68" s="5"/>
      <c r="P68" s="5"/>
      <c r="Q68" s="5"/>
      <c r="R68" s="5"/>
      <c r="S68" s="5"/>
      <c r="T68" s="5"/>
      <c r="U68" s="5"/>
      <c r="V68" s="5"/>
      <c r="W68" s="5"/>
      <c r="X68" s="5"/>
      <c r="Y68" s="5"/>
      <c r="Z68" s="5"/>
    </row>
    <row r="69">
      <c r="A69" s="5" t="s">
        <v>74</v>
      </c>
      <c r="B69" s="5" t="s">
        <v>362</v>
      </c>
      <c r="C69" s="5" t="s">
        <v>76</v>
      </c>
      <c r="D69" s="5" t="s">
        <v>369</v>
      </c>
      <c r="E69" s="5" t="s">
        <v>77</v>
      </c>
      <c r="F69" s="5" t="s">
        <v>249</v>
      </c>
      <c r="G69" s="191">
        <v>2001.0</v>
      </c>
      <c r="H69" s="191">
        <v>0.07500268</v>
      </c>
      <c r="I69" s="191">
        <v>0.097205767</v>
      </c>
      <c r="J69" s="191">
        <v>0.05585102</v>
      </c>
      <c r="K69" s="5"/>
      <c r="L69" s="5"/>
      <c r="M69" s="5"/>
      <c r="N69" s="5"/>
      <c r="O69" s="5"/>
      <c r="P69" s="5"/>
      <c r="Q69" s="5"/>
      <c r="R69" s="5"/>
      <c r="S69" s="5"/>
      <c r="T69" s="5"/>
      <c r="U69" s="5"/>
      <c r="V69" s="5"/>
      <c r="W69" s="5"/>
      <c r="X69" s="5"/>
      <c r="Y69" s="5"/>
      <c r="Z69" s="5"/>
    </row>
    <row r="70">
      <c r="A70" s="5" t="s">
        <v>74</v>
      </c>
      <c r="B70" s="5" t="s">
        <v>362</v>
      </c>
      <c r="C70" s="5" t="s">
        <v>76</v>
      </c>
      <c r="D70" s="5" t="s">
        <v>370</v>
      </c>
      <c r="E70" s="5" t="s">
        <v>77</v>
      </c>
      <c r="F70" s="5" t="s">
        <v>249</v>
      </c>
      <c r="G70" s="191">
        <v>2001.0</v>
      </c>
      <c r="H70" s="191">
        <v>0.076758024</v>
      </c>
      <c r="I70" s="191">
        <v>0.109200061</v>
      </c>
      <c r="J70" s="191">
        <v>0.055682902</v>
      </c>
      <c r="K70" s="5"/>
      <c r="L70" s="5"/>
      <c r="M70" s="5"/>
      <c r="N70" s="5"/>
      <c r="O70" s="5"/>
      <c r="P70" s="5"/>
      <c r="Q70" s="5"/>
      <c r="R70" s="5"/>
      <c r="S70" s="5"/>
      <c r="T70" s="5"/>
      <c r="U70" s="5"/>
      <c r="V70" s="5"/>
      <c r="W70" s="5"/>
      <c r="X70" s="5"/>
      <c r="Y70" s="5"/>
      <c r="Z70" s="5"/>
    </row>
    <row r="71">
      <c r="A71" s="5" t="s">
        <v>371</v>
      </c>
      <c r="B71" s="5" t="s">
        <v>362</v>
      </c>
      <c r="C71" s="5" t="s">
        <v>76</v>
      </c>
      <c r="D71" s="5" t="s">
        <v>369</v>
      </c>
      <c r="E71" s="5" t="s">
        <v>77</v>
      </c>
      <c r="F71" s="5" t="s">
        <v>249</v>
      </c>
      <c r="G71" s="191">
        <v>2001.0</v>
      </c>
      <c r="H71" s="191">
        <v>0.045754979</v>
      </c>
      <c r="I71" s="191">
        <v>0.057299903</v>
      </c>
      <c r="J71" s="191">
        <v>0.035957652</v>
      </c>
      <c r="K71" s="5"/>
      <c r="L71" s="5"/>
      <c r="M71" s="5"/>
      <c r="N71" s="5"/>
      <c r="O71" s="5"/>
      <c r="P71" s="5"/>
      <c r="Q71" s="5"/>
      <c r="R71" s="5"/>
      <c r="S71" s="5"/>
      <c r="T71" s="5"/>
      <c r="U71" s="5"/>
      <c r="V71" s="5"/>
      <c r="W71" s="5"/>
      <c r="X71" s="5"/>
      <c r="Y71" s="5"/>
      <c r="Z71" s="5"/>
    </row>
    <row r="72">
      <c r="A72" s="5" t="s">
        <v>371</v>
      </c>
      <c r="B72" s="5" t="s">
        <v>362</v>
      </c>
      <c r="C72" s="5" t="s">
        <v>76</v>
      </c>
      <c r="D72" s="5" t="s">
        <v>370</v>
      </c>
      <c r="E72" s="5" t="s">
        <v>77</v>
      </c>
      <c r="F72" s="5" t="s">
        <v>249</v>
      </c>
      <c r="G72" s="191">
        <v>2001.0</v>
      </c>
      <c r="H72" s="191">
        <v>0.022919418</v>
      </c>
      <c r="I72" s="191">
        <v>0.026770631</v>
      </c>
      <c r="J72" s="191">
        <v>0.019646147</v>
      </c>
      <c r="K72" s="5"/>
      <c r="L72" s="5"/>
      <c r="M72" s="5"/>
      <c r="N72" s="5"/>
      <c r="O72" s="5"/>
      <c r="P72" s="5"/>
      <c r="Q72" s="5"/>
      <c r="R72" s="5"/>
      <c r="S72" s="5"/>
      <c r="T72" s="5"/>
      <c r="U72" s="5"/>
      <c r="V72" s="5"/>
      <c r="W72" s="5"/>
      <c r="X72" s="5"/>
      <c r="Y72" s="5"/>
      <c r="Z72" s="5"/>
    </row>
    <row r="73">
      <c r="A73" s="5" t="s">
        <v>74</v>
      </c>
      <c r="B73" s="5" t="s">
        <v>358</v>
      </c>
      <c r="C73" s="5" t="s">
        <v>76</v>
      </c>
      <c r="D73" s="5" t="s">
        <v>369</v>
      </c>
      <c r="E73" s="5" t="s">
        <v>77</v>
      </c>
      <c r="F73" s="5" t="s">
        <v>249</v>
      </c>
      <c r="G73" s="191">
        <v>2001.0</v>
      </c>
      <c r="H73" s="191">
        <v>0.163644248</v>
      </c>
      <c r="I73" s="191">
        <v>0.18459277</v>
      </c>
      <c r="J73" s="191">
        <v>0.14268145</v>
      </c>
      <c r="K73" s="5"/>
      <c r="L73" s="5"/>
      <c r="M73" s="5"/>
      <c r="N73" s="5"/>
      <c r="O73" s="5"/>
      <c r="P73" s="5"/>
      <c r="Q73" s="5"/>
      <c r="R73" s="5"/>
      <c r="S73" s="5"/>
      <c r="T73" s="5"/>
      <c r="U73" s="5"/>
      <c r="V73" s="5"/>
      <c r="W73" s="5"/>
      <c r="X73" s="5"/>
      <c r="Y73" s="5"/>
      <c r="Z73" s="5"/>
    </row>
    <row r="74">
      <c r="A74" s="5" t="s">
        <v>74</v>
      </c>
      <c r="B74" s="5" t="s">
        <v>358</v>
      </c>
      <c r="C74" s="5" t="s">
        <v>76</v>
      </c>
      <c r="D74" s="5" t="s">
        <v>370</v>
      </c>
      <c r="E74" s="5" t="s">
        <v>77</v>
      </c>
      <c r="F74" s="5" t="s">
        <v>249</v>
      </c>
      <c r="G74" s="191">
        <v>2001.0</v>
      </c>
      <c r="H74" s="191">
        <v>0.07398536</v>
      </c>
      <c r="I74" s="191">
        <v>0.080422237</v>
      </c>
      <c r="J74" s="191">
        <v>0.067837346</v>
      </c>
      <c r="K74" s="5"/>
      <c r="L74" s="5"/>
      <c r="M74" s="5"/>
      <c r="N74" s="5"/>
      <c r="O74" s="5"/>
      <c r="P74" s="5"/>
      <c r="Q74" s="5"/>
      <c r="R74" s="5"/>
      <c r="S74" s="5"/>
      <c r="T74" s="5"/>
      <c r="U74" s="5"/>
      <c r="V74" s="5"/>
      <c r="W74" s="5"/>
      <c r="X74" s="5"/>
      <c r="Y74" s="5"/>
      <c r="Z74" s="5"/>
    </row>
    <row r="75">
      <c r="A75" s="5" t="s">
        <v>371</v>
      </c>
      <c r="B75" s="5" t="s">
        <v>358</v>
      </c>
      <c r="C75" s="5" t="s">
        <v>76</v>
      </c>
      <c r="D75" s="5" t="s">
        <v>369</v>
      </c>
      <c r="E75" s="5" t="s">
        <v>77</v>
      </c>
      <c r="F75" s="5" t="s">
        <v>249</v>
      </c>
      <c r="G75" s="191">
        <v>2001.0</v>
      </c>
      <c r="H75" s="191">
        <v>0.115286985</v>
      </c>
      <c r="I75" s="191">
        <v>0.138569738</v>
      </c>
      <c r="J75" s="191">
        <v>0.093397817</v>
      </c>
      <c r="K75" s="5"/>
      <c r="L75" s="5"/>
      <c r="M75" s="5"/>
      <c r="N75" s="5"/>
      <c r="O75" s="5"/>
      <c r="P75" s="5"/>
      <c r="Q75" s="5"/>
      <c r="R75" s="5"/>
      <c r="S75" s="5"/>
      <c r="T75" s="5"/>
      <c r="U75" s="5"/>
      <c r="V75" s="5"/>
      <c r="W75" s="5"/>
      <c r="X75" s="5"/>
      <c r="Y75" s="5"/>
      <c r="Z75" s="5"/>
    </row>
    <row r="76">
      <c r="A76" s="5" t="s">
        <v>371</v>
      </c>
      <c r="B76" s="5" t="s">
        <v>358</v>
      </c>
      <c r="C76" s="5" t="s">
        <v>76</v>
      </c>
      <c r="D76" s="5" t="s">
        <v>370</v>
      </c>
      <c r="E76" s="5" t="s">
        <v>77</v>
      </c>
      <c r="F76" s="5" t="s">
        <v>249</v>
      </c>
      <c r="G76" s="191">
        <v>2001.0</v>
      </c>
      <c r="H76" s="191">
        <v>0.029920331</v>
      </c>
      <c r="I76" s="191">
        <v>0.034150593</v>
      </c>
      <c r="J76" s="191">
        <v>0.026046501</v>
      </c>
      <c r="K76" s="5"/>
      <c r="L76" s="5"/>
      <c r="M76" s="5"/>
      <c r="N76" s="5"/>
      <c r="O76" s="5"/>
      <c r="P76" s="5"/>
      <c r="Q76" s="5"/>
      <c r="R76" s="5"/>
      <c r="S76" s="5"/>
      <c r="T76" s="5"/>
      <c r="U76" s="5"/>
      <c r="V76" s="5"/>
      <c r="W76" s="5"/>
      <c r="X76" s="5"/>
      <c r="Y76" s="5"/>
      <c r="Z76" s="5"/>
    </row>
    <row r="77">
      <c r="A77" s="5" t="s">
        <v>74</v>
      </c>
      <c r="B77" s="5" t="s">
        <v>360</v>
      </c>
      <c r="C77" s="5" t="s">
        <v>76</v>
      </c>
      <c r="D77" s="5" t="s">
        <v>369</v>
      </c>
      <c r="E77" s="5" t="s">
        <v>77</v>
      </c>
      <c r="F77" s="5" t="s">
        <v>249</v>
      </c>
      <c r="G77" s="191">
        <v>2001.0</v>
      </c>
      <c r="H77" s="191">
        <v>0.131821204</v>
      </c>
      <c r="I77" s="191">
        <v>0.154151687</v>
      </c>
      <c r="J77" s="191">
        <v>0.111264589</v>
      </c>
      <c r="K77" s="5"/>
      <c r="L77" s="5"/>
      <c r="M77" s="5"/>
      <c r="N77" s="5"/>
      <c r="O77" s="5"/>
      <c r="P77" s="5"/>
      <c r="Q77" s="5"/>
      <c r="R77" s="5"/>
      <c r="S77" s="5"/>
      <c r="T77" s="5"/>
      <c r="U77" s="5"/>
      <c r="V77" s="5"/>
      <c r="W77" s="5"/>
      <c r="X77" s="5"/>
      <c r="Y77" s="5"/>
      <c r="Z77" s="5"/>
    </row>
    <row r="78">
      <c r="A78" s="5" t="s">
        <v>74</v>
      </c>
      <c r="B78" s="5" t="s">
        <v>360</v>
      </c>
      <c r="C78" s="5" t="s">
        <v>76</v>
      </c>
      <c r="D78" s="5" t="s">
        <v>370</v>
      </c>
      <c r="E78" s="5" t="s">
        <v>77</v>
      </c>
      <c r="F78" s="5" t="s">
        <v>249</v>
      </c>
      <c r="G78" s="191">
        <v>2001.0</v>
      </c>
      <c r="H78" s="191">
        <v>0.123545961</v>
      </c>
      <c r="I78" s="191">
        <v>0.168161356</v>
      </c>
      <c r="J78" s="191">
        <v>0.09116009</v>
      </c>
      <c r="K78" s="5"/>
      <c r="L78" s="5"/>
      <c r="M78" s="5"/>
      <c r="N78" s="5"/>
      <c r="O78" s="5"/>
      <c r="P78" s="5"/>
      <c r="Q78" s="5"/>
      <c r="R78" s="5"/>
      <c r="S78" s="5"/>
      <c r="T78" s="5"/>
      <c r="U78" s="5"/>
      <c r="V78" s="5"/>
      <c r="W78" s="5"/>
      <c r="X78" s="5"/>
      <c r="Y78" s="5"/>
      <c r="Z78" s="5"/>
    </row>
    <row r="79">
      <c r="A79" s="5" t="s">
        <v>371</v>
      </c>
      <c r="B79" s="5" t="s">
        <v>360</v>
      </c>
      <c r="C79" s="5" t="s">
        <v>76</v>
      </c>
      <c r="D79" s="5" t="s">
        <v>369</v>
      </c>
      <c r="E79" s="5" t="s">
        <v>77</v>
      </c>
      <c r="F79" s="5" t="s">
        <v>249</v>
      </c>
      <c r="G79" s="191">
        <v>2001.0</v>
      </c>
      <c r="H79" s="191">
        <v>0.037436785</v>
      </c>
      <c r="I79" s="191">
        <v>0.046120015</v>
      </c>
      <c r="J79" s="191">
        <v>0.030056935</v>
      </c>
      <c r="K79" s="5"/>
      <c r="L79" s="5"/>
      <c r="M79" s="5"/>
      <c r="N79" s="5"/>
      <c r="O79" s="5"/>
      <c r="P79" s="5"/>
      <c r="Q79" s="5"/>
      <c r="R79" s="5"/>
      <c r="S79" s="5"/>
      <c r="T79" s="5"/>
      <c r="U79" s="5"/>
      <c r="V79" s="5"/>
      <c r="W79" s="5"/>
      <c r="X79" s="5"/>
      <c r="Y79" s="5"/>
      <c r="Z79" s="5"/>
    </row>
    <row r="80">
      <c r="A80" s="5" t="s">
        <v>371</v>
      </c>
      <c r="B80" s="5" t="s">
        <v>360</v>
      </c>
      <c r="C80" s="5" t="s">
        <v>76</v>
      </c>
      <c r="D80" s="5" t="s">
        <v>370</v>
      </c>
      <c r="E80" s="5" t="s">
        <v>77</v>
      </c>
      <c r="F80" s="5" t="s">
        <v>249</v>
      </c>
      <c r="G80" s="191">
        <v>2001.0</v>
      </c>
      <c r="H80" s="191">
        <v>0.025655736</v>
      </c>
      <c r="I80" s="191">
        <v>0.029641508</v>
      </c>
      <c r="J80" s="191">
        <v>0.022231144</v>
      </c>
      <c r="K80" s="5"/>
      <c r="L80" s="5"/>
      <c r="M80" s="5"/>
      <c r="N80" s="5"/>
      <c r="O80" s="5"/>
      <c r="P80" s="5"/>
      <c r="Q80" s="5"/>
      <c r="R80" s="5"/>
      <c r="S80" s="5"/>
      <c r="T80" s="5"/>
      <c r="U80" s="5"/>
      <c r="V80" s="5"/>
      <c r="W80" s="5"/>
      <c r="X80" s="5"/>
      <c r="Y80" s="5"/>
      <c r="Z80" s="5"/>
    </row>
    <row r="81">
      <c r="A81" s="5" t="s">
        <v>74</v>
      </c>
      <c r="B81" s="5" t="s">
        <v>11</v>
      </c>
      <c r="C81" s="5" t="s">
        <v>76</v>
      </c>
      <c r="D81" s="5" t="s">
        <v>369</v>
      </c>
      <c r="E81" s="5" t="s">
        <v>77</v>
      </c>
      <c r="F81" s="5" t="s">
        <v>249</v>
      </c>
      <c r="G81" s="191">
        <v>2001.0</v>
      </c>
      <c r="H81" s="191">
        <v>0.182127961</v>
      </c>
      <c r="I81" s="191">
        <v>0.240535612</v>
      </c>
      <c r="J81" s="191">
        <v>0.110608565</v>
      </c>
      <c r="K81" s="5"/>
      <c r="L81" s="5"/>
      <c r="M81" s="5"/>
      <c r="N81" s="5"/>
      <c r="O81" s="5"/>
      <c r="P81" s="5"/>
      <c r="Q81" s="5"/>
      <c r="R81" s="5"/>
      <c r="S81" s="5"/>
      <c r="T81" s="5"/>
      <c r="U81" s="5"/>
      <c r="V81" s="5"/>
      <c r="W81" s="5"/>
      <c r="X81" s="5"/>
      <c r="Y81" s="5"/>
      <c r="Z81" s="5"/>
    </row>
    <row r="82">
      <c r="A82" s="5" t="s">
        <v>74</v>
      </c>
      <c r="B82" s="5" t="s">
        <v>11</v>
      </c>
      <c r="C82" s="5" t="s">
        <v>76</v>
      </c>
      <c r="D82" s="5" t="s">
        <v>370</v>
      </c>
      <c r="E82" s="5" t="s">
        <v>77</v>
      </c>
      <c r="F82" s="5" t="s">
        <v>249</v>
      </c>
      <c r="G82" s="191">
        <v>2001.0</v>
      </c>
      <c r="H82" s="191">
        <v>0.08553852</v>
      </c>
      <c r="I82" s="191">
        <v>0.114804063</v>
      </c>
      <c r="J82" s="191">
        <v>0.058492439</v>
      </c>
      <c r="K82" s="5"/>
      <c r="L82" s="5"/>
      <c r="M82" s="5"/>
      <c r="N82" s="5"/>
      <c r="O82" s="5"/>
      <c r="P82" s="5"/>
      <c r="Q82" s="5"/>
      <c r="R82" s="5"/>
      <c r="S82" s="5"/>
      <c r="T82" s="5"/>
      <c r="U82" s="5"/>
      <c r="V82" s="5"/>
      <c r="W82" s="5"/>
      <c r="X82" s="5"/>
      <c r="Y82" s="5"/>
      <c r="Z82" s="5"/>
    </row>
    <row r="83">
      <c r="A83" s="5" t="s">
        <v>371</v>
      </c>
      <c r="B83" s="5" t="s">
        <v>11</v>
      </c>
      <c r="C83" s="5" t="s">
        <v>76</v>
      </c>
      <c r="D83" s="5" t="s">
        <v>369</v>
      </c>
      <c r="E83" s="5" t="s">
        <v>77</v>
      </c>
      <c r="F83" s="5" t="s">
        <v>249</v>
      </c>
      <c r="G83" s="191">
        <v>2001.0</v>
      </c>
      <c r="H83" s="191">
        <v>0.075124539</v>
      </c>
      <c r="I83" s="191">
        <v>0.091091528</v>
      </c>
      <c r="J83" s="191">
        <v>0.060713474</v>
      </c>
      <c r="K83" s="5"/>
      <c r="L83" s="5"/>
      <c r="M83" s="5"/>
      <c r="N83" s="5"/>
      <c r="O83" s="5"/>
      <c r="P83" s="5"/>
      <c r="Q83" s="5"/>
      <c r="R83" s="5"/>
      <c r="S83" s="5"/>
      <c r="T83" s="5"/>
      <c r="U83" s="5"/>
      <c r="V83" s="5"/>
      <c r="W83" s="5"/>
      <c r="X83" s="5"/>
      <c r="Y83" s="5"/>
      <c r="Z83" s="5"/>
    </row>
    <row r="84">
      <c r="A84" s="5" t="s">
        <v>371</v>
      </c>
      <c r="B84" s="5" t="s">
        <v>11</v>
      </c>
      <c r="C84" s="5" t="s">
        <v>76</v>
      </c>
      <c r="D84" s="5" t="s">
        <v>370</v>
      </c>
      <c r="E84" s="5" t="s">
        <v>77</v>
      </c>
      <c r="F84" s="5" t="s">
        <v>249</v>
      </c>
      <c r="G84" s="191">
        <v>2001.0</v>
      </c>
      <c r="H84" s="191">
        <v>0.021438461</v>
      </c>
      <c r="I84" s="191">
        <v>0.024395682</v>
      </c>
      <c r="J84" s="191">
        <v>0.018728954</v>
      </c>
      <c r="K84" s="5"/>
      <c r="L84" s="5"/>
      <c r="M84" s="5"/>
      <c r="N84" s="5"/>
      <c r="O84" s="5"/>
      <c r="P84" s="5"/>
      <c r="Q84" s="5"/>
      <c r="R84" s="5"/>
      <c r="S84" s="5"/>
      <c r="T84" s="5"/>
      <c r="U84" s="5"/>
      <c r="V84" s="5"/>
      <c r="W84" s="5"/>
      <c r="X84" s="5"/>
      <c r="Y84" s="5"/>
      <c r="Z84" s="5"/>
    </row>
    <row r="85">
      <c r="A85" s="5" t="s">
        <v>74</v>
      </c>
      <c r="B85" s="5" t="s">
        <v>15</v>
      </c>
      <c r="C85" s="5" t="s">
        <v>76</v>
      </c>
      <c r="D85" s="5" t="s">
        <v>369</v>
      </c>
      <c r="E85" s="5" t="s">
        <v>77</v>
      </c>
      <c r="F85" s="5" t="s">
        <v>249</v>
      </c>
      <c r="G85" s="191">
        <v>2001.0</v>
      </c>
      <c r="H85" s="191">
        <v>0.170528723</v>
      </c>
      <c r="I85" s="191">
        <v>0.225072686</v>
      </c>
      <c r="J85" s="191">
        <v>0.127671112</v>
      </c>
      <c r="K85" s="5"/>
      <c r="L85" s="5"/>
      <c r="M85" s="5"/>
      <c r="N85" s="5"/>
      <c r="O85" s="5"/>
      <c r="P85" s="5"/>
      <c r="Q85" s="5"/>
      <c r="R85" s="5"/>
      <c r="S85" s="5"/>
      <c r="T85" s="5"/>
      <c r="U85" s="5"/>
      <c r="V85" s="5"/>
      <c r="W85" s="5"/>
      <c r="X85" s="5"/>
      <c r="Y85" s="5"/>
      <c r="Z85" s="5"/>
    </row>
    <row r="86">
      <c r="A86" s="5" t="s">
        <v>74</v>
      </c>
      <c r="B86" s="5" t="s">
        <v>15</v>
      </c>
      <c r="C86" s="5" t="s">
        <v>76</v>
      </c>
      <c r="D86" s="5" t="s">
        <v>370</v>
      </c>
      <c r="E86" s="5" t="s">
        <v>77</v>
      </c>
      <c r="F86" s="5" t="s">
        <v>249</v>
      </c>
      <c r="G86" s="191">
        <v>2001.0</v>
      </c>
      <c r="H86" s="191">
        <v>0.095913477</v>
      </c>
      <c r="I86" s="191">
        <v>0.124787861</v>
      </c>
      <c r="J86" s="191">
        <v>0.071869642</v>
      </c>
      <c r="K86" s="5"/>
      <c r="L86" s="5"/>
      <c r="M86" s="5"/>
      <c r="N86" s="5"/>
      <c r="O86" s="5"/>
      <c r="P86" s="5"/>
      <c r="Q86" s="5"/>
      <c r="R86" s="5"/>
      <c r="S86" s="5"/>
      <c r="T86" s="5"/>
      <c r="U86" s="5"/>
      <c r="V86" s="5"/>
      <c r="W86" s="5"/>
      <c r="X86" s="5"/>
      <c r="Y86" s="5"/>
      <c r="Z86" s="5"/>
    </row>
    <row r="87">
      <c r="A87" s="5" t="s">
        <v>371</v>
      </c>
      <c r="B87" s="5" t="s">
        <v>15</v>
      </c>
      <c r="C87" s="5" t="s">
        <v>76</v>
      </c>
      <c r="D87" s="5" t="s">
        <v>369</v>
      </c>
      <c r="E87" s="5" t="s">
        <v>77</v>
      </c>
      <c r="F87" s="5" t="s">
        <v>249</v>
      </c>
      <c r="G87" s="191">
        <v>2001.0</v>
      </c>
      <c r="H87" s="191">
        <v>0.082163875</v>
      </c>
      <c r="I87" s="191">
        <v>0.100606724</v>
      </c>
      <c r="J87" s="191">
        <v>0.065855936</v>
      </c>
      <c r="K87" s="5"/>
      <c r="L87" s="5"/>
      <c r="M87" s="5"/>
      <c r="N87" s="5"/>
      <c r="O87" s="5"/>
      <c r="P87" s="5"/>
      <c r="Q87" s="5"/>
      <c r="R87" s="5"/>
      <c r="S87" s="5"/>
      <c r="T87" s="5"/>
      <c r="U87" s="5"/>
      <c r="V87" s="5"/>
      <c r="W87" s="5"/>
      <c r="X87" s="5"/>
      <c r="Y87" s="5"/>
      <c r="Z87" s="5"/>
    </row>
    <row r="88">
      <c r="A88" s="5" t="s">
        <v>371</v>
      </c>
      <c r="B88" s="5" t="s">
        <v>15</v>
      </c>
      <c r="C88" s="5" t="s">
        <v>76</v>
      </c>
      <c r="D88" s="5" t="s">
        <v>370</v>
      </c>
      <c r="E88" s="5" t="s">
        <v>77</v>
      </c>
      <c r="F88" s="5" t="s">
        <v>249</v>
      </c>
      <c r="G88" s="191">
        <v>2001.0</v>
      </c>
      <c r="H88" s="191">
        <v>0.022370459</v>
      </c>
      <c r="I88" s="191">
        <v>0.025727361</v>
      </c>
      <c r="J88" s="191">
        <v>0.01948062</v>
      </c>
      <c r="K88" s="5"/>
      <c r="L88" s="5"/>
      <c r="M88" s="5"/>
      <c r="N88" s="5"/>
      <c r="O88" s="5"/>
      <c r="P88" s="5"/>
      <c r="Q88" s="5"/>
      <c r="R88" s="5"/>
      <c r="S88" s="5"/>
      <c r="T88" s="5"/>
      <c r="U88" s="5"/>
      <c r="V88" s="5"/>
      <c r="W88" s="5"/>
      <c r="X88" s="5"/>
      <c r="Y88" s="5"/>
      <c r="Z88" s="5"/>
    </row>
    <row r="89">
      <c r="A89" s="5" t="s">
        <v>74</v>
      </c>
      <c r="B89" s="5" t="s">
        <v>372</v>
      </c>
      <c r="C89" s="5" t="s">
        <v>76</v>
      </c>
      <c r="D89" s="5" t="s">
        <v>369</v>
      </c>
      <c r="E89" s="5" t="s">
        <v>77</v>
      </c>
      <c r="F89" s="5" t="s">
        <v>249</v>
      </c>
      <c r="G89" s="191">
        <v>2001.0</v>
      </c>
      <c r="H89" s="191">
        <v>0.113398296</v>
      </c>
      <c r="I89" s="191">
        <v>0.144120407</v>
      </c>
      <c r="J89" s="191">
        <v>0.084258446</v>
      </c>
      <c r="K89" s="5"/>
      <c r="L89" s="5"/>
      <c r="M89" s="5"/>
      <c r="N89" s="5"/>
      <c r="O89" s="5"/>
      <c r="P89" s="5"/>
      <c r="Q89" s="5"/>
      <c r="R89" s="5"/>
      <c r="S89" s="5"/>
      <c r="T89" s="5"/>
      <c r="U89" s="5"/>
      <c r="V89" s="5"/>
      <c r="W89" s="5"/>
      <c r="X89" s="5"/>
      <c r="Y89" s="5"/>
      <c r="Z89" s="5"/>
    </row>
    <row r="90">
      <c r="A90" s="5" t="s">
        <v>74</v>
      </c>
      <c r="B90" s="5" t="s">
        <v>372</v>
      </c>
      <c r="C90" s="5" t="s">
        <v>76</v>
      </c>
      <c r="D90" s="5" t="s">
        <v>370</v>
      </c>
      <c r="E90" s="5" t="s">
        <v>77</v>
      </c>
      <c r="F90" s="5" t="s">
        <v>249</v>
      </c>
      <c r="G90" s="191">
        <v>2001.0</v>
      </c>
      <c r="H90" s="191">
        <v>0.09401899</v>
      </c>
      <c r="I90" s="191">
        <v>0.121965243</v>
      </c>
      <c r="J90" s="191">
        <v>0.069631981</v>
      </c>
      <c r="K90" s="5"/>
      <c r="L90" s="5"/>
      <c r="M90" s="5"/>
      <c r="N90" s="5"/>
      <c r="O90" s="5"/>
      <c r="P90" s="5"/>
      <c r="Q90" s="5"/>
      <c r="R90" s="5"/>
      <c r="S90" s="5"/>
      <c r="T90" s="5"/>
      <c r="U90" s="5"/>
      <c r="V90" s="5"/>
      <c r="W90" s="5"/>
      <c r="X90" s="5"/>
      <c r="Y90" s="5"/>
      <c r="Z90" s="5"/>
    </row>
    <row r="91">
      <c r="A91" s="5" t="s">
        <v>371</v>
      </c>
      <c r="B91" s="5" t="s">
        <v>372</v>
      </c>
      <c r="C91" s="5" t="s">
        <v>76</v>
      </c>
      <c r="D91" s="5" t="s">
        <v>369</v>
      </c>
      <c r="E91" s="5" t="s">
        <v>77</v>
      </c>
      <c r="F91" s="5" t="s">
        <v>249</v>
      </c>
      <c r="G91" s="191">
        <v>2001.0</v>
      </c>
      <c r="H91" s="191">
        <v>0.06240874</v>
      </c>
      <c r="I91" s="191">
        <v>0.079877268</v>
      </c>
      <c r="J91" s="191">
        <v>0.048574216</v>
      </c>
      <c r="K91" s="5"/>
      <c r="L91" s="5"/>
      <c r="M91" s="5"/>
      <c r="N91" s="5"/>
      <c r="O91" s="5"/>
      <c r="P91" s="5"/>
      <c r="Q91" s="5"/>
      <c r="R91" s="5"/>
      <c r="S91" s="5"/>
      <c r="T91" s="5"/>
      <c r="U91" s="5"/>
      <c r="V91" s="5"/>
      <c r="W91" s="5"/>
      <c r="X91" s="5"/>
      <c r="Y91" s="5"/>
      <c r="Z91" s="5"/>
    </row>
    <row r="92">
      <c r="A92" s="5" t="s">
        <v>371</v>
      </c>
      <c r="B92" s="5" t="s">
        <v>372</v>
      </c>
      <c r="C92" s="5" t="s">
        <v>76</v>
      </c>
      <c r="D92" s="5" t="s">
        <v>370</v>
      </c>
      <c r="E92" s="5" t="s">
        <v>77</v>
      </c>
      <c r="F92" s="5" t="s">
        <v>249</v>
      </c>
      <c r="G92" s="191">
        <v>2001.0</v>
      </c>
      <c r="H92" s="191">
        <v>0.027811851</v>
      </c>
      <c r="I92" s="191">
        <v>0.032489287</v>
      </c>
      <c r="J92" s="191">
        <v>0.023868671</v>
      </c>
      <c r="K92" s="5"/>
      <c r="L92" s="5"/>
      <c r="M92" s="5"/>
      <c r="N92" s="5"/>
      <c r="O92" s="5"/>
      <c r="P92" s="5"/>
      <c r="Q92" s="5"/>
      <c r="R92" s="5"/>
      <c r="S92" s="5"/>
      <c r="T92" s="5"/>
      <c r="U92" s="5"/>
      <c r="V92" s="5"/>
      <c r="W92" s="5"/>
      <c r="X92" s="5"/>
      <c r="Y92" s="5"/>
      <c r="Z92" s="5"/>
    </row>
    <row r="93">
      <c r="A93" s="5" t="s">
        <v>74</v>
      </c>
      <c r="B93" s="5" t="s">
        <v>373</v>
      </c>
      <c r="C93" s="5" t="s">
        <v>76</v>
      </c>
      <c r="D93" s="5" t="s">
        <v>369</v>
      </c>
      <c r="E93" s="5" t="s">
        <v>77</v>
      </c>
      <c r="F93" s="5" t="s">
        <v>249</v>
      </c>
      <c r="G93" s="191">
        <v>2001.0</v>
      </c>
      <c r="H93" s="191">
        <v>0.220636441</v>
      </c>
      <c r="I93" s="191">
        <v>0.304897294</v>
      </c>
      <c r="J93" s="191">
        <v>0.141599954</v>
      </c>
      <c r="K93" s="5"/>
      <c r="L93" s="5"/>
      <c r="M93" s="5"/>
      <c r="N93" s="5"/>
      <c r="O93" s="5"/>
      <c r="P93" s="5"/>
      <c r="Q93" s="5"/>
      <c r="R93" s="5"/>
      <c r="S93" s="5"/>
      <c r="T93" s="5"/>
      <c r="U93" s="5"/>
      <c r="V93" s="5"/>
      <c r="W93" s="5"/>
      <c r="X93" s="5"/>
      <c r="Y93" s="5"/>
      <c r="Z93" s="5"/>
    </row>
    <row r="94">
      <c r="A94" s="5" t="s">
        <v>74</v>
      </c>
      <c r="B94" s="5" t="s">
        <v>373</v>
      </c>
      <c r="C94" s="5" t="s">
        <v>76</v>
      </c>
      <c r="D94" s="5" t="s">
        <v>370</v>
      </c>
      <c r="E94" s="5" t="s">
        <v>77</v>
      </c>
      <c r="F94" s="5" t="s">
        <v>249</v>
      </c>
      <c r="G94" s="191">
        <v>2001.0</v>
      </c>
      <c r="H94" s="191">
        <v>0.126059318</v>
      </c>
      <c r="I94" s="191">
        <v>0.171525068</v>
      </c>
      <c r="J94" s="191">
        <v>0.082791841</v>
      </c>
      <c r="K94" s="5"/>
      <c r="L94" s="5"/>
      <c r="M94" s="5"/>
      <c r="N94" s="5"/>
      <c r="O94" s="5"/>
      <c r="P94" s="5"/>
      <c r="Q94" s="5"/>
      <c r="R94" s="5"/>
      <c r="S94" s="5"/>
      <c r="T94" s="5"/>
      <c r="U94" s="5"/>
      <c r="V94" s="5"/>
      <c r="W94" s="5"/>
      <c r="X94" s="5"/>
      <c r="Y94" s="5"/>
      <c r="Z94" s="5"/>
    </row>
    <row r="95">
      <c r="A95" s="5" t="s">
        <v>371</v>
      </c>
      <c r="B95" s="5" t="s">
        <v>373</v>
      </c>
      <c r="C95" s="5" t="s">
        <v>76</v>
      </c>
      <c r="D95" s="5" t="s">
        <v>369</v>
      </c>
      <c r="E95" s="5" t="s">
        <v>77</v>
      </c>
      <c r="F95" s="5" t="s">
        <v>249</v>
      </c>
      <c r="G95" s="191">
        <v>2001.0</v>
      </c>
      <c r="H95" s="191">
        <v>0.097609712</v>
      </c>
      <c r="I95" s="191">
        <v>0.116638247</v>
      </c>
      <c r="J95" s="191">
        <v>0.079428551</v>
      </c>
      <c r="K95" s="5"/>
      <c r="L95" s="5"/>
      <c r="M95" s="5"/>
      <c r="N95" s="5"/>
      <c r="O95" s="5"/>
      <c r="P95" s="5"/>
      <c r="Q95" s="5"/>
      <c r="R95" s="5"/>
      <c r="S95" s="5"/>
      <c r="T95" s="5"/>
      <c r="U95" s="5"/>
      <c r="V95" s="5"/>
      <c r="W95" s="5"/>
      <c r="X95" s="5"/>
      <c r="Y95" s="5"/>
      <c r="Z95" s="5"/>
    </row>
    <row r="96">
      <c r="A96" s="5" t="s">
        <v>371</v>
      </c>
      <c r="B96" s="5" t="s">
        <v>373</v>
      </c>
      <c r="C96" s="5" t="s">
        <v>76</v>
      </c>
      <c r="D96" s="5" t="s">
        <v>370</v>
      </c>
      <c r="E96" s="5" t="s">
        <v>77</v>
      </c>
      <c r="F96" s="5" t="s">
        <v>249</v>
      </c>
      <c r="G96" s="191">
        <v>2001.0</v>
      </c>
      <c r="H96" s="191">
        <v>0.020155889</v>
      </c>
      <c r="I96" s="191">
        <v>0.023498621</v>
      </c>
      <c r="J96" s="191">
        <v>0.016942299</v>
      </c>
      <c r="K96" s="5"/>
      <c r="L96" s="5"/>
      <c r="M96" s="5"/>
      <c r="N96" s="5"/>
      <c r="O96" s="5"/>
      <c r="P96" s="5"/>
      <c r="Q96" s="5"/>
      <c r="R96" s="5"/>
      <c r="S96" s="5"/>
      <c r="T96" s="5"/>
      <c r="U96" s="5"/>
      <c r="V96" s="5"/>
      <c r="W96" s="5"/>
      <c r="X96" s="5"/>
      <c r="Y96" s="5"/>
      <c r="Z96" s="5"/>
    </row>
    <row r="97">
      <c r="A97" s="5" t="s">
        <v>74</v>
      </c>
      <c r="B97" s="5" t="s">
        <v>14</v>
      </c>
      <c r="C97" s="5" t="s">
        <v>76</v>
      </c>
      <c r="D97" s="5" t="s">
        <v>369</v>
      </c>
      <c r="E97" s="5" t="s">
        <v>77</v>
      </c>
      <c r="F97" s="5" t="s">
        <v>249</v>
      </c>
      <c r="G97" s="191">
        <v>2001.0</v>
      </c>
      <c r="H97" s="191">
        <v>0.075527573</v>
      </c>
      <c r="I97" s="191">
        <v>0.117892568</v>
      </c>
      <c r="J97" s="191">
        <v>0.042731575</v>
      </c>
      <c r="K97" s="5"/>
      <c r="L97" s="5"/>
      <c r="M97" s="5"/>
      <c r="N97" s="5"/>
      <c r="O97" s="5"/>
      <c r="P97" s="5"/>
      <c r="Q97" s="5"/>
      <c r="R97" s="5"/>
      <c r="S97" s="5"/>
      <c r="T97" s="5"/>
      <c r="U97" s="5"/>
      <c r="V97" s="5"/>
      <c r="W97" s="5"/>
      <c r="X97" s="5"/>
      <c r="Y97" s="5"/>
      <c r="Z97" s="5"/>
    </row>
    <row r="98">
      <c r="A98" s="5" t="s">
        <v>74</v>
      </c>
      <c r="B98" s="5" t="s">
        <v>14</v>
      </c>
      <c r="C98" s="5" t="s">
        <v>76</v>
      </c>
      <c r="D98" s="5" t="s">
        <v>370</v>
      </c>
      <c r="E98" s="5" t="s">
        <v>77</v>
      </c>
      <c r="F98" s="5" t="s">
        <v>249</v>
      </c>
      <c r="G98" s="191">
        <v>2001.0</v>
      </c>
      <c r="H98" s="191">
        <v>0.054065314</v>
      </c>
      <c r="I98" s="191">
        <v>0.077155075</v>
      </c>
      <c r="J98" s="191">
        <v>0.034165096</v>
      </c>
      <c r="K98" s="5"/>
      <c r="L98" s="5"/>
      <c r="M98" s="5"/>
      <c r="N98" s="5"/>
      <c r="O98" s="5"/>
      <c r="P98" s="5"/>
      <c r="Q98" s="5"/>
      <c r="R98" s="5"/>
      <c r="S98" s="5"/>
      <c r="T98" s="5"/>
      <c r="U98" s="5"/>
      <c r="V98" s="5"/>
      <c r="W98" s="5"/>
      <c r="X98" s="5"/>
      <c r="Y98" s="5"/>
      <c r="Z98" s="5"/>
    </row>
    <row r="99">
      <c r="A99" s="5" t="s">
        <v>371</v>
      </c>
      <c r="B99" s="5" t="s">
        <v>14</v>
      </c>
      <c r="C99" s="5" t="s">
        <v>76</v>
      </c>
      <c r="D99" s="5" t="s">
        <v>369</v>
      </c>
      <c r="E99" s="5" t="s">
        <v>77</v>
      </c>
      <c r="F99" s="5" t="s">
        <v>249</v>
      </c>
      <c r="G99" s="191">
        <v>2001.0</v>
      </c>
      <c r="H99" s="191">
        <v>0.072264398</v>
      </c>
      <c r="I99" s="191">
        <v>0.090945452</v>
      </c>
      <c r="J99" s="191">
        <v>0.055944107</v>
      </c>
      <c r="K99" s="5"/>
      <c r="L99" s="5"/>
      <c r="M99" s="5"/>
      <c r="N99" s="5"/>
      <c r="O99" s="5"/>
      <c r="P99" s="5"/>
      <c r="Q99" s="5"/>
      <c r="R99" s="5"/>
      <c r="S99" s="5"/>
      <c r="T99" s="5"/>
      <c r="U99" s="5"/>
      <c r="V99" s="5"/>
      <c r="W99" s="5"/>
      <c r="X99" s="5"/>
      <c r="Y99" s="5"/>
      <c r="Z99" s="5"/>
    </row>
    <row r="100">
      <c r="A100" s="5" t="s">
        <v>371</v>
      </c>
      <c r="B100" s="5" t="s">
        <v>14</v>
      </c>
      <c r="C100" s="5" t="s">
        <v>76</v>
      </c>
      <c r="D100" s="5" t="s">
        <v>370</v>
      </c>
      <c r="E100" s="5" t="s">
        <v>77</v>
      </c>
      <c r="F100" s="5" t="s">
        <v>249</v>
      </c>
      <c r="G100" s="191">
        <v>2001.0</v>
      </c>
      <c r="H100" s="191">
        <v>0.019728642</v>
      </c>
      <c r="I100" s="191">
        <v>0.023096024</v>
      </c>
      <c r="J100" s="191">
        <v>0.016693105</v>
      </c>
      <c r="K100" s="5"/>
      <c r="L100" s="5"/>
      <c r="M100" s="5"/>
      <c r="N100" s="5"/>
      <c r="O100" s="5"/>
      <c r="P100" s="5"/>
      <c r="Q100" s="5"/>
      <c r="R100" s="5"/>
      <c r="S100" s="5"/>
      <c r="T100" s="5"/>
      <c r="U100" s="5"/>
      <c r="V100" s="5"/>
      <c r="W100" s="5"/>
      <c r="X100" s="5"/>
      <c r="Y100" s="5"/>
      <c r="Z100" s="5"/>
    </row>
    <row r="101">
      <c r="A101" s="5" t="s">
        <v>74</v>
      </c>
      <c r="B101" s="5" t="s">
        <v>374</v>
      </c>
      <c r="C101" s="5" t="s">
        <v>76</v>
      </c>
      <c r="D101" s="5" t="s">
        <v>369</v>
      </c>
      <c r="E101" s="5" t="s">
        <v>77</v>
      </c>
      <c r="F101" s="5" t="s">
        <v>249</v>
      </c>
      <c r="G101" s="191">
        <v>2001.0</v>
      </c>
      <c r="H101" s="191">
        <v>0.023110669</v>
      </c>
      <c r="I101" s="191">
        <v>0.026504409</v>
      </c>
      <c r="J101" s="191">
        <v>0.020033612</v>
      </c>
      <c r="K101" s="5"/>
      <c r="L101" s="5"/>
      <c r="M101" s="5"/>
      <c r="N101" s="5"/>
      <c r="O101" s="5"/>
      <c r="P101" s="5"/>
      <c r="Q101" s="5"/>
      <c r="R101" s="5"/>
      <c r="S101" s="5"/>
      <c r="T101" s="5"/>
      <c r="U101" s="5"/>
      <c r="V101" s="5"/>
      <c r="W101" s="5"/>
      <c r="X101" s="5"/>
      <c r="Y101" s="5"/>
      <c r="Z101" s="5"/>
    </row>
    <row r="102">
      <c r="A102" s="5" t="s">
        <v>74</v>
      </c>
      <c r="B102" s="5" t="s">
        <v>374</v>
      </c>
      <c r="C102" s="5" t="s">
        <v>76</v>
      </c>
      <c r="D102" s="5" t="s">
        <v>370</v>
      </c>
      <c r="E102" s="5" t="s">
        <v>77</v>
      </c>
      <c r="F102" s="5" t="s">
        <v>249</v>
      </c>
      <c r="G102" s="191">
        <v>2001.0</v>
      </c>
      <c r="H102" s="191">
        <v>0.003906327</v>
      </c>
      <c r="I102" s="191">
        <v>0.004560273</v>
      </c>
      <c r="J102" s="191">
        <v>0.003318902</v>
      </c>
      <c r="K102" s="5"/>
      <c r="L102" s="5"/>
      <c r="M102" s="5"/>
      <c r="N102" s="5"/>
      <c r="O102" s="5"/>
      <c r="P102" s="5"/>
      <c r="Q102" s="5"/>
      <c r="R102" s="5"/>
      <c r="S102" s="5"/>
      <c r="T102" s="5"/>
      <c r="U102" s="5"/>
      <c r="V102" s="5"/>
      <c r="W102" s="5"/>
      <c r="X102" s="5"/>
      <c r="Y102" s="5"/>
      <c r="Z102" s="5"/>
    </row>
    <row r="103">
      <c r="A103" s="5" t="s">
        <v>371</v>
      </c>
      <c r="B103" s="5" t="s">
        <v>374</v>
      </c>
      <c r="C103" s="5" t="s">
        <v>76</v>
      </c>
      <c r="D103" s="5" t="s">
        <v>369</v>
      </c>
      <c r="E103" s="5" t="s">
        <v>77</v>
      </c>
      <c r="F103" s="5" t="s">
        <v>249</v>
      </c>
      <c r="G103" s="191">
        <v>2001.0</v>
      </c>
      <c r="H103" s="191">
        <v>0.042940593</v>
      </c>
      <c r="I103" s="191">
        <v>0.054167961</v>
      </c>
      <c r="J103" s="191">
        <v>0.033536357</v>
      </c>
      <c r="K103" s="5"/>
      <c r="L103" s="5"/>
      <c r="M103" s="5"/>
      <c r="N103" s="5"/>
      <c r="O103" s="5"/>
      <c r="P103" s="5"/>
      <c r="Q103" s="5"/>
      <c r="R103" s="5"/>
      <c r="S103" s="5"/>
      <c r="T103" s="5"/>
      <c r="U103" s="5"/>
      <c r="V103" s="5"/>
      <c r="W103" s="5"/>
      <c r="X103" s="5"/>
      <c r="Y103" s="5"/>
      <c r="Z103" s="5"/>
    </row>
    <row r="104">
      <c r="A104" s="5" t="s">
        <v>371</v>
      </c>
      <c r="B104" s="5" t="s">
        <v>374</v>
      </c>
      <c r="C104" s="5" t="s">
        <v>76</v>
      </c>
      <c r="D104" s="5" t="s">
        <v>370</v>
      </c>
      <c r="E104" s="5" t="s">
        <v>77</v>
      </c>
      <c r="F104" s="5" t="s">
        <v>249</v>
      </c>
      <c r="G104" s="191">
        <v>2001.0</v>
      </c>
      <c r="H104" s="191">
        <v>0.012813877</v>
      </c>
      <c r="I104" s="191">
        <v>0.015114344</v>
      </c>
      <c r="J104" s="191">
        <v>0.010784681</v>
      </c>
      <c r="K104" s="5"/>
      <c r="L104" s="5"/>
      <c r="M104" s="5"/>
      <c r="N104" s="5"/>
      <c r="O104" s="5"/>
      <c r="P104" s="5"/>
      <c r="Q104" s="5"/>
      <c r="R104" s="5"/>
      <c r="S104" s="5"/>
      <c r="T104" s="5"/>
      <c r="U104" s="5"/>
      <c r="V104" s="5"/>
      <c r="W104" s="5"/>
      <c r="X104" s="5"/>
      <c r="Y104" s="5"/>
      <c r="Z104" s="5"/>
    </row>
    <row r="105">
      <c r="A105" s="5" t="s">
        <v>74</v>
      </c>
      <c r="B105" s="5" t="s">
        <v>375</v>
      </c>
      <c r="C105" s="5" t="s">
        <v>76</v>
      </c>
      <c r="D105" s="5" t="s">
        <v>369</v>
      </c>
      <c r="E105" s="5" t="s">
        <v>77</v>
      </c>
      <c r="F105" s="5" t="s">
        <v>249</v>
      </c>
      <c r="G105" s="191">
        <v>2001.0</v>
      </c>
      <c r="H105" s="191">
        <v>0.197591126</v>
      </c>
      <c r="I105" s="191">
        <v>0.262834296</v>
      </c>
      <c r="J105" s="191">
        <v>0.145873573</v>
      </c>
      <c r="K105" s="5"/>
      <c r="L105" s="5"/>
      <c r="M105" s="5"/>
      <c r="N105" s="5"/>
      <c r="O105" s="5"/>
      <c r="P105" s="5"/>
      <c r="Q105" s="5"/>
      <c r="R105" s="5"/>
      <c r="S105" s="5"/>
      <c r="T105" s="5"/>
      <c r="U105" s="5"/>
      <c r="V105" s="5"/>
      <c r="W105" s="5"/>
      <c r="X105" s="5"/>
      <c r="Y105" s="5"/>
      <c r="Z105" s="5"/>
    </row>
    <row r="106">
      <c r="A106" s="5" t="s">
        <v>74</v>
      </c>
      <c r="B106" s="5" t="s">
        <v>375</v>
      </c>
      <c r="C106" s="5" t="s">
        <v>76</v>
      </c>
      <c r="D106" s="5" t="s">
        <v>370</v>
      </c>
      <c r="E106" s="5" t="s">
        <v>77</v>
      </c>
      <c r="F106" s="5" t="s">
        <v>249</v>
      </c>
      <c r="G106" s="191">
        <v>2001.0</v>
      </c>
      <c r="H106" s="191">
        <v>0.100471114</v>
      </c>
      <c r="I106" s="191">
        <v>0.129783917</v>
      </c>
      <c r="J106" s="191">
        <v>0.074510371</v>
      </c>
      <c r="K106" s="5"/>
      <c r="L106" s="5"/>
      <c r="M106" s="5"/>
      <c r="N106" s="5"/>
      <c r="O106" s="5"/>
      <c r="P106" s="5"/>
      <c r="Q106" s="5"/>
      <c r="R106" s="5"/>
      <c r="S106" s="5"/>
      <c r="T106" s="5"/>
      <c r="U106" s="5"/>
      <c r="V106" s="5"/>
      <c r="W106" s="5"/>
      <c r="X106" s="5"/>
      <c r="Y106" s="5"/>
      <c r="Z106" s="5"/>
    </row>
    <row r="107">
      <c r="A107" s="5" t="s">
        <v>371</v>
      </c>
      <c r="B107" s="5" t="s">
        <v>375</v>
      </c>
      <c r="C107" s="5" t="s">
        <v>76</v>
      </c>
      <c r="D107" s="5" t="s">
        <v>369</v>
      </c>
      <c r="E107" s="5" t="s">
        <v>77</v>
      </c>
      <c r="F107" s="5" t="s">
        <v>249</v>
      </c>
      <c r="G107" s="191">
        <v>2001.0</v>
      </c>
      <c r="H107" s="191">
        <v>0.076184617</v>
      </c>
      <c r="I107" s="191">
        <v>0.09321304</v>
      </c>
      <c r="J107" s="191">
        <v>0.06112181</v>
      </c>
      <c r="K107" s="5"/>
      <c r="L107" s="5"/>
      <c r="M107" s="5"/>
      <c r="N107" s="5"/>
      <c r="O107" s="5"/>
      <c r="P107" s="5"/>
      <c r="Q107" s="5"/>
      <c r="R107" s="5"/>
      <c r="S107" s="5"/>
      <c r="T107" s="5"/>
      <c r="U107" s="5"/>
      <c r="V107" s="5"/>
      <c r="W107" s="5"/>
      <c r="X107" s="5"/>
      <c r="Y107" s="5"/>
      <c r="Z107" s="5"/>
    </row>
    <row r="108">
      <c r="A108" s="5" t="s">
        <v>371</v>
      </c>
      <c r="B108" s="5" t="s">
        <v>375</v>
      </c>
      <c r="C108" s="5" t="s">
        <v>76</v>
      </c>
      <c r="D108" s="5" t="s">
        <v>370</v>
      </c>
      <c r="E108" s="5" t="s">
        <v>77</v>
      </c>
      <c r="F108" s="5" t="s">
        <v>249</v>
      </c>
      <c r="G108" s="191">
        <v>2001.0</v>
      </c>
      <c r="H108" s="191">
        <v>0.023686533</v>
      </c>
      <c r="I108" s="191">
        <v>0.02720178</v>
      </c>
      <c r="J108" s="191">
        <v>0.020479667</v>
      </c>
      <c r="K108" s="5"/>
      <c r="L108" s="5"/>
      <c r="M108" s="5"/>
      <c r="N108" s="5"/>
      <c r="O108" s="5"/>
      <c r="P108" s="5"/>
      <c r="Q108" s="5"/>
      <c r="R108" s="5"/>
      <c r="S108" s="5"/>
      <c r="T108" s="5"/>
      <c r="U108" s="5"/>
      <c r="V108" s="5"/>
      <c r="W108" s="5"/>
      <c r="X108" s="5"/>
      <c r="Y108" s="5"/>
      <c r="Z108" s="5"/>
    </row>
    <row r="109">
      <c r="A109" s="5" t="s">
        <v>74</v>
      </c>
      <c r="B109" s="5" t="s">
        <v>365</v>
      </c>
      <c r="C109" s="5" t="s">
        <v>76</v>
      </c>
      <c r="D109" s="5" t="s">
        <v>369</v>
      </c>
      <c r="E109" s="5" t="s">
        <v>77</v>
      </c>
      <c r="F109" s="5" t="s">
        <v>249</v>
      </c>
      <c r="G109" s="191">
        <v>2001.0</v>
      </c>
      <c r="H109" s="191">
        <v>0.041690857</v>
      </c>
      <c r="I109" s="191">
        <v>0.064091161</v>
      </c>
      <c r="J109" s="191">
        <v>0.024600137</v>
      </c>
      <c r="K109" s="5"/>
      <c r="L109" s="5"/>
      <c r="M109" s="5"/>
      <c r="N109" s="5"/>
      <c r="O109" s="5"/>
      <c r="P109" s="5"/>
      <c r="Q109" s="5"/>
      <c r="R109" s="5"/>
      <c r="S109" s="5"/>
      <c r="T109" s="5"/>
      <c r="U109" s="5"/>
      <c r="V109" s="5"/>
      <c r="W109" s="5"/>
      <c r="X109" s="5"/>
      <c r="Y109" s="5"/>
      <c r="Z109" s="5"/>
    </row>
    <row r="110">
      <c r="A110" s="5" t="s">
        <v>74</v>
      </c>
      <c r="B110" s="5" t="s">
        <v>365</v>
      </c>
      <c r="C110" s="5" t="s">
        <v>76</v>
      </c>
      <c r="D110" s="5" t="s">
        <v>370</v>
      </c>
      <c r="E110" s="5" t="s">
        <v>77</v>
      </c>
      <c r="F110" s="5" t="s">
        <v>249</v>
      </c>
      <c r="G110" s="191">
        <v>2001.0</v>
      </c>
      <c r="H110" s="191">
        <v>0.02193928</v>
      </c>
      <c r="I110" s="191">
        <v>0.031599911</v>
      </c>
      <c r="J110" s="191">
        <v>0.012276723</v>
      </c>
      <c r="K110" s="5"/>
      <c r="L110" s="5"/>
      <c r="M110" s="5"/>
      <c r="N110" s="5"/>
      <c r="O110" s="5"/>
      <c r="P110" s="5"/>
      <c r="Q110" s="5"/>
      <c r="R110" s="5"/>
      <c r="S110" s="5"/>
      <c r="T110" s="5"/>
      <c r="U110" s="5"/>
      <c r="V110" s="5"/>
      <c r="W110" s="5"/>
      <c r="X110" s="5"/>
      <c r="Y110" s="5"/>
      <c r="Z110" s="5"/>
    </row>
    <row r="111">
      <c r="A111" s="5" t="s">
        <v>371</v>
      </c>
      <c r="B111" s="5" t="s">
        <v>365</v>
      </c>
      <c r="C111" s="5" t="s">
        <v>76</v>
      </c>
      <c r="D111" s="5" t="s">
        <v>369</v>
      </c>
      <c r="E111" s="5" t="s">
        <v>77</v>
      </c>
      <c r="F111" s="5" t="s">
        <v>249</v>
      </c>
      <c r="G111" s="191">
        <v>2001.0</v>
      </c>
      <c r="H111" s="191">
        <v>0.076766068</v>
      </c>
      <c r="I111" s="191">
        <v>0.094195438</v>
      </c>
      <c r="J111" s="191">
        <v>0.060691107</v>
      </c>
      <c r="K111" s="5"/>
      <c r="L111" s="5"/>
      <c r="M111" s="5"/>
      <c r="N111" s="5"/>
      <c r="O111" s="5"/>
      <c r="P111" s="5"/>
      <c r="Q111" s="5"/>
      <c r="R111" s="5"/>
      <c r="S111" s="5"/>
      <c r="T111" s="5"/>
      <c r="U111" s="5"/>
      <c r="V111" s="5"/>
      <c r="W111" s="5"/>
      <c r="X111" s="5"/>
      <c r="Y111" s="5"/>
      <c r="Z111" s="5"/>
    </row>
    <row r="112">
      <c r="A112" s="5" t="s">
        <v>371</v>
      </c>
      <c r="B112" s="5" t="s">
        <v>365</v>
      </c>
      <c r="C112" s="5" t="s">
        <v>76</v>
      </c>
      <c r="D112" s="5" t="s">
        <v>370</v>
      </c>
      <c r="E112" s="5" t="s">
        <v>77</v>
      </c>
      <c r="F112" s="5" t="s">
        <v>249</v>
      </c>
      <c r="G112" s="191">
        <v>2001.0</v>
      </c>
      <c r="H112" s="191">
        <v>0.017871386</v>
      </c>
      <c r="I112" s="191">
        <v>0.020418995</v>
      </c>
      <c r="J112" s="191">
        <v>0.015454643</v>
      </c>
      <c r="K112" s="5"/>
      <c r="L112" s="5"/>
      <c r="M112" s="5"/>
      <c r="N112" s="5"/>
      <c r="O112" s="5"/>
      <c r="P112" s="5"/>
      <c r="Q112" s="5"/>
      <c r="R112" s="5"/>
      <c r="S112" s="5"/>
      <c r="T112" s="5"/>
      <c r="U112" s="5"/>
      <c r="V112" s="5"/>
      <c r="W112" s="5"/>
      <c r="X112" s="5"/>
      <c r="Y112" s="5"/>
      <c r="Z112" s="5"/>
    </row>
    <row r="113">
      <c r="A113" s="5" t="s">
        <v>74</v>
      </c>
      <c r="B113" s="5" t="s">
        <v>362</v>
      </c>
      <c r="C113" s="5" t="s">
        <v>76</v>
      </c>
      <c r="D113" s="5" t="s">
        <v>369</v>
      </c>
      <c r="E113" s="5" t="s">
        <v>77</v>
      </c>
      <c r="F113" s="5" t="s">
        <v>249</v>
      </c>
      <c r="G113" s="191">
        <v>2002.0</v>
      </c>
      <c r="H113" s="191">
        <v>0.070690611</v>
      </c>
      <c r="I113" s="191">
        <v>0.093364733</v>
      </c>
      <c r="J113" s="191">
        <v>0.052438801</v>
      </c>
      <c r="K113" s="5"/>
      <c r="L113" s="5"/>
      <c r="M113" s="5"/>
      <c r="N113" s="5"/>
      <c r="O113" s="5"/>
      <c r="P113" s="5"/>
      <c r="Q113" s="5"/>
      <c r="R113" s="5"/>
      <c r="S113" s="5"/>
      <c r="T113" s="5"/>
      <c r="U113" s="5"/>
      <c r="V113" s="5"/>
      <c r="W113" s="5"/>
      <c r="X113" s="5"/>
      <c r="Y113" s="5"/>
      <c r="Z113" s="5"/>
    </row>
    <row r="114">
      <c r="A114" s="5" t="s">
        <v>74</v>
      </c>
      <c r="B114" s="5" t="s">
        <v>362</v>
      </c>
      <c r="C114" s="5" t="s">
        <v>76</v>
      </c>
      <c r="D114" s="5" t="s">
        <v>370</v>
      </c>
      <c r="E114" s="5" t="s">
        <v>77</v>
      </c>
      <c r="F114" s="5" t="s">
        <v>249</v>
      </c>
      <c r="G114" s="191">
        <v>2002.0</v>
      </c>
      <c r="H114" s="191">
        <v>0.073205154</v>
      </c>
      <c r="I114" s="191">
        <v>0.106518671</v>
      </c>
      <c r="J114" s="191">
        <v>0.05220167</v>
      </c>
      <c r="K114" s="5"/>
      <c r="L114" s="5"/>
      <c r="M114" s="5"/>
      <c r="N114" s="5"/>
      <c r="O114" s="5"/>
      <c r="P114" s="5"/>
      <c r="Q114" s="5"/>
      <c r="R114" s="5"/>
      <c r="S114" s="5"/>
      <c r="T114" s="5"/>
      <c r="U114" s="5"/>
      <c r="V114" s="5"/>
      <c r="W114" s="5"/>
      <c r="X114" s="5"/>
      <c r="Y114" s="5"/>
      <c r="Z114" s="5"/>
    </row>
    <row r="115">
      <c r="A115" s="5" t="s">
        <v>371</v>
      </c>
      <c r="B115" s="5" t="s">
        <v>362</v>
      </c>
      <c r="C115" s="5" t="s">
        <v>76</v>
      </c>
      <c r="D115" s="5" t="s">
        <v>369</v>
      </c>
      <c r="E115" s="5" t="s">
        <v>77</v>
      </c>
      <c r="F115" s="5" t="s">
        <v>249</v>
      </c>
      <c r="G115" s="191">
        <v>2002.0</v>
      </c>
      <c r="H115" s="191">
        <v>0.045588094</v>
      </c>
      <c r="I115" s="191">
        <v>0.056800655</v>
      </c>
      <c r="J115" s="191">
        <v>0.035418004</v>
      </c>
      <c r="K115" s="5"/>
      <c r="L115" s="5"/>
      <c r="M115" s="5"/>
      <c r="N115" s="5"/>
      <c r="O115" s="5"/>
      <c r="P115" s="5"/>
      <c r="Q115" s="5"/>
      <c r="R115" s="5"/>
      <c r="S115" s="5"/>
      <c r="T115" s="5"/>
      <c r="U115" s="5"/>
      <c r="V115" s="5"/>
      <c r="W115" s="5"/>
      <c r="X115" s="5"/>
      <c r="Y115" s="5"/>
      <c r="Z115" s="5"/>
    </row>
    <row r="116">
      <c r="A116" s="5" t="s">
        <v>371</v>
      </c>
      <c r="B116" s="5" t="s">
        <v>362</v>
      </c>
      <c r="C116" s="5" t="s">
        <v>76</v>
      </c>
      <c r="D116" s="5" t="s">
        <v>370</v>
      </c>
      <c r="E116" s="5" t="s">
        <v>77</v>
      </c>
      <c r="F116" s="5" t="s">
        <v>249</v>
      </c>
      <c r="G116" s="191">
        <v>2002.0</v>
      </c>
      <c r="H116" s="191">
        <v>0.02272029</v>
      </c>
      <c r="I116" s="191">
        <v>0.026614434</v>
      </c>
      <c r="J116" s="191">
        <v>0.01940964</v>
      </c>
      <c r="K116" s="5"/>
      <c r="L116" s="5"/>
      <c r="M116" s="5"/>
      <c r="N116" s="5"/>
      <c r="O116" s="5"/>
      <c r="P116" s="5"/>
      <c r="Q116" s="5"/>
      <c r="R116" s="5"/>
      <c r="S116" s="5"/>
      <c r="T116" s="5"/>
      <c r="U116" s="5"/>
      <c r="V116" s="5"/>
      <c r="W116" s="5"/>
      <c r="X116" s="5"/>
      <c r="Y116" s="5"/>
      <c r="Z116" s="5"/>
    </row>
    <row r="117">
      <c r="A117" s="5" t="s">
        <v>74</v>
      </c>
      <c r="B117" s="5" t="s">
        <v>358</v>
      </c>
      <c r="C117" s="5" t="s">
        <v>76</v>
      </c>
      <c r="D117" s="5" t="s">
        <v>369</v>
      </c>
      <c r="E117" s="5" t="s">
        <v>77</v>
      </c>
      <c r="F117" s="5" t="s">
        <v>249</v>
      </c>
      <c r="G117" s="191">
        <v>2002.0</v>
      </c>
      <c r="H117" s="191">
        <v>0.161343961</v>
      </c>
      <c r="I117" s="191">
        <v>0.181379838</v>
      </c>
      <c r="J117" s="191">
        <v>0.14153758</v>
      </c>
      <c r="K117" s="5"/>
      <c r="L117" s="5"/>
      <c r="M117" s="5"/>
      <c r="N117" s="5"/>
      <c r="O117" s="5"/>
      <c r="P117" s="5"/>
      <c r="Q117" s="5"/>
      <c r="R117" s="5"/>
      <c r="S117" s="5"/>
      <c r="T117" s="5"/>
      <c r="U117" s="5"/>
      <c r="V117" s="5"/>
      <c r="W117" s="5"/>
      <c r="X117" s="5"/>
      <c r="Y117" s="5"/>
      <c r="Z117" s="5"/>
    </row>
    <row r="118">
      <c r="A118" s="5" t="s">
        <v>74</v>
      </c>
      <c r="B118" s="5" t="s">
        <v>358</v>
      </c>
      <c r="C118" s="5" t="s">
        <v>76</v>
      </c>
      <c r="D118" s="5" t="s">
        <v>370</v>
      </c>
      <c r="E118" s="5" t="s">
        <v>77</v>
      </c>
      <c r="F118" s="5" t="s">
        <v>249</v>
      </c>
      <c r="G118" s="191">
        <v>2002.0</v>
      </c>
      <c r="H118" s="191">
        <v>0.071195073</v>
      </c>
      <c r="I118" s="191">
        <v>0.077481135</v>
      </c>
      <c r="J118" s="191">
        <v>0.065350571</v>
      </c>
      <c r="K118" s="5"/>
      <c r="L118" s="5"/>
      <c r="M118" s="5"/>
      <c r="N118" s="5"/>
      <c r="O118" s="5"/>
      <c r="P118" s="5"/>
      <c r="Q118" s="5"/>
      <c r="R118" s="5"/>
      <c r="S118" s="5"/>
      <c r="T118" s="5"/>
      <c r="U118" s="5"/>
      <c r="V118" s="5"/>
      <c r="W118" s="5"/>
      <c r="X118" s="5"/>
      <c r="Y118" s="5"/>
      <c r="Z118" s="5"/>
    </row>
    <row r="119">
      <c r="A119" s="5" t="s">
        <v>371</v>
      </c>
      <c r="B119" s="5" t="s">
        <v>358</v>
      </c>
      <c r="C119" s="5" t="s">
        <v>76</v>
      </c>
      <c r="D119" s="5" t="s">
        <v>369</v>
      </c>
      <c r="E119" s="5" t="s">
        <v>77</v>
      </c>
      <c r="F119" s="5" t="s">
        <v>249</v>
      </c>
      <c r="G119" s="191">
        <v>2002.0</v>
      </c>
      <c r="H119" s="191">
        <v>0.114489213</v>
      </c>
      <c r="I119" s="191">
        <v>0.137255115</v>
      </c>
      <c r="J119" s="191">
        <v>0.092912572</v>
      </c>
      <c r="K119" s="5"/>
      <c r="L119" s="5"/>
      <c r="M119" s="5"/>
      <c r="N119" s="5"/>
      <c r="O119" s="5"/>
      <c r="P119" s="5"/>
      <c r="Q119" s="5"/>
      <c r="R119" s="5"/>
      <c r="S119" s="5"/>
      <c r="T119" s="5"/>
      <c r="U119" s="5"/>
      <c r="V119" s="5"/>
      <c r="W119" s="5"/>
      <c r="X119" s="5"/>
      <c r="Y119" s="5"/>
      <c r="Z119" s="5"/>
    </row>
    <row r="120">
      <c r="A120" s="5" t="s">
        <v>371</v>
      </c>
      <c r="B120" s="5" t="s">
        <v>358</v>
      </c>
      <c r="C120" s="5" t="s">
        <v>76</v>
      </c>
      <c r="D120" s="5" t="s">
        <v>370</v>
      </c>
      <c r="E120" s="5" t="s">
        <v>77</v>
      </c>
      <c r="F120" s="5" t="s">
        <v>249</v>
      </c>
      <c r="G120" s="191">
        <v>2002.0</v>
      </c>
      <c r="H120" s="191">
        <v>0.028978363</v>
      </c>
      <c r="I120" s="191">
        <v>0.033116878</v>
      </c>
      <c r="J120" s="191">
        <v>0.0252009</v>
      </c>
      <c r="K120" s="5"/>
      <c r="L120" s="5"/>
      <c r="M120" s="5"/>
      <c r="N120" s="5"/>
      <c r="O120" s="5"/>
      <c r="P120" s="5"/>
      <c r="Q120" s="5"/>
      <c r="R120" s="5"/>
      <c r="S120" s="5"/>
      <c r="T120" s="5"/>
      <c r="U120" s="5"/>
      <c r="V120" s="5"/>
      <c r="W120" s="5"/>
      <c r="X120" s="5"/>
      <c r="Y120" s="5"/>
      <c r="Z120" s="5"/>
    </row>
    <row r="121">
      <c r="A121" s="5" t="s">
        <v>74</v>
      </c>
      <c r="B121" s="5" t="s">
        <v>360</v>
      </c>
      <c r="C121" s="5" t="s">
        <v>76</v>
      </c>
      <c r="D121" s="5" t="s">
        <v>369</v>
      </c>
      <c r="E121" s="5" t="s">
        <v>77</v>
      </c>
      <c r="F121" s="5" t="s">
        <v>249</v>
      </c>
      <c r="G121" s="191">
        <v>2002.0</v>
      </c>
      <c r="H121" s="191">
        <v>0.129518015</v>
      </c>
      <c r="I121" s="191">
        <v>0.150525753</v>
      </c>
      <c r="J121" s="191">
        <v>0.109104891</v>
      </c>
      <c r="K121" s="5"/>
      <c r="L121" s="5"/>
      <c r="M121" s="5"/>
      <c r="N121" s="5"/>
      <c r="O121" s="5"/>
      <c r="P121" s="5"/>
      <c r="Q121" s="5"/>
      <c r="R121" s="5"/>
      <c r="S121" s="5"/>
      <c r="T121" s="5"/>
      <c r="U121" s="5"/>
      <c r="V121" s="5"/>
      <c r="W121" s="5"/>
      <c r="X121" s="5"/>
      <c r="Y121" s="5"/>
      <c r="Z121" s="5"/>
    </row>
    <row r="122">
      <c r="A122" s="5" t="s">
        <v>74</v>
      </c>
      <c r="B122" s="5" t="s">
        <v>360</v>
      </c>
      <c r="C122" s="5" t="s">
        <v>76</v>
      </c>
      <c r="D122" s="5" t="s">
        <v>370</v>
      </c>
      <c r="E122" s="5" t="s">
        <v>77</v>
      </c>
      <c r="F122" s="5" t="s">
        <v>249</v>
      </c>
      <c r="G122" s="191">
        <v>2002.0</v>
      </c>
      <c r="H122" s="191">
        <v>0.120676279</v>
      </c>
      <c r="I122" s="191">
        <v>0.164603138</v>
      </c>
      <c r="J122" s="191">
        <v>0.089513773</v>
      </c>
      <c r="K122" s="5"/>
      <c r="L122" s="5"/>
      <c r="M122" s="5"/>
      <c r="N122" s="5"/>
      <c r="O122" s="5"/>
      <c r="P122" s="5"/>
      <c r="Q122" s="5"/>
      <c r="R122" s="5"/>
      <c r="S122" s="5"/>
      <c r="T122" s="5"/>
      <c r="U122" s="5"/>
      <c r="V122" s="5"/>
      <c r="W122" s="5"/>
      <c r="X122" s="5"/>
      <c r="Y122" s="5"/>
      <c r="Z122" s="5"/>
    </row>
    <row r="123">
      <c r="A123" s="5" t="s">
        <v>371</v>
      </c>
      <c r="B123" s="5" t="s">
        <v>360</v>
      </c>
      <c r="C123" s="5" t="s">
        <v>76</v>
      </c>
      <c r="D123" s="5" t="s">
        <v>369</v>
      </c>
      <c r="E123" s="5" t="s">
        <v>77</v>
      </c>
      <c r="F123" s="5" t="s">
        <v>249</v>
      </c>
      <c r="G123" s="191">
        <v>2002.0</v>
      </c>
      <c r="H123" s="191">
        <v>0.039571207</v>
      </c>
      <c r="I123" s="191">
        <v>0.048558009</v>
      </c>
      <c r="J123" s="191">
        <v>0.031780137</v>
      </c>
      <c r="K123" s="5"/>
      <c r="L123" s="5"/>
      <c r="M123" s="5"/>
      <c r="N123" s="5"/>
      <c r="O123" s="5"/>
      <c r="P123" s="5"/>
      <c r="Q123" s="5"/>
      <c r="R123" s="5"/>
      <c r="S123" s="5"/>
      <c r="T123" s="5"/>
      <c r="U123" s="5"/>
      <c r="V123" s="5"/>
      <c r="W123" s="5"/>
      <c r="X123" s="5"/>
      <c r="Y123" s="5"/>
      <c r="Z123" s="5"/>
    </row>
    <row r="124">
      <c r="A124" s="5" t="s">
        <v>371</v>
      </c>
      <c r="B124" s="5" t="s">
        <v>360</v>
      </c>
      <c r="C124" s="5" t="s">
        <v>76</v>
      </c>
      <c r="D124" s="5" t="s">
        <v>370</v>
      </c>
      <c r="E124" s="5" t="s">
        <v>77</v>
      </c>
      <c r="F124" s="5" t="s">
        <v>249</v>
      </c>
      <c r="G124" s="191">
        <v>2002.0</v>
      </c>
      <c r="H124" s="191">
        <v>0.024783045</v>
      </c>
      <c r="I124" s="191">
        <v>0.02864293</v>
      </c>
      <c r="J124" s="191">
        <v>0.021495352</v>
      </c>
      <c r="K124" s="5"/>
      <c r="L124" s="5"/>
      <c r="M124" s="5"/>
      <c r="N124" s="5"/>
      <c r="O124" s="5"/>
      <c r="P124" s="5"/>
      <c r="Q124" s="5"/>
      <c r="R124" s="5"/>
      <c r="S124" s="5"/>
      <c r="T124" s="5"/>
      <c r="U124" s="5"/>
      <c r="V124" s="5"/>
      <c r="W124" s="5"/>
      <c r="X124" s="5"/>
      <c r="Y124" s="5"/>
      <c r="Z124" s="5"/>
    </row>
    <row r="125">
      <c r="A125" s="5" t="s">
        <v>74</v>
      </c>
      <c r="B125" s="5" t="s">
        <v>11</v>
      </c>
      <c r="C125" s="5" t="s">
        <v>76</v>
      </c>
      <c r="D125" s="5" t="s">
        <v>369</v>
      </c>
      <c r="E125" s="5" t="s">
        <v>77</v>
      </c>
      <c r="F125" s="5" t="s">
        <v>249</v>
      </c>
      <c r="G125" s="191">
        <v>2002.0</v>
      </c>
      <c r="H125" s="191">
        <v>0.176980522</v>
      </c>
      <c r="I125" s="191">
        <v>0.231101021</v>
      </c>
      <c r="J125" s="191">
        <v>0.107335838</v>
      </c>
      <c r="K125" s="5"/>
      <c r="L125" s="5"/>
      <c r="M125" s="5"/>
      <c r="N125" s="5"/>
      <c r="O125" s="5"/>
      <c r="P125" s="5"/>
      <c r="Q125" s="5"/>
      <c r="R125" s="5"/>
      <c r="S125" s="5"/>
      <c r="T125" s="5"/>
      <c r="U125" s="5"/>
      <c r="V125" s="5"/>
      <c r="W125" s="5"/>
      <c r="X125" s="5"/>
      <c r="Y125" s="5"/>
      <c r="Z125" s="5"/>
    </row>
    <row r="126">
      <c r="A126" s="5" t="s">
        <v>74</v>
      </c>
      <c r="B126" s="5" t="s">
        <v>11</v>
      </c>
      <c r="C126" s="5" t="s">
        <v>76</v>
      </c>
      <c r="D126" s="5" t="s">
        <v>370</v>
      </c>
      <c r="E126" s="5" t="s">
        <v>77</v>
      </c>
      <c r="F126" s="5" t="s">
        <v>249</v>
      </c>
      <c r="G126" s="191">
        <v>2002.0</v>
      </c>
      <c r="H126" s="191">
        <v>0.082432729</v>
      </c>
      <c r="I126" s="191">
        <v>0.110277554</v>
      </c>
      <c r="J126" s="191">
        <v>0.057250169</v>
      </c>
      <c r="K126" s="5"/>
      <c r="L126" s="5"/>
      <c r="M126" s="5"/>
      <c r="N126" s="5"/>
      <c r="O126" s="5"/>
      <c r="P126" s="5"/>
      <c r="Q126" s="5"/>
      <c r="R126" s="5"/>
      <c r="S126" s="5"/>
      <c r="T126" s="5"/>
      <c r="U126" s="5"/>
      <c r="V126" s="5"/>
      <c r="W126" s="5"/>
      <c r="X126" s="5"/>
      <c r="Y126" s="5"/>
      <c r="Z126" s="5"/>
    </row>
    <row r="127">
      <c r="A127" s="5" t="s">
        <v>371</v>
      </c>
      <c r="B127" s="5" t="s">
        <v>11</v>
      </c>
      <c r="C127" s="5" t="s">
        <v>76</v>
      </c>
      <c r="D127" s="5" t="s">
        <v>369</v>
      </c>
      <c r="E127" s="5" t="s">
        <v>77</v>
      </c>
      <c r="F127" s="5" t="s">
        <v>249</v>
      </c>
      <c r="G127" s="191">
        <v>2002.0</v>
      </c>
      <c r="H127" s="191">
        <v>0.07539232</v>
      </c>
      <c r="I127" s="191">
        <v>0.091516472</v>
      </c>
      <c r="J127" s="191">
        <v>0.060829372</v>
      </c>
      <c r="K127" s="5"/>
      <c r="L127" s="5"/>
      <c r="M127" s="5"/>
      <c r="N127" s="5"/>
      <c r="O127" s="5"/>
      <c r="P127" s="5"/>
      <c r="Q127" s="5"/>
      <c r="R127" s="5"/>
      <c r="S127" s="5"/>
      <c r="T127" s="5"/>
      <c r="U127" s="5"/>
      <c r="V127" s="5"/>
      <c r="W127" s="5"/>
      <c r="X127" s="5"/>
      <c r="Y127" s="5"/>
      <c r="Z127" s="5"/>
    </row>
    <row r="128">
      <c r="A128" s="5" t="s">
        <v>371</v>
      </c>
      <c r="B128" s="5" t="s">
        <v>11</v>
      </c>
      <c r="C128" s="5" t="s">
        <v>76</v>
      </c>
      <c r="D128" s="5" t="s">
        <v>370</v>
      </c>
      <c r="E128" s="5" t="s">
        <v>77</v>
      </c>
      <c r="F128" s="5" t="s">
        <v>249</v>
      </c>
      <c r="G128" s="191">
        <v>2002.0</v>
      </c>
      <c r="H128" s="191">
        <v>0.021372521</v>
      </c>
      <c r="I128" s="191">
        <v>0.024384698</v>
      </c>
      <c r="J128" s="191">
        <v>0.018656748</v>
      </c>
      <c r="K128" s="5"/>
      <c r="L128" s="5"/>
      <c r="M128" s="5"/>
      <c r="N128" s="5"/>
      <c r="O128" s="5"/>
      <c r="P128" s="5"/>
      <c r="Q128" s="5"/>
      <c r="R128" s="5"/>
      <c r="S128" s="5"/>
      <c r="T128" s="5"/>
      <c r="U128" s="5"/>
      <c r="V128" s="5"/>
      <c r="W128" s="5"/>
      <c r="X128" s="5"/>
      <c r="Y128" s="5"/>
      <c r="Z128" s="5"/>
    </row>
    <row r="129">
      <c r="A129" s="5" t="s">
        <v>74</v>
      </c>
      <c r="B129" s="5" t="s">
        <v>15</v>
      </c>
      <c r="C129" s="5" t="s">
        <v>76</v>
      </c>
      <c r="D129" s="5" t="s">
        <v>369</v>
      </c>
      <c r="E129" s="5" t="s">
        <v>77</v>
      </c>
      <c r="F129" s="5" t="s">
        <v>249</v>
      </c>
      <c r="G129" s="191">
        <v>2002.0</v>
      </c>
      <c r="H129" s="191">
        <v>0.162970375</v>
      </c>
      <c r="I129" s="191">
        <v>0.214710895</v>
      </c>
      <c r="J129" s="191">
        <v>0.119626517</v>
      </c>
      <c r="K129" s="5"/>
      <c r="L129" s="5"/>
      <c r="M129" s="5"/>
      <c r="N129" s="5"/>
      <c r="O129" s="5"/>
      <c r="P129" s="5"/>
      <c r="Q129" s="5"/>
      <c r="R129" s="5"/>
      <c r="S129" s="5"/>
      <c r="T129" s="5"/>
      <c r="U129" s="5"/>
      <c r="V129" s="5"/>
      <c r="W129" s="5"/>
      <c r="X129" s="5"/>
      <c r="Y129" s="5"/>
      <c r="Z129" s="5"/>
    </row>
    <row r="130">
      <c r="A130" s="5" t="s">
        <v>74</v>
      </c>
      <c r="B130" s="5" t="s">
        <v>15</v>
      </c>
      <c r="C130" s="5" t="s">
        <v>76</v>
      </c>
      <c r="D130" s="5" t="s">
        <v>370</v>
      </c>
      <c r="E130" s="5" t="s">
        <v>77</v>
      </c>
      <c r="F130" s="5" t="s">
        <v>249</v>
      </c>
      <c r="G130" s="191">
        <v>2002.0</v>
      </c>
      <c r="H130" s="191">
        <v>0.09062676</v>
      </c>
      <c r="I130" s="191">
        <v>0.118000462</v>
      </c>
      <c r="J130" s="191">
        <v>0.068146278</v>
      </c>
      <c r="K130" s="5"/>
      <c r="L130" s="5"/>
      <c r="M130" s="5"/>
      <c r="N130" s="5"/>
      <c r="O130" s="5"/>
      <c r="P130" s="5"/>
      <c r="Q130" s="5"/>
      <c r="R130" s="5"/>
      <c r="S130" s="5"/>
      <c r="T130" s="5"/>
      <c r="U130" s="5"/>
      <c r="V130" s="5"/>
      <c r="W130" s="5"/>
      <c r="X130" s="5"/>
      <c r="Y130" s="5"/>
      <c r="Z130" s="5"/>
    </row>
    <row r="131">
      <c r="A131" s="5" t="s">
        <v>371</v>
      </c>
      <c r="B131" s="5" t="s">
        <v>15</v>
      </c>
      <c r="C131" s="5" t="s">
        <v>76</v>
      </c>
      <c r="D131" s="5" t="s">
        <v>369</v>
      </c>
      <c r="E131" s="5" t="s">
        <v>77</v>
      </c>
      <c r="F131" s="5" t="s">
        <v>249</v>
      </c>
      <c r="G131" s="191">
        <v>2002.0</v>
      </c>
      <c r="H131" s="191">
        <v>0.083991934</v>
      </c>
      <c r="I131" s="191">
        <v>0.102510015</v>
      </c>
      <c r="J131" s="191">
        <v>0.067057404</v>
      </c>
      <c r="K131" s="5"/>
      <c r="L131" s="5"/>
      <c r="M131" s="5"/>
      <c r="N131" s="5"/>
      <c r="O131" s="5"/>
      <c r="P131" s="5"/>
      <c r="Q131" s="5"/>
      <c r="R131" s="5"/>
      <c r="S131" s="5"/>
      <c r="T131" s="5"/>
      <c r="U131" s="5"/>
      <c r="V131" s="5"/>
      <c r="W131" s="5"/>
      <c r="X131" s="5"/>
      <c r="Y131" s="5"/>
      <c r="Z131" s="5"/>
    </row>
    <row r="132">
      <c r="A132" s="5" t="s">
        <v>371</v>
      </c>
      <c r="B132" s="5" t="s">
        <v>15</v>
      </c>
      <c r="C132" s="5" t="s">
        <v>76</v>
      </c>
      <c r="D132" s="5" t="s">
        <v>370</v>
      </c>
      <c r="E132" s="5" t="s">
        <v>77</v>
      </c>
      <c r="F132" s="5" t="s">
        <v>249</v>
      </c>
      <c r="G132" s="191">
        <v>2002.0</v>
      </c>
      <c r="H132" s="191">
        <v>0.022735511</v>
      </c>
      <c r="I132" s="191">
        <v>0.025873934</v>
      </c>
      <c r="J132" s="191">
        <v>0.019834223</v>
      </c>
      <c r="K132" s="5"/>
      <c r="L132" s="5"/>
      <c r="M132" s="5"/>
      <c r="N132" s="5"/>
      <c r="O132" s="5"/>
      <c r="P132" s="5"/>
      <c r="Q132" s="5"/>
      <c r="R132" s="5"/>
      <c r="S132" s="5"/>
      <c r="T132" s="5"/>
      <c r="U132" s="5"/>
      <c r="V132" s="5"/>
      <c r="W132" s="5"/>
      <c r="X132" s="5"/>
      <c r="Y132" s="5"/>
      <c r="Z132" s="5"/>
    </row>
    <row r="133">
      <c r="A133" s="5" t="s">
        <v>74</v>
      </c>
      <c r="B133" s="5" t="s">
        <v>372</v>
      </c>
      <c r="C133" s="5" t="s">
        <v>76</v>
      </c>
      <c r="D133" s="5" t="s">
        <v>369</v>
      </c>
      <c r="E133" s="5" t="s">
        <v>77</v>
      </c>
      <c r="F133" s="5" t="s">
        <v>249</v>
      </c>
      <c r="G133" s="191">
        <v>2002.0</v>
      </c>
      <c r="H133" s="191">
        <v>0.110241281</v>
      </c>
      <c r="I133" s="191">
        <v>0.13953352</v>
      </c>
      <c r="J133" s="191">
        <v>0.081768754</v>
      </c>
      <c r="K133" s="5"/>
      <c r="L133" s="5"/>
      <c r="M133" s="5"/>
      <c r="N133" s="5"/>
      <c r="O133" s="5"/>
      <c r="P133" s="5"/>
      <c r="Q133" s="5"/>
      <c r="R133" s="5"/>
      <c r="S133" s="5"/>
      <c r="T133" s="5"/>
      <c r="U133" s="5"/>
      <c r="V133" s="5"/>
      <c r="W133" s="5"/>
      <c r="X133" s="5"/>
      <c r="Y133" s="5"/>
      <c r="Z133" s="5"/>
    </row>
    <row r="134">
      <c r="A134" s="5" t="s">
        <v>74</v>
      </c>
      <c r="B134" s="5" t="s">
        <v>372</v>
      </c>
      <c r="C134" s="5" t="s">
        <v>76</v>
      </c>
      <c r="D134" s="5" t="s">
        <v>370</v>
      </c>
      <c r="E134" s="5" t="s">
        <v>77</v>
      </c>
      <c r="F134" s="5" t="s">
        <v>249</v>
      </c>
      <c r="G134" s="191">
        <v>2002.0</v>
      </c>
      <c r="H134" s="191">
        <v>0.091437645</v>
      </c>
      <c r="I134" s="191">
        <v>0.119604836</v>
      </c>
      <c r="J134" s="191">
        <v>0.068129595</v>
      </c>
      <c r="K134" s="5"/>
      <c r="L134" s="5"/>
      <c r="M134" s="5"/>
      <c r="N134" s="5"/>
      <c r="O134" s="5"/>
      <c r="P134" s="5"/>
      <c r="Q134" s="5"/>
      <c r="R134" s="5"/>
      <c r="S134" s="5"/>
      <c r="T134" s="5"/>
      <c r="U134" s="5"/>
      <c r="V134" s="5"/>
      <c r="W134" s="5"/>
      <c r="X134" s="5"/>
      <c r="Y134" s="5"/>
      <c r="Z134" s="5"/>
    </row>
    <row r="135">
      <c r="A135" s="5" t="s">
        <v>371</v>
      </c>
      <c r="B135" s="5" t="s">
        <v>372</v>
      </c>
      <c r="C135" s="5" t="s">
        <v>76</v>
      </c>
      <c r="D135" s="5" t="s">
        <v>369</v>
      </c>
      <c r="E135" s="5" t="s">
        <v>77</v>
      </c>
      <c r="F135" s="5" t="s">
        <v>249</v>
      </c>
      <c r="G135" s="191">
        <v>2002.0</v>
      </c>
      <c r="H135" s="191">
        <v>0.062518268</v>
      </c>
      <c r="I135" s="191">
        <v>0.080710817</v>
      </c>
      <c r="J135" s="191">
        <v>0.048239353</v>
      </c>
      <c r="K135" s="5"/>
      <c r="L135" s="5"/>
      <c r="M135" s="5"/>
      <c r="N135" s="5"/>
      <c r="O135" s="5"/>
      <c r="P135" s="5"/>
      <c r="Q135" s="5"/>
      <c r="R135" s="5"/>
      <c r="S135" s="5"/>
      <c r="T135" s="5"/>
      <c r="U135" s="5"/>
      <c r="V135" s="5"/>
      <c r="W135" s="5"/>
      <c r="X135" s="5"/>
      <c r="Y135" s="5"/>
      <c r="Z135" s="5"/>
    </row>
    <row r="136">
      <c r="A136" s="5" t="s">
        <v>371</v>
      </c>
      <c r="B136" s="5" t="s">
        <v>372</v>
      </c>
      <c r="C136" s="5" t="s">
        <v>76</v>
      </c>
      <c r="D136" s="5" t="s">
        <v>370</v>
      </c>
      <c r="E136" s="5" t="s">
        <v>77</v>
      </c>
      <c r="F136" s="5" t="s">
        <v>249</v>
      </c>
      <c r="G136" s="191">
        <v>2002.0</v>
      </c>
      <c r="H136" s="191">
        <v>0.027418349</v>
      </c>
      <c r="I136" s="191">
        <v>0.031971155</v>
      </c>
      <c r="J136" s="191">
        <v>0.023565417</v>
      </c>
      <c r="K136" s="5"/>
      <c r="L136" s="5"/>
      <c r="M136" s="5"/>
      <c r="N136" s="5"/>
      <c r="O136" s="5"/>
      <c r="P136" s="5"/>
      <c r="Q136" s="5"/>
      <c r="R136" s="5"/>
      <c r="S136" s="5"/>
      <c r="T136" s="5"/>
      <c r="U136" s="5"/>
      <c r="V136" s="5"/>
      <c r="W136" s="5"/>
      <c r="X136" s="5"/>
      <c r="Y136" s="5"/>
      <c r="Z136" s="5"/>
    </row>
    <row r="137">
      <c r="A137" s="5" t="s">
        <v>74</v>
      </c>
      <c r="B137" s="5" t="s">
        <v>373</v>
      </c>
      <c r="C137" s="5" t="s">
        <v>76</v>
      </c>
      <c r="D137" s="5" t="s">
        <v>369</v>
      </c>
      <c r="E137" s="5" t="s">
        <v>77</v>
      </c>
      <c r="F137" s="5" t="s">
        <v>249</v>
      </c>
      <c r="G137" s="191">
        <v>2002.0</v>
      </c>
      <c r="H137" s="191">
        <v>0.209950428</v>
      </c>
      <c r="I137" s="191">
        <v>0.286395175</v>
      </c>
      <c r="J137" s="191">
        <v>0.138575956</v>
      </c>
      <c r="K137" s="5"/>
      <c r="L137" s="5"/>
      <c r="M137" s="5"/>
      <c r="N137" s="5"/>
      <c r="O137" s="5"/>
      <c r="P137" s="5"/>
      <c r="Q137" s="5"/>
      <c r="R137" s="5"/>
      <c r="S137" s="5"/>
      <c r="T137" s="5"/>
      <c r="U137" s="5"/>
      <c r="V137" s="5"/>
      <c r="W137" s="5"/>
      <c r="X137" s="5"/>
      <c r="Y137" s="5"/>
      <c r="Z137" s="5"/>
    </row>
    <row r="138">
      <c r="A138" s="5" t="s">
        <v>74</v>
      </c>
      <c r="B138" s="5" t="s">
        <v>373</v>
      </c>
      <c r="C138" s="5" t="s">
        <v>76</v>
      </c>
      <c r="D138" s="5" t="s">
        <v>370</v>
      </c>
      <c r="E138" s="5" t="s">
        <v>77</v>
      </c>
      <c r="F138" s="5" t="s">
        <v>249</v>
      </c>
      <c r="G138" s="191">
        <v>2002.0</v>
      </c>
      <c r="H138" s="191">
        <v>0.120183172</v>
      </c>
      <c r="I138" s="191">
        <v>0.160666519</v>
      </c>
      <c r="J138" s="191">
        <v>0.081340916</v>
      </c>
      <c r="K138" s="5"/>
      <c r="L138" s="5"/>
      <c r="M138" s="5"/>
      <c r="N138" s="5"/>
      <c r="O138" s="5"/>
      <c r="P138" s="5"/>
      <c r="Q138" s="5"/>
      <c r="R138" s="5"/>
      <c r="S138" s="5"/>
      <c r="T138" s="5"/>
      <c r="U138" s="5"/>
      <c r="V138" s="5"/>
      <c r="W138" s="5"/>
      <c r="X138" s="5"/>
      <c r="Y138" s="5"/>
      <c r="Z138" s="5"/>
    </row>
    <row r="139">
      <c r="A139" s="5" t="s">
        <v>371</v>
      </c>
      <c r="B139" s="5" t="s">
        <v>373</v>
      </c>
      <c r="C139" s="5" t="s">
        <v>76</v>
      </c>
      <c r="D139" s="5" t="s">
        <v>369</v>
      </c>
      <c r="E139" s="5" t="s">
        <v>77</v>
      </c>
      <c r="F139" s="5" t="s">
        <v>249</v>
      </c>
      <c r="G139" s="191">
        <v>2002.0</v>
      </c>
      <c r="H139" s="191">
        <v>0.098931144</v>
      </c>
      <c r="I139" s="191">
        <v>0.117421802</v>
      </c>
      <c r="J139" s="191">
        <v>0.080326906</v>
      </c>
      <c r="K139" s="5"/>
      <c r="L139" s="5"/>
      <c r="M139" s="5"/>
      <c r="N139" s="5"/>
      <c r="O139" s="5"/>
      <c r="P139" s="5"/>
      <c r="Q139" s="5"/>
      <c r="R139" s="5"/>
      <c r="S139" s="5"/>
      <c r="T139" s="5"/>
      <c r="U139" s="5"/>
      <c r="V139" s="5"/>
      <c r="W139" s="5"/>
      <c r="X139" s="5"/>
      <c r="Y139" s="5"/>
      <c r="Z139" s="5"/>
    </row>
    <row r="140">
      <c r="A140" s="5" t="s">
        <v>371</v>
      </c>
      <c r="B140" s="5" t="s">
        <v>373</v>
      </c>
      <c r="C140" s="5" t="s">
        <v>76</v>
      </c>
      <c r="D140" s="5" t="s">
        <v>370</v>
      </c>
      <c r="E140" s="5" t="s">
        <v>77</v>
      </c>
      <c r="F140" s="5" t="s">
        <v>249</v>
      </c>
      <c r="G140" s="191">
        <v>2002.0</v>
      </c>
      <c r="H140" s="191">
        <v>0.020157276</v>
      </c>
      <c r="I140" s="191">
        <v>0.023509055</v>
      </c>
      <c r="J140" s="191">
        <v>0.017038726</v>
      </c>
      <c r="K140" s="5"/>
      <c r="L140" s="5"/>
      <c r="M140" s="5"/>
      <c r="N140" s="5"/>
      <c r="O140" s="5"/>
      <c r="P140" s="5"/>
      <c r="Q140" s="5"/>
      <c r="R140" s="5"/>
      <c r="S140" s="5"/>
      <c r="T140" s="5"/>
      <c r="U140" s="5"/>
      <c r="V140" s="5"/>
      <c r="W140" s="5"/>
      <c r="X140" s="5"/>
      <c r="Y140" s="5"/>
      <c r="Z140" s="5"/>
    </row>
    <row r="141">
      <c r="A141" s="5" t="s">
        <v>74</v>
      </c>
      <c r="B141" s="5" t="s">
        <v>14</v>
      </c>
      <c r="C141" s="5" t="s">
        <v>76</v>
      </c>
      <c r="D141" s="5" t="s">
        <v>369</v>
      </c>
      <c r="E141" s="5" t="s">
        <v>77</v>
      </c>
      <c r="F141" s="5" t="s">
        <v>249</v>
      </c>
      <c r="G141" s="191">
        <v>2002.0</v>
      </c>
      <c r="H141" s="191">
        <v>0.07100874</v>
      </c>
      <c r="I141" s="191">
        <v>0.111026818</v>
      </c>
      <c r="J141" s="191">
        <v>0.040378485</v>
      </c>
      <c r="K141" s="5"/>
      <c r="L141" s="5"/>
      <c r="M141" s="5"/>
      <c r="N141" s="5"/>
      <c r="O141" s="5"/>
      <c r="P141" s="5"/>
      <c r="Q141" s="5"/>
      <c r="R141" s="5"/>
      <c r="S141" s="5"/>
      <c r="T141" s="5"/>
      <c r="U141" s="5"/>
      <c r="V141" s="5"/>
      <c r="W141" s="5"/>
      <c r="X141" s="5"/>
      <c r="Y141" s="5"/>
      <c r="Z141" s="5"/>
    </row>
    <row r="142">
      <c r="A142" s="5" t="s">
        <v>74</v>
      </c>
      <c r="B142" s="5" t="s">
        <v>14</v>
      </c>
      <c r="C142" s="5" t="s">
        <v>76</v>
      </c>
      <c r="D142" s="5" t="s">
        <v>370</v>
      </c>
      <c r="E142" s="5" t="s">
        <v>77</v>
      </c>
      <c r="F142" s="5" t="s">
        <v>249</v>
      </c>
      <c r="G142" s="191">
        <v>2002.0</v>
      </c>
      <c r="H142" s="191">
        <v>0.05117451</v>
      </c>
      <c r="I142" s="191">
        <v>0.073018</v>
      </c>
      <c r="J142" s="191">
        <v>0.03303622</v>
      </c>
      <c r="K142" s="5"/>
      <c r="L142" s="5"/>
      <c r="M142" s="5"/>
      <c r="N142" s="5"/>
      <c r="O142" s="5"/>
      <c r="P142" s="5"/>
      <c r="Q142" s="5"/>
      <c r="R142" s="5"/>
      <c r="S142" s="5"/>
      <c r="T142" s="5"/>
      <c r="U142" s="5"/>
      <c r="V142" s="5"/>
      <c r="W142" s="5"/>
      <c r="X142" s="5"/>
      <c r="Y142" s="5"/>
      <c r="Z142" s="5"/>
    </row>
    <row r="143">
      <c r="A143" s="5" t="s">
        <v>371</v>
      </c>
      <c r="B143" s="5" t="s">
        <v>14</v>
      </c>
      <c r="C143" s="5" t="s">
        <v>76</v>
      </c>
      <c r="D143" s="5" t="s">
        <v>369</v>
      </c>
      <c r="E143" s="5" t="s">
        <v>77</v>
      </c>
      <c r="F143" s="5" t="s">
        <v>249</v>
      </c>
      <c r="G143" s="191">
        <v>2002.0</v>
      </c>
      <c r="H143" s="191">
        <v>0.073133486</v>
      </c>
      <c r="I143" s="191">
        <v>0.091997068</v>
      </c>
      <c r="J143" s="191">
        <v>0.057396038</v>
      </c>
      <c r="K143" s="5"/>
      <c r="L143" s="5"/>
      <c r="M143" s="5"/>
      <c r="N143" s="5"/>
      <c r="O143" s="5"/>
      <c r="P143" s="5"/>
      <c r="Q143" s="5"/>
      <c r="R143" s="5"/>
      <c r="S143" s="5"/>
      <c r="T143" s="5"/>
      <c r="U143" s="5"/>
      <c r="V143" s="5"/>
      <c r="W143" s="5"/>
      <c r="X143" s="5"/>
      <c r="Y143" s="5"/>
      <c r="Z143" s="5"/>
    </row>
    <row r="144">
      <c r="A144" s="5" t="s">
        <v>371</v>
      </c>
      <c r="B144" s="5" t="s">
        <v>14</v>
      </c>
      <c r="C144" s="5" t="s">
        <v>76</v>
      </c>
      <c r="D144" s="5" t="s">
        <v>370</v>
      </c>
      <c r="E144" s="5" t="s">
        <v>77</v>
      </c>
      <c r="F144" s="5" t="s">
        <v>249</v>
      </c>
      <c r="G144" s="191">
        <v>2002.0</v>
      </c>
      <c r="H144" s="191">
        <v>0.019914777</v>
      </c>
      <c r="I144" s="191">
        <v>0.023189873</v>
      </c>
      <c r="J144" s="191">
        <v>0.017010511</v>
      </c>
      <c r="K144" s="5"/>
      <c r="L144" s="5"/>
      <c r="M144" s="5"/>
      <c r="N144" s="5"/>
      <c r="O144" s="5"/>
      <c r="P144" s="5"/>
      <c r="Q144" s="5"/>
      <c r="R144" s="5"/>
      <c r="S144" s="5"/>
      <c r="T144" s="5"/>
      <c r="U144" s="5"/>
      <c r="V144" s="5"/>
      <c r="W144" s="5"/>
      <c r="X144" s="5"/>
      <c r="Y144" s="5"/>
      <c r="Z144" s="5"/>
    </row>
    <row r="145">
      <c r="A145" s="5" t="s">
        <v>74</v>
      </c>
      <c r="B145" s="5" t="s">
        <v>374</v>
      </c>
      <c r="C145" s="5" t="s">
        <v>76</v>
      </c>
      <c r="D145" s="5" t="s">
        <v>369</v>
      </c>
      <c r="E145" s="5" t="s">
        <v>77</v>
      </c>
      <c r="F145" s="5" t="s">
        <v>249</v>
      </c>
      <c r="G145" s="191">
        <v>2002.0</v>
      </c>
      <c r="H145" s="191">
        <v>0.01853602</v>
      </c>
      <c r="I145" s="191">
        <v>0.021287584</v>
      </c>
      <c r="J145" s="191">
        <v>0.015979482</v>
      </c>
      <c r="K145" s="5"/>
      <c r="L145" s="5"/>
      <c r="M145" s="5"/>
      <c r="N145" s="5"/>
      <c r="O145" s="5"/>
      <c r="P145" s="5"/>
      <c r="Q145" s="5"/>
      <c r="R145" s="5"/>
      <c r="S145" s="5"/>
      <c r="T145" s="5"/>
      <c r="U145" s="5"/>
      <c r="V145" s="5"/>
      <c r="W145" s="5"/>
      <c r="X145" s="5"/>
      <c r="Y145" s="5"/>
      <c r="Z145" s="5"/>
    </row>
    <row r="146">
      <c r="A146" s="5" t="s">
        <v>74</v>
      </c>
      <c r="B146" s="5" t="s">
        <v>374</v>
      </c>
      <c r="C146" s="5" t="s">
        <v>76</v>
      </c>
      <c r="D146" s="5" t="s">
        <v>370</v>
      </c>
      <c r="E146" s="5" t="s">
        <v>77</v>
      </c>
      <c r="F146" s="5" t="s">
        <v>249</v>
      </c>
      <c r="G146" s="191">
        <v>2002.0</v>
      </c>
      <c r="H146" s="191">
        <v>0.003006903</v>
      </c>
      <c r="I146" s="191">
        <v>0.003533269</v>
      </c>
      <c r="J146" s="191">
        <v>0.002536845</v>
      </c>
      <c r="K146" s="5"/>
      <c r="L146" s="5"/>
      <c r="M146" s="5"/>
      <c r="N146" s="5"/>
      <c r="O146" s="5"/>
      <c r="P146" s="5"/>
      <c r="Q146" s="5"/>
      <c r="R146" s="5"/>
      <c r="S146" s="5"/>
      <c r="T146" s="5"/>
      <c r="U146" s="5"/>
      <c r="V146" s="5"/>
      <c r="W146" s="5"/>
      <c r="X146" s="5"/>
      <c r="Y146" s="5"/>
      <c r="Z146" s="5"/>
    </row>
    <row r="147">
      <c r="A147" s="5" t="s">
        <v>371</v>
      </c>
      <c r="B147" s="5" t="s">
        <v>374</v>
      </c>
      <c r="C147" s="5" t="s">
        <v>76</v>
      </c>
      <c r="D147" s="5" t="s">
        <v>369</v>
      </c>
      <c r="E147" s="5" t="s">
        <v>77</v>
      </c>
      <c r="F147" s="5" t="s">
        <v>249</v>
      </c>
      <c r="G147" s="191">
        <v>2002.0</v>
      </c>
      <c r="H147" s="191">
        <v>0.039784035</v>
      </c>
      <c r="I147" s="191">
        <v>0.050207989</v>
      </c>
      <c r="J147" s="191">
        <v>0.031511433</v>
      </c>
      <c r="K147" s="5"/>
      <c r="L147" s="5"/>
      <c r="M147" s="5"/>
      <c r="N147" s="5"/>
      <c r="O147" s="5"/>
      <c r="P147" s="5"/>
      <c r="Q147" s="5"/>
      <c r="R147" s="5"/>
      <c r="S147" s="5"/>
      <c r="T147" s="5"/>
      <c r="U147" s="5"/>
      <c r="V147" s="5"/>
      <c r="W147" s="5"/>
      <c r="X147" s="5"/>
      <c r="Y147" s="5"/>
      <c r="Z147" s="5"/>
    </row>
    <row r="148">
      <c r="A148" s="5" t="s">
        <v>371</v>
      </c>
      <c r="B148" s="5" t="s">
        <v>374</v>
      </c>
      <c r="C148" s="5" t="s">
        <v>76</v>
      </c>
      <c r="D148" s="5" t="s">
        <v>370</v>
      </c>
      <c r="E148" s="5" t="s">
        <v>77</v>
      </c>
      <c r="F148" s="5" t="s">
        <v>249</v>
      </c>
      <c r="G148" s="191">
        <v>2002.0</v>
      </c>
      <c r="H148" s="191">
        <v>0.012725056</v>
      </c>
      <c r="I148" s="191">
        <v>0.015025536</v>
      </c>
      <c r="J148" s="191">
        <v>0.010619018</v>
      </c>
      <c r="K148" s="5"/>
      <c r="L148" s="5"/>
      <c r="M148" s="5"/>
      <c r="N148" s="5"/>
      <c r="O148" s="5"/>
      <c r="P148" s="5"/>
      <c r="Q148" s="5"/>
      <c r="R148" s="5"/>
      <c r="S148" s="5"/>
      <c r="T148" s="5"/>
      <c r="U148" s="5"/>
      <c r="V148" s="5"/>
      <c r="W148" s="5"/>
      <c r="X148" s="5"/>
      <c r="Y148" s="5"/>
      <c r="Z148" s="5"/>
    </row>
    <row r="149">
      <c r="A149" s="5" t="s">
        <v>74</v>
      </c>
      <c r="B149" s="5" t="s">
        <v>375</v>
      </c>
      <c r="C149" s="5" t="s">
        <v>76</v>
      </c>
      <c r="D149" s="5" t="s">
        <v>369</v>
      </c>
      <c r="E149" s="5" t="s">
        <v>77</v>
      </c>
      <c r="F149" s="5" t="s">
        <v>249</v>
      </c>
      <c r="G149" s="191">
        <v>2002.0</v>
      </c>
      <c r="H149" s="191">
        <v>0.158042056</v>
      </c>
      <c r="I149" s="191">
        <v>0.225268659</v>
      </c>
      <c r="J149" s="191">
        <v>0.106178246</v>
      </c>
      <c r="K149" s="5"/>
      <c r="L149" s="5"/>
      <c r="M149" s="5"/>
      <c r="N149" s="5"/>
      <c r="O149" s="5"/>
      <c r="P149" s="5"/>
      <c r="Q149" s="5"/>
      <c r="R149" s="5"/>
      <c r="S149" s="5"/>
      <c r="T149" s="5"/>
      <c r="U149" s="5"/>
      <c r="V149" s="5"/>
      <c r="W149" s="5"/>
      <c r="X149" s="5"/>
      <c r="Y149" s="5"/>
      <c r="Z149" s="5"/>
    </row>
    <row r="150">
      <c r="A150" s="5" t="s">
        <v>74</v>
      </c>
      <c r="B150" s="5" t="s">
        <v>375</v>
      </c>
      <c r="C150" s="5" t="s">
        <v>76</v>
      </c>
      <c r="D150" s="5" t="s">
        <v>370</v>
      </c>
      <c r="E150" s="5" t="s">
        <v>77</v>
      </c>
      <c r="F150" s="5" t="s">
        <v>249</v>
      </c>
      <c r="G150" s="191">
        <v>2002.0</v>
      </c>
      <c r="H150" s="191">
        <v>0.081232922</v>
      </c>
      <c r="I150" s="191">
        <v>0.110300086</v>
      </c>
      <c r="J150" s="191">
        <v>0.05578726</v>
      </c>
      <c r="K150" s="5"/>
      <c r="L150" s="5"/>
      <c r="M150" s="5"/>
      <c r="N150" s="5"/>
      <c r="O150" s="5"/>
      <c r="P150" s="5"/>
      <c r="Q150" s="5"/>
      <c r="R150" s="5"/>
      <c r="S150" s="5"/>
      <c r="T150" s="5"/>
      <c r="U150" s="5"/>
      <c r="V150" s="5"/>
      <c r="W150" s="5"/>
      <c r="X150" s="5"/>
      <c r="Y150" s="5"/>
      <c r="Z150" s="5"/>
    </row>
    <row r="151">
      <c r="A151" s="5" t="s">
        <v>371</v>
      </c>
      <c r="B151" s="5" t="s">
        <v>375</v>
      </c>
      <c r="C151" s="5" t="s">
        <v>76</v>
      </c>
      <c r="D151" s="5" t="s">
        <v>369</v>
      </c>
      <c r="E151" s="5" t="s">
        <v>77</v>
      </c>
      <c r="F151" s="5" t="s">
        <v>249</v>
      </c>
      <c r="G151" s="191">
        <v>2002.0</v>
      </c>
      <c r="H151" s="191">
        <v>0.077206966</v>
      </c>
      <c r="I151" s="191">
        <v>0.094862157</v>
      </c>
      <c r="J151" s="191">
        <v>0.061743125</v>
      </c>
      <c r="K151" s="5"/>
      <c r="L151" s="5"/>
      <c r="M151" s="5"/>
      <c r="N151" s="5"/>
      <c r="O151" s="5"/>
      <c r="P151" s="5"/>
      <c r="Q151" s="5"/>
      <c r="R151" s="5"/>
      <c r="S151" s="5"/>
      <c r="T151" s="5"/>
      <c r="U151" s="5"/>
      <c r="V151" s="5"/>
      <c r="W151" s="5"/>
      <c r="X151" s="5"/>
      <c r="Y151" s="5"/>
      <c r="Z151" s="5"/>
    </row>
    <row r="152">
      <c r="A152" s="5" t="s">
        <v>371</v>
      </c>
      <c r="B152" s="5" t="s">
        <v>375</v>
      </c>
      <c r="C152" s="5" t="s">
        <v>76</v>
      </c>
      <c r="D152" s="5" t="s">
        <v>370</v>
      </c>
      <c r="E152" s="5" t="s">
        <v>77</v>
      </c>
      <c r="F152" s="5" t="s">
        <v>249</v>
      </c>
      <c r="G152" s="191">
        <v>2002.0</v>
      </c>
      <c r="H152" s="191">
        <v>0.024000729</v>
      </c>
      <c r="I152" s="191">
        <v>0.027490091</v>
      </c>
      <c r="J152" s="191">
        <v>0.020897581</v>
      </c>
      <c r="K152" s="5"/>
      <c r="L152" s="5"/>
      <c r="M152" s="5"/>
      <c r="N152" s="5"/>
      <c r="O152" s="5"/>
      <c r="P152" s="5"/>
      <c r="Q152" s="5"/>
      <c r="R152" s="5"/>
      <c r="S152" s="5"/>
      <c r="T152" s="5"/>
      <c r="U152" s="5"/>
      <c r="V152" s="5"/>
      <c r="W152" s="5"/>
      <c r="X152" s="5"/>
      <c r="Y152" s="5"/>
      <c r="Z152" s="5"/>
    </row>
    <row r="153">
      <c r="A153" s="5" t="s">
        <v>74</v>
      </c>
      <c r="B153" s="5" t="s">
        <v>365</v>
      </c>
      <c r="C153" s="5" t="s">
        <v>76</v>
      </c>
      <c r="D153" s="5" t="s">
        <v>369</v>
      </c>
      <c r="E153" s="5" t="s">
        <v>77</v>
      </c>
      <c r="F153" s="5" t="s">
        <v>249</v>
      </c>
      <c r="G153" s="191">
        <v>2002.0</v>
      </c>
      <c r="H153" s="191">
        <v>0.045244903</v>
      </c>
      <c r="I153" s="191">
        <v>0.067309093</v>
      </c>
      <c r="J153" s="191">
        <v>0.028570177</v>
      </c>
      <c r="K153" s="5"/>
      <c r="L153" s="5"/>
      <c r="M153" s="5"/>
      <c r="N153" s="5"/>
      <c r="O153" s="5"/>
      <c r="P153" s="5"/>
      <c r="Q153" s="5"/>
      <c r="R153" s="5"/>
      <c r="S153" s="5"/>
      <c r="T153" s="5"/>
      <c r="U153" s="5"/>
      <c r="V153" s="5"/>
      <c r="W153" s="5"/>
      <c r="X153" s="5"/>
      <c r="Y153" s="5"/>
      <c r="Z153" s="5"/>
    </row>
    <row r="154">
      <c r="A154" s="5" t="s">
        <v>74</v>
      </c>
      <c r="B154" s="5" t="s">
        <v>365</v>
      </c>
      <c r="C154" s="5" t="s">
        <v>76</v>
      </c>
      <c r="D154" s="5" t="s">
        <v>370</v>
      </c>
      <c r="E154" s="5" t="s">
        <v>77</v>
      </c>
      <c r="F154" s="5" t="s">
        <v>249</v>
      </c>
      <c r="G154" s="191">
        <v>2002.0</v>
      </c>
      <c r="H154" s="191">
        <v>0.022324316</v>
      </c>
      <c r="I154" s="191">
        <v>0.031797515</v>
      </c>
      <c r="J154" s="191">
        <v>0.013545309</v>
      </c>
      <c r="K154" s="5"/>
      <c r="L154" s="5"/>
      <c r="M154" s="5"/>
      <c r="N154" s="5"/>
      <c r="O154" s="5"/>
      <c r="P154" s="5"/>
      <c r="Q154" s="5"/>
      <c r="R154" s="5"/>
      <c r="S154" s="5"/>
      <c r="T154" s="5"/>
      <c r="U154" s="5"/>
      <c r="V154" s="5"/>
      <c r="W154" s="5"/>
      <c r="X154" s="5"/>
      <c r="Y154" s="5"/>
      <c r="Z154" s="5"/>
    </row>
    <row r="155">
      <c r="A155" s="5" t="s">
        <v>371</v>
      </c>
      <c r="B155" s="5" t="s">
        <v>365</v>
      </c>
      <c r="C155" s="5" t="s">
        <v>76</v>
      </c>
      <c r="D155" s="5" t="s">
        <v>369</v>
      </c>
      <c r="E155" s="5" t="s">
        <v>77</v>
      </c>
      <c r="F155" s="5" t="s">
        <v>249</v>
      </c>
      <c r="G155" s="191">
        <v>2002.0</v>
      </c>
      <c r="H155" s="191">
        <v>0.07670747</v>
      </c>
      <c r="I155" s="191">
        <v>0.093804034</v>
      </c>
      <c r="J155" s="191">
        <v>0.061138748</v>
      </c>
      <c r="K155" s="5"/>
      <c r="L155" s="5"/>
      <c r="M155" s="5"/>
      <c r="N155" s="5"/>
      <c r="O155" s="5"/>
      <c r="P155" s="5"/>
      <c r="Q155" s="5"/>
      <c r="R155" s="5"/>
      <c r="S155" s="5"/>
      <c r="T155" s="5"/>
      <c r="U155" s="5"/>
      <c r="V155" s="5"/>
      <c r="W155" s="5"/>
      <c r="X155" s="5"/>
      <c r="Y155" s="5"/>
      <c r="Z155" s="5"/>
    </row>
    <row r="156">
      <c r="A156" s="5" t="s">
        <v>371</v>
      </c>
      <c r="B156" s="5" t="s">
        <v>365</v>
      </c>
      <c r="C156" s="5" t="s">
        <v>76</v>
      </c>
      <c r="D156" s="5" t="s">
        <v>370</v>
      </c>
      <c r="E156" s="5" t="s">
        <v>77</v>
      </c>
      <c r="F156" s="5" t="s">
        <v>249</v>
      </c>
      <c r="G156" s="191">
        <v>2002.0</v>
      </c>
      <c r="H156" s="191">
        <v>0.017870188</v>
      </c>
      <c r="I156" s="191">
        <v>0.020458027</v>
      </c>
      <c r="J156" s="191">
        <v>0.01547195</v>
      </c>
      <c r="K156" s="5"/>
      <c r="L156" s="5"/>
      <c r="M156" s="5"/>
      <c r="N156" s="5"/>
      <c r="O156" s="5"/>
      <c r="P156" s="5"/>
      <c r="Q156" s="5"/>
      <c r="R156" s="5"/>
      <c r="S156" s="5"/>
      <c r="T156" s="5"/>
      <c r="U156" s="5"/>
      <c r="V156" s="5"/>
      <c r="W156" s="5"/>
      <c r="X156" s="5"/>
      <c r="Y156" s="5"/>
      <c r="Z156" s="5"/>
    </row>
    <row r="157">
      <c r="A157" s="5" t="s">
        <v>74</v>
      </c>
      <c r="B157" s="5" t="s">
        <v>362</v>
      </c>
      <c r="C157" s="5" t="s">
        <v>76</v>
      </c>
      <c r="D157" s="5" t="s">
        <v>369</v>
      </c>
      <c r="E157" s="5" t="s">
        <v>77</v>
      </c>
      <c r="F157" s="5" t="s">
        <v>249</v>
      </c>
      <c r="G157" s="191">
        <v>2003.0</v>
      </c>
      <c r="H157" s="191">
        <v>0.067076695</v>
      </c>
      <c r="I157" s="191">
        <v>0.088878788</v>
      </c>
      <c r="J157" s="191">
        <v>0.049017598</v>
      </c>
      <c r="K157" s="5"/>
      <c r="L157" s="5"/>
      <c r="M157" s="5"/>
      <c r="N157" s="5"/>
      <c r="O157" s="5"/>
      <c r="P157" s="5"/>
      <c r="Q157" s="5"/>
      <c r="R157" s="5"/>
      <c r="S157" s="5"/>
      <c r="T157" s="5"/>
      <c r="U157" s="5"/>
      <c r="V157" s="5"/>
      <c r="W157" s="5"/>
      <c r="X157" s="5"/>
      <c r="Y157" s="5"/>
      <c r="Z157" s="5"/>
    </row>
    <row r="158">
      <c r="A158" s="5" t="s">
        <v>74</v>
      </c>
      <c r="B158" s="5" t="s">
        <v>362</v>
      </c>
      <c r="C158" s="5" t="s">
        <v>76</v>
      </c>
      <c r="D158" s="5" t="s">
        <v>370</v>
      </c>
      <c r="E158" s="5" t="s">
        <v>77</v>
      </c>
      <c r="F158" s="5" t="s">
        <v>249</v>
      </c>
      <c r="G158" s="191">
        <v>2003.0</v>
      </c>
      <c r="H158" s="191">
        <v>0.069259949</v>
      </c>
      <c r="I158" s="191">
        <v>0.102963981</v>
      </c>
      <c r="J158" s="191">
        <v>0.048113478</v>
      </c>
      <c r="K158" s="5"/>
      <c r="L158" s="5"/>
      <c r="M158" s="5"/>
      <c r="N158" s="5"/>
      <c r="O158" s="5"/>
      <c r="P158" s="5"/>
      <c r="Q158" s="5"/>
      <c r="R158" s="5"/>
      <c r="S158" s="5"/>
      <c r="T158" s="5"/>
      <c r="U158" s="5"/>
      <c r="V158" s="5"/>
      <c r="W158" s="5"/>
      <c r="X158" s="5"/>
      <c r="Y158" s="5"/>
      <c r="Z158" s="5"/>
    </row>
    <row r="159">
      <c r="A159" s="5" t="s">
        <v>371</v>
      </c>
      <c r="B159" s="5" t="s">
        <v>362</v>
      </c>
      <c r="C159" s="5" t="s">
        <v>76</v>
      </c>
      <c r="D159" s="5" t="s">
        <v>369</v>
      </c>
      <c r="E159" s="5" t="s">
        <v>77</v>
      </c>
      <c r="F159" s="5" t="s">
        <v>249</v>
      </c>
      <c r="G159" s="191">
        <v>2003.0</v>
      </c>
      <c r="H159" s="191">
        <v>0.045622313</v>
      </c>
      <c r="I159" s="191">
        <v>0.056683642</v>
      </c>
      <c r="J159" s="191">
        <v>0.035508953</v>
      </c>
      <c r="K159" s="5"/>
      <c r="L159" s="5"/>
      <c r="M159" s="5"/>
      <c r="N159" s="5"/>
      <c r="O159" s="5"/>
      <c r="P159" s="5"/>
      <c r="Q159" s="5"/>
      <c r="R159" s="5"/>
      <c r="S159" s="5"/>
      <c r="T159" s="5"/>
      <c r="U159" s="5"/>
      <c r="V159" s="5"/>
      <c r="W159" s="5"/>
      <c r="X159" s="5"/>
      <c r="Y159" s="5"/>
      <c r="Z159" s="5"/>
    </row>
    <row r="160">
      <c r="A160" s="5" t="s">
        <v>371</v>
      </c>
      <c r="B160" s="5" t="s">
        <v>362</v>
      </c>
      <c r="C160" s="5" t="s">
        <v>76</v>
      </c>
      <c r="D160" s="5" t="s">
        <v>370</v>
      </c>
      <c r="E160" s="5" t="s">
        <v>77</v>
      </c>
      <c r="F160" s="5" t="s">
        <v>249</v>
      </c>
      <c r="G160" s="191">
        <v>2003.0</v>
      </c>
      <c r="H160" s="191">
        <v>0.022528682</v>
      </c>
      <c r="I160" s="191">
        <v>0.02647552</v>
      </c>
      <c r="J160" s="191">
        <v>0.019168795</v>
      </c>
      <c r="K160" s="5"/>
      <c r="L160" s="5"/>
      <c r="M160" s="5"/>
      <c r="N160" s="5"/>
      <c r="O160" s="5"/>
      <c r="P160" s="5"/>
      <c r="Q160" s="5"/>
      <c r="R160" s="5"/>
      <c r="S160" s="5"/>
      <c r="T160" s="5"/>
      <c r="U160" s="5"/>
      <c r="V160" s="5"/>
      <c r="W160" s="5"/>
      <c r="X160" s="5"/>
      <c r="Y160" s="5"/>
      <c r="Z160" s="5"/>
    </row>
    <row r="161">
      <c r="A161" s="5" t="s">
        <v>74</v>
      </c>
      <c r="B161" s="5" t="s">
        <v>358</v>
      </c>
      <c r="C161" s="5" t="s">
        <v>76</v>
      </c>
      <c r="D161" s="5" t="s">
        <v>369</v>
      </c>
      <c r="E161" s="5" t="s">
        <v>77</v>
      </c>
      <c r="F161" s="5" t="s">
        <v>249</v>
      </c>
      <c r="G161" s="191">
        <v>2003.0</v>
      </c>
      <c r="H161" s="191">
        <v>0.160052204</v>
      </c>
      <c r="I161" s="191">
        <v>0.179567658</v>
      </c>
      <c r="J161" s="191">
        <v>0.140214477</v>
      </c>
      <c r="K161" s="5"/>
      <c r="L161" s="5"/>
      <c r="M161" s="5"/>
      <c r="N161" s="5"/>
      <c r="O161" s="5"/>
      <c r="P161" s="5"/>
      <c r="Q161" s="5"/>
      <c r="R161" s="5"/>
      <c r="S161" s="5"/>
      <c r="T161" s="5"/>
      <c r="U161" s="5"/>
      <c r="V161" s="5"/>
      <c r="W161" s="5"/>
      <c r="X161" s="5"/>
      <c r="Y161" s="5"/>
      <c r="Z161" s="5"/>
    </row>
    <row r="162">
      <c r="A162" s="5" t="s">
        <v>74</v>
      </c>
      <c r="B162" s="5" t="s">
        <v>358</v>
      </c>
      <c r="C162" s="5" t="s">
        <v>76</v>
      </c>
      <c r="D162" s="5" t="s">
        <v>370</v>
      </c>
      <c r="E162" s="5" t="s">
        <v>77</v>
      </c>
      <c r="F162" s="5" t="s">
        <v>249</v>
      </c>
      <c r="G162" s="191">
        <v>2003.0</v>
      </c>
      <c r="H162" s="191">
        <v>0.06789773</v>
      </c>
      <c r="I162" s="191">
        <v>0.074053727</v>
      </c>
      <c r="J162" s="191">
        <v>0.062229924</v>
      </c>
      <c r="K162" s="5"/>
      <c r="L162" s="5"/>
      <c r="M162" s="5"/>
      <c r="N162" s="5"/>
      <c r="O162" s="5"/>
      <c r="P162" s="5"/>
      <c r="Q162" s="5"/>
      <c r="R162" s="5"/>
      <c r="S162" s="5"/>
      <c r="T162" s="5"/>
      <c r="U162" s="5"/>
      <c r="V162" s="5"/>
      <c r="W162" s="5"/>
      <c r="X162" s="5"/>
      <c r="Y162" s="5"/>
      <c r="Z162" s="5"/>
    </row>
    <row r="163">
      <c r="A163" s="5" t="s">
        <v>371</v>
      </c>
      <c r="B163" s="5" t="s">
        <v>358</v>
      </c>
      <c r="C163" s="5" t="s">
        <v>76</v>
      </c>
      <c r="D163" s="5" t="s">
        <v>369</v>
      </c>
      <c r="E163" s="5" t="s">
        <v>77</v>
      </c>
      <c r="F163" s="5" t="s">
        <v>249</v>
      </c>
      <c r="G163" s="191">
        <v>2003.0</v>
      </c>
      <c r="H163" s="191">
        <v>0.113793634</v>
      </c>
      <c r="I163" s="191">
        <v>0.137326797</v>
      </c>
      <c r="J163" s="191">
        <v>0.091527396</v>
      </c>
      <c r="K163" s="5"/>
      <c r="L163" s="5"/>
      <c r="M163" s="5"/>
      <c r="N163" s="5"/>
      <c r="O163" s="5"/>
      <c r="P163" s="5"/>
      <c r="Q163" s="5"/>
      <c r="R163" s="5"/>
      <c r="S163" s="5"/>
      <c r="T163" s="5"/>
      <c r="U163" s="5"/>
      <c r="V163" s="5"/>
      <c r="W163" s="5"/>
      <c r="X163" s="5"/>
      <c r="Y163" s="5"/>
      <c r="Z163" s="5"/>
    </row>
    <row r="164">
      <c r="A164" s="5" t="s">
        <v>371</v>
      </c>
      <c r="B164" s="5" t="s">
        <v>358</v>
      </c>
      <c r="C164" s="5" t="s">
        <v>76</v>
      </c>
      <c r="D164" s="5" t="s">
        <v>370</v>
      </c>
      <c r="E164" s="5" t="s">
        <v>77</v>
      </c>
      <c r="F164" s="5" t="s">
        <v>249</v>
      </c>
      <c r="G164" s="191">
        <v>2003.0</v>
      </c>
      <c r="H164" s="191">
        <v>0.028025837</v>
      </c>
      <c r="I164" s="191">
        <v>0.032066657</v>
      </c>
      <c r="J164" s="191">
        <v>0.02433301</v>
      </c>
      <c r="K164" s="5"/>
      <c r="L164" s="5"/>
      <c r="M164" s="5"/>
      <c r="N164" s="5"/>
      <c r="O164" s="5"/>
      <c r="P164" s="5"/>
      <c r="Q164" s="5"/>
      <c r="R164" s="5"/>
      <c r="S164" s="5"/>
      <c r="T164" s="5"/>
      <c r="U164" s="5"/>
      <c r="V164" s="5"/>
      <c r="W164" s="5"/>
      <c r="X164" s="5"/>
      <c r="Y164" s="5"/>
      <c r="Z164" s="5"/>
    </row>
    <row r="165">
      <c r="A165" s="5" t="s">
        <v>74</v>
      </c>
      <c r="B165" s="5" t="s">
        <v>360</v>
      </c>
      <c r="C165" s="5" t="s">
        <v>76</v>
      </c>
      <c r="D165" s="5" t="s">
        <v>369</v>
      </c>
      <c r="E165" s="5" t="s">
        <v>77</v>
      </c>
      <c r="F165" s="5" t="s">
        <v>249</v>
      </c>
      <c r="G165" s="191">
        <v>2003.0</v>
      </c>
      <c r="H165" s="191">
        <v>0.127427977</v>
      </c>
      <c r="I165" s="191">
        <v>0.14805564</v>
      </c>
      <c r="J165" s="191">
        <v>0.108783222</v>
      </c>
      <c r="K165" s="5"/>
      <c r="L165" s="5"/>
      <c r="M165" s="5"/>
      <c r="N165" s="5"/>
      <c r="O165" s="5"/>
      <c r="P165" s="5"/>
      <c r="Q165" s="5"/>
      <c r="R165" s="5"/>
      <c r="S165" s="5"/>
      <c r="T165" s="5"/>
      <c r="U165" s="5"/>
      <c r="V165" s="5"/>
      <c r="W165" s="5"/>
      <c r="X165" s="5"/>
      <c r="Y165" s="5"/>
      <c r="Z165" s="5"/>
    </row>
    <row r="166">
      <c r="A166" s="5" t="s">
        <v>74</v>
      </c>
      <c r="B166" s="5" t="s">
        <v>360</v>
      </c>
      <c r="C166" s="5" t="s">
        <v>76</v>
      </c>
      <c r="D166" s="5" t="s">
        <v>370</v>
      </c>
      <c r="E166" s="5" t="s">
        <v>77</v>
      </c>
      <c r="F166" s="5" t="s">
        <v>249</v>
      </c>
      <c r="G166" s="191">
        <v>2003.0</v>
      </c>
      <c r="H166" s="191">
        <v>0.118845606</v>
      </c>
      <c r="I166" s="191">
        <v>0.163405521</v>
      </c>
      <c r="J166" s="191">
        <v>0.088081087</v>
      </c>
      <c r="K166" s="5"/>
      <c r="L166" s="5"/>
      <c r="M166" s="5"/>
      <c r="N166" s="5"/>
      <c r="O166" s="5"/>
      <c r="P166" s="5"/>
      <c r="Q166" s="5"/>
      <c r="R166" s="5"/>
      <c r="S166" s="5"/>
      <c r="T166" s="5"/>
      <c r="U166" s="5"/>
      <c r="V166" s="5"/>
      <c r="W166" s="5"/>
      <c r="X166" s="5"/>
      <c r="Y166" s="5"/>
      <c r="Z166" s="5"/>
    </row>
    <row r="167">
      <c r="A167" s="5" t="s">
        <v>371</v>
      </c>
      <c r="B167" s="5" t="s">
        <v>360</v>
      </c>
      <c r="C167" s="5" t="s">
        <v>76</v>
      </c>
      <c r="D167" s="5" t="s">
        <v>369</v>
      </c>
      <c r="E167" s="5" t="s">
        <v>77</v>
      </c>
      <c r="F167" s="5" t="s">
        <v>249</v>
      </c>
      <c r="G167" s="191">
        <v>2003.0</v>
      </c>
      <c r="H167" s="191">
        <v>0.042011036</v>
      </c>
      <c r="I167" s="191">
        <v>0.051603828</v>
      </c>
      <c r="J167" s="191">
        <v>0.033534589</v>
      </c>
      <c r="K167" s="5"/>
      <c r="L167" s="5"/>
      <c r="M167" s="5"/>
      <c r="N167" s="5"/>
      <c r="O167" s="5"/>
      <c r="P167" s="5"/>
      <c r="Q167" s="5"/>
      <c r="R167" s="5"/>
      <c r="S167" s="5"/>
      <c r="T167" s="5"/>
      <c r="U167" s="5"/>
      <c r="V167" s="5"/>
      <c r="W167" s="5"/>
      <c r="X167" s="5"/>
      <c r="Y167" s="5"/>
      <c r="Z167" s="5"/>
    </row>
    <row r="168">
      <c r="A168" s="5" t="s">
        <v>371</v>
      </c>
      <c r="B168" s="5" t="s">
        <v>360</v>
      </c>
      <c r="C168" s="5" t="s">
        <v>76</v>
      </c>
      <c r="D168" s="5" t="s">
        <v>370</v>
      </c>
      <c r="E168" s="5" t="s">
        <v>77</v>
      </c>
      <c r="F168" s="5" t="s">
        <v>249</v>
      </c>
      <c r="G168" s="191">
        <v>2003.0</v>
      </c>
      <c r="H168" s="191">
        <v>0.023673604</v>
      </c>
      <c r="I168" s="191">
        <v>0.027335091</v>
      </c>
      <c r="J168" s="191">
        <v>0.020516049</v>
      </c>
      <c r="K168" s="5"/>
      <c r="L168" s="5"/>
      <c r="M168" s="5"/>
      <c r="N168" s="5"/>
      <c r="O168" s="5"/>
      <c r="P168" s="5"/>
      <c r="Q168" s="5"/>
      <c r="R168" s="5"/>
      <c r="S168" s="5"/>
      <c r="T168" s="5"/>
      <c r="U168" s="5"/>
      <c r="V168" s="5"/>
      <c r="W168" s="5"/>
      <c r="X168" s="5"/>
      <c r="Y168" s="5"/>
      <c r="Z168" s="5"/>
    </row>
    <row r="169">
      <c r="A169" s="5" t="s">
        <v>74</v>
      </c>
      <c r="B169" s="5" t="s">
        <v>11</v>
      </c>
      <c r="C169" s="5" t="s">
        <v>76</v>
      </c>
      <c r="D169" s="5" t="s">
        <v>369</v>
      </c>
      <c r="E169" s="5" t="s">
        <v>77</v>
      </c>
      <c r="F169" s="5" t="s">
        <v>249</v>
      </c>
      <c r="G169" s="191">
        <v>2003.0</v>
      </c>
      <c r="H169" s="191">
        <v>0.18962318</v>
      </c>
      <c r="I169" s="191">
        <v>0.24510268</v>
      </c>
      <c r="J169" s="191">
        <v>0.120023205</v>
      </c>
      <c r="K169" s="5"/>
      <c r="L169" s="5"/>
      <c r="M169" s="5"/>
      <c r="N169" s="5"/>
      <c r="O169" s="5"/>
      <c r="P169" s="5"/>
      <c r="Q169" s="5"/>
      <c r="R169" s="5"/>
      <c r="S169" s="5"/>
      <c r="T169" s="5"/>
      <c r="U169" s="5"/>
      <c r="V169" s="5"/>
      <c r="W169" s="5"/>
      <c r="X169" s="5"/>
      <c r="Y169" s="5"/>
      <c r="Z169" s="5"/>
    </row>
    <row r="170">
      <c r="A170" s="5" t="s">
        <v>74</v>
      </c>
      <c r="B170" s="5" t="s">
        <v>11</v>
      </c>
      <c r="C170" s="5" t="s">
        <v>76</v>
      </c>
      <c r="D170" s="5" t="s">
        <v>370</v>
      </c>
      <c r="E170" s="5" t="s">
        <v>77</v>
      </c>
      <c r="F170" s="5" t="s">
        <v>249</v>
      </c>
      <c r="G170" s="191">
        <v>2003.0</v>
      </c>
      <c r="H170" s="191">
        <v>0.084797675</v>
      </c>
      <c r="I170" s="191">
        <v>0.111927844</v>
      </c>
      <c r="J170" s="191">
        <v>0.06019395</v>
      </c>
      <c r="K170" s="5"/>
      <c r="L170" s="5"/>
      <c r="M170" s="5"/>
      <c r="N170" s="5"/>
      <c r="O170" s="5"/>
      <c r="P170" s="5"/>
      <c r="Q170" s="5"/>
      <c r="R170" s="5"/>
      <c r="S170" s="5"/>
      <c r="T170" s="5"/>
      <c r="U170" s="5"/>
      <c r="V170" s="5"/>
      <c r="W170" s="5"/>
      <c r="X170" s="5"/>
      <c r="Y170" s="5"/>
      <c r="Z170" s="5"/>
    </row>
    <row r="171">
      <c r="A171" s="5" t="s">
        <v>371</v>
      </c>
      <c r="B171" s="5" t="s">
        <v>11</v>
      </c>
      <c r="C171" s="5" t="s">
        <v>76</v>
      </c>
      <c r="D171" s="5" t="s">
        <v>369</v>
      </c>
      <c r="E171" s="5" t="s">
        <v>77</v>
      </c>
      <c r="F171" s="5" t="s">
        <v>249</v>
      </c>
      <c r="G171" s="191">
        <v>2003.0</v>
      </c>
      <c r="H171" s="191">
        <v>0.075802484</v>
      </c>
      <c r="I171" s="191">
        <v>0.091979566</v>
      </c>
      <c r="J171" s="191">
        <v>0.061445237</v>
      </c>
      <c r="K171" s="5"/>
      <c r="L171" s="5"/>
      <c r="M171" s="5"/>
      <c r="N171" s="5"/>
      <c r="O171" s="5"/>
      <c r="P171" s="5"/>
      <c r="Q171" s="5"/>
      <c r="R171" s="5"/>
      <c r="S171" s="5"/>
      <c r="T171" s="5"/>
      <c r="U171" s="5"/>
      <c r="V171" s="5"/>
      <c r="W171" s="5"/>
      <c r="X171" s="5"/>
      <c r="Y171" s="5"/>
      <c r="Z171" s="5"/>
    </row>
    <row r="172">
      <c r="A172" s="5" t="s">
        <v>371</v>
      </c>
      <c r="B172" s="5" t="s">
        <v>11</v>
      </c>
      <c r="C172" s="5" t="s">
        <v>76</v>
      </c>
      <c r="D172" s="5" t="s">
        <v>370</v>
      </c>
      <c r="E172" s="5" t="s">
        <v>77</v>
      </c>
      <c r="F172" s="5" t="s">
        <v>249</v>
      </c>
      <c r="G172" s="191">
        <v>2003.0</v>
      </c>
      <c r="H172" s="191">
        <v>0.02132152</v>
      </c>
      <c r="I172" s="191">
        <v>0.024289109</v>
      </c>
      <c r="J172" s="191">
        <v>0.018648058</v>
      </c>
      <c r="K172" s="5"/>
      <c r="L172" s="5"/>
      <c r="M172" s="5"/>
      <c r="N172" s="5"/>
      <c r="O172" s="5"/>
      <c r="P172" s="5"/>
      <c r="Q172" s="5"/>
      <c r="R172" s="5"/>
      <c r="S172" s="5"/>
      <c r="T172" s="5"/>
      <c r="U172" s="5"/>
      <c r="V172" s="5"/>
      <c r="W172" s="5"/>
      <c r="X172" s="5"/>
      <c r="Y172" s="5"/>
      <c r="Z172" s="5"/>
    </row>
    <row r="173">
      <c r="A173" s="5" t="s">
        <v>74</v>
      </c>
      <c r="B173" s="5" t="s">
        <v>15</v>
      </c>
      <c r="C173" s="5" t="s">
        <v>76</v>
      </c>
      <c r="D173" s="5" t="s">
        <v>369</v>
      </c>
      <c r="E173" s="5" t="s">
        <v>77</v>
      </c>
      <c r="F173" s="5" t="s">
        <v>249</v>
      </c>
      <c r="G173" s="191">
        <v>2003.0</v>
      </c>
      <c r="H173" s="191">
        <v>0.155236537</v>
      </c>
      <c r="I173" s="191">
        <v>0.205263173</v>
      </c>
      <c r="J173" s="191">
        <v>0.115126583</v>
      </c>
      <c r="K173" s="5"/>
      <c r="L173" s="5"/>
      <c r="M173" s="5"/>
      <c r="N173" s="5"/>
      <c r="O173" s="5"/>
      <c r="P173" s="5"/>
      <c r="Q173" s="5"/>
      <c r="R173" s="5"/>
      <c r="S173" s="5"/>
      <c r="T173" s="5"/>
      <c r="U173" s="5"/>
      <c r="V173" s="5"/>
      <c r="W173" s="5"/>
      <c r="X173" s="5"/>
      <c r="Y173" s="5"/>
      <c r="Z173" s="5"/>
    </row>
    <row r="174">
      <c r="A174" s="5" t="s">
        <v>74</v>
      </c>
      <c r="B174" s="5" t="s">
        <v>15</v>
      </c>
      <c r="C174" s="5" t="s">
        <v>76</v>
      </c>
      <c r="D174" s="5" t="s">
        <v>370</v>
      </c>
      <c r="E174" s="5" t="s">
        <v>77</v>
      </c>
      <c r="F174" s="5" t="s">
        <v>249</v>
      </c>
      <c r="G174" s="191">
        <v>2003.0</v>
      </c>
      <c r="H174" s="191">
        <v>0.085047408</v>
      </c>
      <c r="I174" s="191">
        <v>0.109937935</v>
      </c>
      <c r="J174" s="191">
        <v>0.064429342</v>
      </c>
      <c r="K174" s="5"/>
      <c r="L174" s="5"/>
      <c r="M174" s="5"/>
      <c r="N174" s="5"/>
      <c r="O174" s="5"/>
      <c r="P174" s="5"/>
      <c r="Q174" s="5"/>
      <c r="R174" s="5"/>
      <c r="S174" s="5"/>
      <c r="T174" s="5"/>
      <c r="U174" s="5"/>
      <c r="V174" s="5"/>
      <c r="W174" s="5"/>
      <c r="X174" s="5"/>
      <c r="Y174" s="5"/>
      <c r="Z174" s="5"/>
    </row>
    <row r="175">
      <c r="A175" s="5" t="s">
        <v>371</v>
      </c>
      <c r="B175" s="5" t="s">
        <v>15</v>
      </c>
      <c r="C175" s="5" t="s">
        <v>76</v>
      </c>
      <c r="D175" s="5" t="s">
        <v>369</v>
      </c>
      <c r="E175" s="5" t="s">
        <v>77</v>
      </c>
      <c r="F175" s="5" t="s">
        <v>249</v>
      </c>
      <c r="G175" s="191">
        <v>2003.0</v>
      </c>
      <c r="H175" s="191">
        <v>0.085975179</v>
      </c>
      <c r="I175" s="191">
        <v>0.104127556</v>
      </c>
      <c r="J175" s="191">
        <v>0.068720282</v>
      </c>
      <c r="K175" s="5"/>
      <c r="L175" s="5"/>
      <c r="M175" s="5"/>
      <c r="N175" s="5"/>
      <c r="O175" s="5"/>
      <c r="P175" s="5"/>
      <c r="Q175" s="5"/>
      <c r="R175" s="5"/>
      <c r="S175" s="5"/>
      <c r="T175" s="5"/>
      <c r="U175" s="5"/>
      <c r="V175" s="5"/>
      <c r="W175" s="5"/>
      <c r="X175" s="5"/>
      <c r="Y175" s="5"/>
      <c r="Z175" s="5"/>
    </row>
    <row r="176">
      <c r="A176" s="5" t="s">
        <v>371</v>
      </c>
      <c r="B176" s="5" t="s">
        <v>15</v>
      </c>
      <c r="C176" s="5" t="s">
        <v>76</v>
      </c>
      <c r="D176" s="5" t="s">
        <v>370</v>
      </c>
      <c r="E176" s="5" t="s">
        <v>77</v>
      </c>
      <c r="F176" s="5" t="s">
        <v>249</v>
      </c>
      <c r="G176" s="191">
        <v>2003.0</v>
      </c>
      <c r="H176" s="191">
        <v>0.023135836</v>
      </c>
      <c r="I176" s="191">
        <v>0.02644866</v>
      </c>
      <c r="J176" s="191">
        <v>0.020138921</v>
      </c>
      <c r="K176" s="5"/>
      <c r="L176" s="5"/>
      <c r="M176" s="5"/>
      <c r="N176" s="5"/>
      <c r="O176" s="5"/>
      <c r="P176" s="5"/>
      <c r="Q176" s="5"/>
      <c r="R176" s="5"/>
      <c r="S176" s="5"/>
      <c r="T176" s="5"/>
      <c r="U176" s="5"/>
      <c r="V176" s="5"/>
      <c r="W176" s="5"/>
      <c r="X176" s="5"/>
      <c r="Y176" s="5"/>
      <c r="Z176" s="5"/>
    </row>
    <row r="177">
      <c r="A177" s="5" t="s">
        <v>74</v>
      </c>
      <c r="B177" s="5" t="s">
        <v>372</v>
      </c>
      <c r="C177" s="5" t="s">
        <v>76</v>
      </c>
      <c r="D177" s="5" t="s">
        <v>369</v>
      </c>
      <c r="E177" s="5" t="s">
        <v>77</v>
      </c>
      <c r="F177" s="5" t="s">
        <v>249</v>
      </c>
      <c r="G177" s="191">
        <v>2003.0</v>
      </c>
      <c r="H177" s="191">
        <v>0.107352275</v>
      </c>
      <c r="I177" s="191">
        <v>0.134968229</v>
      </c>
      <c r="J177" s="191">
        <v>0.080253465</v>
      </c>
      <c r="K177" s="5"/>
      <c r="L177" s="5"/>
      <c r="M177" s="5"/>
      <c r="N177" s="5"/>
      <c r="O177" s="5"/>
      <c r="P177" s="5"/>
      <c r="Q177" s="5"/>
      <c r="R177" s="5"/>
      <c r="S177" s="5"/>
      <c r="T177" s="5"/>
      <c r="U177" s="5"/>
      <c r="V177" s="5"/>
      <c r="W177" s="5"/>
      <c r="X177" s="5"/>
      <c r="Y177" s="5"/>
      <c r="Z177" s="5"/>
    </row>
    <row r="178">
      <c r="A178" s="5" t="s">
        <v>74</v>
      </c>
      <c r="B178" s="5" t="s">
        <v>372</v>
      </c>
      <c r="C178" s="5" t="s">
        <v>76</v>
      </c>
      <c r="D178" s="5" t="s">
        <v>370</v>
      </c>
      <c r="E178" s="5" t="s">
        <v>77</v>
      </c>
      <c r="F178" s="5" t="s">
        <v>249</v>
      </c>
      <c r="G178" s="191">
        <v>2003.0</v>
      </c>
      <c r="H178" s="191">
        <v>0.089027589</v>
      </c>
      <c r="I178" s="191">
        <v>0.117907995</v>
      </c>
      <c r="J178" s="191">
        <v>0.065795079</v>
      </c>
      <c r="K178" s="5"/>
      <c r="L178" s="5"/>
      <c r="M178" s="5"/>
      <c r="N178" s="5"/>
      <c r="O178" s="5"/>
      <c r="P178" s="5"/>
      <c r="Q178" s="5"/>
      <c r="R178" s="5"/>
      <c r="S178" s="5"/>
      <c r="T178" s="5"/>
      <c r="U178" s="5"/>
      <c r="V178" s="5"/>
      <c r="W178" s="5"/>
      <c r="X178" s="5"/>
      <c r="Y178" s="5"/>
      <c r="Z178" s="5"/>
    </row>
    <row r="179">
      <c r="A179" s="5" t="s">
        <v>371</v>
      </c>
      <c r="B179" s="5" t="s">
        <v>372</v>
      </c>
      <c r="C179" s="5" t="s">
        <v>76</v>
      </c>
      <c r="D179" s="5" t="s">
        <v>369</v>
      </c>
      <c r="E179" s="5" t="s">
        <v>77</v>
      </c>
      <c r="F179" s="5" t="s">
        <v>249</v>
      </c>
      <c r="G179" s="191">
        <v>2003.0</v>
      </c>
      <c r="H179" s="191">
        <v>0.062702503</v>
      </c>
      <c r="I179" s="191">
        <v>0.080263183</v>
      </c>
      <c r="J179" s="191">
        <v>0.048753085</v>
      </c>
      <c r="K179" s="5"/>
      <c r="L179" s="5"/>
      <c r="M179" s="5"/>
      <c r="N179" s="5"/>
      <c r="O179" s="5"/>
      <c r="P179" s="5"/>
      <c r="Q179" s="5"/>
      <c r="R179" s="5"/>
      <c r="S179" s="5"/>
      <c r="T179" s="5"/>
      <c r="U179" s="5"/>
      <c r="V179" s="5"/>
      <c r="W179" s="5"/>
      <c r="X179" s="5"/>
      <c r="Y179" s="5"/>
      <c r="Z179" s="5"/>
    </row>
    <row r="180">
      <c r="A180" s="5" t="s">
        <v>371</v>
      </c>
      <c r="B180" s="5" t="s">
        <v>372</v>
      </c>
      <c r="C180" s="5" t="s">
        <v>76</v>
      </c>
      <c r="D180" s="5" t="s">
        <v>370</v>
      </c>
      <c r="E180" s="5" t="s">
        <v>77</v>
      </c>
      <c r="F180" s="5" t="s">
        <v>249</v>
      </c>
      <c r="G180" s="191">
        <v>2003.0</v>
      </c>
      <c r="H180" s="191">
        <v>0.027000816</v>
      </c>
      <c r="I180" s="191">
        <v>0.031302908</v>
      </c>
      <c r="J180" s="191">
        <v>0.023119113</v>
      </c>
      <c r="K180" s="5"/>
      <c r="L180" s="5"/>
      <c r="M180" s="5"/>
      <c r="N180" s="5"/>
      <c r="O180" s="5"/>
      <c r="P180" s="5"/>
      <c r="Q180" s="5"/>
      <c r="R180" s="5"/>
      <c r="S180" s="5"/>
      <c r="T180" s="5"/>
      <c r="U180" s="5"/>
      <c r="V180" s="5"/>
      <c r="W180" s="5"/>
      <c r="X180" s="5"/>
      <c r="Y180" s="5"/>
      <c r="Z180" s="5"/>
    </row>
    <row r="181">
      <c r="A181" s="5" t="s">
        <v>74</v>
      </c>
      <c r="B181" s="5" t="s">
        <v>373</v>
      </c>
      <c r="C181" s="5" t="s">
        <v>76</v>
      </c>
      <c r="D181" s="5" t="s">
        <v>369</v>
      </c>
      <c r="E181" s="5" t="s">
        <v>77</v>
      </c>
      <c r="F181" s="5" t="s">
        <v>249</v>
      </c>
      <c r="G181" s="191">
        <v>2003.0</v>
      </c>
      <c r="H181" s="191">
        <v>0.200329761</v>
      </c>
      <c r="I181" s="191">
        <v>0.271170587</v>
      </c>
      <c r="J181" s="191">
        <v>0.137638435</v>
      </c>
      <c r="K181" s="5"/>
      <c r="L181" s="5"/>
      <c r="M181" s="5"/>
      <c r="N181" s="5"/>
      <c r="O181" s="5"/>
      <c r="P181" s="5"/>
      <c r="Q181" s="5"/>
      <c r="R181" s="5"/>
      <c r="S181" s="5"/>
      <c r="T181" s="5"/>
      <c r="U181" s="5"/>
      <c r="V181" s="5"/>
      <c r="W181" s="5"/>
      <c r="X181" s="5"/>
      <c r="Y181" s="5"/>
      <c r="Z181" s="5"/>
    </row>
    <row r="182">
      <c r="A182" s="5" t="s">
        <v>74</v>
      </c>
      <c r="B182" s="5" t="s">
        <v>373</v>
      </c>
      <c r="C182" s="5" t="s">
        <v>76</v>
      </c>
      <c r="D182" s="5" t="s">
        <v>370</v>
      </c>
      <c r="E182" s="5" t="s">
        <v>77</v>
      </c>
      <c r="F182" s="5" t="s">
        <v>249</v>
      </c>
      <c r="G182" s="191">
        <v>2003.0</v>
      </c>
      <c r="H182" s="191">
        <v>0.112663344</v>
      </c>
      <c r="I182" s="191">
        <v>0.147965634</v>
      </c>
      <c r="J182" s="191">
        <v>0.078711214</v>
      </c>
      <c r="K182" s="5"/>
      <c r="L182" s="5"/>
      <c r="M182" s="5"/>
      <c r="N182" s="5"/>
      <c r="O182" s="5"/>
      <c r="P182" s="5"/>
      <c r="Q182" s="5"/>
      <c r="R182" s="5"/>
      <c r="S182" s="5"/>
      <c r="T182" s="5"/>
      <c r="U182" s="5"/>
      <c r="V182" s="5"/>
      <c r="W182" s="5"/>
      <c r="X182" s="5"/>
      <c r="Y182" s="5"/>
      <c r="Z182" s="5"/>
    </row>
    <row r="183">
      <c r="A183" s="5" t="s">
        <v>371</v>
      </c>
      <c r="B183" s="5" t="s">
        <v>373</v>
      </c>
      <c r="C183" s="5" t="s">
        <v>76</v>
      </c>
      <c r="D183" s="5" t="s">
        <v>369</v>
      </c>
      <c r="E183" s="5" t="s">
        <v>77</v>
      </c>
      <c r="F183" s="5" t="s">
        <v>249</v>
      </c>
      <c r="G183" s="191">
        <v>2003.0</v>
      </c>
      <c r="H183" s="191">
        <v>0.10002088</v>
      </c>
      <c r="I183" s="191">
        <v>0.118832477</v>
      </c>
      <c r="J183" s="191">
        <v>0.081157163</v>
      </c>
      <c r="K183" s="5"/>
      <c r="L183" s="5"/>
      <c r="M183" s="5"/>
      <c r="N183" s="5"/>
      <c r="O183" s="5"/>
      <c r="P183" s="5"/>
      <c r="Q183" s="5"/>
      <c r="R183" s="5"/>
      <c r="S183" s="5"/>
      <c r="T183" s="5"/>
      <c r="U183" s="5"/>
      <c r="V183" s="5"/>
      <c r="W183" s="5"/>
      <c r="X183" s="5"/>
      <c r="Y183" s="5"/>
      <c r="Z183" s="5"/>
    </row>
    <row r="184">
      <c r="A184" s="5" t="s">
        <v>371</v>
      </c>
      <c r="B184" s="5" t="s">
        <v>373</v>
      </c>
      <c r="C184" s="5" t="s">
        <v>76</v>
      </c>
      <c r="D184" s="5" t="s">
        <v>370</v>
      </c>
      <c r="E184" s="5" t="s">
        <v>77</v>
      </c>
      <c r="F184" s="5" t="s">
        <v>249</v>
      </c>
      <c r="G184" s="191">
        <v>2003.0</v>
      </c>
      <c r="H184" s="191">
        <v>0.020144219</v>
      </c>
      <c r="I184" s="191">
        <v>0.023276745</v>
      </c>
      <c r="J184" s="191">
        <v>0.017157519</v>
      </c>
      <c r="K184" s="5"/>
      <c r="L184" s="5"/>
      <c r="M184" s="5"/>
      <c r="N184" s="5"/>
      <c r="O184" s="5"/>
      <c r="P184" s="5"/>
      <c r="Q184" s="5"/>
      <c r="R184" s="5"/>
      <c r="S184" s="5"/>
      <c r="T184" s="5"/>
      <c r="U184" s="5"/>
      <c r="V184" s="5"/>
      <c r="W184" s="5"/>
      <c r="X184" s="5"/>
      <c r="Y184" s="5"/>
      <c r="Z184" s="5"/>
    </row>
    <row r="185">
      <c r="A185" s="5" t="s">
        <v>74</v>
      </c>
      <c r="B185" s="5" t="s">
        <v>14</v>
      </c>
      <c r="C185" s="5" t="s">
        <v>76</v>
      </c>
      <c r="D185" s="5" t="s">
        <v>369</v>
      </c>
      <c r="E185" s="5" t="s">
        <v>77</v>
      </c>
      <c r="F185" s="5" t="s">
        <v>249</v>
      </c>
      <c r="G185" s="191">
        <v>2003.0</v>
      </c>
      <c r="H185" s="191">
        <v>0.065004234</v>
      </c>
      <c r="I185" s="191">
        <v>0.102018964</v>
      </c>
      <c r="J185" s="191">
        <v>0.036728937</v>
      </c>
      <c r="K185" s="5"/>
      <c r="L185" s="5"/>
      <c r="M185" s="5"/>
      <c r="N185" s="5"/>
      <c r="O185" s="5"/>
      <c r="P185" s="5"/>
      <c r="Q185" s="5"/>
      <c r="R185" s="5"/>
      <c r="S185" s="5"/>
      <c r="T185" s="5"/>
      <c r="U185" s="5"/>
      <c r="V185" s="5"/>
      <c r="W185" s="5"/>
      <c r="X185" s="5"/>
      <c r="Y185" s="5"/>
      <c r="Z185" s="5"/>
    </row>
    <row r="186">
      <c r="A186" s="5" t="s">
        <v>74</v>
      </c>
      <c r="B186" s="5" t="s">
        <v>14</v>
      </c>
      <c r="C186" s="5" t="s">
        <v>76</v>
      </c>
      <c r="D186" s="5" t="s">
        <v>370</v>
      </c>
      <c r="E186" s="5" t="s">
        <v>77</v>
      </c>
      <c r="F186" s="5" t="s">
        <v>249</v>
      </c>
      <c r="G186" s="191">
        <v>2003.0</v>
      </c>
      <c r="H186" s="191">
        <v>0.047602816</v>
      </c>
      <c r="I186" s="191">
        <v>0.067271864</v>
      </c>
      <c r="J186" s="191">
        <v>0.03079526</v>
      </c>
      <c r="K186" s="5"/>
      <c r="L186" s="5"/>
      <c r="M186" s="5"/>
      <c r="N186" s="5"/>
      <c r="O186" s="5"/>
      <c r="P186" s="5"/>
      <c r="Q186" s="5"/>
      <c r="R186" s="5"/>
      <c r="S186" s="5"/>
      <c r="T186" s="5"/>
      <c r="U186" s="5"/>
      <c r="V186" s="5"/>
      <c r="W186" s="5"/>
      <c r="X186" s="5"/>
      <c r="Y186" s="5"/>
      <c r="Z186" s="5"/>
    </row>
    <row r="187">
      <c r="A187" s="5" t="s">
        <v>371</v>
      </c>
      <c r="B187" s="5" t="s">
        <v>14</v>
      </c>
      <c r="C187" s="5" t="s">
        <v>76</v>
      </c>
      <c r="D187" s="5" t="s">
        <v>369</v>
      </c>
      <c r="E187" s="5" t="s">
        <v>77</v>
      </c>
      <c r="F187" s="5" t="s">
        <v>249</v>
      </c>
      <c r="G187" s="191">
        <v>2003.0</v>
      </c>
      <c r="H187" s="191">
        <v>0.074106752</v>
      </c>
      <c r="I187" s="191">
        <v>0.093612622</v>
      </c>
      <c r="J187" s="191">
        <v>0.057671017</v>
      </c>
      <c r="K187" s="5"/>
      <c r="L187" s="5"/>
      <c r="M187" s="5"/>
      <c r="N187" s="5"/>
      <c r="O187" s="5"/>
      <c r="P187" s="5"/>
      <c r="Q187" s="5"/>
      <c r="R187" s="5"/>
      <c r="S187" s="5"/>
      <c r="T187" s="5"/>
      <c r="U187" s="5"/>
      <c r="V187" s="5"/>
      <c r="W187" s="5"/>
      <c r="X187" s="5"/>
      <c r="Y187" s="5"/>
      <c r="Z187" s="5"/>
    </row>
    <row r="188">
      <c r="A188" s="5" t="s">
        <v>371</v>
      </c>
      <c r="B188" s="5" t="s">
        <v>14</v>
      </c>
      <c r="C188" s="5" t="s">
        <v>76</v>
      </c>
      <c r="D188" s="5" t="s">
        <v>370</v>
      </c>
      <c r="E188" s="5" t="s">
        <v>77</v>
      </c>
      <c r="F188" s="5" t="s">
        <v>249</v>
      </c>
      <c r="G188" s="191">
        <v>2003.0</v>
      </c>
      <c r="H188" s="191">
        <v>0.020145009</v>
      </c>
      <c r="I188" s="191">
        <v>0.023289441</v>
      </c>
      <c r="J188" s="191">
        <v>0.017056434</v>
      </c>
      <c r="K188" s="5"/>
      <c r="L188" s="5"/>
      <c r="M188" s="5"/>
      <c r="N188" s="5"/>
      <c r="O188" s="5"/>
      <c r="P188" s="5"/>
      <c r="Q188" s="5"/>
      <c r="R188" s="5"/>
      <c r="S188" s="5"/>
      <c r="T188" s="5"/>
      <c r="U188" s="5"/>
      <c r="V188" s="5"/>
      <c r="W188" s="5"/>
      <c r="X188" s="5"/>
      <c r="Y188" s="5"/>
      <c r="Z188" s="5"/>
    </row>
    <row r="189">
      <c r="A189" s="5" t="s">
        <v>74</v>
      </c>
      <c r="B189" s="5" t="s">
        <v>374</v>
      </c>
      <c r="C189" s="5" t="s">
        <v>76</v>
      </c>
      <c r="D189" s="5" t="s">
        <v>369</v>
      </c>
      <c r="E189" s="5" t="s">
        <v>77</v>
      </c>
      <c r="F189" s="5" t="s">
        <v>249</v>
      </c>
      <c r="G189" s="191">
        <v>2003.0</v>
      </c>
      <c r="H189" s="191">
        <v>0.014866181</v>
      </c>
      <c r="I189" s="191">
        <v>0.017244032</v>
      </c>
      <c r="J189" s="191">
        <v>0.012742723</v>
      </c>
      <c r="K189" s="5"/>
      <c r="L189" s="5"/>
      <c r="M189" s="5"/>
      <c r="N189" s="5"/>
      <c r="O189" s="5"/>
      <c r="P189" s="5"/>
      <c r="Q189" s="5"/>
      <c r="R189" s="5"/>
      <c r="S189" s="5"/>
      <c r="T189" s="5"/>
      <c r="U189" s="5"/>
      <c r="V189" s="5"/>
      <c r="W189" s="5"/>
      <c r="X189" s="5"/>
      <c r="Y189" s="5"/>
      <c r="Z189" s="5"/>
    </row>
    <row r="190">
      <c r="A190" s="5" t="s">
        <v>74</v>
      </c>
      <c r="B190" s="5" t="s">
        <v>374</v>
      </c>
      <c r="C190" s="5" t="s">
        <v>76</v>
      </c>
      <c r="D190" s="5" t="s">
        <v>370</v>
      </c>
      <c r="E190" s="5" t="s">
        <v>77</v>
      </c>
      <c r="F190" s="5" t="s">
        <v>249</v>
      </c>
      <c r="G190" s="191">
        <v>2003.0</v>
      </c>
      <c r="H190" s="191">
        <v>0.002360899</v>
      </c>
      <c r="I190" s="191">
        <v>0.002784859</v>
      </c>
      <c r="J190" s="191">
        <v>0.001997934</v>
      </c>
      <c r="K190" s="5"/>
      <c r="L190" s="5"/>
      <c r="M190" s="5"/>
      <c r="N190" s="5"/>
      <c r="O190" s="5"/>
      <c r="P190" s="5"/>
      <c r="Q190" s="5"/>
      <c r="R190" s="5"/>
      <c r="S190" s="5"/>
      <c r="T190" s="5"/>
      <c r="U190" s="5"/>
      <c r="V190" s="5"/>
      <c r="W190" s="5"/>
      <c r="X190" s="5"/>
      <c r="Y190" s="5"/>
      <c r="Z190" s="5"/>
    </row>
    <row r="191">
      <c r="A191" s="5" t="s">
        <v>371</v>
      </c>
      <c r="B191" s="5" t="s">
        <v>374</v>
      </c>
      <c r="C191" s="5" t="s">
        <v>76</v>
      </c>
      <c r="D191" s="5" t="s">
        <v>369</v>
      </c>
      <c r="E191" s="5" t="s">
        <v>77</v>
      </c>
      <c r="F191" s="5" t="s">
        <v>249</v>
      </c>
      <c r="G191" s="191">
        <v>2003.0</v>
      </c>
      <c r="H191" s="191">
        <v>0.036241817</v>
      </c>
      <c r="I191" s="191">
        <v>0.045800841</v>
      </c>
      <c r="J191" s="191">
        <v>0.028630198</v>
      </c>
      <c r="K191" s="5"/>
      <c r="L191" s="5"/>
      <c r="M191" s="5"/>
      <c r="N191" s="5"/>
      <c r="O191" s="5"/>
      <c r="P191" s="5"/>
      <c r="Q191" s="5"/>
      <c r="R191" s="5"/>
      <c r="S191" s="5"/>
      <c r="T191" s="5"/>
      <c r="U191" s="5"/>
      <c r="V191" s="5"/>
      <c r="W191" s="5"/>
      <c r="X191" s="5"/>
      <c r="Y191" s="5"/>
      <c r="Z191" s="5"/>
    </row>
    <row r="192">
      <c r="A192" s="5" t="s">
        <v>371</v>
      </c>
      <c r="B192" s="5" t="s">
        <v>374</v>
      </c>
      <c r="C192" s="5" t="s">
        <v>76</v>
      </c>
      <c r="D192" s="5" t="s">
        <v>370</v>
      </c>
      <c r="E192" s="5" t="s">
        <v>77</v>
      </c>
      <c r="F192" s="5" t="s">
        <v>249</v>
      </c>
      <c r="G192" s="191">
        <v>2003.0</v>
      </c>
      <c r="H192" s="191">
        <v>0.012672443</v>
      </c>
      <c r="I192" s="191">
        <v>0.01496409</v>
      </c>
      <c r="J192" s="191">
        <v>0.010632533</v>
      </c>
      <c r="K192" s="5"/>
      <c r="L192" s="5"/>
      <c r="M192" s="5"/>
      <c r="N192" s="5"/>
      <c r="O192" s="5"/>
      <c r="P192" s="5"/>
      <c r="Q192" s="5"/>
      <c r="R192" s="5"/>
      <c r="S192" s="5"/>
      <c r="T192" s="5"/>
      <c r="U192" s="5"/>
      <c r="V192" s="5"/>
      <c r="W192" s="5"/>
      <c r="X192" s="5"/>
      <c r="Y192" s="5"/>
      <c r="Z192" s="5"/>
    </row>
    <row r="193">
      <c r="A193" s="5" t="s">
        <v>74</v>
      </c>
      <c r="B193" s="5" t="s">
        <v>375</v>
      </c>
      <c r="C193" s="5" t="s">
        <v>76</v>
      </c>
      <c r="D193" s="5" t="s">
        <v>369</v>
      </c>
      <c r="E193" s="5" t="s">
        <v>77</v>
      </c>
      <c r="F193" s="5" t="s">
        <v>249</v>
      </c>
      <c r="G193" s="191">
        <v>2003.0</v>
      </c>
      <c r="H193" s="191">
        <v>0.157914069</v>
      </c>
      <c r="I193" s="191">
        <v>0.222670958</v>
      </c>
      <c r="J193" s="191">
        <v>0.108048851</v>
      </c>
      <c r="K193" s="5"/>
      <c r="L193" s="5"/>
      <c r="M193" s="5"/>
      <c r="N193" s="5"/>
      <c r="O193" s="5"/>
      <c r="P193" s="5"/>
      <c r="Q193" s="5"/>
      <c r="R193" s="5"/>
      <c r="S193" s="5"/>
      <c r="T193" s="5"/>
      <c r="U193" s="5"/>
      <c r="V193" s="5"/>
      <c r="W193" s="5"/>
      <c r="X193" s="5"/>
      <c r="Y193" s="5"/>
      <c r="Z193" s="5"/>
    </row>
    <row r="194">
      <c r="A194" s="5" t="s">
        <v>74</v>
      </c>
      <c r="B194" s="5" t="s">
        <v>375</v>
      </c>
      <c r="C194" s="5" t="s">
        <v>76</v>
      </c>
      <c r="D194" s="5" t="s">
        <v>370</v>
      </c>
      <c r="E194" s="5" t="s">
        <v>77</v>
      </c>
      <c r="F194" s="5" t="s">
        <v>249</v>
      </c>
      <c r="G194" s="191">
        <v>2003.0</v>
      </c>
      <c r="H194" s="191">
        <v>0.080088522</v>
      </c>
      <c r="I194" s="191">
        <v>0.107576737</v>
      </c>
      <c r="J194" s="191">
        <v>0.057047541</v>
      </c>
      <c r="K194" s="5"/>
      <c r="L194" s="5"/>
      <c r="M194" s="5"/>
      <c r="N194" s="5"/>
      <c r="O194" s="5"/>
      <c r="P194" s="5"/>
      <c r="Q194" s="5"/>
      <c r="R194" s="5"/>
      <c r="S194" s="5"/>
      <c r="T194" s="5"/>
      <c r="U194" s="5"/>
      <c r="V194" s="5"/>
      <c r="W194" s="5"/>
      <c r="X194" s="5"/>
      <c r="Y194" s="5"/>
      <c r="Z194" s="5"/>
    </row>
    <row r="195">
      <c r="A195" s="5" t="s">
        <v>371</v>
      </c>
      <c r="B195" s="5" t="s">
        <v>375</v>
      </c>
      <c r="C195" s="5" t="s">
        <v>76</v>
      </c>
      <c r="D195" s="5" t="s">
        <v>369</v>
      </c>
      <c r="E195" s="5" t="s">
        <v>77</v>
      </c>
      <c r="F195" s="5" t="s">
        <v>249</v>
      </c>
      <c r="G195" s="191">
        <v>2003.0</v>
      </c>
      <c r="H195" s="191">
        <v>0.078575103</v>
      </c>
      <c r="I195" s="191">
        <v>0.095996537</v>
      </c>
      <c r="J195" s="191">
        <v>0.062729461</v>
      </c>
      <c r="K195" s="5"/>
      <c r="L195" s="5"/>
      <c r="M195" s="5"/>
      <c r="N195" s="5"/>
      <c r="O195" s="5"/>
      <c r="P195" s="5"/>
      <c r="Q195" s="5"/>
      <c r="R195" s="5"/>
      <c r="S195" s="5"/>
      <c r="T195" s="5"/>
      <c r="U195" s="5"/>
      <c r="V195" s="5"/>
      <c r="W195" s="5"/>
      <c r="X195" s="5"/>
      <c r="Y195" s="5"/>
      <c r="Z195" s="5"/>
    </row>
    <row r="196">
      <c r="A196" s="5" t="s">
        <v>371</v>
      </c>
      <c r="B196" s="5" t="s">
        <v>375</v>
      </c>
      <c r="C196" s="5" t="s">
        <v>76</v>
      </c>
      <c r="D196" s="5" t="s">
        <v>370</v>
      </c>
      <c r="E196" s="5" t="s">
        <v>77</v>
      </c>
      <c r="F196" s="5" t="s">
        <v>249</v>
      </c>
      <c r="G196" s="191">
        <v>2003.0</v>
      </c>
      <c r="H196" s="191">
        <v>0.024365115</v>
      </c>
      <c r="I196" s="191">
        <v>0.027929018</v>
      </c>
      <c r="J196" s="191">
        <v>0.02114458</v>
      </c>
      <c r="K196" s="5"/>
      <c r="L196" s="5"/>
      <c r="M196" s="5"/>
      <c r="N196" s="5"/>
      <c r="O196" s="5"/>
      <c r="P196" s="5"/>
      <c r="Q196" s="5"/>
      <c r="R196" s="5"/>
      <c r="S196" s="5"/>
      <c r="T196" s="5"/>
      <c r="U196" s="5"/>
      <c r="V196" s="5"/>
      <c r="W196" s="5"/>
      <c r="X196" s="5"/>
      <c r="Y196" s="5"/>
      <c r="Z196" s="5"/>
    </row>
    <row r="197">
      <c r="A197" s="5" t="s">
        <v>74</v>
      </c>
      <c r="B197" s="5" t="s">
        <v>365</v>
      </c>
      <c r="C197" s="5" t="s">
        <v>76</v>
      </c>
      <c r="D197" s="5" t="s">
        <v>369</v>
      </c>
      <c r="E197" s="5" t="s">
        <v>77</v>
      </c>
      <c r="F197" s="5" t="s">
        <v>249</v>
      </c>
      <c r="G197" s="191">
        <v>2003.0</v>
      </c>
      <c r="H197" s="191">
        <v>0.040159466</v>
      </c>
      <c r="I197" s="191">
        <v>0.062999131</v>
      </c>
      <c r="J197" s="191">
        <v>0.023472845</v>
      </c>
      <c r="K197" s="5"/>
      <c r="L197" s="5"/>
      <c r="M197" s="5"/>
      <c r="N197" s="5"/>
      <c r="O197" s="5"/>
      <c r="P197" s="5"/>
      <c r="Q197" s="5"/>
      <c r="R197" s="5"/>
      <c r="S197" s="5"/>
      <c r="T197" s="5"/>
      <c r="U197" s="5"/>
      <c r="V197" s="5"/>
      <c r="W197" s="5"/>
      <c r="X197" s="5"/>
      <c r="Y197" s="5"/>
      <c r="Z197" s="5"/>
    </row>
    <row r="198">
      <c r="A198" s="5" t="s">
        <v>74</v>
      </c>
      <c r="B198" s="5" t="s">
        <v>365</v>
      </c>
      <c r="C198" s="5" t="s">
        <v>76</v>
      </c>
      <c r="D198" s="5" t="s">
        <v>370</v>
      </c>
      <c r="E198" s="5" t="s">
        <v>77</v>
      </c>
      <c r="F198" s="5" t="s">
        <v>249</v>
      </c>
      <c r="G198" s="191">
        <v>2003.0</v>
      </c>
      <c r="H198" s="191">
        <v>0.02141117</v>
      </c>
      <c r="I198" s="191">
        <v>0.030701657</v>
      </c>
      <c r="J198" s="191">
        <v>0.013104999</v>
      </c>
      <c r="K198" s="5"/>
      <c r="L198" s="5"/>
      <c r="M198" s="5"/>
      <c r="N198" s="5"/>
      <c r="O198" s="5"/>
      <c r="P198" s="5"/>
      <c r="Q198" s="5"/>
      <c r="R198" s="5"/>
      <c r="S198" s="5"/>
      <c r="T198" s="5"/>
      <c r="U198" s="5"/>
      <c r="V198" s="5"/>
      <c r="W198" s="5"/>
      <c r="X198" s="5"/>
      <c r="Y198" s="5"/>
      <c r="Z198" s="5"/>
    </row>
    <row r="199">
      <c r="A199" s="5" t="s">
        <v>371</v>
      </c>
      <c r="B199" s="5" t="s">
        <v>365</v>
      </c>
      <c r="C199" s="5" t="s">
        <v>76</v>
      </c>
      <c r="D199" s="5" t="s">
        <v>369</v>
      </c>
      <c r="E199" s="5" t="s">
        <v>77</v>
      </c>
      <c r="F199" s="5" t="s">
        <v>249</v>
      </c>
      <c r="G199" s="191">
        <v>2003.0</v>
      </c>
      <c r="H199" s="191">
        <v>0.076884615</v>
      </c>
      <c r="I199" s="191">
        <v>0.094236053</v>
      </c>
      <c r="J199" s="191">
        <v>0.06116911</v>
      </c>
      <c r="K199" s="5"/>
      <c r="L199" s="5"/>
      <c r="M199" s="5"/>
      <c r="N199" s="5"/>
      <c r="O199" s="5"/>
      <c r="P199" s="5"/>
      <c r="Q199" s="5"/>
      <c r="R199" s="5"/>
      <c r="S199" s="5"/>
      <c r="T199" s="5"/>
      <c r="U199" s="5"/>
      <c r="V199" s="5"/>
      <c r="W199" s="5"/>
      <c r="X199" s="5"/>
      <c r="Y199" s="5"/>
      <c r="Z199" s="5"/>
    </row>
    <row r="200">
      <c r="A200" s="5" t="s">
        <v>371</v>
      </c>
      <c r="B200" s="5" t="s">
        <v>365</v>
      </c>
      <c r="C200" s="5" t="s">
        <v>76</v>
      </c>
      <c r="D200" s="5" t="s">
        <v>370</v>
      </c>
      <c r="E200" s="5" t="s">
        <v>77</v>
      </c>
      <c r="F200" s="5" t="s">
        <v>249</v>
      </c>
      <c r="G200" s="191">
        <v>2003.0</v>
      </c>
      <c r="H200" s="191">
        <v>0.017957318</v>
      </c>
      <c r="I200" s="191">
        <v>0.020481464</v>
      </c>
      <c r="J200" s="191">
        <v>0.015514168</v>
      </c>
      <c r="K200" s="5"/>
      <c r="L200" s="5"/>
      <c r="M200" s="5"/>
      <c r="N200" s="5"/>
      <c r="O200" s="5"/>
      <c r="P200" s="5"/>
      <c r="Q200" s="5"/>
      <c r="R200" s="5"/>
      <c r="S200" s="5"/>
      <c r="T200" s="5"/>
      <c r="U200" s="5"/>
      <c r="V200" s="5"/>
      <c r="W200" s="5"/>
      <c r="X200" s="5"/>
      <c r="Y200" s="5"/>
      <c r="Z200" s="5"/>
    </row>
    <row r="201">
      <c r="A201" s="5" t="s">
        <v>74</v>
      </c>
      <c r="B201" s="5" t="s">
        <v>362</v>
      </c>
      <c r="C201" s="5" t="s">
        <v>76</v>
      </c>
      <c r="D201" s="5" t="s">
        <v>369</v>
      </c>
      <c r="E201" s="5" t="s">
        <v>77</v>
      </c>
      <c r="F201" s="5" t="s">
        <v>249</v>
      </c>
      <c r="G201" s="191">
        <v>2005.0</v>
      </c>
      <c r="H201" s="191">
        <v>0.061926008</v>
      </c>
      <c r="I201" s="191">
        <v>0.083294832</v>
      </c>
      <c r="J201" s="191">
        <v>0.044594366</v>
      </c>
      <c r="K201" s="5"/>
      <c r="L201" s="5"/>
      <c r="M201" s="5"/>
      <c r="N201" s="5"/>
      <c r="O201" s="5"/>
      <c r="P201" s="5"/>
      <c r="Q201" s="5"/>
      <c r="R201" s="5"/>
      <c r="S201" s="5"/>
      <c r="T201" s="5"/>
      <c r="U201" s="5"/>
      <c r="V201" s="5"/>
      <c r="W201" s="5"/>
      <c r="X201" s="5"/>
      <c r="Y201" s="5"/>
      <c r="Z201" s="5"/>
    </row>
    <row r="202">
      <c r="A202" s="5" t="s">
        <v>74</v>
      </c>
      <c r="B202" s="5" t="s">
        <v>362</v>
      </c>
      <c r="C202" s="5" t="s">
        <v>76</v>
      </c>
      <c r="D202" s="5" t="s">
        <v>370</v>
      </c>
      <c r="E202" s="5" t="s">
        <v>77</v>
      </c>
      <c r="F202" s="5" t="s">
        <v>249</v>
      </c>
      <c r="G202" s="191">
        <v>2005.0</v>
      </c>
      <c r="H202" s="191">
        <v>0.064598788</v>
      </c>
      <c r="I202" s="191">
        <v>0.099906873</v>
      </c>
      <c r="J202" s="191">
        <v>0.043323604</v>
      </c>
      <c r="K202" s="5"/>
      <c r="L202" s="5"/>
      <c r="M202" s="5"/>
      <c r="N202" s="5"/>
      <c r="O202" s="5"/>
      <c r="P202" s="5"/>
      <c r="Q202" s="5"/>
      <c r="R202" s="5"/>
      <c r="S202" s="5"/>
      <c r="T202" s="5"/>
      <c r="U202" s="5"/>
      <c r="V202" s="5"/>
      <c r="W202" s="5"/>
      <c r="X202" s="5"/>
      <c r="Y202" s="5"/>
      <c r="Z202" s="5"/>
    </row>
    <row r="203">
      <c r="A203" s="5" t="s">
        <v>371</v>
      </c>
      <c r="B203" s="5" t="s">
        <v>362</v>
      </c>
      <c r="C203" s="5" t="s">
        <v>76</v>
      </c>
      <c r="D203" s="5" t="s">
        <v>369</v>
      </c>
      <c r="E203" s="5" t="s">
        <v>77</v>
      </c>
      <c r="F203" s="5" t="s">
        <v>249</v>
      </c>
      <c r="G203" s="191">
        <v>2005.0</v>
      </c>
      <c r="H203" s="191">
        <v>0.045350255</v>
      </c>
      <c r="I203" s="191">
        <v>0.056749033</v>
      </c>
      <c r="J203" s="191">
        <v>0.035159765</v>
      </c>
      <c r="K203" s="5"/>
      <c r="L203" s="5"/>
      <c r="M203" s="5"/>
      <c r="N203" s="5"/>
      <c r="O203" s="5"/>
      <c r="P203" s="5"/>
      <c r="Q203" s="5"/>
      <c r="R203" s="5"/>
      <c r="S203" s="5"/>
      <c r="T203" s="5"/>
      <c r="U203" s="5"/>
      <c r="V203" s="5"/>
      <c r="W203" s="5"/>
      <c r="X203" s="5"/>
      <c r="Y203" s="5"/>
      <c r="Z203" s="5"/>
    </row>
    <row r="204">
      <c r="A204" s="5" t="s">
        <v>371</v>
      </c>
      <c r="B204" s="5" t="s">
        <v>362</v>
      </c>
      <c r="C204" s="5" t="s">
        <v>76</v>
      </c>
      <c r="D204" s="5" t="s">
        <v>370</v>
      </c>
      <c r="E204" s="5" t="s">
        <v>77</v>
      </c>
      <c r="F204" s="5" t="s">
        <v>249</v>
      </c>
      <c r="G204" s="191">
        <v>2005.0</v>
      </c>
      <c r="H204" s="191">
        <v>0.022114105</v>
      </c>
      <c r="I204" s="191">
        <v>0.025950961</v>
      </c>
      <c r="J204" s="191">
        <v>0.018872214</v>
      </c>
      <c r="K204" s="5"/>
      <c r="L204" s="5"/>
      <c r="M204" s="5"/>
      <c r="N204" s="5"/>
      <c r="O204" s="5"/>
      <c r="P204" s="5"/>
      <c r="Q204" s="5"/>
      <c r="R204" s="5"/>
      <c r="S204" s="5"/>
      <c r="T204" s="5"/>
      <c r="U204" s="5"/>
      <c r="V204" s="5"/>
      <c r="W204" s="5"/>
      <c r="X204" s="5"/>
      <c r="Y204" s="5"/>
      <c r="Z204" s="5"/>
    </row>
    <row r="205">
      <c r="A205" s="5" t="s">
        <v>74</v>
      </c>
      <c r="B205" s="5" t="s">
        <v>358</v>
      </c>
      <c r="C205" s="5" t="s">
        <v>76</v>
      </c>
      <c r="D205" s="5" t="s">
        <v>369</v>
      </c>
      <c r="E205" s="5" t="s">
        <v>77</v>
      </c>
      <c r="F205" s="5" t="s">
        <v>249</v>
      </c>
      <c r="G205" s="191">
        <v>2005.0</v>
      </c>
      <c r="H205" s="191">
        <v>0.156288903</v>
      </c>
      <c r="I205" s="191">
        <v>0.174968299</v>
      </c>
      <c r="J205" s="191">
        <v>0.137077367</v>
      </c>
      <c r="K205" s="5"/>
      <c r="L205" s="5"/>
      <c r="M205" s="5"/>
      <c r="N205" s="5"/>
      <c r="O205" s="5"/>
      <c r="P205" s="5"/>
      <c r="Q205" s="5"/>
      <c r="R205" s="5"/>
      <c r="S205" s="5"/>
      <c r="T205" s="5"/>
      <c r="U205" s="5"/>
      <c r="V205" s="5"/>
      <c r="W205" s="5"/>
      <c r="X205" s="5"/>
      <c r="Y205" s="5"/>
      <c r="Z205" s="5"/>
    </row>
    <row r="206">
      <c r="A206" s="5" t="s">
        <v>74</v>
      </c>
      <c r="B206" s="5" t="s">
        <v>358</v>
      </c>
      <c r="C206" s="5" t="s">
        <v>76</v>
      </c>
      <c r="D206" s="5" t="s">
        <v>370</v>
      </c>
      <c r="E206" s="5" t="s">
        <v>77</v>
      </c>
      <c r="F206" s="5" t="s">
        <v>249</v>
      </c>
      <c r="G206" s="191">
        <v>2005.0</v>
      </c>
      <c r="H206" s="191">
        <v>0.059166998</v>
      </c>
      <c r="I206" s="191">
        <v>0.064346974</v>
      </c>
      <c r="J206" s="191">
        <v>0.054336235</v>
      </c>
      <c r="K206" s="5"/>
      <c r="L206" s="5"/>
      <c r="M206" s="5"/>
      <c r="N206" s="5"/>
      <c r="O206" s="5"/>
      <c r="P206" s="5"/>
      <c r="Q206" s="5"/>
      <c r="R206" s="5"/>
      <c r="S206" s="5"/>
      <c r="T206" s="5"/>
      <c r="U206" s="5"/>
      <c r="V206" s="5"/>
      <c r="W206" s="5"/>
      <c r="X206" s="5"/>
      <c r="Y206" s="5"/>
      <c r="Z206" s="5"/>
    </row>
    <row r="207">
      <c r="A207" s="5" t="s">
        <v>371</v>
      </c>
      <c r="B207" s="5" t="s">
        <v>358</v>
      </c>
      <c r="C207" s="5" t="s">
        <v>76</v>
      </c>
      <c r="D207" s="5" t="s">
        <v>369</v>
      </c>
      <c r="E207" s="5" t="s">
        <v>77</v>
      </c>
      <c r="F207" s="5" t="s">
        <v>249</v>
      </c>
      <c r="G207" s="191">
        <v>2005.0</v>
      </c>
      <c r="H207" s="191">
        <v>0.112952968</v>
      </c>
      <c r="I207" s="191">
        <v>0.139146995</v>
      </c>
      <c r="J207" s="191">
        <v>0.089732244</v>
      </c>
      <c r="K207" s="5"/>
      <c r="L207" s="5"/>
      <c r="M207" s="5"/>
      <c r="N207" s="5"/>
      <c r="O207" s="5"/>
      <c r="P207" s="5"/>
      <c r="Q207" s="5"/>
      <c r="R207" s="5"/>
      <c r="S207" s="5"/>
      <c r="T207" s="5"/>
      <c r="U207" s="5"/>
      <c r="V207" s="5"/>
      <c r="W207" s="5"/>
      <c r="X207" s="5"/>
      <c r="Y207" s="5"/>
      <c r="Z207" s="5"/>
    </row>
    <row r="208">
      <c r="A208" s="5" t="s">
        <v>371</v>
      </c>
      <c r="B208" s="5" t="s">
        <v>358</v>
      </c>
      <c r="C208" s="5" t="s">
        <v>76</v>
      </c>
      <c r="D208" s="5" t="s">
        <v>370</v>
      </c>
      <c r="E208" s="5" t="s">
        <v>77</v>
      </c>
      <c r="F208" s="5" t="s">
        <v>249</v>
      </c>
      <c r="G208" s="191">
        <v>2005.0</v>
      </c>
      <c r="H208" s="191">
        <v>0.026257979</v>
      </c>
      <c r="I208" s="191">
        <v>0.030199076</v>
      </c>
      <c r="J208" s="191">
        <v>0.02275931</v>
      </c>
      <c r="K208" s="5"/>
      <c r="L208" s="5"/>
      <c r="M208" s="5"/>
      <c r="N208" s="5"/>
      <c r="O208" s="5"/>
      <c r="P208" s="5"/>
      <c r="Q208" s="5"/>
      <c r="R208" s="5"/>
      <c r="S208" s="5"/>
      <c r="T208" s="5"/>
      <c r="U208" s="5"/>
      <c r="V208" s="5"/>
      <c r="W208" s="5"/>
      <c r="X208" s="5"/>
      <c r="Y208" s="5"/>
      <c r="Z208" s="5"/>
    </row>
    <row r="209">
      <c r="A209" s="5" t="s">
        <v>74</v>
      </c>
      <c r="B209" s="5" t="s">
        <v>360</v>
      </c>
      <c r="C209" s="5" t="s">
        <v>76</v>
      </c>
      <c r="D209" s="5" t="s">
        <v>369</v>
      </c>
      <c r="E209" s="5" t="s">
        <v>77</v>
      </c>
      <c r="F209" s="5" t="s">
        <v>249</v>
      </c>
      <c r="G209" s="191">
        <v>2005.0</v>
      </c>
      <c r="H209" s="191">
        <v>0.124025244</v>
      </c>
      <c r="I209" s="191">
        <v>0.143634271</v>
      </c>
      <c r="J209" s="191">
        <v>0.104707053</v>
      </c>
      <c r="K209" s="5"/>
      <c r="L209" s="5"/>
      <c r="M209" s="5"/>
      <c r="N209" s="5"/>
      <c r="O209" s="5"/>
      <c r="P209" s="5"/>
      <c r="Q209" s="5"/>
      <c r="R209" s="5"/>
      <c r="S209" s="5"/>
      <c r="T209" s="5"/>
      <c r="U209" s="5"/>
      <c r="V209" s="5"/>
      <c r="W209" s="5"/>
      <c r="X209" s="5"/>
      <c r="Y209" s="5"/>
      <c r="Z209" s="5"/>
    </row>
    <row r="210">
      <c r="A210" s="5" t="s">
        <v>74</v>
      </c>
      <c r="B210" s="5" t="s">
        <v>360</v>
      </c>
      <c r="C210" s="5" t="s">
        <v>76</v>
      </c>
      <c r="D210" s="5" t="s">
        <v>370</v>
      </c>
      <c r="E210" s="5" t="s">
        <v>77</v>
      </c>
      <c r="F210" s="5" t="s">
        <v>249</v>
      </c>
      <c r="G210" s="191">
        <v>2005.0</v>
      </c>
      <c r="H210" s="191">
        <v>0.114182163</v>
      </c>
      <c r="I210" s="191">
        <v>0.156996931</v>
      </c>
      <c r="J210" s="191">
        <v>0.083450903</v>
      </c>
      <c r="K210" s="5"/>
      <c r="L210" s="5"/>
      <c r="M210" s="5"/>
      <c r="N210" s="5"/>
      <c r="O210" s="5"/>
      <c r="P210" s="5"/>
      <c r="Q210" s="5"/>
      <c r="R210" s="5"/>
      <c r="S210" s="5"/>
      <c r="T210" s="5"/>
      <c r="U210" s="5"/>
      <c r="V210" s="5"/>
      <c r="W210" s="5"/>
      <c r="X210" s="5"/>
      <c r="Y210" s="5"/>
      <c r="Z210" s="5"/>
    </row>
    <row r="211">
      <c r="A211" s="5" t="s">
        <v>371</v>
      </c>
      <c r="B211" s="5" t="s">
        <v>360</v>
      </c>
      <c r="C211" s="5" t="s">
        <v>76</v>
      </c>
      <c r="D211" s="5" t="s">
        <v>369</v>
      </c>
      <c r="E211" s="5" t="s">
        <v>77</v>
      </c>
      <c r="F211" s="5" t="s">
        <v>249</v>
      </c>
      <c r="G211" s="191">
        <v>2005.0</v>
      </c>
      <c r="H211" s="191">
        <v>0.045097898</v>
      </c>
      <c r="I211" s="191">
        <v>0.055550029</v>
      </c>
      <c r="J211" s="191">
        <v>0.035925536</v>
      </c>
      <c r="K211" s="5"/>
      <c r="L211" s="5"/>
      <c r="M211" s="5"/>
      <c r="N211" s="5"/>
      <c r="O211" s="5"/>
      <c r="P211" s="5"/>
      <c r="Q211" s="5"/>
      <c r="R211" s="5"/>
      <c r="S211" s="5"/>
      <c r="T211" s="5"/>
      <c r="U211" s="5"/>
      <c r="V211" s="5"/>
      <c r="W211" s="5"/>
      <c r="X211" s="5"/>
      <c r="Y211" s="5"/>
      <c r="Z211" s="5"/>
    </row>
    <row r="212">
      <c r="A212" s="5" t="s">
        <v>371</v>
      </c>
      <c r="B212" s="5" t="s">
        <v>360</v>
      </c>
      <c r="C212" s="5" t="s">
        <v>76</v>
      </c>
      <c r="D212" s="5" t="s">
        <v>370</v>
      </c>
      <c r="E212" s="5" t="s">
        <v>77</v>
      </c>
      <c r="F212" s="5" t="s">
        <v>249</v>
      </c>
      <c r="G212" s="191">
        <v>2005.0</v>
      </c>
      <c r="H212" s="191">
        <v>0.021475075</v>
      </c>
      <c r="I212" s="191">
        <v>0.024883964</v>
      </c>
      <c r="J212" s="191">
        <v>0.018591477</v>
      </c>
      <c r="K212" s="5"/>
      <c r="L212" s="5"/>
      <c r="M212" s="5"/>
      <c r="N212" s="5"/>
      <c r="O212" s="5"/>
      <c r="P212" s="5"/>
      <c r="Q212" s="5"/>
      <c r="R212" s="5"/>
      <c r="S212" s="5"/>
      <c r="T212" s="5"/>
      <c r="U212" s="5"/>
      <c r="V212" s="5"/>
      <c r="W212" s="5"/>
      <c r="X212" s="5"/>
      <c r="Y212" s="5"/>
      <c r="Z212" s="5"/>
    </row>
    <row r="213">
      <c r="A213" s="5" t="s">
        <v>74</v>
      </c>
      <c r="B213" s="5" t="s">
        <v>11</v>
      </c>
      <c r="C213" s="5" t="s">
        <v>76</v>
      </c>
      <c r="D213" s="5" t="s">
        <v>369</v>
      </c>
      <c r="E213" s="5" t="s">
        <v>77</v>
      </c>
      <c r="F213" s="5" t="s">
        <v>249</v>
      </c>
      <c r="G213" s="191">
        <v>2005.0</v>
      </c>
      <c r="H213" s="191">
        <v>0.199671933</v>
      </c>
      <c r="I213" s="191">
        <v>0.247460794</v>
      </c>
      <c r="J213" s="191">
        <v>0.131963072</v>
      </c>
      <c r="K213" s="5"/>
      <c r="L213" s="5"/>
      <c r="M213" s="5"/>
      <c r="N213" s="5"/>
      <c r="O213" s="5"/>
      <c r="P213" s="5"/>
      <c r="Q213" s="5"/>
      <c r="R213" s="5"/>
      <c r="S213" s="5"/>
      <c r="T213" s="5"/>
      <c r="U213" s="5"/>
      <c r="V213" s="5"/>
      <c r="W213" s="5"/>
      <c r="X213" s="5"/>
      <c r="Y213" s="5"/>
      <c r="Z213" s="5"/>
    </row>
    <row r="214">
      <c r="A214" s="5" t="s">
        <v>74</v>
      </c>
      <c r="B214" s="5" t="s">
        <v>11</v>
      </c>
      <c r="C214" s="5" t="s">
        <v>76</v>
      </c>
      <c r="D214" s="5" t="s">
        <v>370</v>
      </c>
      <c r="E214" s="5" t="s">
        <v>77</v>
      </c>
      <c r="F214" s="5" t="s">
        <v>249</v>
      </c>
      <c r="G214" s="191">
        <v>2005.0</v>
      </c>
      <c r="H214" s="191">
        <v>0.087297703</v>
      </c>
      <c r="I214" s="191">
        <v>0.112254294</v>
      </c>
      <c r="J214" s="191">
        <v>0.06355375</v>
      </c>
      <c r="K214" s="5"/>
      <c r="L214" s="5"/>
      <c r="M214" s="5"/>
      <c r="N214" s="5"/>
      <c r="O214" s="5"/>
      <c r="P214" s="5"/>
      <c r="Q214" s="5"/>
      <c r="R214" s="5"/>
      <c r="S214" s="5"/>
      <c r="T214" s="5"/>
      <c r="U214" s="5"/>
      <c r="V214" s="5"/>
      <c r="W214" s="5"/>
      <c r="X214" s="5"/>
      <c r="Y214" s="5"/>
      <c r="Z214" s="5"/>
    </row>
    <row r="215">
      <c r="A215" s="5" t="s">
        <v>371</v>
      </c>
      <c r="B215" s="5" t="s">
        <v>11</v>
      </c>
      <c r="C215" s="5" t="s">
        <v>76</v>
      </c>
      <c r="D215" s="5" t="s">
        <v>369</v>
      </c>
      <c r="E215" s="5" t="s">
        <v>77</v>
      </c>
      <c r="F215" s="5" t="s">
        <v>249</v>
      </c>
      <c r="G215" s="191">
        <v>2005.0</v>
      </c>
      <c r="H215" s="191">
        <v>0.076592381</v>
      </c>
      <c r="I215" s="191">
        <v>0.093133233</v>
      </c>
      <c r="J215" s="191">
        <v>0.062002835</v>
      </c>
      <c r="K215" s="5"/>
      <c r="L215" s="5"/>
      <c r="M215" s="5"/>
      <c r="N215" s="5"/>
      <c r="O215" s="5"/>
      <c r="P215" s="5"/>
      <c r="Q215" s="5"/>
      <c r="R215" s="5"/>
      <c r="S215" s="5"/>
      <c r="T215" s="5"/>
      <c r="U215" s="5"/>
      <c r="V215" s="5"/>
      <c r="W215" s="5"/>
      <c r="X215" s="5"/>
      <c r="Y215" s="5"/>
      <c r="Z215" s="5"/>
    </row>
    <row r="216">
      <c r="A216" s="5" t="s">
        <v>371</v>
      </c>
      <c r="B216" s="5" t="s">
        <v>11</v>
      </c>
      <c r="C216" s="5" t="s">
        <v>76</v>
      </c>
      <c r="D216" s="5" t="s">
        <v>370</v>
      </c>
      <c r="E216" s="5" t="s">
        <v>77</v>
      </c>
      <c r="F216" s="5" t="s">
        <v>249</v>
      </c>
      <c r="G216" s="191">
        <v>2005.0</v>
      </c>
      <c r="H216" s="191">
        <v>0.021221868</v>
      </c>
      <c r="I216" s="191">
        <v>0.024204684</v>
      </c>
      <c r="J216" s="191">
        <v>0.018555597</v>
      </c>
      <c r="K216" s="5"/>
      <c r="L216" s="5"/>
      <c r="M216" s="5"/>
      <c r="N216" s="5"/>
      <c r="O216" s="5"/>
      <c r="P216" s="5"/>
      <c r="Q216" s="5"/>
      <c r="R216" s="5"/>
      <c r="S216" s="5"/>
      <c r="T216" s="5"/>
      <c r="U216" s="5"/>
      <c r="V216" s="5"/>
      <c r="W216" s="5"/>
      <c r="X216" s="5"/>
      <c r="Y216" s="5"/>
      <c r="Z216" s="5"/>
    </row>
    <row r="217">
      <c r="A217" s="5" t="s">
        <v>74</v>
      </c>
      <c r="B217" s="5" t="s">
        <v>15</v>
      </c>
      <c r="C217" s="5" t="s">
        <v>76</v>
      </c>
      <c r="D217" s="5" t="s">
        <v>369</v>
      </c>
      <c r="E217" s="5" t="s">
        <v>77</v>
      </c>
      <c r="F217" s="5" t="s">
        <v>249</v>
      </c>
      <c r="G217" s="191">
        <v>2005.0</v>
      </c>
      <c r="H217" s="191">
        <v>0.139373636</v>
      </c>
      <c r="I217" s="191">
        <v>0.182650007</v>
      </c>
      <c r="J217" s="191">
        <v>0.103278718</v>
      </c>
      <c r="K217" s="5"/>
      <c r="L217" s="5"/>
      <c r="M217" s="5"/>
      <c r="N217" s="5"/>
      <c r="O217" s="5"/>
      <c r="P217" s="5"/>
      <c r="Q217" s="5"/>
      <c r="R217" s="5"/>
      <c r="S217" s="5"/>
      <c r="T217" s="5"/>
      <c r="U217" s="5"/>
      <c r="V217" s="5"/>
      <c r="W217" s="5"/>
      <c r="X217" s="5"/>
      <c r="Y217" s="5"/>
      <c r="Z217" s="5"/>
    </row>
    <row r="218">
      <c r="A218" s="5" t="s">
        <v>74</v>
      </c>
      <c r="B218" s="5" t="s">
        <v>15</v>
      </c>
      <c r="C218" s="5" t="s">
        <v>76</v>
      </c>
      <c r="D218" s="5" t="s">
        <v>370</v>
      </c>
      <c r="E218" s="5" t="s">
        <v>77</v>
      </c>
      <c r="F218" s="5" t="s">
        <v>249</v>
      </c>
      <c r="G218" s="191">
        <v>2005.0</v>
      </c>
      <c r="H218" s="191">
        <v>0.076095526</v>
      </c>
      <c r="I218" s="191">
        <v>0.09705611</v>
      </c>
      <c r="J218" s="191">
        <v>0.058417696</v>
      </c>
      <c r="K218" s="5"/>
      <c r="L218" s="5"/>
      <c r="M218" s="5"/>
      <c r="N218" s="5"/>
      <c r="O218" s="5"/>
      <c r="P218" s="5"/>
      <c r="Q218" s="5"/>
      <c r="R218" s="5"/>
      <c r="S218" s="5"/>
      <c r="T218" s="5"/>
      <c r="U218" s="5"/>
      <c r="V218" s="5"/>
      <c r="W218" s="5"/>
      <c r="X218" s="5"/>
      <c r="Y218" s="5"/>
      <c r="Z218" s="5"/>
    </row>
    <row r="219">
      <c r="A219" s="5" t="s">
        <v>371</v>
      </c>
      <c r="B219" s="5" t="s">
        <v>15</v>
      </c>
      <c r="C219" s="5" t="s">
        <v>76</v>
      </c>
      <c r="D219" s="5" t="s">
        <v>369</v>
      </c>
      <c r="E219" s="5" t="s">
        <v>77</v>
      </c>
      <c r="F219" s="5" t="s">
        <v>249</v>
      </c>
      <c r="G219" s="191">
        <v>2005.0</v>
      </c>
      <c r="H219" s="191">
        <v>0.089849791</v>
      </c>
      <c r="I219" s="191">
        <v>0.109248836</v>
      </c>
      <c r="J219" s="191">
        <v>0.072114859</v>
      </c>
      <c r="K219" s="5"/>
      <c r="L219" s="5"/>
      <c r="M219" s="5"/>
      <c r="N219" s="5"/>
      <c r="O219" s="5"/>
      <c r="P219" s="5"/>
      <c r="Q219" s="5"/>
      <c r="R219" s="5"/>
      <c r="S219" s="5"/>
      <c r="T219" s="5"/>
      <c r="U219" s="5"/>
      <c r="V219" s="5"/>
      <c r="W219" s="5"/>
      <c r="X219" s="5"/>
      <c r="Y219" s="5"/>
      <c r="Z219" s="5"/>
    </row>
    <row r="220">
      <c r="A220" s="5" t="s">
        <v>371</v>
      </c>
      <c r="B220" s="5" t="s">
        <v>15</v>
      </c>
      <c r="C220" s="5" t="s">
        <v>76</v>
      </c>
      <c r="D220" s="5" t="s">
        <v>370</v>
      </c>
      <c r="E220" s="5" t="s">
        <v>77</v>
      </c>
      <c r="F220" s="5" t="s">
        <v>249</v>
      </c>
      <c r="G220" s="191">
        <v>2005.0</v>
      </c>
      <c r="H220" s="191">
        <v>0.023921764</v>
      </c>
      <c r="I220" s="191">
        <v>0.027244288</v>
      </c>
      <c r="J220" s="191">
        <v>0.020781845</v>
      </c>
      <c r="K220" s="5"/>
      <c r="L220" s="5"/>
      <c r="M220" s="5"/>
      <c r="N220" s="5"/>
      <c r="O220" s="5"/>
      <c r="P220" s="5"/>
      <c r="Q220" s="5"/>
      <c r="R220" s="5"/>
      <c r="S220" s="5"/>
      <c r="T220" s="5"/>
      <c r="U220" s="5"/>
      <c r="V220" s="5"/>
      <c r="W220" s="5"/>
      <c r="X220" s="5"/>
      <c r="Y220" s="5"/>
      <c r="Z220" s="5"/>
    </row>
    <row r="221">
      <c r="A221" s="5" t="s">
        <v>74</v>
      </c>
      <c r="B221" s="5" t="s">
        <v>372</v>
      </c>
      <c r="C221" s="5" t="s">
        <v>76</v>
      </c>
      <c r="D221" s="5" t="s">
        <v>369</v>
      </c>
      <c r="E221" s="5" t="s">
        <v>77</v>
      </c>
      <c r="F221" s="5" t="s">
        <v>249</v>
      </c>
      <c r="G221" s="191">
        <v>2005.0</v>
      </c>
      <c r="H221" s="191">
        <v>0.102333435</v>
      </c>
      <c r="I221" s="191">
        <v>0.127486515</v>
      </c>
      <c r="J221" s="191">
        <v>0.077599782</v>
      </c>
      <c r="K221" s="5"/>
      <c r="L221" s="5"/>
      <c r="M221" s="5"/>
      <c r="N221" s="5"/>
      <c r="O221" s="5"/>
      <c r="P221" s="5"/>
      <c r="Q221" s="5"/>
      <c r="R221" s="5"/>
      <c r="S221" s="5"/>
      <c r="T221" s="5"/>
      <c r="U221" s="5"/>
      <c r="V221" s="5"/>
      <c r="W221" s="5"/>
      <c r="X221" s="5"/>
      <c r="Y221" s="5"/>
      <c r="Z221" s="5"/>
    </row>
    <row r="222">
      <c r="A222" s="5" t="s">
        <v>74</v>
      </c>
      <c r="B222" s="5" t="s">
        <v>372</v>
      </c>
      <c r="C222" s="5" t="s">
        <v>76</v>
      </c>
      <c r="D222" s="5" t="s">
        <v>370</v>
      </c>
      <c r="E222" s="5" t="s">
        <v>77</v>
      </c>
      <c r="F222" s="5" t="s">
        <v>249</v>
      </c>
      <c r="G222" s="191">
        <v>2005.0</v>
      </c>
      <c r="H222" s="191">
        <v>0.080183858</v>
      </c>
      <c r="I222" s="191">
        <v>0.106206504</v>
      </c>
      <c r="J222" s="191">
        <v>0.059492187</v>
      </c>
      <c r="K222" s="5"/>
      <c r="L222" s="5"/>
      <c r="M222" s="5"/>
      <c r="N222" s="5"/>
      <c r="O222" s="5"/>
      <c r="P222" s="5"/>
      <c r="Q222" s="5"/>
      <c r="R222" s="5"/>
      <c r="S222" s="5"/>
      <c r="T222" s="5"/>
      <c r="U222" s="5"/>
      <c r="V222" s="5"/>
      <c r="W222" s="5"/>
      <c r="X222" s="5"/>
      <c r="Y222" s="5"/>
      <c r="Z222" s="5"/>
    </row>
    <row r="223">
      <c r="A223" s="5" t="s">
        <v>371</v>
      </c>
      <c r="B223" s="5" t="s">
        <v>372</v>
      </c>
      <c r="C223" s="5" t="s">
        <v>76</v>
      </c>
      <c r="D223" s="5" t="s">
        <v>369</v>
      </c>
      <c r="E223" s="5" t="s">
        <v>77</v>
      </c>
      <c r="F223" s="5" t="s">
        <v>249</v>
      </c>
      <c r="G223" s="191">
        <v>2005.0</v>
      </c>
      <c r="H223" s="191">
        <v>0.062971853</v>
      </c>
      <c r="I223" s="191">
        <v>0.081001483</v>
      </c>
      <c r="J223" s="191">
        <v>0.048626935</v>
      </c>
      <c r="K223" s="5"/>
      <c r="L223" s="5"/>
      <c r="M223" s="5"/>
      <c r="N223" s="5"/>
      <c r="O223" s="5"/>
      <c r="P223" s="5"/>
      <c r="Q223" s="5"/>
      <c r="R223" s="5"/>
      <c r="S223" s="5"/>
      <c r="T223" s="5"/>
      <c r="U223" s="5"/>
      <c r="V223" s="5"/>
      <c r="W223" s="5"/>
      <c r="X223" s="5"/>
      <c r="Y223" s="5"/>
      <c r="Z223" s="5"/>
    </row>
    <row r="224">
      <c r="A224" s="5" t="s">
        <v>371</v>
      </c>
      <c r="B224" s="5" t="s">
        <v>372</v>
      </c>
      <c r="C224" s="5" t="s">
        <v>76</v>
      </c>
      <c r="D224" s="5" t="s">
        <v>370</v>
      </c>
      <c r="E224" s="5" t="s">
        <v>77</v>
      </c>
      <c r="F224" s="5" t="s">
        <v>249</v>
      </c>
      <c r="G224" s="191">
        <v>2005.0</v>
      </c>
      <c r="H224" s="191">
        <v>0.026166039</v>
      </c>
      <c r="I224" s="191">
        <v>0.030553856</v>
      </c>
      <c r="J224" s="191">
        <v>0.022330042</v>
      </c>
      <c r="K224" s="5"/>
      <c r="L224" s="5"/>
      <c r="M224" s="5"/>
      <c r="N224" s="5"/>
      <c r="O224" s="5"/>
      <c r="P224" s="5"/>
      <c r="Q224" s="5"/>
      <c r="R224" s="5"/>
      <c r="S224" s="5"/>
      <c r="T224" s="5"/>
      <c r="U224" s="5"/>
      <c r="V224" s="5"/>
      <c r="W224" s="5"/>
      <c r="X224" s="5"/>
      <c r="Y224" s="5"/>
      <c r="Z224" s="5"/>
    </row>
    <row r="225">
      <c r="A225" s="5" t="s">
        <v>74</v>
      </c>
      <c r="B225" s="5" t="s">
        <v>373</v>
      </c>
      <c r="C225" s="5" t="s">
        <v>76</v>
      </c>
      <c r="D225" s="5" t="s">
        <v>369</v>
      </c>
      <c r="E225" s="5" t="s">
        <v>77</v>
      </c>
      <c r="F225" s="5" t="s">
        <v>249</v>
      </c>
      <c r="G225" s="191">
        <v>2005.0</v>
      </c>
      <c r="H225" s="191">
        <v>0.195693385</v>
      </c>
      <c r="I225" s="191">
        <v>0.251128258</v>
      </c>
      <c r="J225" s="191">
        <v>0.145919771</v>
      </c>
      <c r="K225" s="5"/>
      <c r="L225" s="5"/>
      <c r="M225" s="5"/>
      <c r="N225" s="5"/>
      <c r="O225" s="5"/>
      <c r="P225" s="5"/>
      <c r="Q225" s="5"/>
      <c r="R225" s="5"/>
      <c r="S225" s="5"/>
      <c r="T225" s="5"/>
      <c r="U225" s="5"/>
      <c r="V225" s="5"/>
      <c r="W225" s="5"/>
      <c r="X225" s="5"/>
      <c r="Y225" s="5"/>
      <c r="Z225" s="5"/>
    </row>
    <row r="226">
      <c r="A226" s="5" t="s">
        <v>74</v>
      </c>
      <c r="B226" s="5" t="s">
        <v>373</v>
      </c>
      <c r="C226" s="5" t="s">
        <v>76</v>
      </c>
      <c r="D226" s="5" t="s">
        <v>370</v>
      </c>
      <c r="E226" s="5" t="s">
        <v>77</v>
      </c>
      <c r="F226" s="5" t="s">
        <v>249</v>
      </c>
      <c r="G226" s="191">
        <v>2005.0</v>
      </c>
      <c r="H226" s="191">
        <v>0.109839742</v>
      </c>
      <c r="I226" s="191">
        <v>0.137546958</v>
      </c>
      <c r="J226" s="191">
        <v>0.083614013</v>
      </c>
      <c r="K226" s="5"/>
      <c r="L226" s="5"/>
      <c r="M226" s="5"/>
      <c r="N226" s="5"/>
      <c r="O226" s="5"/>
      <c r="P226" s="5"/>
      <c r="Q226" s="5"/>
      <c r="R226" s="5"/>
      <c r="S226" s="5"/>
      <c r="T226" s="5"/>
      <c r="U226" s="5"/>
      <c r="V226" s="5"/>
      <c r="W226" s="5"/>
      <c r="X226" s="5"/>
      <c r="Y226" s="5"/>
      <c r="Z226" s="5"/>
    </row>
    <row r="227">
      <c r="A227" s="5" t="s">
        <v>371</v>
      </c>
      <c r="B227" s="5" t="s">
        <v>373</v>
      </c>
      <c r="C227" s="5" t="s">
        <v>76</v>
      </c>
      <c r="D227" s="5" t="s">
        <v>369</v>
      </c>
      <c r="E227" s="5" t="s">
        <v>77</v>
      </c>
      <c r="F227" s="5" t="s">
        <v>249</v>
      </c>
      <c r="G227" s="191">
        <v>2005.0</v>
      </c>
      <c r="H227" s="191">
        <v>0.100906437</v>
      </c>
      <c r="I227" s="191">
        <v>0.120506309</v>
      </c>
      <c r="J227" s="191">
        <v>0.082322907</v>
      </c>
      <c r="K227" s="5"/>
      <c r="L227" s="5"/>
      <c r="M227" s="5"/>
      <c r="N227" s="5"/>
      <c r="O227" s="5"/>
      <c r="P227" s="5"/>
      <c r="Q227" s="5"/>
      <c r="R227" s="5"/>
      <c r="S227" s="5"/>
      <c r="T227" s="5"/>
      <c r="U227" s="5"/>
      <c r="V227" s="5"/>
      <c r="W227" s="5"/>
      <c r="X227" s="5"/>
      <c r="Y227" s="5"/>
      <c r="Z227" s="5"/>
    </row>
    <row r="228">
      <c r="A228" s="5" t="s">
        <v>371</v>
      </c>
      <c r="B228" s="5" t="s">
        <v>373</v>
      </c>
      <c r="C228" s="5" t="s">
        <v>76</v>
      </c>
      <c r="D228" s="5" t="s">
        <v>370</v>
      </c>
      <c r="E228" s="5" t="s">
        <v>77</v>
      </c>
      <c r="F228" s="5" t="s">
        <v>249</v>
      </c>
      <c r="G228" s="191">
        <v>2005.0</v>
      </c>
      <c r="H228" s="191">
        <v>0.020085692</v>
      </c>
      <c r="I228" s="191">
        <v>0.023282236</v>
      </c>
      <c r="J228" s="191">
        <v>0.017038859</v>
      </c>
      <c r="K228" s="5"/>
      <c r="L228" s="5"/>
      <c r="M228" s="5"/>
      <c r="N228" s="5"/>
      <c r="O228" s="5"/>
      <c r="P228" s="5"/>
      <c r="Q228" s="5"/>
      <c r="R228" s="5"/>
      <c r="S228" s="5"/>
      <c r="T228" s="5"/>
      <c r="U228" s="5"/>
      <c r="V228" s="5"/>
      <c r="W228" s="5"/>
      <c r="X228" s="5"/>
      <c r="Y228" s="5"/>
      <c r="Z228" s="5"/>
    </row>
    <row r="229">
      <c r="A229" s="5" t="s">
        <v>74</v>
      </c>
      <c r="B229" s="5" t="s">
        <v>14</v>
      </c>
      <c r="C229" s="5" t="s">
        <v>76</v>
      </c>
      <c r="D229" s="5" t="s">
        <v>369</v>
      </c>
      <c r="E229" s="5" t="s">
        <v>77</v>
      </c>
      <c r="F229" s="5" t="s">
        <v>249</v>
      </c>
      <c r="G229" s="191">
        <v>2005.0</v>
      </c>
      <c r="H229" s="191">
        <v>0.06121077</v>
      </c>
      <c r="I229" s="191">
        <v>0.095290408</v>
      </c>
      <c r="J229" s="191">
        <v>0.035030698</v>
      </c>
      <c r="K229" s="5"/>
      <c r="L229" s="5"/>
      <c r="M229" s="5"/>
      <c r="N229" s="5"/>
      <c r="O229" s="5"/>
      <c r="P229" s="5"/>
      <c r="Q229" s="5"/>
      <c r="R229" s="5"/>
      <c r="S229" s="5"/>
      <c r="T229" s="5"/>
      <c r="U229" s="5"/>
      <c r="V229" s="5"/>
      <c r="W229" s="5"/>
      <c r="X229" s="5"/>
      <c r="Y229" s="5"/>
      <c r="Z229" s="5"/>
    </row>
    <row r="230">
      <c r="A230" s="5" t="s">
        <v>74</v>
      </c>
      <c r="B230" s="5" t="s">
        <v>14</v>
      </c>
      <c r="C230" s="5" t="s">
        <v>76</v>
      </c>
      <c r="D230" s="5" t="s">
        <v>370</v>
      </c>
      <c r="E230" s="5" t="s">
        <v>77</v>
      </c>
      <c r="F230" s="5" t="s">
        <v>249</v>
      </c>
      <c r="G230" s="191">
        <v>2005.0</v>
      </c>
      <c r="H230" s="191">
        <v>0.046401562</v>
      </c>
      <c r="I230" s="191">
        <v>0.064487836</v>
      </c>
      <c r="J230" s="191">
        <v>0.030828654</v>
      </c>
      <c r="K230" s="5"/>
      <c r="L230" s="5"/>
      <c r="M230" s="5"/>
      <c r="N230" s="5"/>
      <c r="O230" s="5"/>
      <c r="P230" s="5"/>
      <c r="Q230" s="5"/>
      <c r="R230" s="5"/>
      <c r="S230" s="5"/>
      <c r="T230" s="5"/>
      <c r="U230" s="5"/>
      <c r="V230" s="5"/>
      <c r="W230" s="5"/>
      <c r="X230" s="5"/>
      <c r="Y230" s="5"/>
      <c r="Z230" s="5"/>
    </row>
    <row r="231">
      <c r="A231" s="5" t="s">
        <v>371</v>
      </c>
      <c r="B231" s="5" t="s">
        <v>14</v>
      </c>
      <c r="C231" s="5" t="s">
        <v>76</v>
      </c>
      <c r="D231" s="5" t="s">
        <v>369</v>
      </c>
      <c r="E231" s="5" t="s">
        <v>77</v>
      </c>
      <c r="F231" s="5" t="s">
        <v>249</v>
      </c>
      <c r="G231" s="191">
        <v>2005.0</v>
      </c>
      <c r="H231" s="191">
        <v>0.076496263</v>
      </c>
      <c r="I231" s="191">
        <v>0.095907779</v>
      </c>
      <c r="J231" s="191">
        <v>0.059298767</v>
      </c>
      <c r="K231" s="5"/>
      <c r="L231" s="5"/>
      <c r="M231" s="5"/>
      <c r="N231" s="5"/>
      <c r="O231" s="5"/>
      <c r="P231" s="5"/>
      <c r="Q231" s="5"/>
      <c r="R231" s="5"/>
      <c r="S231" s="5"/>
      <c r="T231" s="5"/>
      <c r="U231" s="5"/>
      <c r="V231" s="5"/>
      <c r="W231" s="5"/>
      <c r="X231" s="5"/>
      <c r="Y231" s="5"/>
      <c r="Z231" s="5"/>
    </row>
    <row r="232">
      <c r="A232" s="5" t="s">
        <v>371</v>
      </c>
      <c r="B232" s="5" t="s">
        <v>14</v>
      </c>
      <c r="C232" s="5" t="s">
        <v>76</v>
      </c>
      <c r="D232" s="5" t="s">
        <v>370</v>
      </c>
      <c r="E232" s="5" t="s">
        <v>77</v>
      </c>
      <c r="F232" s="5" t="s">
        <v>249</v>
      </c>
      <c r="G232" s="191">
        <v>2005.0</v>
      </c>
      <c r="H232" s="191">
        <v>0.020625348</v>
      </c>
      <c r="I232" s="191">
        <v>0.023974028</v>
      </c>
      <c r="J232" s="191">
        <v>0.017557389</v>
      </c>
      <c r="K232" s="5"/>
      <c r="L232" s="5"/>
      <c r="M232" s="5"/>
      <c r="N232" s="5"/>
      <c r="O232" s="5"/>
      <c r="P232" s="5"/>
      <c r="Q232" s="5"/>
      <c r="R232" s="5"/>
      <c r="S232" s="5"/>
      <c r="T232" s="5"/>
      <c r="U232" s="5"/>
      <c r="V232" s="5"/>
      <c r="W232" s="5"/>
      <c r="X232" s="5"/>
      <c r="Y232" s="5"/>
      <c r="Z232" s="5"/>
    </row>
    <row r="233">
      <c r="A233" s="5" t="s">
        <v>74</v>
      </c>
      <c r="B233" s="5" t="s">
        <v>374</v>
      </c>
      <c r="C233" s="5" t="s">
        <v>76</v>
      </c>
      <c r="D233" s="5" t="s">
        <v>369</v>
      </c>
      <c r="E233" s="5" t="s">
        <v>77</v>
      </c>
      <c r="F233" s="5" t="s">
        <v>249</v>
      </c>
      <c r="G233" s="191">
        <v>2005.0</v>
      </c>
      <c r="H233" s="191">
        <v>0.010713465</v>
      </c>
      <c r="I233" s="191">
        <v>0.012499673</v>
      </c>
      <c r="J233" s="191">
        <v>0.009083492</v>
      </c>
      <c r="K233" s="5"/>
      <c r="L233" s="5"/>
      <c r="M233" s="5"/>
      <c r="N233" s="5"/>
      <c r="O233" s="5"/>
      <c r="P233" s="5"/>
      <c r="Q233" s="5"/>
      <c r="R233" s="5"/>
      <c r="S233" s="5"/>
      <c r="T233" s="5"/>
      <c r="U233" s="5"/>
      <c r="V233" s="5"/>
      <c r="W233" s="5"/>
      <c r="X233" s="5"/>
      <c r="Y233" s="5"/>
      <c r="Z233" s="5"/>
    </row>
    <row r="234">
      <c r="A234" s="5" t="s">
        <v>74</v>
      </c>
      <c r="B234" s="5" t="s">
        <v>374</v>
      </c>
      <c r="C234" s="5" t="s">
        <v>76</v>
      </c>
      <c r="D234" s="5" t="s">
        <v>370</v>
      </c>
      <c r="E234" s="5" t="s">
        <v>77</v>
      </c>
      <c r="F234" s="5" t="s">
        <v>249</v>
      </c>
      <c r="G234" s="191">
        <v>2005.0</v>
      </c>
      <c r="H234" s="191">
        <v>0.001626285</v>
      </c>
      <c r="I234" s="191">
        <v>0.001933101</v>
      </c>
      <c r="J234" s="191">
        <v>0.001360372</v>
      </c>
      <c r="K234" s="5"/>
      <c r="L234" s="5"/>
      <c r="M234" s="5"/>
      <c r="N234" s="5"/>
      <c r="O234" s="5"/>
      <c r="P234" s="5"/>
      <c r="Q234" s="5"/>
      <c r="R234" s="5"/>
      <c r="S234" s="5"/>
      <c r="T234" s="5"/>
      <c r="U234" s="5"/>
      <c r="V234" s="5"/>
      <c r="W234" s="5"/>
      <c r="X234" s="5"/>
      <c r="Y234" s="5"/>
      <c r="Z234" s="5"/>
    </row>
    <row r="235">
      <c r="A235" s="5" t="s">
        <v>371</v>
      </c>
      <c r="B235" s="5" t="s">
        <v>374</v>
      </c>
      <c r="C235" s="5" t="s">
        <v>76</v>
      </c>
      <c r="D235" s="5" t="s">
        <v>369</v>
      </c>
      <c r="E235" s="5" t="s">
        <v>77</v>
      </c>
      <c r="F235" s="5" t="s">
        <v>249</v>
      </c>
      <c r="G235" s="191">
        <v>2005.0</v>
      </c>
      <c r="H235" s="191">
        <v>0.031776405</v>
      </c>
      <c r="I235" s="191">
        <v>0.041010002</v>
      </c>
      <c r="J235" s="191">
        <v>0.02449067</v>
      </c>
      <c r="K235" s="5"/>
      <c r="L235" s="5"/>
      <c r="M235" s="5"/>
      <c r="N235" s="5"/>
      <c r="O235" s="5"/>
      <c r="P235" s="5"/>
      <c r="Q235" s="5"/>
      <c r="R235" s="5"/>
      <c r="S235" s="5"/>
      <c r="T235" s="5"/>
      <c r="U235" s="5"/>
      <c r="V235" s="5"/>
      <c r="W235" s="5"/>
      <c r="X235" s="5"/>
      <c r="Y235" s="5"/>
      <c r="Z235" s="5"/>
    </row>
    <row r="236">
      <c r="A236" s="5" t="s">
        <v>371</v>
      </c>
      <c r="B236" s="5" t="s">
        <v>374</v>
      </c>
      <c r="C236" s="5" t="s">
        <v>76</v>
      </c>
      <c r="D236" s="5" t="s">
        <v>370</v>
      </c>
      <c r="E236" s="5" t="s">
        <v>77</v>
      </c>
      <c r="F236" s="5" t="s">
        <v>249</v>
      </c>
      <c r="G236" s="191">
        <v>2005.0</v>
      </c>
      <c r="H236" s="191">
        <v>0.012781917</v>
      </c>
      <c r="I236" s="191">
        <v>0.01520372</v>
      </c>
      <c r="J236" s="191">
        <v>0.010592599</v>
      </c>
      <c r="K236" s="5"/>
      <c r="L236" s="5"/>
      <c r="M236" s="5"/>
      <c r="N236" s="5"/>
      <c r="O236" s="5"/>
      <c r="P236" s="5"/>
      <c r="Q236" s="5"/>
      <c r="R236" s="5"/>
      <c r="S236" s="5"/>
      <c r="T236" s="5"/>
      <c r="U236" s="5"/>
      <c r="V236" s="5"/>
      <c r="W236" s="5"/>
      <c r="X236" s="5"/>
      <c r="Y236" s="5"/>
      <c r="Z236" s="5"/>
    </row>
    <row r="237">
      <c r="A237" s="5" t="s">
        <v>74</v>
      </c>
      <c r="B237" s="5" t="s">
        <v>375</v>
      </c>
      <c r="C237" s="5" t="s">
        <v>76</v>
      </c>
      <c r="D237" s="5" t="s">
        <v>369</v>
      </c>
      <c r="E237" s="5" t="s">
        <v>77</v>
      </c>
      <c r="F237" s="5" t="s">
        <v>249</v>
      </c>
      <c r="G237" s="191">
        <v>2005.0</v>
      </c>
      <c r="H237" s="191">
        <v>0.15946359</v>
      </c>
      <c r="I237" s="191">
        <v>0.217811126</v>
      </c>
      <c r="J237" s="191">
        <v>0.111893256</v>
      </c>
      <c r="K237" s="5"/>
      <c r="L237" s="5"/>
      <c r="M237" s="5"/>
      <c r="N237" s="5"/>
      <c r="O237" s="5"/>
      <c r="P237" s="5"/>
      <c r="Q237" s="5"/>
      <c r="R237" s="5"/>
      <c r="S237" s="5"/>
      <c r="T237" s="5"/>
      <c r="U237" s="5"/>
      <c r="V237" s="5"/>
      <c r="W237" s="5"/>
      <c r="X237" s="5"/>
      <c r="Y237" s="5"/>
      <c r="Z237" s="5"/>
    </row>
    <row r="238">
      <c r="A238" s="5" t="s">
        <v>74</v>
      </c>
      <c r="B238" s="5" t="s">
        <v>375</v>
      </c>
      <c r="C238" s="5" t="s">
        <v>76</v>
      </c>
      <c r="D238" s="5" t="s">
        <v>370</v>
      </c>
      <c r="E238" s="5" t="s">
        <v>77</v>
      </c>
      <c r="F238" s="5" t="s">
        <v>249</v>
      </c>
      <c r="G238" s="191">
        <v>2005.0</v>
      </c>
      <c r="H238" s="191">
        <v>0.080851238</v>
      </c>
      <c r="I238" s="191">
        <v>0.107141155</v>
      </c>
      <c r="J238" s="191">
        <v>0.058962479</v>
      </c>
      <c r="K238" s="5"/>
      <c r="L238" s="5"/>
      <c r="M238" s="5"/>
      <c r="N238" s="5"/>
      <c r="O238" s="5"/>
      <c r="P238" s="5"/>
      <c r="Q238" s="5"/>
      <c r="R238" s="5"/>
      <c r="S238" s="5"/>
      <c r="T238" s="5"/>
      <c r="U238" s="5"/>
      <c r="V238" s="5"/>
      <c r="W238" s="5"/>
      <c r="X238" s="5"/>
      <c r="Y238" s="5"/>
      <c r="Z238" s="5"/>
    </row>
    <row r="239">
      <c r="A239" s="5" t="s">
        <v>371</v>
      </c>
      <c r="B239" s="5" t="s">
        <v>375</v>
      </c>
      <c r="C239" s="5" t="s">
        <v>76</v>
      </c>
      <c r="D239" s="5" t="s">
        <v>369</v>
      </c>
      <c r="E239" s="5" t="s">
        <v>77</v>
      </c>
      <c r="F239" s="5" t="s">
        <v>249</v>
      </c>
      <c r="G239" s="191">
        <v>2005.0</v>
      </c>
      <c r="H239" s="191">
        <v>0.080972899</v>
      </c>
      <c r="I239" s="191">
        <v>0.099445762</v>
      </c>
      <c r="J239" s="191">
        <v>0.064635627</v>
      </c>
      <c r="K239" s="5"/>
      <c r="L239" s="5"/>
      <c r="M239" s="5"/>
      <c r="N239" s="5"/>
      <c r="O239" s="5"/>
      <c r="P239" s="5"/>
      <c r="Q239" s="5"/>
      <c r="R239" s="5"/>
      <c r="S239" s="5"/>
      <c r="T239" s="5"/>
      <c r="U239" s="5"/>
      <c r="V239" s="5"/>
      <c r="W239" s="5"/>
      <c r="X239" s="5"/>
      <c r="Y239" s="5"/>
      <c r="Z239" s="5"/>
    </row>
    <row r="240">
      <c r="A240" s="5" t="s">
        <v>371</v>
      </c>
      <c r="B240" s="5" t="s">
        <v>375</v>
      </c>
      <c r="C240" s="5" t="s">
        <v>76</v>
      </c>
      <c r="D240" s="5" t="s">
        <v>370</v>
      </c>
      <c r="E240" s="5" t="s">
        <v>77</v>
      </c>
      <c r="F240" s="5" t="s">
        <v>249</v>
      </c>
      <c r="G240" s="191">
        <v>2005.0</v>
      </c>
      <c r="H240" s="191">
        <v>0.024798561</v>
      </c>
      <c r="I240" s="191">
        <v>0.028517772</v>
      </c>
      <c r="J240" s="191">
        <v>0.021206623</v>
      </c>
      <c r="K240" s="5"/>
      <c r="L240" s="5"/>
      <c r="M240" s="5"/>
      <c r="N240" s="5"/>
      <c r="O240" s="5"/>
      <c r="P240" s="5"/>
      <c r="Q240" s="5"/>
      <c r="R240" s="5"/>
      <c r="S240" s="5"/>
      <c r="T240" s="5"/>
      <c r="U240" s="5"/>
      <c r="V240" s="5"/>
      <c r="W240" s="5"/>
      <c r="X240" s="5"/>
      <c r="Y240" s="5"/>
      <c r="Z240" s="5"/>
    </row>
    <row r="241">
      <c r="A241" s="5" t="s">
        <v>74</v>
      </c>
      <c r="B241" s="5" t="s">
        <v>365</v>
      </c>
      <c r="C241" s="5" t="s">
        <v>76</v>
      </c>
      <c r="D241" s="5" t="s">
        <v>369</v>
      </c>
      <c r="E241" s="5" t="s">
        <v>77</v>
      </c>
      <c r="F241" s="5" t="s">
        <v>249</v>
      </c>
      <c r="G241" s="191">
        <v>2005.0</v>
      </c>
      <c r="H241" s="191">
        <v>0.04088886</v>
      </c>
      <c r="I241" s="191">
        <v>0.064329096</v>
      </c>
      <c r="J241" s="191">
        <v>0.024088864</v>
      </c>
      <c r="K241" s="5"/>
      <c r="L241" s="5"/>
      <c r="M241" s="5"/>
      <c r="N241" s="5"/>
      <c r="O241" s="5"/>
      <c r="P241" s="5"/>
      <c r="Q241" s="5"/>
      <c r="R241" s="5"/>
      <c r="S241" s="5"/>
      <c r="T241" s="5"/>
      <c r="U241" s="5"/>
      <c r="V241" s="5"/>
      <c r="W241" s="5"/>
      <c r="X241" s="5"/>
      <c r="Y241" s="5"/>
      <c r="Z241" s="5"/>
    </row>
    <row r="242">
      <c r="A242" s="5" t="s">
        <v>74</v>
      </c>
      <c r="B242" s="5" t="s">
        <v>365</v>
      </c>
      <c r="C242" s="5" t="s">
        <v>76</v>
      </c>
      <c r="D242" s="5" t="s">
        <v>370</v>
      </c>
      <c r="E242" s="5" t="s">
        <v>77</v>
      </c>
      <c r="F242" s="5" t="s">
        <v>249</v>
      </c>
      <c r="G242" s="191">
        <v>2005.0</v>
      </c>
      <c r="H242" s="191">
        <v>0.023269716</v>
      </c>
      <c r="I242" s="191">
        <v>0.032883653</v>
      </c>
      <c r="J242" s="191">
        <v>0.014779032</v>
      </c>
      <c r="K242" s="5"/>
      <c r="L242" s="5"/>
      <c r="M242" s="5"/>
      <c r="N242" s="5"/>
      <c r="O242" s="5"/>
      <c r="P242" s="5"/>
      <c r="Q242" s="5"/>
      <c r="R242" s="5"/>
      <c r="S242" s="5"/>
      <c r="T242" s="5"/>
      <c r="U242" s="5"/>
      <c r="V242" s="5"/>
      <c r="W242" s="5"/>
      <c r="X242" s="5"/>
      <c r="Y242" s="5"/>
      <c r="Z242" s="5"/>
    </row>
    <row r="243">
      <c r="A243" s="5" t="s">
        <v>371</v>
      </c>
      <c r="B243" s="5" t="s">
        <v>365</v>
      </c>
      <c r="C243" s="5" t="s">
        <v>76</v>
      </c>
      <c r="D243" s="5" t="s">
        <v>369</v>
      </c>
      <c r="E243" s="5" t="s">
        <v>77</v>
      </c>
      <c r="F243" s="5" t="s">
        <v>249</v>
      </c>
      <c r="G243" s="191">
        <v>2005.0</v>
      </c>
      <c r="H243" s="191">
        <v>0.078715418</v>
      </c>
      <c r="I243" s="191">
        <v>0.095680256</v>
      </c>
      <c r="J243" s="191">
        <v>0.062510588</v>
      </c>
      <c r="K243" s="5"/>
      <c r="L243" s="5"/>
      <c r="M243" s="5"/>
      <c r="N243" s="5"/>
      <c r="O243" s="5"/>
      <c r="P243" s="5"/>
      <c r="Q243" s="5"/>
      <c r="R243" s="5"/>
      <c r="S243" s="5"/>
      <c r="T243" s="5"/>
      <c r="U243" s="5"/>
      <c r="V243" s="5"/>
      <c r="W243" s="5"/>
      <c r="X243" s="5"/>
      <c r="Y243" s="5"/>
      <c r="Z243" s="5"/>
    </row>
    <row r="244">
      <c r="A244" s="5" t="s">
        <v>371</v>
      </c>
      <c r="B244" s="5" t="s">
        <v>365</v>
      </c>
      <c r="C244" s="5" t="s">
        <v>76</v>
      </c>
      <c r="D244" s="5" t="s">
        <v>370</v>
      </c>
      <c r="E244" s="5" t="s">
        <v>77</v>
      </c>
      <c r="F244" s="5" t="s">
        <v>249</v>
      </c>
      <c r="G244" s="191">
        <v>2005.0</v>
      </c>
      <c r="H244" s="191">
        <v>0.018385164</v>
      </c>
      <c r="I244" s="191">
        <v>0.021103446</v>
      </c>
      <c r="J244" s="191">
        <v>0.015788102</v>
      </c>
      <c r="K244" s="5"/>
      <c r="L244" s="5"/>
      <c r="M244" s="5"/>
      <c r="N244" s="5"/>
      <c r="O244" s="5"/>
      <c r="P244" s="5"/>
      <c r="Q244" s="5"/>
      <c r="R244" s="5"/>
      <c r="S244" s="5"/>
      <c r="T244" s="5"/>
      <c r="U244" s="5"/>
      <c r="V244" s="5"/>
      <c r="W244" s="5"/>
      <c r="X244" s="5"/>
      <c r="Y244" s="5"/>
      <c r="Z244" s="5"/>
    </row>
    <row r="245">
      <c r="A245" s="5" t="s">
        <v>74</v>
      </c>
      <c r="B245" s="5" t="s">
        <v>362</v>
      </c>
      <c r="C245" s="5" t="s">
        <v>76</v>
      </c>
      <c r="D245" s="5" t="s">
        <v>369</v>
      </c>
      <c r="E245" s="5" t="s">
        <v>77</v>
      </c>
      <c r="F245" s="5" t="s">
        <v>249</v>
      </c>
      <c r="G245" s="191">
        <v>2010.0</v>
      </c>
      <c r="H245" s="191">
        <v>0.055891986</v>
      </c>
      <c r="I245" s="191">
        <v>0.077335201</v>
      </c>
      <c r="J245" s="191">
        <v>0.039472778</v>
      </c>
      <c r="K245" s="5"/>
      <c r="L245" s="5"/>
      <c r="M245" s="5"/>
      <c r="N245" s="5"/>
      <c r="O245" s="5"/>
      <c r="P245" s="5"/>
      <c r="Q245" s="5"/>
      <c r="R245" s="5"/>
      <c r="S245" s="5"/>
      <c r="T245" s="5"/>
      <c r="U245" s="5"/>
      <c r="V245" s="5"/>
      <c r="W245" s="5"/>
      <c r="X245" s="5"/>
      <c r="Y245" s="5"/>
      <c r="Z245" s="5"/>
    </row>
    <row r="246">
      <c r="A246" s="5" t="s">
        <v>74</v>
      </c>
      <c r="B246" s="5" t="s">
        <v>362</v>
      </c>
      <c r="C246" s="5" t="s">
        <v>76</v>
      </c>
      <c r="D246" s="5" t="s">
        <v>370</v>
      </c>
      <c r="E246" s="5" t="s">
        <v>77</v>
      </c>
      <c r="F246" s="5" t="s">
        <v>249</v>
      </c>
      <c r="G246" s="191">
        <v>2010.0</v>
      </c>
      <c r="H246" s="191">
        <v>0.055508861</v>
      </c>
      <c r="I246" s="191">
        <v>0.093692981</v>
      </c>
      <c r="J246" s="191">
        <v>0.034457699</v>
      </c>
      <c r="K246" s="5"/>
      <c r="L246" s="5"/>
      <c r="M246" s="5"/>
      <c r="N246" s="5"/>
      <c r="O246" s="5"/>
      <c r="P246" s="5"/>
      <c r="Q246" s="5"/>
      <c r="R246" s="5"/>
      <c r="S246" s="5"/>
      <c r="T246" s="5"/>
      <c r="U246" s="5"/>
      <c r="V246" s="5"/>
      <c r="W246" s="5"/>
      <c r="X246" s="5"/>
      <c r="Y246" s="5"/>
      <c r="Z246" s="5"/>
    </row>
    <row r="247">
      <c r="A247" s="5" t="s">
        <v>371</v>
      </c>
      <c r="B247" s="5" t="s">
        <v>362</v>
      </c>
      <c r="C247" s="5" t="s">
        <v>76</v>
      </c>
      <c r="D247" s="5" t="s">
        <v>369</v>
      </c>
      <c r="E247" s="5" t="s">
        <v>77</v>
      </c>
      <c r="F247" s="5" t="s">
        <v>249</v>
      </c>
      <c r="G247" s="191">
        <v>2010.0</v>
      </c>
      <c r="H247" s="191">
        <v>0.041391216</v>
      </c>
      <c r="I247" s="191">
        <v>0.052069608</v>
      </c>
      <c r="J247" s="191">
        <v>0.032378082</v>
      </c>
      <c r="K247" s="5"/>
      <c r="L247" s="5"/>
      <c r="M247" s="5"/>
      <c r="N247" s="5"/>
      <c r="O247" s="5"/>
      <c r="P247" s="5"/>
      <c r="Q247" s="5"/>
      <c r="R247" s="5"/>
      <c r="S247" s="5"/>
      <c r="T247" s="5"/>
      <c r="U247" s="5"/>
      <c r="V247" s="5"/>
      <c r="W247" s="5"/>
      <c r="X247" s="5"/>
      <c r="Y247" s="5"/>
      <c r="Z247" s="5"/>
    </row>
    <row r="248">
      <c r="A248" s="5" t="s">
        <v>371</v>
      </c>
      <c r="B248" s="5" t="s">
        <v>362</v>
      </c>
      <c r="C248" s="5" t="s">
        <v>76</v>
      </c>
      <c r="D248" s="5" t="s">
        <v>370</v>
      </c>
      <c r="E248" s="5" t="s">
        <v>77</v>
      </c>
      <c r="F248" s="5" t="s">
        <v>249</v>
      </c>
      <c r="G248" s="191">
        <v>2010.0</v>
      </c>
      <c r="H248" s="191">
        <v>0.021013545</v>
      </c>
      <c r="I248" s="191">
        <v>0.024498751</v>
      </c>
      <c r="J248" s="191">
        <v>0.017869854</v>
      </c>
      <c r="K248" s="5"/>
      <c r="L248" s="5"/>
      <c r="M248" s="5"/>
      <c r="N248" s="5"/>
      <c r="O248" s="5"/>
      <c r="P248" s="5"/>
      <c r="Q248" s="5"/>
      <c r="R248" s="5"/>
      <c r="S248" s="5"/>
      <c r="T248" s="5"/>
      <c r="U248" s="5"/>
      <c r="V248" s="5"/>
      <c r="W248" s="5"/>
      <c r="X248" s="5"/>
      <c r="Y248" s="5"/>
      <c r="Z248" s="5"/>
    </row>
    <row r="249">
      <c r="A249" s="5" t="s">
        <v>74</v>
      </c>
      <c r="B249" s="5" t="s">
        <v>358</v>
      </c>
      <c r="C249" s="5" t="s">
        <v>76</v>
      </c>
      <c r="D249" s="5" t="s">
        <v>369</v>
      </c>
      <c r="E249" s="5" t="s">
        <v>77</v>
      </c>
      <c r="F249" s="5" t="s">
        <v>249</v>
      </c>
      <c r="G249" s="191">
        <v>2010.0</v>
      </c>
      <c r="H249" s="191">
        <v>0.139107481</v>
      </c>
      <c r="I249" s="191">
        <v>0.156766545</v>
      </c>
      <c r="J249" s="191">
        <v>0.122088687</v>
      </c>
      <c r="K249" s="5"/>
      <c r="L249" s="5"/>
      <c r="M249" s="5"/>
      <c r="N249" s="5"/>
      <c r="O249" s="5"/>
      <c r="P249" s="5"/>
      <c r="Q249" s="5"/>
      <c r="R249" s="5"/>
      <c r="S249" s="5"/>
      <c r="T249" s="5"/>
      <c r="U249" s="5"/>
      <c r="V249" s="5"/>
      <c r="W249" s="5"/>
      <c r="X249" s="5"/>
      <c r="Y249" s="5"/>
      <c r="Z249" s="5"/>
    </row>
    <row r="250">
      <c r="A250" s="5" t="s">
        <v>74</v>
      </c>
      <c r="B250" s="5" t="s">
        <v>358</v>
      </c>
      <c r="C250" s="5" t="s">
        <v>76</v>
      </c>
      <c r="D250" s="5" t="s">
        <v>370</v>
      </c>
      <c r="E250" s="5" t="s">
        <v>77</v>
      </c>
      <c r="F250" s="5" t="s">
        <v>249</v>
      </c>
      <c r="G250" s="191">
        <v>2010.0</v>
      </c>
      <c r="H250" s="191">
        <v>0.044755814</v>
      </c>
      <c r="I250" s="191">
        <v>0.049550628</v>
      </c>
      <c r="J250" s="191">
        <v>0.040769615</v>
      </c>
      <c r="K250" s="5"/>
      <c r="L250" s="5"/>
      <c r="M250" s="5"/>
      <c r="N250" s="5"/>
      <c r="O250" s="5"/>
      <c r="P250" s="5"/>
      <c r="Q250" s="5"/>
      <c r="R250" s="5"/>
      <c r="S250" s="5"/>
      <c r="T250" s="5"/>
      <c r="U250" s="5"/>
      <c r="V250" s="5"/>
      <c r="W250" s="5"/>
      <c r="X250" s="5"/>
      <c r="Y250" s="5"/>
      <c r="Z250" s="5"/>
    </row>
    <row r="251">
      <c r="A251" s="5" t="s">
        <v>371</v>
      </c>
      <c r="B251" s="5" t="s">
        <v>358</v>
      </c>
      <c r="C251" s="5" t="s">
        <v>76</v>
      </c>
      <c r="D251" s="5" t="s">
        <v>369</v>
      </c>
      <c r="E251" s="5" t="s">
        <v>77</v>
      </c>
      <c r="F251" s="5" t="s">
        <v>249</v>
      </c>
      <c r="G251" s="191">
        <v>2010.0</v>
      </c>
      <c r="H251" s="191">
        <v>0.113047212</v>
      </c>
      <c r="I251" s="191">
        <v>0.140124691</v>
      </c>
      <c r="J251" s="191">
        <v>0.090027104</v>
      </c>
      <c r="K251" s="5"/>
      <c r="L251" s="5"/>
      <c r="M251" s="5"/>
      <c r="N251" s="5"/>
      <c r="O251" s="5"/>
      <c r="P251" s="5"/>
      <c r="Q251" s="5"/>
      <c r="R251" s="5"/>
      <c r="S251" s="5"/>
      <c r="T251" s="5"/>
      <c r="U251" s="5"/>
      <c r="V251" s="5"/>
      <c r="W251" s="5"/>
      <c r="X251" s="5"/>
      <c r="Y251" s="5"/>
      <c r="Z251" s="5"/>
    </row>
    <row r="252">
      <c r="A252" s="5" t="s">
        <v>371</v>
      </c>
      <c r="B252" s="5" t="s">
        <v>358</v>
      </c>
      <c r="C252" s="5" t="s">
        <v>76</v>
      </c>
      <c r="D252" s="5" t="s">
        <v>370</v>
      </c>
      <c r="E252" s="5" t="s">
        <v>77</v>
      </c>
      <c r="F252" s="5" t="s">
        <v>249</v>
      </c>
      <c r="G252" s="191">
        <v>2010.0</v>
      </c>
      <c r="H252" s="191">
        <v>0.022598781</v>
      </c>
      <c r="I252" s="191">
        <v>0.025885511</v>
      </c>
      <c r="J252" s="191">
        <v>0.019559852</v>
      </c>
      <c r="K252" s="5"/>
      <c r="L252" s="5"/>
      <c r="M252" s="5"/>
      <c r="N252" s="5"/>
      <c r="O252" s="5"/>
      <c r="P252" s="5"/>
      <c r="Q252" s="5"/>
      <c r="R252" s="5"/>
      <c r="S252" s="5"/>
      <c r="T252" s="5"/>
      <c r="U252" s="5"/>
      <c r="V252" s="5"/>
      <c r="W252" s="5"/>
      <c r="X252" s="5"/>
      <c r="Y252" s="5"/>
      <c r="Z252" s="5"/>
    </row>
    <row r="253">
      <c r="A253" s="5" t="s">
        <v>74</v>
      </c>
      <c r="B253" s="5" t="s">
        <v>360</v>
      </c>
      <c r="C253" s="5" t="s">
        <v>76</v>
      </c>
      <c r="D253" s="5" t="s">
        <v>369</v>
      </c>
      <c r="E253" s="5" t="s">
        <v>77</v>
      </c>
      <c r="F253" s="5" t="s">
        <v>249</v>
      </c>
      <c r="G253" s="191">
        <v>2010.0</v>
      </c>
      <c r="H253" s="191">
        <v>0.113058168</v>
      </c>
      <c r="I253" s="191">
        <v>0.131255416</v>
      </c>
      <c r="J253" s="191">
        <v>0.094505365</v>
      </c>
      <c r="K253" s="5"/>
      <c r="L253" s="5"/>
      <c r="M253" s="5"/>
      <c r="N253" s="5"/>
      <c r="O253" s="5"/>
      <c r="P253" s="5"/>
      <c r="Q253" s="5"/>
      <c r="R253" s="5"/>
      <c r="S253" s="5"/>
      <c r="T253" s="5"/>
      <c r="U253" s="5"/>
      <c r="V253" s="5"/>
      <c r="W253" s="5"/>
      <c r="X253" s="5"/>
      <c r="Y253" s="5"/>
      <c r="Z253" s="5"/>
    </row>
    <row r="254">
      <c r="A254" s="5" t="s">
        <v>74</v>
      </c>
      <c r="B254" s="5" t="s">
        <v>360</v>
      </c>
      <c r="C254" s="5" t="s">
        <v>76</v>
      </c>
      <c r="D254" s="5" t="s">
        <v>370</v>
      </c>
      <c r="E254" s="5" t="s">
        <v>77</v>
      </c>
      <c r="F254" s="5" t="s">
        <v>249</v>
      </c>
      <c r="G254" s="191">
        <v>2010.0</v>
      </c>
      <c r="H254" s="191">
        <v>0.102226966</v>
      </c>
      <c r="I254" s="191">
        <v>0.145921897</v>
      </c>
      <c r="J254" s="191">
        <v>0.072145324</v>
      </c>
      <c r="K254" s="5"/>
      <c r="L254" s="5"/>
      <c r="M254" s="5"/>
      <c r="N254" s="5"/>
      <c r="O254" s="5"/>
      <c r="P254" s="5"/>
      <c r="Q254" s="5"/>
      <c r="R254" s="5"/>
      <c r="S254" s="5"/>
      <c r="T254" s="5"/>
      <c r="U254" s="5"/>
      <c r="V254" s="5"/>
      <c r="W254" s="5"/>
      <c r="X254" s="5"/>
      <c r="Y254" s="5"/>
      <c r="Z254" s="5"/>
    </row>
    <row r="255">
      <c r="A255" s="5" t="s">
        <v>371</v>
      </c>
      <c r="B255" s="5" t="s">
        <v>360</v>
      </c>
      <c r="C255" s="5" t="s">
        <v>76</v>
      </c>
      <c r="D255" s="5" t="s">
        <v>369</v>
      </c>
      <c r="E255" s="5" t="s">
        <v>77</v>
      </c>
      <c r="F255" s="5" t="s">
        <v>249</v>
      </c>
      <c r="G255" s="191">
        <v>2010.0</v>
      </c>
      <c r="H255" s="191">
        <v>0.039028625</v>
      </c>
      <c r="I255" s="191">
        <v>0.048002623</v>
      </c>
      <c r="J255" s="191">
        <v>0.031105782</v>
      </c>
      <c r="K255" s="5"/>
      <c r="L255" s="5"/>
      <c r="M255" s="5"/>
      <c r="N255" s="5"/>
      <c r="O255" s="5"/>
      <c r="P255" s="5"/>
      <c r="Q255" s="5"/>
      <c r="R255" s="5"/>
      <c r="S255" s="5"/>
      <c r="T255" s="5"/>
      <c r="U255" s="5"/>
      <c r="V255" s="5"/>
      <c r="W255" s="5"/>
      <c r="X255" s="5"/>
      <c r="Y255" s="5"/>
      <c r="Z255" s="5"/>
    </row>
    <row r="256">
      <c r="A256" s="5" t="s">
        <v>371</v>
      </c>
      <c r="B256" s="5" t="s">
        <v>360</v>
      </c>
      <c r="C256" s="5" t="s">
        <v>76</v>
      </c>
      <c r="D256" s="5" t="s">
        <v>370</v>
      </c>
      <c r="E256" s="5" t="s">
        <v>77</v>
      </c>
      <c r="F256" s="5" t="s">
        <v>249</v>
      </c>
      <c r="G256" s="191">
        <v>2010.0</v>
      </c>
      <c r="H256" s="191">
        <v>0.016465293</v>
      </c>
      <c r="I256" s="191">
        <v>0.019014859</v>
      </c>
      <c r="J256" s="191">
        <v>0.014228924</v>
      </c>
      <c r="K256" s="5"/>
      <c r="L256" s="5"/>
      <c r="M256" s="5"/>
      <c r="N256" s="5"/>
      <c r="O256" s="5"/>
      <c r="P256" s="5"/>
      <c r="Q256" s="5"/>
      <c r="R256" s="5"/>
      <c r="S256" s="5"/>
      <c r="T256" s="5"/>
      <c r="U256" s="5"/>
      <c r="V256" s="5"/>
      <c r="W256" s="5"/>
      <c r="X256" s="5"/>
      <c r="Y256" s="5"/>
      <c r="Z256" s="5"/>
    </row>
    <row r="257">
      <c r="A257" s="5" t="s">
        <v>74</v>
      </c>
      <c r="B257" s="5" t="s">
        <v>11</v>
      </c>
      <c r="C257" s="5" t="s">
        <v>76</v>
      </c>
      <c r="D257" s="5" t="s">
        <v>369</v>
      </c>
      <c r="E257" s="5" t="s">
        <v>77</v>
      </c>
      <c r="F257" s="5" t="s">
        <v>249</v>
      </c>
      <c r="G257" s="191">
        <v>2010.0</v>
      </c>
      <c r="H257" s="191">
        <v>0.229025456</v>
      </c>
      <c r="I257" s="191">
        <v>0.274055411</v>
      </c>
      <c r="J257" s="191">
        <v>0.161701035</v>
      </c>
      <c r="K257" s="5"/>
      <c r="L257" s="5"/>
      <c r="M257" s="5"/>
      <c r="N257" s="5"/>
      <c r="O257" s="5"/>
      <c r="P257" s="5"/>
      <c r="Q257" s="5"/>
      <c r="R257" s="5"/>
      <c r="S257" s="5"/>
      <c r="T257" s="5"/>
      <c r="U257" s="5"/>
      <c r="V257" s="5"/>
      <c r="W257" s="5"/>
      <c r="X257" s="5"/>
      <c r="Y257" s="5"/>
      <c r="Z257" s="5"/>
    </row>
    <row r="258">
      <c r="A258" s="5" t="s">
        <v>74</v>
      </c>
      <c r="B258" s="5" t="s">
        <v>11</v>
      </c>
      <c r="C258" s="5" t="s">
        <v>76</v>
      </c>
      <c r="D258" s="5" t="s">
        <v>370</v>
      </c>
      <c r="E258" s="5" t="s">
        <v>77</v>
      </c>
      <c r="F258" s="5" t="s">
        <v>249</v>
      </c>
      <c r="G258" s="191">
        <v>2010.0</v>
      </c>
      <c r="H258" s="191">
        <v>0.098579106</v>
      </c>
      <c r="I258" s="191">
        <v>0.126584101</v>
      </c>
      <c r="J258" s="191">
        <v>0.073972989</v>
      </c>
      <c r="K258" s="5"/>
      <c r="L258" s="5"/>
      <c r="M258" s="5"/>
      <c r="N258" s="5"/>
      <c r="O258" s="5"/>
      <c r="P258" s="5"/>
      <c r="Q258" s="5"/>
      <c r="R258" s="5"/>
      <c r="S258" s="5"/>
      <c r="T258" s="5"/>
      <c r="U258" s="5"/>
      <c r="V258" s="5"/>
      <c r="W258" s="5"/>
      <c r="X258" s="5"/>
      <c r="Y258" s="5"/>
      <c r="Z258" s="5"/>
    </row>
    <row r="259">
      <c r="A259" s="5" t="s">
        <v>371</v>
      </c>
      <c r="B259" s="5" t="s">
        <v>11</v>
      </c>
      <c r="C259" s="5" t="s">
        <v>76</v>
      </c>
      <c r="D259" s="5" t="s">
        <v>369</v>
      </c>
      <c r="E259" s="5" t="s">
        <v>77</v>
      </c>
      <c r="F259" s="5" t="s">
        <v>249</v>
      </c>
      <c r="G259" s="191">
        <v>2010.0</v>
      </c>
      <c r="H259" s="191">
        <v>0.077808754</v>
      </c>
      <c r="I259" s="191">
        <v>0.095431977</v>
      </c>
      <c r="J259" s="191">
        <v>0.062728432</v>
      </c>
      <c r="K259" s="5"/>
      <c r="L259" s="5"/>
      <c r="M259" s="5"/>
      <c r="N259" s="5"/>
      <c r="O259" s="5"/>
      <c r="P259" s="5"/>
      <c r="Q259" s="5"/>
      <c r="R259" s="5"/>
      <c r="S259" s="5"/>
      <c r="T259" s="5"/>
      <c r="U259" s="5"/>
      <c r="V259" s="5"/>
      <c r="W259" s="5"/>
      <c r="X259" s="5"/>
      <c r="Y259" s="5"/>
      <c r="Z259" s="5"/>
    </row>
    <row r="260">
      <c r="A260" s="5" t="s">
        <v>371</v>
      </c>
      <c r="B260" s="5" t="s">
        <v>11</v>
      </c>
      <c r="C260" s="5" t="s">
        <v>76</v>
      </c>
      <c r="D260" s="5" t="s">
        <v>370</v>
      </c>
      <c r="E260" s="5" t="s">
        <v>77</v>
      </c>
      <c r="F260" s="5" t="s">
        <v>249</v>
      </c>
      <c r="G260" s="191">
        <v>2010.0</v>
      </c>
      <c r="H260" s="191">
        <v>0.01985131</v>
      </c>
      <c r="I260" s="191">
        <v>0.022853526</v>
      </c>
      <c r="J260" s="191">
        <v>0.017311145</v>
      </c>
      <c r="K260" s="5"/>
      <c r="L260" s="5"/>
      <c r="M260" s="5"/>
      <c r="N260" s="5"/>
      <c r="O260" s="5"/>
      <c r="P260" s="5"/>
      <c r="Q260" s="5"/>
      <c r="R260" s="5"/>
      <c r="S260" s="5"/>
      <c r="T260" s="5"/>
      <c r="U260" s="5"/>
      <c r="V260" s="5"/>
      <c r="W260" s="5"/>
      <c r="X260" s="5"/>
      <c r="Y260" s="5"/>
      <c r="Z260" s="5"/>
    </row>
    <row r="261">
      <c r="A261" s="5" t="s">
        <v>74</v>
      </c>
      <c r="B261" s="5" t="s">
        <v>15</v>
      </c>
      <c r="C261" s="5" t="s">
        <v>76</v>
      </c>
      <c r="D261" s="5" t="s">
        <v>369</v>
      </c>
      <c r="E261" s="5" t="s">
        <v>77</v>
      </c>
      <c r="F261" s="5" t="s">
        <v>249</v>
      </c>
      <c r="G261" s="191">
        <v>2010.0</v>
      </c>
      <c r="H261" s="191">
        <v>0.108166741</v>
      </c>
      <c r="I261" s="191">
        <v>0.146003174</v>
      </c>
      <c r="J261" s="191">
        <v>0.078601478</v>
      </c>
      <c r="K261" s="5"/>
      <c r="L261" s="5"/>
      <c r="M261" s="5"/>
      <c r="N261" s="5"/>
      <c r="O261" s="5"/>
      <c r="P261" s="5"/>
      <c r="Q261" s="5"/>
      <c r="R261" s="5"/>
      <c r="S261" s="5"/>
      <c r="T261" s="5"/>
      <c r="U261" s="5"/>
      <c r="V261" s="5"/>
      <c r="W261" s="5"/>
      <c r="X261" s="5"/>
      <c r="Y261" s="5"/>
      <c r="Z261" s="5"/>
    </row>
    <row r="262">
      <c r="A262" s="5" t="s">
        <v>74</v>
      </c>
      <c r="B262" s="5" t="s">
        <v>15</v>
      </c>
      <c r="C262" s="5" t="s">
        <v>76</v>
      </c>
      <c r="D262" s="5" t="s">
        <v>370</v>
      </c>
      <c r="E262" s="5" t="s">
        <v>77</v>
      </c>
      <c r="F262" s="5" t="s">
        <v>249</v>
      </c>
      <c r="G262" s="191">
        <v>2010.0</v>
      </c>
      <c r="H262" s="191">
        <v>0.070458328</v>
      </c>
      <c r="I262" s="191">
        <v>0.092653029</v>
      </c>
      <c r="J262" s="191">
        <v>0.053228692</v>
      </c>
      <c r="K262" s="5"/>
      <c r="L262" s="5"/>
      <c r="M262" s="5"/>
      <c r="N262" s="5"/>
      <c r="O262" s="5"/>
      <c r="P262" s="5"/>
      <c r="Q262" s="5"/>
      <c r="R262" s="5"/>
      <c r="S262" s="5"/>
      <c r="T262" s="5"/>
      <c r="U262" s="5"/>
      <c r="V262" s="5"/>
      <c r="W262" s="5"/>
      <c r="X262" s="5"/>
      <c r="Y262" s="5"/>
      <c r="Z262" s="5"/>
    </row>
    <row r="263">
      <c r="A263" s="5" t="s">
        <v>371</v>
      </c>
      <c r="B263" s="5" t="s">
        <v>15</v>
      </c>
      <c r="C263" s="5" t="s">
        <v>76</v>
      </c>
      <c r="D263" s="5" t="s">
        <v>369</v>
      </c>
      <c r="E263" s="5" t="s">
        <v>77</v>
      </c>
      <c r="F263" s="5" t="s">
        <v>249</v>
      </c>
      <c r="G263" s="191">
        <v>2010.0</v>
      </c>
      <c r="H263" s="191">
        <v>0.097131675</v>
      </c>
      <c r="I263" s="191">
        <v>0.117491599</v>
      </c>
      <c r="J263" s="191">
        <v>0.078031316</v>
      </c>
      <c r="K263" s="5"/>
      <c r="L263" s="5"/>
      <c r="M263" s="5"/>
      <c r="N263" s="5"/>
      <c r="O263" s="5"/>
      <c r="P263" s="5"/>
      <c r="Q263" s="5"/>
      <c r="R263" s="5"/>
      <c r="S263" s="5"/>
      <c r="T263" s="5"/>
      <c r="U263" s="5"/>
      <c r="V263" s="5"/>
      <c r="W263" s="5"/>
      <c r="X263" s="5"/>
      <c r="Y263" s="5"/>
      <c r="Z263" s="5"/>
    </row>
    <row r="264">
      <c r="A264" s="5" t="s">
        <v>371</v>
      </c>
      <c r="B264" s="5" t="s">
        <v>15</v>
      </c>
      <c r="C264" s="5" t="s">
        <v>76</v>
      </c>
      <c r="D264" s="5" t="s">
        <v>370</v>
      </c>
      <c r="E264" s="5" t="s">
        <v>77</v>
      </c>
      <c r="F264" s="5" t="s">
        <v>249</v>
      </c>
      <c r="G264" s="191">
        <v>2010.0</v>
      </c>
      <c r="H264" s="191">
        <v>0.025385449</v>
      </c>
      <c r="I264" s="191">
        <v>0.028867098</v>
      </c>
      <c r="J264" s="191">
        <v>0.021967594</v>
      </c>
      <c r="K264" s="5"/>
      <c r="L264" s="5"/>
      <c r="M264" s="5"/>
      <c r="N264" s="5"/>
      <c r="O264" s="5"/>
      <c r="P264" s="5"/>
      <c r="Q264" s="5"/>
      <c r="R264" s="5"/>
      <c r="S264" s="5"/>
      <c r="T264" s="5"/>
      <c r="U264" s="5"/>
      <c r="V264" s="5"/>
      <c r="W264" s="5"/>
      <c r="X264" s="5"/>
      <c r="Y264" s="5"/>
      <c r="Z264" s="5"/>
    </row>
    <row r="265">
      <c r="A265" s="5" t="s">
        <v>74</v>
      </c>
      <c r="B265" s="5" t="s">
        <v>372</v>
      </c>
      <c r="C265" s="5" t="s">
        <v>76</v>
      </c>
      <c r="D265" s="5" t="s">
        <v>369</v>
      </c>
      <c r="E265" s="5" t="s">
        <v>77</v>
      </c>
      <c r="F265" s="5" t="s">
        <v>249</v>
      </c>
      <c r="G265" s="191">
        <v>2010.0</v>
      </c>
      <c r="H265" s="191">
        <v>0.114360612</v>
      </c>
      <c r="I265" s="191">
        <v>0.137657111</v>
      </c>
      <c r="J265" s="191">
        <v>0.092126996</v>
      </c>
      <c r="K265" s="5"/>
      <c r="L265" s="5"/>
      <c r="M265" s="5"/>
      <c r="N265" s="5"/>
      <c r="O265" s="5"/>
      <c r="P265" s="5"/>
      <c r="Q265" s="5"/>
      <c r="R265" s="5"/>
      <c r="S265" s="5"/>
      <c r="T265" s="5"/>
      <c r="U265" s="5"/>
      <c r="V265" s="5"/>
      <c r="W265" s="5"/>
      <c r="X265" s="5"/>
      <c r="Y265" s="5"/>
      <c r="Z265" s="5"/>
    </row>
    <row r="266">
      <c r="A266" s="5" t="s">
        <v>74</v>
      </c>
      <c r="B266" s="5" t="s">
        <v>372</v>
      </c>
      <c r="C266" s="5" t="s">
        <v>76</v>
      </c>
      <c r="D266" s="5" t="s">
        <v>370</v>
      </c>
      <c r="E266" s="5" t="s">
        <v>77</v>
      </c>
      <c r="F266" s="5" t="s">
        <v>249</v>
      </c>
      <c r="G266" s="191">
        <v>2010.0</v>
      </c>
      <c r="H266" s="191">
        <v>0.083269377</v>
      </c>
      <c r="I266" s="191">
        <v>0.107870745</v>
      </c>
      <c r="J266" s="191">
        <v>0.063845372</v>
      </c>
      <c r="K266" s="5"/>
      <c r="L266" s="5"/>
      <c r="M266" s="5"/>
      <c r="N266" s="5"/>
      <c r="O266" s="5"/>
      <c r="P266" s="5"/>
      <c r="Q266" s="5"/>
      <c r="R266" s="5"/>
      <c r="S266" s="5"/>
      <c r="T266" s="5"/>
      <c r="U266" s="5"/>
      <c r="V266" s="5"/>
      <c r="W266" s="5"/>
      <c r="X266" s="5"/>
      <c r="Y266" s="5"/>
      <c r="Z266" s="5"/>
    </row>
    <row r="267">
      <c r="A267" s="5" t="s">
        <v>371</v>
      </c>
      <c r="B267" s="5" t="s">
        <v>372</v>
      </c>
      <c r="C267" s="5" t="s">
        <v>76</v>
      </c>
      <c r="D267" s="5" t="s">
        <v>369</v>
      </c>
      <c r="E267" s="5" t="s">
        <v>77</v>
      </c>
      <c r="F267" s="5" t="s">
        <v>249</v>
      </c>
      <c r="G267" s="191">
        <v>2010.0</v>
      </c>
      <c r="H267" s="191">
        <v>0.07139199</v>
      </c>
      <c r="I267" s="191">
        <v>0.091843313</v>
      </c>
      <c r="J267" s="191">
        <v>0.055563494</v>
      </c>
      <c r="K267" s="5"/>
      <c r="L267" s="5"/>
      <c r="M267" s="5"/>
      <c r="N267" s="5"/>
      <c r="O267" s="5"/>
      <c r="P267" s="5"/>
      <c r="Q267" s="5"/>
      <c r="R267" s="5"/>
      <c r="S267" s="5"/>
      <c r="T267" s="5"/>
      <c r="U267" s="5"/>
      <c r="V267" s="5"/>
      <c r="W267" s="5"/>
      <c r="X267" s="5"/>
      <c r="Y267" s="5"/>
      <c r="Z267" s="5"/>
    </row>
    <row r="268">
      <c r="A268" s="5" t="s">
        <v>371</v>
      </c>
      <c r="B268" s="5" t="s">
        <v>372</v>
      </c>
      <c r="C268" s="5" t="s">
        <v>76</v>
      </c>
      <c r="D268" s="5" t="s">
        <v>370</v>
      </c>
      <c r="E268" s="5" t="s">
        <v>77</v>
      </c>
      <c r="F268" s="5" t="s">
        <v>249</v>
      </c>
      <c r="G268" s="191">
        <v>2010.0</v>
      </c>
      <c r="H268" s="191">
        <v>0.025425449</v>
      </c>
      <c r="I268" s="191">
        <v>0.029730315</v>
      </c>
      <c r="J268" s="191">
        <v>0.021794122</v>
      </c>
      <c r="K268" s="5"/>
      <c r="L268" s="5"/>
      <c r="M268" s="5"/>
      <c r="N268" s="5"/>
      <c r="O268" s="5"/>
      <c r="P268" s="5"/>
      <c r="Q268" s="5"/>
      <c r="R268" s="5"/>
      <c r="S268" s="5"/>
      <c r="T268" s="5"/>
      <c r="U268" s="5"/>
      <c r="V268" s="5"/>
      <c r="W268" s="5"/>
      <c r="X268" s="5"/>
      <c r="Y268" s="5"/>
      <c r="Z268" s="5"/>
    </row>
    <row r="269">
      <c r="A269" s="5" t="s">
        <v>74</v>
      </c>
      <c r="B269" s="5" t="s">
        <v>373</v>
      </c>
      <c r="C269" s="5" t="s">
        <v>76</v>
      </c>
      <c r="D269" s="5" t="s">
        <v>369</v>
      </c>
      <c r="E269" s="5" t="s">
        <v>77</v>
      </c>
      <c r="F269" s="5" t="s">
        <v>249</v>
      </c>
      <c r="G269" s="191">
        <v>2010.0</v>
      </c>
      <c r="H269" s="191">
        <v>0.118060214</v>
      </c>
      <c r="I269" s="191">
        <v>0.16160298</v>
      </c>
      <c r="J269" s="191">
        <v>0.081839502</v>
      </c>
      <c r="K269" s="5"/>
      <c r="L269" s="5"/>
      <c r="M269" s="5"/>
      <c r="N269" s="5"/>
      <c r="O269" s="5"/>
      <c r="P269" s="5"/>
      <c r="Q269" s="5"/>
      <c r="R269" s="5"/>
      <c r="S269" s="5"/>
      <c r="T269" s="5"/>
      <c r="U269" s="5"/>
      <c r="V269" s="5"/>
      <c r="W269" s="5"/>
      <c r="X269" s="5"/>
      <c r="Y269" s="5"/>
      <c r="Z269" s="5"/>
    </row>
    <row r="270">
      <c r="A270" s="5" t="s">
        <v>74</v>
      </c>
      <c r="B270" s="5" t="s">
        <v>373</v>
      </c>
      <c r="C270" s="5" t="s">
        <v>76</v>
      </c>
      <c r="D270" s="5" t="s">
        <v>370</v>
      </c>
      <c r="E270" s="5" t="s">
        <v>77</v>
      </c>
      <c r="F270" s="5" t="s">
        <v>249</v>
      </c>
      <c r="G270" s="191">
        <v>2010.0</v>
      </c>
      <c r="H270" s="191">
        <v>0.074586511</v>
      </c>
      <c r="I270" s="191">
        <v>0.098898159</v>
      </c>
      <c r="J270" s="191">
        <v>0.053841527</v>
      </c>
      <c r="K270" s="5"/>
      <c r="L270" s="5"/>
      <c r="M270" s="5"/>
      <c r="N270" s="5"/>
      <c r="O270" s="5"/>
      <c r="P270" s="5"/>
      <c r="Q270" s="5"/>
      <c r="R270" s="5"/>
      <c r="S270" s="5"/>
      <c r="T270" s="5"/>
      <c r="U270" s="5"/>
      <c r="V270" s="5"/>
      <c r="W270" s="5"/>
      <c r="X270" s="5"/>
      <c r="Y270" s="5"/>
      <c r="Z270" s="5"/>
    </row>
    <row r="271">
      <c r="A271" s="5" t="s">
        <v>371</v>
      </c>
      <c r="B271" s="5" t="s">
        <v>373</v>
      </c>
      <c r="C271" s="5" t="s">
        <v>76</v>
      </c>
      <c r="D271" s="5" t="s">
        <v>369</v>
      </c>
      <c r="E271" s="5" t="s">
        <v>77</v>
      </c>
      <c r="F271" s="5" t="s">
        <v>249</v>
      </c>
      <c r="G271" s="191">
        <v>2010.0</v>
      </c>
      <c r="H271" s="191">
        <v>0.095510641</v>
      </c>
      <c r="I271" s="191">
        <v>0.115673187</v>
      </c>
      <c r="J271" s="191">
        <v>0.076176612</v>
      </c>
      <c r="K271" s="5"/>
      <c r="L271" s="5"/>
      <c r="M271" s="5"/>
      <c r="N271" s="5"/>
      <c r="O271" s="5"/>
      <c r="P271" s="5"/>
      <c r="Q271" s="5"/>
      <c r="R271" s="5"/>
      <c r="S271" s="5"/>
      <c r="T271" s="5"/>
      <c r="U271" s="5"/>
      <c r="V271" s="5"/>
      <c r="W271" s="5"/>
      <c r="X271" s="5"/>
      <c r="Y271" s="5"/>
      <c r="Z271" s="5"/>
    </row>
    <row r="272">
      <c r="A272" s="5" t="s">
        <v>371</v>
      </c>
      <c r="B272" s="5" t="s">
        <v>373</v>
      </c>
      <c r="C272" s="5" t="s">
        <v>76</v>
      </c>
      <c r="D272" s="5" t="s">
        <v>370</v>
      </c>
      <c r="E272" s="5" t="s">
        <v>77</v>
      </c>
      <c r="F272" s="5" t="s">
        <v>249</v>
      </c>
      <c r="G272" s="191">
        <v>2010.0</v>
      </c>
      <c r="H272" s="191">
        <v>0.019414387</v>
      </c>
      <c r="I272" s="191">
        <v>0.022649387</v>
      </c>
      <c r="J272" s="191">
        <v>0.016632821</v>
      </c>
      <c r="K272" s="5"/>
      <c r="L272" s="5"/>
      <c r="M272" s="5"/>
      <c r="N272" s="5"/>
      <c r="O272" s="5"/>
      <c r="P272" s="5"/>
      <c r="Q272" s="5"/>
      <c r="R272" s="5"/>
      <c r="S272" s="5"/>
      <c r="T272" s="5"/>
      <c r="U272" s="5"/>
      <c r="V272" s="5"/>
      <c r="W272" s="5"/>
      <c r="X272" s="5"/>
      <c r="Y272" s="5"/>
      <c r="Z272" s="5"/>
    </row>
    <row r="273">
      <c r="A273" s="5" t="s">
        <v>74</v>
      </c>
      <c r="B273" s="5" t="s">
        <v>14</v>
      </c>
      <c r="C273" s="5" t="s">
        <v>76</v>
      </c>
      <c r="D273" s="5" t="s">
        <v>369</v>
      </c>
      <c r="E273" s="5" t="s">
        <v>77</v>
      </c>
      <c r="F273" s="5" t="s">
        <v>249</v>
      </c>
      <c r="G273" s="191">
        <v>2010.0</v>
      </c>
      <c r="H273" s="191">
        <v>0.054180635</v>
      </c>
      <c r="I273" s="191">
        <v>0.082406555</v>
      </c>
      <c r="J273" s="191">
        <v>0.032288109</v>
      </c>
      <c r="K273" s="5"/>
      <c r="L273" s="5"/>
      <c r="M273" s="5"/>
      <c r="N273" s="5"/>
      <c r="O273" s="5"/>
      <c r="P273" s="5"/>
      <c r="Q273" s="5"/>
      <c r="R273" s="5"/>
      <c r="S273" s="5"/>
      <c r="T273" s="5"/>
      <c r="U273" s="5"/>
      <c r="V273" s="5"/>
      <c r="W273" s="5"/>
      <c r="X273" s="5"/>
      <c r="Y273" s="5"/>
      <c r="Z273" s="5"/>
    </row>
    <row r="274">
      <c r="A274" s="5" t="s">
        <v>74</v>
      </c>
      <c r="B274" s="5" t="s">
        <v>14</v>
      </c>
      <c r="C274" s="5" t="s">
        <v>76</v>
      </c>
      <c r="D274" s="5" t="s">
        <v>370</v>
      </c>
      <c r="E274" s="5" t="s">
        <v>77</v>
      </c>
      <c r="F274" s="5" t="s">
        <v>249</v>
      </c>
      <c r="G274" s="191">
        <v>2010.0</v>
      </c>
      <c r="H274" s="191">
        <v>0.045353805</v>
      </c>
      <c r="I274" s="191">
        <v>0.061215278</v>
      </c>
      <c r="J274" s="191">
        <v>0.031072247</v>
      </c>
      <c r="K274" s="5"/>
      <c r="L274" s="5"/>
      <c r="M274" s="5"/>
      <c r="N274" s="5"/>
      <c r="O274" s="5"/>
      <c r="P274" s="5"/>
      <c r="Q274" s="5"/>
      <c r="R274" s="5"/>
      <c r="S274" s="5"/>
      <c r="T274" s="5"/>
      <c r="U274" s="5"/>
      <c r="V274" s="5"/>
      <c r="W274" s="5"/>
      <c r="X274" s="5"/>
      <c r="Y274" s="5"/>
      <c r="Z274" s="5"/>
    </row>
    <row r="275">
      <c r="A275" s="5" t="s">
        <v>371</v>
      </c>
      <c r="B275" s="5" t="s">
        <v>14</v>
      </c>
      <c r="C275" s="5" t="s">
        <v>76</v>
      </c>
      <c r="D275" s="5" t="s">
        <v>369</v>
      </c>
      <c r="E275" s="5" t="s">
        <v>77</v>
      </c>
      <c r="F275" s="5" t="s">
        <v>249</v>
      </c>
      <c r="G275" s="191">
        <v>2010.0</v>
      </c>
      <c r="H275" s="191">
        <v>0.075648428</v>
      </c>
      <c r="I275" s="191">
        <v>0.09472847</v>
      </c>
      <c r="J275" s="191">
        <v>0.060223492</v>
      </c>
      <c r="K275" s="5"/>
      <c r="L275" s="5"/>
      <c r="M275" s="5"/>
      <c r="N275" s="5"/>
      <c r="O275" s="5"/>
      <c r="P275" s="5"/>
      <c r="Q275" s="5"/>
      <c r="R275" s="5"/>
      <c r="S275" s="5"/>
      <c r="T275" s="5"/>
      <c r="U275" s="5"/>
      <c r="V275" s="5"/>
      <c r="W275" s="5"/>
      <c r="X275" s="5"/>
      <c r="Y275" s="5"/>
      <c r="Z275" s="5"/>
    </row>
    <row r="276">
      <c r="A276" s="5" t="s">
        <v>371</v>
      </c>
      <c r="B276" s="5" t="s">
        <v>14</v>
      </c>
      <c r="C276" s="5" t="s">
        <v>76</v>
      </c>
      <c r="D276" s="5" t="s">
        <v>370</v>
      </c>
      <c r="E276" s="5" t="s">
        <v>77</v>
      </c>
      <c r="F276" s="5" t="s">
        <v>249</v>
      </c>
      <c r="G276" s="191">
        <v>2010.0</v>
      </c>
      <c r="H276" s="191">
        <v>0.020280375</v>
      </c>
      <c r="I276" s="191">
        <v>0.023673413</v>
      </c>
      <c r="J276" s="191">
        <v>0.01745217</v>
      </c>
      <c r="K276" s="5"/>
      <c r="L276" s="5"/>
      <c r="M276" s="5"/>
      <c r="N276" s="5"/>
      <c r="O276" s="5"/>
      <c r="P276" s="5"/>
      <c r="Q276" s="5"/>
      <c r="R276" s="5"/>
      <c r="S276" s="5"/>
      <c r="T276" s="5"/>
      <c r="U276" s="5"/>
      <c r="V276" s="5"/>
      <c r="W276" s="5"/>
      <c r="X276" s="5"/>
      <c r="Y276" s="5"/>
      <c r="Z276" s="5"/>
    </row>
    <row r="277">
      <c r="A277" s="5" t="s">
        <v>74</v>
      </c>
      <c r="B277" s="5" t="s">
        <v>374</v>
      </c>
      <c r="C277" s="5" t="s">
        <v>76</v>
      </c>
      <c r="D277" s="5" t="s">
        <v>369</v>
      </c>
      <c r="E277" s="5" t="s">
        <v>77</v>
      </c>
      <c r="F277" s="5" t="s">
        <v>249</v>
      </c>
      <c r="G277" s="191">
        <v>2010.0</v>
      </c>
      <c r="H277" s="191">
        <v>0.009082664</v>
      </c>
      <c r="I277" s="191">
        <v>0.010748406</v>
      </c>
      <c r="J277" s="191">
        <v>0.00767441</v>
      </c>
      <c r="K277" s="5"/>
      <c r="L277" s="5"/>
      <c r="M277" s="5"/>
      <c r="N277" s="5"/>
      <c r="O277" s="5"/>
      <c r="P277" s="5"/>
      <c r="Q277" s="5"/>
      <c r="R277" s="5"/>
      <c r="S277" s="5"/>
      <c r="T277" s="5"/>
      <c r="U277" s="5"/>
      <c r="V277" s="5"/>
      <c r="W277" s="5"/>
      <c r="X277" s="5"/>
      <c r="Y277" s="5"/>
      <c r="Z277" s="5"/>
    </row>
    <row r="278">
      <c r="A278" s="5" t="s">
        <v>74</v>
      </c>
      <c r="B278" s="5" t="s">
        <v>374</v>
      </c>
      <c r="C278" s="5" t="s">
        <v>76</v>
      </c>
      <c r="D278" s="5" t="s">
        <v>370</v>
      </c>
      <c r="E278" s="5" t="s">
        <v>77</v>
      </c>
      <c r="F278" s="5" t="s">
        <v>249</v>
      </c>
      <c r="G278" s="191">
        <v>2010.0</v>
      </c>
      <c r="H278" s="191">
        <v>0.001307495</v>
      </c>
      <c r="I278" s="191">
        <v>0.001599619</v>
      </c>
      <c r="J278" s="191">
        <v>0.001083875</v>
      </c>
      <c r="K278" s="5"/>
      <c r="L278" s="5"/>
      <c r="M278" s="5"/>
      <c r="N278" s="5"/>
      <c r="O278" s="5"/>
      <c r="P278" s="5"/>
      <c r="Q278" s="5"/>
      <c r="R278" s="5"/>
      <c r="S278" s="5"/>
      <c r="T278" s="5"/>
      <c r="U278" s="5"/>
      <c r="V278" s="5"/>
      <c r="W278" s="5"/>
      <c r="X278" s="5"/>
      <c r="Y278" s="5"/>
      <c r="Z278" s="5"/>
    </row>
    <row r="279">
      <c r="A279" s="5" t="s">
        <v>371</v>
      </c>
      <c r="B279" s="5" t="s">
        <v>374</v>
      </c>
      <c r="C279" s="5" t="s">
        <v>76</v>
      </c>
      <c r="D279" s="5" t="s">
        <v>369</v>
      </c>
      <c r="E279" s="5" t="s">
        <v>77</v>
      </c>
      <c r="F279" s="5" t="s">
        <v>249</v>
      </c>
      <c r="G279" s="191">
        <v>2010.0</v>
      </c>
      <c r="H279" s="191">
        <v>0.031826522</v>
      </c>
      <c r="I279" s="191">
        <v>0.041545804</v>
      </c>
      <c r="J279" s="191">
        <v>0.02377485</v>
      </c>
      <c r="K279" s="5"/>
      <c r="L279" s="5"/>
      <c r="M279" s="5"/>
      <c r="N279" s="5"/>
      <c r="O279" s="5"/>
      <c r="P279" s="5"/>
      <c r="Q279" s="5"/>
      <c r="R279" s="5"/>
      <c r="S279" s="5"/>
      <c r="T279" s="5"/>
      <c r="U279" s="5"/>
      <c r="V279" s="5"/>
      <c r="W279" s="5"/>
      <c r="X279" s="5"/>
      <c r="Y279" s="5"/>
      <c r="Z279" s="5"/>
    </row>
    <row r="280">
      <c r="A280" s="5" t="s">
        <v>371</v>
      </c>
      <c r="B280" s="5" t="s">
        <v>374</v>
      </c>
      <c r="C280" s="5" t="s">
        <v>76</v>
      </c>
      <c r="D280" s="5" t="s">
        <v>370</v>
      </c>
      <c r="E280" s="5" t="s">
        <v>77</v>
      </c>
      <c r="F280" s="5" t="s">
        <v>249</v>
      </c>
      <c r="G280" s="191">
        <v>2010.0</v>
      </c>
      <c r="H280" s="191">
        <v>0.013973765</v>
      </c>
      <c r="I280" s="191">
        <v>0.016685394</v>
      </c>
      <c r="J280" s="191">
        <v>0.011517154</v>
      </c>
      <c r="K280" s="5"/>
      <c r="L280" s="5"/>
      <c r="M280" s="5"/>
      <c r="N280" s="5"/>
      <c r="O280" s="5"/>
      <c r="P280" s="5"/>
      <c r="Q280" s="5"/>
      <c r="R280" s="5"/>
      <c r="S280" s="5"/>
      <c r="T280" s="5"/>
      <c r="U280" s="5"/>
      <c r="V280" s="5"/>
      <c r="W280" s="5"/>
      <c r="X280" s="5"/>
      <c r="Y280" s="5"/>
      <c r="Z280" s="5"/>
    </row>
    <row r="281">
      <c r="A281" s="5" t="s">
        <v>74</v>
      </c>
      <c r="B281" s="5" t="s">
        <v>375</v>
      </c>
      <c r="C281" s="5" t="s">
        <v>76</v>
      </c>
      <c r="D281" s="5" t="s">
        <v>369</v>
      </c>
      <c r="E281" s="5" t="s">
        <v>77</v>
      </c>
      <c r="F281" s="5" t="s">
        <v>249</v>
      </c>
      <c r="G281" s="191">
        <v>2010.0</v>
      </c>
      <c r="H281" s="191">
        <v>0.128916785</v>
      </c>
      <c r="I281" s="191">
        <v>0.170346802</v>
      </c>
      <c r="J281" s="191">
        <v>0.093233903</v>
      </c>
      <c r="K281" s="5"/>
      <c r="L281" s="5"/>
      <c r="M281" s="5"/>
      <c r="N281" s="5"/>
      <c r="O281" s="5"/>
      <c r="P281" s="5"/>
      <c r="Q281" s="5"/>
      <c r="R281" s="5"/>
      <c r="S281" s="5"/>
      <c r="T281" s="5"/>
      <c r="U281" s="5"/>
      <c r="V281" s="5"/>
      <c r="W281" s="5"/>
      <c r="X281" s="5"/>
      <c r="Y281" s="5"/>
      <c r="Z281" s="5"/>
    </row>
    <row r="282">
      <c r="A282" s="5" t="s">
        <v>74</v>
      </c>
      <c r="B282" s="5" t="s">
        <v>375</v>
      </c>
      <c r="C282" s="5" t="s">
        <v>76</v>
      </c>
      <c r="D282" s="5" t="s">
        <v>370</v>
      </c>
      <c r="E282" s="5" t="s">
        <v>77</v>
      </c>
      <c r="F282" s="5" t="s">
        <v>249</v>
      </c>
      <c r="G282" s="191">
        <v>2010.0</v>
      </c>
      <c r="H282" s="191">
        <v>0.075069478</v>
      </c>
      <c r="I282" s="191">
        <v>0.09881087</v>
      </c>
      <c r="J282" s="191">
        <v>0.057401647</v>
      </c>
      <c r="K282" s="5"/>
      <c r="L282" s="5"/>
      <c r="M282" s="5"/>
      <c r="N282" s="5"/>
      <c r="O282" s="5"/>
      <c r="P282" s="5"/>
      <c r="Q282" s="5"/>
      <c r="R282" s="5"/>
      <c r="S282" s="5"/>
      <c r="T282" s="5"/>
      <c r="U282" s="5"/>
      <c r="V282" s="5"/>
      <c r="W282" s="5"/>
      <c r="X282" s="5"/>
      <c r="Y282" s="5"/>
      <c r="Z282" s="5"/>
    </row>
    <row r="283">
      <c r="A283" s="5" t="s">
        <v>371</v>
      </c>
      <c r="B283" s="5" t="s">
        <v>375</v>
      </c>
      <c r="C283" s="5" t="s">
        <v>76</v>
      </c>
      <c r="D283" s="5" t="s">
        <v>369</v>
      </c>
      <c r="E283" s="5" t="s">
        <v>77</v>
      </c>
      <c r="F283" s="5" t="s">
        <v>249</v>
      </c>
      <c r="G283" s="191">
        <v>2010.0</v>
      </c>
      <c r="H283" s="191">
        <v>0.074750307</v>
      </c>
      <c r="I283" s="191">
        <v>0.092386374</v>
      </c>
      <c r="J283" s="191">
        <v>0.059508801</v>
      </c>
      <c r="K283" s="5"/>
      <c r="L283" s="5"/>
      <c r="M283" s="5"/>
      <c r="N283" s="5"/>
      <c r="O283" s="5"/>
      <c r="P283" s="5"/>
      <c r="Q283" s="5"/>
      <c r="R283" s="5"/>
      <c r="S283" s="5"/>
      <c r="T283" s="5"/>
      <c r="U283" s="5"/>
      <c r="V283" s="5"/>
      <c r="W283" s="5"/>
      <c r="X283" s="5"/>
      <c r="Y283" s="5"/>
      <c r="Z283" s="5"/>
    </row>
    <row r="284">
      <c r="A284" s="5" t="s">
        <v>371</v>
      </c>
      <c r="B284" s="5" t="s">
        <v>375</v>
      </c>
      <c r="C284" s="5" t="s">
        <v>76</v>
      </c>
      <c r="D284" s="5" t="s">
        <v>370</v>
      </c>
      <c r="E284" s="5" t="s">
        <v>77</v>
      </c>
      <c r="F284" s="5" t="s">
        <v>249</v>
      </c>
      <c r="G284" s="191">
        <v>2010.0</v>
      </c>
      <c r="H284" s="191">
        <v>0.023238886</v>
      </c>
      <c r="I284" s="191">
        <v>0.026686606</v>
      </c>
      <c r="J284" s="191">
        <v>0.019964924</v>
      </c>
      <c r="K284" s="5"/>
      <c r="L284" s="5"/>
      <c r="M284" s="5"/>
      <c r="N284" s="5"/>
      <c r="O284" s="5"/>
      <c r="P284" s="5"/>
      <c r="Q284" s="5"/>
      <c r="R284" s="5"/>
      <c r="S284" s="5"/>
      <c r="T284" s="5"/>
      <c r="U284" s="5"/>
      <c r="V284" s="5"/>
      <c r="W284" s="5"/>
      <c r="X284" s="5"/>
      <c r="Y284" s="5"/>
      <c r="Z284" s="5"/>
    </row>
    <row r="285">
      <c r="A285" s="5" t="s">
        <v>74</v>
      </c>
      <c r="B285" s="5" t="s">
        <v>365</v>
      </c>
      <c r="C285" s="5" t="s">
        <v>76</v>
      </c>
      <c r="D285" s="5" t="s">
        <v>369</v>
      </c>
      <c r="E285" s="5" t="s">
        <v>77</v>
      </c>
      <c r="F285" s="5" t="s">
        <v>249</v>
      </c>
      <c r="G285" s="191">
        <v>2010.0</v>
      </c>
      <c r="H285" s="191">
        <v>0.05380122</v>
      </c>
      <c r="I285" s="191">
        <v>0.086269413</v>
      </c>
      <c r="J285" s="191">
        <v>0.032182697</v>
      </c>
      <c r="K285" s="5"/>
      <c r="L285" s="5"/>
      <c r="M285" s="5"/>
      <c r="N285" s="5"/>
      <c r="O285" s="5"/>
      <c r="P285" s="5"/>
      <c r="Q285" s="5"/>
      <c r="R285" s="5"/>
      <c r="S285" s="5"/>
      <c r="T285" s="5"/>
      <c r="U285" s="5"/>
      <c r="V285" s="5"/>
      <c r="W285" s="5"/>
      <c r="X285" s="5"/>
      <c r="Y285" s="5"/>
      <c r="Z285" s="5"/>
    </row>
    <row r="286">
      <c r="A286" s="5" t="s">
        <v>74</v>
      </c>
      <c r="B286" s="5" t="s">
        <v>365</v>
      </c>
      <c r="C286" s="5" t="s">
        <v>76</v>
      </c>
      <c r="D286" s="5" t="s">
        <v>370</v>
      </c>
      <c r="E286" s="5" t="s">
        <v>77</v>
      </c>
      <c r="F286" s="5" t="s">
        <v>249</v>
      </c>
      <c r="G286" s="191">
        <v>2010.0</v>
      </c>
      <c r="H286" s="191">
        <v>0.035878294</v>
      </c>
      <c r="I286" s="191">
        <v>0.049946033</v>
      </c>
      <c r="J286" s="191">
        <v>0.024045868</v>
      </c>
      <c r="K286" s="5"/>
      <c r="L286" s="5"/>
      <c r="M286" s="5"/>
      <c r="N286" s="5"/>
      <c r="O286" s="5"/>
      <c r="P286" s="5"/>
      <c r="Q286" s="5"/>
      <c r="R286" s="5"/>
      <c r="S286" s="5"/>
      <c r="T286" s="5"/>
      <c r="U286" s="5"/>
      <c r="V286" s="5"/>
      <c r="W286" s="5"/>
      <c r="X286" s="5"/>
      <c r="Y286" s="5"/>
      <c r="Z286" s="5"/>
    </row>
    <row r="287">
      <c r="A287" s="5" t="s">
        <v>371</v>
      </c>
      <c r="B287" s="5" t="s">
        <v>365</v>
      </c>
      <c r="C287" s="5" t="s">
        <v>76</v>
      </c>
      <c r="D287" s="5" t="s">
        <v>369</v>
      </c>
      <c r="E287" s="5" t="s">
        <v>77</v>
      </c>
      <c r="F287" s="5" t="s">
        <v>249</v>
      </c>
      <c r="G287" s="191">
        <v>2010.0</v>
      </c>
      <c r="H287" s="191">
        <v>0.095248985</v>
      </c>
      <c r="I287" s="191">
        <v>0.115348622</v>
      </c>
      <c r="J287" s="191">
        <v>0.076529002</v>
      </c>
      <c r="K287" s="5"/>
      <c r="L287" s="5"/>
      <c r="M287" s="5"/>
      <c r="N287" s="5"/>
      <c r="O287" s="5"/>
      <c r="P287" s="5"/>
      <c r="Q287" s="5"/>
      <c r="R287" s="5"/>
      <c r="S287" s="5"/>
      <c r="T287" s="5"/>
      <c r="U287" s="5"/>
      <c r="V287" s="5"/>
      <c r="W287" s="5"/>
      <c r="X287" s="5"/>
      <c r="Y287" s="5"/>
      <c r="Z287" s="5"/>
    </row>
    <row r="288">
      <c r="A288" s="5" t="s">
        <v>371</v>
      </c>
      <c r="B288" s="5" t="s">
        <v>365</v>
      </c>
      <c r="C288" s="5" t="s">
        <v>76</v>
      </c>
      <c r="D288" s="5" t="s">
        <v>370</v>
      </c>
      <c r="E288" s="5" t="s">
        <v>77</v>
      </c>
      <c r="F288" s="5" t="s">
        <v>249</v>
      </c>
      <c r="G288" s="191">
        <v>2010.0</v>
      </c>
      <c r="H288" s="191">
        <v>0.02180574</v>
      </c>
      <c r="I288" s="191">
        <v>0.025028366</v>
      </c>
      <c r="J288" s="191">
        <v>0.018920739</v>
      </c>
      <c r="K288" s="5"/>
      <c r="L288" s="5"/>
      <c r="M288" s="5"/>
      <c r="N288" s="5"/>
      <c r="O288" s="5"/>
      <c r="P288" s="5"/>
      <c r="Q288" s="5"/>
      <c r="R288" s="5"/>
      <c r="S288" s="5"/>
      <c r="T288" s="5"/>
      <c r="U288" s="5"/>
      <c r="V288" s="5"/>
      <c r="W288" s="5"/>
      <c r="X288" s="5"/>
      <c r="Y288" s="5"/>
      <c r="Z288" s="5"/>
    </row>
    <row r="289">
      <c r="A289" s="5" t="s">
        <v>74</v>
      </c>
      <c r="B289" s="5" t="s">
        <v>362</v>
      </c>
      <c r="C289" s="5" t="s">
        <v>76</v>
      </c>
      <c r="D289" s="5" t="s">
        <v>369</v>
      </c>
      <c r="E289" s="5" t="s">
        <v>77</v>
      </c>
      <c r="F289" s="5" t="s">
        <v>249</v>
      </c>
      <c r="G289" s="191">
        <v>2011.0</v>
      </c>
      <c r="H289" s="191">
        <v>0.054686595</v>
      </c>
      <c r="I289" s="191">
        <v>0.076418873</v>
      </c>
      <c r="J289" s="191">
        <v>0.037684767</v>
      </c>
      <c r="K289" s="5"/>
      <c r="L289" s="5"/>
      <c r="M289" s="5"/>
      <c r="N289" s="5"/>
      <c r="O289" s="5"/>
      <c r="P289" s="5"/>
      <c r="Q289" s="5"/>
      <c r="R289" s="5"/>
      <c r="S289" s="5"/>
      <c r="T289" s="5"/>
      <c r="U289" s="5"/>
      <c r="V289" s="5"/>
      <c r="W289" s="5"/>
      <c r="X289" s="5"/>
      <c r="Y289" s="5"/>
      <c r="Z289" s="5"/>
    </row>
    <row r="290">
      <c r="A290" s="5" t="s">
        <v>74</v>
      </c>
      <c r="B290" s="5" t="s">
        <v>362</v>
      </c>
      <c r="C290" s="5" t="s">
        <v>76</v>
      </c>
      <c r="D290" s="5" t="s">
        <v>370</v>
      </c>
      <c r="E290" s="5" t="s">
        <v>77</v>
      </c>
      <c r="F290" s="5" t="s">
        <v>249</v>
      </c>
      <c r="G290" s="191">
        <v>2011.0</v>
      </c>
      <c r="H290" s="191">
        <v>0.055555533</v>
      </c>
      <c r="I290" s="191">
        <v>0.095062332</v>
      </c>
      <c r="J290" s="191">
        <v>0.034355178</v>
      </c>
      <c r="K290" s="5"/>
      <c r="L290" s="5"/>
      <c r="M290" s="5"/>
      <c r="N290" s="5"/>
      <c r="O290" s="5"/>
      <c r="P290" s="5"/>
      <c r="Q290" s="5"/>
      <c r="R290" s="5"/>
      <c r="S290" s="5"/>
      <c r="T290" s="5"/>
      <c r="U290" s="5"/>
      <c r="V290" s="5"/>
      <c r="W290" s="5"/>
      <c r="X290" s="5"/>
      <c r="Y290" s="5"/>
      <c r="Z290" s="5"/>
    </row>
    <row r="291">
      <c r="A291" s="5" t="s">
        <v>371</v>
      </c>
      <c r="B291" s="5" t="s">
        <v>362</v>
      </c>
      <c r="C291" s="5" t="s">
        <v>76</v>
      </c>
      <c r="D291" s="5" t="s">
        <v>369</v>
      </c>
      <c r="E291" s="5" t="s">
        <v>77</v>
      </c>
      <c r="F291" s="5" t="s">
        <v>249</v>
      </c>
      <c r="G291" s="191">
        <v>2011.0</v>
      </c>
      <c r="H291" s="191">
        <v>0.039931369</v>
      </c>
      <c r="I291" s="191">
        <v>0.050294395</v>
      </c>
      <c r="J291" s="191">
        <v>0.031376451</v>
      </c>
      <c r="K291" s="5"/>
      <c r="L291" s="5"/>
      <c r="M291" s="5"/>
      <c r="N291" s="5"/>
      <c r="O291" s="5"/>
      <c r="P291" s="5"/>
      <c r="Q291" s="5"/>
      <c r="R291" s="5"/>
      <c r="S291" s="5"/>
      <c r="T291" s="5"/>
      <c r="U291" s="5"/>
      <c r="V291" s="5"/>
      <c r="W291" s="5"/>
      <c r="X291" s="5"/>
      <c r="Y291" s="5"/>
      <c r="Z291" s="5"/>
    </row>
    <row r="292">
      <c r="A292" s="5" t="s">
        <v>371</v>
      </c>
      <c r="B292" s="5" t="s">
        <v>362</v>
      </c>
      <c r="C292" s="5" t="s">
        <v>76</v>
      </c>
      <c r="D292" s="5" t="s">
        <v>370</v>
      </c>
      <c r="E292" s="5" t="s">
        <v>77</v>
      </c>
      <c r="F292" s="5" t="s">
        <v>249</v>
      </c>
      <c r="G292" s="191">
        <v>2011.0</v>
      </c>
      <c r="H292" s="191">
        <v>0.02072949</v>
      </c>
      <c r="I292" s="191">
        <v>0.024280545</v>
      </c>
      <c r="J292" s="191">
        <v>0.017667987</v>
      </c>
      <c r="K292" s="5"/>
      <c r="L292" s="5"/>
      <c r="M292" s="5"/>
      <c r="N292" s="5"/>
      <c r="O292" s="5"/>
      <c r="P292" s="5"/>
      <c r="Q292" s="5"/>
      <c r="R292" s="5"/>
      <c r="S292" s="5"/>
      <c r="T292" s="5"/>
      <c r="U292" s="5"/>
      <c r="V292" s="5"/>
      <c r="W292" s="5"/>
      <c r="X292" s="5"/>
      <c r="Y292" s="5"/>
      <c r="Z292" s="5"/>
    </row>
    <row r="293">
      <c r="A293" s="5" t="s">
        <v>74</v>
      </c>
      <c r="B293" s="5" t="s">
        <v>358</v>
      </c>
      <c r="C293" s="5" t="s">
        <v>76</v>
      </c>
      <c r="D293" s="5" t="s">
        <v>369</v>
      </c>
      <c r="E293" s="5" t="s">
        <v>77</v>
      </c>
      <c r="F293" s="5" t="s">
        <v>249</v>
      </c>
      <c r="G293" s="191">
        <v>2011.0</v>
      </c>
      <c r="H293" s="191">
        <v>0.13455217</v>
      </c>
      <c r="I293" s="191">
        <v>0.151308539</v>
      </c>
      <c r="J293" s="191">
        <v>0.119159504</v>
      </c>
      <c r="K293" s="5"/>
      <c r="L293" s="5"/>
      <c r="M293" s="5"/>
      <c r="N293" s="5"/>
      <c r="O293" s="5"/>
      <c r="P293" s="5"/>
      <c r="Q293" s="5"/>
      <c r="R293" s="5"/>
      <c r="S293" s="5"/>
      <c r="T293" s="5"/>
      <c r="U293" s="5"/>
      <c r="V293" s="5"/>
      <c r="W293" s="5"/>
      <c r="X293" s="5"/>
      <c r="Y293" s="5"/>
      <c r="Z293" s="5"/>
    </row>
    <row r="294">
      <c r="A294" s="5" t="s">
        <v>74</v>
      </c>
      <c r="B294" s="5" t="s">
        <v>358</v>
      </c>
      <c r="C294" s="5" t="s">
        <v>76</v>
      </c>
      <c r="D294" s="5" t="s">
        <v>370</v>
      </c>
      <c r="E294" s="5" t="s">
        <v>77</v>
      </c>
      <c r="F294" s="5" t="s">
        <v>249</v>
      </c>
      <c r="G294" s="191">
        <v>2011.0</v>
      </c>
      <c r="H294" s="191">
        <v>0.042555862</v>
      </c>
      <c r="I294" s="191">
        <v>0.047251923</v>
      </c>
      <c r="J294" s="191">
        <v>0.03879345</v>
      </c>
      <c r="K294" s="5"/>
      <c r="L294" s="5"/>
      <c r="M294" s="5"/>
      <c r="N294" s="5"/>
      <c r="O294" s="5"/>
      <c r="P294" s="5"/>
      <c r="Q294" s="5"/>
      <c r="R294" s="5"/>
      <c r="S294" s="5"/>
      <c r="T294" s="5"/>
      <c r="U294" s="5"/>
      <c r="V294" s="5"/>
      <c r="W294" s="5"/>
      <c r="X294" s="5"/>
      <c r="Y294" s="5"/>
      <c r="Z294" s="5"/>
    </row>
    <row r="295">
      <c r="A295" s="5" t="s">
        <v>371</v>
      </c>
      <c r="B295" s="5" t="s">
        <v>358</v>
      </c>
      <c r="C295" s="5" t="s">
        <v>76</v>
      </c>
      <c r="D295" s="5" t="s">
        <v>369</v>
      </c>
      <c r="E295" s="5" t="s">
        <v>77</v>
      </c>
      <c r="F295" s="5" t="s">
        <v>249</v>
      </c>
      <c r="G295" s="191">
        <v>2011.0</v>
      </c>
      <c r="H295" s="191">
        <v>0.111222094</v>
      </c>
      <c r="I295" s="191">
        <v>0.135675077</v>
      </c>
      <c r="J295" s="191">
        <v>0.088403301</v>
      </c>
      <c r="K295" s="5"/>
      <c r="L295" s="5"/>
      <c r="M295" s="5"/>
      <c r="N295" s="5"/>
      <c r="O295" s="5"/>
      <c r="P295" s="5"/>
      <c r="Q295" s="5"/>
      <c r="R295" s="5"/>
      <c r="S295" s="5"/>
      <c r="T295" s="5"/>
      <c r="U295" s="5"/>
      <c r="V295" s="5"/>
      <c r="W295" s="5"/>
      <c r="X295" s="5"/>
      <c r="Y295" s="5"/>
      <c r="Z295" s="5"/>
    </row>
    <row r="296">
      <c r="A296" s="5" t="s">
        <v>371</v>
      </c>
      <c r="B296" s="5" t="s">
        <v>358</v>
      </c>
      <c r="C296" s="5" t="s">
        <v>76</v>
      </c>
      <c r="D296" s="5" t="s">
        <v>370</v>
      </c>
      <c r="E296" s="5" t="s">
        <v>77</v>
      </c>
      <c r="F296" s="5" t="s">
        <v>249</v>
      </c>
      <c r="G296" s="191">
        <v>2011.0</v>
      </c>
      <c r="H296" s="191">
        <v>0.02182783</v>
      </c>
      <c r="I296" s="191">
        <v>0.024934387</v>
      </c>
      <c r="J296" s="191">
        <v>0.018933071</v>
      </c>
      <c r="K296" s="5"/>
      <c r="L296" s="5"/>
      <c r="M296" s="5"/>
      <c r="N296" s="5"/>
      <c r="O296" s="5"/>
      <c r="P296" s="5"/>
      <c r="Q296" s="5"/>
      <c r="R296" s="5"/>
      <c r="S296" s="5"/>
      <c r="T296" s="5"/>
      <c r="U296" s="5"/>
      <c r="V296" s="5"/>
      <c r="W296" s="5"/>
      <c r="X296" s="5"/>
      <c r="Y296" s="5"/>
      <c r="Z296" s="5"/>
    </row>
    <row r="297">
      <c r="A297" s="5" t="s">
        <v>74</v>
      </c>
      <c r="B297" s="5" t="s">
        <v>360</v>
      </c>
      <c r="C297" s="5" t="s">
        <v>76</v>
      </c>
      <c r="D297" s="5" t="s">
        <v>369</v>
      </c>
      <c r="E297" s="5" t="s">
        <v>77</v>
      </c>
      <c r="F297" s="5" t="s">
        <v>249</v>
      </c>
      <c r="G297" s="191">
        <v>2011.0</v>
      </c>
      <c r="H297" s="191">
        <v>0.108718507</v>
      </c>
      <c r="I297" s="191">
        <v>0.124591868</v>
      </c>
      <c r="J297" s="191">
        <v>0.091235562</v>
      </c>
      <c r="K297" s="5"/>
      <c r="L297" s="5"/>
      <c r="M297" s="5"/>
      <c r="N297" s="5"/>
      <c r="O297" s="5"/>
      <c r="P297" s="5"/>
      <c r="Q297" s="5"/>
      <c r="R297" s="5"/>
      <c r="S297" s="5"/>
      <c r="T297" s="5"/>
      <c r="U297" s="5"/>
      <c r="V297" s="5"/>
      <c r="W297" s="5"/>
      <c r="X297" s="5"/>
      <c r="Y297" s="5"/>
      <c r="Z297" s="5"/>
    </row>
    <row r="298">
      <c r="A298" s="5" t="s">
        <v>74</v>
      </c>
      <c r="B298" s="5" t="s">
        <v>360</v>
      </c>
      <c r="C298" s="5" t="s">
        <v>76</v>
      </c>
      <c r="D298" s="5" t="s">
        <v>370</v>
      </c>
      <c r="E298" s="5" t="s">
        <v>77</v>
      </c>
      <c r="F298" s="5" t="s">
        <v>249</v>
      </c>
      <c r="G298" s="191">
        <v>2011.0</v>
      </c>
      <c r="H298" s="191">
        <v>0.100811289</v>
      </c>
      <c r="I298" s="191">
        <v>0.145742078</v>
      </c>
      <c r="J298" s="191">
        <v>0.07023715</v>
      </c>
      <c r="K298" s="5"/>
      <c r="L298" s="5"/>
      <c r="M298" s="5"/>
      <c r="N298" s="5"/>
      <c r="O298" s="5"/>
      <c r="P298" s="5"/>
      <c r="Q298" s="5"/>
      <c r="R298" s="5"/>
      <c r="S298" s="5"/>
      <c r="T298" s="5"/>
      <c r="U298" s="5"/>
      <c r="V298" s="5"/>
      <c r="W298" s="5"/>
      <c r="X298" s="5"/>
      <c r="Y298" s="5"/>
      <c r="Z298" s="5"/>
    </row>
    <row r="299">
      <c r="A299" s="5" t="s">
        <v>371</v>
      </c>
      <c r="B299" s="5" t="s">
        <v>360</v>
      </c>
      <c r="C299" s="5" t="s">
        <v>76</v>
      </c>
      <c r="D299" s="5" t="s">
        <v>369</v>
      </c>
      <c r="E299" s="5" t="s">
        <v>77</v>
      </c>
      <c r="F299" s="5" t="s">
        <v>249</v>
      </c>
      <c r="G299" s="191">
        <v>2011.0</v>
      </c>
      <c r="H299" s="191">
        <v>0.037373532</v>
      </c>
      <c r="I299" s="191">
        <v>0.045881587</v>
      </c>
      <c r="J299" s="191">
        <v>0.029504461</v>
      </c>
      <c r="K299" s="5"/>
      <c r="L299" s="5"/>
      <c r="M299" s="5"/>
      <c r="N299" s="5"/>
      <c r="O299" s="5"/>
      <c r="P299" s="5"/>
      <c r="Q299" s="5"/>
      <c r="R299" s="5"/>
      <c r="S299" s="5"/>
      <c r="T299" s="5"/>
      <c r="U299" s="5"/>
      <c r="V299" s="5"/>
      <c r="W299" s="5"/>
      <c r="X299" s="5"/>
      <c r="Y299" s="5"/>
      <c r="Z299" s="5"/>
    </row>
    <row r="300">
      <c r="A300" s="5" t="s">
        <v>371</v>
      </c>
      <c r="B300" s="5" t="s">
        <v>360</v>
      </c>
      <c r="C300" s="5" t="s">
        <v>76</v>
      </c>
      <c r="D300" s="5" t="s">
        <v>370</v>
      </c>
      <c r="E300" s="5" t="s">
        <v>77</v>
      </c>
      <c r="F300" s="5" t="s">
        <v>249</v>
      </c>
      <c r="G300" s="191">
        <v>2011.0</v>
      </c>
      <c r="H300" s="191">
        <v>0.01645222</v>
      </c>
      <c r="I300" s="191">
        <v>0.018936404</v>
      </c>
      <c r="J300" s="191">
        <v>0.014200444</v>
      </c>
      <c r="K300" s="5"/>
      <c r="L300" s="5"/>
      <c r="M300" s="5"/>
      <c r="N300" s="5"/>
      <c r="O300" s="5"/>
      <c r="P300" s="5"/>
      <c r="Q300" s="5"/>
      <c r="R300" s="5"/>
      <c r="S300" s="5"/>
      <c r="T300" s="5"/>
      <c r="U300" s="5"/>
      <c r="V300" s="5"/>
      <c r="W300" s="5"/>
      <c r="X300" s="5"/>
      <c r="Y300" s="5"/>
      <c r="Z300" s="5"/>
    </row>
    <row r="301">
      <c r="A301" s="5" t="s">
        <v>74</v>
      </c>
      <c r="B301" s="5" t="s">
        <v>11</v>
      </c>
      <c r="C301" s="5" t="s">
        <v>76</v>
      </c>
      <c r="D301" s="5" t="s">
        <v>369</v>
      </c>
      <c r="E301" s="5" t="s">
        <v>77</v>
      </c>
      <c r="F301" s="5" t="s">
        <v>249</v>
      </c>
      <c r="G301" s="191">
        <v>2011.0</v>
      </c>
      <c r="H301" s="191">
        <v>0.232006164</v>
      </c>
      <c r="I301" s="191">
        <v>0.275851323</v>
      </c>
      <c r="J301" s="191">
        <v>0.166431986</v>
      </c>
      <c r="K301" s="5"/>
      <c r="L301" s="5"/>
      <c r="M301" s="5"/>
      <c r="N301" s="5"/>
      <c r="O301" s="5"/>
      <c r="P301" s="5"/>
      <c r="Q301" s="5"/>
      <c r="R301" s="5"/>
      <c r="S301" s="5"/>
      <c r="T301" s="5"/>
      <c r="U301" s="5"/>
      <c r="V301" s="5"/>
      <c r="W301" s="5"/>
      <c r="X301" s="5"/>
      <c r="Y301" s="5"/>
      <c r="Z301" s="5"/>
    </row>
    <row r="302">
      <c r="A302" s="5" t="s">
        <v>74</v>
      </c>
      <c r="B302" s="5" t="s">
        <v>11</v>
      </c>
      <c r="C302" s="5" t="s">
        <v>76</v>
      </c>
      <c r="D302" s="5" t="s">
        <v>370</v>
      </c>
      <c r="E302" s="5" t="s">
        <v>77</v>
      </c>
      <c r="F302" s="5" t="s">
        <v>249</v>
      </c>
      <c r="G302" s="191">
        <v>2011.0</v>
      </c>
      <c r="H302" s="191">
        <v>0.099612237</v>
      </c>
      <c r="I302" s="191">
        <v>0.128497922</v>
      </c>
      <c r="J302" s="191">
        <v>0.076069075</v>
      </c>
      <c r="K302" s="5"/>
      <c r="L302" s="5"/>
      <c r="M302" s="5"/>
      <c r="N302" s="5"/>
      <c r="O302" s="5"/>
      <c r="P302" s="5"/>
      <c r="Q302" s="5"/>
      <c r="R302" s="5"/>
      <c r="S302" s="5"/>
      <c r="T302" s="5"/>
      <c r="U302" s="5"/>
      <c r="V302" s="5"/>
      <c r="W302" s="5"/>
      <c r="X302" s="5"/>
      <c r="Y302" s="5"/>
      <c r="Z302" s="5"/>
    </row>
    <row r="303">
      <c r="A303" s="5" t="s">
        <v>371</v>
      </c>
      <c r="B303" s="5" t="s">
        <v>11</v>
      </c>
      <c r="C303" s="5" t="s">
        <v>76</v>
      </c>
      <c r="D303" s="5" t="s">
        <v>369</v>
      </c>
      <c r="E303" s="5" t="s">
        <v>77</v>
      </c>
      <c r="F303" s="5" t="s">
        <v>249</v>
      </c>
      <c r="G303" s="191">
        <v>2011.0</v>
      </c>
      <c r="H303" s="191">
        <v>0.077749361</v>
      </c>
      <c r="I303" s="191">
        <v>0.095566546</v>
      </c>
      <c r="J303" s="191">
        <v>0.062408352</v>
      </c>
      <c r="K303" s="5"/>
      <c r="L303" s="5"/>
      <c r="M303" s="5"/>
      <c r="N303" s="5"/>
      <c r="O303" s="5"/>
      <c r="P303" s="5"/>
      <c r="Q303" s="5"/>
      <c r="R303" s="5"/>
      <c r="S303" s="5"/>
      <c r="T303" s="5"/>
      <c r="U303" s="5"/>
      <c r="V303" s="5"/>
      <c r="W303" s="5"/>
      <c r="X303" s="5"/>
      <c r="Y303" s="5"/>
      <c r="Z303" s="5"/>
    </row>
    <row r="304">
      <c r="A304" s="5" t="s">
        <v>371</v>
      </c>
      <c r="B304" s="5" t="s">
        <v>11</v>
      </c>
      <c r="C304" s="5" t="s">
        <v>76</v>
      </c>
      <c r="D304" s="5" t="s">
        <v>370</v>
      </c>
      <c r="E304" s="5" t="s">
        <v>77</v>
      </c>
      <c r="F304" s="5" t="s">
        <v>249</v>
      </c>
      <c r="G304" s="191">
        <v>2011.0</v>
      </c>
      <c r="H304" s="191">
        <v>0.019816713</v>
      </c>
      <c r="I304" s="191">
        <v>0.022809012</v>
      </c>
      <c r="J304" s="191">
        <v>0.017320663</v>
      </c>
      <c r="K304" s="5"/>
      <c r="L304" s="5"/>
      <c r="M304" s="5"/>
      <c r="N304" s="5"/>
      <c r="O304" s="5"/>
      <c r="P304" s="5"/>
      <c r="Q304" s="5"/>
      <c r="R304" s="5"/>
      <c r="S304" s="5"/>
      <c r="T304" s="5"/>
      <c r="U304" s="5"/>
      <c r="V304" s="5"/>
      <c r="W304" s="5"/>
      <c r="X304" s="5"/>
      <c r="Y304" s="5"/>
      <c r="Z304" s="5"/>
    </row>
    <row r="305">
      <c r="A305" s="5" t="s">
        <v>74</v>
      </c>
      <c r="B305" s="5" t="s">
        <v>15</v>
      </c>
      <c r="C305" s="5" t="s">
        <v>76</v>
      </c>
      <c r="D305" s="5" t="s">
        <v>369</v>
      </c>
      <c r="E305" s="5" t="s">
        <v>77</v>
      </c>
      <c r="F305" s="5" t="s">
        <v>249</v>
      </c>
      <c r="G305" s="191">
        <v>2011.0</v>
      </c>
      <c r="H305" s="191">
        <v>0.113397322</v>
      </c>
      <c r="I305" s="191">
        <v>0.152606366</v>
      </c>
      <c r="J305" s="191">
        <v>0.081187349</v>
      </c>
      <c r="K305" s="5"/>
      <c r="L305" s="5"/>
      <c r="M305" s="5"/>
      <c r="N305" s="5"/>
      <c r="O305" s="5"/>
      <c r="P305" s="5"/>
      <c r="Q305" s="5"/>
      <c r="R305" s="5"/>
      <c r="S305" s="5"/>
      <c r="T305" s="5"/>
      <c r="U305" s="5"/>
      <c r="V305" s="5"/>
      <c r="W305" s="5"/>
      <c r="X305" s="5"/>
      <c r="Y305" s="5"/>
      <c r="Z305" s="5"/>
    </row>
    <row r="306">
      <c r="A306" s="5" t="s">
        <v>74</v>
      </c>
      <c r="B306" s="5" t="s">
        <v>15</v>
      </c>
      <c r="C306" s="5" t="s">
        <v>76</v>
      </c>
      <c r="D306" s="5" t="s">
        <v>370</v>
      </c>
      <c r="E306" s="5" t="s">
        <v>77</v>
      </c>
      <c r="F306" s="5" t="s">
        <v>249</v>
      </c>
      <c r="G306" s="191">
        <v>2011.0</v>
      </c>
      <c r="H306" s="191">
        <v>0.073401651</v>
      </c>
      <c r="I306" s="191">
        <v>0.096093556</v>
      </c>
      <c r="J306" s="191">
        <v>0.054755584</v>
      </c>
      <c r="K306" s="5"/>
      <c r="L306" s="5"/>
      <c r="M306" s="5"/>
      <c r="N306" s="5"/>
      <c r="O306" s="5"/>
      <c r="P306" s="5"/>
      <c r="Q306" s="5"/>
      <c r="R306" s="5"/>
      <c r="S306" s="5"/>
      <c r="T306" s="5"/>
      <c r="U306" s="5"/>
      <c r="V306" s="5"/>
      <c r="W306" s="5"/>
      <c r="X306" s="5"/>
      <c r="Y306" s="5"/>
      <c r="Z306" s="5"/>
    </row>
    <row r="307">
      <c r="A307" s="5" t="s">
        <v>371</v>
      </c>
      <c r="B307" s="5" t="s">
        <v>15</v>
      </c>
      <c r="C307" s="5" t="s">
        <v>76</v>
      </c>
      <c r="D307" s="5" t="s">
        <v>369</v>
      </c>
      <c r="E307" s="5" t="s">
        <v>77</v>
      </c>
      <c r="F307" s="5" t="s">
        <v>249</v>
      </c>
      <c r="G307" s="191">
        <v>2011.0</v>
      </c>
      <c r="H307" s="191">
        <v>0.096152978</v>
      </c>
      <c r="I307" s="191">
        <v>0.115635834</v>
      </c>
      <c r="J307" s="191">
        <v>0.077885454</v>
      </c>
      <c r="K307" s="5"/>
      <c r="L307" s="5"/>
      <c r="M307" s="5"/>
      <c r="N307" s="5"/>
      <c r="O307" s="5"/>
      <c r="P307" s="5"/>
      <c r="Q307" s="5"/>
      <c r="R307" s="5"/>
      <c r="S307" s="5"/>
      <c r="T307" s="5"/>
      <c r="U307" s="5"/>
      <c r="V307" s="5"/>
      <c r="W307" s="5"/>
      <c r="X307" s="5"/>
      <c r="Y307" s="5"/>
      <c r="Z307" s="5"/>
    </row>
    <row r="308">
      <c r="A308" s="5" t="s">
        <v>371</v>
      </c>
      <c r="B308" s="5" t="s">
        <v>15</v>
      </c>
      <c r="C308" s="5" t="s">
        <v>76</v>
      </c>
      <c r="D308" s="5" t="s">
        <v>370</v>
      </c>
      <c r="E308" s="5" t="s">
        <v>77</v>
      </c>
      <c r="F308" s="5" t="s">
        <v>249</v>
      </c>
      <c r="G308" s="191">
        <v>2011.0</v>
      </c>
      <c r="H308" s="191">
        <v>0.025146775</v>
      </c>
      <c r="I308" s="191">
        <v>0.028587948</v>
      </c>
      <c r="J308" s="191">
        <v>0.021930822</v>
      </c>
      <c r="K308" s="5"/>
      <c r="L308" s="5"/>
      <c r="M308" s="5"/>
      <c r="N308" s="5"/>
      <c r="O308" s="5"/>
      <c r="P308" s="5"/>
      <c r="Q308" s="5"/>
      <c r="R308" s="5"/>
      <c r="S308" s="5"/>
      <c r="T308" s="5"/>
      <c r="U308" s="5"/>
      <c r="V308" s="5"/>
      <c r="W308" s="5"/>
      <c r="X308" s="5"/>
      <c r="Y308" s="5"/>
      <c r="Z308" s="5"/>
    </row>
    <row r="309">
      <c r="A309" s="5" t="s">
        <v>74</v>
      </c>
      <c r="B309" s="5" t="s">
        <v>372</v>
      </c>
      <c r="C309" s="5" t="s">
        <v>76</v>
      </c>
      <c r="D309" s="5" t="s">
        <v>369</v>
      </c>
      <c r="E309" s="5" t="s">
        <v>77</v>
      </c>
      <c r="F309" s="5" t="s">
        <v>249</v>
      </c>
      <c r="G309" s="191">
        <v>2011.0</v>
      </c>
      <c r="H309" s="191">
        <v>0.113454755</v>
      </c>
      <c r="I309" s="191">
        <v>0.138309115</v>
      </c>
      <c r="J309" s="191">
        <v>0.090299263</v>
      </c>
      <c r="K309" s="5"/>
      <c r="L309" s="5"/>
      <c r="M309" s="5"/>
      <c r="N309" s="5"/>
      <c r="O309" s="5"/>
      <c r="P309" s="5"/>
      <c r="Q309" s="5"/>
      <c r="R309" s="5"/>
      <c r="S309" s="5"/>
      <c r="T309" s="5"/>
      <c r="U309" s="5"/>
      <c r="V309" s="5"/>
      <c r="W309" s="5"/>
      <c r="X309" s="5"/>
      <c r="Y309" s="5"/>
      <c r="Z309" s="5"/>
    </row>
    <row r="310">
      <c r="A310" s="5" t="s">
        <v>74</v>
      </c>
      <c r="B310" s="5" t="s">
        <v>372</v>
      </c>
      <c r="C310" s="5" t="s">
        <v>76</v>
      </c>
      <c r="D310" s="5" t="s">
        <v>370</v>
      </c>
      <c r="E310" s="5" t="s">
        <v>77</v>
      </c>
      <c r="F310" s="5" t="s">
        <v>249</v>
      </c>
      <c r="G310" s="191">
        <v>2011.0</v>
      </c>
      <c r="H310" s="191">
        <v>0.082710157</v>
      </c>
      <c r="I310" s="191">
        <v>0.106349588</v>
      </c>
      <c r="J310" s="191">
        <v>0.061944891</v>
      </c>
      <c r="K310" s="5"/>
      <c r="L310" s="5"/>
      <c r="M310" s="5"/>
      <c r="N310" s="5"/>
      <c r="O310" s="5"/>
      <c r="P310" s="5"/>
      <c r="Q310" s="5"/>
      <c r="R310" s="5"/>
      <c r="S310" s="5"/>
      <c r="T310" s="5"/>
      <c r="U310" s="5"/>
      <c r="V310" s="5"/>
      <c r="W310" s="5"/>
      <c r="X310" s="5"/>
      <c r="Y310" s="5"/>
      <c r="Z310" s="5"/>
    </row>
    <row r="311">
      <c r="A311" s="5" t="s">
        <v>371</v>
      </c>
      <c r="B311" s="5" t="s">
        <v>372</v>
      </c>
      <c r="C311" s="5" t="s">
        <v>76</v>
      </c>
      <c r="D311" s="5" t="s">
        <v>369</v>
      </c>
      <c r="E311" s="5" t="s">
        <v>77</v>
      </c>
      <c r="F311" s="5" t="s">
        <v>249</v>
      </c>
      <c r="G311" s="191">
        <v>2011.0</v>
      </c>
      <c r="H311" s="191">
        <v>0.072243875</v>
      </c>
      <c r="I311" s="191">
        <v>0.09318909</v>
      </c>
      <c r="J311" s="191">
        <v>0.056288929</v>
      </c>
      <c r="K311" s="5"/>
      <c r="L311" s="5"/>
      <c r="M311" s="5"/>
      <c r="N311" s="5"/>
      <c r="O311" s="5"/>
      <c r="P311" s="5"/>
      <c r="Q311" s="5"/>
      <c r="R311" s="5"/>
      <c r="S311" s="5"/>
      <c r="T311" s="5"/>
      <c r="U311" s="5"/>
      <c r="V311" s="5"/>
      <c r="W311" s="5"/>
      <c r="X311" s="5"/>
      <c r="Y311" s="5"/>
      <c r="Z311" s="5"/>
    </row>
    <row r="312">
      <c r="A312" s="5" t="s">
        <v>371</v>
      </c>
      <c r="B312" s="5" t="s">
        <v>372</v>
      </c>
      <c r="C312" s="5" t="s">
        <v>76</v>
      </c>
      <c r="D312" s="5" t="s">
        <v>370</v>
      </c>
      <c r="E312" s="5" t="s">
        <v>77</v>
      </c>
      <c r="F312" s="5" t="s">
        <v>249</v>
      </c>
      <c r="G312" s="191">
        <v>2011.0</v>
      </c>
      <c r="H312" s="191">
        <v>0.02521327</v>
      </c>
      <c r="I312" s="191">
        <v>0.029498692</v>
      </c>
      <c r="J312" s="191">
        <v>0.021521681</v>
      </c>
      <c r="K312" s="5"/>
      <c r="L312" s="5"/>
      <c r="M312" s="5"/>
      <c r="N312" s="5"/>
      <c r="O312" s="5"/>
      <c r="P312" s="5"/>
      <c r="Q312" s="5"/>
      <c r="R312" s="5"/>
      <c r="S312" s="5"/>
      <c r="T312" s="5"/>
      <c r="U312" s="5"/>
      <c r="V312" s="5"/>
      <c r="W312" s="5"/>
      <c r="X312" s="5"/>
      <c r="Y312" s="5"/>
      <c r="Z312" s="5"/>
    </row>
    <row r="313">
      <c r="A313" s="5" t="s">
        <v>74</v>
      </c>
      <c r="B313" s="5" t="s">
        <v>373</v>
      </c>
      <c r="C313" s="5" t="s">
        <v>76</v>
      </c>
      <c r="D313" s="5" t="s">
        <v>369</v>
      </c>
      <c r="E313" s="5" t="s">
        <v>77</v>
      </c>
      <c r="F313" s="5" t="s">
        <v>249</v>
      </c>
      <c r="G313" s="191">
        <v>2011.0</v>
      </c>
      <c r="H313" s="191">
        <v>0.113455526</v>
      </c>
      <c r="I313" s="191">
        <v>0.161516722</v>
      </c>
      <c r="J313" s="191">
        <v>0.077884851</v>
      </c>
      <c r="K313" s="5"/>
      <c r="L313" s="5"/>
      <c r="M313" s="5"/>
      <c r="N313" s="5"/>
      <c r="O313" s="5"/>
      <c r="P313" s="5"/>
      <c r="Q313" s="5"/>
      <c r="R313" s="5"/>
      <c r="S313" s="5"/>
      <c r="T313" s="5"/>
      <c r="U313" s="5"/>
      <c r="V313" s="5"/>
      <c r="W313" s="5"/>
      <c r="X313" s="5"/>
      <c r="Y313" s="5"/>
      <c r="Z313" s="5"/>
    </row>
    <row r="314">
      <c r="A314" s="5" t="s">
        <v>74</v>
      </c>
      <c r="B314" s="5" t="s">
        <v>373</v>
      </c>
      <c r="C314" s="5" t="s">
        <v>76</v>
      </c>
      <c r="D314" s="5" t="s">
        <v>370</v>
      </c>
      <c r="E314" s="5" t="s">
        <v>77</v>
      </c>
      <c r="F314" s="5" t="s">
        <v>249</v>
      </c>
      <c r="G314" s="191">
        <v>2011.0</v>
      </c>
      <c r="H314" s="191">
        <v>0.072221354</v>
      </c>
      <c r="I314" s="191">
        <v>0.097500866</v>
      </c>
      <c r="J314" s="191">
        <v>0.051071557</v>
      </c>
      <c r="K314" s="5"/>
      <c r="L314" s="5"/>
      <c r="M314" s="5"/>
      <c r="N314" s="5"/>
      <c r="O314" s="5"/>
      <c r="P314" s="5"/>
      <c r="Q314" s="5"/>
      <c r="R314" s="5"/>
      <c r="S314" s="5"/>
      <c r="T314" s="5"/>
      <c r="U314" s="5"/>
      <c r="V314" s="5"/>
      <c r="W314" s="5"/>
      <c r="X314" s="5"/>
      <c r="Y314" s="5"/>
      <c r="Z314" s="5"/>
    </row>
    <row r="315">
      <c r="A315" s="5" t="s">
        <v>371</v>
      </c>
      <c r="B315" s="5" t="s">
        <v>373</v>
      </c>
      <c r="C315" s="5" t="s">
        <v>76</v>
      </c>
      <c r="D315" s="5" t="s">
        <v>369</v>
      </c>
      <c r="E315" s="5" t="s">
        <v>77</v>
      </c>
      <c r="F315" s="5" t="s">
        <v>249</v>
      </c>
      <c r="G315" s="191">
        <v>2011.0</v>
      </c>
      <c r="H315" s="191">
        <v>0.094234906</v>
      </c>
      <c r="I315" s="191">
        <v>0.112431866</v>
      </c>
      <c r="J315" s="191">
        <v>0.076146049</v>
      </c>
      <c r="K315" s="5"/>
      <c r="L315" s="5"/>
      <c r="M315" s="5"/>
      <c r="N315" s="5"/>
      <c r="O315" s="5"/>
      <c r="P315" s="5"/>
      <c r="Q315" s="5"/>
      <c r="R315" s="5"/>
      <c r="S315" s="5"/>
      <c r="T315" s="5"/>
      <c r="U315" s="5"/>
      <c r="V315" s="5"/>
      <c r="W315" s="5"/>
      <c r="X315" s="5"/>
      <c r="Y315" s="5"/>
      <c r="Z315" s="5"/>
    </row>
    <row r="316">
      <c r="A316" s="5" t="s">
        <v>371</v>
      </c>
      <c r="B316" s="5" t="s">
        <v>373</v>
      </c>
      <c r="C316" s="5" t="s">
        <v>76</v>
      </c>
      <c r="D316" s="5" t="s">
        <v>370</v>
      </c>
      <c r="E316" s="5" t="s">
        <v>77</v>
      </c>
      <c r="F316" s="5" t="s">
        <v>249</v>
      </c>
      <c r="G316" s="191">
        <v>2011.0</v>
      </c>
      <c r="H316" s="191">
        <v>0.01927789</v>
      </c>
      <c r="I316" s="191">
        <v>0.022392621</v>
      </c>
      <c r="J316" s="191">
        <v>0.016408396</v>
      </c>
      <c r="K316" s="5"/>
      <c r="L316" s="5"/>
      <c r="M316" s="5"/>
      <c r="N316" s="5"/>
      <c r="O316" s="5"/>
      <c r="P316" s="5"/>
      <c r="Q316" s="5"/>
      <c r="R316" s="5"/>
      <c r="S316" s="5"/>
      <c r="T316" s="5"/>
      <c r="U316" s="5"/>
      <c r="V316" s="5"/>
      <c r="W316" s="5"/>
      <c r="X316" s="5"/>
      <c r="Y316" s="5"/>
      <c r="Z316" s="5"/>
    </row>
    <row r="317">
      <c r="A317" s="5" t="s">
        <v>74</v>
      </c>
      <c r="B317" s="5" t="s">
        <v>14</v>
      </c>
      <c r="C317" s="5" t="s">
        <v>76</v>
      </c>
      <c r="D317" s="5" t="s">
        <v>369</v>
      </c>
      <c r="E317" s="5" t="s">
        <v>77</v>
      </c>
      <c r="F317" s="5" t="s">
        <v>249</v>
      </c>
      <c r="G317" s="191">
        <v>2011.0</v>
      </c>
      <c r="H317" s="191">
        <v>0.055303262</v>
      </c>
      <c r="I317" s="191">
        <v>0.083315486</v>
      </c>
      <c r="J317" s="191">
        <v>0.033165937</v>
      </c>
      <c r="K317" s="5"/>
      <c r="L317" s="5"/>
      <c r="M317" s="5"/>
      <c r="N317" s="5"/>
      <c r="O317" s="5"/>
      <c r="P317" s="5"/>
      <c r="Q317" s="5"/>
      <c r="R317" s="5"/>
      <c r="S317" s="5"/>
      <c r="T317" s="5"/>
      <c r="U317" s="5"/>
      <c r="V317" s="5"/>
      <c r="W317" s="5"/>
      <c r="X317" s="5"/>
      <c r="Y317" s="5"/>
      <c r="Z317" s="5"/>
    </row>
    <row r="318">
      <c r="A318" s="5" t="s">
        <v>74</v>
      </c>
      <c r="B318" s="5" t="s">
        <v>14</v>
      </c>
      <c r="C318" s="5" t="s">
        <v>76</v>
      </c>
      <c r="D318" s="5" t="s">
        <v>370</v>
      </c>
      <c r="E318" s="5" t="s">
        <v>77</v>
      </c>
      <c r="F318" s="5" t="s">
        <v>249</v>
      </c>
      <c r="G318" s="191">
        <v>2011.0</v>
      </c>
      <c r="H318" s="191">
        <v>0.046258731</v>
      </c>
      <c r="I318" s="191">
        <v>0.063227992</v>
      </c>
      <c r="J318" s="191">
        <v>0.031749614</v>
      </c>
      <c r="K318" s="5"/>
      <c r="L318" s="5"/>
      <c r="M318" s="5"/>
      <c r="N318" s="5"/>
      <c r="O318" s="5"/>
      <c r="P318" s="5"/>
      <c r="Q318" s="5"/>
      <c r="R318" s="5"/>
      <c r="S318" s="5"/>
      <c r="T318" s="5"/>
      <c r="U318" s="5"/>
      <c r="V318" s="5"/>
      <c r="W318" s="5"/>
      <c r="X318" s="5"/>
      <c r="Y318" s="5"/>
      <c r="Z318" s="5"/>
    </row>
    <row r="319">
      <c r="A319" s="5" t="s">
        <v>371</v>
      </c>
      <c r="B319" s="5" t="s">
        <v>14</v>
      </c>
      <c r="C319" s="5" t="s">
        <v>76</v>
      </c>
      <c r="D319" s="5" t="s">
        <v>369</v>
      </c>
      <c r="E319" s="5" t="s">
        <v>77</v>
      </c>
      <c r="F319" s="5" t="s">
        <v>249</v>
      </c>
      <c r="G319" s="191">
        <v>2011.0</v>
      </c>
      <c r="H319" s="191">
        <v>0.075951167</v>
      </c>
      <c r="I319" s="191">
        <v>0.094163077</v>
      </c>
      <c r="J319" s="191">
        <v>0.061257539</v>
      </c>
      <c r="K319" s="5"/>
      <c r="L319" s="5"/>
      <c r="M319" s="5"/>
      <c r="N319" s="5"/>
      <c r="O319" s="5"/>
      <c r="P319" s="5"/>
      <c r="Q319" s="5"/>
      <c r="R319" s="5"/>
      <c r="S319" s="5"/>
      <c r="T319" s="5"/>
      <c r="U319" s="5"/>
      <c r="V319" s="5"/>
      <c r="W319" s="5"/>
      <c r="X319" s="5"/>
      <c r="Y319" s="5"/>
      <c r="Z319" s="5"/>
    </row>
    <row r="320">
      <c r="A320" s="5" t="s">
        <v>371</v>
      </c>
      <c r="B320" s="5" t="s">
        <v>14</v>
      </c>
      <c r="C320" s="5" t="s">
        <v>76</v>
      </c>
      <c r="D320" s="5" t="s">
        <v>370</v>
      </c>
      <c r="E320" s="5" t="s">
        <v>77</v>
      </c>
      <c r="F320" s="5" t="s">
        <v>249</v>
      </c>
      <c r="G320" s="191">
        <v>2011.0</v>
      </c>
      <c r="H320" s="191">
        <v>0.020237062</v>
      </c>
      <c r="I320" s="191">
        <v>0.023497231</v>
      </c>
      <c r="J320" s="191">
        <v>0.017511874</v>
      </c>
      <c r="K320" s="5"/>
      <c r="L320" s="5"/>
      <c r="M320" s="5"/>
      <c r="N320" s="5"/>
      <c r="O320" s="5"/>
      <c r="P320" s="5"/>
      <c r="Q320" s="5"/>
      <c r="R320" s="5"/>
      <c r="S320" s="5"/>
      <c r="T320" s="5"/>
      <c r="U320" s="5"/>
      <c r="V320" s="5"/>
      <c r="W320" s="5"/>
      <c r="X320" s="5"/>
      <c r="Y320" s="5"/>
      <c r="Z320" s="5"/>
    </row>
    <row r="321">
      <c r="A321" s="5" t="s">
        <v>74</v>
      </c>
      <c r="B321" s="5" t="s">
        <v>374</v>
      </c>
      <c r="C321" s="5" t="s">
        <v>76</v>
      </c>
      <c r="D321" s="5" t="s">
        <v>369</v>
      </c>
      <c r="E321" s="5" t="s">
        <v>77</v>
      </c>
      <c r="F321" s="5" t="s">
        <v>249</v>
      </c>
      <c r="G321" s="191">
        <v>2011.0</v>
      </c>
      <c r="H321" s="191">
        <v>0.008942305</v>
      </c>
      <c r="I321" s="191">
        <v>0.010491726</v>
      </c>
      <c r="J321" s="191">
        <v>0.007597651</v>
      </c>
      <c r="K321" s="5"/>
      <c r="L321" s="5"/>
      <c r="M321" s="5"/>
      <c r="N321" s="5"/>
      <c r="O321" s="5"/>
      <c r="P321" s="5"/>
      <c r="Q321" s="5"/>
      <c r="R321" s="5"/>
      <c r="S321" s="5"/>
      <c r="T321" s="5"/>
      <c r="U321" s="5"/>
      <c r="V321" s="5"/>
      <c r="W321" s="5"/>
      <c r="X321" s="5"/>
      <c r="Y321" s="5"/>
      <c r="Z321" s="5"/>
    </row>
    <row r="322">
      <c r="A322" s="5" t="s">
        <v>74</v>
      </c>
      <c r="B322" s="5" t="s">
        <v>374</v>
      </c>
      <c r="C322" s="5" t="s">
        <v>76</v>
      </c>
      <c r="D322" s="5" t="s">
        <v>370</v>
      </c>
      <c r="E322" s="5" t="s">
        <v>77</v>
      </c>
      <c r="F322" s="5" t="s">
        <v>249</v>
      </c>
      <c r="G322" s="191">
        <v>2011.0</v>
      </c>
      <c r="H322" s="191">
        <v>0.001240041</v>
      </c>
      <c r="I322" s="191">
        <v>0.00149961</v>
      </c>
      <c r="J322" s="191">
        <v>0.001041218</v>
      </c>
      <c r="K322" s="5"/>
      <c r="L322" s="5"/>
      <c r="M322" s="5"/>
      <c r="N322" s="5"/>
      <c r="O322" s="5"/>
      <c r="P322" s="5"/>
      <c r="Q322" s="5"/>
      <c r="R322" s="5"/>
      <c r="S322" s="5"/>
      <c r="T322" s="5"/>
      <c r="U322" s="5"/>
      <c r="V322" s="5"/>
      <c r="W322" s="5"/>
      <c r="X322" s="5"/>
      <c r="Y322" s="5"/>
      <c r="Z322" s="5"/>
    </row>
    <row r="323">
      <c r="A323" s="5" t="s">
        <v>371</v>
      </c>
      <c r="B323" s="5" t="s">
        <v>374</v>
      </c>
      <c r="C323" s="5" t="s">
        <v>76</v>
      </c>
      <c r="D323" s="5" t="s">
        <v>369</v>
      </c>
      <c r="E323" s="5" t="s">
        <v>77</v>
      </c>
      <c r="F323" s="5" t="s">
        <v>249</v>
      </c>
      <c r="G323" s="191">
        <v>2011.0</v>
      </c>
      <c r="H323" s="191">
        <v>0.031786181</v>
      </c>
      <c r="I323" s="191">
        <v>0.041432718</v>
      </c>
      <c r="J323" s="191">
        <v>0.023399655</v>
      </c>
      <c r="K323" s="5"/>
      <c r="L323" s="5"/>
      <c r="M323" s="5"/>
      <c r="N323" s="5"/>
      <c r="O323" s="5"/>
      <c r="P323" s="5"/>
      <c r="Q323" s="5"/>
      <c r="R323" s="5"/>
      <c r="S323" s="5"/>
      <c r="T323" s="5"/>
      <c r="U323" s="5"/>
      <c r="V323" s="5"/>
      <c r="W323" s="5"/>
      <c r="X323" s="5"/>
      <c r="Y323" s="5"/>
      <c r="Z323" s="5"/>
    </row>
    <row r="324">
      <c r="A324" s="5" t="s">
        <v>371</v>
      </c>
      <c r="B324" s="5" t="s">
        <v>374</v>
      </c>
      <c r="C324" s="5" t="s">
        <v>76</v>
      </c>
      <c r="D324" s="5" t="s">
        <v>370</v>
      </c>
      <c r="E324" s="5" t="s">
        <v>77</v>
      </c>
      <c r="F324" s="5" t="s">
        <v>249</v>
      </c>
      <c r="G324" s="191">
        <v>2011.0</v>
      </c>
      <c r="H324" s="191">
        <v>0.014040039</v>
      </c>
      <c r="I324" s="191">
        <v>0.016762185</v>
      </c>
      <c r="J324" s="191">
        <v>0.011695843</v>
      </c>
      <c r="K324" s="5"/>
      <c r="L324" s="5"/>
      <c r="M324" s="5"/>
      <c r="N324" s="5"/>
      <c r="O324" s="5"/>
      <c r="P324" s="5"/>
      <c r="Q324" s="5"/>
      <c r="R324" s="5"/>
      <c r="S324" s="5"/>
      <c r="T324" s="5"/>
      <c r="U324" s="5"/>
      <c r="V324" s="5"/>
      <c r="W324" s="5"/>
      <c r="X324" s="5"/>
      <c r="Y324" s="5"/>
      <c r="Z324" s="5"/>
    </row>
    <row r="325">
      <c r="A325" s="5" t="s">
        <v>74</v>
      </c>
      <c r="B325" s="5" t="s">
        <v>375</v>
      </c>
      <c r="C325" s="5" t="s">
        <v>76</v>
      </c>
      <c r="D325" s="5" t="s">
        <v>369</v>
      </c>
      <c r="E325" s="5" t="s">
        <v>77</v>
      </c>
      <c r="F325" s="5" t="s">
        <v>249</v>
      </c>
      <c r="G325" s="191">
        <v>2011.0</v>
      </c>
      <c r="H325" s="191">
        <v>0.129939715</v>
      </c>
      <c r="I325" s="191">
        <v>0.173898654</v>
      </c>
      <c r="J325" s="191">
        <v>0.093837538</v>
      </c>
      <c r="K325" s="5"/>
      <c r="L325" s="5"/>
      <c r="M325" s="5"/>
      <c r="N325" s="5"/>
      <c r="O325" s="5"/>
      <c r="P325" s="5"/>
      <c r="Q325" s="5"/>
      <c r="R325" s="5"/>
      <c r="S325" s="5"/>
      <c r="T325" s="5"/>
      <c r="U325" s="5"/>
      <c r="V325" s="5"/>
      <c r="W325" s="5"/>
      <c r="X325" s="5"/>
      <c r="Y325" s="5"/>
      <c r="Z325" s="5"/>
    </row>
    <row r="326">
      <c r="A326" s="5" t="s">
        <v>74</v>
      </c>
      <c r="B326" s="5" t="s">
        <v>375</v>
      </c>
      <c r="C326" s="5" t="s">
        <v>76</v>
      </c>
      <c r="D326" s="5" t="s">
        <v>370</v>
      </c>
      <c r="E326" s="5" t="s">
        <v>77</v>
      </c>
      <c r="F326" s="5" t="s">
        <v>249</v>
      </c>
      <c r="G326" s="191">
        <v>2011.0</v>
      </c>
      <c r="H326" s="191">
        <v>0.074176966</v>
      </c>
      <c r="I326" s="191">
        <v>0.097677103</v>
      </c>
      <c r="J326" s="191">
        <v>0.056273813</v>
      </c>
      <c r="K326" s="5"/>
      <c r="L326" s="5"/>
      <c r="M326" s="5"/>
      <c r="N326" s="5"/>
      <c r="O326" s="5"/>
      <c r="P326" s="5"/>
      <c r="Q326" s="5"/>
      <c r="R326" s="5"/>
      <c r="S326" s="5"/>
      <c r="T326" s="5"/>
      <c r="U326" s="5"/>
      <c r="V326" s="5"/>
      <c r="W326" s="5"/>
      <c r="X326" s="5"/>
      <c r="Y326" s="5"/>
      <c r="Z326" s="5"/>
    </row>
    <row r="327">
      <c r="A327" s="5" t="s">
        <v>371</v>
      </c>
      <c r="B327" s="5" t="s">
        <v>375</v>
      </c>
      <c r="C327" s="5" t="s">
        <v>76</v>
      </c>
      <c r="D327" s="5" t="s">
        <v>369</v>
      </c>
      <c r="E327" s="5" t="s">
        <v>77</v>
      </c>
      <c r="F327" s="5" t="s">
        <v>249</v>
      </c>
      <c r="G327" s="191">
        <v>2011.0</v>
      </c>
      <c r="H327" s="191">
        <v>0.072879605</v>
      </c>
      <c r="I327" s="191">
        <v>0.08939886</v>
      </c>
      <c r="J327" s="191">
        <v>0.058182193</v>
      </c>
      <c r="K327" s="5"/>
      <c r="L327" s="5"/>
      <c r="M327" s="5"/>
      <c r="N327" s="5"/>
      <c r="O327" s="5"/>
      <c r="P327" s="5"/>
      <c r="Q327" s="5"/>
      <c r="R327" s="5"/>
      <c r="S327" s="5"/>
      <c r="T327" s="5"/>
      <c r="U327" s="5"/>
      <c r="V327" s="5"/>
      <c r="W327" s="5"/>
      <c r="X327" s="5"/>
      <c r="Y327" s="5"/>
      <c r="Z327" s="5"/>
    </row>
    <row r="328">
      <c r="A328" s="5" t="s">
        <v>371</v>
      </c>
      <c r="B328" s="5" t="s">
        <v>375</v>
      </c>
      <c r="C328" s="5" t="s">
        <v>76</v>
      </c>
      <c r="D328" s="5" t="s">
        <v>370</v>
      </c>
      <c r="E328" s="5" t="s">
        <v>77</v>
      </c>
      <c r="F328" s="5" t="s">
        <v>249</v>
      </c>
      <c r="G328" s="191">
        <v>2011.0</v>
      </c>
      <c r="H328" s="191">
        <v>0.022741235</v>
      </c>
      <c r="I328" s="191">
        <v>0.025990382</v>
      </c>
      <c r="J328" s="191">
        <v>0.019713442</v>
      </c>
      <c r="K328" s="5"/>
      <c r="L328" s="5"/>
      <c r="M328" s="5"/>
      <c r="N328" s="5"/>
      <c r="O328" s="5"/>
      <c r="P328" s="5"/>
      <c r="Q328" s="5"/>
      <c r="R328" s="5"/>
      <c r="S328" s="5"/>
      <c r="T328" s="5"/>
      <c r="U328" s="5"/>
      <c r="V328" s="5"/>
      <c r="W328" s="5"/>
      <c r="X328" s="5"/>
      <c r="Y328" s="5"/>
      <c r="Z328" s="5"/>
    </row>
    <row r="329">
      <c r="A329" s="5" t="s">
        <v>74</v>
      </c>
      <c r="B329" s="5" t="s">
        <v>365</v>
      </c>
      <c r="C329" s="5" t="s">
        <v>76</v>
      </c>
      <c r="D329" s="5" t="s">
        <v>369</v>
      </c>
      <c r="E329" s="5" t="s">
        <v>77</v>
      </c>
      <c r="F329" s="5" t="s">
        <v>249</v>
      </c>
      <c r="G329" s="191">
        <v>2011.0</v>
      </c>
      <c r="H329" s="191">
        <v>0.061323878</v>
      </c>
      <c r="I329" s="191">
        <v>0.097082764</v>
      </c>
      <c r="J329" s="191">
        <v>0.036776989</v>
      </c>
      <c r="K329" s="5"/>
      <c r="L329" s="5"/>
      <c r="M329" s="5"/>
      <c r="N329" s="5"/>
      <c r="O329" s="5"/>
      <c r="P329" s="5"/>
      <c r="Q329" s="5"/>
      <c r="R329" s="5"/>
      <c r="S329" s="5"/>
      <c r="T329" s="5"/>
      <c r="U329" s="5"/>
      <c r="V329" s="5"/>
      <c r="W329" s="5"/>
      <c r="X329" s="5"/>
      <c r="Y329" s="5"/>
      <c r="Z329" s="5"/>
    </row>
    <row r="330">
      <c r="A330" s="5" t="s">
        <v>74</v>
      </c>
      <c r="B330" s="5" t="s">
        <v>365</v>
      </c>
      <c r="C330" s="5" t="s">
        <v>76</v>
      </c>
      <c r="D330" s="5" t="s">
        <v>370</v>
      </c>
      <c r="E330" s="5" t="s">
        <v>77</v>
      </c>
      <c r="F330" s="5" t="s">
        <v>249</v>
      </c>
      <c r="G330" s="191">
        <v>2011.0</v>
      </c>
      <c r="H330" s="191">
        <v>0.040349559</v>
      </c>
      <c r="I330" s="191">
        <v>0.055609757</v>
      </c>
      <c r="J330" s="191">
        <v>0.026892677</v>
      </c>
      <c r="K330" s="5"/>
      <c r="L330" s="5"/>
      <c r="M330" s="5"/>
      <c r="N330" s="5"/>
      <c r="O330" s="5"/>
      <c r="P330" s="5"/>
      <c r="Q330" s="5"/>
      <c r="R330" s="5"/>
      <c r="S330" s="5"/>
      <c r="T330" s="5"/>
      <c r="U330" s="5"/>
      <c r="V330" s="5"/>
      <c r="W330" s="5"/>
      <c r="X330" s="5"/>
      <c r="Y330" s="5"/>
      <c r="Z330" s="5"/>
    </row>
    <row r="331">
      <c r="A331" s="5" t="s">
        <v>371</v>
      </c>
      <c r="B331" s="5" t="s">
        <v>365</v>
      </c>
      <c r="C331" s="5" t="s">
        <v>76</v>
      </c>
      <c r="D331" s="5" t="s">
        <v>369</v>
      </c>
      <c r="E331" s="5" t="s">
        <v>77</v>
      </c>
      <c r="F331" s="5" t="s">
        <v>249</v>
      </c>
      <c r="G331" s="191">
        <v>2011.0</v>
      </c>
      <c r="H331" s="191">
        <v>0.095620267</v>
      </c>
      <c r="I331" s="191">
        <v>0.114445847</v>
      </c>
      <c r="J331" s="191">
        <v>0.076959314</v>
      </c>
      <c r="K331" s="5"/>
      <c r="L331" s="5"/>
      <c r="M331" s="5"/>
      <c r="N331" s="5"/>
      <c r="O331" s="5"/>
      <c r="P331" s="5"/>
      <c r="Q331" s="5"/>
      <c r="R331" s="5"/>
      <c r="S331" s="5"/>
      <c r="T331" s="5"/>
      <c r="U331" s="5"/>
      <c r="V331" s="5"/>
      <c r="W331" s="5"/>
      <c r="X331" s="5"/>
      <c r="Y331" s="5"/>
      <c r="Z331" s="5"/>
    </row>
    <row r="332">
      <c r="A332" s="5" t="s">
        <v>371</v>
      </c>
      <c r="B332" s="5" t="s">
        <v>365</v>
      </c>
      <c r="C332" s="5" t="s">
        <v>76</v>
      </c>
      <c r="D332" s="5" t="s">
        <v>370</v>
      </c>
      <c r="E332" s="5" t="s">
        <v>77</v>
      </c>
      <c r="F332" s="5" t="s">
        <v>249</v>
      </c>
      <c r="G332" s="191">
        <v>2011.0</v>
      </c>
      <c r="H332" s="191">
        <v>0.022189618</v>
      </c>
      <c r="I332" s="191">
        <v>0.025312865</v>
      </c>
      <c r="J332" s="191">
        <v>0.019290272</v>
      </c>
      <c r="K332" s="5"/>
      <c r="L332" s="5"/>
      <c r="M332" s="5"/>
      <c r="N332" s="5"/>
      <c r="O332" s="5"/>
      <c r="P332" s="5"/>
      <c r="Q332" s="5"/>
      <c r="R332" s="5"/>
      <c r="S332" s="5"/>
      <c r="T332" s="5"/>
      <c r="U332" s="5"/>
      <c r="V332" s="5"/>
      <c r="W332" s="5"/>
      <c r="X332" s="5"/>
      <c r="Y332" s="5"/>
      <c r="Z332" s="5"/>
    </row>
    <row r="333">
      <c r="A333" s="5" t="s">
        <v>74</v>
      </c>
      <c r="B333" s="5" t="s">
        <v>362</v>
      </c>
      <c r="C333" s="5" t="s">
        <v>76</v>
      </c>
      <c r="D333" s="5" t="s">
        <v>369</v>
      </c>
      <c r="E333" s="5" t="s">
        <v>77</v>
      </c>
      <c r="F333" s="5" t="s">
        <v>249</v>
      </c>
      <c r="G333" s="191">
        <v>2013.0</v>
      </c>
      <c r="H333" s="191">
        <v>0.051993409</v>
      </c>
      <c r="I333" s="191">
        <v>0.072743441</v>
      </c>
      <c r="J333" s="191">
        <v>0.034820343</v>
      </c>
      <c r="K333" s="5"/>
      <c r="L333" s="5"/>
      <c r="M333" s="5"/>
      <c r="N333" s="5"/>
      <c r="O333" s="5"/>
      <c r="P333" s="5"/>
      <c r="Q333" s="5"/>
      <c r="R333" s="5"/>
      <c r="S333" s="5"/>
      <c r="T333" s="5"/>
      <c r="U333" s="5"/>
      <c r="V333" s="5"/>
      <c r="W333" s="5"/>
      <c r="X333" s="5"/>
      <c r="Y333" s="5"/>
      <c r="Z333" s="5"/>
    </row>
    <row r="334">
      <c r="A334" s="5" t="s">
        <v>74</v>
      </c>
      <c r="B334" s="5" t="s">
        <v>362</v>
      </c>
      <c r="C334" s="5" t="s">
        <v>76</v>
      </c>
      <c r="D334" s="5" t="s">
        <v>370</v>
      </c>
      <c r="E334" s="5" t="s">
        <v>77</v>
      </c>
      <c r="F334" s="5" t="s">
        <v>249</v>
      </c>
      <c r="G334" s="191">
        <v>2013.0</v>
      </c>
      <c r="H334" s="191">
        <v>0.055689477</v>
      </c>
      <c r="I334" s="191">
        <v>0.098790715</v>
      </c>
      <c r="J334" s="191">
        <v>0.033645932</v>
      </c>
      <c r="K334" s="5"/>
      <c r="L334" s="5"/>
      <c r="M334" s="5"/>
      <c r="N334" s="5"/>
      <c r="O334" s="5"/>
      <c r="P334" s="5"/>
      <c r="Q334" s="5"/>
      <c r="R334" s="5"/>
      <c r="S334" s="5"/>
      <c r="T334" s="5"/>
      <c r="U334" s="5"/>
      <c r="V334" s="5"/>
      <c r="W334" s="5"/>
      <c r="X334" s="5"/>
      <c r="Y334" s="5"/>
      <c r="Z334" s="5"/>
    </row>
    <row r="335">
      <c r="A335" s="5" t="s">
        <v>371</v>
      </c>
      <c r="B335" s="5" t="s">
        <v>362</v>
      </c>
      <c r="C335" s="5" t="s">
        <v>76</v>
      </c>
      <c r="D335" s="5" t="s">
        <v>369</v>
      </c>
      <c r="E335" s="5" t="s">
        <v>77</v>
      </c>
      <c r="F335" s="5" t="s">
        <v>249</v>
      </c>
      <c r="G335" s="191">
        <v>2013.0</v>
      </c>
      <c r="H335" s="191">
        <v>0.036397409</v>
      </c>
      <c r="I335" s="191">
        <v>0.045360441</v>
      </c>
      <c r="J335" s="191">
        <v>0.028453656</v>
      </c>
      <c r="K335" s="5"/>
      <c r="L335" s="5"/>
      <c r="M335" s="5"/>
      <c r="N335" s="5"/>
      <c r="O335" s="5"/>
      <c r="P335" s="5"/>
      <c r="Q335" s="5"/>
      <c r="R335" s="5"/>
      <c r="S335" s="5"/>
      <c r="T335" s="5"/>
      <c r="U335" s="5"/>
      <c r="V335" s="5"/>
      <c r="W335" s="5"/>
      <c r="X335" s="5"/>
      <c r="Y335" s="5"/>
      <c r="Z335" s="5"/>
    </row>
    <row r="336">
      <c r="A336" s="5" t="s">
        <v>371</v>
      </c>
      <c r="B336" s="5" t="s">
        <v>362</v>
      </c>
      <c r="C336" s="5" t="s">
        <v>76</v>
      </c>
      <c r="D336" s="5" t="s">
        <v>370</v>
      </c>
      <c r="E336" s="5" t="s">
        <v>77</v>
      </c>
      <c r="F336" s="5" t="s">
        <v>249</v>
      </c>
      <c r="G336" s="191">
        <v>2013.0</v>
      </c>
      <c r="H336" s="191">
        <v>0.020094511</v>
      </c>
      <c r="I336" s="191">
        <v>0.023456928</v>
      </c>
      <c r="J336" s="191">
        <v>0.017155981</v>
      </c>
      <c r="K336" s="5"/>
      <c r="L336" s="5"/>
      <c r="M336" s="5"/>
      <c r="N336" s="5"/>
      <c r="O336" s="5"/>
      <c r="P336" s="5"/>
      <c r="Q336" s="5"/>
      <c r="R336" s="5"/>
      <c r="S336" s="5"/>
      <c r="T336" s="5"/>
      <c r="U336" s="5"/>
      <c r="V336" s="5"/>
      <c r="W336" s="5"/>
      <c r="X336" s="5"/>
      <c r="Y336" s="5"/>
      <c r="Z336" s="5"/>
    </row>
    <row r="337">
      <c r="A337" s="5" t="s">
        <v>74</v>
      </c>
      <c r="B337" s="5" t="s">
        <v>358</v>
      </c>
      <c r="C337" s="5" t="s">
        <v>76</v>
      </c>
      <c r="D337" s="5" t="s">
        <v>369</v>
      </c>
      <c r="E337" s="5" t="s">
        <v>77</v>
      </c>
      <c r="F337" s="5" t="s">
        <v>249</v>
      </c>
      <c r="G337" s="191">
        <v>2013.0</v>
      </c>
      <c r="H337" s="191">
        <v>0.12592931</v>
      </c>
      <c r="I337" s="191">
        <v>0.141947096</v>
      </c>
      <c r="J337" s="191">
        <v>0.111228874</v>
      </c>
      <c r="K337" s="5"/>
      <c r="L337" s="5"/>
      <c r="M337" s="5"/>
      <c r="N337" s="5"/>
      <c r="O337" s="5"/>
      <c r="P337" s="5"/>
      <c r="Q337" s="5"/>
      <c r="R337" s="5"/>
      <c r="S337" s="5"/>
      <c r="T337" s="5"/>
      <c r="U337" s="5"/>
      <c r="V337" s="5"/>
      <c r="W337" s="5"/>
      <c r="X337" s="5"/>
      <c r="Y337" s="5"/>
      <c r="Z337" s="5"/>
    </row>
    <row r="338">
      <c r="A338" s="5" t="s">
        <v>74</v>
      </c>
      <c r="B338" s="5" t="s">
        <v>358</v>
      </c>
      <c r="C338" s="5" t="s">
        <v>76</v>
      </c>
      <c r="D338" s="5" t="s">
        <v>370</v>
      </c>
      <c r="E338" s="5" t="s">
        <v>77</v>
      </c>
      <c r="F338" s="5" t="s">
        <v>249</v>
      </c>
      <c r="G338" s="191">
        <v>2013.0</v>
      </c>
      <c r="H338" s="191">
        <v>0.038370034</v>
      </c>
      <c r="I338" s="191">
        <v>0.042315924</v>
      </c>
      <c r="J338" s="191">
        <v>0.034883407</v>
      </c>
      <c r="K338" s="5"/>
      <c r="L338" s="5"/>
      <c r="M338" s="5"/>
      <c r="N338" s="5"/>
      <c r="O338" s="5"/>
      <c r="P338" s="5"/>
      <c r="Q338" s="5"/>
      <c r="R338" s="5"/>
      <c r="S338" s="5"/>
      <c r="T338" s="5"/>
      <c r="U338" s="5"/>
      <c r="V338" s="5"/>
      <c r="W338" s="5"/>
      <c r="X338" s="5"/>
      <c r="Y338" s="5"/>
      <c r="Z338" s="5"/>
    </row>
    <row r="339">
      <c r="A339" s="5" t="s">
        <v>371</v>
      </c>
      <c r="B339" s="5" t="s">
        <v>358</v>
      </c>
      <c r="C339" s="5" t="s">
        <v>76</v>
      </c>
      <c r="D339" s="5" t="s">
        <v>369</v>
      </c>
      <c r="E339" s="5" t="s">
        <v>77</v>
      </c>
      <c r="F339" s="5" t="s">
        <v>249</v>
      </c>
      <c r="G339" s="191">
        <v>2013.0</v>
      </c>
      <c r="H339" s="191">
        <v>0.103802409</v>
      </c>
      <c r="I339" s="191">
        <v>0.127567575</v>
      </c>
      <c r="J339" s="191">
        <v>0.081619396</v>
      </c>
      <c r="K339" s="5"/>
      <c r="L339" s="5"/>
      <c r="M339" s="5"/>
      <c r="N339" s="5"/>
      <c r="O339" s="5"/>
      <c r="P339" s="5"/>
      <c r="Q339" s="5"/>
      <c r="R339" s="5"/>
      <c r="S339" s="5"/>
      <c r="T339" s="5"/>
      <c r="U339" s="5"/>
      <c r="V339" s="5"/>
      <c r="W339" s="5"/>
      <c r="X339" s="5"/>
      <c r="Y339" s="5"/>
      <c r="Z339" s="5"/>
    </row>
    <row r="340">
      <c r="A340" s="5" t="s">
        <v>371</v>
      </c>
      <c r="B340" s="5" t="s">
        <v>358</v>
      </c>
      <c r="C340" s="5" t="s">
        <v>76</v>
      </c>
      <c r="D340" s="5" t="s">
        <v>370</v>
      </c>
      <c r="E340" s="5" t="s">
        <v>77</v>
      </c>
      <c r="F340" s="5" t="s">
        <v>249</v>
      </c>
      <c r="G340" s="191">
        <v>2013.0</v>
      </c>
      <c r="H340" s="191">
        <v>0.020111985</v>
      </c>
      <c r="I340" s="191">
        <v>0.02294601</v>
      </c>
      <c r="J340" s="191">
        <v>0.017310599</v>
      </c>
      <c r="K340" s="5"/>
      <c r="L340" s="5"/>
      <c r="M340" s="5"/>
      <c r="N340" s="5"/>
      <c r="O340" s="5"/>
      <c r="P340" s="5"/>
      <c r="Q340" s="5"/>
      <c r="R340" s="5"/>
      <c r="S340" s="5"/>
      <c r="T340" s="5"/>
      <c r="U340" s="5"/>
      <c r="V340" s="5"/>
      <c r="W340" s="5"/>
      <c r="X340" s="5"/>
      <c r="Y340" s="5"/>
      <c r="Z340" s="5"/>
    </row>
    <row r="341">
      <c r="A341" s="5" t="s">
        <v>74</v>
      </c>
      <c r="B341" s="5" t="s">
        <v>360</v>
      </c>
      <c r="C341" s="5" t="s">
        <v>76</v>
      </c>
      <c r="D341" s="5" t="s">
        <v>369</v>
      </c>
      <c r="E341" s="5" t="s">
        <v>77</v>
      </c>
      <c r="F341" s="5" t="s">
        <v>249</v>
      </c>
      <c r="G341" s="191">
        <v>2013.0</v>
      </c>
      <c r="H341" s="191">
        <v>0.098920468</v>
      </c>
      <c r="I341" s="191">
        <v>0.115202281</v>
      </c>
      <c r="J341" s="191">
        <v>0.081968715</v>
      </c>
      <c r="K341" s="5"/>
      <c r="L341" s="5"/>
      <c r="M341" s="5"/>
      <c r="N341" s="5"/>
      <c r="O341" s="5"/>
      <c r="P341" s="5"/>
      <c r="Q341" s="5"/>
      <c r="R341" s="5"/>
      <c r="S341" s="5"/>
      <c r="T341" s="5"/>
      <c r="U341" s="5"/>
      <c r="V341" s="5"/>
      <c r="W341" s="5"/>
      <c r="X341" s="5"/>
      <c r="Y341" s="5"/>
      <c r="Z341" s="5"/>
    </row>
    <row r="342">
      <c r="A342" s="5" t="s">
        <v>74</v>
      </c>
      <c r="B342" s="5" t="s">
        <v>360</v>
      </c>
      <c r="C342" s="5" t="s">
        <v>76</v>
      </c>
      <c r="D342" s="5" t="s">
        <v>370</v>
      </c>
      <c r="E342" s="5" t="s">
        <v>77</v>
      </c>
      <c r="F342" s="5" t="s">
        <v>249</v>
      </c>
      <c r="G342" s="191">
        <v>2013.0</v>
      </c>
      <c r="H342" s="191">
        <v>0.091616659</v>
      </c>
      <c r="I342" s="191">
        <v>0.137606819</v>
      </c>
      <c r="J342" s="191">
        <v>0.062409516</v>
      </c>
      <c r="K342" s="5"/>
      <c r="L342" s="5"/>
      <c r="M342" s="5"/>
      <c r="N342" s="5"/>
      <c r="O342" s="5"/>
      <c r="P342" s="5"/>
      <c r="Q342" s="5"/>
      <c r="R342" s="5"/>
      <c r="S342" s="5"/>
      <c r="T342" s="5"/>
      <c r="U342" s="5"/>
      <c r="V342" s="5"/>
      <c r="W342" s="5"/>
      <c r="X342" s="5"/>
      <c r="Y342" s="5"/>
      <c r="Z342" s="5"/>
    </row>
    <row r="343">
      <c r="A343" s="5" t="s">
        <v>371</v>
      </c>
      <c r="B343" s="5" t="s">
        <v>360</v>
      </c>
      <c r="C343" s="5" t="s">
        <v>76</v>
      </c>
      <c r="D343" s="5" t="s">
        <v>369</v>
      </c>
      <c r="E343" s="5" t="s">
        <v>77</v>
      </c>
      <c r="F343" s="5" t="s">
        <v>249</v>
      </c>
      <c r="G343" s="191">
        <v>2013.0</v>
      </c>
      <c r="H343" s="191">
        <v>0.033172621</v>
      </c>
      <c r="I343" s="191">
        <v>0.041389581</v>
      </c>
      <c r="J343" s="191">
        <v>0.025907874</v>
      </c>
      <c r="K343" s="5"/>
      <c r="L343" s="5"/>
      <c r="M343" s="5"/>
      <c r="N343" s="5"/>
      <c r="O343" s="5"/>
      <c r="P343" s="5"/>
      <c r="Q343" s="5"/>
      <c r="R343" s="5"/>
      <c r="S343" s="5"/>
      <c r="T343" s="5"/>
      <c r="U343" s="5"/>
      <c r="V343" s="5"/>
      <c r="W343" s="5"/>
      <c r="X343" s="5"/>
      <c r="Y343" s="5"/>
      <c r="Z343" s="5"/>
    </row>
    <row r="344">
      <c r="A344" s="5" t="s">
        <v>371</v>
      </c>
      <c r="B344" s="5" t="s">
        <v>360</v>
      </c>
      <c r="C344" s="5" t="s">
        <v>76</v>
      </c>
      <c r="D344" s="5" t="s">
        <v>370</v>
      </c>
      <c r="E344" s="5" t="s">
        <v>77</v>
      </c>
      <c r="F344" s="5" t="s">
        <v>249</v>
      </c>
      <c r="G344" s="191">
        <v>2013.0</v>
      </c>
      <c r="H344" s="191">
        <v>0.017092598</v>
      </c>
      <c r="I344" s="191">
        <v>0.019663147</v>
      </c>
      <c r="J344" s="191">
        <v>0.014821581</v>
      </c>
      <c r="K344" s="5"/>
      <c r="L344" s="5"/>
      <c r="M344" s="5"/>
      <c r="N344" s="5"/>
      <c r="O344" s="5"/>
      <c r="P344" s="5"/>
      <c r="Q344" s="5"/>
      <c r="R344" s="5"/>
      <c r="S344" s="5"/>
      <c r="T344" s="5"/>
      <c r="U344" s="5"/>
      <c r="V344" s="5"/>
      <c r="W344" s="5"/>
      <c r="X344" s="5"/>
      <c r="Y344" s="5"/>
      <c r="Z344" s="5"/>
    </row>
    <row r="345">
      <c r="A345" s="5" t="s">
        <v>74</v>
      </c>
      <c r="B345" s="5" t="s">
        <v>11</v>
      </c>
      <c r="C345" s="5" t="s">
        <v>76</v>
      </c>
      <c r="D345" s="5" t="s">
        <v>369</v>
      </c>
      <c r="E345" s="5" t="s">
        <v>77</v>
      </c>
      <c r="F345" s="5" t="s">
        <v>249</v>
      </c>
      <c r="G345" s="191">
        <v>2013.0</v>
      </c>
      <c r="H345" s="191">
        <v>0.216179656</v>
      </c>
      <c r="I345" s="191">
        <v>0.25951749</v>
      </c>
      <c r="J345" s="191">
        <v>0.15547449</v>
      </c>
      <c r="K345" s="5"/>
      <c r="L345" s="5"/>
      <c r="M345" s="5"/>
      <c r="N345" s="5"/>
      <c r="O345" s="5"/>
      <c r="P345" s="5"/>
      <c r="Q345" s="5"/>
      <c r="R345" s="5"/>
      <c r="S345" s="5"/>
      <c r="T345" s="5"/>
      <c r="U345" s="5"/>
      <c r="V345" s="5"/>
      <c r="W345" s="5"/>
      <c r="X345" s="5"/>
      <c r="Y345" s="5"/>
      <c r="Z345" s="5"/>
    </row>
    <row r="346">
      <c r="A346" s="5" t="s">
        <v>74</v>
      </c>
      <c r="B346" s="5" t="s">
        <v>11</v>
      </c>
      <c r="C346" s="5" t="s">
        <v>76</v>
      </c>
      <c r="D346" s="5" t="s">
        <v>370</v>
      </c>
      <c r="E346" s="5" t="s">
        <v>77</v>
      </c>
      <c r="F346" s="5" t="s">
        <v>249</v>
      </c>
      <c r="G346" s="191">
        <v>2013.0</v>
      </c>
      <c r="H346" s="191">
        <v>0.094258402</v>
      </c>
      <c r="I346" s="191">
        <v>0.122114602</v>
      </c>
      <c r="J346" s="191">
        <v>0.071719563</v>
      </c>
      <c r="K346" s="5"/>
      <c r="L346" s="5"/>
      <c r="M346" s="5"/>
      <c r="N346" s="5"/>
      <c r="O346" s="5"/>
      <c r="P346" s="5"/>
      <c r="Q346" s="5"/>
      <c r="R346" s="5"/>
      <c r="S346" s="5"/>
      <c r="T346" s="5"/>
      <c r="U346" s="5"/>
      <c r="V346" s="5"/>
      <c r="W346" s="5"/>
      <c r="X346" s="5"/>
      <c r="Y346" s="5"/>
      <c r="Z346" s="5"/>
    </row>
    <row r="347">
      <c r="A347" s="5" t="s">
        <v>371</v>
      </c>
      <c r="B347" s="5" t="s">
        <v>11</v>
      </c>
      <c r="C347" s="5" t="s">
        <v>76</v>
      </c>
      <c r="D347" s="5" t="s">
        <v>369</v>
      </c>
      <c r="E347" s="5" t="s">
        <v>77</v>
      </c>
      <c r="F347" s="5" t="s">
        <v>249</v>
      </c>
      <c r="G347" s="191">
        <v>2013.0</v>
      </c>
      <c r="H347" s="191">
        <v>0.07692722</v>
      </c>
      <c r="I347" s="191">
        <v>0.095732789</v>
      </c>
      <c r="J347" s="191">
        <v>0.061270243</v>
      </c>
      <c r="K347" s="5"/>
      <c r="L347" s="5"/>
      <c r="M347" s="5"/>
      <c r="N347" s="5"/>
      <c r="O347" s="5"/>
      <c r="P347" s="5"/>
      <c r="Q347" s="5"/>
      <c r="R347" s="5"/>
      <c r="S347" s="5"/>
      <c r="T347" s="5"/>
      <c r="U347" s="5"/>
      <c r="V347" s="5"/>
      <c r="W347" s="5"/>
      <c r="X347" s="5"/>
      <c r="Y347" s="5"/>
      <c r="Z347" s="5"/>
    </row>
    <row r="348">
      <c r="A348" s="5" t="s">
        <v>371</v>
      </c>
      <c r="B348" s="5" t="s">
        <v>11</v>
      </c>
      <c r="C348" s="5" t="s">
        <v>76</v>
      </c>
      <c r="D348" s="5" t="s">
        <v>370</v>
      </c>
      <c r="E348" s="5" t="s">
        <v>77</v>
      </c>
      <c r="F348" s="5" t="s">
        <v>249</v>
      </c>
      <c r="G348" s="191">
        <v>2013.0</v>
      </c>
      <c r="H348" s="191">
        <v>0.019740421</v>
      </c>
      <c r="I348" s="191">
        <v>0.022743783</v>
      </c>
      <c r="J348" s="191">
        <v>0.017214195</v>
      </c>
      <c r="K348" s="5"/>
      <c r="L348" s="5"/>
      <c r="M348" s="5"/>
      <c r="N348" s="5"/>
      <c r="O348" s="5"/>
      <c r="P348" s="5"/>
      <c r="Q348" s="5"/>
      <c r="R348" s="5"/>
      <c r="S348" s="5"/>
      <c r="T348" s="5"/>
      <c r="U348" s="5"/>
      <c r="V348" s="5"/>
      <c r="W348" s="5"/>
      <c r="X348" s="5"/>
      <c r="Y348" s="5"/>
      <c r="Z348" s="5"/>
    </row>
    <row r="349">
      <c r="A349" s="5" t="s">
        <v>74</v>
      </c>
      <c r="B349" s="5" t="s">
        <v>15</v>
      </c>
      <c r="C349" s="5" t="s">
        <v>76</v>
      </c>
      <c r="D349" s="5" t="s">
        <v>369</v>
      </c>
      <c r="E349" s="5" t="s">
        <v>77</v>
      </c>
      <c r="F349" s="5" t="s">
        <v>249</v>
      </c>
      <c r="G349" s="191">
        <v>2013.0</v>
      </c>
      <c r="H349" s="191">
        <v>0.101464556</v>
      </c>
      <c r="I349" s="191">
        <v>0.13824787</v>
      </c>
      <c r="J349" s="191">
        <v>0.069625817</v>
      </c>
      <c r="K349" s="5"/>
      <c r="L349" s="5"/>
      <c r="M349" s="5"/>
      <c r="N349" s="5"/>
      <c r="O349" s="5"/>
      <c r="P349" s="5"/>
      <c r="Q349" s="5"/>
      <c r="R349" s="5"/>
      <c r="S349" s="5"/>
      <c r="T349" s="5"/>
      <c r="U349" s="5"/>
      <c r="V349" s="5"/>
      <c r="W349" s="5"/>
      <c r="X349" s="5"/>
      <c r="Y349" s="5"/>
      <c r="Z349" s="5"/>
    </row>
    <row r="350">
      <c r="A350" s="5" t="s">
        <v>74</v>
      </c>
      <c r="B350" s="5" t="s">
        <v>15</v>
      </c>
      <c r="C350" s="5" t="s">
        <v>76</v>
      </c>
      <c r="D350" s="5" t="s">
        <v>370</v>
      </c>
      <c r="E350" s="5" t="s">
        <v>77</v>
      </c>
      <c r="F350" s="5" t="s">
        <v>249</v>
      </c>
      <c r="G350" s="191">
        <v>2013.0</v>
      </c>
      <c r="H350" s="191">
        <v>0.07243416</v>
      </c>
      <c r="I350" s="191">
        <v>0.095554503</v>
      </c>
      <c r="J350" s="191">
        <v>0.053109965</v>
      </c>
      <c r="K350" s="5"/>
      <c r="L350" s="5"/>
      <c r="M350" s="5"/>
      <c r="N350" s="5"/>
      <c r="O350" s="5"/>
      <c r="P350" s="5"/>
      <c r="Q350" s="5"/>
      <c r="R350" s="5"/>
      <c r="S350" s="5"/>
      <c r="T350" s="5"/>
      <c r="U350" s="5"/>
      <c r="V350" s="5"/>
      <c r="W350" s="5"/>
      <c r="X350" s="5"/>
      <c r="Y350" s="5"/>
      <c r="Z350" s="5"/>
    </row>
    <row r="351">
      <c r="A351" s="5" t="s">
        <v>371</v>
      </c>
      <c r="B351" s="5" t="s">
        <v>15</v>
      </c>
      <c r="C351" s="5" t="s">
        <v>76</v>
      </c>
      <c r="D351" s="5" t="s">
        <v>369</v>
      </c>
      <c r="E351" s="5" t="s">
        <v>77</v>
      </c>
      <c r="F351" s="5" t="s">
        <v>249</v>
      </c>
      <c r="G351" s="191">
        <v>2013.0</v>
      </c>
      <c r="H351" s="191">
        <v>0.089659229</v>
      </c>
      <c r="I351" s="191">
        <v>0.10911905</v>
      </c>
      <c r="J351" s="191">
        <v>0.071650036</v>
      </c>
      <c r="K351" s="5"/>
      <c r="L351" s="5"/>
      <c r="M351" s="5"/>
      <c r="N351" s="5"/>
      <c r="O351" s="5"/>
      <c r="P351" s="5"/>
      <c r="Q351" s="5"/>
      <c r="R351" s="5"/>
      <c r="S351" s="5"/>
      <c r="T351" s="5"/>
      <c r="U351" s="5"/>
      <c r="V351" s="5"/>
      <c r="W351" s="5"/>
      <c r="X351" s="5"/>
      <c r="Y351" s="5"/>
      <c r="Z351" s="5"/>
    </row>
    <row r="352">
      <c r="A352" s="5" t="s">
        <v>371</v>
      </c>
      <c r="B352" s="5" t="s">
        <v>15</v>
      </c>
      <c r="C352" s="5" t="s">
        <v>76</v>
      </c>
      <c r="D352" s="5" t="s">
        <v>370</v>
      </c>
      <c r="E352" s="5" t="s">
        <v>77</v>
      </c>
      <c r="F352" s="5" t="s">
        <v>249</v>
      </c>
      <c r="G352" s="191">
        <v>2013.0</v>
      </c>
      <c r="H352" s="191">
        <v>0.024215059</v>
      </c>
      <c r="I352" s="191">
        <v>0.02768415</v>
      </c>
      <c r="J352" s="191">
        <v>0.021020568</v>
      </c>
      <c r="K352" s="5"/>
      <c r="L352" s="5"/>
      <c r="M352" s="5"/>
      <c r="N352" s="5"/>
      <c r="O352" s="5"/>
      <c r="P352" s="5"/>
      <c r="Q352" s="5"/>
      <c r="R352" s="5"/>
      <c r="S352" s="5"/>
      <c r="T352" s="5"/>
      <c r="U352" s="5"/>
      <c r="V352" s="5"/>
      <c r="W352" s="5"/>
      <c r="X352" s="5"/>
      <c r="Y352" s="5"/>
      <c r="Z352" s="5"/>
    </row>
    <row r="353">
      <c r="A353" s="5" t="s">
        <v>74</v>
      </c>
      <c r="B353" s="5" t="s">
        <v>372</v>
      </c>
      <c r="C353" s="5" t="s">
        <v>76</v>
      </c>
      <c r="D353" s="5" t="s">
        <v>369</v>
      </c>
      <c r="E353" s="5" t="s">
        <v>77</v>
      </c>
      <c r="F353" s="5" t="s">
        <v>249</v>
      </c>
      <c r="G353" s="191">
        <v>2013.0</v>
      </c>
      <c r="H353" s="191">
        <v>0.106839226</v>
      </c>
      <c r="I353" s="191">
        <v>0.133410334</v>
      </c>
      <c r="J353" s="191">
        <v>0.082060794</v>
      </c>
      <c r="K353" s="5"/>
      <c r="L353" s="5"/>
      <c r="M353" s="5"/>
      <c r="N353" s="5"/>
      <c r="O353" s="5"/>
      <c r="P353" s="5"/>
      <c r="Q353" s="5"/>
      <c r="R353" s="5"/>
      <c r="S353" s="5"/>
      <c r="T353" s="5"/>
      <c r="U353" s="5"/>
      <c r="V353" s="5"/>
      <c r="W353" s="5"/>
      <c r="X353" s="5"/>
      <c r="Y353" s="5"/>
      <c r="Z353" s="5"/>
    </row>
    <row r="354">
      <c r="A354" s="5" t="s">
        <v>74</v>
      </c>
      <c r="B354" s="5" t="s">
        <v>372</v>
      </c>
      <c r="C354" s="5" t="s">
        <v>76</v>
      </c>
      <c r="D354" s="5" t="s">
        <v>370</v>
      </c>
      <c r="E354" s="5" t="s">
        <v>77</v>
      </c>
      <c r="F354" s="5" t="s">
        <v>249</v>
      </c>
      <c r="G354" s="191">
        <v>2013.0</v>
      </c>
      <c r="H354" s="191">
        <v>0.079141741</v>
      </c>
      <c r="I354" s="191">
        <v>0.103617295</v>
      </c>
      <c r="J354" s="191">
        <v>0.059063951</v>
      </c>
      <c r="K354" s="5"/>
      <c r="L354" s="5"/>
      <c r="M354" s="5"/>
      <c r="N354" s="5"/>
      <c r="O354" s="5"/>
      <c r="P354" s="5"/>
      <c r="Q354" s="5"/>
      <c r="R354" s="5"/>
      <c r="S354" s="5"/>
      <c r="T354" s="5"/>
      <c r="U354" s="5"/>
      <c r="V354" s="5"/>
      <c r="W354" s="5"/>
      <c r="X354" s="5"/>
      <c r="Y354" s="5"/>
      <c r="Z354" s="5"/>
    </row>
    <row r="355">
      <c r="A355" s="5" t="s">
        <v>371</v>
      </c>
      <c r="B355" s="5" t="s">
        <v>372</v>
      </c>
      <c r="C355" s="5" t="s">
        <v>76</v>
      </c>
      <c r="D355" s="5" t="s">
        <v>369</v>
      </c>
      <c r="E355" s="5" t="s">
        <v>77</v>
      </c>
      <c r="F355" s="5" t="s">
        <v>249</v>
      </c>
      <c r="G355" s="191">
        <v>2013.0</v>
      </c>
      <c r="H355" s="191">
        <v>0.074083132</v>
      </c>
      <c r="I355" s="191">
        <v>0.095507991</v>
      </c>
      <c r="J355" s="191">
        <v>0.058023965</v>
      </c>
      <c r="K355" s="5"/>
      <c r="L355" s="5"/>
      <c r="M355" s="5"/>
      <c r="N355" s="5"/>
      <c r="O355" s="5"/>
      <c r="P355" s="5"/>
      <c r="Q355" s="5"/>
      <c r="R355" s="5"/>
      <c r="S355" s="5"/>
      <c r="T355" s="5"/>
      <c r="U355" s="5"/>
      <c r="V355" s="5"/>
      <c r="W355" s="5"/>
      <c r="X355" s="5"/>
      <c r="Y355" s="5"/>
      <c r="Z355" s="5"/>
    </row>
    <row r="356">
      <c r="A356" s="5" t="s">
        <v>371</v>
      </c>
      <c r="B356" s="5" t="s">
        <v>372</v>
      </c>
      <c r="C356" s="5" t="s">
        <v>76</v>
      </c>
      <c r="D356" s="5" t="s">
        <v>370</v>
      </c>
      <c r="E356" s="5" t="s">
        <v>77</v>
      </c>
      <c r="F356" s="5" t="s">
        <v>249</v>
      </c>
      <c r="G356" s="191">
        <v>2013.0</v>
      </c>
      <c r="H356" s="191">
        <v>0.02472548</v>
      </c>
      <c r="I356" s="191">
        <v>0.028844968</v>
      </c>
      <c r="J356" s="191">
        <v>0.021229085</v>
      </c>
      <c r="K356" s="5"/>
      <c r="L356" s="5"/>
      <c r="M356" s="5"/>
      <c r="N356" s="5"/>
      <c r="O356" s="5"/>
      <c r="P356" s="5"/>
      <c r="Q356" s="5"/>
      <c r="R356" s="5"/>
      <c r="S356" s="5"/>
      <c r="T356" s="5"/>
      <c r="U356" s="5"/>
      <c r="V356" s="5"/>
      <c r="W356" s="5"/>
      <c r="X356" s="5"/>
      <c r="Y356" s="5"/>
      <c r="Z356" s="5"/>
    </row>
    <row r="357">
      <c r="A357" s="5" t="s">
        <v>74</v>
      </c>
      <c r="B357" s="5" t="s">
        <v>373</v>
      </c>
      <c r="C357" s="5" t="s">
        <v>76</v>
      </c>
      <c r="D357" s="5" t="s">
        <v>369</v>
      </c>
      <c r="E357" s="5" t="s">
        <v>77</v>
      </c>
      <c r="F357" s="5" t="s">
        <v>249</v>
      </c>
      <c r="G357" s="191">
        <v>2013.0</v>
      </c>
      <c r="H357" s="191">
        <v>0.104323854</v>
      </c>
      <c r="I357" s="191">
        <v>0.158122724</v>
      </c>
      <c r="J357" s="191">
        <v>0.06620386</v>
      </c>
      <c r="K357" s="5"/>
      <c r="L357" s="5"/>
      <c r="M357" s="5"/>
      <c r="N357" s="5"/>
      <c r="O357" s="5"/>
      <c r="P357" s="5"/>
      <c r="Q357" s="5"/>
      <c r="R357" s="5"/>
      <c r="S357" s="5"/>
      <c r="T357" s="5"/>
      <c r="U357" s="5"/>
      <c r="V357" s="5"/>
      <c r="W357" s="5"/>
      <c r="X357" s="5"/>
      <c r="Y357" s="5"/>
      <c r="Z357" s="5"/>
    </row>
    <row r="358">
      <c r="A358" s="5" t="s">
        <v>74</v>
      </c>
      <c r="B358" s="5" t="s">
        <v>373</v>
      </c>
      <c r="C358" s="5" t="s">
        <v>76</v>
      </c>
      <c r="D358" s="5" t="s">
        <v>370</v>
      </c>
      <c r="E358" s="5" t="s">
        <v>77</v>
      </c>
      <c r="F358" s="5" t="s">
        <v>249</v>
      </c>
      <c r="G358" s="191">
        <v>2013.0</v>
      </c>
      <c r="H358" s="191">
        <v>0.066983262</v>
      </c>
      <c r="I358" s="191">
        <v>0.092614389</v>
      </c>
      <c r="J358" s="191">
        <v>0.044427694</v>
      </c>
      <c r="K358" s="5"/>
      <c r="L358" s="5"/>
      <c r="M358" s="5"/>
      <c r="N358" s="5"/>
      <c r="O358" s="5"/>
      <c r="P358" s="5"/>
      <c r="Q358" s="5"/>
      <c r="R358" s="5"/>
      <c r="S358" s="5"/>
      <c r="T358" s="5"/>
      <c r="U358" s="5"/>
      <c r="V358" s="5"/>
      <c r="W358" s="5"/>
      <c r="X358" s="5"/>
      <c r="Y358" s="5"/>
      <c r="Z358" s="5"/>
    </row>
    <row r="359">
      <c r="A359" s="5" t="s">
        <v>371</v>
      </c>
      <c r="B359" s="5" t="s">
        <v>373</v>
      </c>
      <c r="C359" s="5" t="s">
        <v>76</v>
      </c>
      <c r="D359" s="5" t="s">
        <v>369</v>
      </c>
      <c r="E359" s="5" t="s">
        <v>77</v>
      </c>
      <c r="F359" s="5" t="s">
        <v>249</v>
      </c>
      <c r="G359" s="191">
        <v>2013.0</v>
      </c>
      <c r="H359" s="191">
        <v>0.091388911</v>
      </c>
      <c r="I359" s="191">
        <v>0.1105976</v>
      </c>
      <c r="J359" s="191">
        <v>0.072832516</v>
      </c>
      <c r="K359" s="5"/>
      <c r="L359" s="5"/>
      <c r="M359" s="5"/>
      <c r="N359" s="5"/>
      <c r="O359" s="5"/>
      <c r="P359" s="5"/>
      <c r="Q359" s="5"/>
      <c r="R359" s="5"/>
      <c r="S359" s="5"/>
      <c r="T359" s="5"/>
      <c r="U359" s="5"/>
      <c r="V359" s="5"/>
      <c r="W359" s="5"/>
      <c r="X359" s="5"/>
      <c r="Y359" s="5"/>
      <c r="Z359" s="5"/>
    </row>
    <row r="360">
      <c r="A360" s="5" t="s">
        <v>371</v>
      </c>
      <c r="B360" s="5" t="s">
        <v>373</v>
      </c>
      <c r="C360" s="5" t="s">
        <v>76</v>
      </c>
      <c r="D360" s="5" t="s">
        <v>370</v>
      </c>
      <c r="E360" s="5" t="s">
        <v>77</v>
      </c>
      <c r="F360" s="5" t="s">
        <v>249</v>
      </c>
      <c r="G360" s="191">
        <v>2013.0</v>
      </c>
      <c r="H360" s="191">
        <v>0.019002592</v>
      </c>
      <c r="I360" s="191">
        <v>0.02207688</v>
      </c>
      <c r="J360" s="191">
        <v>0.01629725</v>
      </c>
      <c r="K360" s="5"/>
      <c r="L360" s="5"/>
      <c r="M360" s="5"/>
      <c r="N360" s="5"/>
      <c r="O360" s="5"/>
      <c r="P360" s="5"/>
      <c r="Q360" s="5"/>
      <c r="R360" s="5"/>
      <c r="S360" s="5"/>
      <c r="T360" s="5"/>
      <c r="U360" s="5"/>
      <c r="V360" s="5"/>
      <c r="W360" s="5"/>
      <c r="X360" s="5"/>
      <c r="Y360" s="5"/>
      <c r="Z360" s="5"/>
    </row>
    <row r="361">
      <c r="A361" s="5" t="s">
        <v>74</v>
      </c>
      <c r="B361" s="5" t="s">
        <v>14</v>
      </c>
      <c r="C361" s="5" t="s">
        <v>76</v>
      </c>
      <c r="D361" s="5" t="s">
        <v>369</v>
      </c>
      <c r="E361" s="5" t="s">
        <v>77</v>
      </c>
      <c r="F361" s="5" t="s">
        <v>249</v>
      </c>
      <c r="G361" s="191">
        <v>2013.0</v>
      </c>
      <c r="H361" s="191">
        <v>0.068523288</v>
      </c>
      <c r="I361" s="191">
        <v>0.104515319</v>
      </c>
      <c r="J361" s="191">
        <v>0.042326109</v>
      </c>
      <c r="K361" s="5"/>
      <c r="L361" s="5"/>
      <c r="M361" s="5"/>
      <c r="N361" s="5"/>
      <c r="O361" s="5"/>
      <c r="P361" s="5"/>
      <c r="Q361" s="5"/>
      <c r="R361" s="5"/>
      <c r="S361" s="5"/>
      <c r="T361" s="5"/>
      <c r="U361" s="5"/>
      <c r="V361" s="5"/>
      <c r="W361" s="5"/>
      <c r="X361" s="5"/>
      <c r="Y361" s="5"/>
      <c r="Z361" s="5"/>
    </row>
    <row r="362">
      <c r="A362" s="5" t="s">
        <v>74</v>
      </c>
      <c r="B362" s="5" t="s">
        <v>14</v>
      </c>
      <c r="C362" s="5" t="s">
        <v>76</v>
      </c>
      <c r="D362" s="5" t="s">
        <v>370</v>
      </c>
      <c r="E362" s="5" t="s">
        <v>77</v>
      </c>
      <c r="F362" s="5" t="s">
        <v>249</v>
      </c>
      <c r="G362" s="191">
        <v>2013.0</v>
      </c>
      <c r="H362" s="191">
        <v>0.054841219</v>
      </c>
      <c r="I362" s="191">
        <v>0.075667744</v>
      </c>
      <c r="J362" s="191">
        <v>0.038359788</v>
      </c>
      <c r="K362" s="5"/>
      <c r="L362" s="5"/>
      <c r="M362" s="5"/>
      <c r="N362" s="5"/>
      <c r="O362" s="5"/>
      <c r="P362" s="5"/>
      <c r="Q362" s="5"/>
      <c r="R362" s="5"/>
      <c r="S362" s="5"/>
      <c r="T362" s="5"/>
      <c r="U362" s="5"/>
      <c r="V362" s="5"/>
      <c r="W362" s="5"/>
      <c r="X362" s="5"/>
      <c r="Y362" s="5"/>
      <c r="Z362" s="5"/>
    </row>
    <row r="363">
      <c r="A363" s="5" t="s">
        <v>371</v>
      </c>
      <c r="B363" s="5" t="s">
        <v>14</v>
      </c>
      <c r="C363" s="5" t="s">
        <v>76</v>
      </c>
      <c r="D363" s="5" t="s">
        <v>369</v>
      </c>
      <c r="E363" s="5" t="s">
        <v>77</v>
      </c>
      <c r="F363" s="5" t="s">
        <v>249</v>
      </c>
      <c r="G363" s="191">
        <v>2013.0</v>
      </c>
      <c r="H363" s="191">
        <v>0.078244492</v>
      </c>
      <c r="I363" s="191">
        <v>0.097556276</v>
      </c>
      <c r="J363" s="191">
        <v>0.062248519</v>
      </c>
      <c r="K363" s="5"/>
      <c r="L363" s="5"/>
      <c r="M363" s="5"/>
      <c r="N363" s="5"/>
      <c r="O363" s="5"/>
      <c r="P363" s="5"/>
      <c r="Q363" s="5"/>
      <c r="R363" s="5"/>
      <c r="S363" s="5"/>
      <c r="T363" s="5"/>
      <c r="U363" s="5"/>
      <c r="V363" s="5"/>
      <c r="W363" s="5"/>
      <c r="X363" s="5"/>
      <c r="Y363" s="5"/>
      <c r="Z363" s="5"/>
    </row>
    <row r="364">
      <c r="A364" s="5" t="s">
        <v>371</v>
      </c>
      <c r="B364" s="5" t="s">
        <v>14</v>
      </c>
      <c r="C364" s="5" t="s">
        <v>76</v>
      </c>
      <c r="D364" s="5" t="s">
        <v>370</v>
      </c>
      <c r="E364" s="5" t="s">
        <v>77</v>
      </c>
      <c r="F364" s="5" t="s">
        <v>249</v>
      </c>
      <c r="G364" s="191">
        <v>2013.0</v>
      </c>
      <c r="H364" s="191">
        <v>0.020291178</v>
      </c>
      <c r="I364" s="191">
        <v>0.023611906</v>
      </c>
      <c r="J364" s="191">
        <v>0.017601655</v>
      </c>
      <c r="K364" s="5"/>
      <c r="L364" s="5"/>
      <c r="M364" s="5"/>
      <c r="N364" s="5"/>
      <c r="O364" s="5"/>
      <c r="P364" s="5"/>
      <c r="Q364" s="5"/>
      <c r="R364" s="5"/>
      <c r="S364" s="5"/>
      <c r="T364" s="5"/>
      <c r="U364" s="5"/>
      <c r="V364" s="5"/>
      <c r="W364" s="5"/>
      <c r="X364" s="5"/>
      <c r="Y364" s="5"/>
      <c r="Z364" s="5"/>
    </row>
    <row r="365">
      <c r="A365" s="5" t="s">
        <v>74</v>
      </c>
      <c r="B365" s="5" t="s">
        <v>374</v>
      </c>
      <c r="C365" s="5" t="s">
        <v>76</v>
      </c>
      <c r="D365" s="5" t="s">
        <v>369</v>
      </c>
      <c r="E365" s="5" t="s">
        <v>77</v>
      </c>
      <c r="F365" s="5" t="s">
        <v>249</v>
      </c>
      <c r="G365" s="191">
        <v>2013.0</v>
      </c>
      <c r="H365" s="191">
        <v>0.008133311</v>
      </c>
      <c r="I365" s="191">
        <v>0.009489959</v>
      </c>
      <c r="J365" s="191">
        <v>0.006852762</v>
      </c>
      <c r="K365" s="5"/>
      <c r="L365" s="5"/>
      <c r="M365" s="5"/>
      <c r="N365" s="5"/>
      <c r="O365" s="5"/>
      <c r="P365" s="5"/>
      <c r="Q365" s="5"/>
      <c r="R365" s="5"/>
      <c r="S365" s="5"/>
      <c r="T365" s="5"/>
      <c r="U365" s="5"/>
      <c r="V365" s="5"/>
      <c r="W365" s="5"/>
      <c r="X365" s="5"/>
      <c r="Y365" s="5"/>
      <c r="Z365" s="5"/>
    </row>
    <row r="366">
      <c r="A366" s="5" t="s">
        <v>74</v>
      </c>
      <c r="B366" s="5" t="s">
        <v>374</v>
      </c>
      <c r="C366" s="5" t="s">
        <v>76</v>
      </c>
      <c r="D366" s="5" t="s">
        <v>370</v>
      </c>
      <c r="E366" s="5" t="s">
        <v>77</v>
      </c>
      <c r="F366" s="5" t="s">
        <v>249</v>
      </c>
      <c r="G366" s="191">
        <v>2013.0</v>
      </c>
      <c r="H366" s="191">
        <v>0.001070321</v>
      </c>
      <c r="I366" s="191">
        <v>0.001290531</v>
      </c>
      <c r="J366" s="191">
        <v>8.96636E-4</v>
      </c>
      <c r="K366" s="5"/>
      <c r="L366" s="5"/>
      <c r="M366" s="5"/>
      <c r="N366" s="5"/>
      <c r="O366" s="5"/>
      <c r="P366" s="5"/>
      <c r="Q366" s="5"/>
      <c r="R366" s="5"/>
      <c r="S366" s="5"/>
      <c r="T366" s="5"/>
      <c r="U366" s="5"/>
      <c r="V366" s="5"/>
      <c r="W366" s="5"/>
      <c r="X366" s="5"/>
      <c r="Y366" s="5"/>
      <c r="Z366" s="5"/>
    </row>
    <row r="367">
      <c r="A367" s="5" t="s">
        <v>371</v>
      </c>
      <c r="B367" s="5" t="s">
        <v>374</v>
      </c>
      <c r="C367" s="5" t="s">
        <v>76</v>
      </c>
      <c r="D367" s="5" t="s">
        <v>369</v>
      </c>
      <c r="E367" s="5" t="s">
        <v>77</v>
      </c>
      <c r="F367" s="5" t="s">
        <v>249</v>
      </c>
      <c r="G367" s="191">
        <v>2013.0</v>
      </c>
      <c r="H367" s="191">
        <v>0.031591749</v>
      </c>
      <c r="I367" s="191">
        <v>0.041721393</v>
      </c>
      <c r="J367" s="191">
        <v>0.022889017</v>
      </c>
      <c r="K367" s="5"/>
      <c r="L367" s="5"/>
      <c r="M367" s="5"/>
      <c r="N367" s="5"/>
      <c r="O367" s="5"/>
      <c r="P367" s="5"/>
      <c r="Q367" s="5"/>
      <c r="R367" s="5"/>
      <c r="S367" s="5"/>
      <c r="T367" s="5"/>
      <c r="U367" s="5"/>
      <c r="V367" s="5"/>
      <c r="W367" s="5"/>
      <c r="X367" s="5"/>
      <c r="Y367" s="5"/>
      <c r="Z367" s="5"/>
    </row>
    <row r="368">
      <c r="A368" s="5" t="s">
        <v>371</v>
      </c>
      <c r="B368" s="5" t="s">
        <v>374</v>
      </c>
      <c r="C368" s="5" t="s">
        <v>76</v>
      </c>
      <c r="D368" s="5" t="s">
        <v>370</v>
      </c>
      <c r="E368" s="5" t="s">
        <v>77</v>
      </c>
      <c r="F368" s="5" t="s">
        <v>249</v>
      </c>
      <c r="G368" s="191">
        <v>2013.0</v>
      </c>
      <c r="H368" s="191">
        <v>0.014078455</v>
      </c>
      <c r="I368" s="191">
        <v>0.016790888</v>
      </c>
      <c r="J368" s="191">
        <v>0.011694529</v>
      </c>
      <c r="K368" s="5"/>
      <c r="L368" s="5"/>
      <c r="M368" s="5"/>
      <c r="N368" s="5"/>
      <c r="O368" s="5"/>
      <c r="P368" s="5"/>
      <c r="Q368" s="5"/>
      <c r="R368" s="5"/>
      <c r="S368" s="5"/>
      <c r="T368" s="5"/>
      <c r="U368" s="5"/>
      <c r="V368" s="5"/>
      <c r="W368" s="5"/>
      <c r="X368" s="5"/>
      <c r="Y368" s="5"/>
      <c r="Z368" s="5"/>
    </row>
    <row r="369">
      <c r="A369" s="5" t="s">
        <v>74</v>
      </c>
      <c r="B369" s="5" t="s">
        <v>375</v>
      </c>
      <c r="C369" s="5" t="s">
        <v>76</v>
      </c>
      <c r="D369" s="5" t="s">
        <v>369</v>
      </c>
      <c r="E369" s="5" t="s">
        <v>77</v>
      </c>
      <c r="F369" s="5" t="s">
        <v>249</v>
      </c>
      <c r="G369" s="191">
        <v>2013.0</v>
      </c>
      <c r="H369" s="191">
        <v>0.130318866</v>
      </c>
      <c r="I369" s="191">
        <v>0.177067406</v>
      </c>
      <c r="J369" s="191">
        <v>0.091744679</v>
      </c>
      <c r="K369" s="5"/>
      <c r="L369" s="5"/>
      <c r="M369" s="5"/>
      <c r="N369" s="5"/>
      <c r="O369" s="5"/>
      <c r="P369" s="5"/>
      <c r="Q369" s="5"/>
      <c r="R369" s="5"/>
      <c r="S369" s="5"/>
      <c r="T369" s="5"/>
      <c r="U369" s="5"/>
      <c r="V369" s="5"/>
      <c r="W369" s="5"/>
      <c r="X369" s="5"/>
      <c r="Y369" s="5"/>
      <c r="Z369" s="5"/>
    </row>
    <row r="370">
      <c r="A370" s="5" t="s">
        <v>74</v>
      </c>
      <c r="B370" s="5" t="s">
        <v>375</v>
      </c>
      <c r="C370" s="5" t="s">
        <v>76</v>
      </c>
      <c r="D370" s="5" t="s">
        <v>370</v>
      </c>
      <c r="E370" s="5" t="s">
        <v>77</v>
      </c>
      <c r="F370" s="5" t="s">
        <v>249</v>
      </c>
      <c r="G370" s="191">
        <v>2013.0</v>
      </c>
      <c r="H370" s="191">
        <v>0.072241662</v>
      </c>
      <c r="I370" s="191">
        <v>0.094271423</v>
      </c>
      <c r="J370" s="191">
        <v>0.054686251</v>
      </c>
      <c r="K370" s="5"/>
      <c r="L370" s="5"/>
      <c r="M370" s="5"/>
      <c r="N370" s="5"/>
      <c r="O370" s="5"/>
      <c r="P370" s="5"/>
      <c r="Q370" s="5"/>
      <c r="R370" s="5"/>
      <c r="S370" s="5"/>
      <c r="T370" s="5"/>
      <c r="U370" s="5"/>
      <c r="V370" s="5"/>
      <c r="W370" s="5"/>
      <c r="X370" s="5"/>
      <c r="Y370" s="5"/>
      <c r="Z370" s="5"/>
    </row>
    <row r="371">
      <c r="A371" s="5" t="s">
        <v>371</v>
      </c>
      <c r="B371" s="5" t="s">
        <v>375</v>
      </c>
      <c r="C371" s="5" t="s">
        <v>76</v>
      </c>
      <c r="D371" s="5" t="s">
        <v>369</v>
      </c>
      <c r="E371" s="5" t="s">
        <v>77</v>
      </c>
      <c r="F371" s="5" t="s">
        <v>249</v>
      </c>
      <c r="G371" s="191">
        <v>2013.0</v>
      </c>
      <c r="H371" s="191">
        <v>0.068580146</v>
      </c>
      <c r="I371" s="191">
        <v>0.085010272</v>
      </c>
      <c r="J371" s="191">
        <v>0.054214253</v>
      </c>
      <c r="K371" s="5"/>
      <c r="L371" s="5"/>
      <c r="M371" s="5"/>
      <c r="N371" s="5"/>
      <c r="O371" s="5"/>
      <c r="P371" s="5"/>
      <c r="Q371" s="5"/>
      <c r="R371" s="5"/>
      <c r="S371" s="5"/>
      <c r="T371" s="5"/>
      <c r="U371" s="5"/>
      <c r="V371" s="5"/>
      <c r="W371" s="5"/>
      <c r="X371" s="5"/>
      <c r="Y371" s="5"/>
      <c r="Z371" s="5"/>
    </row>
    <row r="372">
      <c r="A372" s="5" t="s">
        <v>371</v>
      </c>
      <c r="B372" s="5" t="s">
        <v>375</v>
      </c>
      <c r="C372" s="5" t="s">
        <v>76</v>
      </c>
      <c r="D372" s="5" t="s">
        <v>370</v>
      </c>
      <c r="E372" s="5" t="s">
        <v>77</v>
      </c>
      <c r="F372" s="5" t="s">
        <v>249</v>
      </c>
      <c r="G372" s="191">
        <v>2013.0</v>
      </c>
      <c r="H372" s="191">
        <v>0.021549366</v>
      </c>
      <c r="I372" s="191">
        <v>0.024848617</v>
      </c>
      <c r="J372" s="191">
        <v>0.018594287</v>
      </c>
      <c r="K372" s="5"/>
      <c r="L372" s="5"/>
      <c r="M372" s="5"/>
      <c r="N372" s="5"/>
      <c r="O372" s="5"/>
      <c r="P372" s="5"/>
      <c r="Q372" s="5"/>
      <c r="R372" s="5"/>
      <c r="S372" s="5"/>
      <c r="T372" s="5"/>
      <c r="U372" s="5"/>
      <c r="V372" s="5"/>
      <c r="W372" s="5"/>
      <c r="X372" s="5"/>
      <c r="Y372" s="5"/>
      <c r="Z372" s="5"/>
    </row>
    <row r="373">
      <c r="A373" s="5" t="s">
        <v>74</v>
      </c>
      <c r="B373" s="5" t="s">
        <v>365</v>
      </c>
      <c r="C373" s="5" t="s">
        <v>76</v>
      </c>
      <c r="D373" s="5" t="s">
        <v>369</v>
      </c>
      <c r="E373" s="5" t="s">
        <v>77</v>
      </c>
      <c r="F373" s="5" t="s">
        <v>249</v>
      </c>
      <c r="G373" s="191">
        <v>2013.0</v>
      </c>
      <c r="H373" s="191">
        <v>0.060416534</v>
      </c>
      <c r="I373" s="191">
        <v>0.100340388</v>
      </c>
      <c r="J373" s="191">
        <v>0.035208718</v>
      </c>
      <c r="K373" s="5"/>
      <c r="L373" s="5"/>
      <c r="M373" s="5"/>
      <c r="N373" s="5"/>
      <c r="O373" s="5"/>
      <c r="P373" s="5"/>
      <c r="Q373" s="5"/>
      <c r="R373" s="5"/>
      <c r="S373" s="5"/>
      <c r="T373" s="5"/>
      <c r="U373" s="5"/>
      <c r="V373" s="5"/>
      <c r="W373" s="5"/>
      <c r="X373" s="5"/>
      <c r="Y373" s="5"/>
      <c r="Z373" s="5"/>
    </row>
    <row r="374">
      <c r="A374" s="5" t="s">
        <v>74</v>
      </c>
      <c r="B374" s="5" t="s">
        <v>365</v>
      </c>
      <c r="C374" s="5" t="s">
        <v>76</v>
      </c>
      <c r="D374" s="5" t="s">
        <v>370</v>
      </c>
      <c r="E374" s="5" t="s">
        <v>77</v>
      </c>
      <c r="F374" s="5" t="s">
        <v>249</v>
      </c>
      <c r="G374" s="191">
        <v>2013.0</v>
      </c>
      <c r="H374" s="191">
        <v>0.04165454</v>
      </c>
      <c r="I374" s="191">
        <v>0.056931483</v>
      </c>
      <c r="J374" s="191">
        <v>0.026574675</v>
      </c>
      <c r="K374" s="5"/>
      <c r="L374" s="5"/>
      <c r="M374" s="5"/>
      <c r="N374" s="5"/>
      <c r="O374" s="5"/>
      <c r="P374" s="5"/>
      <c r="Q374" s="5"/>
      <c r="R374" s="5"/>
      <c r="S374" s="5"/>
      <c r="T374" s="5"/>
      <c r="U374" s="5"/>
      <c r="V374" s="5"/>
      <c r="W374" s="5"/>
      <c r="X374" s="5"/>
      <c r="Y374" s="5"/>
      <c r="Z374" s="5"/>
    </row>
    <row r="375">
      <c r="A375" s="5" t="s">
        <v>371</v>
      </c>
      <c r="B375" s="5" t="s">
        <v>365</v>
      </c>
      <c r="C375" s="5" t="s">
        <v>76</v>
      </c>
      <c r="D375" s="5" t="s">
        <v>369</v>
      </c>
      <c r="E375" s="5" t="s">
        <v>77</v>
      </c>
      <c r="F375" s="5" t="s">
        <v>249</v>
      </c>
      <c r="G375" s="191">
        <v>2013.0</v>
      </c>
      <c r="H375" s="191">
        <v>0.095501174</v>
      </c>
      <c r="I375" s="191">
        <v>0.116059745</v>
      </c>
      <c r="J375" s="191">
        <v>0.0754505</v>
      </c>
      <c r="K375" s="5"/>
      <c r="L375" s="5"/>
      <c r="M375" s="5"/>
      <c r="N375" s="5"/>
      <c r="O375" s="5"/>
      <c r="P375" s="5"/>
      <c r="Q375" s="5"/>
      <c r="R375" s="5"/>
      <c r="S375" s="5"/>
      <c r="T375" s="5"/>
      <c r="U375" s="5"/>
      <c r="V375" s="5"/>
      <c r="W375" s="5"/>
      <c r="X375" s="5"/>
      <c r="Y375" s="5"/>
      <c r="Z375" s="5"/>
    </row>
    <row r="376">
      <c r="A376" s="5" t="s">
        <v>371</v>
      </c>
      <c r="B376" s="5" t="s">
        <v>365</v>
      </c>
      <c r="C376" s="5" t="s">
        <v>76</v>
      </c>
      <c r="D376" s="5" t="s">
        <v>370</v>
      </c>
      <c r="E376" s="5" t="s">
        <v>77</v>
      </c>
      <c r="F376" s="5" t="s">
        <v>249</v>
      </c>
      <c r="G376" s="191">
        <v>2013.0</v>
      </c>
      <c r="H376" s="191">
        <v>0.022770446</v>
      </c>
      <c r="I376" s="191">
        <v>0.026174632</v>
      </c>
      <c r="J376" s="191">
        <v>0.019757396</v>
      </c>
      <c r="K376" s="5"/>
      <c r="L376" s="5"/>
      <c r="M376" s="5"/>
      <c r="N376" s="5"/>
      <c r="O376" s="5"/>
      <c r="P376" s="5"/>
      <c r="Q376" s="5"/>
      <c r="R376" s="5"/>
      <c r="S376" s="5"/>
      <c r="T376" s="5"/>
      <c r="U376" s="5"/>
      <c r="V376" s="5"/>
      <c r="W376" s="5"/>
      <c r="X376" s="5"/>
      <c r="Y376" s="5"/>
      <c r="Z376" s="5"/>
    </row>
    <row r="377">
      <c r="A377" s="5" t="s">
        <v>74</v>
      </c>
      <c r="B377" s="5" t="s">
        <v>362</v>
      </c>
      <c r="C377" s="5" t="s">
        <v>76</v>
      </c>
      <c r="D377" s="5" t="s">
        <v>369</v>
      </c>
      <c r="E377" s="5" t="s">
        <v>77</v>
      </c>
      <c r="F377" s="5" t="s">
        <v>249</v>
      </c>
      <c r="G377" s="191">
        <v>2014.0</v>
      </c>
      <c r="H377" s="191">
        <v>0.051778033</v>
      </c>
      <c r="I377" s="191">
        <v>0.072663424</v>
      </c>
      <c r="J377" s="191">
        <v>0.033880862</v>
      </c>
      <c r="K377" s="5"/>
      <c r="L377" s="5"/>
      <c r="M377" s="5"/>
      <c r="N377" s="5"/>
      <c r="O377" s="5"/>
      <c r="P377" s="5"/>
      <c r="Q377" s="5"/>
      <c r="R377" s="5"/>
      <c r="S377" s="5"/>
      <c r="T377" s="5"/>
      <c r="U377" s="5"/>
      <c r="V377" s="5"/>
      <c r="W377" s="5"/>
      <c r="X377" s="5"/>
      <c r="Y377" s="5"/>
      <c r="Z377" s="5"/>
    </row>
    <row r="378">
      <c r="A378" s="5" t="s">
        <v>74</v>
      </c>
      <c r="B378" s="5" t="s">
        <v>362</v>
      </c>
      <c r="C378" s="5" t="s">
        <v>76</v>
      </c>
      <c r="D378" s="5" t="s">
        <v>370</v>
      </c>
      <c r="E378" s="5" t="s">
        <v>77</v>
      </c>
      <c r="F378" s="5" t="s">
        <v>249</v>
      </c>
      <c r="G378" s="191">
        <v>2014.0</v>
      </c>
      <c r="H378" s="191">
        <v>0.054459504</v>
      </c>
      <c r="I378" s="191">
        <v>0.098707149</v>
      </c>
      <c r="J378" s="191">
        <v>0.032506629</v>
      </c>
      <c r="K378" s="5"/>
      <c r="L378" s="5"/>
      <c r="M378" s="5"/>
      <c r="N378" s="5"/>
      <c r="O378" s="5"/>
      <c r="P378" s="5"/>
      <c r="Q378" s="5"/>
      <c r="R378" s="5"/>
      <c r="S378" s="5"/>
      <c r="T378" s="5"/>
      <c r="U378" s="5"/>
      <c r="V378" s="5"/>
      <c r="W378" s="5"/>
      <c r="X378" s="5"/>
      <c r="Y378" s="5"/>
      <c r="Z378" s="5"/>
    </row>
    <row r="379">
      <c r="A379" s="5" t="s">
        <v>371</v>
      </c>
      <c r="B379" s="5" t="s">
        <v>362</v>
      </c>
      <c r="C379" s="5" t="s">
        <v>76</v>
      </c>
      <c r="D379" s="5" t="s">
        <v>369</v>
      </c>
      <c r="E379" s="5" t="s">
        <v>77</v>
      </c>
      <c r="F379" s="5" t="s">
        <v>249</v>
      </c>
      <c r="G379" s="191">
        <v>2014.0</v>
      </c>
      <c r="H379" s="191">
        <v>0.035068721</v>
      </c>
      <c r="I379" s="191">
        <v>0.043742368</v>
      </c>
      <c r="J379" s="191">
        <v>0.027446655</v>
      </c>
      <c r="K379" s="5"/>
      <c r="L379" s="5"/>
      <c r="M379" s="5"/>
      <c r="N379" s="5"/>
      <c r="O379" s="5"/>
      <c r="P379" s="5"/>
      <c r="Q379" s="5"/>
      <c r="R379" s="5"/>
      <c r="S379" s="5"/>
      <c r="T379" s="5"/>
      <c r="U379" s="5"/>
      <c r="V379" s="5"/>
      <c r="W379" s="5"/>
      <c r="X379" s="5"/>
      <c r="Y379" s="5"/>
      <c r="Z379" s="5"/>
    </row>
    <row r="380">
      <c r="A380" s="5" t="s">
        <v>371</v>
      </c>
      <c r="B380" s="5" t="s">
        <v>362</v>
      </c>
      <c r="C380" s="5" t="s">
        <v>76</v>
      </c>
      <c r="D380" s="5" t="s">
        <v>370</v>
      </c>
      <c r="E380" s="5" t="s">
        <v>77</v>
      </c>
      <c r="F380" s="5" t="s">
        <v>249</v>
      </c>
      <c r="G380" s="191">
        <v>2014.0</v>
      </c>
      <c r="H380" s="191">
        <v>0.019854928</v>
      </c>
      <c r="I380" s="191">
        <v>0.022996715</v>
      </c>
      <c r="J380" s="191">
        <v>0.01686033</v>
      </c>
      <c r="K380" s="5"/>
      <c r="L380" s="5"/>
      <c r="M380" s="5"/>
      <c r="N380" s="5"/>
      <c r="O380" s="5"/>
      <c r="P380" s="5"/>
      <c r="Q380" s="5"/>
      <c r="R380" s="5"/>
      <c r="S380" s="5"/>
      <c r="T380" s="5"/>
      <c r="U380" s="5"/>
      <c r="V380" s="5"/>
      <c r="W380" s="5"/>
      <c r="X380" s="5"/>
      <c r="Y380" s="5"/>
      <c r="Z380" s="5"/>
    </row>
    <row r="381">
      <c r="A381" s="5" t="s">
        <v>74</v>
      </c>
      <c r="B381" s="5" t="s">
        <v>358</v>
      </c>
      <c r="C381" s="5" t="s">
        <v>76</v>
      </c>
      <c r="D381" s="5" t="s">
        <v>369</v>
      </c>
      <c r="E381" s="5" t="s">
        <v>77</v>
      </c>
      <c r="F381" s="5" t="s">
        <v>249</v>
      </c>
      <c r="G381" s="191">
        <v>2014.0</v>
      </c>
      <c r="H381" s="191">
        <v>0.124465004</v>
      </c>
      <c r="I381" s="191">
        <v>0.141327394</v>
      </c>
      <c r="J381" s="191">
        <v>0.10837554</v>
      </c>
      <c r="K381" s="5"/>
      <c r="L381" s="5"/>
      <c r="M381" s="5"/>
      <c r="N381" s="5"/>
      <c r="O381" s="5"/>
      <c r="P381" s="5"/>
      <c r="Q381" s="5"/>
      <c r="R381" s="5"/>
      <c r="S381" s="5"/>
      <c r="T381" s="5"/>
      <c r="U381" s="5"/>
      <c r="V381" s="5"/>
      <c r="W381" s="5"/>
      <c r="X381" s="5"/>
      <c r="Y381" s="5"/>
      <c r="Z381" s="5"/>
    </row>
    <row r="382">
      <c r="A382" s="5" t="s">
        <v>74</v>
      </c>
      <c r="B382" s="5" t="s">
        <v>358</v>
      </c>
      <c r="C382" s="5" t="s">
        <v>76</v>
      </c>
      <c r="D382" s="5" t="s">
        <v>370</v>
      </c>
      <c r="E382" s="5" t="s">
        <v>77</v>
      </c>
      <c r="F382" s="5" t="s">
        <v>249</v>
      </c>
      <c r="G382" s="191">
        <v>2014.0</v>
      </c>
      <c r="H382" s="191">
        <v>0.037009416</v>
      </c>
      <c r="I382" s="191">
        <v>0.040705928</v>
      </c>
      <c r="J382" s="191">
        <v>0.033721181</v>
      </c>
      <c r="K382" s="5"/>
      <c r="L382" s="5"/>
      <c r="M382" s="5"/>
      <c r="N382" s="5"/>
      <c r="O382" s="5"/>
      <c r="P382" s="5"/>
      <c r="Q382" s="5"/>
      <c r="R382" s="5"/>
      <c r="S382" s="5"/>
      <c r="T382" s="5"/>
      <c r="U382" s="5"/>
      <c r="V382" s="5"/>
      <c r="W382" s="5"/>
      <c r="X382" s="5"/>
      <c r="Y382" s="5"/>
      <c r="Z382" s="5"/>
    </row>
    <row r="383">
      <c r="A383" s="5" t="s">
        <v>371</v>
      </c>
      <c r="B383" s="5" t="s">
        <v>358</v>
      </c>
      <c r="C383" s="5" t="s">
        <v>76</v>
      </c>
      <c r="D383" s="5" t="s">
        <v>369</v>
      </c>
      <c r="E383" s="5" t="s">
        <v>77</v>
      </c>
      <c r="F383" s="5" t="s">
        <v>249</v>
      </c>
      <c r="G383" s="191">
        <v>2014.0</v>
      </c>
      <c r="H383" s="191">
        <v>0.099555801</v>
      </c>
      <c r="I383" s="191">
        <v>0.123142603</v>
      </c>
      <c r="J383" s="191">
        <v>0.07704086</v>
      </c>
      <c r="K383" s="5"/>
      <c r="L383" s="5"/>
      <c r="M383" s="5"/>
      <c r="N383" s="5"/>
      <c r="O383" s="5"/>
      <c r="P383" s="5"/>
      <c r="Q383" s="5"/>
      <c r="R383" s="5"/>
      <c r="S383" s="5"/>
      <c r="T383" s="5"/>
      <c r="U383" s="5"/>
      <c r="V383" s="5"/>
      <c r="W383" s="5"/>
      <c r="X383" s="5"/>
      <c r="Y383" s="5"/>
      <c r="Z383" s="5"/>
    </row>
    <row r="384">
      <c r="A384" s="5" t="s">
        <v>371</v>
      </c>
      <c r="B384" s="5" t="s">
        <v>358</v>
      </c>
      <c r="C384" s="5" t="s">
        <v>76</v>
      </c>
      <c r="D384" s="5" t="s">
        <v>370</v>
      </c>
      <c r="E384" s="5" t="s">
        <v>77</v>
      </c>
      <c r="F384" s="5" t="s">
        <v>249</v>
      </c>
      <c r="G384" s="191">
        <v>2014.0</v>
      </c>
      <c r="H384" s="191">
        <v>0.019256562</v>
      </c>
      <c r="I384" s="191">
        <v>0.022041774</v>
      </c>
      <c r="J384" s="191">
        <v>0.016618465</v>
      </c>
      <c r="K384" s="5"/>
      <c r="L384" s="5"/>
      <c r="M384" s="5"/>
      <c r="N384" s="5"/>
      <c r="O384" s="5"/>
      <c r="P384" s="5"/>
      <c r="Q384" s="5"/>
      <c r="R384" s="5"/>
      <c r="S384" s="5"/>
      <c r="T384" s="5"/>
      <c r="U384" s="5"/>
      <c r="V384" s="5"/>
      <c r="W384" s="5"/>
      <c r="X384" s="5"/>
      <c r="Y384" s="5"/>
      <c r="Z384" s="5"/>
    </row>
    <row r="385">
      <c r="A385" s="5" t="s">
        <v>74</v>
      </c>
      <c r="B385" s="5" t="s">
        <v>360</v>
      </c>
      <c r="C385" s="5" t="s">
        <v>76</v>
      </c>
      <c r="D385" s="5" t="s">
        <v>369</v>
      </c>
      <c r="E385" s="5" t="s">
        <v>77</v>
      </c>
      <c r="F385" s="5" t="s">
        <v>249</v>
      </c>
      <c r="G385" s="191">
        <v>2014.0</v>
      </c>
      <c r="H385" s="191">
        <v>0.091675183</v>
      </c>
      <c r="I385" s="191">
        <v>0.10886018</v>
      </c>
      <c r="J385" s="191">
        <v>0.074347823</v>
      </c>
      <c r="K385" s="5"/>
      <c r="L385" s="5"/>
      <c r="M385" s="5"/>
      <c r="N385" s="5"/>
      <c r="O385" s="5"/>
      <c r="P385" s="5"/>
      <c r="Q385" s="5"/>
      <c r="R385" s="5"/>
      <c r="S385" s="5"/>
      <c r="T385" s="5"/>
      <c r="U385" s="5"/>
      <c r="V385" s="5"/>
      <c r="W385" s="5"/>
      <c r="X385" s="5"/>
      <c r="Y385" s="5"/>
      <c r="Z385" s="5"/>
    </row>
    <row r="386">
      <c r="A386" s="5" t="s">
        <v>74</v>
      </c>
      <c r="B386" s="5" t="s">
        <v>360</v>
      </c>
      <c r="C386" s="5" t="s">
        <v>76</v>
      </c>
      <c r="D386" s="5" t="s">
        <v>370</v>
      </c>
      <c r="E386" s="5" t="s">
        <v>77</v>
      </c>
      <c r="F386" s="5" t="s">
        <v>249</v>
      </c>
      <c r="G386" s="191">
        <v>2014.0</v>
      </c>
      <c r="H386" s="191">
        <v>0.087064205</v>
      </c>
      <c r="I386" s="191">
        <v>0.133551949</v>
      </c>
      <c r="J386" s="191">
        <v>0.057836145</v>
      </c>
      <c r="K386" s="5"/>
      <c r="L386" s="5"/>
      <c r="M386" s="5"/>
      <c r="N386" s="5"/>
      <c r="O386" s="5"/>
      <c r="P386" s="5"/>
      <c r="Q386" s="5"/>
      <c r="R386" s="5"/>
      <c r="S386" s="5"/>
      <c r="T386" s="5"/>
      <c r="U386" s="5"/>
      <c r="V386" s="5"/>
      <c r="W386" s="5"/>
      <c r="X386" s="5"/>
      <c r="Y386" s="5"/>
      <c r="Z386" s="5"/>
    </row>
    <row r="387">
      <c r="A387" s="5" t="s">
        <v>371</v>
      </c>
      <c r="B387" s="5" t="s">
        <v>360</v>
      </c>
      <c r="C387" s="5" t="s">
        <v>76</v>
      </c>
      <c r="D387" s="5" t="s">
        <v>369</v>
      </c>
      <c r="E387" s="5" t="s">
        <v>77</v>
      </c>
      <c r="F387" s="5" t="s">
        <v>249</v>
      </c>
      <c r="G387" s="191">
        <v>2014.0</v>
      </c>
      <c r="H387" s="191">
        <v>0.031282658</v>
      </c>
      <c r="I387" s="191">
        <v>0.039490082</v>
      </c>
      <c r="J387" s="191">
        <v>0.024215793</v>
      </c>
      <c r="K387" s="5"/>
      <c r="L387" s="5"/>
      <c r="M387" s="5"/>
      <c r="N387" s="5"/>
      <c r="O387" s="5"/>
      <c r="P387" s="5"/>
      <c r="Q387" s="5"/>
      <c r="R387" s="5"/>
      <c r="S387" s="5"/>
      <c r="T387" s="5"/>
      <c r="U387" s="5"/>
      <c r="V387" s="5"/>
      <c r="W387" s="5"/>
      <c r="X387" s="5"/>
      <c r="Y387" s="5"/>
      <c r="Z387" s="5"/>
    </row>
    <row r="388">
      <c r="A388" s="5" t="s">
        <v>371</v>
      </c>
      <c r="B388" s="5" t="s">
        <v>360</v>
      </c>
      <c r="C388" s="5" t="s">
        <v>76</v>
      </c>
      <c r="D388" s="5" t="s">
        <v>370</v>
      </c>
      <c r="E388" s="5" t="s">
        <v>77</v>
      </c>
      <c r="F388" s="5" t="s">
        <v>249</v>
      </c>
      <c r="G388" s="191">
        <v>2014.0</v>
      </c>
      <c r="H388" s="191">
        <v>0.017453579</v>
      </c>
      <c r="I388" s="191">
        <v>0.020022464</v>
      </c>
      <c r="J388" s="191">
        <v>0.015128854</v>
      </c>
      <c r="K388" s="5"/>
      <c r="L388" s="5"/>
      <c r="M388" s="5"/>
      <c r="N388" s="5"/>
      <c r="O388" s="5"/>
      <c r="P388" s="5"/>
      <c r="Q388" s="5"/>
      <c r="R388" s="5"/>
      <c r="S388" s="5"/>
      <c r="T388" s="5"/>
      <c r="U388" s="5"/>
      <c r="V388" s="5"/>
      <c r="W388" s="5"/>
      <c r="X388" s="5"/>
      <c r="Y388" s="5"/>
      <c r="Z388" s="5"/>
    </row>
    <row r="389">
      <c r="A389" s="5" t="s">
        <v>74</v>
      </c>
      <c r="B389" s="5" t="s">
        <v>11</v>
      </c>
      <c r="C389" s="5" t="s">
        <v>76</v>
      </c>
      <c r="D389" s="5" t="s">
        <v>369</v>
      </c>
      <c r="E389" s="5" t="s">
        <v>77</v>
      </c>
      <c r="F389" s="5" t="s">
        <v>249</v>
      </c>
      <c r="G389" s="191">
        <v>2014.0</v>
      </c>
      <c r="H389" s="191">
        <v>0.203790082</v>
      </c>
      <c r="I389" s="191">
        <v>0.244619767</v>
      </c>
      <c r="J389" s="191">
        <v>0.146173746</v>
      </c>
      <c r="K389" s="5"/>
      <c r="L389" s="5"/>
      <c r="M389" s="5"/>
      <c r="N389" s="5"/>
      <c r="O389" s="5"/>
      <c r="P389" s="5"/>
      <c r="Q389" s="5"/>
      <c r="R389" s="5"/>
      <c r="S389" s="5"/>
      <c r="T389" s="5"/>
      <c r="U389" s="5"/>
      <c r="V389" s="5"/>
      <c r="W389" s="5"/>
      <c r="X389" s="5"/>
      <c r="Y389" s="5"/>
      <c r="Z389" s="5"/>
    </row>
    <row r="390">
      <c r="A390" s="5" t="s">
        <v>74</v>
      </c>
      <c r="B390" s="5" t="s">
        <v>11</v>
      </c>
      <c r="C390" s="5" t="s">
        <v>76</v>
      </c>
      <c r="D390" s="5" t="s">
        <v>370</v>
      </c>
      <c r="E390" s="5" t="s">
        <v>77</v>
      </c>
      <c r="F390" s="5" t="s">
        <v>249</v>
      </c>
      <c r="G390" s="191">
        <v>2014.0</v>
      </c>
      <c r="H390" s="191">
        <v>0.090284349</v>
      </c>
      <c r="I390" s="191">
        <v>0.118099253</v>
      </c>
      <c r="J390" s="191">
        <v>0.068439553</v>
      </c>
      <c r="K390" s="5"/>
      <c r="L390" s="5"/>
      <c r="M390" s="5"/>
      <c r="N390" s="5"/>
      <c r="O390" s="5"/>
      <c r="P390" s="5"/>
      <c r="Q390" s="5"/>
      <c r="R390" s="5"/>
      <c r="S390" s="5"/>
      <c r="T390" s="5"/>
      <c r="U390" s="5"/>
      <c r="V390" s="5"/>
      <c r="W390" s="5"/>
      <c r="X390" s="5"/>
      <c r="Y390" s="5"/>
      <c r="Z390" s="5"/>
    </row>
    <row r="391">
      <c r="A391" s="5" t="s">
        <v>371</v>
      </c>
      <c r="B391" s="5" t="s">
        <v>11</v>
      </c>
      <c r="C391" s="5" t="s">
        <v>76</v>
      </c>
      <c r="D391" s="5" t="s">
        <v>369</v>
      </c>
      <c r="E391" s="5" t="s">
        <v>77</v>
      </c>
      <c r="F391" s="5" t="s">
        <v>249</v>
      </c>
      <c r="G391" s="191">
        <v>2014.0</v>
      </c>
      <c r="H391" s="191">
        <v>0.076672128</v>
      </c>
      <c r="I391" s="191">
        <v>0.095465837</v>
      </c>
      <c r="J391" s="191">
        <v>0.060801224</v>
      </c>
      <c r="K391" s="5"/>
      <c r="L391" s="5"/>
      <c r="M391" s="5"/>
      <c r="N391" s="5"/>
      <c r="O391" s="5"/>
      <c r="P391" s="5"/>
      <c r="Q391" s="5"/>
      <c r="R391" s="5"/>
      <c r="S391" s="5"/>
      <c r="T391" s="5"/>
      <c r="U391" s="5"/>
      <c r="V391" s="5"/>
      <c r="W391" s="5"/>
      <c r="X391" s="5"/>
      <c r="Y391" s="5"/>
      <c r="Z391" s="5"/>
    </row>
    <row r="392">
      <c r="A392" s="5" t="s">
        <v>371</v>
      </c>
      <c r="B392" s="5" t="s">
        <v>11</v>
      </c>
      <c r="C392" s="5" t="s">
        <v>76</v>
      </c>
      <c r="D392" s="5" t="s">
        <v>370</v>
      </c>
      <c r="E392" s="5" t="s">
        <v>77</v>
      </c>
      <c r="F392" s="5" t="s">
        <v>249</v>
      </c>
      <c r="G392" s="191">
        <v>2014.0</v>
      </c>
      <c r="H392" s="191">
        <v>0.019729512</v>
      </c>
      <c r="I392" s="191">
        <v>0.022768812</v>
      </c>
      <c r="J392" s="191">
        <v>0.017189863</v>
      </c>
      <c r="K392" s="5"/>
      <c r="L392" s="5"/>
      <c r="M392" s="5"/>
      <c r="N392" s="5"/>
      <c r="O392" s="5"/>
      <c r="P392" s="5"/>
      <c r="Q392" s="5"/>
      <c r="R392" s="5"/>
      <c r="S392" s="5"/>
      <c r="T392" s="5"/>
      <c r="U392" s="5"/>
      <c r="V392" s="5"/>
      <c r="W392" s="5"/>
      <c r="X392" s="5"/>
      <c r="Y392" s="5"/>
      <c r="Z392" s="5"/>
    </row>
    <row r="393">
      <c r="A393" s="5" t="s">
        <v>74</v>
      </c>
      <c r="B393" s="5" t="s">
        <v>15</v>
      </c>
      <c r="C393" s="5" t="s">
        <v>76</v>
      </c>
      <c r="D393" s="5" t="s">
        <v>369</v>
      </c>
      <c r="E393" s="5" t="s">
        <v>77</v>
      </c>
      <c r="F393" s="5" t="s">
        <v>249</v>
      </c>
      <c r="G393" s="191">
        <v>2014.0</v>
      </c>
      <c r="H393" s="191">
        <v>0.099351906</v>
      </c>
      <c r="I393" s="191">
        <v>0.136574708</v>
      </c>
      <c r="J393" s="191">
        <v>0.067675663</v>
      </c>
      <c r="K393" s="5"/>
      <c r="L393" s="5"/>
      <c r="M393" s="5"/>
      <c r="N393" s="5"/>
      <c r="O393" s="5"/>
      <c r="P393" s="5"/>
      <c r="Q393" s="5"/>
      <c r="R393" s="5"/>
      <c r="S393" s="5"/>
      <c r="T393" s="5"/>
      <c r="U393" s="5"/>
      <c r="V393" s="5"/>
      <c r="W393" s="5"/>
      <c r="X393" s="5"/>
      <c r="Y393" s="5"/>
      <c r="Z393" s="5"/>
    </row>
    <row r="394">
      <c r="A394" s="5" t="s">
        <v>74</v>
      </c>
      <c r="B394" s="5" t="s">
        <v>15</v>
      </c>
      <c r="C394" s="5" t="s">
        <v>76</v>
      </c>
      <c r="D394" s="5" t="s">
        <v>370</v>
      </c>
      <c r="E394" s="5" t="s">
        <v>77</v>
      </c>
      <c r="F394" s="5" t="s">
        <v>249</v>
      </c>
      <c r="G394" s="191">
        <v>2014.0</v>
      </c>
      <c r="H394" s="191">
        <v>0.072305455</v>
      </c>
      <c r="I394" s="191">
        <v>0.095957746</v>
      </c>
      <c r="J394" s="191">
        <v>0.052279863</v>
      </c>
      <c r="K394" s="5"/>
      <c r="L394" s="5"/>
      <c r="M394" s="5"/>
      <c r="N394" s="5"/>
      <c r="O394" s="5"/>
      <c r="P394" s="5"/>
      <c r="Q394" s="5"/>
      <c r="R394" s="5"/>
      <c r="S394" s="5"/>
      <c r="T394" s="5"/>
      <c r="U394" s="5"/>
      <c r="V394" s="5"/>
      <c r="W394" s="5"/>
      <c r="X394" s="5"/>
      <c r="Y394" s="5"/>
      <c r="Z394" s="5"/>
    </row>
    <row r="395">
      <c r="A395" s="5" t="s">
        <v>371</v>
      </c>
      <c r="B395" s="5" t="s">
        <v>15</v>
      </c>
      <c r="C395" s="5" t="s">
        <v>76</v>
      </c>
      <c r="D395" s="5" t="s">
        <v>369</v>
      </c>
      <c r="E395" s="5" t="s">
        <v>77</v>
      </c>
      <c r="F395" s="5" t="s">
        <v>249</v>
      </c>
      <c r="G395" s="191">
        <v>2014.0</v>
      </c>
      <c r="H395" s="191">
        <v>0.086246632</v>
      </c>
      <c r="I395" s="191">
        <v>0.10561109</v>
      </c>
      <c r="J395" s="191">
        <v>0.067558626</v>
      </c>
      <c r="K395" s="5"/>
      <c r="L395" s="5"/>
      <c r="M395" s="5"/>
      <c r="N395" s="5"/>
      <c r="O395" s="5"/>
      <c r="P395" s="5"/>
      <c r="Q395" s="5"/>
      <c r="R395" s="5"/>
      <c r="S395" s="5"/>
      <c r="T395" s="5"/>
      <c r="U395" s="5"/>
      <c r="V395" s="5"/>
      <c r="W395" s="5"/>
      <c r="X395" s="5"/>
      <c r="Y395" s="5"/>
      <c r="Z395" s="5"/>
    </row>
    <row r="396">
      <c r="A396" s="5" t="s">
        <v>371</v>
      </c>
      <c r="B396" s="5" t="s">
        <v>15</v>
      </c>
      <c r="C396" s="5" t="s">
        <v>76</v>
      </c>
      <c r="D396" s="5" t="s">
        <v>370</v>
      </c>
      <c r="E396" s="5" t="s">
        <v>77</v>
      </c>
      <c r="F396" s="5" t="s">
        <v>249</v>
      </c>
      <c r="G396" s="191">
        <v>2014.0</v>
      </c>
      <c r="H396" s="191">
        <v>0.02367007</v>
      </c>
      <c r="I396" s="191">
        <v>0.027163758</v>
      </c>
      <c r="J396" s="191">
        <v>0.020417378</v>
      </c>
      <c r="K396" s="5"/>
      <c r="L396" s="5"/>
      <c r="M396" s="5"/>
      <c r="N396" s="5"/>
      <c r="O396" s="5"/>
      <c r="P396" s="5"/>
      <c r="Q396" s="5"/>
      <c r="R396" s="5"/>
      <c r="S396" s="5"/>
      <c r="T396" s="5"/>
      <c r="U396" s="5"/>
      <c r="V396" s="5"/>
      <c r="W396" s="5"/>
      <c r="X396" s="5"/>
      <c r="Y396" s="5"/>
      <c r="Z396" s="5"/>
    </row>
    <row r="397">
      <c r="A397" s="5" t="s">
        <v>74</v>
      </c>
      <c r="B397" s="5" t="s">
        <v>372</v>
      </c>
      <c r="C397" s="5" t="s">
        <v>76</v>
      </c>
      <c r="D397" s="5" t="s">
        <v>369</v>
      </c>
      <c r="E397" s="5" t="s">
        <v>77</v>
      </c>
      <c r="F397" s="5" t="s">
        <v>249</v>
      </c>
      <c r="G397" s="191">
        <v>2014.0</v>
      </c>
      <c r="H397" s="191">
        <v>0.102817795</v>
      </c>
      <c r="I397" s="191">
        <v>0.128967342</v>
      </c>
      <c r="J397" s="191">
        <v>0.078283962</v>
      </c>
      <c r="K397" s="5"/>
      <c r="L397" s="5"/>
      <c r="M397" s="5"/>
      <c r="N397" s="5"/>
      <c r="O397" s="5"/>
      <c r="P397" s="5"/>
      <c r="Q397" s="5"/>
      <c r="R397" s="5"/>
      <c r="S397" s="5"/>
      <c r="T397" s="5"/>
      <c r="U397" s="5"/>
      <c r="V397" s="5"/>
      <c r="W397" s="5"/>
      <c r="X397" s="5"/>
      <c r="Y397" s="5"/>
      <c r="Z397" s="5"/>
    </row>
    <row r="398">
      <c r="A398" s="5" t="s">
        <v>74</v>
      </c>
      <c r="B398" s="5" t="s">
        <v>372</v>
      </c>
      <c r="C398" s="5" t="s">
        <v>76</v>
      </c>
      <c r="D398" s="5" t="s">
        <v>370</v>
      </c>
      <c r="E398" s="5" t="s">
        <v>77</v>
      </c>
      <c r="F398" s="5" t="s">
        <v>249</v>
      </c>
      <c r="G398" s="191">
        <v>2014.0</v>
      </c>
      <c r="H398" s="191">
        <v>0.077378161</v>
      </c>
      <c r="I398" s="191">
        <v>0.101364719</v>
      </c>
      <c r="J398" s="191">
        <v>0.057477681</v>
      </c>
      <c r="K398" s="5"/>
      <c r="L398" s="5"/>
      <c r="M398" s="5"/>
      <c r="N398" s="5"/>
      <c r="O398" s="5"/>
      <c r="P398" s="5"/>
      <c r="Q398" s="5"/>
      <c r="R398" s="5"/>
      <c r="S398" s="5"/>
      <c r="T398" s="5"/>
      <c r="U398" s="5"/>
      <c r="V398" s="5"/>
      <c r="W398" s="5"/>
      <c r="X398" s="5"/>
      <c r="Y398" s="5"/>
      <c r="Z398" s="5"/>
    </row>
    <row r="399">
      <c r="A399" s="5" t="s">
        <v>371</v>
      </c>
      <c r="B399" s="5" t="s">
        <v>372</v>
      </c>
      <c r="C399" s="5" t="s">
        <v>76</v>
      </c>
      <c r="D399" s="5" t="s">
        <v>369</v>
      </c>
      <c r="E399" s="5" t="s">
        <v>77</v>
      </c>
      <c r="F399" s="5" t="s">
        <v>249</v>
      </c>
      <c r="G399" s="191">
        <v>2014.0</v>
      </c>
      <c r="H399" s="191">
        <v>0.074685721</v>
      </c>
      <c r="I399" s="191">
        <v>0.09675108</v>
      </c>
      <c r="J399" s="191">
        <v>0.058065777</v>
      </c>
      <c r="K399" s="5"/>
      <c r="L399" s="5"/>
      <c r="M399" s="5"/>
      <c r="N399" s="5"/>
      <c r="O399" s="5"/>
      <c r="P399" s="5"/>
      <c r="Q399" s="5"/>
      <c r="R399" s="5"/>
      <c r="S399" s="5"/>
      <c r="T399" s="5"/>
      <c r="U399" s="5"/>
      <c r="V399" s="5"/>
      <c r="W399" s="5"/>
      <c r="X399" s="5"/>
      <c r="Y399" s="5"/>
      <c r="Z399" s="5"/>
    </row>
    <row r="400">
      <c r="A400" s="5" t="s">
        <v>371</v>
      </c>
      <c r="B400" s="5" t="s">
        <v>372</v>
      </c>
      <c r="C400" s="5" t="s">
        <v>76</v>
      </c>
      <c r="D400" s="5" t="s">
        <v>370</v>
      </c>
      <c r="E400" s="5" t="s">
        <v>77</v>
      </c>
      <c r="F400" s="5" t="s">
        <v>249</v>
      </c>
      <c r="G400" s="191">
        <v>2014.0</v>
      </c>
      <c r="H400" s="191">
        <v>0.024485706</v>
      </c>
      <c r="I400" s="191">
        <v>0.028859982</v>
      </c>
      <c r="J400" s="191">
        <v>0.020806942</v>
      </c>
      <c r="K400" s="5"/>
      <c r="L400" s="5"/>
      <c r="M400" s="5"/>
      <c r="N400" s="5"/>
      <c r="O400" s="5"/>
      <c r="P400" s="5"/>
      <c r="Q400" s="5"/>
      <c r="R400" s="5"/>
      <c r="S400" s="5"/>
      <c r="T400" s="5"/>
      <c r="U400" s="5"/>
      <c r="V400" s="5"/>
      <c r="W400" s="5"/>
      <c r="X400" s="5"/>
      <c r="Y400" s="5"/>
      <c r="Z400" s="5"/>
    </row>
    <row r="401">
      <c r="A401" s="5" t="s">
        <v>74</v>
      </c>
      <c r="B401" s="5" t="s">
        <v>373</v>
      </c>
      <c r="C401" s="5" t="s">
        <v>76</v>
      </c>
      <c r="D401" s="5" t="s">
        <v>369</v>
      </c>
      <c r="E401" s="5" t="s">
        <v>77</v>
      </c>
      <c r="F401" s="5" t="s">
        <v>249</v>
      </c>
      <c r="G401" s="191">
        <v>2014.0</v>
      </c>
      <c r="H401" s="191">
        <v>0.111042993</v>
      </c>
      <c r="I401" s="191">
        <v>0.167964324</v>
      </c>
      <c r="J401" s="191">
        <v>0.068973065</v>
      </c>
      <c r="K401" s="5"/>
      <c r="L401" s="5"/>
      <c r="M401" s="5"/>
      <c r="N401" s="5"/>
      <c r="O401" s="5"/>
      <c r="P401" s="5"/>
      <c r="Q401" s="5"/>
      <c r="R401" s="5"/>
      <c r="S401" s="5"/>
      <c r="T401" s="5"/>
      <c r="U401" s="5"/>
      <c r="V401" s="5"/>
      <c r="W401" s="5"/>
      <c r="X401" s="5"/>
      <c r="Y401" s="5"/>
      <c r="Z401" s="5"/>
    </row>
    <row r="402">
      <c r="A402" s="5" t="s">
        <v>74</v>
      </c>
      <c r="B402" s="5" t="s">
        <v>373</v>
      </c>
      <c r="C402" s="5" t="s">
        <v>76</v>
      </c>
      <c r="D402" s="5" t="s">
        <v>370</v>
      </c>
      <c r="E402" s="5" t="s">
        <v>77</v>
      </c>
      <c r="F402" s="5" t="s">
        <v>249</v>
      </c>
      <c r="G402" s="191">
        <v>2014.0</v>
      </c>
      <c r="H402" s="191">
        <v>0.068443398</v>
      </c>
      <c r="I402" s="191">
        <v>0.09510535</v>
      </c>
      <c r="J402" s="191">
        <v>0.04484576</v>
      </c>
      <c r="K402" s="5"/>
      <c r="L402" s="5"/>
      <c r="M402" s="5"/>
      <c r="N402" s="5"/>
      <c r="O402" s="5"/>
      <c r="P402" s="5"/>
      <c r="Q402" s="5"/>
      <c r="R402" s="5"/>
      <c r="S402" s="5"/>
      <c r="T402" s="5"/>
      <c r="U402" s="5"/>
      <c r="V402" s="5"/>
      <c r="W402" s="5"/>
      <c r="X402" s="5"/>
      <c r="Y402" s="5"/>
      <c r="Z402" s="5"/>
    </row>
    <row r="403">
      <c r="A403" s="5" t="s">
        <v>371</v>
      </c>
      <c r="B403" s="5" t="s">
        <v>373</v>
      </c>
      <c r="C403" s="5" t="s">
        <v>76</v>
      </c>
      <c r="D403" s="5" t="s">
        <v>369</v>
      </c>
      <c r="E403" s="5" t="s">
        <v>77</v>
      </c>
      <c r="F403" s="5" t="s">
        <v>249</v>
      </c>
      <c r="G403" s="191">
        <v>2014.0</v>
      </c>
      <c r="H403" s="191">
        <v>0.090293338</v>
      </c>
      <c r="I403" s="191">
        <v>0.11095038</v>
      </c>
      <c r="J403" s="191">
        <v>0.071722378</v>
      </c>
      <c r="K403" s="5"/>
      <c r="L403" s="5"/>
      <c r="M403" s="5"/>
      <c r="N403" s="5"/>
      <c r="O403" s="5"/>
      <c r="P403" s="5"/>
      <c r="Q403" s="5"/>
      <c r="R403" s="5"/>
      <c r="S403" s="5"/>
      <c r="T403" s="5"/>
      <c r="U403" s="5"/>
      <c r="V403" s="5"/>
      <c r="W403" s="5"/>
      <c r="X403" s="5"/>
      <c r="Y403" s="5"/>
      <c r="Z403" s="5"/>
    </row>
    <row r="404">
      <c r="A404" s="5" t="s">
        <v>371</v>
      </c>
      <c r="B404" s="5" t="s">
        <v>373</v>
      </c>
      <c r="C404" s="5" t="s">
        <v>76</v>
      </c>
      <c r="D404" s="5" t="s">
        <v>370</v>
      </c>
      <c r="E404" s="5" t="s">
        <v>77</v>
      </c>
      <c r="F404" s="5" t="s">
        <v>249</v>
      </c>
      <c r="G404" s="191">
        <v>2014.0</v>
      </c>
      <c r="H404" s="191">
        <v>0.018889919</v>
      </c>
      <c r="I404" s="191">
        <v>0.021859808</v>
      </c>
      <c r="J404" s="191">
        <v>0.016242293</v>
      </c>
      <c r="K404" s="5"/>
      <c r="L404" s="5"/>
      <c r="M404" s="5"/>
      <c r="N404" s="5"/>
      <c r="O404" s="5"/>
      <c r="P404" s="5"/>
      <c r="Q404" s="5"/>
      <c r="R404" s="5"/>
      <c r="S404" s="5"/>
      <c r="T404" s="5"/>
      <c r="U404" s="5"/>
      <c r="V404" s="5"/>
      <c r="W404" s="5"/>
      <c r="X404" s="5"/>
      <c r="Y404" s="5"/>
      <c r="Z404" s="5"/>
    </row>
    <row r="405">
      <c r="A405" s="5" t="s">
        <v>74</v>
      </c>
      <c r="B405" s="5" t="s">
        <v>14</v>
      </c>
      <c r="C405" s="5" t="s">
        <v>76</v>
      </c>
      <c r="D405" s="5" t="s">
        <v>369</v>
      </c>
      <c r="E405" s="5" t="s">
        <v>77</v>
      </c>
      <c r="F405" s="5" t="s">
        <v>249</v>
      </c>
      <c r="G405" s="191">
        <v>2014.0</v>
      </c>
      <c r="H405" s="191">
        <v>0.0719084</v>
      </c>
      <c r="I405" s="191">
        <v>0.106309744</v>
      </c>
      <c r="J405" s="191">
        <v>0.044375743</v>
      </c>
      <c r="K405" s="5"/>
      <c r="L405" s="5"/>
      <c r="M405" s="5"/>
      <c r="N405" s="5"/>
      <c r="O405" s="5"/>
      <c r="P405" s="5"/>
      <c r="Q405" s="5"/>
      <c r="R405" s="5"/>
      <c r="S405" s="5"/>
      <c r="T405" s="5"/>
      <c r="U405" s="5"/>
      <c r="V405" s="5"/>
      <c r="W405" s="5"/>
      <c r="X405" s="5"/>
      <c r="Y405" s="5"/>
      <c r="Z405" s="5"/>
    </row>
    <row r="406">
      <c r="A406" s="5" t="s">
        <v>74</v>
      </c>
      <c r="B406" s="5" t="s">
        <v>14</v>
      </c>
      <c r="C406" s="5" t="s">
        <v>76</v>
      </c>
      <c r="D406" s="5" t="s">
        <v>370</v>
      </c>
      <c r="E406" s="5" t="s">
        <v>77</v>
      </c>
      <c r="F406" s="5" t="s">
        <v>249</v>
      </c>
      <c r="G406" s="191">
        <v>2014.0</v>
      </c>
      <c r="H406" s="191">
        <v>0.057546268</v>
      </c>
      <c r="I406" s="191">
        <v>0.079317778</v>
      </c>
      <c r="J406" s="191">
        <v>0.040097445</v>
      </c>
      <c r="K406" s="5"/>
      <c r="L406" s="5"/>
      <c r="M406" s="5"/>
      <c r="N406" s="5"/>
      <c r="O406" s="5"/>
      <c r="P406" s="5"/>
      <c r="Q406" s="5"/>
      <c r="R406" s="5"/>
      <c r="S406" s="5"/>
      <c r="T406" s="5"/>
      <c r="U406" s="5"/>
      <c r="V406" s="5"/>
      <c r="W406" s="5"/>
      <c r="X406" s="5"/>
      <c r="Y406" s="5"/>
      <c r="Z406" s="5"/>
    </row>
    <row r="407">
      <c r="A407" s="5" t="s">
        <v>371</v>
      </c>
      <c r="B407" s="5" t="s">
        <v>14</v>
      </c>
      <c r="C407" s="5" t="s">
        <v>76</v>
      </c>
      <c r="D407" s="5" t="s">
        <v>369</v>
      </c>
      <c r="E407" s="5" t="s">
        <v>77</v>
      </c>
      <c r="F407" s="5" t="s">
        <v>249</v>
      </c>
      <c r="G407" s="191">
        <v>2014.0</v>
      </c>
      <c r="H407" s="191">
        <v>0.079226298</v>
      </c>
      <c r="I407" s="191">
        <v>0.098567981</v>
      </c>
      <c r="J407" s="191">
        <v>0.063201643</v>
      </c>
      <c r="K407" s="5"/>
      <c r="L407" s="5"/>
      <c r="M407" s="5"/>
      <c r="N407" s="5"/>
      <c r="O407" s="5"/>
      <c r="P407" s="5"/>
      <c r="Q407" s="5"/>
      <c r="R407" s="5"/>
      <c r="S407" s="5"/>
      <c r="T407" s="5"/>
      <c r="U407" s="5"/>
      <c r="V407" s="5"/>
      <c r="W407" s="5"/>
      <c r="X407" s="5"/>
      <c r="Y407" s="5"/>
      <c r="Z407" s="5"/>
    </row>
    <row r="408">
      <c r="A408" s="5" t="s">
        <v>371</v>
      </c>
      <c r="B408" s="5" t="s">
        <v>14</v>
      </c>
      <c r="C408" s="5" t="s">
        <v>76</v>
      </c>
      <c r="D408" s="5" t="s">
        <v>370</v>
      </c>
      <c r="E408" s="5" t="s">
        <v>77</v>
      </c>
      <c r="F408" s="5" t="s">
        <v>249</v>
      </c>
      <c r="G408" s="191">
        <v>2014.0</v>
      </c>
      <c r="H408" s="191">
        <v>0.02031247</v>
      </c>
      <c r="I408" s="191">
        <v>0.023512857</v>
      </c>
      <c r="J408" s="191">
        <v>0.017543665</v>
      </c>
      <c r="K408" s="5"/>
      <c r="L408" s="5"/>
      <c r="M408" s="5"/>
      <c r="N408" s="5"/>
      <c r="O408" s="5"/>
      <c r="P408" s="5"/>
      <c r="Q408" s="5"/>
      <c r="R408" s="5"/>
      <c r="S408" s="5"/>
      <c r="T408" s="5"/>
      <c r="U408" s="5"/>
      <c r="V408" s="5"/>
      <c r="W408" s="5"/>
      <c r="X408" s="5"/>
      <c r="Y408" s="5"/>
      <c r="Z408" s="5"/>
    </row>
    <row r="409">
      <c r="A409" s="5" t="s">
        <v>74</v>
      </c>
      <c r="B409" s="5" t="s">
        <v>374</v>
      </c>
      <c r="C409" s="5" t="s">
        <v>76</v>
      </c>
      <c r="D409" s="5" t="s">
        <v>369</v>
      </c>
      <c r="E409" s="5" t="s">
        <v>77</v>
      </c>
      <c r="F409" s="5" t="s">
        <v>249</v>
      </c>
      <c r="G409" s="191">
        <v>2014.0</v>
      </c>
      <c r="H409" s="191">
        <v>0.00758965</v>
      </c>
      <c r="I409" s="191">
        <v>0.008908265</v>
      </c>
      <c r="J409" s="191">
        <v>0.006361135</v>
      </c>
      <c r="K409" s="5"/>
      <c r="L409" s="5"/>
      <c r="M409" s="5"/>
      <c r="N409" s="5"/>
      <c r="O409" s="5"/>
      <c r="P409" s="5"/>
      <c r="Q409" s="5"/>
      <c r="R409" s="5"/>
      <c r="S409" s="5"/>
      <c r="T409" s="5"/>
      <c r="U409" s="5"/>
      <c r="V409" s="5"/>
      <c r="W409" s="5"/>
      <c r="X409" s="5"/>
      <c r="Y409" s="5"/>
      <c r="Z409" s="5"/>
    </row>
    <row r="410">
      <c r="A410" s="5" t="s">
        <v>74</v>
      </c>
      <c r="B410" s="5" t="s">
        <v>374</v>
      </c>
      <c r="C410" s="5" t="s">
        <v>76</v>
      </c>
      <c r="D410" s="5" t="s">
        <v>370</v>
      </c>
      <c r="E410" s="5" t="s">
        <v>77</v>
      </c>
      <c r="F410" s="5" t="s">
        <v>249</v>
      </c>
      <c r="G410" s="191">
        <v>2014.0</v>
      </c>
      <c r="H410" s="191">
        <v>9.84511E-4</v>
      </c>
      <c r="I410" s="191">
        <v>0.001182504</v>
      </c>
      <c r="J410" s="191">
        <v>8.19109E-4</v>
      </c>
      <c r="K410" s="5"/>
      <c r="L410" s="5"/>
      <c r="M410" s="5"/>
      <c r="N410" s="5"/>
      <c r="O410" s="5"/>
      <c r="P410" s="5"/>
      <c r="Q410" s="5"/>
      <c r="R410" s="5"/>
      <c r="S410" s="5"/>
      <c r="T410" s="5"/>
      <c r="U410" s="5"/>
      <c r="V410" s="5"/>
      <c r="W410" s="5"/>
      <c r="X410" s="5"/>
      <c r="Y410" s="5"/>
      <c r="Z410" s="5"/>
    </row>
    <row r="411">
      <c r="A411" s="5" t="s">
        <v>371</v>
      </c>
      <c r="B411" s="5" t="s">
        <v>374</v>
      </c>
      <c r="C411" s="5" t="s">
        <v>76</v>
      </c>
      <c r="D411" s="5" t="s">
        <v>369</v>
      </c>
      <c r="E411" s="5" t="s">
        <v>77</v>
      </c>
      <c r="F411" s="5" t="s">
        <v>249</v>
      </c>
      <c r="G411" s="191">
        <v>2014.0</v>
      </c>
      <c r="H411" s="191">
        <v>0.031618417</v>
      </c>
      <c r="I411" s="191">
        <v>0.042121545</v>
      </c>
      <c r="J411" s="191">
        <v>0.023104343</v>
      </c>
      <c r="K411" s="5"/>
      <c r="L411" s="5"/>
      <c r="M411" s="5"/>
      <c r="N411" s="5"/>
      <c r="O411" s="5"/>
      <c r="P411" s="5"/>
      <c r="Q411" s="5"/>
      <c r="R411" s="5"/>
      <c r="S411" s="5"/>
      <c r="T411" s="5"/>
      <c r="U411" s="5"/>
      <c r="V411" s="5"/>
      <c r="W411" s="5"/>
      <c r="X411" s="5"/>
      <c r="Y411" s="5"/>
      <c r="Z411" s="5"/>
    </row>
    <row r="412">
      <c r="A412" s="5" t="s">
        <v>371</v>
      </c>
      <c r="B412" s="5" t="s">
        <v>374</v>
      </c>
      <c r="C412" s="5" t="s">
        <v>76</v>
      </c>
      <c r="D412" s="5" t="s">
        <v>370</v>
      </c>
      <c r="E412" s="5" t="s">
        <v>77</v>
      </c>
      <c r="F412" s="5" t="s">
        <v>249</v>
      </c>
      <c r="G412" s="191">
        <v>2014.0</v>
      </c>
      <c r="H412" s="191">
        <v>0.014124146</v>
      </c>
      <c r="I412" s="191">
        <v>0.016835857</v>
      </c>
      <c r="J412" s="191">
        <v>0.011753949</v>
      </c>
      <c r="K412" s="5"/>
      <c r="L412" s="5"/>
      <c r="M412" s="5"/>
      <c r="N412" s="5"/>
      <c r="O412" s="5"/>
      <c r="P412" s="5"/>
      <c r="Q412" s="5"/>
      <c r="R412" s="5"/>
      <c r="S412" s="5"/>
      <c r="T412" s="5"/>
      <c r="U412" s="5"/>
      <c r="V412" s="5"/>
      <c r="W412" s="5"/>
      <c r="X412" s="5"/>
      <c r="Y412" s="5"/>
      <c r="Z412" s="5"/>
    </row>
    <row r="413">
      <c r="A413" s="5" t="s">
        <v>74</v>
      </c>
      <c r="B413" s="5" t="s">
        <v>375</v>
      </c>
      <c r="C413" s="5" t="s">
        <v>76</v>
      </c>
      <c r="D413" s="5" t="s">
        <v>369</v>
      </c>
      <c r="E413" s="5" t="s">
        <v>77</v>
      </c>
      <c r="F413" s="5" t="s">
        <v>249</v>
      </c>
      <c r="G413" s="191">
        <v>2014.0</v>
      </c>
      <c r="H413" s="191">
        <v>0.132103561</v>
      </c>
      <c r="I413" s="191">
        <v>0.179436546</v>
      </c>
      <c r="J413" s="191">
        <v>0.094096057</v>
      </c>
      <c r="K413" s="5"/>
      <c r="L413" s="5"/>
      <c r="M413" s="5"/>
      <c r="N413" s="5"/>
      <c r="O413" s="5"/>
      <c r="P413" s="5"/>
      <c r="Q413" s="5"/>
      <c r="R413" s="5"/>
      <c r="S413" s="5"/>
      <c r="T413" s="5"/>
      <c r="U413" s="5"/>
      <c r="V413" s="5"/>
      <c r="W413" s="5"/>
      <c r="X413" s="5"/>
      <c r="Y413" s="5"/>
      <c r="Z413" s="5"/>
    </row>
    <row r="414">
      <c r="A414" s="5" t="s">
        <v>74</v>
      </c>
      <c r="B414" s="5" t="s">
        <v>375</v>
      </c>
      <c r="C414" s="5" t="s">
        <v>76</v>
      </c>
      <c r="D414" s="5" t="s">
        <v>370</v>
      </c>
      <c r="E414" s="5" t="s">
        <v>77</v>
      </c>
      <c r="F414" s="5" t="s">
        <v>249</v>
      </c>
      <c r="G414" s="191">
        <v>2014.0</v>
      </c>
      <c r="H414" s="191">
        <v>0.071274441</v>
      </c>
      <c r="I414" s="191">
        <v>0.093399068</v>
      </c>
      <c r="J414" s="191">
        <v>0.053056881</v>
      </c>
      <c r="K414" s="5"/>
      <c r="L414" s="5"/>
      <c r="M414" s="5"/>
      <c r="N414" s="5"/>
      <c r="O414" s="5"/>
      <c r="P414" s="5"/>
      <c r="Q414" s="5"/>
      <c r="R414" s="5"/>
      <c r="S414" s="5"/>
      <c r="T414" s="5"/>
      <c r="U414" s="5"/>
      <c r="V414" s="5"/>
      <c r="W414" s="5"/>
      <c r="X414" s="5"/>
      <c r="Y414" s="5"/>
      <c r="Z414" s="5"/>
    </row>
    <row r="415">
      <c r="A415" s="5" t="s">
        <v>371</v>
      </c>
      <c r="B415" s="5" t="s">
        <v>375</v>
      </c>
      <c r="C415" s="5" t="s">
        <v>76</v>
      </c>
      <c r="D415" s="5" t="s">
        <v>369</v>
      </c>
      <c r="E415" s="5" t="s">
        <v>77</v>
      </c>
      <c r="F415" s="5" t="s">
        <v>249</v>
      </c>
      <c r="G415" s="191">
        <v>2014.0</v>
      </c>
      <c r="H415" s="191">
        <v>0.066862274</v>
      </c>
      <c r="I415" s="191">
        <v>0.083841628</v>
      </c>
      <c r="J415" s="191">
        <v>0.052268698</v>
      </c>
      <c r="K415" s="5"/>
      <c r="L415" s="5"/>
      <c r="M415" s="5"/>
      <c r="N415" s="5"/>
      <c r="O415" s="5"/>
      <c r="P415" s="5"/>
      <c r="Q415" s="5"/>
      <c r="R415" s="5"/>
      <c r="S415" s="5"/>
      <c r="T415" s="5"/>
      <c r="U415" s="5"/>
      <c r="V415" s="5"/>
      <c r="W415" s="5"/>
      <c r="X415" s="5"/>
      <c r="Y415" s="5"/>
      <c r="Z415" s="5"/>
    </row>
    <row r="416">
      <c r="A416" s="5" t="s">
        <v>371</v>
      </c>
      <c r="B416" s="5" t="s">
        <v>375</v>
      </c>
      <c r="C416" s="5" t="s">
        <v>76</v>
      </c>
      <c r="D416" s="5" t="s">
        <v>370</v>
      </c>
      <c r="E416" s="5" t="s">
        <v>77</v>
      </c>
      <c r="F416" s="5" t="s">
        <v>249</v>
      </c>
      <c r="G416" s="191">
        <v>2014.0</v>
      </c>
      <c r="H416" s="191">
        <v>0.020999542</v>
      </c>
      <c r="I416" s="191">
        <v>0.024129705</v>
      </c>
      <c r="J416" s="191">
        <v>0.018083543</v>
      </c>
      <c r="K416" s="5"/>
      <c r="L416" s="5"/>
      <c r="M416" s="5"/>
      <c r="N416" s="5"/>
      <c r="O416" s="5"/>
      <c r="P416" s="5"/>
      <c r="Q416" s="5"/>
      <c r="R416" s="5"/>
      <c r="S416" s="5"/>
      <c r="T416" s="5"/>
      <c r="U416" s="5"/>
      <c r="V416" s="5"/>
      <c r="W416" s="5"/>
      <c r="X416" s="5"/>
      <c r="Y416" s="5"/>
      <c r="Z416" s="5"/>
    </row>
    <row r="417">
      <c r="A417" s="5" t="s">
        <v>74</v>
      </c>
      <c r="B417" s="5" t="s">
        <v>365</v>
      </c>
      <c r="C417" s="5" t="s">
        <v>76</v>
      </c>
      <c r="D417" s="5" t="s">
        <v>369</v>
      </c>
      <c r="E417" s="5" t="s">
        <v>77</v>
      </c>
      <c r="F417" s="5" t="s">
        <v>249</v>
      </c>
      <c r="G417" s="191">
        <v>2014.0</v>
      </c>
      <c r="H417" s="191">
        <v>0.055881244</v>
      </c>
      <c r="I417" s="191">
        <v>0.097199725</v>
      </c>
      <c r="J417" s="191">
        <v>0.031354265</v>
      </c>
      <c r="K417" s="5"/>
      <c r="L417" s="5"/>
      <c r="M417" s="5"/>
      <c r="N417" s="5"/>
      <c r="O417" s="5"/>
      <c r="P417" s="5"/>
      <c r="Q417" s="5"/>
      <c r="R417" s="5"/>
      <c r="S417" s="5"/>
      <c r="T417" s="5"/>
      <c r="U417" s="5"/>
      <c r="V417" s="5"/>
      <c r="W417" s="5"/>
      <c r="X417" s="5"/>
      <c r="Y417" s="5"/>
      <c r="Z417" s="5"/>
    </row>
    <row r="418">
      <c r="A418" s="5" t="s">
        <v>74</v>
      </c>
      <c r="B418" s="5" t="s">
        <v>365</v>
      </c>
      <c r="C418" s="5" t="s">
        <v>76</v>
      </c>
      <c r="D418" s="5" t="s">
        <v>370</v>
      </c>
      <c r="E418" s="5" t="s">
        <v>77</v>
      </c>
      <c r="F418" s="5" t="s">
        <v>249</v>
      </c>
      <c r="G418" s="191">
        <v>2014.0</v>
      </c>
      <c r="H418" s="191">
        <v>0.040364499</v>
      </c>
      <c r="I418" s="191">
        <v>0.055234119</v>
      </c>
      <c r="J418" s="191">
        <v>0.0251987</v>
      </c>
      <c r="K418" s="5"/>
      <c r="L418" s="5"/>
      <c r="M418" s="5"/>
      <c r="N418" s="5"/>
      <c r="O418" s="5"/>
      <c r="P418" s="5"/>
      <c r="Q418" s="5"/>
      <c r="R418" s="5"/>
      <c r="S418" s="5"/>
      <c r="T418" s="5"/>
      <c r="U418" s="5"/>
      <c r="V418" s="5"/>
      <c r="W418" s="5"/>
      <c r="X418" s="5"/>
      <c r="Y418" s="5"/>
      <c r="Z418" s="5"/>
    </row>
    <row r="419">
      <c r="A419" s="5" t="s">
        <v>371</v>
      </c>
      <c r="B419" s="5" t="s">
        <v>365</v>
      </c>
      <c r="C419" s="5" t="s">
        <v>76</v>
      </c>
      <c r="D419" s="5" t="s">
        <v>369</v>
      </c>
      <c r="E419" s="5" t="s">
        <v>77</v>
      </c>
      <c r="F419" s="5" t="s">
        <v>249</v>
      </c>
      <c r="G419" s="191">
        <v>2014.0</v>
      </c>
      <c r="H419" s="191">
        <v>0.095492923</v>
      </c>
      <c r="I419" s="191">
        <v>0.117723595</v>
      </c>
      <c r="J419" s="191">
        <v>0.075357241</v>
      </c>
      <c r="K419" s="5"/>
      <c r="L419" s="5"/>
      <c r="M419" s="5"/>
      <c r="N419" s="5"/>
      <c r="O419" s="5"/>
      <c r="P419" s="5"/>
      <c r="Q419" s="5"/>
      <c r="R419" s="5"/>
      <c r="S419" s="5"/>
      <c r="T419" s="5"/>
      <c r="U419" s="5"/>
      <c r="V419" s="5"/>
      <c r="W419" s="5"/>
      <c r="X419" s="5"/>
      <c r="Y419" s="5"/>
      <c r="Z419" s="5"/>
    </row>
    <row r="420">
      <c r="A420" s="5" t="s">
        <v>371</v>
      </c>
      <c r="B420" s="5" t="s">
        <v>365</v>
      </c>
      <c r="C420" s="5" t="s">
        <v>76</v>
      </c>
      <c r="D420" s="5" t="s">
        <v>370</v>
      </c>
      <c r="E420" s="5" t="s">
        <v>77</v>
      </c>
      <c r="F420" s="5" t="s">
        <v>249</v>
      </c>
      <c r="G420" s="191">
        <v>2014.0</v>
      </c>
      <c r="H420" s="191">
        <v>0.022921558</v>
      </c>
      <c r="I420" s="191">
        <v>0.026488842</v>
      </c>
      <c r="J420" s="191">
        <v>0.019924739</v>
      </c>
      <c r="K420" s="5"/>
      <c r="L420" s="5"/>
      <c r="M420" s="5"/>
      <c r="N420" s="5"/>
      <c r="O420" s="5"/>
      <c r="P420" s="5"/>
      <c r="Q420" s="5"/>
      <c r="R420" s="5"/>
      <c r="S420" s="5"/>
      <c r="T420" s="5"/>
      <c r="U420" s="5"/>
      <c r="V420" s="5"/>
      <c r="W420" s="5"/>
      <c r="X420" s="5"/>
      <c r="Y420" s="5"/>
      <c r="Z420" s="5"/>
    </row>
    <row r="421">
      <c r="A421" s="5" t="s">
        <v>74</v>
      </c>
      <c r="B421" s="5" t="s">
        <v>362</v>
      </c>
      <c r="C421" s="5" t="s">
        <v>76</v>
      </c>
      <c r="D421" s="5" t="s">
        <v>369</v>
      </c>
      <c r="E421" s="5" t="s">
        <v>77</v>
      </c>
      <c r="F421" s="5" t="s">
        <v>249</v>
      </c>
      <c r="G421" s="191">
        <v>2015.0</v>
      </c>
      <c r="H421" s="191">
        <v>0.055101699</v>
      </c>
      <c r="I421" s="191">
        <v>0.07727607</v>
      </c>
      <c r="J421" s="191">
        <v>0.035745794</v>
      </c>
      <c r="K421" s="5"/>
      <c r="L421" s="5"/>
      <c r="M421" s="5"/>
      <c r="N421" s="5"/>
      <c r="O421" s="5"/>
      <c r="P421" s="5"/>
      <c r="Q421" s="5"/>
      <c r="R421" s="5"/>
      <c r="S421" s="5"/>
      <c r="T421" s="5"/>
      <c r="U421" s="5"/>
      <c r="V421" s="5"/>
      <c r="W421" s="5"/>
      <c r="X421" s="5"/>
      <c r="Y421" s="5"/>
      <c r="Z421" s="5"/>
    </row>
    <row r="422">
      <c r="A422" s="5" t="s">
        <v>74</v>
      </c>
      <c r="B422" s="5" t="s">
        <v>362</v>
      </c>
      <c r="C422" s="5" t="s">
        <v>76</v>
      </c>
      <c r="D422" s="5" t="s">
        <v>370</v>
      </c>
      <c r="E422" s="5" t="s">
        <v>77</v>
      </c>
      <c r="F422" s="5" t="s">
        <v>249</v>
      </c>
      <c r="G422" s="191">
        <v>2015.0</v>
      </c>
      <c r="H422" s="191">
        <v>0.054629788</v>
      </c>
      <c r="I422" s="191">
        <v>0.100512532</v>
      </c>
      <c r="J422" s="191">
        <v>0.032296391</v>
      </c>
      <c r="K422" s="5"/>
      <c r="L422" s="5"/>
      <c r="M422" s="5"/>
      <c r="N422" s="5"/>
      <c r="O422" s="5"/>
      <c r="P422" s="5"/>
      <c r="Q422" s="5"/>
      <c r="R422" s="5"/>
      <c r="S422" s="5"/>
      <c r="T422" s="5"/>
      <c r="U422" s="5"/>
      <c r="V422" s="5"/>
      <c r="W422" s="5"/>
      <c r="X422" s="5"/>
      <c r="Y422" s="5"/>
      <c r="Z422" s="5"/>
    </row>
    <row r="423">
      <c r="A423" s="5" t="s">
        <v>371</v>
      </c>
      <c r="B423" s="5" t="s">
        <v>362</v>
      </c>
      <c r="C423" s="5" t="s">
        <v>76</v>
      </c>
      <c r="D423" s="5" t="s">
        <v>369</v>
      </c>
      <c r="E423" s="5" t="s">
        <v>77</v>
      </c>
      <c r="F423" s="5" t="s">
        <v>249</v>
      </c>
      <c r="G423" s="191">
        <v>2015.0</v>
      </c>
      <c r="H423" s="191">
        <v>0.034554717</v>
      </c>
      <c r="I423" s="191">
        <v>0.043498706</v>
      </c>
      <c r="J423" s="191">
        <v>0.026857217</v>
      </c>
      <c r="K423" s="5"/>
      <c r="L423" s="5"/>
      <c r="M423" s="5"/>
      <c r="N423" s="5"/>
      <c r="O423" s="5"/>
      <c r="P423" s="5"/>
      <c r="Q423" s="5"/>
      <c r="R423" s="5"/>
      <c r="S423" s="5"/>
      <c r="T423" s="5"/>
      <c r="U423" s="5"/>
      <c r="V423" s="5"/>
      <c r="W423" s="5"/>
      <c r="X423" s="5"/>
      <c r="Y423" s="5"/>
      <c r="Z423" s="5"/>
    </row>
    <row r="424">
      <c r="A424" s="5" t="s">
        <v>371</v>
      </c>
      <c r="B424" s="5" t="s">
        <v>362</v>
      </c>
      <c r="C424" s="5" t="s">
        <v>76</v>
      </c>
      <c r="D424" s="5" t="s">
        <v>370</v>
      </c>
      <c r="E424" s="5" t="s">
        <v>77</v>
      </c>
      <c r="F424" s="5" t="s">
        <v>249</v>
      </c>
      <c r="G424" s="191">
        <v>2015.0</v>
      </c>
      <c r="H424" s="191">
        <v>0.019704898</v>
      </c>
      <c r="I424" s="191">
        <v>0.023032166</v>
      </c>
      <c r="J424" s="191">
        <v>0.016794114</v>
      </c>
      <c r="K424" s="5"/>
      <c r="L424" s="5"/>
      <c r="M424" s="5"/>
      <c r="N424" s="5"/>
      <c r="O424" s="5"/>
      <c r="P424" s="5"/>
      <c r="Q424" s="5"/>
      <c r="R424" s="5"/>
      <c r="S424" s="5"/>
      <c r="T424" s="5"/>
      <c r="U424" s="5"/>
      <c r="V424" s="5"/>
      <c r="W424" s="5"/>
      <c r="X424" s="5"/>
      <c r="Y424" s="5"/>
      <c r="Z424" s="5"/>
    </row>
    <row r="425">
      <c r="A425" s="5" t="s">
        <v>74</v>
      </c>
      <c r="B425" s="5" t="s">
        <v>358</v>
      </c>
      <c r="C425" s="5" t="s">
        <v>76</v>
      </c>
      <c r="D425" s="5" t="s">
        <v>369</v>
      </c>
      <c r="E425" s="5" t="s">
        <v>77</v>
      </c>
      <c r="F425" s="5" t="s">
        <v>249</v>
      </c>
      <c r="G425" s="191">
        <v>2015.0</v>
      </c>
      <c r="H425" s="191">
        <v>0.121247725</v>
      </c>
      <c r="I425" s="191">
        <v>0.137934001</v>
      </c>
      <c r="J425" s="191">
        <v>0.105619857</v>
      </c>
      <c r="K425" s="5"/>
      <c r="L425" s="5"/>
      <c r="M425" s="5"/>
      <c r="N425" s="5"/>
      <c r="O425" s="5"/>
      <c r="P425" s="5"/>
      <c r="Q425" s="5"/>
      <c r="R425" s="5"/>
      <c r="S425" s="5"/>
      <c r="T425" s="5"/>
      <c r="U425" s="5"/>
      <c r="V425" s="5"/>
      <c r="W425" s="5"/>
      <c r="X425" s="5"/>
      <c r="Y425" s="5"/>
      <c r="Z425" s="5"/>
    </row>
    <row r="426">
      <c r="A426" s="5" t="s">
        <v>74</v>
      </c>
      <c r="B426" s="5" t="s">
        <v>358</v>
      </c>
      <c r="C426" s="5" t="s">
        <v>76</v>
      </c>
      <c r="D426" s="5" t="s">
        <v>370</v>
      </c>
      <c r="E426" s="5" t="s">
        <v>77</v>
      </c>
      <c r="F426" s="5" t="s">
        <v>249</v>
      </c>
      <c r="G426" s="191">
        <v>2015.0</v>
      </c>
      <c r="H426" s="191">
        <v>0.035419269</v>
      </c>
      <c r="I426" s="191">
        <v>0.039442775</v>
      </c>
      <c r="J426" s="191">
        <v>0.032225979</v>
      </c>
      <c r="K426" s="5"/>
      <c r="L426" s="5"/>
      <c r="M426" s="5"/>
      <c r="N426" s="5"/>
      <c r="O426" s="5"/>
      <c r="P426" s="5"/>
      <c r="Q426" s="5"/>
      <c r="R426" s="5"/>
      <c r="S426" s="5"/>
      <c r="T426" s="5"/>
      <c r="U426" s="5"/>
      <c r="V426" s="5"/>
      <c r="W426" s="5"/>
      <c r="X426" s="5"/>
      <c r="Y426" s="5"/>
      <c r="Z426" s="5"/>
    </row>
    <row r="427">
      <c r="A427" s="5" t="s">
        <v>371</v>
      </c>
      <c r="B427" s="5" t="s">
        <v>358</v>
      </c>
      <c r="C427" s="5" t="s">
        <v>76</v>
      </c>
      <c r="D427" s="5" t="s">
        <v>369</v>
      </c>
      <c r="E427" s="5" t="s">
        <v>77</v>
      </c>
      <c r="F427" s="5" t="s">
        <v>249</v>
      </c>
      <c r="G427" s="191">
        <v>2015.0</v>
      </c>
      <c r="H427" s="191">
        <v>0.096234784</v>
      </c>
      <c r="I427" s="191">
        <v>0.120479936</v>
      </c>
      <c r="J427" s="191">
        <v>0.073807316</v>
      </c>
      <c r="K427" s="5"/>
      <c r="L427" s="5"/>
      <c r="M427" s="5"/>
      <c r="N427" s="5"/>
      <c r="O427" s="5"/>
      <c r="P427" s="5"/>
      <c r="Q427" s="5"/>
      <c r="R427" s="5"/>
      <c r="S427" s="5"/>
      <c r="T427" s="5"/>
      <c r="U427" s="5"/>
      <c r="V427" s="5"/>
      <c r="W427" s="5"/>
      <c r="X427" s="5"/>
      <c r="Y427" s="5"/>
      <c r="Z427" s="5"/>
    </row>
    <row r="428">
      <c r="A428" s="5" t="s">
        <v>371</v>
      </c>
      <c r="B428" s="5" t="s">
        <v>358</v>
      </c>
      <c r="C428" s="5" t="s">
        <v>76</v>
      </c>
      <c r="D428" s="5" t="s">
        <v>370</v>
      </c>
      <c r="E428" s="5" t="s">
        <v>77</v>
      </c>
      <c r="F428" s="5" t="s">
        <v>249</v>
      </c>
      <c r="G428" s="191">
        <v>2015.0</v>
      </c>
      <c r="H428" s="191">
        <v>0.018454378</v>
      </c>
      <c r="I428" s="191">
        <v>0.021215166</v>
      </c>
      <c r="J428" s="191">
        <v>0.015886859</v>
      </c>
      <c r="K428" s="5"/>
      <c r="L428" s="5"/>
      <c r="M428" s="5"/>
      <c r="N428" s="5"/>
      <c r="O428" s="5"/>
      <c r="P428" s="5"/>
      <c r="Q428" s="5"/>
      <c r="R428" s="5"/>
      <c r="S428" s="5"/>
      <c r="T428" s="5"/>
      <c r="U428" s="5"/>
      <c r="V428" s="5"/>
      <c r="W428" s="5"/>
      <c r="X428" s="5"/>
      <c r="Y428" s="5"/>
      <c r="Z428" s="5"/>
    </row>
    <row r="429">
      <c r="A429" s="5" t="s">
        <v>74</v>
      </c>
      <c r="B429" s="5" t="s">
        <v>360</v>
      </c>
      <c r="C429" s="5" t="s">
        <v>76</v>
      </c>
      <c r="D429" s="5" t="s">
        <v>369</v>
      </c>
      <c r="E429" s="5" t="s">
        <v>77</v>
      </c>
      <c r="F429" s="5" t="s">
        <v>249</v>
      </c>
      <c r="G429" s="191">
        <v>2015.0</v>
      </c>
      <c r="H429" s="191">
        <v>0.083576077</v>
      </c>
      <c r="I429" s="191">
        <v>0.102950144</v>
      </c>
      <c r="J429" s="191">
        <v>0.067740129</v>
      </c>
      <c r="K429" s="5"/>
      <c r="L429" s="5"/>
      <c r="M429" s="5"/>
      <c r="N429" s="5"/>
      <c r="O429" s="5"/>
      <c r="P429" s="5"/>
      <c r="Q429" s="5"/>
      <c r="R429" s="5"/>
      <c r="S429" s="5"/>
      <c r="T429" s="5"/>
      <c r="U429" s="5"/>
      <c r="V429" s="5"/>
      <c r="W429" s="5"/>
      <c r="X429" s="5"/>
      <c r="Y429" s="5"/>
      <c r="Z429" s="5"/>
    </row>
    <row r="430">
      <c r="A430" s="5" t="s">
        <v>74</v>
      </c>
      <c r="B430" s="5" t="s">
        <v>360</v>
      </c>
      <c r="C430" s="5" t="s">
        <v>76</v>
      </c>
      <c r="D430" s="5" t="s">
        <v>370</v>
      </c>
      <c r="E430" s="5" t="s">
        <v>77</v>
      </c>
      <c r="F430" s="5" t="s">
        <v>249</v>
      </c>
      <c r="G430" s="191">
        <v>2015.0</v>
      </c>
      <c r="H430" s="191">
        <v>0.08372176</v>
      </c>
      <c r="I430" s="191">
        <v>0.130485633</v>
      </c>
      <c r="J430" s="191">
        <v>0.053596572</v>
      </c>
      <c r="K430" s="5"/>
      <c r="L430" s="5"/>
      <c r="M430" s="5"/>
      <c r="N430" s="5"/>
      <c r="O430" s="5"/>
      <c r="P430" s="5"/>
      <c r="Q430" s="5"/>
      <c r="R430" s="5"/>
      <c r="S430" s="5"/>
      <c r="T430" s="5"/>
      <c r="U430" s="5"/>
      <c r="V430" s="5"/>
      <c r="W430" s="5"/>
      <c r="X430" s="5"/>
      <c r="Y430" s="5"/>
      <c r="Z430" s="5"/>
    </row>
    <row r="431">
      <c r="A431" s="5" t="s">
        <v>371</v>
      </c>
      <c r="B431" s="5" t="s">
        <v>360</v>
      </c>
      <c r="C431" s="5" t="s">
        <v>76</v>
      </c>
      <c r="D431" s="5" t="s">
        <v>369</v>
      </c>
      <c r="E431" s="5" t="s">
        <v>77</v>
      </c>
      <c r="F431" s="5" t="s">
        <v>249</v>
      </c>
      <c r="G431" s="191">
        <v>2015.0</v>
      </c>
      <c r="H431" s="191">
        <v>0.029910835</v>
      </c>
      <c r="I431" s="191">
        <v>0.03799562</v>
      </c>
      <c r="J431" s="191">
        <v>0.023012564</v>
      </c>
      <c r="K431" s="5"/>
      <c r="L431" s="5"/>
      <c r="M431" s="5"/>
      <c r="N431" s="5"/>
      <c r="O431" s="5"/>
      <c r="P431" s="5"/>
      <c r="Q431" s="5"/>
      <c r="R431" s="5"/>
      <c r="S431" s="5"/>
      <c r="T431" s="5"/>
      <c r="U431" s="5"/>
      <c r="V431" s="5"/>
      <c r="W431" s="5"/>
      <c r="X431" s="5"/>
      <c r="Y431" s="5"/>
      <c r="Z431" s="5"/>
    </row>
    <row r="432">
      <c r="A432" s="5" t="s">
        <v>371</v>
      </c>
      <c r="B432" s="5" t="s">
        <v>360</v>
      </c>
      <c r="C432" s="5" t="s">
        <v>76</v>
      </c>
      <c r="D432" s="5" t="s">
        <v>370</v>
      </c>
      <c r="E432" s="5" t="s">
        <v>77</v>
      </c>
      <c r="F432" s="5" t="s">
        <v>249</v>
      </c>
      <c r="G432" s="191">
        <v>2015.0</v>
      </c>
      <c r="H432" s="191">
        <v>0.01762819</v>
      </c>
      <c r="I432" s="191">
        <v>0.020275144</v>
      </c>
      <c r="J432" s="191">
        <v>0.015252292</v>
      </c>
      <c r="K432" s="5"/>
      <c r="L432" s="5"/>
      <c r="M432" s="5"/>
      <c r="N432" s="5"/>
      <c r="O432" s="5"/>
      <c r="P432" s="5"/>
      <c r="Q432" s="5"/>
      <c r="R432" s="5"/>
      <c r="S432" s="5"/>
      <c r="T432" s="5"/>
      <c r="U432" s="5"/>
      <c r="V432" s="5"/>
      <c r="W432" s="5"/>
      <c r="X432" s="5"/>
      <c r="Y432" s="5"/>
      <c r="Z432" s="5"/>
    </row>
    <row r="433">
      <c r="A433" s="5" t="s">
        <v>74</v>
      </c>
      <c r="B433" s="5" t="s">
        <v>11</v>
      </c>
      <c r="C433" s="5" t="s">
        <v>76</v>
      </c>
      <c r="D433" s="5" t="s">
        <v>369</v>
      </c>
      <c r="E433" s="5" t="s">
        <v>77</v>
      </c>
      <c r="F433" s="5" t="s">
        <v>249</v>
      </c>
      <c r="G433" s="191">
        <v>2015.0</v>
      </c>
      <c r="H433" s="191">
        <v>0.191857031</v>
      </c>
      <c r="I433" s="191">
        <v>0.232722851</v>
      </c>
      <c r="J433" s="191">
        <v>0.137677336</v>
      </c>
      <c r="K433" s="5"/>
      <c r="L433" s="5"/>
      <c r="M433" s="5"/>
      <c r="N433" s="5"/>
      <c r="O433" s="5"/>
      <c r="P433" s="5"/>
      <c r="Q433" s="5"/>
      <c r="R433" s="5"/>
      <c r="S433" s="5"/>
      <c r="T433" s="5"/>
      <c r="U433" s="5"/>
      <c r="V433" s="5"/>
      <c r="W433" s="5"/>
      <c r="X433" s="5"/>
      <c r="Y433" s="5"/>
      <c r="Z433" s="5"/>
    </row>
    <row r="434">
      <c r="A434" s="5" t="s">
        <v>74</v>
      </c>
      <c r="B434" s="5" t="s">
        <v>11</v>
      </c>
      <c r="C434" s="5" t="s">
        <v>76</v>
      </c>
      <c r="D434" s="5" t="s">
        <v>370</v>
      </c>
      <c r="E434" s="5" t="s">
        <v>77</v>
      </c>
      <c r="F434" s="5" t="s">
        <v>249</v>
      </c>
      <c r="G434" s="191">
        <v>2015.0</v>
      </c>
      <c r="H434" s="191">
        <v>0.086877618</v>
      </c>
      <c r="I434" s="191">
        <v>0.115384839</v>
      </c>
      <c r="J434" s="191">
        <v>0.065564857</v>
      </c>
      <c r="K434" s="5"/>
      <c r="L434" s="5"/>
      <c r="M434" s="5"/>
      <c r="N434" s="5"/>
      <c r="O434" s="5"/>
      <c r="P434" s="5"/>
      <c r="Q434" s="5"/>
      <c r="R434" s="5"/>
      <c r="S434" s="5"/>
      <c r="T434" s="5"/>
      <c r="U434" s="5"/>
      <c r="V434" s="5"/>
      <c r="W434" s="5"/>
      <c r="X434" s="5"/>
      <c r="Y434" s="5"/>
      <c r="Z434" s="5"/>
    </row>
    <row r="435">
      <c r="A435" s="5" t="s">
        <v>371</v>
      </c>
      <c r="B435" s="5" t="s">
        <v>11</v>
      </c>
      <c r="C435" s="5" t="s">
        <v>76</v>
      </c>
      <c r="D435" s="5" t="s">
        <v>369</v>
      </c>
      <c r="E435" s="5" t="s">
        <v>77</v>
      </c>
      <c r="F435" s="5" t="s">
        <v>249</v>
      </c>
      <c r="G435" s="191">
        <v>2015.0</v>
      </c>
      <c r="H435" s="191">
        <v>0.07669649</v>
      </c>
      <c r="I435" s="191">
        <v>0.09604857</v>
      </c>
      <c r="J435" s="191">
        <v>0.060391484</v>
      </c>
      <c r="K435" s="5"/>
      <c r="L435" s="5"/>
      <c r="M435" s="5"/>
      <c r="N435" s="5"/>
      <c r="O435" s="5"/>
      <c r="P435" s="5"/>
      <c r="Q435" s="5"/>
      <c r="R435" s="5"/>
      <c r="S435" s="5"/>
      <c r="T435" s="5"/>
      <c r="U435" s="5"/>
      <c r="V435" s="5"/>
      <c r="W435" s="5"/>
      <c r="X435" s="5"/>
      <c r="Y435" s="5"/>
      <c r="Z435" s="5"/>
    </row>
    <row r="436">
      <c r="A436" s="5" t="s">
        <v>371</v>
      </c>
      <c r="B436" s="5" t="s">
        <v>11</v>
      </c>
      <c r="C436" s="5" t="s">
        <v>76</v>
      </c>
      <c r="D436" s="5" t="s">
        <v>370</v>
      </c>
      <c r="E436" s="5" t="s">
        <v>77</v>
      </c>
      <c r="F436" s="5" t="s">
        <v>249</v>
      </c>
      <c r="G436" s="191">
        <v>2015.0</v>
      </c>
      <c r="H436" s="191">
        <v>0.019763055</v>
      </c>
      <c r="I436" s="191">
        <v>0.022810444</v>
      </c>
      <c r="J436" s="191">
        <v>0.017211612</v>
      </c>
      <c r="K436" s="5"/>
      <c r="L436" s="5"/>
      <c r="M436" s="5"/>
      <c r="N436" s="5"/>
      <c r="O436" s="5"/>
      <c r="P436" s="5"/>
      <c r="Q436" s="5"/>
      <c r="R436" s="5"/>
      <c r="S436" s="5"/>
      <c r="T436" s="5"/>
      <c r="U436" s="5"/>
      <c r="V436" s="5"/>
      <c r="W436" s="5"/>
      <c r="X436" s="5"/>
      <c r="Y436" s="5"/>
      <c r="Z436" s="5"/>
    </row>
    <row r="437">
      <c r="A437" s="5" t="s">
        <v>74</v>
      </c>
      <c r="B437" s="5" t="s">
        <v>15</v>
      </c>
      <c r="C437" s="5" t="s">
        <v>76</v>
      </c>
      <c r="D437" s="5" t="s">
        <v>369</v>
      </c>
      <c r="E437" s="5" t="s">
        <v>77</v>
      </c>
      <c r="F437" s="5" t="s">
        <v>249</v>
      </c>
      <c r="G437" s="191">
        <v>2015.0</v>
      </c>
      <c r="H437" s="191">
        <v>0.099691052</v>
      </c>
      <c r="I437" s="191">
        <v>0.138935748</v>
      </c>
      <c r="J437" s="191">
        <v>0.068462281</v>
      </c>
      <c r="K437" s="5"/>
      <c r="L437" s="5"/>
      <c r="M437" s="5"/>
      <c r="N437" s="5"/>
      <c r="O437" s="5"/>
      <c r="P437" s="5"/>
      <c r="Q437" s="5"/>
      <c r="R437" s="5"/>
      <c r="S437" s="5"/>
      <c r="T437" s="5"/>
      <c r="U437" s="5"/>
      <c r="V437" s="5"/>
      <c r="W437" s="5"/>
      <c r="X437" s="5"/>
      <c r="Y437" s="5"/>
      <c r="Z437" s="5"/>
    </row>
    <row r="438">
      <c r="A438" s="5" t="s">
        <v>74</v>
      </c>
      <c r="B438" s="5" t="s">
        <v>15</v>
      </c>
      <c r="C438" s="5" t="s">
        <v>76</v>
      </c>
      <c r="D438" s="5" t="s">
        <v>370</v>
      </c>
      <c r="E438" s="5" t="s">
        <v>77</v>
      </c>
      <c r="F438" s="5" t="s">
        <v>249</v>
      </c>
      <c r="G438" s="191">
        <v>2015.0</v>
      </c>
      <c r="H438" s="191">
        <v>0.072376227</v>
      </c>
      <c r="I438" s="191">
        <v>0.097354769</v>
      </c>
      <c r="J438" s="191">
        <v>0.051742683</v>
      </c>
      <c r="K438" s="5"/>
      <c r="L438" s="5"/>
      <c r="M438" s="5"/>
      <c r="N438" s="5"/>
      <c r="O438" s="5"/>
      <c r="P438" s="5"/>
      <c r="Q438" s="5"/>
      <c r="R438" s="5"/>
      <c r="S438" s="5"/>
      <c r="T438" s="5"/>
      <c r="U438" s="5"/>
      <c r="V438" s="5"/>
      <c r="W438" s="5"/>
      <c r="X438" s="5"/>
      <c r="Y438" s="5"/>
      <c r="Z438" s="5"/>
    </row>
    <row r="439">
      <c r="A439" s="5" t="s">
        <v>371</v>
      </c>
      <c r="B439" s="5" t="s">
        <v>15</v>
      </c>
      <c r="C439" s="5" t="s">
        <v>76</v>
      </c>
      <c r="D439" s="5" t="s">
        <v>369</v>
      </c>
      <c r="E439" s="5" t="s">
        <v>77</v>
      </c>
      <c r="F439" s="5" t="s">
        <v>249</v>
      </c>
      <c r="G439" s="191">
        <v>2015.0</v>
      </c>
      <c r="H439" s="191">
        <v>0.084780743</v>
      </c>
      <c r="I439" s="191">
        <v>0.105841609</v>
      </c>
      <c r="J439" s="191">
        <v>0.065993625</v>
      </c>
      <c r="K439" s="5"/>
      <c r="L439" s="5"/>
      <c r="M439" s="5"/>
      <c r="N439" s="5"/>
      <c r="O439" s="5"/>
      <c r="P439" s="5"/>
      <c r="Q439" s="5"/>
      <c r="R439" s="5"/>
      <c r="S439" s="5"/>
      <c r="T439" s="5"/>
      <c r="U439" s="5"/>
      <c r="V439" s="5"/>
      <c r="W439" s="5"/>
      <c r="X439" s="5"/>
      <c r="Y439" s="5"/>
      <c r="Z439" s="5"/>
    </row>
    <row r="440">
      <c r="A440" s="5" t="s">
        <v>371</v>
      </c>
      <c r="B440" s="5" t="s">
        <v>15</v>
      </c>
      <c r="C440" s="5" t="s">
        <v>76</v>
      </c>
      <c r="D440" s="5" t="s">
        <v>370</v>
      </c>
      <c r="E440" s="5" t="s">
        <v>77</v>
      </c>
      <c r="F440" s="5" t="s">
        <v>249</v>
      </c>
      <c r="G440" s="191">
        <v>2015.0</v>
      </c>
      <c r="H440" s="191">
        <v>0.023399381</v>
      </c>
      <c r="I440" s="191">
        <v>0.026956878</v>
      </c>
      <c r="J440" s="191">
        <v>0.020210672</v>
      </c>
      <c r="K440" s="5"/>
      <c r="L440" s="5"/>
      <c r="M440" s="5"/>
      <c r="N440" s="5"/>
      <c r="O440" s="5"/>
      <c r="P440" s="5"/>
      <c r="Q440" s="5"/>
      <c r="R440" s="5"/>
      <c r="S440" s="5"/>
      <c r="T440" s="5"/>
      <c r="U440" s="5"/>
      <c r="V440" s="5"/>
      <c r="W440" s="5"/>
      <c r="X440" s="5"/>
      <c r="Y440" s="5"/>
      <c r="Z440" s="5"/>
    </row>
    <row r="441">
      <c r="A441" s="5" t="s">
        <v>74</v>
      </c>
      <c r="B441" s="5" t="s">
        <v>372</v>
      </c>
      <c r="C441" s="5" t="s">
        <v>76</v>
      </c>
      <c r="D441" s="5" t="s">
        <v>369</v>
      </c>
      <c r="E441" s="5" t="s">
        <v>77</v>
      </c>
      <c r="F441" s="5" t="s">
        <v>249</v>
      </c>
      <c r="G441" s="191">
        <v>2015.0</v>
      </c>
      <c r="H441" s="191">
        <v>0.100200608</v>
      </c>
      <c r="I441" s="191">
        <v>0.128030373</v>
      </c>
      <c r="J441" s="191">
        <v>0.07568576</v>
      </c>
      <c r="K441" s="5"/>
      <c r="L441" s="5"/>
      <c r="M441" s="5"/>
      <c r="N441" s="5"/>
      <c r="O441" s="5"/>
      <c r="P441" s="5"/>
      <c r="Q441" s="5"/>
      <c r="R441" s="5"/>
      <c r="S441" s="5"/>
      <c r="T441" s="5"/>
      <c r="U441" s="5"/>
      <c r="V441" s="5"/>
      <c r="W441" s="5"/>
      <c r="X441" s="5"/>
      <c r="Y441" s="5"/>
      <c r="Z441" s="5"/>
    </row>
    <row r="442">
      <c r="A442" s="5" t="s">
        <v>74</v>
      </c>
      <c r="B442" s="5" t="s">
        <v>372</v>
      </c>
      <c r="C442" s="5" t="s">
        <v>76</v>
      </c>
      <c r="D442" s="5" t="s">
        <v>370</v>
      </c>
      <c r="E442" s="5" t="s">
        <v>77</v>
      </c>
      <c r="F442" s="5" t="s">
        <v>249</v>
      </c>
      <c r="G442" s="191">
        <v>2015.0</v>
      </c>
      <c r="H442" s="191">
        <v>0.075696417</v>
      </c>
      <c r="I442" s="191">
        <v>0.09883813</v>
      </c>
      <c r="J442" s="191">
        <v>0.055536317</v>
      </c>
      <c r="K442" s="5"/>
      <c r="L442" s="5"/>
      <c r="M442" s="5"/>
      <c r="N442" s="5"/>
      <c r="O442" s="5"/>
      <c r="P442" s="5"/>
      <c r="Q442" s="5"/>
      <c r="R442" s="5"/>
      <c r="S442" s="5"/>
      <c r="T442" s="5"/>
      <c r="U442" s="5"/>
      <c r="V442" s="5"/>
      <c r="W442" s="5"/>
      <c r="X442" s="5"/>
      <c r="Y442" s="5"/>
      <c r="Z442" s="5"/>
    </row>
    <row r="443">
      <c r="A443" s="5" t="s">
        <v>371</v>
      </c>
      <c r="B443" s="5" t="s">
        <v>372</v>
      </c>
      <c r="C443" s="5" t="s">
        <v>76</v>
      </c>
      <c r="D443" s="5" t="s">
        <v>369</v>
      </c>
      <c r="E443" s="5" t="s">
        <v>77</v>
      </c>
      <c r="F443" s="5" t="s">
        <v>249</v>
      </c>
      <c r="G443" s="191">
        <v>2015.0</v>
      </c>
      <c r="H443" s="191">
        <v>0.074940327</v>
      </c>
      <c r="I443" s="191">
        <v>0.096452537</v>
      </c>
      <c r="J443" s="191">
        <v>0.05799259</v>
      </c>
      <c r="K443" s="5"/>
      <c r="L443" s="5"/>
      <c r="M443" s="5"/>
      <c r="N443" s="5"/>
      <c r="O443" s="5"/>
      <c r="P443" s="5"/>
      <c r="Q443" s="5"/>
      <c r="R443" s="5"/>
      <c r="S443" s="5"/>
      <c r="T443" s="5"/>
      <c r="U443" s="5"/>
      <c r="V443" s="5"/>
      <c r="W443" s="5"/>
      <c r="X443" s="5"/>
      <c r="Y443" s="5"/>
      <c r="Z443" s="5"/>
    </row>
    <row r="444">
      <c r="A444" s="5" t="s">
        <v>371</v>
      </c>
      <c r="B444" s="5" t="s">
        <v>372</v>
      </c>
      <c r="C444" s="5" t="s">
        <v>76</v>
      </c>
      <c r="D444" s="5" t="s">
        <v>370</v>
      </c>
      <c r="E444" s="5" t="s">
        <v>77</v>
      </c>
      <c r="F444" s="5" t="s">
        <v>249</v>
      </c>
      <c r="G444" s="191">
        <v>2015.0</v>
      </c>
      <c r="H444" s="191">
        <v>0.024301692</v>
      </c>
      <c r="I444" s="191">
        <v>0.0285668</v>
      </c>
      <c r="J444" s="191">
        <v>0.020770018</v>
      </c>
      <c r="K444" s="5"/>
      <c r="L444" s="5"/>
      <c r="M444" s="5"/>
      <c r="N444" s="5"/>
      <c r="O444" s="5"/>
      <c r="P444" s="5"/>
      <c r="Q444" s="5"/>
      <c r="R444" s="5"/>
      <c r="S444" s="5"/>
      <c r="T444" s="5"/>
      <c r="U444" s="5"/>
      <c r="V444" s="5"/>
      <c r="W444" s="5"/>
      <c r="X444" s="5"/>
      <c r="Y444" s="5"/>
      <c r="Z444" s="5"/>
    </row>
    <row r="445">
      <c r="A445" s="5" t="s">
        <v>74</v>
      </c>
      <c r="B445" s="5" t="s">
        <v>373</v>
      </c>
      <c r="C445" s="5" t="s">
        <v>76</v>
      </c>
      <c r="D445" s="5" t="s">
        <v>369</v>
      </c>
      <c r="E445" s="5" t="s">
        <v>77</v>
      </c>
      <c r="F445" s="5" t="s">
        <v>249</v>
      </c>
      <c r="G445" s="191">
        <v>2015.0</v>
      </c>
      <c r="H445" s="191">
        <v>0.108060465</v>
      </c>
      <c r="I445" s="191">
        <v>0.171253056</v>
      </c>
      <c r="J445" s="191">
        <v>0.065645071</v>
      </c>
      <c r="K445" s="5"/>
      <c r="L445" s="5"/>
      <c r="M445" s="5"/>
      <c r="N445" s="5"/>
      <c r="O445" s="5"/>
      <c r="P445" s="5"/>
      <c r="Q445" s="5"/>
      <c r="R445" s="5"/>
      <c r="S445" s="5"/>
      <c r="T445" s="5"/>
      <c r="U445" s="5"/>
      <c r="V445" s="5"/>
      <c r="W445" s="5"/>
      <c r="X445" s="5"/>
      <c r="Y445" s="5"/>
      <c r="Z445" s="5"/>
    </row>
    <row r="446">
      <c r="A446" s="5" t="s">
        <v>74</v>
      </c>
      <c r="B446" s="5" t="s">
        <v>373</v>
      </c>
      <c r="C446" s="5" t="s">
        <v>76</v>
      </c>
      <c r="D446" s="5" t="s">
        <v>370</v>
      </c>
      <c r="E446" s="5" t="s">
        <v>77</v>
      </c>
      <c r="F446" s="5" t="s">
        <v>249</v>
      </c>
      <c r="G446" s="191">
        <v>2015.0</v>
      </c>
      <c r="H446" s="191">
        <v>0.066910988</v>
      </c>
      <c r="I446" s="191">
        <v>0.094121804</v>
      </c>
      <c r="J446" s="191">
        <v>0.042969616</v>
      </c>
      <c r="K446" s="5"/>
      <c r="L446" s="5"/>
      <c r="M446" s="5"/>
      <c r="N446" s="5"/>
      <c r="O446" s="5"/>
      <c r="P446" s="5"/>
      <c r="Q446" s="5"/>
      <c r="R446" s="5"/>
      <c r="S446" s="5"/>
      <c r="T446" s="5"/>
      <c r="U446" s="5"/>
      <c r="V446" s="5"/>
      <c r="W446" s="5"/>
      <c r="X446" s="5"/>
      <c r="Y446" s="5"/>
      <c r="Z446" s="5"/>
    </row>
    <row r="447">
      <c r="A447" s="5" t="s">
        <v>371</v>
      </c>
      <c r="B447" s="5" t="s">
        <v>373</v>
      </c>
      <c r="C447" s="5" t="s">
        <v>76</v>
      </c>
      <c r="D447" s="5" t="s">
        <v>369</v>
      </c>
      <c r="E447" s="5" t="s">
        <v>77</v>
      </c>
      <c r="F447" s="5" t="s">
        <v>249</v>
      </c>
      <c r="G447" s="191">
        <v>2015.0</v>
      </c>
      <c r="H447" s="191">
        <v>0.089934598</v>
      </c>
      <c r="I447" s="191">
        <v>0.111265605</v>
      </c>
      <c r="J447" s="191">
        <v>0.070641906</v>
      </c>
      <c r="K447" s="5"/>
      <c r="L447" s="5"/>
      <c r="M447" s="5"/>
      <c r="N447" s="5"/>
      <c r="O447" s="5"/>
      <c r="P447" s="5"/>
      <c r="Q447" s="5"/>
      <c r="R447" s="5"/>
      <c r="S447" s="5"/>
      <c r="T447" s="5"/>
      <c r="U447" s="5"/>
      <c r="V447" s="5"/>
      <c r="W447" s="5"/>
      <c r="X447" s="5"/>
      <c r="Y447" s="5"/>
      <c r="Z447" s="5"/>
    </row>
    <row r="448">
      <c r="A448" s="5" t="s">
        <v>371</v>
      </c>
      <c r="B448" s="5" t="s">
        <v>373</v>
      </c>
      <c r="C448" s="5" t="s">
        <v>76</v>
      </c>
      <c r="D448" s="5" t="s">
        <v>370</v>
      </c>
      <c r="E448" s="5" t="s">
        <v>77</v>
      </c>
      <c r="F448" s="5" t="s">
        <v>249</v>
      </c>
      <c r="G448" s="191">
        <v>2015.0</v>
      </c>
      <c r="H448" s="191">
        <v>0.018877681</v>
      </c>
      <c r="I448" s="191">
        <v>0.021964895</v>
      </c>
      <c r="J448" s="191">
        <v>0.016098802</v>
      </c>
      <c r="K448" s="5"/>
      <c r="L448" s="5"/>
      <c r="M448" s="5"/>
      <c r="N448" s="5"/>
      <c r="O448" s="5"/>
      <c r="P448" s="5"/>
      <c r="Q448" s="5"/>
      <c r="R448" s="5"/>
      <c r="S448" s="5"/>
      <c r="T448" s="5"/>
      <c r="U448" s="5"/>
      <c r="V448" s="5"/>
      <c r="W448" s="5"/>
      <c r="X448" s="5"/>
      <c r="Y448" s="5"/>
      <c r="Z448" s="5"/>
    </row>
    <row r="449">
      <c r="A449" s="5" t="s">
        <v>74</v>
      </c>
      <c r="B449" s="5" t="s">
        <v>14</v>
      </c>
      <c r="C449" s="5" t="s">
        <v>76</v>
      </c>
      <c r="D449" s="5" t="s">
        <v>369</v>
      </c>
      <c r="E449" s="5" t="s">
        <v>77</v>
      </c>
      <c r="F449" s="5" t="s">
        <v>249</v>
      </c>
      <c r="G449" s="191">
        <v>2015.0</v>
      </c>
      <c r="H449" s="191">
        <v>0.068257959</v>
      </c>
      <c r="I449" s="191">
        <v>0.105963022</v>
      </c>
      <c r="J449" s="191">
        <v>0.040441823</v>
      </c>
      <c r="K449" s="5"/>
      <c r="L449" s="5"/>
      <c r="M449" s="5"/>
      <c r="N449" s="5"/>
      <c r="O449" s="5"/>
      <c r="P449" s="5"/>
      <c r="Q449" s="5"/>
      <c r="R449" s="5"/>
      <c r="S449" s="5"/>
      <c r="T449" s="5"/>
      <c r="U449" s="5"/>
      <c r="V449" s="5"/>
      <c r="W449" s="5"/>
      <c r="X449" s="5"/>
      <c r="Y449" s="5"/>
      <c r="Z449" s="5"/>
    </row>
    <row r="450">
      <c r="A450" s="5" t="s">
        <v>74</v>
      </c>
      <c r="B450" s="5" t="s">
        <v>14</v>
      </c>
      <c r="C450" s="5" t="s">
        <v>76</v>
      </c>
      <c r="D450" s="5" t="s">
        <v>370</v>
      </c>
      <c r="E450" s="5" t="s">
        <v>77</v>
      </c>
      <c r="F450" s="5" t="s">
        <v>249</v>
      </c>
      <c r="G450" s="191">
        <v>2015.0</v>
      </c>
      <c r="H450" s="191">
        <v>0.056392769</v>
      </c>
      <c r="I450" s="191">
        <v>0.078939153</v>
      </c>
      <c r="J450" s="191">
        <v>0.039043582</v>
      </c>
      <c r="K450" s="5"/>
      <c r="L450" s="5"/>
      <c r="M450" s="5"/>
      <c r="N450" s="5"/>
      <c r="O450" s="5"/>
      <c r="P450" s="5"/>
      <c r="Q450" s="5"/>
      <c r="R450" s="5"/>
      <c r="S450" s="5"/>
      <c r="T450" s="5"/>
      <c r="U450" s="5"/>
      <c r="V450" s="5"/>
      <c r="W450" s="5"/>
      <c r="X450" s="5"/>
      <c r="Y450" s="5"/>
      <c r="Z450" s="5"/>
    </row>
    <row r="451">
      <c r="A451" s="5" t="s">
        <v>371</v>
      </c>
      <c r="B451" s="5" t="s">
        <v>14</v>
      </c>
      <c r="C451" s="5" t="s">
        <v>76</v>
      </c>
      <c r="D451" s="5" t="s">
        <v>369</v>
      </c>
      <c r="E451" s="5" t="s">
        <v>77</v>
      </c>
      <c r="F451" s="5" t="s">
        <v>249</v>
      </c>
      <c r="G451" s="191">
        <v>2015.0</v>
      </c>
      <c r="H451" s="191">
        <v>0.079311679</v>
      </c>
      <c r="I451" s="191">
        <v>0.100141627</v>
      </c>
      <c r="J451" s="191">
        <v>0.062812927</v>
      </c>
      <c r="K451" s="5"/>
      <c r="L451" s="5"/>
      <c r="M451" s="5"/>
      <c r="N451" s="5"/>
      <c r="O451" s="5"/>
      <c r="P451" s="5"/>
      <c r="Q451" s="5"/>
      <c r="R451" s="5"/>
      <c r="S451" s="5"/>
      <c r="T451" s="5"/>
      <c r="U451" s="5"/>
      <c r="V451" s="5"/>
      <c r="W451" s="5"/>
      <c r="X451" s="5"/>
      <c r="Y451" s="5"/>
      <c r="Z451" s="5"/>
    </row>
    <row r="452">
      <c r="A452" s="5" t="s">
        <v>371</v>
      </c>
      <c r="B452" s="5" t="s">
        <v>14</v>
      </c>
      <c r="C452" s="5" t="s">
        <v>76</v>
      </c>
      <c r="D452" s="5" t="s">
        <v>370</v>
      </c>
      <c r="E452" s="5" t="s">
        <v>77</v>
      </c>
      <c r="F452" s="5" t="s">
        <v>249</v>
      </c>
      <c r="G452" s="191">
        <v>2015.0</v>
      </c>
      <c r="H452" s="191">
        <v>0.020232018</v>
      </c>
      <c r="I452" s="191">
        <v>0.023455383</v>
      </c>
      <c r="J452" s="191">
        <v>0.017339252</v>
      </c>
      <c r="K452" s="5"/>
      <c r="L452" s="5"/>
      <c r="M452" s="5"/>
      <c r="N452" s="5"/>
      <c r="O452" s="5"/>
      <c r="P452" s="5"/>
      <c r="Q452" s="5"/>
      <c r="R452" s="5"/>
      <c r="S452" s="5"/>
      <c r="T452" s="5"/>
      <c r="U452" s="5"/>
      <c r="V452" s="5"/>
      <c r="W452" s="5"/>
      <c r="X452" s="5"/>
      <c r="Y452" s="5"/>
      <c r="Z452" s="5"/>
    </row>
    <row r="453">
      <c r="A453" s="5" t="s">
        <v>74</v>
      </c>
      <c r="B453" s="5" t="s">
        <v>374</v>
      </c>
      <c r="C453" s="5" t="s">
        <v>76</v>
      </c>
      <c r="D453" s="5" t="s">
        <v>369</v>
      </c>
      <c r="E453" s="5" t="s">
        <v>77</v>
      </c>
      <c r="F453" s="5" t="s">
        <v>249</v>
      </c>
      <c r="G453" s="191">
        <v>2015.0</v>
      </c>
      <c r="H453" s="191">
        <v>0.007686538</v>
      </c>
      <c r="I453" s="191">
        <v>0.009141472</v>
      </c>
      <c r="J453" s="191">
        <v>0.006386677</v>
      </c>
      <c r="K453" s="5"/>
      <c r="L453" s="5"/>
      <c r="M453" s="5"/>
      <c r="N453" s="5"/>
      <c r="O453" s="5"/>
      <c r="P453" s="5"/>
      <c r="Q453" s="5"/>
      <c r="R453" s="5"/>
      <c r="S453" s="5"/>
      <c r="T453" s="5"/>
      <c r="U453" s="5"/>
      <c r="V453" s="5"/>
      <c r="W453" s="5"/>
      <c r="X453" s="5"/>
      <c r="Y453" s="5"/>
      <c r="Z453" s="5"/>
    </row>
    <row r="454">
      <c r="A454" s="5" t="s">
        <v>74</v>
      </c>
      <c r="B454" s="5" t="s">
        <v>374</v>
      </c>
      <c r="C454" s="5" t="s">
        <v>76</v>
      </c>
      <c r="D454" s="5" t="s">
        <v>370</v>
      </c>
      <c r="E454" s="5" t="s">
        <v>77</v>
      </c>
      <c r="F454" s="5" t="s">
        <v>249</v>
      </c>
      <c r="G454" s="191">
        <v>2015.0</v>
      </c>
      <c r="H454" s="191">
        <v>9.60235E-4</v>
      </c>
      <c r="I454" s="191">
        <v>0.001159829</v>
      </c>
      <c r="J454" s="191">
        <v>7.9065E-4</v>
      </c>
      <c r="K454" s="5"/>
      <c r="L454" s="5"/>
      <c r="M454" s="5"/>
      <c r="N454" s="5"/>
      <c r="O454" s="5"/>
      <c r="P454" s="5"/>
      <c r="Q454" s="5"/>
      <c r="R454" s="5"/>
      <c r="S454" s="5"/>
      <c r="T454" s="5"/>
      <c r="U454" s="5"/>
      <c r="V454" s="5"/>
      <c r="W454" s="5"/>
      <c r="X454" s="5"/>
      <c r="Y454" s="5"/>
      <c r="Z454" s="5"/>
    </row>
    <row r="455">
      <c r="A455" s="5" t="s">
        <v>371</v>
      </c>
      <c r="B455" s="5" t="s">
        <v>374</v>
      </c>
      <c r="C455" s="5" t="s">
        <v>76</v>
      </c>
      <c r="D455" s="5" t="s">
        <v>369</v>
      </c>
      <c r="E455" s="5" t="s">
        <v>77</v>
      </c>
      <c r="F455" s="5" t="s">
        <v>249</v>
      </c>
      <c r="G455" s="191">
        <v>2015.0</v>
      </c>
      <c r="H455" s="191">
        <v>0.031828223</v>
      </c>
      <c r="I455" s="191">
        <v>0.042778031</v>
      </c>
      <c r="J455" s="191">
        <v>0.022482149</v>
      </c>
      <c r="K455" s="5"/>
      <c r="L455" s="5"/>
      <c r="M455" s="5"/>
      <c r="N455" s="5"/>
      <c r="O455" s="5"/>
      <c r="P455" s="5"/>
      <c r="Q455" s="5"/>
      <c r="R455" s="5"/>
      <c r="S455" s="5"/>
      <c r="T455" s="5"/>
      <c r="U455" s="5"/>
      <c r="V455" s="5"/>
      <c r="W455" s="5"/>
      <c r="X455" s="5"/>
      <c r="Y455" s="5"/>
      <c r="Z455" s="5"/>
    </row>
    <row r="456">
      <c r="A456" s="5" t="s">
        <v>371</v>
      </c>
      <c r="B456" s="5" t="s">
        <v>374</v>
      </c>
      <c r="C456" s="5" t="s">
        <v>76</v>
      </c>
      <c r="D456" s="5" t="s">
        <v>370</v>
      </c>
      <c r="E456" s="5" t="s">
        <v>77</v>
      </c>
      <c r="F456" s="5" t="s">
        <v>249</v>
      </c>
      <c r="G456" s="191">
        <v>2015.0</v>
      </c>
      <c r="H456" s="191">
        <v>0.01420081</v>
      </c>
      <c r="I456" s="191">
        <v>0.016959749</v>
      </c>
      <c r="J456" s="191">
        <v>0.011797567</v>
      </c>
      <c r="K456" s="5"/>
      <c r="L456" s="5"/>
      <c r="M456" s="5"/>
      <c r="N456" s="5"/>
      <c r="O456" s="5"/>
      <c r="P456" s="5"/>
      <c r="Q456" s="5"/>
      <c r="R456" s="5"/>
      <c r="S456" s="5"/>
      <c r="T456" s="5"/>
      <c r="U456" s="5"/>
      <c r="V456" s="5"/>
      <c r="W456" s="5"/>
      <c r="X456" s="5"/>
      <c r="Y456" s="5"/>
      <c r="Z456" s="5"/>
    </row>
    <row r="457">
      <c r="A457" s="5" t="s">
        <v>74</v>
      </c>
      <c r="B457" s="5" t="s">
        <v>375</v>
      </c>
      <c r="C457" s="5" t="s">
        <v>76</v>
      </c>
      <c r="D457" s="5" t="s">
        <v>369</v>
      </c>
      <c r="E457" s="5" t="s">
        <v>77</v>
      </c>
      <c r="F457" s="5" t="s">
        <v>249</v>
      </c>
      <c r="G457" s="191">
        <v>2015.0</v>
      </c>
      <c r="H457" s="191">
        <v>0.133545092</v>
      </c>
      <c r="I457" s="191">
        <v>0.181484853</v>
      </c>
      <c r="J457" s="191">
        <v>0.09492289</v>
      </c>
      <c r="K457" s="5"/>
      <c r="L457" s="5"/>
      <c r="M457" s="5"/>
      <c r="N457" s="5"/>
      <c r="O457" s="5"/>
      <c r="P457" s="5"/>
      <c r="Q457" s="5"/>
      <c r="R457" s="5"/>
      <c r="S457" s="5"/>
      <c r="T457" s="5"/>
      <c r="U457" s="5"/>
      <c r="V457" s="5"/>
      <c r="W457" s="5"/>
      <c r="X457" s="5"/>
      <c r="Y457" s="5"/>
      <c r="Z457" s="5"/>
    </row>
    <row r="458">
      <c r="A458" s="5" t="s">
        <v>74</v>
      </c>
      <c r="B458" s="5" t="s">
        <v>375</v>
      </c>
      <c r="C458" s="5" t="s">
        <v>76</v>
      </c>
      <c r="D458" s="5" t="s">
        <v>370</v>
      </c>
      <c r="E458" s="5" t="s">
        <v>77</v>
      </c>
      <c r="F458" s="5" t="s">
        <v>249</v>
      </c>
      <c r="G458" s="191">
        <v>2015.0</v>
      </c>
      <c r="H458" s="191">
        <v>0.07041716</v>
      </c>
      <c r="I458" s="191">
        <v>0.092361674</v>
      </c>
      <c r="J458" s="191">
        <v>0.051601182</v>
      </c>
      <c r="K458" s="5"/>
      <c r="L458" s="5"/>
      <c r="M458" s="5"/>
      <c r="N458" s="5"/>
      <c r="O458" s="5"/>
      <c r="P458" s="5"/>
      <c r="Q458" s="5"/>
      <c r="R458" s="5"/>
      <c r="S458" s="5"/>
      <c r="T458" s="5"/>
      <c r="U458" s="5"/>
      <c r="V458" s="5"/>
      <c r="W458" s="5"/>
      <c r="X458" s="5"/>
      <c r="Y458" s="5"/>
      <c r="Z458" s="5"/>
    </row>
    <row r="459">
      <c r="A459" s="5" t="s">
        <v>371</v>
      </c>
      <c r="B459" s="5" t="s">
        <v>375</v>
      </c>
      <c r="C459" s="5" t="s">
        <v>76</v>
      </c>
      <c r="D459" s="5" t="s">
        <v>369</v>
      </c>
      <c r="E459" s="5" t="s">
        <v>77</v>
      </c>
      <c r="F459" s="5" t="s">
        <v>249</v>
      </c>
      <c r="G459" s="191">
        <v>2015.0</v>
      </c>
      <c r="H459" s="191">
        <v>0.065743622</v>
      </c>
      <c r="I459" s="191">
        <v>0.082655656</v>
      </c>
      <c r="J459" s="191">
        <v>0.050928551</v>
      </c>
      <c r="K459" s="5"/>
      <c r="L459" s="5"/>
      <c r="M459" s="5"/>
      <c r="N459" s="5"/>
      <c r="O459" s="5"/>
      <c r="P459" s="5"/>
      <c r="Q459" s="5"/>
      <c r="R459" s="5"/>
      <c r="S459" s="5"/>
      <c r="T459" s="5"/>
      <c r="U459" s="5"/>
      <c r="V459" s="5"/>
      <c r="W459" s="5"/>
      <c r="X459" s="5"/>
      <c r="Y459" s="5"/>
      <c r="Z459" s="5"/>
    </row>
    <row r="460">
      <c r="A460" s="5" t="s">
        <v>371</v>
      </c>
      <c r="B460" s="5" t="s">
        <v>375</v>
      </c>
      <c r="C460" s="5" t="s">
        <v>76</v>
      </c>
      <c r="D460" s="5" t="s">
        <v>370</v>
      </c>
      <c r="E460" s="5" t="s">
        <v>77</v>
      </c>
      <c r="F460" s="5" t="s">
        <v>249</v>
      </c>
      <c r="G460" s="191">
        <v>2015.0</v>
      </c>
      <c r="H460" s="191">
        <v>0.020639222</v>
      </c>
      <c r="I460" s="191">
        <v>0.023827617</v>
      </c>
      <c r="J460" s="191">
        <v>0.017539391</v>
      </c>
      <c r="K460" s="5"/>
      <c r="L460" s="5"/>
      <c r="M460" s="5"/>
      <c r="N460" s="5"/>
      <c r="O460" s="5"/>
      <c r="P460" s="5"/>
      <c r="Q460" s="5"/>
      <c r="R460" s="5"/>
      <c r="S460" s="5"/>
      <c r="T460" s="5"/>
      <c r="U460" s="5"/>
      <c r="V460" s="5"/>
      <c r="W460" s="5"/>
      <c r="X460" s="5"/>
      <c r="Y460" s="5"/>
      <c r="Z460" s="5"/>
    </row>
    <row r="461">
      <c r="A461" s="5" t="s">
        <v>74</v>
      </c>
      <c r="B461" s="5" t="s">
        <v>365</v>
      </c>
      <c r="C461" s="5" t="s">
        <v>76</v>
      </c>
      <c r="D461" s="5" t="s">
        <v>369</v>
      </c>
      <c r="E461" s="5" t="s">
        <v>77</v>
      </c>
      <c r="F461" s="5" t="s">
        <v>249</v>
      </c>
      <c r="G461" s="191">
        <v>2015.0</v>
      </c>
      <c r="H461" s="191">
        <v>0.054868134</v>
      </c>
      <c r="I461" s="191">
        <v>0.09626832</v>
      </c>
      <c r="J461" s="191">
        <v>0.029829866</v>
      </c>
      <c r="K461" s="5"/>
      <c r="L461" s="5"/>
      <c r="M461" s="5"/>
      <c r="N461" s="5"/>
      <c r="O461" s="5"/>
      <c r="P461" s="5"/>
      <c r="Q461" s="5"/>
      <c r="R461" s="5"/>
      <c r="S461" s="5"/>
      <c r="T461" s="5"/>
      <c r="U461" s="5"/>
      <c r="V461" s="5"/>
      <c r="W461" s="5"/>
      <c r="X461" s="5"/>
      <c r="Y461" s="5"/>
      <c r="Z461" s="5"/>
    </row>
    <row r="462">
      <c r="A462" s="5" t="s">
        <v>74</v>
      </c>
      <c r="B462" s="5" t="s">
        <v>365</v>
      </c>
      <c r="C462" s="5" t="s">
        <v>76</v>
      </c>
      <c r="D462" s="5" t="s">
        <v>370</v>
      </c>
      <c r="E462" s="5" t="s">
        <v>77</v>
      </c>
      <c r="F462" s="5" t="s">
        <v>249</v>
      </c>
      <c r="G462" s="191">
        <v>2015.0</v>
      </c>
      <c r="H462" s="191">
        <v>0.03984316</v>
      </c>
      <c r="I462" s="191">
        <v>0.054460543</v>
      </c>
      <c r="J462" s="191">
        <v>0.024287616</v>
      </c>
      <c r="K462" s="5"/>
      <c r="L462" s="5"/>
      <c r="M462" s="5"/>
      <c r="N462" s="5"/>
      <c r="O462" s="5"/>
      <c r="P462" s="5"/>
      <c r="Q462" s="5"/>
      <c r="R462" s="5"/>
      <c r="S462" s="5"/>
      <c r="T462" s="5"/>
      <c r="U462" s="5"/>
      <c r="V462" s="5"/>
      <c r="W462" s="5"/>
      <c r="X462" s="5"/>
      <c r="Y462" s="5"/>
      <c r="Z462" s="5"/>
    </row>
    <row r="463">
      <c r="A463" s="5" t="s">
        <v>371</v>
      </c>
      <c r="B463" s="5" t="s">
        <v>365</v>
      </c>
      <c r="C463" s="5" t="s">
        <v>76</v>
      </c>
      <c r="D463" s="5" t="s">
        <v>369</v>
      </c>
      <c r="E463" s="5" t="s">
        <v>77</v>
      </c>
      <c r="F463" s="5" t="s">
        <v>249</v>
      </c>
      <c r="G463" s="191">
        <v>2015.0</v>
      </c>
      <c r="H463" s="191">
        <v>0.096443178</v>
      </c>
      <c r="I463" s="191">
        <v>0.120677388</v>
      </c>
      <c r="J463" s="191">
        <v>0.074578596</v>
      </c>
      <c r="K463" s="5"/>
      <c r="L463" s="5"/>
      <c r="M463" s="5"/>
      <c r="N463" s="5"/>
      <c r="O463" s="5"/>
      <c r="P463" s="5"/>
      <c r="Q463" s="5"/>
      <c r="R463" s="5"/>
      <c r="S463" s="5"/>
      <c r="T463" s="5"/>
      <c r="U463" s="5"/>
      <c r="V463" s="5"/>
      <c r="W463" s="5"/>
      <c r="X463" s="5"/>
      <c r="Y463" s="5"/>
      <c r="Z463" s="5"/>
    </row>
    <row r="464">
      <c r="A464" s="5" t="s">
        <v>371</v>
      </c>
      <c r="B464" s="5" t="s">
        <v>365</v>
      </c>
      <c r="C464" s="5" t="s">
        <v>76</v>
      </c>
      <c r="D464" s="5" t="s">
        <v>370</v>
      </c>
      <c r="E464" s="5" t="s">
        <v>77</v>
      </c>
      <c r="F464" s="5" t="s">
        <v>249</v>
      </c>
      <c r="G464" s="191">
        <v>2015.0</v>
      </c>
      <c r="H464" s="191">
        <v>0.023165535</v>
      </c>
      <c r="I464" s="191">
        <v>0.026559163</v>
      </c>
      <c r="J464" s="191">
        <v>0.020013433</v>
      </c>
      <c r="K464" s="5"/>
      <c r="L464" s="5"/>
      <c r="M464" s="5"/>
      <c r="N464" s="5"/>
      <c r="O464" s="5"/>
      <c r="P464" s="5"/>
      <c r="Q464" s="5"/>
      <c r="R464" s="5"/>
      <c r="S464" s="5"/>
      <c r="T464" s="5"/>
      <c r="U464" s="5"/>
      <c r="V464" s="5"/>
      <c r="W464" s="5"/>
      <c r="X464" s="5"/>
      <c r="Y464" s="5"/>
      <c r="Z464" s="5"/>
    </row>
    <row r="465">
      <c r="A465" s="5" t="s">
        <v>74</v>
      </c>
      <c r="B465" s="5" t="s">
        <v>362</v>
      </c>
      <c r="C465" s="5" t="s">
        <v>76</v>
      </c>
      <c r="D465" s="5" t="s">
        <v>369</v>
      </c>
      <c r="E465" s="5" t="s">
        <v>77</v>
      </c>
      <c r="F465" s="5" t="s">
        <v>249</v>
      </c>
      <c r="G465" s="191">
        <v>2016.0</v>
      </c>
      <c r="H465" s="191">
        <v>0.053628109</v>
      </c>
      <c r="I465" s="191">
        <v>0.075383911</v>
      </c>
      <c r="J465" s="191">
        <v>0.035098147</v>
      </c>
      <c r="K465" s="5"/>
      <c r="L465" s="5"/>
      <c r="M465" s="5"/>
      <c r="N465" s="5"/>
      <c r="O465" s="5"/>
      <c r="P465" s="5"/>
      <c r="Q465" s="5"/>
      <c r="R465" s="5"/>
      <c r="S465" s="5"/>
      <c r="T465" s="5"/>
      <c r="U465" s="5"/>
      <c r="V465" s="5"/>
      <c r="W465" s="5"/>
      <c r="X465" s="5"/>
      <c r="Y465" s="5"/>
      <c r="Z465" s="5"/>
    </row>
    <row r="466">
      <c r="A466" s="5" t="s">
        <v>74</v>
      </c>
      <c r="B466" s="5" t="s">
        <v>362</v>
      </c>
      <c r="C466" s="5" t="s">
        <v>76</v>
      </c>
      <c r="D466" s="5" t="s">
        <v>370</v>
      </c>
      <c r="E466" s="5" t="s">
        <v>77</v>
      </c>
      <c r="F466" s="5" t="s">
        <v>249</v>
      </c>
      <c r="G466" s="191">
        <v>2016.0</v>
      </c>
      <c r="H466" s="191">
        <v>0.054070939</v>
      </c>
      <c r="I466" s="191">
        <v>0.100770258</v>
      </c>
      <c r="J466" s="191">
        <v>0.031280112</v>
      </c>
      <c r="K466" s="5"/>
      <c r="L466" s="5"/>
      <c r="M466" s="5"/>
      <c r="N466" s="5"/>
      <c r="O466" s="5"/>
      <c r="P466" s="5"/>
      <c r="Q466" s="5"/>
      <c r="R466" s="5"/>
      <c r="S466" s="5"/>
      <c r="T466" s="5"/>
      <c r="U466" s="5"/>
      <c r="V466" s="5"/>
      <c r="W466" s="5"/>
      <c r="X466" s="5"/>
      <c r="Y466" s="5"/>
      <c r="Z466" s="5"/>
    </row>
    <row r="467">
      <c r="A467" s="5" t="s">
        <v>371</v>
      </c>
      <c r="B467" s="5" t="s">
        <v>362</v>
      </c>
      <c r="C467" s="5" t="s">
        <v>76</v>
      </c>
      <c r="D467" s="5" t="s">
        <v>369</v>
      </c>
      <c r="E467" s="5" t="s">
        <v>77</v>
      </c>
      <c r="F467" s="5" t="s">
        <v>249</v>
      </c>
      <c r="G467" s="191">
        <v>2016.0</v>
      </c>
      <c r="H467" s="191">
        <v>0.035762075</v>
      </c>
      <c r="I467" s="191">
        <v>0.044697368</v>
      </c>
      <c r="J467" s="191">
        <v>0.02787242</v>
      </c>
      <c r="K467" s="5"/>
      <c r="L467" s="5"/>
      <c r="M467" s="5"/>
      <c r="N467" s="5"/>
      <c r="O467" s="5"/>
      <c r="P467" s="5"/>
      <c r="Q467" s="5"/>
      <c r="R467" s="5"/>
      <c r="S467" s="5"/>
      <c r="T467" s="5"/>
      <c r="U467" s="5"/>
      <c r="V467" s="5"/>
      <c r="W467" s="5"/>
      <c r="X467" s="5"/>
      <c r="Y467" s="5"/>
      <c r="Z467" s="5"/>
    </row>
    <row r="468">
      <c r="A468" s="5" t="s">
        <v>371</v>
      </c>
      <c r="B468" s="5" t="s">
        <v>362</v>
      </c>
      <c r="C468" s="5" t="s">
        <v>76</v>
      </c>
      <c r="D468" s="5" t="s">
        <v>370</v>
      </c>
      <c r="E468" s="5" t="s">
        <v>77</v>
      </c>
      <c r="F468" s="5" t="s">
        <v>249</v>
      </c>
      <c r="G468" s="191">
        <v>2016.0</v>
      </c>
      <c r="H468" s="191">
        <v>0.01995611</v>
      </c>
      <c r="I468" s="191">
        <v>0.023254972</v>
      </c>
      <c r="J468" s="191">
        <v>0.017043282</v>
      </c>
      <c r="K468" s="5"/>
      <c r="L468" s="5"/>
      <c r="M468" s="5"/>
      <c r="N468" s="5"/>
      <c r="O468" s="5"/>
      <c r="P468" s="5"/>
      <c r="Q468" s="5"/>
      <c r="R468" s="5"/>
      <c r="S468" s="5"/>
      <c r="T468" s="5"/>
      <c r="U468" s="5"/>
      <c r="V468" s="5"/>
      <c r="W468" s="5"/>
      <c r="X468" s="5"/>
      <c r="Y468" s="5"/>
      <c r="Z468" s="5"/>
    </row>
    <row r="469">
      <c r="A469" s="5" t="s">
        <v>74</v>
      </c>
      <c r="B469" s="5" t="s">
        <v>358</v>
      </c>
      <c r="C469" s="5" t="s">
        <v>76</v>
      </c>
      <c r="D469" s="5" t="s">
        <v>369</v>
      </c>
      <c r="E469" s="5" t="s">
        <v>77</v>
      </c>
      <c r="F469" s="5" t="s">
        <v>249</v>
      </c>
      <c r="G469" s="191">
        <v>2016.0</v>
      </c>
      <c r="H469" s="191">
        <v>0.119633632</v>
      </c>
      <c r="I469" s="191">
        <v>0.137432532</v>
      </c>
      <c r="J469" s="191">
        <v>0.102862062</v>
      </c>
      <c r="K469" s="5"/>
      <c r="L469" s="5"/>
      <c r="M469" s="5"/>
      <c r="N469" s="5"/>
      <c r="O469" s="5"/>
      <c r="P469" s="5"/>
      <c r="Q469" s="5"/>
      <c r="R469" s="5"/>
      <c r="S469" s="5"/>
      <c r="T469" s="5"/>
      <c r="U469" s="5"/>
      <c r="V469" s="5"/>
      <c r="W469" s="5"/>
      <c r="X469" s="5"/>
      <c r="Y469" s="5"/>
      <c r="Z469" s="5"/>
    </row>
    <row r="470">
      <c r="A470" s="5" t="s">
        <v>74</v>
      </c>
      <c r="B470" s="5" t="s">
        <v>358</v>
      </c>
      <c r="C470" s="5" t="s">
        <v>76</v>
      </c>
      <c r="D470" s="5" t="s">
        <v>370</v>
      </c>
      <c r="E470" s="5" t="s">
        <v>77</v>
      </c>
      <c r="F470" s="5" t="s">
        <v>249</v>
      </c>
      <c r="G470" s="191">
        <v>2016.0</v>
      </c>
      <c r="H470" s="191">
        <v>0.034535494</v>
      </c>
      <c r="I470" s="191">
        <v>0.038366631</v>
      </c>
      <c r="J470" s="191">
        <v>0.031322825</v>
      </c>
      <c r="K470" s="5"/>
      <c r="L470" s="5"/>
      <c r="M470" s="5"/>
      <c r="N470" s="5"/>
      <c r="O470" s="5"/>
      <c r="P470" s="5"/>
      <c r="Q470" s="5"/>
      <c r="R470" s="5"/>
      <c r="S470" s="5"/>
      <c r="T470" s="5"/>
      <c r="U470" s="5"/>
      <c r="V470" s="5"/>
      <c r="W470" s="5"/>
      <c r="X470" s="5"/>
      <c r="Y470" s="5"/>
      <c r="Z470" s="5"/>
    </row>
    <row r="471">
      <c r="A471" s="5" t="s">
        <v>371</v>
      </c>
      <c r="B471" s="5" t="s">
        <v>358</v>
      </c>
      <c r="C471" s="5" t="s">
        <v>76</v>
      </c>
      <c r="D471" s="5" t="s">
        <v>369</v>
      </c>
      <c r="E471" s="5" t="s">
        <v>77</v>
      </c>
      <c r="F471" s="5" t="s">
        <v>249</v>
      </c>
      <c r="G471" s="191">
        <v>2016.0</v>
      </c>
      <c r="H471" s="191">
        <v>0.093765271</v>
      </c>
      <c r="I471" s="191">
        <v>0.116498801</v>
      </c>
      <c r="J471" s="191">
        <v>0.073466487</v>
      </c>
      <c r="K471" s="5"/>
      <c r="L471" s="5"/>
      <c r="M471" s="5"/>
      <c r="N471" s="5"/>
      <c r="O471" s="5"/>
      <c r="P471" s="5"/>
      <c r="Q471" s="5"/>
      <c r="R471" s="5"/>
      <c r="S471" s="5"/>
      <c r="T471" s="5"/>
      <c r="U471" s="5"/>
      <c r="V471" s="5"/>
      <c r="W471" s="5"/>
      <c r="X471" s="5"/>
      <c r="Y471" s="5"/>
      <c r="Z471" s="5"/>
    </row>
    <row r="472">
      <c r="A472" s="5" t="s">
        <v>371</v>
      </c>
      <c r="B472" s="5" t="s">
        <v>358</v>
      </c>
      <c r="C472" s="5" t="s">
        <v>76</v>
      </c>
      <c r="D472" s="5" t="s">
        <v>370</v>
      </c>
      <c r="E472" s="5" t="s">
        <v>77</v>
      </c>
      <c r="F472" s="5" t="s">
        <v>249</v>
      </c>
      <c r="G472" s="191">
        <v>2016.0</v>
      </c>
      <c r="H472" s="191">
        <v>0.017530814</v>
      </c>
      <c r="I472" s="191">
        <v>0.020075238</v>
      </c>
      <c r="J472" s="191">
        <v>0.015125982</v>
      </c>
      <c r="K472" s="5"/>
      <c r="L472" s="5"/>
      <c r="M472" s="5"/>
      <c r="N472" s="5"/>
      <c r="O472" s="5"/>
      <c r="P472" s="5"/>
      <c r="Q472" s="5"/>
      <c r="R472" s="5"/>
      <c r="S472" s="5"/>
      <c r="T472" s="5"/>
      <c r="U472" s="5"/>
      <c r="V472" s="5"/>
      <c r="W472" s="5"/>
      <c r="X472" s="5"/>
      <c r="Y472" s="5"/>
      <c r="Z472" s="5"/>
    </row>
    <row r="473">
      <c r="A473" s="5" t="s">
        <v>74</v>
      </c>
      <c r="B473" s="5" t="s">
        <v>360</v>
      </c>
      <c r="C473" s="5" t="s">
        <v>76</v>
      </c>
      <c r="D473" s="5" t="s">
        <v>369</v>
      </c>
      <c r="E473" s="5" t="s">
        <v>77</v>
      </c>
      <c r="F473" s="5" t="s">
        <v>249</v>
      </c>
      <c r="G473" s="191">
        <v>2016.0</v>
      </c>
      <c r="H473" s="191">
        <v>0.080501084</v>
      </c>
      <c r="I473" s="191">
        <v>0.098978967</v>
      </c>
      <c r="J473" s="191">
        <v>0.065191239</v>
      </c>
      <c r="K473" s="5"/>
      <c r="L473" s="5"/>
      <c r="M473" s="5"/>
      <c r="N473" s="5"/>
      <c r="O473" s="5"/>
      <c r="P473" s="5"/>
      <c r="Q473" s="5"/>
      <c r="R473" s="5"/>
      <c r="S473" s="5"/>
      <c r="T473" s="5"/>
      <c r="U473" s="5"/>
      <c r="V473" s="5"/>
      <c r="W473" s="5"/>
      <c r="X473" s="5"/>
      <c r="Y473" s="5"/>
      <c r="Z473" s="5"/>
    </row>
    <row r="474">
      <c r="A474" s="5" t="s">
        <v>74</v>
      </c>
      <c r="B474" s="5" t="s">
        <v>360</v>
      </c>
      <c r="C474" s="5" t="s">
        <v>76</v>
      </c>
      <c r="D474" s="5" t="s">
        <v>370</v>
      </c>
      <c r="E474" s="5" t="s">
        <v>77</v>
      </c>
      <c r="F474" s="5" t="s">
        <v>249</v>
      </c>
      <c r="G474" s="191">
        <v>2016.0</v>
      </c>
      <c r="H474" s="191">
        <v>0.080953013</v>
      </c>
      <c r="I474" s="191">
        <v>0.126547595</v>
      </c>
      <c r="J474" s="191">
        <v>0.051152088</v>
      </c>
      <c r="K474" s="5"/>
      <c r="L474" s="5"/>
      <c r="M474" s="5"/>
      <c r="N474" s="5"/>
      <c r="O474" s="5"/>
      <c r="P474" s="5"/>
      <c r="Q474" s="5"/>
      <c r="R474" s="5"/>
      <c r="S474" s="5"/>
      <c r="T474" s="5"/>
      <c r="U474" s="5"/>
      <c r="V474" s="5"/>
      <c r="W474" s="5"/>
      <c r="X474" s="5"/>
      <c r="Y474" s="5"/>
      <c r="Z474" s="5"/>
    </row>
    <row r="475">
      <c r="A475" s="5" t="s">
        <v>371</v>
      </c>
      <c r="B475" s="5" t="s">
        <v>360</v>
      </c>
      <c r="C475" s="5" t="s">
        <v>76</v>
      </c>
      <c r="D475" s="5" t="s">
        <v>369</v>
      </c>
      <c r="E475" s="5" t="s">
        <v>77</v>
      </c>
      <c r="F475" s="5" t="s">
        <v>249</v>
      </c>
      <c r="G475" s="191">
        <v>2016.0</v>
      </c>
      <c r="H475" s="191">
        <v>0.028925129</v>
      </c>
      <c r="I475" s="191">
        <v>0.037151245</v>
      </c>
      <c r="J475" s="191">
        <v>0.022122386</v>
      </c>
      <c r="K475" s="5"/>
      <c r="L475" s="5"/>
      <c r="M475" s="5"/>
      <c r="N475" s="5"/>
      <c r="O475" s="5"/>
      <c r="P475" s="5"/>
      <c r="Q475" s="5"/>
      <c r="R475" s="5"/>
      <c r="S475" s="5"/>
      <c r="T475" s="5"/>
      <c r="U475" s="5"/>
      <c r="V475" s="5"/>
      <c r="W475" s="5"/>
      <c r="X475" s="5"/>
      <c r="Y475" s="5"/>
      <c r="Z475" s="5"/>
    </row>
    <row r="476">
      <c r="A476" s="5" t="s">
        <v>371</v>
      </c>
      <c r="B476" s="5" t="s">
        <v>360</v>
      </c>
      <c r="C476" s="5" t="s">
        <v>76</v>
      </c>
      <c r="D476" s="5" t="s">
        <v>370</v>
      </c>
      <c r="E476" s="5" t="s">
        <v>77</v>
      </c>
      <c r="F476" s="5" t="s">
        <v>249</v>
      </c>
      <c r="G476" s="191">
        <v>2016.0</v>
      </c>
      <c r="H476" s="191">
        <v>0.017625521</v>
      </c>
      <c r="I476" s="191">
        <v>0.020241468</v>
      </c>
      <c r="J476" s="191">
        <v>0.015221005</v>
      </c>
      <c r="K476" s="5"/>
      <c r="L476" s="5"/>
      <c r="M476" s="5"/>
      <c r="N476" s="5"/>
      <c r="O476" s="5"/>
      <c r="P476" s="5"/>
      <c r="Q476" s="5"/>
      <c r="R476" s="5"/>
      <c r="S476" s="5"/>
      <c r="T476" s="5"/>
      <c r="U476" s="5"/>
      <c r="V476" s="5"/>
      <c r="W476" s="5"/>
      <c r="X476" s="5"/>
      <c r="Y476" s="5"/>
      <c r="Z476" s="5"/>
    </row>
    <row r="477">
      <c r="A477" s="5" t="s">
        <v>74</v>
      </c>
      <c r="B477" s="5" t="s">
        <v>11</v>
      </c>
      <c r="C477" s="5" t="s">
        <v>76</v>
      </c>
      <c r="D477" s="5" t="s">
        <v>369</v>
      </c>
      <c r="E477" s="5" t="s">
        <v>77</v>
      </c>
      <c r="F477" s="5" t="s">
        <v>249</v>
      </c>
      <c r="G477" s="191">
        <v>2016.0</v>
      </c>
      <c r="H477" s="191">
        <v>0.179252917</v>
      </c>
      <c r="I477" s="191">
        <v>0.218947654</v>
      </c>
      <c r="J477" s="191">
        <v>0.124971633</v>
      </c>
      <c r="K477" s="5"/>
      <c r="L477" s="5"/>
      <c r="M477" s="5"/>
      <c r="N477" s="5"/>
      <c r="O477" s="5"/>
      <c r="P477" s="5"/>
      <c r="Q477" s="5"/>
      <c r="R477" s="5"/>
      <c r="S477" s="5"/>
      <c r="T477" s="5"/>
      <c r="U477" s="5"/>
      <c r="V477" s="5"/>
      <c r="W477" s="5"/>
      <c r="X477" s="5"/>
      <c r="Y477" s="5"/>
      <c r="Z477" s="5"/>
    </row>
    <row r="478">
      <c r="A478" s="5" t="s">
        <v>74</v>
      </c>
      <c r="B478" s="5" t="s">
        <v>11</v>
      </c>
      <c r="C478" s="5" t="s">
        <v>76</v>
      </c>
      <c r="D478" s="5" t="s">
        <v>370</v>
      </c>
      <c r="E478" s="5" t="s">
        <v>77</v>
      </c>
      <c r="F478" s="5" t="s">
        <v>249</v>
      </c>
      <c r="G478" s="191">
        <v>2016.0</v>
      </c>
      <c r="H478" s="191">
        <v>0.083442819</v>
      </c>
      <c r="I478" s="191">
        <v>0.111598473</v>
      </c>
      <c r="J478" s="191">
        <v>0.062607551</v>
      </c>
      <c r="K478" s="5"/>
      <c r="L478" s="5"/>
      <c r="M478" s="5"/>
      <c r="N478" s="5"/>
      <c r="O478" s="5"/>
      <c r="P478" s="5"/>
      <c r="Q478" s="5"/>
      <c r="R478" s="5"/>
      <c r="S478" s="5"/>
      <c r="T478" s="5"/>
      <c r="U478" s="5"/>
      <c r="V478" s="5"/>
      <c r="W478" s="5"/>
      <c r="X478" s="5"/>
      <c r="Y478" s="5"/>
      <c r="Z478" s="5"/>
    </row>
    <row r="479">
      <c r="A479" s="5" t="s">
        <v>371</v>
      </c>
      <c r="B479" s="5" t="s">
        <v>11</v>
      </c>
      <c r="C479" s="5" t="s">
        <v>76</v>
      </c>
      <c r="D479" s="5" t="s">
        <v>369</v>
      </c>
      <c r="E479" s="5" t="s">
        <v>77</v>
      </c>
      <c r="F479" s="5" t="s">
        <v>249</v>
      </c>
      <c r="G479" s="191">
        <v>2016.0</v>
      </c>
      <c r="H479" s="191">
        <v>0.076746871</v>
      </c>
      <c r="I479" s="191">
        <v>0.097469623</v>
      </c>
      <c r="J479" s="191">
        <v>0.06064273</v>
      </c>
      <c r="K479" s="5"/>
      <c r="L479" s="5"/>
      <c r="M479" s="5"/>
      <c r="N479" s="5"/>
      <c r="O479" s="5"/>
      <c r="P479" s="5"/>
      <c r="Q479" s="5"/>
      <c r="R479" s="5"/>
      <c r="S479" s="5"/>
      <c r="T479" s="5"/>
      <c r="U479" s="5"/>
      <c r="V479" s="5"/>
      <c r="W479" s="5"/>
      <c r="X479" s="5"/>
      <c r="Y479" s="5"/>
      <c r="Z479" s="5"/>
    </row>
    <row r="480">
      <c r="A480" s="5" t="s">
        <v>371</v>
      </c>
      <c r="B480" s="5" t="s">
        <v>11</v>
      </c>
      <c r="C480" s="5" t="s">
        <v>76</v>
      </c>
      <c r="D480" s="5" t="s">
        <v>370</v>
      </c>
      <c r="E480" s="5" t="s">
        <v>77</v>
      </c>
      <c r="F480" s="5" t="s">
        <v>249</v>
      </c>
      <c r="G480" s="191">
        <v>2016.0</v>
      </c>
      <c r="H480" s="191">
        <v>0.019901702</v>
      </c>
      <c r="I480" s="191">
        <v>0.023002088</v>
      </c>
      <c r="J480" s="191">
        <v>0.017328122</v>
      </c>
      <c r="K480" s="5"/>
      <c r="L480" s="5"/>
      <c r="M480" s="5"/>
      <c r="N480" s="5"/>
      <c r="O480" s="5"/>
      <c r="P480" s="5"/>
      <c r="Q480" s="5"/>
      <c r="R480" s="5"/>
      <c r="S480" s="5"/>
      <c r="T480" s="5"/>
      <c r="U480" s="5"/>
      <c r="V480" s="5"/>
      <c r="W480" s="5"/>
      <c r="X480" s="5"/>
      <c r="Y480" s="5"/>
      <c r="Z480" s="5"/>
    </row>
    <row r="481">
      <c r="A481" s="5" t="s">
        <v>74</v>
      </c>
      <c r="B481" s="5" t="s">
        <v>15</v>
      </c>
      <c r="C481" s="5" t="s">
        <v>76</v>
      </c>
      <c r="D481" s="5" t="s">
        <v>369</v>
      </c>
      <c r="E481" s="5" t="s">
        <v>77</v>
      </c>
      <c r="F481" s="5" t="s">
        <v>249</v>
      </c>
      <c r="G481" s="191">
        <v>2016.0</v>
      </c>
      <c r="H481" s="191">
        <v>0.097860271</v>
      </c>
      <c r="I481" s="191">
        <v>0.137554328</v>
      </c>
      <c r="J481" s="191">
        <v>0.065481612</v>
      </c>
      <c r="K481" s="5"/>
      <c r="L481" s="5"/>
      <c r="M481" s="5"/>
      <c r="N481" s="5"/>
      <c r="O481" s="5"/>
      <c r="P481" s="5"/>
      <c r="Q481" s="5"/>
      <c r="R481" s="5"/>
      <c r="S481" s="5"/>
      <c r="T481" s="5"/>
      <c r="U481" s="5"/>
      <c r="V481" s="5"/>
      <c r="W481" s="5"/>
      <c r="X481" s="5"/>
      <c r="Y481" s="5"/>
      <c r="Z481" s="5"/>
    </row>
    <row r="482">
      <c r="A482" s="5" t="s">
        <v>74</v>
      </c>
      <c r="B482" s="5" t="s">
        <v>15</v>
      </c>
      <c r="C482" s="5" t="s">
        <v>76</v>
      </c>
      <c r="D482" s="5" t="s">
        <v>370</v>
      </c>
      <c r="E482" s="5" t="s">
        <v>77</v>
      </c>
      <c r="F482" s="5" t="s">
        <v>249</v>
      </c>
      <c r="G482" s="191">
        <v>2016.0</v>
      </c>
      <c r="H482" s="191">
        <v>0.071991358</v>
      </c>
      <c r="I482" s="191">
        <v>0.097731848</v>
      </c>
      <c r="J482" s="191">
        <v>0.05119007</v>
      </c>
      <c r="K482" s="5"/>
      <c r="L482" s="5"/>
      <c r="M482" s="5"/>
      <c r="N482" s="5"/>
      <c r="O482" s="5"/>
      <c r="P482" s="5"/>
      <c r="Q482" s="5"/>
      <c r="R482" s="5"/>
      <c r="S482" s="5"/>
      <c r="T482" s="5"/>
      <c r="U482" s="5"/>
      <c r="V482" s="5"/>
      <c r="W482" s="5"/>
      <c r="X482" s="5"/>
      <c r="Y482" s="5"/>
      <c r="Z482" s="5"/>
    </row>
    <row r="483">
      <c r="A483" s="5" t="s">
        <v>371</v>
      </c>
      <c r="B483" s="5" t="s">
        <v>15</v>
      </c>
      <c r="C483" s="5" t="s">
        <v>76</v>
      </c>
      <c r="D483" s="5" t="s">
        <v>369</v>
      </c>
      <c r="E483" s="5" t="s">
        <v>77</v>
      </c>
      <c r="F483" s="5" t="s">
        <v>249</v>
      </c>
      <c r="G483" s="191">
        <v>2016.0</v>
      </c>
      <c r="H483" s="191">
        <v>0.08504405</v>
      </c>
      <c r="I483" s="191">
        <v>0.105422258</v>
      </c>
      <c r="J483" s="191">
        <v>0.065838209</v>
      </c>
      <c r="K483" s="5"/>
      <c r="L483" s="5"/>
      <c r="M483" s="5"/>
      <c r="N483" s="5"/>
      <c r="O483" s="5"/>
      <c r="P483" s="5"/>
      <c r="Q483" s="5"/>
      <c r="R483" s="5"/>
      <c r="S483" s="5"/>
      <c r="T483" s="5"/>
      <c r="U483" s="5"/>
      <c r="V483" s="5"/>
      <c r="W483" s="5"/>
      <c r="X483" s="5"/>
      <c r="Y483" s="5"/>
      <c r="Z483" s="5"/>
    </row>
    <row r="484">
      <c r="A484" s="5" t="s">
        <v>371</v>
      </c>
      <c r="B484" s="5" t="s">
        <v>15</v>
      </c>
      <c r="C484" s="5" t="s">
        <v>76</v>
      </c>
      <c r="D484" s="5" t="s">
        <v>370</v>
      </c>
      <c r="E484" s="5" t="s">
        <v>77</v>
      </c>
      <c r="F484" s="5" t="s">
        <v>249</v>
      </c>
      <c r="G484" s="191">
        <v>2016.0</v>
      </c>
      <c r="H484" s="191">
        <v>0.023633428</v>
      </c>
      <c r="I484" s="191">
        <v>0.027130897</v>
      </c>
      <c r="J484" s="191">
        <v>0.020330293</v>
      </c>
      <c r="K484" s="5"/>
      <c r="L484" s="5"/>
      <c r="M484" s="5"/>
      <c r="N484" s="5"/>
      <c r="O484" s="5"/>
      <c r="P484" s="5"/>
      <c r="Q484" s="5"/>
      <c r="R484" s="5"/>
      <c r="S484" s="5"/>
      <c r="T484" s="5"/>
      <c r="U484" s="5"/>
      <c r="V484" s="5"/>
      <c r="W484" s="5"/>
      <c r="X484" s="5"/>
      <c r="Y484" s="5"/>
      <c r="Z484" s="5"/>
    </row>
    <row r="485">
      <c r="A485" s="5" t="s">
        <v>74</v>
      </c>
      <c r="B485" s="5" t="s">
        <v>372</v>
      </c>
      <c r="C485" s="5" t="s">
        <v>76</v>
      </c>
      <c r="D485" s="5" t="s">
        <v>369</v>
      </c>
      <c r="E485" s="5" t="s">
        <v>77</v>
      </c>
      <c r="F485" s="5" t="s">
        <v>249</v>
      </c>
      <c r="G485" s="191">
        <v>2016.0</v>
      </c>
      <c r="H485" s="191">
        <v>0.096074445</v>
      </c>
      <c r="I485" s="191">
        <v>0.122435685</v>
      </c>
      <c r="J485" s="191">
        <v>0.071652799</v>
      </c>
      <c r="K485" s="5"/>
      <c r="L485" s="5"/>
      <c r="M485" s="5"/>
      <c r="N485" s="5"/>
      <c r="O485" s="5"/>
      <c r="P485" s="5"/>
      <c r="Q485" s="5"/>
      <c r="R485" s="5"/>
      <c r="S485" s="5"/>
      <c r="T485" s="5"/>
      <c r="U485" s="5"/>
      <c r="V485" s="5"/>
      <c r="W485" s="5"/>
      <c r="X485" s="5"/>
      <c r="Y485" s="5"/>
      <c r="Z485" s="5"/>
    </row>
    <row r="486">
      <c r="A486" s="5" t="s">
        <v>74</v>
      </c>
      <c r="B486" s="5" t="s">
        <v>372</v>
      </c>
      <c r="C486" s="5" t="s">
        <v>76</v>
      </c>
      <c r="D486" s="5" t="s">
        <v>370</v>
      </c>
      <c r="E486" s="5" t="s">
        <v>77</v>
      </c>
      <c r="F486" s="5" t="s">
        <v>249</v>
      </c>
      <c r="G486" s="191">
        <v>2016.0</v>
      </c>
      <c r="H486" s="191">
        <v>0.073763695</v>
      </c>
      <c r="I486" s="191">
        <v>0.098293502</v>
      </c>
      <c r="J486" s="191">
        <v>0.053826839</v>
      </c>
      <c r="K486" s="5"/>
      <c r="L486" s="5"/>
      <c r="M486" s="5"/>
      <c r="N486" s="5"/>
      <c r="O486" s="5"/>
      <c r="P486" s="5"/>
      <c r="Q486" s="5"/>
      <c r="R486" s="5"/>
      <c r="S486" s="5"/>
      <c r="T486" s="5"/>
      <c r="U486" s="5"/>
      <c r="V486" s="5"/>
      <c r="W486" s="5"/>
      <c r="X486" s="5"/>
      <c r="Y486" s="5"/>
      <c r="Z486" s="5"/>
    </row>
    <row r="487">
      <c r="A487" s="5" t="s">
        <v>371</v>
      </c>
      <c r="B487" s="5" t="s">
        <v>372</v>
      </c>
      <c r="C487" s="5" t="s">
        <v>76</v>
      </c>
      <c r="D487" s="5" t="s">
        <v>369</v>
      </c>
      <c r="E487" s="5" t="s">
        <v>77</v>
      </c>
      <c r="F487" s="5" t="s">
        <v>249</v>
      </c>
      <c r="G487" s="191">
        <v>2016.0</v>
      </c>
      <c r="H487" s="191">
        <v>0.074383116</v>
      </c>
      <c r="I487" s="191">
        <v>0.096050595</v>
      </c>
      <c r="J487" s="191">
        <v>0.056576124</v>
      </c>
      <c r="K487" s="5"/>
      <c r="L487" s="5"/>
      <c r="M487" s="5"/>
      <c r="N487" s="5"/>
      <c r="O487" s="5"/>
      <c r="P487" s="5"/>
      <c r="Q487" s="5"/>
      <c r="R487" s="5"/>
      <c r="S487" s="5"/>
      <c r="T487" s="5"/>
      <c r="U487" s="5"/>
      <c r="V487" s="5"/>
      <c r="W487" s="5"/>
      <c r="X487" s="5"/>
      <c r="Y487" s="5"/>
      <c r="Z487" s="5"/>
    </row>
    <row r="488">
      <c r="A488" s="5" t="s">
        <v>371</v>
      </c>
      <c r="B488" s="5" t="s">
        <v>372</v>
      </c>
      <c r="C488" s="5" t="s">
        <v>76</v>
      </c>
      <c r="D488" s="5" t="s">
        <v>370</v>
      </c>
      <c r="E488" s="5" t="s">
        <v>77</v>
      </c>
      <c r="F488" s="5" t="s">
        <v>249</v>
      </c>
      <c r="G488" s="191">
        <v>2016.0</v>
      </c>
      <c r="H488" s="191">
        <v>0.024567848</v>
      </c>
      <c r="I488" s="191">
        <v>0.028746211</v>
      </c>
      <c r="J488" s="191">
        <v>0.02107349</v>
      </c>
      <c r="K488" s="5"/>
      <c r="L488" s="5"/>
      <c r="M488" s="5"/>
      <c r="N488" s="5"/>
      <c r="O488" s="5"/>
      <c r="P488" s="5"/>
      <c r="Q488" s="5"/>
      <c r="R488" s="5"/>
      <c r="S488" s="5"/>
      <c r="T488" s="5"/>
      <c r="U488" s="5"/>
      <c r="V488" s="5"/>
      <c r="W488" s="5"/>
      <c r="X488" s="5"/>
      <c r="Y488" s="5"/>
      <c r="Z488" s="5"/>
    </row>
    <row r="489">
      <c r="A489" s="5" t="s">
        <v>74</v>
      </c>
      <c r="B489" s="5" t="s">
        <v>373</v>
      </c>
      <c r="C489" s="5" t="s">
        <v>76</v>
      </c>
      <c r="D489" s="5" t="s">
        <v>369</v>
      </c>
      <c r="E489" s="5" t="s">
        <v>77</v>
      </c>
      <c r="F489" s="5" t="s">
        <v>249</v>
      </c>
      <c r="G489" s="191">
        <v>2016.0</v>
      </c>
      <c r="H489" s="191">
        <v>0.101159186</v>
      </c>
      <c r="I489" s="191">
        <v>0.164814929</v>
      </c>
      <c r="J489" s="191">
        <v>0.060057059</v>
      </c>
      <c r="K489" s="5"/>
      <c r="L489" s="5"/>
      <c r="M489" s="5"/>
      <c r="N489" s="5"/>
      <c r="O489" s="5"/>
      <c r="P489" s="5"/>
      <c r="Q489" s="5"/>
      <c r="R489" s="5"/>
      <c r="S489" s="5"/>
      <c r="T489" s="5"/>
      <c r="U489" s="5"/>
      <c r="V489" s="5"/>
      <c r="W489" s="5"/>
      <c r="X489" s="5"/>
      <c r="Y489" s="5"/>
      <c r="Z489" s="5"/>
    </row>
    <row r="490">
      <c r="A490" s="5" t="s">
        <v>74</v>
      </c>
      <c r="B490" s="5" t="s">
        <v>373</v>
      </c>
      <c r="C490" s="5" t="s">
        <v>76</v>
      </c>
      <c r="D490" s="5" t="s">
        <v>370</v>
      </c>
      <c r="E490" s="5" t="s">
        <v>77</v>
      </c>
      <c r="F490" s="5" t="s">
        <v>249</v>
      </c>
      <c r="G490" s="191">
        <v>2016.0</v>
      </c>
      <c r="H490" s="191">
        <v>0.063728956</v>
      </c>
      <c r="I490" s="191">
        <v>0.09129887</v>
      </c>
      <c r="J490" s="191">
        <v>0.040252175</v>
      </c>
      <c r="K490" s="5"/>
      <c r="L490" s="5"/>
      <c r="M490" s="5"/>
      <c r="N490" s="5"/>
      <c r="O490" s="5"/>
      <c r="P490" s="5"/>
      <c r="Q490" s="5"/>
      <c r="R490" s="5"/>
      <c r="S490" s="5"/>
      <c r="T490" s="5"/>
      <c r="U490" s="5"/>
      <c r="V490" s="5"/>
      <c r="W490" s="5"/>
      <c r="X490" s="5"/>
      <c r="Y490" s="5"/>
      <c r="Z490" s="5"/>
    </row>
    <row r="491">
      <c r="A491" s="5" t="s">
        <v>371</v>
      </c>
      <c r="B491" s="5" t="s">
        <v>373</v>
      </c>
      <c r="C491" s="5" t="s">
        <v>76</v>
      </c>
      <c r="D491" s="5" t="s">
        <v>369</v>
      </c>
      <c r="E491" s="5" t="s">
        <v>77</v>
      </c>
      <c r="F491" s="5" t="s">
        <v>249</v>
      </c>
      <c r="G491" s="191">
        <v>2016.0</v>
      </c>
      <c r="H491" s="191">
        <v>0.090392036</v>
      </c>
      <c r="I491" s="191">
        <v>0.111978226</v>
      </c>
      <c r="J491" s="191">
        <v>0.070443434</v>
      </c>
      <c r="K491" s="5"/>
      <c r="L491" s="5"/>
      <c r="M491" s="5"/>
      <c r="N491" s="5"/>
      <c r="O491" s="5"/>
      <c r="P491" s="5"/>
      <c r="Q491" s="5"/>
      <c r="R491" s="5"/>
      <c r="S491" s="5"/>
      <c r="T491" s="5"/>
      <c r="U491" s="5"/>
      <c r="V491" s="5"/>
      <c r="W491" s="5"/>
      <c r="X491" s="5"/>
      <c r="Y491" s="5"/>
      <c r="Z491" s="5"/>
    </row>
    <row r="492">
      <c r="A492" s="5" t="s">
        <v>371</v>
      </c>
      <c r="B492" s="5" t="s">
        <v>373</v>
      </c>
      <c r="C492" s="5" t="s">
        <v>76</v>
      </c>
      <c r="D492" s="5" t="s">
        <v>370</v>
      </c>
      <c r="E492" s="5" t="s">
        <v>77</v>
      </c>
      <c r="F492" s="5" t="s">
        <v>249</v>
      </c>
      <c r="G492" s="191">
        <v>2016.0</v>
      </c>
      <c r="H492" s="191">
        <v>0.019260343</v>
      </c>
      <c r="I492" s="191">
        <v>0.022341295</v>
      </c>
      <c r="J492" s="191">
        <v>0.016509274</v>
      </c>
      <c r="K492" s="5"/>
      <c r="L492" s="5"/>
      <c r="M492" s="5"/>
      <c r="N492" s="5"/>
      <c r="O492" s="5"/>
      <c r="P492" s="5"/>
      <c r="Q492" s="5"/>
      <c r="R492" s="5"/>
      <c r="S492" s="5"/>
      <c r="T492" s="5"/>
      <c r="U492" s="5"/>
      <c r="V492" s="5"/>
      <c r="W492" s="5"/>
      <c r="X492" s="5"/>
      <c r="Y492" s="5"/>
      <c r="Z492" s="5"/>
    </row>
    <row r="493">
      <c r="A493" s="5" t="s">
        <v>74</v>
      </c>
      <c r="B493" s="5" t="s">
        <v>14</v>
      </c>
      <c r="C493" s="5" t="s">
        <v>76</v>
      </c>
      <c r="D493" s="5" t="s">
        <v>369</v>
      </c>
      <c r="E493" s="5" t="s">
        <v>77</v>
      </c>
      <c r="F493" s="5" t="s">
        <v>249</v>
      </c>
      <c r="G493" s="191">
        <v>2016.0</v>
      </c>
      <c r="H493" s="191">
        <v>0.063434577</v>
      </c>
      <c r="I493" s="191">
        <v>0.098825497</v>
      </c>
      <c r="J493" s="191">
        <v>0.036982787</v>
      </c>
      <c r="K493" s="5"/>
      <c r="L493" s="5"/>
      <c r="M493" s="5"/>
      <c r="N493" s="5"/>
      <c r="O493" s="5"/>
      <c r="P493" s="5"/>
      <c r="Q493" s="5"/>
      <c r="R493" s="5"/>
      <c r="S493" s="5"/>
      <c r="T493" s="5"/>
      <c r="U493" s="5"/>
      <c r="V493" s="5"/>
      <c r="W493" s="5"/>
      <c r="X493" s="5"/>
      <c r="Y493" s="5"/>
      <c r="Z493" s="5"/>
    </row>
    <row r="494">
      <c r="A494" s="5" t="s">
        <v>74</v>
      </c>
      <c r="B494" s="5" t="s">
        <v>14</v>
      </c>
      <c r="C494" s="5" t="s">
        <v>76</v>
      </c>
      <c r="D494" s="5" t="s">
        <v>370</v>
      </c>
      <c r="E494" s="5" t="s">
        <v>77</v>
      </c>
      <c r="F494" s="5" t="s">
        <v>249</v>
      </c>
      <c r="G494" s="191">
        <v>2016.0</v>
      </c>
      <c r="H494" s="191">
        <v>0.054418343</v>
      </c>
      <c r="I494" s="191">
        <v>0.077532562</v>
      </c>
      <c r="J494" s="191">
        <v>0.037140677</v>
      </c>
      <c r="K494" s="5"/>
      <c r="L494" s="5"/>
      <c r="M494" s="5"/>
      <c r="N494" s="5"/>
      <c r="O494" s="5"/>
      <c r="P494" s="5"/>
      <c r="Q494" s="5"/>
      <c r="R494" s="5"/>
      <c r="S494" s="5"/>
      <c r="T494" s="5"/>
      <c r="U494" s="5"/>
      <c r="V494" s="5"/>
      <c r="W494" s="5"/>
      <c r="X494" s="5"/>
      <c r="Y494" s="5"/>
      <c r="Z494" s="5"/>
    </row>
    <row r="495">
      <c r="A495" s="5" t="s">
        <v>371</v>
      </c>
      <c r="B495" s="5" t="s">
        <v>14</v>
      </c>
      <c r="C495" s="5" t="s">
        <v>76</v>
      </c>
      <c r="D495" s="5" t="s">
        <v>369</v>
      </c>
      <c r="E495" s="5" t="s">
        <v>77</v>
      </c>
      <c r="F495" s="5" t="s">
        <v>249</v>
      </c>
      <c r="G495" s="191">
        <v>2016.0</v>
      </c>
      <c r="H495" s="191">
        <v>0.075732814</v>
      </c>
      <c r="I495" s="191">
        <v>0.095309379</v>
      </c>
      <c r="J495" s="191">
        <v>0.060317501</v>
      </c>
      <c r="K495" s="5"/>
      <c r="L495" s="5"/>
      <c r="M495" s="5"/>
      <c r="N495" s="5"/>
      <c r="O495" s="5"/>
      <c r="P495" s="5"/>
      <c r="Q495" s="5"/>
      <c r="R495" s="5"/>
      <c r="S495" s="5"/>
      <c r="T495" s="5"/>
      <c r="U495" s="5"/>
      <c r="V495" s="5"/>
      <c r="W495" s="5"/>
      <c r="X495" s="5"/>
      <c r="Y495" s="5"/>
      <c r="Z495" s="5"/>
    </row>
    <row r="496">
      <c r="A496" s="5" t="s">
        <v>371</v>
      </c>
      <c r="B496" s="5" t="s">
        <v>14</v>
      </c>
      <c r="C496" s="5" t="s">
        <v>76</v>
      </c>
      <c r="D496" s="5" t="s">
        <v>370</v>
      </c>
      <c r="E496" s="5" t="s">
        <v>77</v>
      </c>
      <c r="F496" s="5" t="s">
        <v>249</v>
      </c>
      <c r="G496" s="191">
        <v>2016.0</v>
      </c>
      <c r="H496" s="191">
        <v>0.020049929</v>
      </c>
      <c r="I496" s="191">
        <v>0.023188911</v>
      </c>
      <c r="J496" s="191">
        <v>0.017323145</v>
      </c>
      <c r="K496" s="5"/>
      <c r="L496" s="5"/>
      <c r="M496" s="5"/>
      <c r="N496" s="5"/>
      <c r="O496" s="5"/>
      <c r="P496" s="5"/>
      <c r="Q496" s="5"/>
      <c r="R496" s="5"/>
      <c r="S496" s="5"/>
      <c r="T496" s="5"/>
      <c r="U496" s="5"/>
      <c r="V496" s="5"/>
      <c r="W496" s="5"/>
      <c r="X496" s="5"/>
      <c r="Y496" s="5"/>
      <c r="Z496" s="5"/>
    </row>
    <row r="497">
      <c r="A497" s="5" t="s">
        <v>74</v>
      </c>
      <c r="B497" s="5" t="s">
        <v>374</v>
      </c>
      <c r="C497" s="5" t="s">
        <v>76</v>
      </c>
      <c r="D497" s="5" t="s">
        <v>369</v>
      </c>
      <c r="E497" s="5" t="s">
        <v>77</v>
      </c>
      <c r="F497" s="5" t="s">
        <v>249</v>
      </c>
      <c r="G497" s="191">
        <v>2016.0</v>
      </c>
      <c r="H497" s="191">
        <v>0.007841754</v>
      </c>
      <c r="I497" s="191">
        <v>0.009451285</v>
      </c>
      <c r="J497" s="191">
        <v>0.006524133</v>
      </c>
      <c r="K497" s="5"/>
      <c r="L497" s="5"/>
      <c r="M497" s="5"/>
      <c r="N497" s="5"/>
      <c r="O497" s="5"/>
      <c r="P497" s="5"/>
      <c r="Q497" s="5"/>
      <c r="R497" s="5"/>
      <c r="S497" s="5"/>
      <c r="T497" s="5"/>
      <c r="U497" s="5"/>
      <c r="V497" s="5"/>
      <c r="W497" s="5"/>
      <c r="X497" s="5"/>
      <c r="Y497" s="5"/>
      <c r="Z497" s="5"/>
    </row>
    <row r="498">
      <c r="A498" s="5" t="s">
        <v>74</v>
      </c>
      <c r="B498" s="5" t="s">
        <v>374</v>
      </c>
      <c r="C498" s="5" t="s">
        <v>76</v>
      </c>
      <c r="D498" s="5" t="s">
        <v>370</v>
      </c>
      <c r="E498" s="5" t="s">
        <v>77</v>
      </c>
      <c r="F498" s="5" t="s">
        <v>249</v>
      </c>
      <c r="G498" s="191">
        <v>2016.0</v>
      </c>
      <c r="H498" s="191">
        <v>9.4138E-4</v>
      </c>
      <c r="I498" s="191">
        <v>0.001152461</v>
      </c>
      <c r="J498" s="191">
        <v>7.79012E-4</v>
      </c>
      <c r="K498" s="5"/>
      <c r="L498" s="5"/>
      <c r="M498" s="5"/>
      <c r="N498" s="5"/>
      <c r="O498" s="5"/>
      <c r="P498" s="5"/>
      <c r="Q498" s="5"/>
      <c r="R498" s="5"/>
      <c r="S498" s="5"/>
      <c r="T498" s="5"/>
      <c r="U498" s="5"/>
      <c r="V498" s="5"/>
      <c r="W498" s="5"/>
      <c r="X498" s="5"/>
      <c r="Y498" s="5"/>
      <c r="Z498" s="5"/>
    </row>
    <row r="499">
      <c r="A499" s="5" t="s">
        <v>371</v>
      </c>
      <c r="B499" s="5" t="s">
        <v>374</v>
      </c>
      <c r="C499" s="5" t="s">
        <v>76</v>
      </c>
      <c r="D499" s="5" t="s">
        <v>369</v>
      </c>
      <c r="E499" s="5" t="s">
        <v>77</v>
      </c>
      <c r="F499" s="5" t="s">
        <v>249</v>
      </c>
      <c r="G499" s="191">
        <v>2016.0</v>
      </c>
      <c r="H499" s="191">
        <v>0.033565093</v>
      </c>
      <c r="I499" s="191">
        <v>0.045267987</v>
      </c>
      <c r="J499" s="191">
        <v>0.023993042</v>
      </c>
      <c r="K499" s="5"/>
      <c r="L499" s="5"/>
      <c r="M499" s="5"/>
      <c r="N499" s="5"/>
      <c r="O499" s="5"/>
      <c r="P499" s="5"/>
      <c r="Q499" s="5"/>
      <c r="R499" s="5"/>
      <c r="S499" s="5"/>
      <c r="T499" s="5"/>
      <c r="U499" s="5"/>
      <c r="V499" s="5"/>
      <c r="W499" s="5"/>
      <c r="X499" s="5"/>
      <c r="Y499" s="5"/>
      <c r="Z499" s="5"/>
    </row>
    <row r="500">
      <c r="A500" s="5" t="s">
        <v>371</v>
      </c>
      <c r="B500" s="5" t="s">
        <v>374</v>
      </c>
      <c r="C500" s="5" t="s">
        <v>76</v>
      </c>
      <c r="D500" s="5" t="s">
        <v>370</v>
      </c>
      <c r="E500" s="5" t="s">
        <v>77</v>
      </c>
      <c r="F500" s="5" t="s">
        <v>249</v>
      </c>
      <c r="G500" s="191">
        <v>2016.0</v>
      </c>
      <c r="H500" s="191">
        <v>0.014526193</v>
      </c>
      <c r="I500" s="191">
        <v>0.017251416</v>
      </c>
      <c r="J500" s="191">
        <v>0.012137861</v>
      </c>
      <c r="K500" s="5"/>
      <c r="L500" s="5"/>
      <c r="M500" s="5"/>
      <c r="N500" s="5"/>
      <c r="O500" s="5"/>
      <c r="P500" s="5"/>
      <c r="Q500" s="5"/>
      <c r="R500" s="5"/>
      <c r="S500" s="5"/>
      <c r="T500" s="5"/>
      <c r="U500" s="5"/>
      <c r="V500" s="5"/>
      <c r="W500" s="5"/>
      <c r="X500" s="5"/>
      <c r="Y500" s="5"/>
      <c r="Z500" s="5"/>
    </row>
    <row r="501">
      <c r="A501" s="5" t="s">
        <v>74</v>
      </c>
      <c r="B501" s="5" t="s">
        <v>375</v>
      </c>
      <c r="C501" s="5" t="s">
        <v>76</v>
      </c>
      <c r="D501" s="5" t="s">
        <v>369</v>
      </c>
      <c r="E501" s="5" t="s">
        <v>77</v>
      </c>
      <c r="F501" s="5" t="s">
        <v>249</v>
      </c>
      <c r="G501" s="191">
        <v>2016.0</v>
      </c>
      <c r="H501" s="191">
        <v>0.138224573</v>
      </c>
      <c r="I501" s="191">
        <v>0.186366419</v>
      </c>
      <c r="J501" s="191">
        <v>0.09729164</v>
      </c>
      <c r="K501" s="5"/>
      <c r="L501" s="5"/>
      <c r="M501" s="5"/>
      <c r="N501" s="5"/>
      <c r="O501" s="5"/>
      <c r="P501" s="5"/>
      <c r="Q501" s="5"/>
      <c r="R501" s="5"/>
      <c r="S501" s="5"/>
      <c r="T501" s="5"/>
      <c r="U501" s="5"/>
      <c r="V501" s="5"/>
      <c r="W501" s="5"/>
      <c r="X501" s="5"/>
      <c r="Y501" s="5"/>
      <c r="Z501" s="5"/>
    </row>
    <row r="502">
      <c r="A502" s="5" t="s">
        <v>74</v>
      </c>
      <c r="B502" s="5" t="s">
        <v>375</v>
      </c>
      <c r="C502" s="5" t="s">
        <v>76</v>
      </c>
      <c r="D502" s="5" t="s">
        <v>370</v>
      </c>
      <c r="E502" s="5" t="s">
        <v>77</v>
      </c>
      <c r="F502" s="5" t="s">
        <v>249</v>
      </c>
      <c r="G502" s="191">
        <v>2016.0</v>
      </c>
      <c r="H502" s="191">
        <v>0.07022123</v>
      </c>
      <c r="I502" s="191">
        <v>0.093020592</v>
      </c>
      <c r="J502" s="191">
        <v>0.051604453</v>
      </c>
      <c r="K502" s="5"/>
      <c r="L502" s="5"/>
      <c r="M502" s="5"/>
      <c r="N502" s="5"/>
      <c r="O502" s="5"/>
      <c r="P502" s="5"/>
      <c r="Q502" s="5"/>
      <c r="R502" s="5"/>
      <c r="S502" s="5"/>
      <c r="T502" s="5"/>
      <c r="U502" s="5"/>
      <c r="V502" s="5"/>
      <c r="W502" s="5"/>
      <c r="X502" s="5"/>
      <c r="Y502" s="5"/>
      <c r="Z502" s="5"/>
    </row>
    <row r="503">
      <c r="A503" s="5" t="s">
        <v>371</v>
      </c>
      <c r="B503" s="5" t="s">
        <v>375</v>
      </c>
      <c r="C503" s="5" t="s">
        <v>76</v>
      </c>
      <c r="D503" s="5" t="s">
        <v>369</v>
      </c>
      <c r="E503" s="5" t="s">
        <v>77</v>
      </c>
      <c r="F503" s="5" t="s">
        <v>249</v>
      </c>
      <c r="G503" s="191">
        <v>2016.0</v>
      </c>
      <c r="H503" s="191">
        <v>0.06519853</v>
      </c>
      <c r="I503" s="191">
        <v>0.082746104</v>
      </c>
      <c r="J503" s="191">
        <v>0.050441925</v>
      </c>
      <c r="K503" s="5"/>
      <c r="L503" s="5"/>
      <c r="M503" s="5"/>
      <c r="N503" s="5"/>
      <c r="O503" s="5"/>
      <c r="P503" s="5"/>
      <c r="Q503" s="5"/>
      <c r="R503" s="5"/>
      <c r="S503" s="5"/>
      <c r="T503" s="5"/>
      <c r="U503" s="5"/>
      <c r="V503" s="5"/>
      <c r="W503" s="5"/>
      <c r="X503" s="5"/>
      <c r="Y503" s="5"/>
      <c r="Z503" s="5"/>
    </row>
    <row r="504">
      <c r="A504" s="5" t="s">
        <v>371</v>
      </c>
      <c r="B504" s="5" t="s">
        <v>375</v>
      </c>
      <c r="C504" s="5" t="s">
        <v>76</v>
      </c>
      <c r="D504" s="5" t="s">
        <v>370</v>
      </c>
      <c r="E504" s="5" t="s">
        <v>77</v>
      </c>
      <c r="F504" s="5" t="s">
        <v>249</v>
      </c>
      <c r="G504" s="191">
        <v>2016.0</v>
      </c>
      <c r="H504" s="191">
        <v>0.020425102</v>
      </c>
      <c r="I504" s="191">
        <v>0.023509994</v>
      </c>
      <c r="J504" s="191">
        <v>0.017406767</v>
      </c>
      <c r="K504" s="5"/>
      <c r="L504" s="5"/>
      <c r="M504" s="5"/>
      <c r="N504" s="5"/>
      <c r="O504" s="5"/>
      <c r="P504" s="5"/>
      <c r="Q504" s="5"/>
      <c r="R504" s="5"/>
      <c r="S504" s="5"/>
      <c r="T504" s="5"/>
      <c r="U504" s="5"/>
      <c r="V504" s="5"/>
      <c r="W504" s="5"/>
      <c r="X504" s="5"/>
      <c r="Y504" s="5"/>
      <c r="Z504" s="5"/>
    </row>
    <row r="505">
      <c r="A505" s="5" t="s">
        <v>74</v>
      </c>
      <c r="B505" s="5" t="s">
        <v>365</v>
      </c>
      <c r="C505" s="5" t="s">
        <v>76</v>
      </c>
      <c r="D505" s="5" t="s">
        <v>369</v>
      </c>
      <c r="E505" s="5" t="s">
        <v>77</v>
      </c>
      <c r="F505" s="5" t="s">
        <v>249</v>
      </c>
      <c r="G505" s="191">
        <v>2016.0</v>
      </c>
      <c r="H505" s="191">
        <v>0.055037272</v>
      </c>
      <c r="I505" s="191">
        <v>0.096913652</v>
      </c>
      <c r="J505" s="191">
        <v>0.030695065</v>
      </c>
      <c r="K505" s="5"/>
      <c r="L505" s="5"/>
      <c r="M505" s="5"/>
      <c r="N505" s="5"/>
      <c r="O505" s="5"/>
      <c r="P505" s="5"/>
      <c r="Q505" s="5"/>
      <c r="R505" s="5"/>
      <c r="S505" s="5"/>
      <c r="T505" s="5"/>
      <c r="U505" s="5"/>
      <c r="V505" s="5"/>
      <c r="W505" s="5"/>
      <c r="X505" s="5"/>
      <c r="Y505" s="5"/>
      <c r="Z505" s="5"/>
    </row>
    <row r="506">
      <c r="A506" s="5" t="s">
        <v>74</v>
      </c>
      <c r="B506" s="5" t="s">
        <v>365</v>
      </c>
      <c r="C506" s="5" t="s">
        <v>76</v>
      </c>
      <c r="D506" s="5" t="s">
        <v>370</v>
      </c>
      <c r="E506" s="5" t="s">
        <v>77</v>
      </c>
      <c r="F506" s="5" t="s">
        <v>249</v>
      </c>
      <c r="G506" s="191">
        <v>2016.0</v>
      </c>
      <c r="H506" s="191">
        <v>0.039743121</v>
      </c>
      <c r="I506" s="191">
        <v>0.054031654</v>
      </c>
      <c r="J506" s="191">
        <v>0.023887746</v>
      </c>
      <c r="K506" s="5"/>
      <c r="L506" s="5"/>
      <c r="M506" s="5"/>
      <c r="N506" s="5"/>
      <c r="O506" s="5"/>
      <c r="P506" s="5"/>
      <c r="Q506" s="5"/>
      <c r="R506" s="5"/>
      <c r="S506" s="5"/>
      <c r="T506" s="5"/>
      <c r="U506" s="5"/>
      <c r="V506" s="5"/>
      <c r="W506" s="5"/>
      <c r="X506" s="5"/>
      <c r="Y506" s="5"/>
      <c r="Z506" s="5"/>
    </row>
    <row r="507">
      <c r="A507" s="5" t="s">
        <v>371</v>
      </c>
      <c r="B507" s="5" t="s">
        <v>365</v>
      </c>
      <c r="C507" s="5" t="s">
        <v>76</v>
      </c>
      <c r="D507" s="5" t="s">
        <v>369</v>
      </c>
      <c r="E507" s="5" t="s">
        <v>77</v>
      </c>
      <c r="F507" s="5" t="s">
        <v>249</v>
      </c>
      <c r="G507" s="191">
        <v>2016.0</v>
      </c>
      <c r="H507" s="191">
        <v>0.097858504</v>
      </c>
      <c r="I507" s="191">
        <v>0.122122072</v>
      </c>
      <c r="J507" s="191">
        <v>0.075958272</v>
      </c>
      <c r="K507" s="5"/>
      <c r="L507" s="5"/>
      <c r="M507" s="5"/>
      <c r="N507" s="5"/>
      <c r="O507" s="5"/>
      <c r="P507" s="5"/>
      <c r="Q507" s="5"/>
      <c r="R507" s="5"/>
      <c r="S507" s="5"/>
      <c r="T507" s="5"/>
      <c r="U507" s="5"/>
      <c r="V507" s="5"/>
      <c r="W507" s="5"/>
      <c r="X507" s="5"/>
      <c r="Y507" s="5"/>
      <c r="Z507" s="5"/>
    </row>
    <row r="508">
      <c r="A508" s="5" t="s">
        <v>371</v>
      </c>
      <c r="B508" s="5" t="s">
        <v>365</v>
      </c>
      <c r="C508" s="5" t="s">
        <v>76</v>
      </c>
      <c r="D508" s="5" t="s">
        <v>370</v>
      </c>
      <c r="E508" s="5" t="s">
        <v>77</v>
      </c>
      <c r="F508" s="5" t="s">
        <v>249</v>
      </c>
      <c r="G508" s="191">
        <v>2016.0</v>
      </c>
      <c r="H508" s="191">
        <v>0.023621725</v>
      </c>
      <c r="I508" s="191">
        <v>0.027132305</v>
      </c>
      <c r="J508" s="191">
        <v>0.0205038</v>
      </c>
      <c r="K508" s="5"/>
      <c r="L508" s="5"/>
      <c r="M508" s="5"/>
      <c r="N508" s="5"/>
      <c r="O508" s="5"/>
      <c r="P508" s="5"/>
      <c r="Q508" s="5"/>
      <c r="R508" s="5"/>
      <c r="S508" s="5"/>
      <c r="T508" s="5"/>
      <c r="U508" s="5"/>
      <c r="V508" s="5"/>
      <c r="W508" s="5"/>
      <c r="X508" s="5"/>
      <c r="Y508" s="5"/>
      <c r="Z508" s="5"/>
    </row>
    <row r="509">
      <c r="A509" s="5" t="s">
        <v>74</v>
      </c>
      <c r="B509" s="5" t="s">
        <v>362</v>
      </c>
      <c r="C509" s="5" t="s">
        <v>76</v>
      </c>
      <c r="D509" s="5" t="s">
        <v>369</v>
      </c>
      <c r="E509" s="5" t="s">
        <v>77</v>
      </c>
      <c r="F509" s="5" t="s">
        <v>249</v>
      </c>
      <c r="G509" s="191">
        <v>2019.0</v>
      </c>
      <c r="H509" s="191">
        <v>0.052212647</v>
      </c>
      <c r="I509" s="191">
        <v>0.075795113</v>
      </c>
      <c r="J509" s="191">
        <v>0.033331869</v>
      </c>
      <c r="K509" s="5"/>
      <c r="L509" s="5"/>
      <c r="M509" s="5"/>
      <c r="N509" s="5"/>
      <c r="O509" s="5"/>
      <c r="P509" s="5"/>
      <c r="Q509" s="5"/>
      <c r="R509" s="5"/>
      <c r="S509" s="5"/>
      <c r="T509" s="5"/>
      <c r="U509" s="5"/>
      <c r="V509" s="5"/>
      <c r="W509" s="5"/>
      <c r="X509" s="5"/>
      <c r="Y509" s="5"/>
      <c r="Z509" s="5"/>
    </row>
    <row r="510">
      <c r="A510" s="5" t="s">
        <v>74</v>
      </c>
      <c r="B510" s="5" t="s">
        <v>362</v>
      </c>
      <c r="C510" s="5" t="s">
        <v>76</v>
      </c>
      <c r="D510" s="5" t="s">
        <v>370</v>
      </c>
      <c r="E510" s="5" t="s">
        <v>77</v>
      </c>
      <c r="F510" s="5" t="s">
        <v>249</v>
      </c>
      <c r="G510" s="191">
        <v>2019.0</v>
      </c>
      <c r="H510" s="191">
        <v>0.048876008</v>
      </c>
      <c r="I510" s="191">
        <v>0.096562704</v>
      </c>
      <c r="J510" s="191">
        <v>0.026642871</v>
      </c>
      <c r="K510" s="5"/>
      <c r="L510" s="5"/>
      <c r="M510" s="5"/>
      <c r="N510" s="5"/>
      <c r="O510" s="5"/>
      <c r="P510" s="5"/>
      <c r="Q510" s="5"/>
      <c r="R510" s="5"/>
      <c r="S510" s="5"/>
      <c r="T510" s="5"/>
      <c r="U510" s="5"/>
      <c r="V510" s="5"/>
      <c r="W510" s="5"/>
      <c r="X510" s="5"/>
      <c r="Y510" s="5"/>
      <c r="Z510" s="5"/>
    </row>
    <row r="511">
      <c r="A511" s="5" t="s">
        <v>371</v>
      </c>
      <c r="B511" s="5" t="s">
        <v>362</v>
      </c>
      <c r="C511" s="5" t="s">
        <v>76</v>
      </c>
      <c r="D511" s="5" t="s">
        <v>369</v>
      </c>
      <c r="E511" s="5" t="s">
        <v>77</v>
      </c>
      <c r="F511" s="5" t="s">
        <v>249</v>
      </c>
      <c r="G511" s="191">
        <v>2019.0</v>
      </c>
      <c r="H511" s="191">
        <v>0.043804082</v>
      </c>
      <c r="I511" s="191">
        <v>0.056728013</v>
      </c>
      <c r="J511" s="191">
        <v>0.032280259</v>
      </c>
      <c r="K511" s="5"/>
      <c r="L511" s="5"/>
      <c r="M511" s="5"/>
      <c r="N511" s="5"/>
      <c r="O511" s="5"/>
      <c r="P511" s="5"/>
      <c r="Q511" s="5"/>
      <c r="R511" s="5"/>
      <c r="S511" s="5"/>
      <c r="T511" s="5"/>
      <c r="U511" s="5"/>
      <c r="V511" s="5"/>
      <c r="W511" s="5"/>
      <c r="X511" s="5"/>
      <c r="Y511" s="5"/>
      <c r="Z511" s="5"/>
    </row>
    <row r="512">
      <c r="A512" s="5" t="s">
        <v>371</v>
      </c>
      <c r="B512" s="5" t="s">
        <v>362</v>
      </c>
      <c r="C512" s="5" t="s">
        <v>76</v>
      </c>
      <c r="D512" s="5" t="s">
        <v>370</v>
      </c>
      <c r="E512" s="5" t="s">
        <v>77</v>
      </c>
      <c r="F512" s="5" t="s">
        <v>249</v>
      </c>
      <c r="G512" s="191">
        <v>2019.0</v>
      </c>
      <c r="H512" s="191">
        <v>0.020518637</v>
      </c>
      <c r="I512" s="191">
        <v>0.024005607</v>
      </c>
      <c r="J512" s="191">
        <v>0.017531193</v>
      </c>
      <c r="K512" s="5"/>
      <c r="L512" s="5"/>
      <c r="M512" s="5"/>
      <c r="N512" s="5"/>
      <c r="O512" s="5"/>
      <c r="P512" s="5"/>
      <c r="Q512" s="5"/>
      <c r="R512" s="5"/>
      <c r="S512" s="5"/>
      <c r="T512" s="5"/>
      <c r="U512" s="5"/>
      <c r="V512" s="5"/>
      <c r="W512" s="5"/>
      <c r="X512" s="5"/>
      <c r="Y512" s="5"/>
      <c r="Z512" s="5"/>
    </row>
    <row r="513">
      <c r="A513" s="5" t="s">
        <v>74</v>
      </c>
      <c r="B513" s="5" t="s">
        <v>358</v>
      </c>
      <c r="C513" s="5" t="s">
        <v>76</v>
      </c>
      <c r="D513" s="5" t="s">
        <v>369</v>
      </c>
      <c r="E513" s="5" t="s">
        <v>77</v>
      </c>
      <c r="F513" s="5" t="s">
        <v>249</v>
      </c>
      <c r="G513" s="191">
        <v>2019.0</v>
      </c>
      <c r="H513" s="191">
        <v>0.110346134</v>
      </c>
      <c r="I513" s="191">
        <v>0.133551744</v>
      </c>
      <c r="J513" s="191">
        <v>0.091411077</v>
      </c>
      <c r="K513" s="5"/>
      <c r="L513" s="5"/>
      <c r="M513" s="5"/>
      <c r="N513" s="5"/>
      <c r="O513" s="5"/>
      <c r="P513" s="5"/>
      <c r="Q513" s="5"/>
      <c r="R513" s="5"/>
      <c r="S513" s="5"/>
      <c r="T513" s="5"/>
      <c r="U513" s="5"/>
      <c r="V513" s="5"/>
      <c r="W513" s="5"/>
      <c r="X513" s="5"/>
      <c r="Y513" s="5"/>
      <c r="Z513" s="5"/>
    </row>
    <row r="514">
      <c r="A514" s="5" t="s">
        <v>74</v>
      </c>
      <c r="B514" s="5" t="s">
        <v>358</v>
      </c>
      <c r="C514" s="5" t="s">
        <v>76</v>
      </c>
      <c r="D514" s="5" t="s">
        <v>370</v>
      </c>
      <c r="E514" s="5" t="s">
        <v>77</v>
      </c>
      <c r="F514" s="5" t="s">
        <v>249</v>
      </c>
      <c r="G514" s="191">
        <v>2019.0</v>
      </c>
      <c r="H514" s="191">
        <v>0.03104269</v>
      </c>
      <c r="I514" s="191">
        <v>0.03431454</v>
      </c>
      <c r="J514" s="191">
        <v>0.028129454</v>
      </c>
      <c r="K514" s="5"/>
      <c r="L514" s="5"/>
      <c r="M514" s="5"/>
      <c r="N514" s="5"/>
      <c r="O514" s="5"/>
      <c r="P514" s="5"/>
      <c r="Q514" s="5"/>
      <c r="R514" s="5"/>
      <c r="S514" s="5"/>
      <c r="T514" s="5"/>
      <c r="U514" s="5"/>
      <c r="V514" s="5"/>
      <c r="W514" s="5"/>
      <c r="X514" s="5"/>
      <c r="Y514" s="5"/>
      <c r="Z514" s="5"/>
    </row>
    <row r="515">
      <c r="A515" s="5" t="s">
        <v>371</v>
      </c>
      <c r="B515" s="5" t="s">
        <v>358</v>
      </c>
      <c r="C515" s="5" t="s">
        <v>76</v>
      </c>
      <c r="D515" s="5" t="s">
        <v>369</v>
      </c>
      <c r="E515" s="5" t="s">
        <v>77</v>
      </c>
      <c r="F515" s="5" t="s">
        <v>249</v>
      </c>
      <c r="G515" s="191">
        <v>2019.0</v>
      </c>
      <c r="H515" s="191">
        <v>0.091934991</v>
      </c>
      <c r="I515" s="191">
        <v>0.116780355</v>
      </c>
      <c r="J515" s="191">
        <v>0.069889209</v>
      </c>
      <c r="K515" s="5"/>
      <c r="L515" s="5"/>
      <c r="M515" s="5"/>
      <c r="N515" s="5"/>
      <c r="O515" s="5"/>
      <c r="P515" s="5"/>
      <c r="Q515" s="5"/>
      <c r="R515" s="5"/>
      <c r="S515" s="5"/>
      <c r="T515" s="5"/>
      <c r="U515" s="5"/>
      <c r="V515" s="5"/>
      <c r="W515" s="5"/>
      <c r="X515" s="5"/>
      <c r="Y515" s="5"/>
      <c r="Z515" s="5"/>
    </row>
    <row r="516">
      <c r="A516" s="5" t="s">
        <v>371</v>
      </c>
      <c r="B516" s="5" t="s">
        <v>358</v>
      </c>
      <c r="C516" s="5" t="s">
        <v>76</v>
      </c>
      <c r="D516" s="5" t="s">
        <v>370</v>
      </c>
      <c r="E516" s="5" t="s">
        <v>77</v>
      </c>
      <c r="F516" s="5" t="s">
        <v>249</v>
      </c>
      <c r="G516" s="191">
        <v>2019.0</v>
      </c>
      <c r="H516" s="191">
        <v>0.016582947</v>
      </c>
      <c r="I516" s="191">
        <v>0.019271417</v>
      </c>
      <c r="J516" s="191">
        <v>0.014282738</v>
      </c>
      <c r="K516" s="5"/>
      <c r="L516" s="5"/>
      <c r="M516" s="5"/>
      <c r="N516" s="5"/>
      <c r="O516" s="5"/>
      <c r="P516" s="5"/>
      <c r="Q516" s="5"/>
      <c r="R516" s="5"/>
      <c r="S516" s="5"/>
      <c r="T516" s="5"/>
      <c r="U516" s="5"/>
      <c r="V516" s="5"/>
      <c r="W516" s="5"/>
      <c r="X516" s="5"/>
      <c r="Y516" s="5"/>
      <c r="Z516" s="5"/>
    </row>
    <row r="517">
      <c r="A517" s="5" t="s">
        <v>74</v>
      </c>
      <c r="B517" s="5" t="s">
        <v>360</v>
      </c>
      <c r="C517" s="5" t="s">
        <v>76</v>
      </c>
      <c r="D517" s="5" t="s">
        <v>369</v>
      </c>
      <c r="E517" s="5" t="s">
        <v>77</v>
      </c>
      <c r="F517" s="5" t="s">
        <v>249</v>
      </c>
      <c r="G517" s="191">
        <v>2019.0</v>
      </c>
      <c r="H517" s="191">
        <v>0.076486187</v>
      </c>
      <c r="I517" s="191">
        <v>0.092748802</v>
      </c>
      <c r="J517" s="191">
        <v>0.062021941</v>
      </c>
      <c r="K517" s="5"/>
      <c r="L517" s="5"/>
      <c r="M517" s="5"/>
      <c r="N517" s="5"/>
      <c r="O517" s="5"/>
      <c r="P517" s="5"/>
      <c r="Q517" s="5"/>
      <c r="R517" s="5"/>
      <c r="S517" s="5"/>
      <c r="T517" s="5"/>
      <c r="U517" s="5"/>
      <c r="V517" s="5"/>
      <c r="W517" s="5"/>
      <c r="X517" s="5"/>
      <c r="Y517" s="5"/>
      <c r="Z517" s="5"/>
    </row>
    <row r="518">
      <c r="A518" s="5" t="s">
        <v>74</v>
      </c>
      <c r="B518" s="5" t="s">
        <v>360</v>
      </c>
      <c r="C518" s="5" t="s">
        <v>76</v>
      </c>
      <c r="D518" s="5" t="s">
        <v>370</v>
      </c>
      <c r="E518" s="5" t="s">
        <v>77</v>
      </c>
      <c r="F518" s="5" t="s">
        <v>249</v>
      </c>
      <c r="G518" s="191">
        <v>2019.0</v>
      </c>
      <c r="H518" s="191">
        <v>0.07472277</v>
      </c>
      <c r="I518" s="191">
        <v>0.120476949</v>
      </c>
      <c r="J518" s="191">
        <v>0.046605372</v>
      </c>
      <c r="K518" s="5"/>
      <c r="L518" s="5"/>
      <c r="M518" s="5"/>
      <c r="N518" s="5"/>
      <c r="O518" s="5"/>
      <c r="P518" s="5"/>
      <c r="Q518" s="5"/>
      <c r="R518" s="5"/>
      <c r="S518" s="5"/>
      <c r="T518" s="5"/>
      <c r="U518" s="5"/>
      <c r="V518" s="5"/>
      <c r="W518" s="5"/>
      <c r="X518" s="5"/>
      <c r="Y518" s="5"/>
      <c r="Z518" s="5"/>
    </row>
    <row r="519">
      <c r="A519" s="5" t="s">
        <v>371</v>
      </c>
      <c r="B519" s="5" t="s">
        <v>360</v>
      </c>
      <c r="C519" s="5" t="s">
        <v>76</v>
      </c>
      <c r="D519" s="5" t="s">
        <v>369</v>
      </c>
      <c r="E519" s="5" t="s">
        <v>77</v>
      </c>
      <c r="F519" s="5" t="s">
        <v>249</v>
      </c>
      <c r="G519" s="191">
        <v>2019.0</v>
      </c>
      <c r="H519" s="191">
        <v>0.02801721</v>
      </c>
      <c r="I519" s="191">
        <v>0.036408515</v>
      </c>
      <c r="J519" s="191">
        <v>0.021081799</v>
      </c>
      <c r="K519" s="5"/>
      <c r="L519" s="5"/>
      <c r="M519" s="5"/>
      <c r="N519" s="5"/>
      <c r="O519" s="5"/>
      <c r="P519" s="5"/>
      <c r="Q519" s="5"/>
      <c r="R519" s="5"/>
      <c r="S519" s="5"/>
      <c r="T519" s="5"/>
      <c r="U519" s="5"/>
      <c r="V519" s="5"/>
      <c r="W519" s="5"/>
      <c r="X519" s="5"/>
      <c r="Y519" s="5"/>
      <c r="Z519" s="5"/>
    </row>
    <row r="520">
      <c r="A520" s="5" t="s">
        <v>371</v>
      </c>
      <c r="B520" s="5" t="s">
        <v>360</v>
      </c>
      <c r="C520" s="5" t="s">
        <v>76</v>
      </c>
      <c r="D520" s="5" t="s">
        <v>370</v>
      </c>
      <c r="E520" s="5" t="s">
        <v>77</v>
      </c>
      <c r="F520" s="5" t="s">
        <v>249</v>
      </c>
      <c r="G520" s="191">
        <v>2019.0</v>
      </c>
      <c r="H520" s="191">
        <v>0.017499559</v>
      </c>
      <c r="I520" s="191">
        <v>0.020146983</v>
      </c>
      <c r="J520" s="191">
        <v>0.015206833</v>
      </c>
      <c r="K520" s="5"/>
      <c r="L520" s="5"/>
      <c r="M520" s="5"/>
      <c r="N520" s="5"/>
      <c r="O520" s="5"/>
      <c r="P520" s="5"/>
      <c r="Q520" s="5"/>
      <c r="R520" s="5"/>
      <c r="S520" s="5"/>
      <c r="T520" s="5"/>
      <c r="U520" s="5"/>
      <c r="V520" s="5"/>
      <c r="W520" s="5"/>
      <c r="X520" s="5"/>
      <c r="Y520" s="5"/>
      <c r="Z520" s="5"/>
    </row>
    <row r="521">
      <c r="A521" s="5" t="s">
        <v>74</v>
      </c>
      <c r="B521" s="5" t="s">
        <v>11</v>
      </c>
      <c r="C521" s="5" t="s">
        <v>76</v>
      </c>
      <c r="D521" s="5" t="s">
        <v>369</v>
      </c>
      <c r="E521" s="5" t="s">
        <v>77</v>
      </c>
      <c r="F521" s="5" t="s">
        <v>249</v>
      </c>
      <c r="G521" s="191">
        <v>2019.0</v>
      </c>
      <c r="H521" s="191">
        <v>0.1734761</v>
      </c>
      <c r="I521" s="191">
        <v>0.215723008</v>
      </c>
      <c r="J521" s="191">
        <v>0.119613401</v>
      </c>
      <c r="K521" s="5"/>
      <c r="L521" s="5"/>
      <c r="M521" s="5"/>
      <c r="N521" s="5"/>
      <c r="O521" s="5"/>
      <c r="P521" s="5"/>
      <c r="Q521" s="5"/>
      <c r="R521" s="5"/>
      <c r="S521" s="5"/>
      <c r="T521" s="5"/>
      <c r="U521" s="5"/>
      <c r="V521" s="5"/>
      <c r="W521" s="5"/>
      <c r="X521" s="5"/>
      <c r="Y521" s="5"/>
      <c r="Z521" s="5"/>
    </row>
    <row r="522">
      <c r="A522" s="5" t="s">
        <v>74</v>
      </c>
      <c r="B522" s="5" t="s">
        <v>11</v>
      </c>
      <c r="C522" s="5" t="s">
        <v>76</v>
      </c>
      <c r="D522" s="5" t="s">
        <v>370</v>
      </c>
      <c r="E522" s="5" t="s">
        <v>77</v>
      </c>
      <c r="F522" s="5" t="s">
        <v>249</v>
      </c>
      <c r="G522" s="191">
        <v>2019.0</v>
      </c>
      <c r="H522" s="191">
        <v>0.076547203</v>
      </c>
      <c r="I522" s="191">
        <v>0.104580723</v>
      </c>
      <c r="J522" s="191">
        <v>0.056694169</v>
      </c>
      <c r="K522" s="5"/>
      <c r="L522" s="5"/>
      <c r="M522" s="5"/>
      <c r="N522" s="5"/>
      <c r="O522" s="5"/>
      <c r="P522" s="5"/>
      <c r="Q522" s="5"/>
      <c r="R522" s="5"/>
      <c r="S522" s="5"/>
      <c r="T522" s="5"/>
      <c r="U522" s="5"/>
      <c r="V522" s="5"/>
      <c r="W522" s="5"/>
      <c r="X522" s="5"/>
      <c r="Y522" s="5"/>
      <c r="Z522" s="5"/>
    </row>
    <row r="523">
      <c r="A523" s="5" t="s">
        <v>371</v>
      </c>
      <c r="B523" s="5" t="s">
        <v>11</v>
      </c>
      <c r="C523" s="5" t="s">
        <v>76</v>
      </c>
      <c r="D523" s="5" t="s">
        <v>369</v>
      </c>
      <c r="E523" s="5" t="s">
        <v>77</v>
      </c>
      <c r="F523" s="5" t="s">
        <v>249</v>
      </c>
      <c r="G523" s="191">
        <v>2019.0</v>
      </c>
      <c r="H523" s="191">
        <v>0.077351308</v>
      </c>
      <c r="I523" s="191">
        <v>0.098343831</v>
      </c>
      <c r="J523" s="191">
        <v>0.060979035</v>
      </c>
      <c r="K523" s="5"/>
      <c r="L523" s="5"/>
      <c r="M523" s="5"/>
      <c r="N523" s="5"/>
      <c r="O523" s="5"/>
      <c r="P523" s="5"/>
      <c r="Q523" s="5"/>
      <c r="R523" s="5"/>
      <c r="S523" s="5"/>
      <c r="T523" s="5"/>
      <c r="U523" s="5"/>
      <c r="V523" s="5"/>
      <c r="W523" s="5"/>
      <c r="X523" s="5"/>
      <c r="Y523" s="5"/>
      <c r="Z523" s="5"/>
    </row>
    <row r="524">
      <c r="A524" s="5" t="s">
        <v>371</v>
      </c>
      <c r="B524" s="5" t="s">
        <v>11</v>
      </c>
      <c r="C524" s="5" t="s">
        <v>76</v>
      </c>
      <c r="D524" s="5" t="s">
        <v>370</v>
      </c>
      <c r="E524" s="5" t="s">
        <v>77</v>
      </c>
      <c r="F524" s="5" t="s">
        <v>249</v>
      </c>
      <c r="G524" s="191">
        <v>2019.0</v>
      </c>
      <c r="H524" s="191">
        <v>0.020504013</v>
      </c>
      <c r="I524" s="191">
        <v>0.0238379</v>
      </c>
      <c r="J524" s="191">
        <v>0.017826096</v>
      </c>
      <c r="K524" s="5"/>
      <c r="L524" s="5"/>
      <c r="M524" s="5"/>
      <c r="N524" s="5"/>
      <c r="O524" s="5"/>
      <c r="P524" s="5"/>
      <c r="Q524" s="5"/>
      <c r="R524" s="5"/>
      <c r="S524" s="5"/>
      <c r="T524" s="5"/>
      <c r="U524" s="5"/>
      <c r="V524" s="5"/>
      <c r="W524" s="5"/>
      <c r="X524" s="5"/>
      <c r="Y524" s="5"/>
      <c r="Z524" s="5"/>
    </row>
    <row r="525">
      <c r="A525" s="5" t="s">
        <v>74</v>
      </c>
      <c r="B525" s="5" t="s">
        <v>15</v>
      </c>
      <c r="C525" s="5" t="s">
        <v>76</v>
      </c>
      <c r="D525" s="5" t="s">
        <v>369</v>
      </c>
      <c r="E525" s="5" t="s">
        <v>77</v>
      </c>
      <c r="F525" s="5" t="s">
        <v>249</v>
      </c>
      <c r="G525" s="191">
        <v>2019.0</v>
      </c>
      <c r="H525" s="191">
        <v>0.102833419</v>
      </c>
      <c r="I525" s="191">
        <v>0.145524702</v>
      </c>
      <c r="J525" s="191">
        <v>0.068838742</v>
      </c>
      <c r="K525" s="5"/>
      <c r="L525" s="5"/>
      <c r="M525" s="5"/>
      <c r="N525" s="5"/>
      <c r="O525" s="5"/>
      <c r="P525" s="5"/>
      <c r="Q525" s="5"/>
      <c r="R525" s="5"/>
      <c r="S525" s="5"/>
      <c r="T525" s="5"/>
      <c r="U525" s="5"/>
      <c r="V525" s="5"/>
      <c r="W525" s="5"/>
      <c r="X525" s="5"/>
      <c r="Y525" s="5"/>
      <c r="Z525" s="5"/>
    </row>
    <row r="526">
      <c r="A526" s="5" t="s">
        <v>74</v>
      </c>
      <c r="B526" s="5" t="s">
        <v>15</v>
      </c>
      <c r="C526" s="5" t="s">
        <v>76</v>
      </c>
      <c r="D526" s="5" t="s">
        <v>370</v>
      </c>
      <c r="E526" s="5" t="s">
        <v>77</v>
      </c>
      <c r="F526" s="5" t="s">
        <v>249</v>
      </c>
      <c r="G526" s="191">
        <v>2019.0</v>
      </c>
      <c r="H526" s="191">
        <v>0.072997811</v>
      </c>
      <c r="I526" s="191">
        <v>0.099726968</v>
      </c>
      <c r="J526" s="191">
        <v>0.05077567</v>
      </c>
      <c r="K526" s="5"/>
      <c r="L526" s="5"/>
      <c r="M526" s="5"/>
      <c r="N526" s="5"/>
      <c r="O526" s="5"/>
      <c r="P526" s="5"/>
      <c r="Q526" s="5"/>
      <c r="R526" s="5"/>
      <c r="S526" s="5"/>
      <c r="T526" s="5"/>
      <c r="U526" s="5"/>
      <c r="V526" s="5"/>
      <c r="W526" s="5"/>
      <c r="X526" s="5"/>
      <c r="Y526" s="5"/>
      <c r="Z526" s="5"/>
    </row>
    <row r="527">
      <c r="A527" s="5" t="s">
        <v>371</v>
      </c>
      <c r="B527" s="5" t="s">
        <v>15</v>
      </c>
      <c r="C527" s="5" t="s">
        <v>76</v>
      </c>
      <c r="D527" s="5" t="s">
        <v>369</v>
      </c>
      <c r="E527" s="5" t="s">
        <v>77</v>
      </c>
      <c r="F527" s="5" t="s">
        <v>249</v>
      </c>
      <c r="G527" s="191">
        <v>2019.0</v>
      </c>
      <c r="H527" s="191">
        <v>0.087861418</v>
      </c>
      <c r="I527" s="191">
        <v>0.111695748</v>
      </c>
      <c r="J527" s="191">
        <v>0.066617815</v>
      </c>
      <c r="K527" s="5"/>
      <c r="L527" s="5"/>
      <c r="M527" s="5"/>
      <c r="N527" s="5"/>
      <c r="O527" s="5"/>
      <c r="P527" s="5"/>
      <c r="Q527" s="5"/>
      <c r="R527" s="5"/>
      <c r="S527" s="5"/>
      <c r="T527" s="5"/>
      <c r="U527" s="5"/>
      <c r="V527" s="5"/>
      <c r="W527" s="5"/>
      <c r="X527" s="5"/>
      <c r="Y527" s="5"/>
      <c r="Z527" s="5"/>
    </row>
    <row r="528">
      <c r="A528" s="5" t="s">
        <v>371</v>
      </c>
      <c r="B528" s="5" t="s">
        <v>15</v>
      </c>
      <c r="C528" s="5" t="s">
        <v>76</v>
      </c>
      <c r="D528" s="5" t="s">
        <v>370</v>
      </c>
      <c r="E528" s="5" t="s">
        <v>77</v>
      </c>
      <c r="F528" s="5" t="s">
        <v>249</v>
      </c>
      <c r="G528" s="191">
        <v>2019.0</v>
      </c>
      <c r="H528" s="191">
        <v>0.024777567</v>
      </c>
      <c r="I528" s="191">
        <v>0.028572196</v>
      </c>
      <c r="J528" s="191">
        <v>0.021130102</v>
      </c>
      <c r="K528" s="5"/>
      <c r="L528" s="5"/>
      <c r="M528" s="5"/>
      <c r="N528" s="5"/>
      <c r="O528" s="5"/>
      <c r="P528" s="5"/>
      <c r="Q528" s="5"/>
      <c r="R528" s="5"/>
      <c r="S528" s="5"/>
      <c r="T528" s="5"/>
      <c r="U528" s="5"/>
      <c r="V528" s="5"/>
      <c r="W528" s="5"/>
      <c r="X528" s="5"/>
      <c r="Y528" s="5"/>
      <c r="Z528" s="5"/>
    </row>
    <row r="529">
      <c r="A529" s="5" t="s">
        <v>74</v>
      </c>
      <c r="B529" s="5" t="s">
        <v>372</v>
      </c>
      <c r="C529" s="5" t="s">
        <v>76</v>
      </c>
      <c r="D529" s="5" t="s">
        <v>369</v>
      </c>
      <c r="E529" s="5" t="s">
        <v>77</v>
      </c>
      <c r="F529" s="5" t="s">
        <v>249</v>
      </c>
      <c r="G529" s="191">
        <v>2019.0</v>
      </c>
      <c r="H529" s="191">
        <v>0.08696615</v>
      </c>
      <c r="I529" s="191">
        <v>0.113518861</v>
      </c>
      <c r="J529" s="191">
        <v>0.063232488</v>
      </c>
      <c r="K529" s="5"/>
      <c r="L529" s="5"/>
      <c r="M529" s="5"/>
      <c r="N529" s="5"/>
      <c r="O529" s="5"/>
      <c r="P529" s="5"/>
      <c r="Q529" s="5"/>
      <c r="R529" s="5"/>
      <c r="S529" s="5"/>
      <c r="T529" s="5"/>
      <c r="U529" s="5"/>
      <c r="V529" s="5"/>
      <c r="W529" s="5"/>
      <c r="X529" s="5"/>
      <c r="Y529" s="5"/>
      <c r="Z529" s="5"/>
    </row>
    <row r="530">
      <c r="A530" s="5" t="s">
        <v>74</v>
      </c>
      <c r="B530" s="5" t="s">
        <v>372</v>
      </c>
      <c r="C530" s="5" t="s">
        <v>76</v>
      </c>
      <c r="D530" s="5" t="s">
        <v>370</v>
      </c>
      <c r="E530" s="5" t="s">
        <v>77</v>
      </c>
      <c r="F530" s="5" t="s">
        <v>249</v>
      </c>
      <c r="G530" s="191">
        <v>2019.0</v>
      </c>
      <c r="H530" s="191">
        <v>0.067674511</v>
      </c>
      <c r="I530" s="191">
        <v>0.091634317</v>
      </c>
      <c r="J530" s="191">
        <v>0.047808561</v>
      </c>
      <c r="K530" s="5"/>
      <c r="L530" s="5"/>
      <c r="M530" s="5"/>
      <c r="N530" s="5"/>
      <c r="O530" s="5"/>
      <c r="P530" s="5"/>
      <c r="Q530" s="5"/>
      <c r="R530" s="5"/>
      <c r="S530" s="5"/>
      <c r="T530" s="5"/>
      <c r="U530" s="5"/>
      <c r="V530" s="5"/>
      <c r="W530" s="5"/>
      <c r="X530" s="5"/>
      <c r="Y530" s="5"/>
      <c r="Z530" s="5"/>
    </row>
    <row r="531">
      <c r="A531" s="5" t="s">
        <v>371</v>
      </c>
      <c r="B531" s="5" t="s">
        <v>372</v>
      </c>
      <c r="C531" s="5" t="s">
        <v>76</v>
      </c>
      <c r="D531" s="5" t="s">
        <v>369</v>
      </c>
      <c r="E531" s="5" t="s">
        <v>77</v>
      </c>
      <c r="F531" s="5" t="s">
        <v>249</v>
      </c>
      <c r="G531" s="191">
        <v>2019.0</v>
      </c>
      <c r="H531" s="191">
        <v>0.06343868</v>
      </c>
      <c r="I531" s="191">
        <v>0.083693469</v>
      </c>
      <c r="J531" s="191">
        <v>0.047498923</v>
      </c>
      <c r="K531" s="5"/>
      <c r="L531" s="5"/>
      <c r="M531" s="5"/>
      <c r="N531" s="5"/>
      <c r="O531" s="5"/>
      <c r="P531" s="5"/>
      <c r="Q531" s="5"/>
      <c r="R531" s="5"/>
      <c r="S531" s="5"/>
      <c r="T531" s="5"/>
      <c r="U531" s="5"/>
      <c r="V531" s="5"/>
      <c r="W531" s="5"/>
      <c r="X531" s="5"/>
      <c r="Y531" s="5"/>
      <c r="Z531" s="5"/>
    </row>
    <row r="532">
      <c r="A532" s="5" t="s">
        <v>371</v>
      </c>
      <c r="B532" s="5" t="s">
        <v>372</v>
      </c>
      <c r="C532" s="5" t="s">
        <v>76</v>
      </c>
      <c r="D532" s="5" t="s">
        <v>370</v>
      </c>
      <c r="E532" s="5" t="s">
        <v>77</v>
      </c>
      <c r="F532" s="5" t="s">
        <v>249</v>
      </c>
      <c r="G532" s="191">
        <v>2019.0</v>
      </c>
      <c r="H532" s="191">
        <v>0.024650257</v>
      </c>
      <c r="I532" s="191">
        <v>0.028756987</v>
      </c>
      <c r="J532" s="191">
        <v>0.020985703</v>
      </c>
      <c r="K532" s="5"/>
      <c r="L532" s="5"/>
      <c r="M532" s="5"/>
      <c r="N532" s="5"/>
      <c r="O532" s="5"/>
      <c r="P532" s="5"/>
      <c r="Q532" s="5"/>
      <c r="R532" s="5"/>
      <c r="S532" s="5"/>
      <c r="T532" s="5"/>
      <c r="U532" s="5"/>
      <c r="V532" s="5"/>
      <c r="W532" s="5"/>
      <c r="X532" s="5"/>
      <c r="Y532" s="5"/>
      <c r="Z532" s="5"/>
    </row>
    <row r="533">
      <c r="A533" s="5" t="s">
        <v>74</v>
      </c>
      <c r="B533" s="5" t="s">
        <v>373</v>
      </c>
      <c r="C533" s="5" t="s">
        <v>76</v>
      </c>
      <c r="D533" s="5" t="s">
        <v>369</v>
      </c>
      <c r="E533" s="5" t="s">
        <v>77</v>
      </c>
      <c r="F533" s="5" t="s">
        <v>249</v>
      </c>
      <c r="G533" s="191">
        <v>2019.0</v>
      </c>
      <c r="H533" s="191">
        <v>0.092390896</v>
      </c>
      <c r="I533" s="191">
        <v>0.153556328</v>
      </c>
      <c r="J533" s="191">
        <v>0.051828483</v>
      </c>
      <c r="K533" s="5"/>
      <c r="L533" s="5"/>
      <c r="M533" s="5"/>
      <c r="N533" s="5"/>
      <c r="O533" s="5"/>
      <c r="P533" s="5"/>
      <c r="Q533" s="5"/>
      <c r="R533" s="5"/>
      <c r="S533" s="5"/>
      <c r="T533" s="5"/>
      <c r="U533" s="5"/>
      <c r="V533" s="5"/>
      <c r="W533" s="5"/>
      <c r="X533" s="5"/>
      <c r="Y533" s="5"/>
      <c r="Z533" s="5"/>
    </row>
    <row r="534">
      <c r="A534" s="5" t="s">
        <v>74</v>
      </c>
      <c r="B534" s="5" t="s">
        <v>373</v>
      </c>
      <c r="C534" s="5" t="s">
        <v>76</v>
      </c>
      <c r="D534" s="5" t="s">
        <v>370</v>
      </c>
      <c r="E534" s="5" t="s">
        <v>77</v>
      </c>
      <c r="F534" s="5" t="s">
        <v>249</v>
      </c>
      <c r="G534" s="191">
        <v>2019.0</v>
      </c>
      <c r="H534" s="191">
        <v>0.056884596</v>
      </c>
      <c r="I534" s="191">
        <v>0.083583817</v>
      </c>
      <c r="J534" s="191">
        <v>0.033955237</v>
      </c>
      <c r="K534" s="5"/>
      <c r="L534" s="5"/>
      <c r="M534" s="5"/>
      <c r="N534" s="5"/>
      <c r="O534" s="5"/>
      <c r="P534" s="5"/>
      <c r="Q534" s="5"/>
      <c r="R534" s="5"/>
      <c r="S534" s="5"/>
      <c r="T534" s="5"/>
      <c r="U534" s="5"/>
      <c r="V534" s="5"/>
      <c r="W534" s="5"/>
      <c r="X534" s="5"/>
      <c r="Y534" s="5"/>
      <c r="Z534" s="5"/>
    </row>
    <row r="535">
      <c r="A535" s="5" t="s">
        <v>371</v>
      </c>
      <c r="B535" s="5" t="s">
        <v>373</v>
      </c>
      <c r="C535" s="5" t="s">
        <v>76</v>
      </c>
      <c r="D535" s="5" t="s">
        <v>369</v>
      </c>
      <c r="E535" s="5" t="s">
        <v>77</v>
      </c>
      <c r="F535" s="5" t="s">
        <v>249</v>
      </c>
      <c r="G535" s="191">
        <v>2019.0</v>
      </c>
      <c r="H535" s="191">
        <v>0.091904941</v>
      </c>
      <c r="I535" s="191">
        <v>0.117594636</v>
      </c>
      <c r="J535" s="191">
        <v>0.070968819</v>
      </c>
      <c r="K535" s="5"/>
      <c r="L535" s="5"/>
      <c r="M535" s="5"/>
      <c r="N535" s="5"/>
      <c r="O535" s="5"/>
      <c r="P535" s="5"/>
      <c r="Q535" s="5"/>
      <c r="R535" s="5"/>
      <c r="S535" s="5"/>
      <c r="T535" s="5"/>
      <c r="U535" s="5"/>
      <c r="V535" s="5"/>
      <c r="W535" s="5"/>
      <c r="X535" s="5"/>
      <c r="Y535" s="5"/>
      <c r="Z535" s="5"/>
    </row>
    <row r="536">
      <c r="A536" s="5" t="s">
        <v>371</v>
      </c>
      <c r="B536" s="5" t="s">
        <v>373</v>
      </c>
      <c r="C536" s="5" t="s">
        <v>76</v>
      </c>
      <c r="D536" s="5" t="s">
        <v>370</v>
      </c>
      <c r="E536" s="5" t="s">
        <v>77</v>
      </c>
      <c r="F536" s="5" t="s">
        <v>249</v>
      </c>
      <c r="G536" s="191">
        <v>2019.0</v>
      </c>
      <c r="H536" s="191">
        <v>0.020539161</v>
      </c>
      <c r="I536" s="191">
        <v>0.024129911</v>
      </c>
      <c r="J536" s="191">
        <v>0.017511664</v>
      </c>
      <c r="K536" s="5"/>
      <c r="L536" s="5"/>
      <c r="M536" s="5"/>
      <c r="N536" s="5"/>
      <c r="O536" s="5"/>
      <c r="P536" s="5"/>
      <c r="Q536" s="5"/>
      <c r="R536" s="5"/>
      <c r="S536" s="5"/>
      <c r="T536" s="5"/>
      <c r="U536" s="5"/>
      <c r="V536" s="5"/>
      <c r="W536" s="5"/>
      <c r="X536" s="5"/>
      <c r="Y536" s="5"/>
      <c r="Z536" s="5"/>
    </row>
    <row r="537">
      <c r="A537" s="5" t="s">
        <v>74</v>
      </c>
      <c r="B537" s="5" t="s">
        <v>14</v>
      </c>
      <c r="C537" s="5" t="s">
        <v>76</v>
      </c>
      <c r="D537" s="5" t="s">
        <v>369</v>
      </c>
      <c r="E537" s="5" t="s">
        <v>77</v>
      </c>
      <c r="F537" s="5" t="s">
        <v>249</v>
      </c>
      <c r="G537" s="191">
        <v>2019.0</v>
      </c>
      <c r="H537" s="191">
        <v>0.051793404</v>
      </c>
      <c r="I537" s="191">
        <v>0.08336864</v>
      </c>
      <c r="J537" s="191">
        <v>0.028895467</v>
      </c>
      <c r="K537" s="5"/>
      <c r="L537" s="5"/>
      <c r="M537" s="5"/>
      <c r="N537" s="5"/>
      <c r="O537" s="5"/>
      <c r="P537" s="5"/>
      <c r="Q537" s="5"/>
      <c r="R537" s="5"/>
      <c r="S537" s="5"/>
      <c r="T537" s="5"/>
      <c r="U537" s="5"/>
      <c r="V537" s="5"/>
      <c r="W537" s="5"/>
      <c r="X537" s="5"/>
      <c r="Y537" s="5"/>
      <c r="Z537" s="5"/>
    </row>
    <row r="538">
      <c r="A538" s="5" t="s">
        <v>74</v>
      </c>
      <c r="B538" s="5" t="s">
        <v>14</v>
      </c>
      <c r="C538" s="5" t="s">
        <v>76</v>
      </c>
      <c r="D538" s="5" t="s">
        <v>370</v>
      </c>
      <c r="E538" s="5" t="s">
        <v>77</v>
      </c>
      <c r="F538" s="5" t="s">
        <v>249</v>
      </c>
      <c r="G538" s="191">
        <v>2019.0</v>
      </c>
      <c r="H538" s="191">
        <v>0.048291682</v>
      </c>
      <c r="I538" s="191">
        <v>0.07081211</v>
      </c>
      <c r="J538" s="191">
        <v>0.031069871</v>
      </c>
      <c r="K538" s="5"/>
      <c r="L538" s="5"/>
      <c r="M538" s="5"/>
      <c r="N538" s="5"/>
      <c r="O538" s="5"/>
      <c r="P538" s="5"/>
      <c r="Q538" s="5"/>
      <c r="R538" s="5"/>
      <c r="S538" s="5"/>
      <c r="T538" s="5"/>
      <c r="U538" s="5"/>
      <c r="V538" s="5"/>
      <c r="W538" s="5"/>
      <c r="X538" s="5"/>
      <c r="Y538" s="5"/>
      <c r="Z538" s="5"/>
    </row>
    <row r="539">
      <c r="A539" s="5" t="s">
        <v>371</v>
      </c>
      <c r="B539" s="5" t="s">
        <v>14</v>
      </c>
      <c r="C539" s="5" t="s">
        <v>76</v>
      </c>
      <c r="D539" s="5" t="s">
        <v>369</v>
      </c>
      <c r="E539" s="5" t="s">
        <v>77</v>
      </c>
      <c r="F539" s="5" t="s">
        <v>249</v>
      </c>
      <c r="G539" s="191">
        <v>2019.0</v>
      </c>
      <c r="H539" s="191">
        <v>0.08474427</v>
      </c>
      <c r="I539" s="191">
        <v>0.105771321</v>
      </c>
      <c r="J539" s="191">
        <v>0.065692898</v>
      </c>
      <c r="K539" s="5"/>
      <c r="L539" s="5"/>
      <c r="M539" s="5"/>
      <c r="N539" s="5"/>
      <c r="O539" s="5"/>
      <c r="P539" s="5"/>
      <c r="Q539" s="5"/>
      <c r="R539" s="5"/>
      <c r="S539" s="5"/>
      <c r="T539" s="5"/>
      <c r="U539" s="5"/>
      <c r="V539" s="5"/>
      <c r="W539" s="5"/>
      <c r="X539" s="5"/>
      <c r="Y539" s="5"/>
      <c r="Z539" s="5"/>
    </row>
    <row r="540">
      <c r="A540" s="5" t="s">
        <v>371</v>
      </c>
      <c r="B540" s="5" t="s">
        <v>14</v>
      </c>
      <c r="C540" s="5" t="s">
        <v>76</v>
      </c>
      <c r="D540" s="5" t="s">
        <v>370</v>
      </c>
      <c r="E540" s="5" t="s">
        <v>77</v>
      </c>
      <c r="F540" s="5" t="s">
        <v>249</v>
      </c>
      <c r="G540" s="191">
        <v>2019.0</v>
      </c>
      <c r="H540" s="191">
        <v>0.022547719</v>
      </c>
      <c r="I540" s="191">
        <v>0.026408449</v>
      </c>
      <c r="J540" s="191">
        <v>0.019337969</v>
      </c>
      <c r="K540" s="5"/>
      <c r="L540" s="5"/>
      <c r="M540" s="5"/>
      <c r="N540" s="5"/>
      <c r="O540" s="5"/>
      <c r="P540" s="5"/>
      <c r="Q540" s="5"/>
      <c r="R540" s="5"/>
      <c r="S540" s="5"/>
      <c r="T540" s="5"/>
      <c r="U540" s="5"/>
      <c r="V540" s="5"/>
      <c r="W540" s="5"/>
      <c r="X540" s="5"/>
      <c r="Y540" s="5"/>
      <c r="Z540" s="5"/>
    </row>
    <row r="541">
      <c r="A541" s="5" t="s">
        <v>74</v>
      </c>
      <c r="B541" s="5" t="s">
        <v>374</v>
      </c>
      <c r="C541" s="5" t="s">
        <v>76</v>
      </c>
      <c r="D541" s="5" t="s">
        <v>369</v>
      </c>
      <c r="E541" s="5" t="s">
        <v>77</v>
      </c>
      <c r="F541" s="5" t="s">
        <v>249</v>
      </c>
      <c r="G541" s="191">
        <v>2019.0</v>
      </c>
      <c r="H541" s="191">
        <v>0.007869972</v>
      </c>
      <c r="I541" s="191">
        <v>0.01006477</v>
      </c>
      <c r="J541" s="191">
        <v>0.006241748</v>
      </c>
      <c r="K541" s="5"/>
      <c r="L541" s="5"/>
      <c r="M541" s="5"/>
      <c r="N541" s="5"/>
      <c r="O541" s="5"/>
      <c r="P541" s="5"/>
      <c r="Q541" s="5"/>
      <c r="R541" s="5"/>
      <c r="S541" s="5"/>
      <c r="T541" s="5"/>
      <c r="U541" s="5"/>
      <c r="V541" s="5"/>
      <c r="W541" s="5"/>
      <c r="X541" s="5"/>
      <c r="Y541" s="5"/>
      <c r="Z541" s="5"/>
    </row>
    <row r="542">
      <c r="A542" s="5" t="s">
        <v>74</v>
      </c>
      <c r="B542" s="5" t="s">
        <v>374</v>
      </c>
      <c r="C542" s="5" t="s">
        <v>76</v>
      </c>
      <c r="D542" s="5" t="s">
        <v>370</v>
      </c>
      <c r="E542" s="5" t="s">
        <v>77</v>
      </c>
      <c r="F542" s="5" t="s">
        <v>249</v>
      </c>
      <c r="G542" s="191">
        <v>2019.0</v>
      </c>
      <c r="H542" s="191">
        <v>8.28367E-4</v>
      </c>
      <c r="I542" s="191">
        <v>0.001034369</v>
      </c>
      <c r="J542" s="191">
        <v>6.71697E-4</v>
      </c>
      <c r="K542" s="5"/>
      <c r="L542" s="5"/>
      <c r="M542" s="5"/>
      <c r="N542" s="5"/>
      <c r="O542" s="5"/>
      <c r="P542" s="5"/>
      <c r="Q542" s="5"/>
      <c r="R542" s="5"/>
      <c r="S542" s="5"/>
      <c r="T542" s="5"/>
      <c r="U542" s="5"/>
      <c r="V542" s="5"/>
      <c r="W542" s="5"/>
      <c r="X542" s="5"/>
      <c r="Y542" s="5"/>
      <c r="Z542" s="5"/>
    </row>
    <row r="543">
      <c r="A543" s="5" t="s">
        <v>371</v>
      </c>
      <c r="B543" s="5" t="s">
        <v>374</v>
      </c>
      <c r="C543" s="5" t="s">
        <v>76</v>
      </c>
      <c r="D543" s="5" t="s">
        <v>369</v>
      </c>
      <c r="E543" s="5" t="s">
        <v>77</v>
      </c>
      <c r="F543" s="5" t="s">
        <v>249</v>
      </c>
      <c r="G543" s="191">
        <v>2019.0</v>
      </c>
      <c r="H543" s="191">
        <v>0.035604457</v>
      </c>
      <c r="I543" s="191">
        <v>0.048446034</v>
      </c>
      <c r="J543" s="191">
        <v>0.025516153</v>
      </c>
      <c r="K543" s="5"/>
      <c r="L543" s="5"/>
      <c r="M543" s="5"/>
      <c r="N543" s="5"/>
      <c r="O543" s="5"/>
      <c r="P543" s="5"/>
      <c r="Q543" s="5"/>
      <c r="R543" s="5"/>
      <c r="S543" s="5"/>
      <c r="T543" s="5"/>
      <c r="U543" s="5"/>
      <c r="V543" s="5"/>
      <c r="W543" s="5"/>
      <c r="X543" s="5"/>
      <c r="Y543" s="5"/>
      <c r="Z543" s="5"/>
    </row>
    <row r="544">
      <c r="A544" s="5" t="s">
        <v>371</v>
      </c>
      <c r="B544" s="5" t="s">
        <v>374</v>
      </c>
      <c r="C544" s="5" t="s">
        <v>76</v>
      </c>
      <c r="D544" s="5" t="s">
        <v>370</v>
      </c>
      <c r="E544" s="5" t="s">
        <v>77</v>
      </c>
      <c r="F544" s="5" t="s">
        <v>249</v>
      </c>
      <c r="G544" s="191">
        <v>2019.0</v>
      </c>
      <c r="H544" s="191">
        <v>0.014598322</v>
      </c>
      <c r="I544" s="191">
        <v>0.017613885</v>
      </c>
      <c r="J544" s="191">
        <v>0.012192362</v>
      </c>
      <c r="K544" s="5"/>
      <c r="L544" s="5"/>
      <c r="M544" s="5"/>
      <c r="N544" s="5"/>
      <c r="O544" s="5"/>
      <c r="P544" s="5"/>
      <c r="Q544" s="5"/>
      <c r="R544" s="5"/>
      <c r="S544" s="5"/>
      <c r="T544" s="5"/>
      <c r="U544" s="5"/>
      <c r="V544" s="5"/>
      <c r="W544" s="5"/>
      <c r="X544" s="5"/>
      <c r="Y544" s="5"/>
      <c r="Z544" s="5"/>
    </row>
    <row r="545">
      <c r="A545" s="5" t="s">
        <v>74</v>
      </c>
      <c r="B545" s="5" t="s">
        <v>375</v>
      </c>
      <c r="C545" s="5" t="s">
        <v>76</v>
      </c>
      <c r="D545" s="5" t="s">
        <v>369</v>
      </c>
      <c r="E545" s="5" t="s">
        <v>77</v>
      </c>
      <c r="F545" s="5" t="s">
        <v>249</v>
      </c>
      <c r="G545" s="191">
        <v>2019.0</v>
      </c>
      <c r="H545" s="191">
        <v>0.123547239</v>
      </c>
      <c r="I545" s="191">
        <v>0.169560572</v>
      </c>
      <c r="J545" s="191">
        <v>0.083840362</v>
      </c>
      <c r="K545" s="5"/>
      <c r="L545" s="5"/>
      <c r="M545" s="5"/>
      <c r="N545" s="5"/>
      <c r="O545" s="5"/>
      <c r="P545" s="5"/>
      <c r="Q545" s="5"/>
      <c r="R545" s="5"/>
      <c r="S545" s="5"/>
      <c r="T545" s="5"/>
      <c r="U545" s="5"/>
      <c r="V545" s="5"/>
      <c r="W545" s="5"/>
      <c r="X545" s="5"/>
      <c r="Y545" s="5"/>
      <c r="Z545" s="5"/>
    </row>
    <row r="546">
      <c r="A546" s="5" t="s">
        <v>74</v>
      </c>
      <c r="B546" s="5" t="s">
        <v>375</v>
      </c>
      <c r="C546" s="5" t="s">
        <v>76</v>
      </c>
      <c r="D546" s="5" t="s">
        <v>370</v>
      </c>
      <c r="E546" s="5" t="s">
        <v>77</v>
      </c>
      <c r="F546" s="5" t="s">
        <v>249</v>
      </c>
      <c r="G546" s="191">
        <v>2019.0</v>
      </c>
      <c r="H546" s="191">
        <v>0.061825824</v>
      </c>
      <c r="I546" s="191">
        <v>0.085632593</v>
      </c>
      <c r="J546" s="191">
        <v>0.044883785</v>
      </c>
      <c r="K546" s="5"/>
      <c r="L546" s="5"/>
      <c r="M546" s="5"/>
      <c r="N546" s="5"/>
      <c r="O546" s="5"/>
      <c r="P546" s="5"/>
      <c r="Q546" s="5"/>
      <c r="R546" s="5"/>
      <c r="S546" s="5"/>
      <c r="T546" s="5"/>
      <c r="U546" s="5"/>
      <c r="V546" s="5"/>
      <c r="W546" s="5"/>
      <c r="X546" s="5"/>
      <c r="Y546" s="5"/>
      <c r="Z546" s="5"/>
    </row>
    <row r="547">
      <c r="A547" s="5" t="s">
        <v>371</v>
      </c>
      <c r="B547" s="5" t="s">
        <v>375</v>
      </c>
      <c r="C547" s="5" t="s">
        <v>76</v>
      </c>
      <c r="D547" s="5" t="s">
        <v>369</v>
      </c>
      <c r="E547" s="5" t="s">
        <v>77</v>
      </c>
      <c r="F547" s="5" t="s">
        <v>249</v>
      </c>
      <c r="G547" s="191">
        <v>2019.0</v>
      </c>
      <c r="H547" s="191">
        <v>0.071430956</v>
      </c>
      <c r="I547" s="191">
        <v>0.091100638</v>
      </c>
      <c r="J547" s="191">
        <v>0.054930315</v>
      </c>
      <c r="K547" s="5"/>
      <c r="L547" s="5"/>
      <c r="M547" s="5"/>
      <c r="N547" s="5"/>
      <c r="O547" s="5"/>
      <c r="P547" s="5"/>
      <c r="Q547" s="5"/>
      <c r="R547" s="5"/>
      <c r="S547" s="5"/>
      <c r="T547" s="5"/>
      <c r="U547" s="5"/>
      <c r="V547" s="5"/>
      <c r="W547" s="5"/>
      <c r="X547" s="5"/>
      <c r="Y547" s="5"/>
      <c r="Z547" s="5"/>
    </row>
    <row r="548">
      <c r="A548" s="5" t="s">
        <v>371</v>
      </c>
      <c r="B548" s="5" t="s">
        <v>375</v>
      </c>
      <c r="C548" s="5" t="s">
        <v>76</v>
      </c>
      <c r="D548" s="5" t="s">
        <v>370</v>
      </c>
      <c r="E548" s="5" t="s">
        <v>77</v>
      </c>
      <c r="F548" s="5" t="s">
        <v>249</v>
      </c>
      <c r="G548" s="191">
        <v>2019.0</v>
      </c>
      <c r="H548" s="191">
        <v>0.021480939</v>
      </c>
      <c r="I548" s="191">
        <v>0.02480867</v>
      </c>
      <c r="J548" s="191">
        <v>0.018516177</v>
      </c>
      <c r="K548" s="5"/>
      <c r="L548" s="5"/>
      <c r="M548" s="5"/>
      <c r="N548" s="5"/>
      <c r="O548" s="5"/>
      <c r="P548" s="5"/>
      <c r="Q548" s="5"/>
      <c r="R548" s="5"/>
      <c r="S548" s="5"/>
      <c r="T548" s="5"/>
      <c r="U548" s="5"/>
      <c r="V548" s="5"/>
      <c r="W548" s="5"/>
      <c r="X548" s="5"/>
      <c r="Y548" s="5"/>
      <c r="Z548" s="5"/>
    </row>
    <row r="549">
      <c r="A549" s="5" t="s">
        <v>74</v>
      </c>
      <c r="B549" s="5" t="s">
        <v>365</v>
      </c>
      <c r="C549" s="5" t="s">
        <v>76</v>
      </c>
      <c r="D549" s="5" t="s">
        <v>369</v>
      </c>
      <c r="E549" s="5" t="s">
        <v>77</v>
      </c>
      <c r="F549" s="5" t="s">
        <v>249</v>
      </c>
      <c r="G549" s="191">
        <v>2019.0</v>
      </c>
      <c r="H549" s="191">
        <v>0.050063108</v>
      </c>
      <c r="I549" s="191">
        <v>0.09172966</v>
      </c>
      <c r="J549" s="191">
        <v>0.027100263</v>
      </c>
      <c r="K549" s="5"/>
      <c r="L549" s="5"/>
      <c r="M549" s="5"/>
      <c r="N549" s="5"/>
      <c r="O549" s="5"/>
      <c r="P549" s="5"/>
      <c r="Q549" s="5"/>
      <c r="R549" s="5"/>
      <c r="S549" s="5"/>
      <c r="T549" s="5"/>
      <c r="U549" s="5"/>
      <c r="V549" s="5"/>
      <c r="W549" s="5"/>
      <c r="X549" s="5"/>
      <c r="Y549" s="5"/>
      <c r="Z549" s="5"/>
    </row>
    <row r="550">
      <c r="A550" s="5" t="s">
        <v>74</v>
      </c>
      <c r="B550" s="5" t="s">
        <v>365</v>
      </c>
      <c r="C550" s="5" t="s">
        <v>76</v>
      </c>
      <c r="D550" s="5" t="s">
        <v>370</v>
      </c>
      <c r="E550" s="5" t="s">
        <v>77</v>
      </c>
      <c r="F550" s="5" t="s">
        <v>249</v>
      </c>
      <c r="G550" s="191">
        <v>2019.0</v>
      </c>
      <c r="H550" s="191">
        <v>0.038231293</v>
      </c>
      <c r="I550" s="191">
        <v>0.052517727</v>
      </c>
      <c r="J550" s="191">
        <v>0.022503298</v>
      </c>
      <c r="K550" s="5"/>
      <c r="L550" s="5"/>
      <c r="M550" s="5"/>
      <c r="N550" s="5"/>
      <c r="O550" s="5"/>
      <c r="P550" s="5"/>
      <c r="Q550" s="5"/>
      <c r="R550" s="5"/>
      <c r="S550" s="5"/>
      <c r="T550" s="5"/>
      <c r="U550" s="5"/>
      <c r="V550" s="5"/>
      <c r="W550" s="5"/>
      <c r="X550" s="5"/>
      <c r="Y550" s="5"/>
      <c r="Z550" s="5"/>
    </row>
    <row r="551">
      <c r="A551" s="5" t="s">
        <v>371</v>
      </c>
      <c r="B551" s="5" t="s">
        <v>365</v>
      </c>
      <c r="C551" s="5" t="s">
        <v>76</v>
      </c>
      <c r="D551" s="5" t="s">
        <v>369</v>
      </c>
      <c r="E551" s="5" t="s">
        <v>77</v>
      </c>
      <c r="F551" s="5" t="s">
        <v>249</v>
      </c>
      <c r="G551" s="191">
        <v>2019.0</v>
      </c>
      <c r="H551" s="191">
        <v>0.100250146</v>
      </c>
      <c r="I551" s="191">
        <v>0.127507595</v>
      </c>
      <c r="J551" s="191">
        <v>0.076275232</v>
      </c>
      <c r="K551" s="5"/>
      <c r="L551" s="5"/>
      <c r="M551" s="5"/>
      <c r="N551" s="5"/>
      <c r="O551" s="5"/>
      <c r="P551" s="5"/>
      <c r="Q551" s="5"/>
      <c r="R551" s="5"/>
      <c r="S551" s="5"/>
      <c r="T551" s="5"/>
      <c r="U551" s="5"/>
      <c r="V551" s="5"/>
      <c r="W551" s="5"/>
      <c r="X551" s="5"/>
      <c r="Y551" s="5"/>
      <c r="Z551" s="5"/>
    </row>
    <row r="552">
      <c r="A552" s="5" t="s">
        <v>371</v>
      </c>
      <c r="B552" s="5" t="s">
        <v>365</v>
      </c>
      <c r="C552" s="5" t="s">
        <v>76</v>
      </c>
      <c r="D552" s="5" t="s">
        <v>370</v>
      </c>
      <c r="E552" s="5" t="s">
        <v>77</v>
      </c>
      <c r="F552" s="5" t="s">
        <v>249</v>
      </c>
      <c r="G552" s="191">
        <v>2019.0</v>
      </c>
      <c r="H552" s="191">
        <v>0.024508313</v>
      </c>
      <c r="I552" s="191">
        <v>0.028457904</v>
      </c>
      <c r="J552" s="191">
        <v>0.021200463</v>
      </c>
      <c r="K552" s="5"/>
      <c r="L552" s="5"/>
      <c r="M552" s="5"/>
      <c r="N552" s="5"/>
      <c r="O552" s="5"/>
      <c r="P552" s="5"/>
      <c r="Q552" s="5"/>
      <c r="R552" s="5"/>
      <c r="S552" s="5"/>
      <c r="T552" s="5"/>
      <c r="U552" s="5"/>
      <c r="V552" s="5"/>
      <c r="W552" s="5"/>
      <c r="X552" s="5"/>
      <c r="Y552" s="5"/>
      <c r="Z552" s="5"/>
    </row>
  </sheetData>
  <hyperlinks>
    <hyperlink r:id="rId2" ref="A13"/>
    <hyperlink r:id="rId3" ref="A14"/>
    <hyperlink r:id="rId4" ref="A15"/>
    <hyperlink r:id="rId5" ref="A16"/>
    <hyperlink r:id="rId6" ref="A17"/>
  </hyperlinks>
  <drawing r:id="rId7"/>
  <legacy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76.71"/>
    <col customWidth="1" min="2" max="2" width="17.0"/>
    <col customWidth="1" min="3" max="3" width="16.29"/>
  </cols>
  <sheetData>
    <row r="1">
      <c r="A1" s="13" t="s">
        <v>376</v>
      </c>
    </row>
    <row r="3">
      <c r="A3" s="14" t="s">
        <v>377</v>
      </c>
      <c r="B3" s="214">
        <f>B53</f>
        <v>0.5155973366</v>
      </c>
    </row>
    <row r="4">
      <c r="A4" s="14"/>
      <c r="B4" s="98"/>
    </row>
    <row r="5">
      <c r="A5" s="14"/>
      <c r="B5" s="98"/>
    </row>
    <row r="6">
      <c r="A6" s="215" t="s">
        <v>378</v>
      </c>
      <c r="B6" s="215" t="s">
        <v>11</v>
      </c>
      <c r="C6" s="215" t="s">
        <v>14</v>
      </c>
      <c r="D6" s="215" t="s">
        <v>15</v>
      </c>
    </row>
    <row r="7">
      <c r="A7" s="14" t="s">
        <v>379</v>
      </c>
      <c r="B7" s="97">
        <v>0.45</v>
      </c>
      <c r="C7" s="97">
        <v>0.56</v>
      </c>
      <c r="D7" s="97">
        <v>0.6</v>
      </c>
    </row>
    <row r="8">
      <c r="A8" s="14" t="s">
        <v>380</v>
      </c>
      <c r="B8" s="97">
        <v>0.6086</v>
      </c>
      <c r="C8" s="97">
        <v>0.6137</v>
      </c>
      <c r="D8" s="97">
        <v>0.6853</v>
      </c>
    </row>
    <row r="9">
      <c r="A9" s="14" t="s">
        <v>381</v>
      </c>
      <c r="B9" s="76">
        <v>0.0092</v>
      </c>
      <c r="C9" s="76">
        <v>0.0093</v>
      </c>
      <c r="D9" s="76">
        <v>0.0043</v>
      </c>
    </row>
    <row r="10">
      <c r="A10" s="14" t="s">
        <v>382</v>
      </c>
      <c r="B10" s="97">
        <f t="shared" ref="B10:D10" si="1">B8+B9</f>
        <v>0.6178</v>
      </c>
      <c r="C10" s="97">
        <f t="shared" si="1"/>
        <v>0.623</v>
      </c>
      <c r="D10" s="97">
        <f t="shared" si="1"/>
        <v>0.6896</v>
      </c>
    </row>
    <row r="11">
      <c r="A11" s="14" t="s">
        <v>383</v>
      </c>
      <c r="B11" s="97">
        <v>0.49</v>
      </c>
      <c r="C11" s="97">
        <v>0.6</v>
      </c>
      <c r="D11" s="97">
        <v>0.65</v>
      </c>
    </row>
    <row r="12">
      <c r="A12" s="14" t="s">
        <v>305</v>
      </c>
      <c r="B12" s="182">
        <f t="shared" ref="B12:D12" si="2">B11/B10</f>
        <v>0.7931369375</v>
      </c>
      <c r="C12" s="182">
        <f t="shared" si="2"/>
        <v>0.963081862</v>
      </c>
      <c r="D12" s="182">
        <f t="shared" si="2"/>
        <v>0.942575406</v>
      </c>
    </row>
    <row r="13">
      <c r="A13" s="14" t="s">
        <v>384</v>
      </c>
      <c r="B13" s="97">
        <f t="shared" ref="B13:D13" si="3">B8/(B8+B9)</f>
        <v>0.9851084493</v>
      </c>
      <c r="C13" s="97">
        <f t="shared" si="3"/>
        <v>0.9850722311</v>
      </c>
      <c r="D13" s="97">
        <f t="shared" si="3"/>
        <v>0.9937645012</v>
      </c>
    </row>
    <row r="14">
      <c r="A14" s="14" t="s">
        <v>385</v>
      </c>
      <c r="B14" s="97">
        <f t="shared" ref="B14:D14" si="4">B7*B13</f>
        <v>0.4432988022</v>
      </c>
      <c r="C14" s="97">
        <f t="shared" si="4"/>
        <v>0.5516404494</v>
      </c>
      <c r="D14" s="97">
        <f t="shared" si="4"/>
        <v>0.5962587007</v>
      </c>
    </row>
    <row r="15">
      <c r="A15" s="14" t="s">
        <v>386</v>
      </c>
      <c r="B15" s="98">
        <f t="shared" ref="B15:D15" si="5">B41</f>
        <v>0.2235913547</v>
      </c>
      <c r="C15" s="98">
        <f t="shared" si="5"/>
        <v>0.1719174612</v>
      </c>
      <c r="D15" s="98">
        <f t="shared" si="5"/>
        <v>0.07854037962</v>
      </c>
    </row>
    <row r="16">
      <c r="A16" s="14" t="s">
        <v>387</v>
      </c>
      <c r="B16" s="97">
        <v>0.0406</v>
      </c>
      <c r="C16" s="97">
        <v>0.0261</v>
      </c>
      <c r="D16" s="97">
        <v>0.0071</v>
      </c>
    </row>
    <row r="17">
      <c r="A17" s="14" t="s">
        <v>388</v>
      </c>
      <c r="B17" s="103">
        <f t="shared" ref="B17:D17" si="6">B16*B12</f>
        <v>0.03220135966</v>
      </c>
      <c r="C17" s="103">
        <f t="shared" si="6"/>
        <v>0.0251364366</v>
      </c>
      <c r="D17" s="103">
        <f t="shared" si="6"/>
        <v>0.006692285383</v>
      </c>
    </row>
    <row r="18">
      <c r="A18" s="14" t="s">
        <v>389</v>
      </c>
      <c r="B18" s="49">
        <f t="shared" ref="B18:D18" si="7">B14-B15+B17</f>
        <v>0.2519088071</v>
      </c>
      <c r="C18" s="49">
        <f t="shared" si="7"/>
        <v>0.4048594249</v>
      </c>
      <c r="D18" s="49">
        <f t="shared" si="7"/>
        <v>0.5244106065</v>
      </c>
    </row>
    <row r="19">
      <c r="A19" s="14" t="s">
        <v>390</v>
      </c>
      <c r="B19" s="216">
        <f>B18/B$3</f>
        <v>0.4885766261</v>
      </c>
      <c r="C19" s="216">
        <f>C18/B$3</f>
        <v>0.7852240424</v>
      </c>
      <c r="D19" s="216">
        <f>D18/B$3</f>
        <v>1.017093319</v>
      </c>
    </row>
    <row r="20">
      <c r="A20" s="14"/>
      <c r="B20" s="216"/>
    </row>
    <row r="21">
      <c r="A21" s="215" t="s">
        <v>391</v>
      </c>
      <c r="B21" s="217" t="s">
        <v>11</v>
      </c>
    </row>
    <row r="22">
      <c r="A22" s="14" t="s">
        <v>392</v>
      </c>
      <c r="B22" s="97">
        <v>0.8</v>
      </c>
    </row>
    <row r="23">
      <c r="A23" s="14" t="s">
        <v>386</v>
      </c>
      <c r="B23" s="97">
        <f>B41</f>
        <v>0.2235913547</v>
      </c>
    </row>
    <row r="24">
      <c r="A24" s="14" t="s">
        <v>388</v>
      </c>
      <c r="B24" s="103">
        <f>B17</f>
        <v>0.03220135966</v>
      </c>
    </row>
    <row r="25">
      <c r="A25" s="14" t="s">
        <v>393</v>
      </c>
      <c r="B25" s="49">
        <f>B22-B23+B24</f>
        <v>0.6086100049</v>
      </c>
    </row>
    <row r="26">
      <c r="A26" s="14" t="s">
        <v>394</v>
      </c>
      <c r="B26" s="182">
        <v>0.9</v>
      </c>
    </row>
    <row r="27">
      <c r="A27" s="14" t="s">
        <v>395</v>
      </c>
      <c r="B27" s="216">
        <f>(B25/B3)*B26</f>
        <v>1.062358095</v>
      </c>
    </row>
    <row r="28">
      <c r="B28" s="50"/>
      <c r="C28" s="49"/>
      <c r="D28" s="50"/>
    </row>
    <row r="29">
      <c r="B29" s="50"/>
      <c r="C29" s="49"/>
      <c r="D29" s="50"/>
    </row>
    <row r="30">
      <c r="A30" s="215" t="s">
        <v>396</v>
      </c>
      <c r="B30" s="215" t="s">
        <v>11</v>
      </c>
      <c r="C30" s="215" t="s">
        <v>14</v>
      </c>
      <c r="D30" s="215" t="s">
        <v>15</v>
      </c>
    </row>
    <row r="31">
      <c r="A31" s="14" t="s">
        <v>397</v>
      </c>
      <c r="B31" s="98">
        <v>0.294</v>
      </c>
      <c r="C31" s="98">
        <v>0.0872</v>
      </c>
      <c r="D31" s="98">
        <v>0.0</v>
      </c>
    </row>
    <row r="32">
      <c r="A32" s="14" t="s">
        <v>305</v>
      </c>
      <c r="B32" s="78">
        <f t="shared" ref="B32:D32" si="8">B12</f>
        <v>0.7931369375</v>
      </c>
      <c r="C32" s="78">
        <f t="shared" si="8"/>
        <v>0.963081862</v>
      </c>
      <c r="D32" s="78">
        <f t="shared" si="8"/>
        <v>0.942575406</v>
      </c>
    </row>
    <row r="33">
      <c r="A33" s="14" t="s">
        <v>398</v>
      </c>
      <c r="B33" s="103">
        <f t="shared" ref="B33:D33" si="9">B31*B32</f>
        <v>0.2331822596</v>
      </c>
      <c r="C33" s="103">
        <f t="shared" si="9"/>
        <v>0.08398073836</v>
      </c>
      <c r="D33" s="103">
        <f t="shared" si="9"/>
        <v>0</v>
      </c>
    </row>
    <row r="34">
      <c r="A34" s="14" t="s">
        <v>399</v>
      </c>
      <c r="B34" s="98">
        <v>0.442</v>
      </c>
      <c r="C34" s="98">
        <v>0.442</v>
      </c>
      <c r="D34" s="98">
        <v>0.273</v>
      </c>
    </row>
    <row r="35">
      <c r="A35" s="14" t="s">
        <v>400</v>
      </c>
      <c r="B35" s="98">
        <v>0.498</v>
      </c>
      <c r="C35" s="98">
        <v>0.498</v>
      </c>
      <c r="D35" s="98">
        <v>0.498</v>
      </c>
    </row>
    <row r="36">
      <c r="A36" s="14" t="s">
        <v>401</v>
      </c>
      <c r="B36" s="98">
        <v>0.304</v>
      </c>
      <c r="C36" s="98">
        <v>0.304</v>
      </c>
      <c r="D36" s="98">
        <v>0.304</v>
      </c>
    </row>
    <row r="37">
      <c r="A37" s="14" t="s">
        <v>402</v>
      </c>
      <c r="B37" s="182">
        <f t="shared" ref="B37:D37" si="10">B36/B35</f>
        <v>0.6104417671</v>
      </c>
      <c r="C37" s="182">
        <f t="shared" si="10"/>
        <v>0.6104417671</v>
      </c>
      <c r="D37" s="182">
        <f t="shared" si="10"/>
        <v>0.6104417671</v>
      </c>
    </row>
    <row r="38">
      <c r="A38" s="14" t="s">
        <v>403</v>
      </c>
      <c r="B38" s="103">
        <f t="shared" ref="B38:D38" si="11">B34*B32*B37</f>
        <v>0.2140004498</v>
      </c>
      <c r="C38" s="103">
        <f t="shared" si="11"/>
        <v>0.259854184</v>
      </c>
      <c r="D38" s="103">
        <f t="shared" si="11"/>
        <v>0.1570807592</v>
      </c>
    </row>
    <row r="39">
      <c r="A39" s="14" t="s">
        <v>404</v>
      </c>
      <c r="B39" s="14">
        <v>1.0</v>
      </c>
      <c r="C39" s="14">
        <v>1.0</v>
      </c>
      <c r="D39" s="14">
        <v>1.0</v>
      </c>
    </row>
    <row r="40">
      <c r="A40" s="14" t="s">
        <v>405</v>
      </c>
      <c r="B40" s="14">
        <v>1.0</v>
      </c>
      <c r="C40" s="14">
        <v>1.0</v>
      </c>
      <c r="D40" s="14">
        <v>1.0</v>
      </c>
    </row>
    <row r="41">
      <c r="A41" s="14" t="s">
        <v>406</v>
      </c>
      <c r="B41" s="218">
        <f t="shared" ref="B41:D41" si="12">(B33*B39+B38*B40)/(B39+B40)</f>
        <v>0.2235913547</v>
      </c>
      <c r="C41" s="218">
        <f t="shared" si="12"/>
        <v>0.1719174612</v>
      </c>
      <c r="D41" s="218">
        <f t="shared" si="12"/>
        <v>0.07854037962</v>
      </c>
    </row>
    <row r="44">
      <c r="A44" s="215" t="s">
        <v>407</v>
      </c>
      <c r="B44" s="215" t="s">
        <v>408</v>
      </c>
      <c r="C44" s="215" t="s">
        <v>409</v>
      </c>
    </row>
    <row r="45">
      <c r="A45" s="183" t="s">
        <v>272</v>
      </c>
      <c r="B45" s="97">
        <v>0.38</v>
      </c>
      <c r="C45" s="49">
        <f>'Mortality effect size'!Q4</f>
        <v>0.01955927109</v>
      </c>
    </row>
    <row r="46">
      <c r="A46" s="183" t="s">
        <v>276</v>
      </c>
      <c r="B46" s="97">
        <v>0.3</v>
      </c>
      <c r="C46" s="49">
        <f>'Mortality effect size'!Q5</f>
        <v>0.01232972125</v>
      </c>
    </row>
    <row r="47">
      <c r="A47" s="183" t="s">
        <v>278</v>
      </c>
      <c r="B47" s="97">
        <v>0.805</v>
      </c>
      <c r="C47" s="49">
        <f>'Mortality effect size'!Q6</f>
        <v>0.2723990425</v>
      </c>
    </row>
    <row r="48">
      <c r="A48" s="183" t="s">
        <v>279</v>
      </c>
      <c r="B48" s="97">
        <v>0.2775</v>
      </c>
      <c r="C48" s="49">
        <f>'Mortality effect size'!Q7</f>
        <v>0.4548633439</v>
      </c>
    </row>
    <row r="49">
      <c r="A49" s="183" t="s">
        <v>280</v>
      </c>
      <c r="B49" s="97">
        <v>0.66</v>
      </c>
      <c r="C49" s="49">
        <f>'Mortality effect size'!Q8</f>
        <v>0.2408486213</v>
      </c>
    </row>
    <row r="50">
      <c r="A50" s="14" t="s">
        <v>270</v>
      </c>
      <c r="C50" s="49">
        <f>SUM(C45:C49)</f>
        <v>1</v>
      </c>
    </row>
    <row r="53">
      <c r="A53" s="14" t="s">
        <v>410</v>
      </c>
      <c r="B53" s="219">
        <f>SUMPRODUCT(B45:B49,C45:C49)</f>
        <v>0.5155973366</v>
      </c>
    </row>
    <row r="56">
      <c r="A56" s="13"/>
    </row>
    <row r="57">
      <c r="B57" s="98"/>
    </row>
    <row r="58">
      <c r="B58" s="98"/>
    </row>
    <row r="59">
      <c r="B59" s="97"/>
    </row>
    <row r="60">
      <c r="B60" s="103"/>
    </row>
    <row r="61">
      <c r="B61" s="103"/>
    </row>
    <row r="62">
      <c r="B62" s="103"/>
    </row>
  </sheetData>
  <hyperlinks>
    <hyperlink r:id="rId2" ref="A45"/>
    <hyperlink r:id="rId3" ref="A46"/>
    <hyperlink r:id="rId4" ref="A47"/>
    <hyperlink r:id="rId5" ref="A48"/>
    <hyperlink r:id="rId6" ref="A49"/>
  </hyperlinks>
  <drawing r:id="rId7"/>
  <legacy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65.29"/>
    <col customWidth="1" min="2" max="2" width="24.86"/>
    <col customWidth="1" min="3" max="3" width="24.29"/>
    <col customWidth="1" min="4" max="4" width="18.29"/>
    <col customWidth="1" min="6" max="6" width="21.71"/>
    <col customWidth="1" min="7" max="7" width="22.29"/>
  </cols>
  <sheetData>
    <row r="1">
      <c r="A1" s="13" t="s">
        <v>411</v>
      </c>
      <c r="B1" s="13"/>
      <c r="C1" s="13"/>
      <c r="D1" s="13"/>
      <c r="E1" s="172"/>
      <c r="F1" s="172"/>
      <c r="G1" s="172"/>
    </row>
    <row r="2">
      <c r="A2" s="172"/>
      <c r="B2" s="172"/>
      <c r="C2" s="172"/>
      <c r="D2" s="172"/>
      <c r="E2" s="172"/>
      <c r="F2" s="172"/>
      <c r="G2" s="172"/>
    </row>
    <row r="3">
      <c r="A3" s="172" t="s">
        <v>206</v>
      </c>
      <c r="B3" s="13" t="s">
        <v>207</v>
      </c>
      <c r="C3" s="13" t="s">
        <v>208</v>
      </c>
      <c r="D3" s="13" t="s">
        <v>209</v>
      </c>
      <c r="E3" s="13" t="s">
        <v>210</v>
      </c>
      <c r="F3" s="172" t="s">
        <v>412</v>
      </c>
      <c r="G3" s="172" t="s">
        <v>413</v>
      </c>
    </row>
    <row r="4">
      <c r="A4" t="s">
        <v>218</v>
      </c>
      <c r="B4" s="176">
        <v>0.7</v>
      </c>
      <c r="C4" s="174">
        <v>29.09</v>
      </c>
      <c r="D4" s="175">
        <v>1351.0</v>
      </c>
      <c r="E4" s="51">
        <f t="shared" ref="E4:E12" si="1">B4*C4*D4</f>
        <v>27510.413</v>
      </c>
      <c r="F4" s="103">
        <v>0.195</v>
      </c>
      <c r="G4" s="106">
        <f t="shared" ref="G4:G12" si="2">(F4*365)/(14+D$52-1)</f>
        <v>3.943388073</v>
      </c>
      <c r="H4" s="51"/>
      <c r="I4" s="14"/>
    </row>
    <row r="5">
      <c r="A5" t="s">
        <v>212</v>
      </c>
      <c r="B5" s="176">
        <v>0.73</v>
      </c>
      <c r="C5" s="174">
        <v>22.73</v>
      </c>
      <c r="D5" s="175">
        <v>3021.0</v>
      </c>
      <c r="E5" s="51">
        <f t="shared" si="1"/>
        <v>50127.1509</v>
      </c>
      <c r="F5" s="103">
        <v>0.182</v>
      </c>
      <c r="G5" s="106">
        <f t="shared" si="2"/>
        <v>3.680495534</v>
      </c>
    </row>
    <row r="6">
      <c r="A6" t="s">
        <v>214</v>
      </c>
      <c r="B6" s="176">
        <v>0.58</v>
      </c>
      <c r="C6" s="174">
        <v>21.83</v>
      </c>
      <c r="D6" s="175">
        <v>1511.0</v>
      </c>
      <c r="E6" s="51">
        <f t="shared" si="1"/>
        <v>19131.3754</v>
      </c>
      <c r="F6" s="103">
        <v>0.235</v>
      </c>
      <c r="G6" s="106">
        <f t="shared" si="2"/>
        <v>4.75228819</v>
      </c>
    </row>
    <row r="7">
      <c r="A7" t="s">
        <v>217</v>
      </c>
      <c r="B7" s="176">
        <v>0.6</v>
      </c>
      <c r="C7" s="174">
        <v>24.99</v>
      </c>
      <c r="D7" s="175">
        <v>4058.0</v>
      </c>
      <c r="E7" s="51">
        <f t="shared" si="1"/>
        <v>60845.652</v>
      </c>
      <c r="F7" s="103">
        <v>0.208</v>
      </c>
      <c r="G7" s="106">
        <f t="shared" si="2"/>
        <v>4.206280611</v>
      </c>
    </row>
    <row r="8">
      <c r="A8" t="s">
        <v>215</v>
      </c>
      <c r="B8" s="176">
        <v>0.64</v>
      </c>
      <c r="C8" s="174">
        <v>21.74</v>
      </c>
      <c r="D8" s="175">
        <v>2359.0</v>
      </c>
      <c r="E8" s="51">
        <f t="shared" si="1"/>
        <v>32822.1824</v>
      </c>
      <c r="F8" s="103">
        <v>0.279</v>
      </c>
      <c r="G8" s="106">
        <f t="shared" si="2"/>
        <v>5.642078319</v>
      </c>
    </row>
    <row r="9">
      <c r="A9" t="s">
        <v>213</v>
      </c>
      <c r="B9" s="176">
        <v>0.61</v>
      </c>
      <c r="C9" s="174">
        <v>22.87</v>
      </c>
      <c r="D9" s="175">
        <v>2876.0</v>
      </c>
      <c r="E9" s="51">
        <f t="shared" si="1"/>
        <v>40122.2132</v>
      </c>
      <c r="F9" s="103">
        <v>0.141</v>
      </c>
      <c r="G9" s="106">
        <f t="shared" si="2"/>
        <v>2.851372914</v>
      </c>
    </row>
    <row r="10">
      <c r="A10" t="s">
        <v>220</v>
      </c>
      <c r="B10" s="176">
        <v>0.79</v>
      </c>
      <c r="C10" s="174">
        <v>15.5</v>
      </c>
      <c r="D10" s="175">
        <v>1079.0</v>
      </c>
      <c r="E10" s="51">
        <f t="shared" si="1"/>
        <v>13212.355</v>
      </c>
      <c r="F10" s="103">
        <v>0.149</v>
      </c>
      <c r="G10" s="106">
        <f t="shared" si="2"/>
        <v>3.013152938</v>
      </c>
      <c r="H10" s="51"/>
    </row>
    <row r="11">
      <c r="A11" t="s">
        <v>219</v>
      </c>
      <c r="B11" s="176">
        <v>0.81</v>
      </c>
      <c r="C11" s="174">
        <v>17.21</v>
      </c>
      <c r="D11" s="176">
        <v>374.0</v>
      </c>
      <c r="E11" s="51">
        <f t="shared" si="1"/>
        <v>5213.5974</v>
      </c>
      <c r="F11" s="103">
        <v>0.093</v>
      </c>
      <c r="G11" s="106">
        <f t="shared" si="2"/>
        <v>1.880692773</v>
      </c>
    </row>
    <row r="12">
      <c r="A12" t="s">
        <v>216</v>
      </c>
      <c r="B12" s="176">
        <v>0.56</v>
      </c>
      <c r="C12" s="174">
        <v>23.59</v>
      </c>
      <c r="D12" s="175">
        <v>1125.0</v>
      </c>
      <c r="E12" s="51">
        <f t="shared" si="1"/>
        <v>14861.7</v>
      </c>
      <c r="F12" s="103">
        <v>0.236</v>
      </c>
      <c r="G12" s="106">
        <f t="shared" si="2"/>
        <v>4.772510693</v>
      </c>
      <c r="H12" s="51"/>
    </row>
    <row r="13">
      <c r="A13" s="172" t="s">
        <v>221</v>
      </c>
      <c r="B13" s="172"/>
      <c r="C13" s="172"/>
      <c r="D13" s="172"/>
      <c r="E13" s="220"/>
      <c r="F13" s="218">
        <f>IFERROR(__xludf.DUMMYFUNCTION("AVERAGE.WEIGHTED(F4:F12,E4:E12)"),0.1986567976642028)</f>
        <v>0.1986567977</v>
      </c>
      <c r="G13" s="221">
        <f>IFERROR(__xludf.DUMMYFUNCTION("AVERAGE.WEIGHTED(G4:G12,E4:E12)"),4.017337674103784)</f>
        <v>4.017337674</v>
      </c>
    </row>
    <row r="14">
      <c r="A14" s="13" t="s">
        <v>414</v>
      </c>
      <c r="F14" s="103"/>
      <c r="G14" s="220">
        <f>G13*B62</f>
        <v>3.81877389</v>
      </c>
    </row>
    <row r="15">
      <c r="F15" s="103"/>
    </row>
    <row r="16">
      <c r="F16" s="103"/>
    </row>
    <row r="17">
      <c r="A17" s="13" t="s">
        <v>415</v>
      </c>
      <c r="B17" s="13"/>
      <c r="C17" s="13"/>
      <c r="D17" s="13"/>
      <c r="F17" s="103"/>
    </row>
    <row r="18">
      <c r="F18" s="103"/>
    </row>
    <row r="19">
      <c r="A19" s="172" t="s">
        <v>223</v>
      </c>
      <c r="B19" s="30" t="s">
        <v>207</v>
      </c>
      <c r="C19" s="30" t="s">
        <v>208</v>
      </c>
      <c r="D19" s="30" t="s">
        <v>209</v>
      </c>
      <c r="E19" s="13" t="s">
        <v>210</v>
      </c>
      <c r="F19" s="172" t="s">
        <v>412</v>
      </c>
      <c r="G19" s="172" t="s">
        <v>416</v>
      </c>
      <c r="H19" s="172" t="s">
        <v>413</v>
      </c>
    </row>
    <row r="20">
      <c r="A20" t="s">
        <v>224</v>
      </c>
      <c r="B20" s="176">
        <v>0.95</v>
      </c>
      <c r="C20" s="176">
        <v>41.42</v>
      </c>
      <c r="D20" s="178">
        <v>414.0</v>
      </c>
      <c r="E20" s="51">
        <f t="shared" ref="E20:E30" si="3">B20*C20*D20</f>
        <v>16290.486</v>
      </c>
      <c r="F20" s="103">
        <v>0.179</v>
      </c>
      <c r="G20" t="s">
        <v>417</v>
      </c>
      <c r="H20" s="106">
        <f t="shared" ref="H20:H30" si="4">(F20*365)/(14+D$52-1)</f>
        <v>3.619828026</v>
      </c>
    </row>
    <row r="21">
      <c r="A21" t="s">
        <v>225</v>
      </c>
      <c r="B21" s="176">
        <v>0.98</v>
      </c>
      <c r="C21" s="176">
        <v>58.84</v>
      </c>
      <c r="D21" s="178">
        <v>379.0</v>
      </c>
      <c r="E21" s="51">
        <f t="shared" si="3"/>
        <v>21854.3528</v>
      </c>
      <c r="F21" s="103">
        <v>0.179</v>
      </c>
      <c r="G21" t="s">
        <v>417</v>
      </c>
      <c r="H21" s="106">
        <f t="shared" si="4"/>
        <v>3.619828026</v>
      </c>
    </row>
    <row r="22">
      <c r="A22" t="s">
        <v>226</v>
      </c>
      <c r="B22" s="176">
        <v>0.59</v>
      </c>
      <c r="C22" s="176">
        <v>56.06</v>
      </c>
      <c r="D22" s="178">
        <v>310.0</v>
      </c>
      <c r="E22" s="51">
        <f t="shared" si="3"/>
        <v>10253.374</v>
      </c>
      <c r="F22" s="103">
        <v>0.179</v>
      </c>
      <c r="G22" t="s">
        <v>417</v>
      </c>
      <c r="H22" s="106">
        <f t="shared" si="4"/>
        <v>3.619828026</v>
      </c>
    </row>
    <row r="23">
      <c r="A23" t="s">
        <v>227</v>
      </c>
      <c r="B23" s="176">
        <v>1.03</v>
      </c>
      <c r="C23" s="176">
        <v>42.92</v>
      </c>
      <c r="D23" s="178">
        <v>357.0</v>
      </c>
      <c r="E23" s="51">
        <f t="shared" si="3"/>
        <v>15782.1132</v>
      </c>
      <c r="F23" s="103">
        <v>0.179</v>
      </c>
      <c r="G23" t="s">
        <v>417</v>
      </c>
      <c r="H23" s="106">
        <f t="shared" si="4"/>
        <v>3.619828026</v>
      </c>
    </row>
    <row r="24">
      <c r="A24" t="s">
        <v>229</v>
      </c>
      <c r="B24" s="176">
        <v>0.69</v>
      </c>
      <c r="C24" s="174">
        <v>46.3</v>
      </c>
      <c r="D24" s="178">
        <v>384.0</v>
      </c>
      <c r="E24" s="51">
        <f t="shared" si="3"/>
        <v>12267.648</v>
      </c>
      <c r="F24" s="103">
        <v>0.143</v>
      </c>
      <c r="G24" t="s">
        <v>418</v>
      </c>
      <c r="H24" s="106">
        <f t="shared" si="4"/>
        <v>2.89181792</v>
      </c>
    </row>
    <row r="25">
      <c r="A25" t="s">
        <v>228</v>
      </c>
      <c r="B25" s="176">
        <v>0.75</v>
      </c>
      <c r="C25" s="176">
        <v>35.92</v>
      </c>
      <c r="D25" s="178">
        <v>862.0</v>
      </c>
      <c r="E25" s="51">
        <f t="shared" si="3"/>
        <v>23222.28</v>
      </c>
      <c r="F25" s="103">
        <v>0.143</v>
      </c>
      <c r="G25" t="s">
        <v>418</v>
      </c>
      <c r="H25" s="106">
        <f t="shared" si="4"/>
        <v>2.89181792</v>
      </c>
    </row>
    <row r="26">
      <c r="A26" t="s">
        <v>230</v>
      </c>
      <c r="B26" s="176">
        <v>0.65</v>
      </c>
      <c r="C26" s="176">
        <v>47.84</v>
      </c>
      <c r="D26" s="178">
        <v>555.0</v>
      </c>
      <c r="E26" s="51">
        <f t="shared" si="3"/>
        <v>17258.28</v>
      </c>
      <c r="F26" s="103">
        <v>0.143</v>
      </c>
      <c r="G26" t="s">
        <v>418</v>
      </c>
      <c r="H26" s="106">
        <f t="shared" si="4"/>
        <v>2.89181792</v>
      </c>
    </row>
    <row r="27">
      <c r="A27" t="s">
        <v>231</v>
      </c>
      <c r="B27" s="176">
        <v>0.93</v>
      </c>
      <c r="C27" s="176">
        <v>54.57</v>
      </c>
      <c r="D27" s="178">
        <v>407.0</v>
      </c>
      <c r="E27" s="51">
        <f t="shared" si="3"/>
        <v>20655.2907</v>
      </c>
      <c r="F27" s="103">
        <v>0.273</v>
      </c>
      <c r="G27" t="s">
        <v>419</v>
      </c>
      <c r="H27" s="106">
        <f t="shared" si="4"/>
        <v>5.520743302</v>
      </c>
    </row>
    <row r="28">
      <c r="A28" s="14" t="s">
        <v>232</v>
      </c>
      <c r="B28" s="176">
        <v>0.58</v>
      </c>
      <c r="C28" s="176">
        <v>61.69</v>
      </c>
      <c r="D28" s="178">
        <v>422.0</v>
      </c>
      <c r="E28" s="51">
        <f t="shared" si="3"/>
        <v>15099.2444</v>
      </c>
      <c r="F28" s="103">
        <v>0.179</v>
      </c>
      <c r="G28" s="14" t="s">
        <v>417</v>
      </c>
      <c r="H28" s="106">
        <f t="shared" si="4"/>
        <v>3.619828026</v>
      </c>
    </row>
    <row r="29">
      <c r="A29" t="s">
        <v>233</v>
      </c>
      <c r="B29" s="176">
        <v>0.82</v>
      </c>
      <c r="C29" s="176">
        <v>24.16</v>
      </c>
      <c r="D29" s="178">
        <v>734.0</v>
      </c>
      <c r="E29" s="51">
        <f t="shared" si="3"/>
        <v>14541.4208</v>
      </c>
      <c r="F29" s="103">
        <v>0.143</v>
      </c>
      <c r="G29" t="s">
        <v>418</v>
      </c>
      <c r="H29" s="106">
        <f t="shared" si="4"/>
        <v>2.89181792</v>
      </c>
    </row>
    <row r="30">
      <c r="A30" t="s">
        <v>234</v>
      </c>
      <c r="B30" s="176">
        <v>0.82</v>
      </c>
      <c r="C30" s="176">
        <v>46.55</v>
      </c>
      <c r="D30" s="178">
        <v>565.0</v>
      </c>
      <c r="E30" s="51">
        <f t="shared" si="3"/>
        <v>21566.615</v>
      </c>
      <c r="F30" s="103">
        <v>0.179</v>
      </c>
      <c r="G30" t="s">
        <v>417</v>
      </c>
      <c r="H30" s="106">
        <f t="shared" si="4"/>
        <v>3.619828026</v>
      </c>
    </row>
    <row r="31">
      <c r="A31" s="172" t="s">
        <v>221</v>
      </c>
      <c r="B31" s="172"/>
      <c r="C31" s="172"/>
      <c r="D31" s="172"/>
      <c r="E31" s="220"/>
      <c r="F31" s="218">
        <f>sumproduct(E20:E30,F20:F30)/SUM(E20:E30)</f>
        <v>0.1764531146</v>
      </c>
      <c r="G31" s="172"/>
      <c r="H31" s="221">
        <f>IFERROR(__xludf.DUMMYFUNCTION("AVERAGE.WEIGHTED(H20:H30,E20:E30)"),3.568323627894385)</f>
        <v>3.568323628</v>
      </c>
    </row>
    <row r="32">
      <c r="A32" s="13" t="s">
        <v>414</v>
      </c>
      <c r="B32" s="222"/>
      <c r="C32" s="222"/>
      <c r="D32" s="222"/>
      <c r="E32" s="5"/>
      <c r="F32" s="212"/>
      <c r="G32" s="223"/>
      <c r="H32" s="220">
        <f>H31*B63</f>
        <v>3.460366952</v>
      </c>
      <c r="I32" s="223"/>
      <c r="J32" s="223"/>
      <c r="K32" s="223"/>
      <c r="L32" s="223"/>
      <c r="M32" s="223"/>
    </row>
    <row r="33">
      <c r="A33" s="5"/>
      <c r="B33" s="5"/>
      <c r="C33" s="5"/>
      <c r="D33" s="5"/>
      <c r="E33" s="5"/>
      <c r="F33" s="224"/>
      <c r="G33" s="223"/>
      <c r="H33" s="223"/>
      <c r="I33" s="223"/>
      <c r="J33" s="223"/>
      <c r="K33" s="223"/>
      <c r="L33" s="223"/>
      <c r="M33" s="223"/>
    </row>
    <row r="34">
      <c r="A34" s="5"/>
      <c r="B34" s="5"/>
      <c r="C34" s="5"/>
      <c r="D34" s="5"/>
      <c r="E34" s="5"/>
      <c r="F34" s="224"/>
      <c r="G34" s="223"/>
      <c r="H34" s="223"/>
      <c r="I34" s="223"/>
      <c r="J34" s="223"/>
      <c r="K34" s="223"/>
      <c r="L34" s="223"/>
      <c r="M34" s="223"/>
    </row>
    <row r="35">
      <c r="A35" s="200" t="s">
        <v>420</v>
      </c>
      <c r="B35" s="200"/>
      <c r="C35" s="200"/>
      <c r="D35" s="200"/>
      <c r="E35" s="5"/>
      <c r="F35" s="224"/>
      <c r="G35" s="223"/>
      <c r="H35" s="223"/>
      <c r="I35" s="223"/>
      <c r="J35" s="223"/>
      <c r="K35" s="223"/>
      <c r="L35" s="223"/>
      <c r="M35" s="223"/>
    </row>
    <row r="36">
      <c r="F36" s="103"/>
      <c r="I36" s="223"/>
      <c r="J36" s="223"/>
      <c r="K36" s="223"/>
      <c r="L36" s="223"/>
      <c r="M36" s="223"/>
    </row>
    <row r="37">
      <c r="A37" s="13" t="s">
        <v>421</v>
      </c>
      <c r="B37" s="30" t="s">
        <v>207</v>
      </c>
      <c r="C37" s="30" t="s">
        <v>208</v>
      </c>
      <c r="D37" s="30" t="s">
        <v>209</v>
      </c>
      <c r="E37" s="13" t="s">
        <v>210</v>
      </c>
      <c r="F37" s="172" t="s">
        <v>412</v>
      </c>
      <c r="G37" s="172" t="s">
        <v>416</v>
      </c>
      <c r="H37" s="172" t="s">
        <v>413</v>
      </c>
      <c r="I37" s="223"/>
      <c r="J37" s="223"/>
      <c r="K37" s="223"/>
      <c r="L37" s="223"/>
      <c r="M37" s="223"/>
    </row>
    <row r="38">
      <c r="A38" s="14" t="s">
        <v>422</v>
      </c>
      <c r="B38" s="176">
        <v>0.57</v>
      </c>
      <c r="C38" s="176">
        <v>48.72</v>
      </c>
      <c r="D38" s="178">
        <v>509.0</v>
      </c>
      <c r="E38" s="188">
        <f t="shared" ref="E38:E44" si="5">B38*C38*D38</f>
        <v>14135.1336</v>
      </c>
      <c r="F38" s="103">
        <v>0.204</v>
      </c>
      <c r="G38" s="14" t="s">
        <v>423</v>
      </c>
      <c r="H38" s="220">
        <f t="shared" ref="H38:H44" si="6">(F38*365)/(14+D$52-1)</f>
        <v>4.125390599</v>
      </c>
      <c r="I38" s="223"/>
      <c r="J38" s="223"/>
      <c r="K38" s="223"/>
      <c r="L38" s="223"/>
      <c r="M38" s="223"/>
    </row>
    <row r="39">
      <c r="A39" s="14" t="s">
        <v>424</v>
      </c>
      <c r="B39" s="176">
        <v>0.56</v>
      </c>
      <c r="C39" s="176">
        <v>34.04</v>
      </c>
      <c r="D39" s="178">
        <v>229.0</v>
      </c>
      <c r="E39" s="188">
        <f t="shared" si="5"/>
        <v>4365.2896</v>
      </c>
      <c r="F39" s="103">
        <v>0.204</v>
      </c>
      <c r="G39" s="14" t="s">
        <v>423</v>
      </c>
      <c r="H39" s="220">
        <f t="shared" si="6"/>
        <v>4.125390599</v>
      </c>
      <c r="I39" s="223"/>
      <c r="J39" s="223"/>
      <c r="K39" s="223"/>
      <c r="L39" s="223"/>
      <c r="M39" s="223"/>
    </row>
    <row r="40">
      <c r="A40" s="14" t="s">
        <v>425</v>
      </c>
      <c r="B40" s="176">
        <v>0.7</v>
      </c>
      <c r="C40" s="176">
        <v>23.03</v>
      </c>
      <c r="D40" s="178">
        <v>717.0</v>
      </c>
      <c r="E40" s="188">
        <f t="shared" si="5"/>
        <v>11558.757</v>
      </c>
      <c r="F40" s="103">
        <v>0.204</v>
      </c>
      <c r="G40" s="14" t="s">
        <v>423</v>
      </c>
      <c r="H40" s="220">
        <f t="shared" si="6"/>
        <v>4.125390599</v>
      </c>
      <c r="I40" s="223"/>
      <c r="J40" s="223"/>
      <c r="K40" s="223"/>
      <c r="L40" s="223"/>
      <c r="M40" s="223"/>
    </row>
    <row r="41">
      <c r="A41" s="14" t="s">
        <v>426</v>
      </c>
      <c r="B41" s="176">
        <v>0.67</v>
      </c>
      <c r="C41" s="176">
        <v>49.09</v>
      </c>
      <c r="D41" s="178">
        <v>668.0</v>
      </c>
      <c r="E41" s="188">
        <f t="shared" si="5"/>
        <v>21970.7204</v>
      </c>
      <c r="F41" s="103">
        <v>0.204</v>
      </c>
      <c r="G41" s="14" t="s">
        <v>423</v>
      </c>
      <c r="H41" s="220">
        <f t="shared" si="6"/>
        <v>4.125390599</v>
      </c>
      <c r="I41" s="223"/>
      <c r="J41" s="223"/>
      <c r="K41" s="223"/>
      <c r="L41" s="223"/>
      <c r="M41" s="223"/>
    </row>
    <row r="42">
      <c r="A42" s="14" t="s">
        <v>427</v>
      </c>
      <c r="B42" s="176">
        <v>0.65</v>
      </c>
      <c r="C42" s="176">
        <v>26.32</v>
      </c>
      <c r="D42" s="178">
        <v>223.0</v>
      </c>
      <c r="E42" s="188">
        <f t="shared" si="5"/>
        <v>3815.084</v>
      </c>
      <c r="F42" s="103">
        <v>0.204</v>
      </c>
      <c r="G42" s="14" t="s">
        <v>423</v>
      </c>
      <c r="H42" s="220">
        <f t="shared" si="6"/>
        <v>4.125390599</v>
      </c>
      <c r="I42" s="223"/>
      <c r="J42" s="223"/>
      <c r="K42" s="223"/>
      <c r="L42" s="223"/>
      <c r="M42" s="223"/>
    </row>
    <row r="43">
      <c r="A43" s="14" t="s">
        <v>428</v>
      </c>
      <c r="B43" s="176">
        <v>0.64</v>
      </c>
      <c r="C43" s="174">
        <v>47.2</v>
      </c>
      <c r="D43" s="178">
        <v>738.0</v>
      </c>
      <c r="E43" s="188">
        <f t="shared" si="5"/>
        <v>22293.504</v>
      </c>
      <c r="F43" s="103">
        <v>0.204</v>
      </c>
      <c r="G43" s="14" t="s">
        <v>423</v>
      </c>
      <c r="H43" s="220">
        <f t="shared" si="6"/>
        <v>4.125390599</v>
      </c>
      <c r="I43" s="223"/>
      <c r="J43" s="223"/>
      <c r="K43" s="223"/>
      <c r="L43" s="223"/>
      <c r="M43" s="223"/>
    </row>
    <row r="44">
      <c r="A44" s="14" t="s">
        <v>429</v>
      </c>
      <c r="B44" s="176">
        <v>0.56</v>
      </c>
      <c r="C44" s="176">
        <v>37.85</v>
      </c>
      <c r="D44" s="178">
        <v>659.0</v>
      </c>
      <c r="E44" s="188">
        <f t="shared" si="5"/>
        <v>13968.164</v>
      </c>
      <c r="F44" s="103">
        <v>0.204</v>
      </c>
      <c r="G44" s="14" t="s">
        <v>423</v>
      </c>
      <c r="H44" s="220">
        <f t="shared" si="6"/>
        <v>4.125390599</v>
      </c>
      <c r="I44" s="223"/>
      <c r="J44" s="223"/>
      <c r="K44" s="223"/>
      <c r="L44" s="223"/>
      <c r="M44" s="223"/>
    </row>
    <row r="45">
      <c r="A45" s="172" t="s">
        <v>221</v>
      </c>
      <c r="E45" s="51"/>
      <c r="F45" s="218">
        <f>sumproduct(E38:E44,F38:F44)/SUM(E38:E44)</f>
        <v>0.204</v>
      </c>
      <c r="H45" s="221">
        <f>IFERROR(__xludf.DUMMYFUNCTION("AVERAGE.WEIGHTED(H38:H44,E38:E44)"),4.12539059902932)</f>
        <v>4.125390599</v>
      </c>
      <c r="I45" s="223"/>
      <c r="J45" s="223"/>
      <c r="K45" s="223"/>
      <c r="L45" s="223"/>
      <c r="M45" s="223"/>
    </row>
    <row r="46">
      <c r="A46" s="13" t="s">
        <v>414</v>
      </c>
      <c r="H46" s="220">
        <f>H45*B64</f>
        <v>3.980509156</v>
      </c>
    </row>
    <row r="49">
      <c r="A49" s="13" t="s">
        <v>430</v>
      </c>
      <c r="B49" s="13"/>
      <c r="C49" s="13"/>
      <c r="D49" s="13"/>
    </row>
    <row r="51">
      <c r="A51" s="172" t="s">
        <v>431</v>
      </c>
      <c r="B51" s="172" t="s">
        <v>432</v>
      </c>
      <c r="C51" s="13" t="s">
        <v>433</v>
      </c>
      <c r="D51" s="13" t="s">
        <v>434</v>
      </c>
      <c r="F51" s="172"/>
      <c r="G51" s="172"/>
    </row>
    <row r="52">
      <c r="A52" s="225" t="s">
        <v>435</v>
      </c>
      <c r="D52" s="220">
        <f>IFERROR(__xludf.DUMMYFUNCTION("AVERAGE.WEIGHTED(C53:C55,B53:B55)"),5.0492)</f>
        <v>5.0492</v>
      </c>
    </row>
    <row r="53">
      <c r="A53" s="51" t="s">
        <v>436</v>
      </c>
      <c r="B53">
        <v>0.648</v>
      </c>
      <c r="C53">
        <v>4.3</v>
      </c>
    </row>
    <row r="54">
      <c r="A54" s="51" t="s">
        <v>437</v>
      </c>
      <c r="B54">
        <v>0.347</v>
      </c>
      <c r="C54">
        <v>6.4</v>
      </c>
    </row>
    <row r="55">
      <c r="A55" s="51" t="s">
        <v>438</v>
      </c>
      <c r="B55">
        <v>0.005</v>
      </c>
      <c r="C55">
        <v>8.4</v>
      </c>
    </row>
    <row r="58">
      <c r="A58" s="13" t="s">
        <v>439</v>
      </c>
    </row>
    <row r="60">
      <c r="A60" s="14" t="s">
        <v>440</v>
      </c>
      <c r="B60" s="188">
        <f>SLOPE(H91:H111,G91:G111)</f>
        <v>-2082.016878</v>
      </c>
    </row>
    <row r="61">
      <c r="A61" s="14" t="s">
        <v>441</v>
      </c>
      <c r="B61" s="188">
        <f>INTERCEPT(H91:H111,G91:G111)</f>
        <v>4403798.568</v>
      </c>
    </row>
    <row r="62">
      <c r="A62" s="14" t="s">
        <v>442</v>
      </c>
      <c r="B62" s="90">
        <f>(B$60*2019+B$61)/(B$60*2014+B$61)</f>
        <v>0.9505732899</v>
      </c>
    </row>
    <row r="63">
      <c r="A63" s="14" t="s">
        <v>443</v>
      </c>
      <c r="B63" s="90">
        <f>(B$60*2019+B$61)/(B$60*2016+B$61)</f>
        <v>0.9697458283</v>
      </c>
    </row>
    <row r="64">
      <c r="A64" s="14" t="s">
        <v>444</v>
      </c>
      <c r="B64" s="90">
        <f>(B$60*2019+B$61)/(B$60*2015.5+B$61)</f>
        <v>0.9648805513</v>
      </c>
    </row>
    <row r="65">
      <c r="A65" s="13"/>
    </row>
    <row r="66">
      <c r="A66" s="13"/>
    </row>
    <row r="67">
      <c r="A67" s="13"/>
    </row>
    <row r="68">
      <c r="A68" s="13"/>
    </row>
    <row r="69">
      <c r="A69" s="13" t="s">
        <v>445</v>
      </c>
      <c r="B69" s="13" t="s">
        <v>446</v>
      </c>
      <c r="C69" s="13" t="s">
        <v>447</v>
      </c>
      <c r="D69" s="13" t="s">
        <v>448</v>
      </c>
      <c r="E69" s="13" t="s">
        <v>449</v>
      </c>
      <c r="F69" s="13"/>
      <c r="G69" s="13"/>
    </row>
    <row r="70">
      <c r="A70" s="14" t="s">
        <v>450</v>
      </c>
      <c r="B70" s="103">
        <v>0.576</v>
      </c>
      <c r="C70" s="103">
        <v>0.576</v>
      </c>
      <c r="D70" s="103">
        <v>0.705</v>
      </c>
      <c r="E70" s="98">
        <v>0.658</v>
      </c>
    </row>
    <row r="71">
      <c r="A71" s="14" t="s">
        <v>451</v>
      </c>
      <c r="B71" s="103">
        <f t="shared" ref="B71:E71" si="7">$C85</f>
        <v>0.05825</v>
      </c>
      <c r="C71" s="103">
        <f t="shared" si="7"/>
        <v>0.05825</v>
      </c>
      <c r="D71" s="103">
        <f t="shared" si="7"/>
        <v>0.05825</v>
      </c>
      <c r="E71" s="103">
        <f t="shared" si="7"/>
        <v>0.05825</v>
      </c>
    </row>
    <row r="72">
      <c r="A72" s="14" t="s">
        <v>452</v>
      </c>
      <c r="B72" s="103">
        <f t="shared" ref="B72:E72" si="8">B70-B71</f>
        <v>0.51775</v>
      </c>
      <c r="C72" s="103">
        <f t="shared" si="8"/>
        <v>0.51775</v>
      </c>
      <c r="D72" s="103">
        <f t="shared" si="8"/>
        <v>0.64675</v>
      </c>
      <c r="E72" s="103">
        <f t="shared" si="8"/>
        <v>0.59975</v>
      </c>
      <c r="G72" s="50"/>
      <c r="H72" s="50"/>
      <c r="I72" s="50"/>
      <c r="J72" s="50"/>
    </row>
    <row r="73">
      <c r="A73" t="s">
        <v>453</v>
      </c>
      <c r="B73" s="226">
        <v>116.59</v>
      </c>
      <c r="C73" s="226">
        <v>116.59</v>
      </c>
      <c r="D73" s="226">
        <v>44.23</v>
      </c>
      <c r="E73" s="226">
        <v>44.23</v>
      </c>
    </row>
    <row r="74">
      <c r="A74" t="s">
        <v>454</v>
      </c>
      <c r="B74" s="226">
        <v>32.58</v>
      </c>
      <c r="C74" s="226">
        <v>32.58</v>
      </c>
      <c r="D74" s="226">
        <v>13.94</v>
      </c>
      <c r="E74" s="226">
        <v>13.94</v>
      </c>
    </row>
    <row r="75">
      <c r="A75" s="14" t="s">
        <v>455</v>
      </c>
      <c r="B75" s="226">
        <f>($B$71*$B$73+$B$72*$B$74)*$G$13</f>
        <v>95.04885352</v>
      </c>
      <c r="C75" s="226">
        <f>(B$71*B$73+B$72*B$74)*G$13</f>
        <v>95.04885352</v>
      </c>
      <c r="D75" s="226">
        <f>(D71*D73+D72*D74)*H31</f>
        <v>41.36433756</v>
      </c>
      <c r="E75" s="226">
        <f>(E71*E73+E72*E74)*H45</f>
        <v>45.11903601</v>
      </c>
    </row>
    <row r="76">
      <c r="A76" t="s">
        <v>121</v>
      </c>
      <c r="B76" s="226">
        <f>B75*'ILC Kenya'!B33</f>
        <v>15.9491464</v>
      </c>
      <c r="C76" s="226">
        <f>C75*DSW!B33</f>
        <v>8.149982753</v>
      </c>
      <c r="D76" s="226">
        <f>D75*DSW!C33</f>
        <v>5.700287798</v>
      </c>
      <c r="E76" s="226">
        <f>E75*DSW!D33</f>
        <v>8.053742402</v>
      </c>
    </row>
    <row r="80">
      <c r="A80" s="172" t="s">
        <v>456</v>
      </c>
      <c r="B80" s="172" t="s">
        <v>354</v>
      </c>
      <c r="C80" s="172" t="s">
        <v>457</v>
      </c>
    </row>
    <row r="81">
      <c r="A81" s="186" t="s">
        <v>458</v>
      </c>
      <c r="B81" t="s">
        <v>459</v>
      </c>
      <c r="C81" s="103">
        <v>0.016</v>
      </c>
    </row>
    <row r="82">
      <c r="A82" s="186" t="s">
        <v>460</v>
      </c>
      <c r="B82" t="s">
        <v>461</v>
      </c>
      <c r="C82" s="103">
        <v>0.082</v>
      </c>
    </row>
    <row r="83">
      <c r="A83" s="186" t="s">
        <v>462</v>
      </c>
      <c r="B83" t="s">
        <v>463</v>
      </c>
      <c r="C83" s="103">
        <v>0.068</v>
      </c>
    </row>
    <row r="84">
      <c r="A84" s="186" t="s">
        <v>464</v>
      </c>
      <c r="B84" t="s">
        <v>465</v>
      </c>
      <c r="C84" s="103">
        <v>0.067</v>
      </c>
    </row>
    <row r="85">
      <c r="A85" s="172" t="s">
        <v>466</v>
      </c>
      <c r="B85" s="172"/>
      <c r="C85" s="218">
        <f>AVERAGE(C81:C84)</f>
        <v>0.05825</v>
      </c>
    </row>
    <row r="86">
      <c r="B86" s="172"/>
      <c r="C86" s="172"/>
      <c r="D86" s="172"/>
    </row>
    <row r="88">
      <c r="A88" s="13" t="s">
        <v>467</v>
      </c>
    </row>
    <row r="89">
      <c r="A89" s="173"/>
    </row>
    <row r="90">
      <c r="A90" s="173" t="s">
        <v>64</v>
      </c>
      <c r="B90" s="173" t="s">
        <v>65</v>
      </c>
      <c r="C90" s="173" t="s">
        <v>66</v>
      </c>
      <c r="D90" s="173" t="s">
        <v>67</v>
      </c>
      <c r="E90" s="173" t="s">
        <v>68</v>
      </c>
      <c r="F90" s="173" t="s">
        <v>69</v>
      </c>
      <c r="G90" s="173" t="s">
        <v>70</v>
      </c>
      <c r="H90" s="173" t="s">
        <v>71</v>
      </c>
      <c r="I90" s="173" t="s">
        <v>72</v>
      </c>
      <c r="J90" s="173" t="s">
        <v>73</v>
      </c>
    </row>
    <row r="91">
      <c r="A91" s="173" t="s">
        <v>468</v>
      </c>
      <c r="B91" s="173" t="s">
        <v>75</v>
      </c>
      <c r="C91" s="173" t="s">
        <v>76</v>
      </c>
      <c r="D91" s="173" t="s">
        <v>369</v>
      </c>
      <c r="E91" s="173" t="s">
        <v>469</v>
      </c>
      <c r="F91" s="173" t="s">
        <v>470</v>
      </c>
      <c r="G91" s="173">
        <v>1999.0</v>
      </c>
      <c r="H91" s="173">
        <v>241550.4959</v>
      </c>
      <c r="I91" s="173">
        <v>269280.3296</v>
      </c>
      <c r="J91" s="173">
        <v>209228.0228</v>
      </c>
    </row>
    <row r="92">
      <c r="A92" s="173" t="s">
        <v>468</v>
      </c>
      <c r="B92" s="173" t="s">
        <v>75</v>
      </c>
      <c r="C92" s="173" t="s">
        <v>76</v>
      </c>
      <c r="D92" s="173" t="s">
        <v>369</v>
      </c>
      <c r="E92" s="173" t="s">
        <v>469</v>
      </c>
      <c r="F92" s="173" t="s">
        <v>470</v>
      </c>
      <c r="G92" s="173">
        <v>2000.0</v>
      </c>
      <c r="H92" s="173">
        <v>241321.7454</v>
      </c>
      <c r="I92" s="173">
        <v>268834.8913</v>
      </c>
      <c r="J92" s="173">
        <v>208998.2709</v>
      </c>
    </row>
    <row r="93">
      <c r="A93" s="173" t="s">
        <v>468</v>
      </c>
      <c r="B93" s="173" t="s">
        <v>75</v>
      </c>
      <c r="C93" s="173" t="s">
        <v>76</v>
      </c>
      <c r="D93" s="173" t="s">
        <v>369</v>
      </c>
      <c r="E93" s="173" t="s">
        <v>469</v>
      </c>
      <c r="F93" s="173" t="s">
        <v>470</v>
      </c>
      <c r="G93" s="173">
        <v>2001.0</v>
      </c>
      <c r="H93" s="173">
        <v>240100.8409</v>
      </c>
      <c r="I93" s="173">
        <v>267282.8982</v>
      </c>
      <c r="J93" s="173">
        <v>208623.738</v>
      </c>
    </row>
    <row r="94">
      <c r="A94" s="173" t="s">
        <v>468</v>
      </c>
      <c r="B94" s="173" t="s">
        <v>75</v>
      </c>
      <c r="C94" s="173" t="s">
        <v>76</v>
      </c>
      <c r="D94" s="173" t="s">
        <v>369</v>
      </c>
      <c r="E94" s="173" t="s">
        <v>469</v>
      </c>
      <c r="F94" s="173" t="s">
        <v>470</v>
      </c>
      <c r="G94" s="173">
        <v>2002.0</v>
      </c>
      <c r="H94" s="173">
        <v>237543.6767</v>
      </c>
      <c r="I94" s="173">
        <v>264589.7224</v>
      </c>
      <c r="J94" s="173">
        <v>207125.3986</v>
      </c>
    </row>
    <row r="95">
      <c r="A95" s="173" t="s">
        <v>468</v>
      </c>
      <c r="B95" s="173" t="s">
        <v>75</v>
      </c>
      <c r="C95" s="173" t="s">
        <v>76</v>
      </c>
      <c r="D95" s="173" t="s">
        <v>369</v>
      </c>
      <c r="E95" s="173" t="s">
        <v>469</v>
      </c>
      <c r="F95" s="173" t="s">
        <v>470</v>
      </c>
      <c r="G95" s="173">
        <v>2003.0</v>
      </c>
      <c r="H95" s="173">
        <v>234355.0956</v>
      </c>
      <c r="I95" s="173">
        <v>261206.0578</v>
      </c>
      <c r="J95" s="173">
        <v>205233.8388</v>
      </c>
    </row>
    <row r="96">
      <c r="A96" s="173" t="s">
        <v>468</v>
      </c>
      <c r="B96" s="173" t="s">
        <v>75</v>
      </c>
      <c r="C96" s="173" t="s">
        <v>76</v>
      </c>
      <c r="D96" s="173" t="s">
        <v>369</v>
      </c>
      <c r="E96" s="173" t="s">
        <v>469</v>
      </c>
      <c r="F96" s="173" t="s">
        <v>470</v>
      </c>
      <c r="G96" s="173">
        <v>2004.0</v>
      </c>
      <c r="H96" s="173">
        <v>231257.891</v>
      </c>
      <c r="I96" s="173">
        <v>257276.2517</v>
      </c>
      <c r="J96" s="173">
        <v>202825.0396</v>
      </c>
    </row>
    <row r="97">
      <c r="A97" s="173" t="s">
        <v>468</v>
      </c>
      <c r="B97" s="173" t="s">
        <v>75</v>
      </c>
      <c r="C97" s="173" t="s">
        <v>76</v>
      </c>
      <c r="D97" s="173" t="s">
        <v>369</v>
      </c>
      <c r="E97" s="173" t="s">
        <v>469</v>
      </c>
      <c r="F97" s="173" t="s">
        <v>470</v>
      </c>
      <c r="G97" s="173">
        <v>2005.0</v>
      </c>
      <c r="H97" s="173">
        <v>228996.6726</v>
      </c>
      <c r="I97" s="173">
        <v>254446.7819</v>
      </c>
      <c r="J97" s="173">
        <v>200741.5247</v>
      </c>
    </row>
    <row r="98">
      <c r="A98" s="173" t="s">
        <v>468</v>
      </c>
      <c r="B98" s="173" t="s">
        <v>75</v>
      </c>
      <c r="C98" s="173" t="s">
        <v>76</v>
      </c>
      <c r="D98" s="173" t="s">
        <v>369</v>
      </c>
      <c r="E98" s="173" t="s">
        <v>469</v>
      </c>
      <c r="F98" s="173" t="s">
        <v>470</v>
      </c>
      <c r="G98" s="173">
        <v>2006.0</v>
      </c>
      <c r="H98" s="173">
        <v>226951.6108</v>
      </c>
      <c r="I98" s="173">
        <v>252480.5577</v>
      </c>
      <c r="J98" s="173">
        <v>198647.1074</v>
      </c>
    </row>
    <row r="99">
      <c r="A99" s="173" t="s">
        <v>468</v>
      </c>
      <c r="B99" s="173" t="s">
        <v>75</v>
      </c>
      <c r="C99" s="173" t="s">
        <v>76</v>
      </c>
      <c r="D99" s="173" t="s">
        <v>369</v>
      </c>
      <c r="E99" s="173" t="s">
        <v>469</v>
      </c>
      <c r="F99" s="173" t="s">
        <v>470</v>
      </c>
      <c r="G99" s="173">
        <v>2007.0</v>
      </c>
      <c r="H99" s="173">
        <v>224289.5609</v>
      </c>
      <c r="I99" s="173">
        <v>250130.0362</v>
      </c>
      <c r="J99" s="173">
        <v>195958.4389</v>
      </c>
    </row>
    <row r="100">
      <c r="A100" s="173" t="s">
        <v>468</v>
      </c>
      <c r="B100" s="173" t="s">
        <v>75</v>
      </c>
      <c r="C100" s="173" t="s">
        <v>76</v>
      </c>
      <c r="D100" s="173" t="s">
        <v>369</v>
      </c>
      <c r="E100" s="173" t="s">
        <v>469</v>
      </c>
      <c r="F100" s="173" t="s">
        <v>470</v>
      </c>
      <c r="G100" s="173">
        <v>2008.0</v>
      </c>
      <c r="H100" s="173">
        <v>221433.3508</v>
      </c>
      <c r="I100" s="173">
        <v>247354.9469</v>
      </c>
      <c r="J100" s="173">
        <v>193145.0592</v>
      </c>
    </row>
    <row r="101">
      <c r="A101" s="173" t="s">
        <v>468</v>
      </c>
      <c r="B101" s="173" t="s">
        <v>75</v>
      </c>
      <c r="C101" s="173" t="s">
        <v>76</v>
      </c>
      <c r="D101" s="173" t="s">
        <v>369</v>
      </c>
      <c r="E101" s="173" t="s">
        <v>469</v>
      </c>
      <c r="F101" s="173" t="s">
        <v>470</v>
      </c>
      <c r="G101" s="173">
        <v>2009.0</v>
      </c>
      <c r="H101" s="173">
        <v>218784.0473</v>
      </c>
      <c r="I101" s="173">
        <v>245089.438</v>
      </c>
      <c r="J101" s="173">
        <v>190715.035</v>
      </c>
    </row>
    <row r="102">
      <c r="A102" s="173" t="s">
        <v>468</v>
      </c>
      <c r="B102" s="173" t="s">
        <v>75</v>
      </c>
      <c r="C102" s="173" t="s">
        <v>76</v>
      </c>
      <c r="D102" s="173" t="s">
        <v>369</v>
      </c>
      <c r="E102" s="173" t="s">
        <v>469</v>
      </c>
      <c r="F102" s="173" t="s">
        <v>470</v>
      </c>
      <c r="G102" s="173">
        <v>2010.0</v>
      </c>
      <c r="H102" s="173">
        <v>216744.3659</v>
      </c>
      <c r="I102" s="173">
        <v>243704.0686</v>
      </c>
      <c r="J102" s="173">
        <v>188515.4814</v>
      </c>
    </row>
    <row r="103">
      <c r="A103" s="173" t="s">
        <v>468</v>
      </c>
      <c r="B103" s="173" t="s">
        <v>75</v>
      </c>
      <c r="C103" s="173" t="s">
        <v>76</v>
      </c>
      <c r="D103" s="173" t="s">
        <v>369</v>
      </c>
      <c r="E103" s="173" t="s">
        <v>469</v>
      </c>
      <c r="F103" s="173" t="s">
        <v>470</v>
      </c>
      <c r="G103" s="173">
        <v>2011.0</v>
      </c>
      <c r="H103" s="173">
        <v>215119.598</v>
      </c>
      <c r="I103" s="173">
        <v>242160.5927</v>
      </c>
      <c r="J103" s="173">
        <v>186232.3758</v>
      </c>
    </row>
    <row r="104">
      <c r="A104" s="173" t="s">
        <v>468</v>
      </c>
      <c r="B104" s="173" t="s">
        <v>75</v>
      </c>
      <c r="C104" s="173" t="s">
        <v>76</v>
      </c>
      <c r="D104" s="173" t="s">
        <v>369</v>
      </c>
      <c r="E104" s="173" t="s">
        <v>469</v>
      </c>
      <c r="F104" s="173" t="s">
        <v>470</v>
      </c>
      <c r="G104" s="173">
        <v>2012.0</v>
      </c>
      <c r="H104" s="173">
        <v>213464.7349</v>
      </c>
      <c r="I104" s="173">
        <v>240967.4547</v>
      </c>
      <c r="J104" s="173">
        <v>184167.6973</v>
      </c>
    </row>
    <row r="105">
      <c r="A105" s="173" t="s">
        <v>468</v>
      </c>
      <c r="B105" s="173" t="s">
        <v>75</v>
      </c>
      <c r="C105" s="173" t="s">
        <v>76</v>
      </c>
      <c r="D105" s="173" t="s">
        <v>369</v>
      </c>
      <c r="E105" s="173" t="s">
        <v>469</v>
      </c>
      <c r="F105" s="173" t="s">
        <v>470</v>
      </c>
      <c r="G105" s="173">
        <v>2013.0</v>
      </c>
      <c r="H105" s="173">
        <v>211821.8229</v>
      </c>
      <c r="I105" s="173">
        <v>239908.614</v>
      </c>
      <c r="J105" s="173">
        <v>182036.0123</v>
      </c>
    </row>
    <row r="106">
      <c r="A106" s="173" t="s">
        <v>468</v>
      </c>
      <c r="B106" s="173" t="s">
        <v>75</v>
      </c>
      <c r="C106" s="173" t="s">
        <v>76</v>
      </c>
      <c r="D106" s="173" t="s">
        <v>369</v>
      </c>
      <c r="E106" s="173" t="s">
        <v>469</v>
      </c>
      <c r="F106" s="173" t="s">
        <v>470</v>
      </c>
      <c r="G106" s="173">
        <v>2014.0</v>
      </c>
      <c r="H106" s="173">
        <v>210257.1678</v>
      </c>
      <c r="I106" s="173">
        <v>239119.3626</v>
      </c>
      <c r="J106" s="173">
        <v>179760.6807</v>
      </c>
    </row>
    <row r="107">
      <c r="A107" s="173" t="s">
        <v>468</v>
      </c>
      <c r="B107" s="173" t="s">
        <v>75</v>
      </c>
      <c r="C107" s="173" t="s">
        <v>76</v>
      </c>
      <c r="D107" s="173" t="s">
        <v>369</v>
      </c>
      <c r="E107" s="173" t="s">
        <v>469</v>
      </c>
      <c r="F107" s="173" t="s">
        <v>470</v>
      </c>
      <c r="G107" s="173">
        <v>2015.0</v>
      </c>
      <c r="H107" s="173">
        <v>208833.4469</v>
      </c>
      <c r="I107" s="173">
        <v>238472.2253</v>
      </c>
      <c r="J107" s="173">
        <v>177732.8128</v>
      </c>
    </row>
    <row r="108">
      <c r="A108" s="173" t="s">
        <v>468</v>
      </c>
      <c r="B108" s="173" t="s">
        <v>75</v>
      </c>
      <c r="C108" s="173" t="s">
        <v>76</v>
      </c>
      <c r="D108" s="173" t="s">
        <v>369</v>
      </c>
      <c r="E108" s="173" t="s">
        <v>469</v>
      </c>
      <c r="F108" s="173" t="s">
        <v>470</v>
      </c>
      <c r="G108" s="173">
        <v>2016.0</v>
      </c>
      <c r="H108" s="173">
        <v>206047.1246</v>
      </c>
      <c r="I108" s="173">
        <v>237068.3316</v>
      </c>
      <c r="J108" s="173">
        <v>173736.4531</v>
      </c>
    </row>
    <row r="109">
      <c r="A109" s="173" t="s">
        <v>468</v>
      </c>
      <c r="B109" s="173" t="s">
        <v>75</v>
      </c>
      <c r="C109" s="173" t="s">
        <v>76</v>
      </c>
      <c r="D109" s="173" t="s">
        <v>369</v>
      </c>
      <c r="E109" s="173" t="s">
        <v>469</v>
      </c>
      <c r="F109" s="173" t="s">
        <v>470</v>
      </c>
      <c r="G109" s="173">
        <v>2017.0</v>
      </c>
      <c r="H109" s="173">
        <v>203636.532</v>
      </c>
      <c r="I109" s="173">
        <v>237772.5471</v>
      </c>
      <c r="J109" s="173">
        <v>169724.4091</v>
      </c>
    </row>
    <row r="110">
      <c r="A110" s="173" t="s">
        <v>468</v>
      </c>
      <c r="B110" s="173" t="s">
        <v>75</v>
      </c>
      <c r="C110" s="173" t="s">
        <v>76</v>
      </c>
      <c r="D110" s="173" t="s">
        <v>369</v>
      </c>
      <c r="E110" s="173" t="s">
        <v>469</v>
      </c>
      <c r="F110" s="173" t="s">
        <v>470</v>
      </c>
      <c r="G110" s="173">
        <v>2018.0</v>
      </c>
      <c r="H110" s="173">
        <v>203740.2223</v>
      </c>
      <c r="I110" s="173">
        <v>238683.6469</v>
      </c>
      <c r="J110" s="173">
        <v>169097.2843</v>
      </c>
    </row>
    <row r="111">
      <c r="A111" s="173" t="s">
        <v>468</v>
      </c>
      <c r="B111" s="173" t="s">
        <v>75</v>
      </c>
      <c r="C111" s="173" t="s">
        <v>76</v>
      </c>
      <c r="D111" s="173" t="s">
        <v>369</v>
      </c>
      <c r="E111" s="173" t="s">
        <v>469</v>
      </c>
      <c r="F111" s="173" t="s">
        <v>470</v>
      </c>
      <c r="G111" s="173">
        <v>2019.0</v>
      </c>
      <c r="H111" s="173">
        <v>205309.8452</v>
      </c>
      <c r="I111" s="173">
        <v>241138.054</v>
      </c>
      <c r="J111" s="173">
        <v>169144.5276</v>
      </c>
    </row>
  </sheetData>
  <hyperlinks>
    <hyperlink r:id="rId2" ref="A81"/>
    <hyperlink r:id="rId3" ref="A82"/>
    <hyperlink r:id="rId4" ref="A83"/>
    <hyperlink r:id="rId5" ref="A84"/>
  </hyperlinks>
  <drawing r:id="rId6"/>
  <legacy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ySplit="1.0" topLeftCell="A2" activePane="bottomLeft" state="frozen"/>
      <selection activeCell="B3" sqref="B3" pane="bottomLeft"/>
    </sheetView>
  </sheetViews>
  <sheetFormatPr customHeight="1" defaultColWidth="17.29" defaultRowHeight="15.0"/>
  <cols>
    <col customWidth="1" min="1" max="1" width="64.86"/>
    <col customWidth="1" min="2" max="2" width="16.14"/>
    <col customWidth="1" min="3" max="3" width="27.71"/>
    <col customWidth="1" min="4" max="4" width="27.57"/>
    <col customWidth="1" min="5" max="5" width="23.0"/>
    <col customWidth="1" min="6" max="6" width="25.43"/>
    <col customWidth="1" min="7" max="7" width="38.14"/>
  </cols>
  <sheetData>
    <row r="1">
      <c r="A1" s="227" t="s">
        <v>471</v>
      </c>
      <c r="B1" s="228" t="s">
        <v>472</v>
      </c>
      <c r="C1" s="229" t="s">
        <v>473</v>
      </c>
      <c r="D1" s="228" t="s">
        <v>474</v>
      </c>
      <c r="E1" s="230" t="s">
        <v>475</v>
      </c>
      <c r="F1" s="228" t="s">
        <v>476</v>
      </c>
      <c r="G1" s="228" t="s">
        <v>477</v>
      </c>
      <c r="H1" s="228"/>
      <c r="I1" s="228"/>
      <c r="J1" s="228"/>
      <c r="K1" s="228"/>
      <c r="L1" s="228"/>
      <c r="M1" s="228"/>
      <c r="N1" s="228"/>
      <c r="O1" s="228"/>
      <c r="P1" s="228"/>
      <c r="Q1" s="228"/>
      <c r="R1" s="228"/>
      <c r="S1" s="228"/>
      <c r="T1" s="228"/>
      <c r="U1" s="228"/>
      <c r="V1" s="228"/>
      <c r="W1" s="228"/>
      <c r="X1" s="228"/>
      <c r="Y1" s="228"/>
    </row>
    <row r="2">
      <c r="B2" s="231" t="s">
        <v>478</v>
      </c>
      <c r="C2" s="232" t="s">
        <v>479</v>
      </c>
      <c r="D2" s="232" t="s">
        <v>480</v>
      </c>
      <c r="E2" s="232" t="s">
        <v>481</v>
      </c>
      <c r="F2" s="232"/>
      <c r="G2" s="233"/>
    </row>
    <row r="3">
      <c r="A3" s="234"/>
      <c r="C3" s="235" t="s">
        <v>482</v>
      </c>
      <c r="D3" s="235" t="s">
        <v>483</v>
      </c>
      <c r="E3" s="235" t="s">
        <v>484</v>
      </c>
      <c r="F3" s="235" t="s">
        <v>485</v>
      </c>
      <c r="G3" s="233"/>
    </row>
    <row r="4">
      <c r="A4" s="234"/>
      <c r="C4" s="236" t="s">
        <v>486</v>
      </c>
      <c r="D4" s="236" t="s">
        <v>487</v>
      </c>
      <c r="E4" s="236" t="s">
        <v>488</v>
      </c>
      <c r="F4" s="236" t="s">
        <v>489</v>
      </c>
    </row>
    <row r="5">
      <c r="A5" s="234"/>
      <c r="C5" s="237" t="s">
        <v>490</v>
      </c>
      <c r="D5" s="237" t="s">
        <v>491</v>
      </c>
      <c r="E5" s="237" t="s">
        <v>492</v>
      </c>
      <c r="F5" s="237" t="s">
        <v>493</v>
      </c>
      <c r="G5" s="233"/>
    </row>
    <row r="6">
      <c r="C6" s="238"/>
      <c r="D6" s="238"/>
      <c r="E6" s="238"/>
      <c r="F6" s="238"/>
      <c r="G6" s="233"/>
    </row>
    <row r="7">
      <c r="A7" s="13" t="s">
        <v>494</v>
      </c>
      <c r="B7" s="14"/>
      <c r="C7" s="14"/>
      <c r="D7" s="14"/>
      <c r="E7" s="14"/>
      <c r="F7" s="14"/>
      <c r="G7" s="238"/>
    </row>
    <row r="8">
      <c r="A8" s="14" t="s">
        <v>495</v>
      </c>
      <c r="B8" s="14" t="s">
        <v>496</v>
      </c>
      <c r="C8" s="239">
        <v>0.5</v>
      </c>
      <c r="D8" s="240">
        <v>3.0</v>
      </c>
      <c r="E8" s="240">
        <v>3.0</v>
      </c>
      <c r="F8" s="240">
        <v>3.0</v>
      </c>
      <c r="G8" s="238" t="s">
        <v>497</v>
      </c>
    </row>
    <row r="9">
      <c r="G9" s="241"/>
    </row>
    <row r="10">
      <c r="G10" s="241"/>
    </row>
    <row r="11">
      <c r="G11" s="241"/>
    </row>
    <row r="12">
      <c r="G12" s="241"/>
    </row>
    <row r="13">
      <c r="G13" s="241"/>
    </row>
    <row r="14">
      <c r="G14" s="241"/>
    </row>
    <row r="15">
      <c r="G15" s="241"/>
    </row>
    <row r="16">
      <c r="G16" s="241"/>
    </row>
    <row r="17">
      <c r="G17" s="241"/>
    </row>
    <row r="18">
      <c r="G18" s="241"/>
    </row>
    <row r="19">
      <c r="G19" s="241"/>
    </row>
    <row r="20">
      <c r="G20" s="241"/>
    </row>
    <row r="21">
      <c r="G21" s="241"/>
    </row>
    <row r="22">
      <c r="G22" s="241"/>
    </row>
    <row r="23">
      <c r="G23" s="241"/>
    </row>
    <row r="24">
      <c r="G24" s="241"/>
    </row>
    <row r="25">
      <c r="G25" s="241"/>
    </row>
    <row r="26">
      <c r="G26" s="241"/>
    </row>
    <row r="27">
      <c r="G27" s="241"/>
    </row>
    <row r="28">
      <c r="G28" s="241"/>
    </row>
    <row r="29">
      <c r="G29" s="241"/>
    </row>
    <row r="30">
      <c r="G30" s="241"/>
    </row>
    <row r="31">
      <c r="G31" s="241"/>
    </row>
    <row r="32">
      <c r="G32" s="241"/>
    </row>
    <row r="33">
      <c r="G33" s="241"/>
    </row>
    <row r="34">
      <c r="G34" s="241"/>
    </row>
    <row r="35">
      <c r="G35" s="241"/>
    </row>
    <row r="36">
      <c r="G36" s="241"/>
    </row>
    <row r="37">
      <c r="G37" s="241"/>
    </row>
    <row r="38">
      <c r="G38" s="241"/>
    </row>
    <row r="39">
      <c r="G39" s="241"/>
    </row>
    <row r="40">
      <c r="G40" s="241"/>
    </row>
    <row r="41">
      <c r="G41" s="241"/>
    </row>
    <row r="42">
      <c r="G42" s="241"/>
    </row>
    <row r="43">
      <c r="G43" s="241"/>
    </row>
    <row r="44">
      <c r="G44" s="241"/>
    </row>
    <row r="45">
      <c r="G45" s="241"/>
    </row>
    <row r="46">
      <c r="G46" s="241"/>
    </row>
    <row r="47">
      <c r="G47" s="241"/>
    </row>
    <row r="48">
      <c r="G48" s="241"/>
    </row>
    <row r="49">
      <c r="G49" s="241"/>
    </row>
    <row r="50">
      <c r="G50" s="241"/>
    </row>
    <row r="51">
      <c r="G51" s="241"/>
    </row>
    <row r="52">
      <c r="G52" s="241"/>
    </row>
    <row r="53">
      <c r="G53" s="241"/>
    </row>
    <row r="54">
      <c r="G54" s="241"/>
    </row>
    <row r="55">
      <c r="G55" s="241"/>
    </row>
    <row r="56">
      <c r="G56" s="241"/>
    </row>
    <row r="57">
      <c r="G57" s="241"/>
    </row>
    <row r="58">
      <c r="G58" s="241"/>
    </row>
    <row r="59">
      <c r="G59" s="241"/>
    </row>
    <row r="60">
      <c r="G60" s="241"/>
    </row>
    <row r="61">
      <c r="G61" s="241"/>
    </row>
    <row r="62">
      <c r="G62" s="241"/>
    </row>
    <row r="63">
      <c r="G63" s="241"/>
    </row>
    <row r="64">
      <c r="G64" s="241"/>
    </row>
    <row r="65">
      <c r="G65" s="241"/>
    </row>
    <row r="66">
      <c r="G66" s="241"/>
    </row>
    <row r="67">
      <c r="G67" s="241"/>
    </row>
    <row r="68">
      <c r="G68" s="241"/>
    </row>
    <row r="69">
      <c r="G69" s="241"/>
    </row>
    <row r="70">
      <c r="G70" s="241"/>
    </row>
    <row r="71">
      <c r="G71" s="241"/>
    </row>
    <row r="72">
      <c r="G72" s="241"/>
    </row>
    <row r="73">
      <c r="G73" s="241"/>
    </row>
    <row r="74">
      <c r="G74" s="241"/>
    </row>
    <row r="75">
      <c r="G75" s="241"/>
    </row>
    <row r="76">
      <c r="G76" s="241"/>
    </row>
    <row r="77">
      <c r="G77" s="241"/>
    </row>
    <row r="78">
      <c r="G78" s="241"/>
    </row>
    <row r="79">
      <c r="G79" s="241"/>
    </row>
    <row r="80">
      <c r="G80" s="241"/>
    </row>
    <row r="81">
      <c r="G81" s="241"/>
    </row>
    <row r="82">
      <c r="G82" s="241"/>
    </row>
    <row r="83">
      <c r="G83" s="241"/>
    </row>
    <row r="84">
      <c r="G84" s="241"/>
    </row>
    <row r="85">
      <c r="G85" s="241"/>
    </row>
    <row r="86">
      <c r="G86" s="241"/>
    </row>
    <row r="87">
      <c r="G87" s="241"/>
    </row>
    <row r="88">
      <c r="G88" s="241"/>
    </row>
    <row r="89">
      <c r="G89" s="241"/>
    </row>
    <row r="90">
      <c r="G90" s="241"/>
    </row>
    <row r="91">
      <c r="G91" s="241"/>
    </row>
    <row r="92">
      <c r="G92" s="241"/>
    </row>
    <row r="93">
      <c r="G93" s="241"/>
    </row>
    <row r="94">
      <c r="G94" s="241"/>
    </row>
    <row r="95">
      <c r="G95" s="241"/>
    </row>
    <row r="96">
      <c r="G96" s="241"/>
    </row>
    <row r="97">
      <c r="G97" s="241"/>
    </row>
    <row r="98">
      <c r="G98" s="241"/>
    </row>
    <row r="99">
      <c r="G99" s="241"/>
    </row>
    <row r="100">
      <c r="G100" s="241"/>
    </row>
    <row r="101">
      <c r="G101" s="241"/>
    </row>
    <row r="102">
      <c r="G102" s="241"/>
    </row>
    <row r="103">
      <c r="G103" s="241"/>
    </row>
    <row r="104">
      <c r="G104" s="241"/>
    </row>
    <row r="105">
      <c r="G105" s="241"/>
    </row>
    <row r="106">
      <c r="G106" s="241"/>
    </row>
    <row r="107">
      <c r="G107" s="241"/>
    </row>
    <row r="108">
      <c r="G108" s="241"/>
    </row>
    <row r="109">
      <c r="G109" s="241"/>
    </row>
    <row r="110">
      <c r="G110" s="241"/>
    </row>
    <row r="111">
      <c r="G111" s="241"/>
    </row>
    <row r="112">
      <c r="G112" s="241"/>
    </row>
    <row r="113">
      <c r="G113" s="241"/>
    </row>
    <row r="114">
      <c r="G114" s="241"/>
    </row>
    <row r="115">
      <c r="G115" s="241"/>
    </row>
    <row r="116">
      <c r="G116" s="241"/>
    </row>
    <row r="117">
      <c r="G117" s="241"/>
    </row>
    <row r="118">
      <c r="G118" s="241"/>
    </row>
    <row r="119">
      <c r="G119" s="241"/>
    </row>
    <row r="120">
      <c r="G120" s="241"/>
    </row>
    <row r="121">
      <c r="G121" s="241"/>
    </row>
    <row r="122">
      <c r="G122" s="241"/>
    </row>
    <row r="123">
      <c r="G123" s="241"/>
    </row>
    <row r="124">
      <c r="G124" s="241"/>
    </row>
    <row r="125">
      <c r="G125" s="241"/>
    </row>
    <row r="126">
      <c r="G126" s="241"/>
    </row>
    <row r="127">
      <c r="G127" s="241"/>
    </row>
    <row r="128">
      <c r="G128" s="241"/>
    </row>
    <row r="129">
      <c r="G129" s="241"/>
    </row>
    <row r="130">
      <c r="G130" s="241"/>
    </row>
    <row r="131">
      <c r="G131" s="241"/>
    </row>
    <row r="132">
      <c r="G132" s="241"/>
    </row>
    <row r="133">
      <c r="G133" s="241"/>
    </row>
    <row r="134">
      <c r="G134" s="241"/>
    </row>
    <row r="135">
      <c r="G135" s="241"/>
    </row>
    <row r="136">
      <c r="G136" s="241"/>
    </row>
    <row r="137">
      <c r="G137" s="241"/>
    </row>
    <row r="138">
      <c r="G138" s="241"/>
    </row>
    <row r="139">
      <c r="G139" s="241"/>
    </row>
    <row r="140">
      <c r="G140" s="241"/>
    </row>
    <row r="141">
      <c r="G141" s="241"/>
    </row>
    <row r="142">
      <c r="G142" s="241"/>
    </row>
    <row r="143">
      <c r="G143" s="241"/>
    </row>
    <row r="144">
      <c r="G144" s="241"/>
    </row>
    <row r="145">
      <c r="G145" s="241"/>
    </row>
    <row r="146">
      <c r="G146" s="241"/>
    </row>
    <row r="147">
      <c r="G147" s="241"/>
    </row>
    <row r="148">
      <c r="G148" s="241"/>
    </row>
    <row r="149">
      <c r="G149" s="241"/>
    </row>
    <row r="150">
      <c r="G150" s="241"/>
    </row>
    <row r="151">
      <c r="G151" s="241"/>
    </row>
    <row r="152">
      <c r="G152" s="241"/>
    </row>
    <row r="153">
      <c r="G153" s="241"/>
    </row>
    <row r="154">
      <c r="G154" s="241"/>
    </row>
    <row r="155">
      <c r="G155" s="241"/>
    </row>
    <row r="156">
      <c r="G156" s="241"/>
    </row>
    <row r="157">
      <c r="G157" s="241"/>
    </row>
    <row r="158">
      <c r="G158" s="241"/>
    </row>
    <row r="159">
      <c r="G159" s="241"/>
    </row>
    <row r="160">
      <c r="G160" s="241"/>
    </row>
    <row r="161">
      <c r="G161" s="241"/>
    </row>
    <row r="162">
      <c r="G162" s="241"/>
    </row>
    <row r="163">
      <c r="G163" s="241"/>
    </row>
    <row r="164">
      <c r="G164" s="241"/>
    </row>
    <row r="165">
      <c r="G165" s="241"/>
    </row>
    <row r="166">
      <c r="G166" s="241"/>
    </row>
    <row r="167">
      <c r="G167" s="241"/>
    </row>
    <row r="168">
      <c r="G168" s="241"/>
    </row>
    <row r="169">
      <c r="G169" s="241"/>
    </row>
    <row r="170">
      <c r="G170" s="241"/>
    </row>
    <row r="171">
      <c r="G171" s="241"/>
    </row>
    <row r="172">
      <c r="G172" s="241"/>
    </row>
    <row r="173">
      <c r="G173" s="241"/>
    </row>
    <row r="174">
      <c r="G174" s="241"/>
    </row>
    <row r="175">
      <c r="G175" s="241"/>
    </row>
    <row r="176">
      <c r="G176" s="241"/>
    </row>
    <row r="177">
      <c r="G177" s="241"/>
    </row>
    <row r="178">
      <c r="G178" s="241"/>
    </row>
    <row r="179">
      <c r="G179" s="241"/>
    </row>
    <row r="180">
      <c r="G180" s="241"/>
    </row>
    <row r="181">
      <c r="G181" s="241"/>
    </row>
    <row r="182">
      <c r="G182" s="241"/>
    </row>
    <row r="183">
      <c r="G183" s="241"/>
    </row>
    <row r="184">
      <c r="G184" s="241"/>
    </row>
    <row r="185">
      <c r="G185" s="241"/>
    </row>
    <row r="186">
      <c r="G186" s="241"/>
    </row>
    <row r="187">
      <c r="G187" s="241"/>
    </row>
    <row r="188">
      <c r="G188" s="241"/>
    </row>
    <row r="189">
      <c r="G189" s="241"/>
    </row>
    <row r="190">
      <c r="G190" s="241"/>
    </row>
    <row r="191">
      <c r="G191" s="241"/>
    </row>
    <row r="192">
      <c r="G192" s="241"/>
    </row>
    <row r="193">
      <c r="G193" s="241"/>
    </row>
    <row r="194">
      <c r="G194" s="241"/>
    </row>
    <row r="195">
      <c r="G195" s="241"/>
    </row>
    <row r="196">
      <c r="G196" s="241"/>
    </row>
    <row r="197">
      <c r="G197" s="241"/>
    </row>
    <row r="198">
      <c r="G198" s="241"/>
    </row>
    <row r="199">
      <c r="G199" s="241"/>
    </row>
    <row r="200">
      <c r="G200" s="241"/>
    </row>
    <row r="201">
      <c r="G201" s="241"/>
    </row>
    <row r="202">
      <c r="G202" s="241"/>
    </row>
    <row r="203">
      <c r="G203" s="241"/>
    </row>
    <row r="204">
      <c r="G204" s="241"/>
    </row>
    <row r="205">
      <c r="G205" s="241"/>
    </row>
    <row r="206">
      <c r="G206" s="241"/>
    </row>
    <row r="207">
      <c r="G207" s="241"/>
    </row>
    <row r="208">
      <c r="G208" s="241"/>
    </row>
    <row r="209">
      <c r="G209" s="241"/>
    </row>
    <row r="210">
      <c r="G210" s="241"/>
    </row>
    <row r="211">
      <c r="G211" s="241"/>
    </row>
    <row r="212">
      <c r="G212" s="241"/>
    </row>
    <row r="213">
      <c r="G213" s="241"/>
    </row>
    <row r="214">
      <c r="G214" s="241"/>
    </row>
    <row r="215">
      <c r="G215" s="241"/>
    </row>
    <row r="216">
      <c r="G216" s="241"/>
    </row>
    <row r="217">
      <c r="G217" s="241"/>
    </row>
    <row r="218">
      <c r="G218" s="241"/>
    </row>
    <row r="219">
      <c r="G219" s="241"/>
    </row>
    <row r="220">
      <c r="G220" s="241"/>
    </row>
    <row r="221">
      <c r="G221" s="241"/>
    </row>
    <row r="222">
      <c r="G222" s="241"/>
    </row>
    <row r="223">
      <c r="G223" s="241"/>
    </row>
    <row r="224">
      <c r="G224" s="241"/>
    </row>
    <row r="225">
      <c r="G225" s="241"/>
    </row>
    <row r="226">
      <c r="G226" s="241"/>
    </row>
    <row r="227">
      <c r="G227" s="241"/>
    </row>
    <row r="228">
      <c r="G228" s="241"/>
    </row>
    <row r="229">
      <c r="G229" s="241"/>
    </row>
    <row r="230">
      <c r="G230" s="241"/>
    </row>
    <row r="231">
      <c r="G231" s="241"/>
    </row>
    <row r="232">
      <c r="G232" s="241"/>
    </row>
    <row r="233">
      <c r="G233" s="241"/>
    </row>
    <row r="234">
      <c r="G234" s="241"/>
    </row>
    <row r="235">
      <c r="G235" s="241"/>
    </row>
    <row r="236">
      <c r="G236" s="241"/>
    </row>
    <row r="237">
      <c r="G237" s="241"/>
    </row>
    <row r="238">
      <c r="G238" s="241"/>
    </row>
    <row r="239">
      <c r="G239" s="241"/>
    </row>
    <row r="240">
      <c r="G240" s="241"/>
    </row>
    <row r="241">
      <c r="G241" s="241"/>
    </row>
    <row r="242">
      <c r="G242" s="241"/>
    </row>
    <row r="243">
      <c r="G243" s="241"/>
    </row>
    <row r="244">
      <c r="G244" s="241"/>
    </row>
    <row r="245">
      <c r="G245" s="241"/>
    </row>
    <row r="246">
      <c r="G246" s="241"/>
    </row>
    <row r="247">
      <c r="G247" s="241"/>
    </row>
    <row r="248">
      <c r="G248" s="241"/>
    </row>
    <row r="249">
      <c r="G249" s="241"/>
    </row>
    <row r="250">
      <c r="G250" s="241"/>
    </row>
    <row r="251">
      <c r="G251" s="241"/>
    </row>
    <row r="252">
      <c r="G252" s="241"/>
    </row>
    <row r="253">
      <c r="G253" s="241"/>
    </row>
    <row r="254">
      <c r="G254" s="241"/>
    </row>
    <row r="255">
      <c r="G255" s="241"/>
    </row>
    <row r="256">
      <c r="G256" s="241"/>
    </row>
    <row r="257">
      <c r="G257" s="241"/>
    </row>
    <row r="258">
      <c r="G258" s="241"/>
    </row>
    <row r="259">
      <c r="G259" s="241"/>
    </row>
    <row r="260">
      <c r="G260" s="241"/>
    </row>
    <row r="261">
      <c r="G261" s="241"/>
    </row>
    <row r="262">
      <c r="G262" s="241"/>
    </row>
    <row r="263">
      <c r="G263" s="241"/>
    </row>
    <row r="264">
      <c r="G264" s="241"/>
    </row>
    <row r="265">
      <c r="G265" s="241"/>
    </row>
    <row r="266">
      <c r="G266" s="241"/>
    </row>
    <row r="267">
      <c r="G267" s="241"/>
    </row>
    <row r="268">
      <c r="G268" s="241"/>
    </row>
    <row r="269">
      <c r="G269" s="241"/>
    </row>
    <row r="270">
      <c r="G270" s="241"/>
    </row>
    <row r="271">
      <c r="G271" s="241"/>
    </row>
    <row r="272">
      <c r="G272" s="241"/>
    </row>
    <row r="273">
      <c r="G273" s="241"/>
    </row>
    <row r="274">
      <c r="G274" s="241"/>
    </row>
    <row r="275">
      <c r="G275" s="241"/>
    </row>
    <row r="276">
      <c r="G276" s="241"/>
    </row>
    <row r="277">
      <c r="G277" s="241"/>
    </row>
    <row r="278">
      <c r="G278" s="241"/>
    </row>
    <row r="279">
      <c r="G279" s="241"/>
    </row>
    <row r="280">
      <c r="G280" s="241"/>
    </row>
    <row r="281">
      <c r="G281" s="241"/>
    </row>
    <row r="282">
      <c r="G282" s="241"/>
    </row>
    <row r="283">
      <c r="G283" s="241"/>
    </row>
    <row r="284">
      <c r="G284" s="241"/>
    </row>
    <row r="285">
      <c r="G285" s="241"/>
    </row>
    <row r="286">
      <c r="G286" s="241"/>
    </row>
    <row r="287">
      <c r="G287" s="241"/>
    </row>
    <row r="288">
      <c r="G288" s="241"/>
    </row>
    <row r="289">
      <c r="G289" s="241"/>
    </row>
    <row r="290">
      <c r="G290" s="241"/>
    </row>
    <row r="291">
      <c r="G291" s="241"/>
    </row>
    <row r="292">
      <c r="G292" s="241"/>
    </row>
    <row r="293">
      <c r="G293" s="241"/>
    </row>
    <row r="294">
      <c r="G294" s="241"/>
    </row>
    <row r="295">
      <c r="G295" s="241"/>
    </row>
    <row r="296">
      <c r="G296" s="241"/>
    </row>
    <row r="297">
      <c r="G297" s="241"/>
    </row>
    <row r="298">
      <c r="G298" s="241"/>
    </row>
    <row r="299">
      <c r="G299" s="241"/>
    </row>
    <row r="300">
      <c r="G300" s="241"/>
    </row>
    <row r="301">
      <c r="G301" s="241"/>
    </row>
    <row r="302">
      <c r="G302" s="241"/>
    </row>
    <row r="303">
      <c r="G303" s="241"/>
    </row>
    <row r="304">
      <c r="G304" s="241"/>
    </row>
    <row r="305">
      <c r="G305" s="241"/>
    </row>
    <row r="306">
      <c r="G306" s="241"/>
    </row>
    <row r="307">
      <c r="G307" s="241"/>
    </row>
    <row r="308">
      <c r="G308" s="241"/>
    </row>
    <row r="309">
      <c r="G309" s="241"/>
    </row>
    <row r="310">
      <c r="G310" s="241"/>
    </row>
    <row r="311">
      <c r="G311" s="241"/>
    </row>
    <row r="312">
      <c r="G312" s="241"/>
    </row>
    <row r="313">
      <c r="G313" s="241"/>
    </row>
    <row r="314">
      <c r="G314" s="241"/>
    </row>
    <row r="315">
      <c r="G315" s="241"/>
    </row>
    <row r="316">
      <c r="G316" s="241"/>
    </row>
    <row r="317">
      <c r="G317" s="241"/>
    </row>
    <row r="318">
      <c r="G318" s="241"/>
    </row>
    <row r="319">
      <c r="G319" s="241"/>
    </row>
    <row r="320">
      <c r="G320" s="241"/>
    </row>
    <row r="321">
      <c r="G321" s="241"/>
    </row>
    <row r="322">
      <c r="G322" s="241"/>
    </row>
    <row r="323">
      <c r="G323" s="241"/>
    </row>
    <row r="324">
      <c r="G324" s="241"/>
    </row>
    <row r="325">
      <c r="G325" s="241"/>
    </row>
    <row r="326">
      <c r="G326" s="241"/>
    </row>
    <row r="327">
      <c r="G327" s="241"/>
    </row>
    <row r="328">
      <c r="G328" s="241"/>
    </row>
    <row r="329">
      <c r="G329" s="241"/>
    </row>
    <row r="330">
      <c r="G330" s="241"/>
    </row>
    <row r="331">
      <c r="G331" s="241"/>
    </row>
    <row r="332">
      <c r="G332" s="241"/>
    </row>
    <row r="333">
      <c r="G333" s="241"/>
    </row>
    <row r="334">
      <c r="G334" s="241"/>
    </row>
    <row r="335">
      <c r="G335" s="241"/>
    </row>
    <row r="336">
      <c r="G336" s="241"/>
    </row>
    <row r="337">
      <c r="G337" s="241"/>
    </row>
    <row r="338">
      <c r="G338" s="241"/>
    </row>
    <row r="339">
      <c r="G339" s="241"/>
    </row>
    <row r="340">
      <c r="G340" s="241"/>
    </row>
    <row r="341">
      <c r="G341" s="241"/>
    </row>
    <row r="342">
      <c r="G342" s="241"/>
    </row>
    <row r="343">
      <c r="G343" s="241"/>
    </row>
    <row r="344">
      <c r="G344" s="241"/>
    </row>
    <row r="345">
      <c r="G345" s="241"/>
    </row>
    <row r="346">
      <c r="G346" s="241"/>
    </row>
    <row r="347">
      <c r="G347" s="241"/>
    </row>
    <row r="348">
      <c r="G348" s="241"/>
    </row>
    <row r="349">
      <c r="G349" s="241"/>
    </row>
    <row r="350">
      <c r="G350" s="241"/>
    </row>
    <row r="351">
      <c r="G351" s="241"/>
    </row>
    <row r="352">
      <c r="G352" s="241"/>
    </row>
    <row r="353">
      <c r="G353" s="241"/>
    </row>
    <row r="354">
      <c r="G354" s="241"/>
    </row>
    <row r="355">
      <c r="G355" s="241"/>
    </row>
    <row r="356">
      <c r="G356" s="241"/>
    </row>
    <row r="357">
      <c r="G357" s="241"/>
    </row>
    <row r="358">
      <c r="G358" s="241"/>
    </row>
    <row r="359">
      <c r="G359" s="241"/>
    </row>
    <row r="360">
      <c r="G360" s="241"/>
    </row>
    <row r="361">
      <c r="G361" s="241"/>
    </row>
    <row r="362">
      <c r="G362" s="241"/>
    </row>
    <row r="363">
      <c r="G363" s="241"/>
    </row>
    <row r="364">
      <c r="G364" s="241"/>
    </row>
    <row r="365">
      <c r="G365" s="241"/>
    </row>
    <row r="366">
      <c r="G366" s="241"/>
    </row>
    <row r="367">
      <c r="G367" s="241"/>
    </row>
    <row r="368">
      <c r="G368" s="241"/>
    </row>
    <row r="369">
      <c r="G369" s="241"/>
    </row>
    <row r="370">
      <c r="G370" s="241"/>
    </row>
    <row r="371">
      <c r="G371" s="241"/>
    </row>
    <row r="372">
      <c r="G372" s="241"/>
    </row>
    <row r="373">
      <c r="G373" s="241"/>
    </row>
    <row r="374">
      <c r="G374" s="241"/>
    </row>
    <row r="375">
      <c r="G375" s="241"/>
    </row>
    <row r="376">
      <c r="G376" s="241"/>
    </row>
    <row r="377">
      <c r="G377" s="241"/>
    </row>
    <row r="378">
      <c r="G378" s="241"/>
    </row>
    <row r="379">
      <c r="G379" s="241"/>
    </row>
    <row r="380">
      <c r="G380" s="241"/>
    </row>
    <row r="381">
      <c r="G381" s="241"/>
    </row>
    <row r="382">
      <c r="G382" s="241"/>
    </row>
    <row r="383">
      <c r="G383" s="241"/>
    </row>
    <row r="384">
      <c r="G384" s="241"/>
    </row>
    <row r="385">
      <c r="G385" s="241"/>
    </row>
    <row r="386">
      <c r="G386" s="241"/>
    </row>
    <row r="387">
      <c r="G387" s="241"/>
    </row>
    <row r="388">
      <c r="G388" s="241"/>
    </row>
    <row r="389">
      <c r="G389" s="241"/>
    </row>
    <row r="390">
      <c r="G390" s="241"/>
    </row>
    <row r="391">
      <c r="G391" s="241"/>
    </row>
    <row r="392">
      <c r="G392" s="241"/>
    </row>
    <row r="393">
      <c r="G393" s="241"/>
    </row>
    <row r="394">
      <c r="G394" s="241"/>
    </row>
    <row r="395">
      <c r="G395" s="241"/>
    </row>
    <row r="396">
      <c r="G396" s="241"/>
    </row>
    <row r="397">
      <c r="G397" s="241"/>
    </row>
    <row r="398">
      <c r="G398" s="241"/>
    </row>
    <row r="399">
      <c r="G399" s="241"/>
    </row>
    <row r="400">
      <c r="G400" s="241"/>
    </row>
    <row r="401">
      <c r="G401" s="241"/>
    </row>
    <row r="402">
      <c r="G402" s="241"/>
    </row>
    <row r="403">
      <c r="G403" s="241"/>
    </row>
    <row r="404">
      <c r="G404" s="241"/>
    </row>
    <row r="405">
      <c r="G405" s="241"/>
    </row>
    <row r="406">
      <c r="G406" s="241"/>
    </row>
    <row r="407">
      <c r="G407" s="241"/>
    </row>
    <row r="408">
      <c r="G408" s="241"/>
    </row>
    <row r="409">
      <c r="G409" s="241"/>
    </row>
    <row r="410">
      <c r="G410" s="241"/>
    </row>
    <row r="411">
      <c r="G411" s="241"/>
    </row>
    <row r="412">
      <c r="G412" s="241"/>
    </row>
    <row r="413">
      <c r="G413" s="241"/>
    </row>
    <row r="414">
      <c r="G414" s="241"/>
    </row>
    <row r="415">
      <c r="G415" s="241"/>
    </row>
    <row r="416">
      <c r="G416" s="241"/>
    </row>
    <row r="417">
      <c r="G417" s="241"/>
    </row>
    <row r="418">
      <c r="G418" s="241"/>
    </row>
    <row r="419">
      <c r="G419" s="241"/>
    </row>
    <row r="420">
      <c r="G420" s="241"/>
    </row>
    <row r="421">
      <c r="G421" s="241"/>
    </row>
    <row r="422">
      <c r="G422" s="241"/>
    </row>
    <row r="423">
      <c r="G423" s="241"/>
    </row>
    <row r="424">
      <c r="G424" s="241"/>
    </row>
    <row r="425">
      <c r="G425" s="241"/>
    </row>
    <row r="426">
      <c r="G426" s="241"/>
    </row>
    <row r="427">
      <c r="G427" s="241"/>
    </row>
    <row r="428">
      <c r="G428" s="241"/>
    </row>
    <row r="429">
      <c r="G429" s="241"/>
    </row>
    <row r="430">
      <c r="G430" s="241"/>
    </row>
    <row r="431">
      <c r="G431" s="241"/>
    </row>
    <row r="432">
      <c r="G432" s="241"/>
    </row>
    <row r="433">
      <c r="G433" s="241"/>
    </row>
    <row r="434">
      <c r="G434" s="241"/>
    </row>
    <row r="435">
      <c r="G435" s="241"/>
    </row>
    <row r="436">
      <c r="G436" s="241"/>
    </row>
    <row r="437">
      <c r="G437" s="241"/>
    </row>
    <row r="438">
      <c r="G438" s="241"/>
    </row>
    <row r="439">
      <c r="G439" s="241"/>
    </row>
    <row r="440">
      <c r="G440" s="241"/>
    </row>
    <row r="441">
      <c r="G441" s="241"/>
    </row>
    <row r="442">
      <c r="G442" s="241"/>
    </row>
    <row r="443">
      <c r="G443" s="241"/>
    </row>
    <row r="444">
      <c r="G444" s="241"/>
    </row>
    <row r="445">
      <c r="G445" s="241"/>
    </row>
    <row r="446">
      <c r="G446" s="241"/>
    </row>
    <row r="447">
      <c r="G447" s="241"/>
    </row>
    <row r="448">
      <c r="G448" s="241"/>
    </row>
    <row r="449">
      <c r="G449" s="241"/>
    </row>
    <row r="450">
      <c r="G450" s="241"/>
    </row>
    <row r="451">
      <c r="G451" s="241"/>
    </row>
    <row r="452">
      <c r="G452" s="241"/>
    </row>
    <row r="453">
      <c r="G453" s="241"/>
    </row>
    <row r="454">
      <c r="G454" s="241"/>
    </row>
    <row r="455">
      <c r="G455" s="241"/>
    </row>
    <row r="456">
      <c r="G456" s="241"/>
    </row>
    <row r="457">
      <c r="G457" s="241"/>
    </row>
    <row r="458">
      <c r="G458" s="241"/>
    </row>
    <row r="459">
      <c r="G459" s="241"/>
    </row>
    <row r="460">
      <c r="G460" s="241"/>
    </row>
    <row r="461">
      <c r="G461" s="241"/>
    </row>
    <row r="462">
      <c r="G462" s="241"/>
    </row>
    <row r="463">
      <c r="G463" s="241"/>
    </row>
    <row r="464">
      <c r="G464" s="241"/>
    </row>
    <row r="465">
      <c r="G465" s="241"/>
    </row>
    <row r="466">
      <c r="G466" s="241"/>
    </row>
    <row r="467">
      <c r="G467" s="241"/>
    </row>
    <row r="468">
      <c r="G468" s="241"/>
    </row>
    <row r="469">
      <c r="G469" s="241"/>
    </row>
    <row r="470">
      <c r="G470" s="241"/>
    </row>
    <row r="471">
      <c r="G471" s="241"/>
    </row>
    <row r="472">
      <c r="G472" s="241"/>
    </row>
    <row r="473">
      <c r="G473" s="241"/>
    </row>
    <row r="474">
      <c r="G474" s="241"/>
    </row>
    <row r="475">
      <c r="G475" s="241"/>
    </row>
    <row r="476">
      <c r="G476" s="241"/>
    </row>
    <row r="477">
      <c r="G477" s="241"/>
    </row>
    <row r="478">
      <c r="G478" s="241"/>
    </row>
    <row r="479">
      <c r="G479" s="241"/>
    </row>
    <row r="480">
      <c r="G480" s="241"/>
    </row>
    <row r="481">
      <c r="G481" s="241"/>
    </row>
    <row r="482">
      <c r="G482" s="241"/>
    </row>
    <row r="483">
      <c r="G483" s="241"/>
    </row>
    <row r="484">
      <c r="G484" s="241"/>
    </row>
    <row r="485">
      <c r="G485" s="241"/>
    </row>
    <row r="486">
      <c r="G486" s="241"/>
    </row>
    <row r="487">
      <c r="G487" s="241"/>
    </row>
    <row r="488">
      <c r="G488" s="241"/>
    </row>
    <row r="489">
      <c r="G489" s="241"/>
    </row>
    <row r="490">
      <c r="G490" s="241"/>
    </row>
    <row r="491">
      <c r="G491" s="241"/>
    </row>
    <row r="492">
      <c r="G492" s="241"/>
    </row>
    <row r="493">
      <c r="G493" s="241"/>
    </row>
    <row r="494">
      <c r="G494" s="241"/>
    </row>
    <row r="495">
      <c r="G495" s="241"/>
    </row>
    <row r="496">
      <c r="G496" s="241"/>
    </row>
    <row r="497">
      <c r="G497" s="241"/>
    </row>
    <row r="498">
      <c r="G498" s="241"/>
    </row>
    <row r="499">
      <c r="G499" s="241"/>
    </row>
    <row r="500">
      <c r="G500" s="241"/>
    </row>
    <row r="501">
      <c r="G501" s="241"/>
    </row>
    <row r="502">
      <c r="G502" s="241"/>
    </row>
    <row r="503">
      <c r="G503" s="241"/>
    </row>
    <row r="504">
      <c r="G504" s="241"/>
    </row>
    <row r="505">
      <c r="G505" s="241"/>
    </row>
    <row r="506">
      <c r="G506" s="241"/>
    </row>
    <row r="507">
      <c r="G507" s="241"/>
    </row>
    <row r="508">
      <c r="G508" s="241"/>
    </row>
    <row r="509">
      <c r="G509" s="241"/>
    </row>
    <row r="510">
      <c r="G510" s="241"/>
    </row>
    <row r="511">
      <c r="G511" s="241"/>
    </row>
    <row r="512">
      <c r="G512" s="241"/>
    </row>
    <row r="513">
      <c r="G513" s="241"/>
    </row>
    <row r="514">
      <c r="G514" s="241"/>
    </row>
    <row r="515">
      <c r="G515" s="241"/>
    </row>
    <row r="516">
      <c r="G516" s="241"/>
    </row>
    <row r="517">
      <c r="G517" s="241"/>
    </row>
    <row r="518">
      <c r="G518" s="241"/>
    </row>
    <row r="519">
      <c r="G519" s="241"/>
    </row>
    <row r="520">
      <c r="G520" s="241"/>
    </row>
    <row r="521">
      <c r="G521" s="241"/>
    </row>
    <row r="522">
      <c r="G522" s="241"/>
    </row>
    <row r="523">
      <c r="G523" s="241"/>
    </row>
    <row r="524">
      <c r="G524" s="241"/>
    </row>
    <row r="525">
      <c r="G525" s="241"/>
    </row>
    <row r="526">
      <c r="G526" s="241"/>
    </row>
    <row r="527">
      <c r="G527" s="241"/>
    </row>
    <row r="528">
      <c r="G528" s="241"/>
    </row>
    <row r="529">
      <c r="G529" s="241"/>
    </row>
    <row r="530">
      <c r="G530" s="241"/>
    </row>
    <row r="531">
      <c r="G531" s="241"/>
    </row>
    <row r="532">
      <c r="G532" s="241"/>
    </row>
    <row r="533">
      <c r="G533" s="241"/>
    </row>
    <row r="534">
      <c r="G534" s="241"/>
    </row>
    <row r="535">
      <c r="G535" s="241"/>
    </row>
    <row r="536">
      <c r="G536" s="241"/>
    </row>
    <row r="537">
      <c r="G537" s="241"/>
    </row>
    <row r="538">
      <c r="G538" s="241"/>
    </row>
    <row r="539">
      <c r="G539" s="241"/>
    </row>
    <row r="540">
      <c r="G540" s="241"/>
    </row>
    <row r="541">
      <c r="G541" s="241"/>
    </row>
    <row r="542">
      <c r="G542" s="241"/>
    </row>
    <row r="543">
      <c r="G543" s="241"/>
    </row>
    <row r="544">
      <c r="G544" s="241"/>
    </row>
    <row r="545">
      <c r="G545" s="241"/>
    </row>
    <row r="546">
      <c r="G546" s="241"/>
    </row>
    <row r="547">
      <c r="G547" s="241"/>
    </row>
    <row r="548">
      <c r="G548" s="241"/>
    </row>
    <row r="549">
      <c r="G549" s="241"/>
    </row>
    <row r="550">
      <c r="G550" s="241"/>
    </row>
    <row r="551">
      <c r="G551" s="241"/>
    </row>
    <row r="552">
      <c r="G552" s="241"/>
    </row>
    <row r="553">
      <c r="G553" s="241"/>
    </row>
    <row r="554">
      <c r="G554" s="241"/>
    </row>
    <row r="555">
      <c r="G555" s="241"/>
    </row>
    <row r="556">
      <c r="G556" s="241"/>
    </row>
    <row r="557">
      <c r="G557" s="241"/>
    </row>
    <row r="558">
      <c r="G558" s="241"/>
    </row>
    <row r="559">
      <c r="G559" s="241"/>
    </row>
    <row r="560">
      <c r="G560" s="241"/>
    </row>
    <row r="561">
      <c r="G561" s="241"/>
    </row>
    <row r="562">
      <c r="G562" s="241"/>
    </row>
    <row r="563">
      <c r="G563" s="241"/>
    </row>
    <row r="564">
      <c r="G564" s="241"/>
    </row>
    <row r="565">
      <c r="G565" s="241"/>
    </row>
    <row r="566">
      <c r="G566" s="241"/>
    </row>
    <row r="567">
      <c r="G567" s="241"/>
    </row>
    <row r="568">
      <c r="G568" s="241"/>
    </row>
    <row r="569">
      <c r="G569" s="241"/>
    </row>
    <row r="570">
      <c r="G570" s="241"/>
    </row>
    <row r="571">
      <c r="G571" s="241"/>
    </row>
    <row r="572">
      <c r="G572" s="241"/>
    </row>
    <row r="573">
      <c r="G573" s="241"/>
    </row>
    <row r="574">
      <c r="G574" s="241"/>
    </row>
    <row r="575">
      <c r="G575" s="241"/>
    </row>
    <row r="576">
      <c r="G576" s="241"/>
    </row>
    <row r="577">
      <c r="G577" s="241"/>
    </row>
    <row r="578">
      <c r="G578" s="241"/>
    </row>
    <row r="579">
      <c r="G579" s="241"/>
    </row>
    <row r="580">
      <c r="G580" s="241"/>
    </row>
    <row r="581">
      <c r="G581" s="241"/>
    </row>
    <row r="582">
      <c r="G582" s="241"/>
    </row>
    <row r="583">
      <c r="G583" s="241"/>
    </row>
    <row r="584">
      <c r="G584" s="241"/>
    </row>
    <row r="585">
      <c r="G585" s="241"/>
    </row>
    <row r="586">
      <c r="G586" s="241"/>
    </row>
    <row r="587">
      <c r="G587" s="241"/>
    </row>
    <row r="588">
      <c r="G588" s="241"/>
    </row>
    <row r="589">
      <c r="G589" s="241"/>
    </row>
    <row r="590">
      <c r="G590" s="241"/>
    </row>
    <row r="591">
      <c r="G591" s="241"/>
    </row>
    <row r="592">
      <c r="G592" s="241"/>
    </row>
    <row r="593">
      <c r="G593" s="241"/>
    </row>
    <row r="594">
      <c r="G594" s="241"/>
    </row>
    <row r="595">
      <c r="G595" s="241"/>
    </row>
    <row r="596">
      <c r="G596" s="241"/>
    </row>
    <row r="597">
      <c r="G597" s="241"/>
    </row>
    <row r="598">
      <c r="G598" s="241"/>
    </row>
    <row r="599">
      <c r="G599" s="241"/>
    </row>
    <row r="600">
      <c r="G600" s="241"/>
    </row>
    <row r="601">
      <c r="G601" s="241"/>
    </row>
    <row r="602">
      <c r="G602" s="241"/>
    </row>
    <row r="603">
      <c r="G603" s="241"/>
    </row>
    <row r="604">
      <c r="G604" s="241"/>
    </row>
    <row r="605">
      <c r="G605" s="241"/>
    </row>
    <row r="606">
      <c r="G606" s="241"/>
    </row>
    <row r="607">
      <c r="G607" s="241"/>
    </row>
    <row r="608">
      <c r="G608" s="241"/>
    </row>
    <row r="609">
      <c r="G609" s="241"/>
    </row>
    <row r="610">
      <c r="G610" s="241"/>
    </row>
    <row r="611">
      <c r="G611" s="241"/>
    </row>
    <row r="612">
      <c r="G612" s="241"/>
    </row>
    <row r="613">
      <c r="G613" s="241"/>
    </row>
    <row r="614">
      <c r="G614" s="241"/>
    </row>
    <row r="615">
      <c r="G615" s="241"/>
    </row>
    <row r="616">
      <c r="G616" s="241"/>
    </row>
    <row r="617">
      <c r="G617" s="241"/>
    </row>
    <row r="618">
      <c r="G618" s="241"/>
    </row>
    <row r="619">
      <c r="G619" s="241"/>
    </row>
    <row r="620">
      <c r="G620" s="241"/>
    </row>
    <row r="621">
      <c r="G621" s="241"/>
    </row>
    <row r="622">
      <c r="G622" s="241"/>
    </row>
    <row r="623">
      <c r="G623" s="241"/>
    </row>
    <row r="624">
      <c r="G624" s="241"/>
    </row>
    <row r="625">
      <c r="G625" s="241"/>
    </row>
    <row r="626">
      <c r="G626" s="241"/>
    </row>
    <row r="627">
      <c r="G627" s="241"/>
    </row>
    <row r="628">
      <c r="G628" s="241"/>
    </row>
    <row r="629">
      <c r="G629" s="241"/>
    </row>
    <row r="630">
      <c r="G630" s="241"/>
    </row>
    <row r="631">
      <c r="G631" s="241"/>
    </row>
    <row r="632">
      <c r="G632" s="241"/>
    </row>
    <row r="633">
      <c r="G633" s="241"/>
    </row>
    <row r="634">
      <c r="G634" s="241"/>
    </row>
    <row r="635">
      <c r="G635" s="241"/>
    </row>
    <row r="636">
      <c r="G636" s="241"/>
    </row>
    <row r="637">
      <c r="G637" s="241"/>
    </row>
    <row r="638">
      <c r="G638" s="241"/>
    </row>
    <row r="639">
      <c r="G639" s="241"/>
    </row>
    <row r="640">
      <c r="G640" s="241"/>
    </row>
    <row r="641">
      <c r="G641" s="241"/>
    </row>
    <row r="642">
      <c r="G642" s="241"/>
    </row>
    <row r="643">
      <c r="G643" s="241"/>
    </row>
    <row r="644">
      <c r="G644" s="241"/>
    </row>
    <row r="645">
      <c r="G645" s="241"/>
    </row>
    <row r="646">
      <c r="G646" s="241"/>
    </row>
    <row r="647">
      <c r="G647" s="241"/>
    </row>
    <row r="648">
      <c r="G648" s="241"/>
    </row>
    <row r="649">
      <c r="G649" s="241"/>
    </row>
    <row r="650">
      <c r="G650" s="241"/>
    </row>
    <row r="651">
      <c r="G651" s="241"/>
    </row>
    <row r="652">
      <c r="G652" s="241"/>
    </row>
    <row r="653">
      <c r="G653" s="241"/>
    </row>
    <row r="654">
      <c r="G654" s="241"/>
    </row>
    <row r="655">
      <c r="G655" s="241"/>
    </row>
    <row r="656">
      <c r="G656" s="241"/>
    </row>
    <row r="657">
      <c r="G657" s="241"/>
    </row>
    <row r="658">
      <c r="G658" s="241"/>
    </row>
    <row r="659">
      <c r="G659" s="241"/>
    </row>
    <row r="660">
      <c r="G660" s="241"/>
    </row>
    <row r="661">
      <c r="G661" s="241"/>
    </row>
    <row r="662">
      <c r="G662" s="241"/>
    </row>
    <row r="663">
      <c r="G663" s="241"/>
    </row>
    <row r="664">
      <c r="G664" s="241"/>
    </row>
    <row r="665">
      <c r="G665" s="241"/>
    </row>
    <row r="666">
      <c r="G666" s="241"/>
    </row>
    <row r="667">
      <c r="G667" s="241"/>
    </row>
    <row r="668">
      <c r="G668" s="241"/>
    </row>
    <row r="669">
      <c r="G669" s="241"/>
    </row>
    <row r="670">
      <c r="G670" s="241"/>
    </row>
    <row r="671">
      <c r="G671" s="241"/>
    </row>
    <row r="672">
      <c r="G672" s="241"/>
    </row>
    <row r="673">
      <c r="G673" s="241"/>
    </row>
    <row r="674">
      <c r="G674" s="241"/>
    </row>
    <row r="675">
      <c r="G675" s="241"/>
    </row>
    <row r="676">
      <c r="G676" s="241"/>
    </row>
    <row r="677">
      <c r="G677" s="241"/>
    </row>
    <row r="678">
      <c r="G678" s="241"/>
    </row>
    <row r="679">
      <c r="G679" s="241"/>
    </row>
    <row r="680">
      <c r="G680" s="241"/>
    </row>
    <row r="681">
      <c r="G681" s="241"/>
    </row>
    <row r="682">
      <c r="G682" s="241"/>
    </row>
    <row r="683">
      <c r="G683" s="241"/>
    </row>
    <row r="684">
      <c r="G684" s="241"/>
    </row>
    <row r="685">
      <c r="G685" s="241"/>
    </row>
    <row r="686">
      <c r="G686" s="241"/>
    </row>
    <row r="687">
      <c r="G687" s="241"/>
    </row>
    <row r="688">
      <c r="G688" s="241"/>
    </row>
    <row r="689">
      <c r="G689" s="241"/>
    </row>
    <row r="690">
      <c r="G690" s="241"/>
    </row>
    <row r="691">
      <c r="G691" s="241"/>
    </row>
    <row r="692">
      <c r="G692" s="241"/>
    </row>
    <row r="693">
      <c r="G693" s="241"/>
    </row>
    <row r="694">
      <c r="G694" s="241"/>
    </row>
    <row r="695">
      <c r="G695" s="241"/>
    </row>
    <row r="696">
      <c r="G696" s="241"/>
    </row>
    <row r="697">
      <c r="G697" s="241"/>
    </row>
    <row r="698">
      <c r="G698" s="241"/>
    </row>
    <row r="699">
      <c r="G699" s="241"/>
    </row>
    <row r="700">
      <c r="G700" s="241"/>
    </row>
    <row r="701">
      <c r="G701" s="241"/>
    </row>
    <row r="702">
      <c r="G702" s="241"/>
    </row>
    <row r="703">
      <c r="G703" s="241"/>
    </row>
    <row r="704">
      <c r="G704" s="241"/>
    </row>
    <row r="705">
      <c r="G705" s="241"/>
    </row>
    <row r="706">
      <c r="G706" s="241"/>
    </row>
    <row r="707">
      <c r="G707" s="241"/>
    </row>
    <row r="708">
      <c r="G708" s="241"/>
    </row>
    <row r="709">
      <c r="G709" s="241"/>
    </row>
    <row r="710">
      <c r="G710" s="241"/>
    </row>
    <row r="711">
      <c r="G711" s="241"/>
    </row>
    <row r="712">
      <c r="G712" s="241"/>
    </row>
    <row r="713">
      <c r="G713" s="241"/>
    </row>
    <row r="714">
      <c r="G714" s="241"/>
    </row>
    <row r="715">
      <c r="G715" s="241"/>
    </row>
    <row r="716">
      <c r="G716" s="241"/>
    </row>
    <row r="717">
      <c r="G717" s="241"/>
    </row>
    <row r="718">
      <c r="G718" s="241"/>
    </row>
    <row r="719">
      <c r="G719" s="241"/>
    </row>
    <row r="720">
      <c r="G720" s="241"/>
    </row>
    <row r="721">
      <c r="G721" s="241"/>
    </row>
    <row r="722">
      <c r="G722" s="241"/>
    </row>
    <row r="723">
      <c r="G723" s="241"/>
    </row>
    <row r="724">
      <c r="G724" s="241"/>
    </row>
    <row r="725">
      <c r="G725" s="241"/>
    </row>
    <row r="726">
      <c r="G726" s="241"/>
    </row>
    <row r="727">
      <c r="G727" s="241"/>
    </row>
    <row r="728">
      <c r="G728" s="241"/>
    </row>
    <row r="729">
      <c r="G729" s="241"/>
    </row>
    <row r="730">
      <c r="G730" s="241"/>
    </row>
    <row r="731">
      <c r="G731" s="241"/>
    </row>
    <row r="732">
      <c r="G732" s="241"/>
    </row>
    <row r="733">
      <c r="G733" s="241"/>
    </row>
    <row r="734">
      <c r="G734" s="241"/>
    </row>
    <row r="735">
      <c r="G735" s="241"/>
    </row>
    <row r="736">
      <c r="G736" s="241"/>
    </row>
    <row r="737">
      <c r="G737" s="241"/>
    </row>
    <row r="738">
      <c r="G738" s="241"/>
    </row>
    <row r="739">
      <c r="G739" s="241"/>
    </row>
    <row r="740">
      <c r="G740" s="241"/>
    </row>
    <row r="741">
      <c r="G741" s="241"/>
    </row>
    <row r="742">
      <c r="G742" s="241"/>
    </row>
    <row r="743">
      <c r="G743" s="241"/>
    </row>
    <row r="744">
      <c r="G744" s="241"/>
    </row>
    <row r="745">
      <c r="G745" s="241"/>
    </row>
    <row r="746">
      <c r="G746" s="241"/>
    </row>
    <row r="747">
      <c r="G747" s="241"/>
    </row>
    <row r="748">
      <c r="G748" s="241"/>
    </row>
    <row r="749">
      <c r="G749" s="241"/>
    </row>
    <row r="750">
      <c r="G750" s="241"/>
    </row>
    <row r="751">
      <c r="G751" s="241"/>
    </row>
    <row r="752">
      <c r="G752" s="241"/>
    </row>
    <row r="753">
      <c r="G753" s="241"/>
    </row>
    <row r="754">
      <c r="G754" s="241"/>
    </row>
    <row r="755">
      <c r="G755" s="241"/>
    </row>
    <row r="756">
      <c r="G756" s="241"/>
    </row>
    <row r="757">
      <c r="G757" s="241"/>
    </row>
    <row r="758">
      <c r="G758" s="241"/>
    </row>
    <row r="759">
      <c r="G759" s="241"/>
    </row>
    <row r="760">
      <c r="G760" s="241"/>
    </row>
    <row r="761">
      <c r="G761" s="241"/>
    </row>
    <row r="762">
      <c r="G762" s="241"/>
    </row>
    <row r="763">
      <c r="G763" s="241"/>
    </row>
    <row r="764">
      <c r="G764" s="241"/>
    </row>
    <row r="765">
      <c r="G765" s="241"/>
    </row>
    <row r="766">
      <c r="G766" s="241"/>
    </row>
    <row r="767">
      <c r="G767" s="241"/>
    </row>
    <row r="768">
      <c r="G768" s="241"/>
    </row>
    <row r="769">
      <c r="G769" s="241"/>
    </row>
    <row r="770">
      <c r="G770" s="241"/>
    </row>
    <row r="771">
      <c r="G771" s="241"/>
    </row>
    <row r="772">
      <c r="G772" s="241"/>
    </row>
    <row r="773">
      <c r="G773" s="241"/>
    </row>
    <row r="774">
      <c r="G774" s="241"/>
    </row>
    <row r="775">
      <c r="G775" s="241"/>
    </row>
    <row r="776">
      <c r="G776" s="241"/>
    </row>
    <row r="777">
      <c r="G777" s="241"/>
    </row>
    <row r="778">
      <c r="G778" s="241"/>
    </row>
    <row r="779">
      <c r="G779" s="241"/>
    </row>
    <row r="780">
      <c r="G780" s="241"/>
    </row>
    <row r="781">
      <c r="G781" s="241"/>
    </row>
    <row r="782">
      <c r="G782" s="241"/>
    </row>
    <row r="783">
      <c r="G783" s="241"/>
    </row>
    <row r="784">
      <c r="G784" s="241"/>
    </row>
    <row r="785">
      <c r="G785" s="241"/>
    </row>
    <row r="786">
      <c r="G786" s="241"/>
    </row>
    <row r="787">
      <c r="G787" s="241"/>
    </row>
    <row r="788">
      <c r="G788" s="241"/>
    </row>
    <row r="789">
      <c r="G789" s="241"/>
    </row>
    <row r="790">
      <c r="G790" s="241"/>
    </row>
    <row r="791">
      <c r="G791" s="241"/>
    </row>
    <row r="792">
      <c r="G792" s="241"/>
    </row>
    <row r="793">
      <c r="G793" s="241"/>
    </row>
    <row r="794">
      <c r="G794" s="241"/>
    </row>
    <row r="795">
      <c r="G795" s="241"/>
    </row>
    <row r="796">
      <c r="G796" s="241"/>
    </row>
    <row r="797">
      <c r="G797" s="241"/>
    </row>
    <row r="798">
      <c r="G798" s="241"/>
    </row>
    <row r="799">
      <c r="G799" s="241"/>
    </row>
    <row r="800">
      <c r="G800" s="241"/>
    </row>
    <row r="801">
      <c r="G801" s="241"/>
    </row>
    <row r="802">
      <c r="G802" s="241"/>
    </row>
    <row r="803">
      <c r="G803" s="241"/>
    </row>
    <row r="804">
      <c r="G804" s="241"/>
    </row>
    <row r="805">
      <c r="G805" s="241"/>
    </row>
    <row r="806">
      <c r="G806" s="241"/>
    </row>
    <row r="807">
      <c r="G807" s="241"/>
    </row>
    <row r="808">
      <c r="G808" s="241"/>
    </row>
    <row r="809">
      <c r="G809" s="241"/>
    </row>
    <row r="810">
      <c r="G810" s="241"/>
    </row>
    <row r="811">
      <c r="G811" s="241"/>
    </row>
    <row r="812">
      <c r="G812" s="241"/>
    </row>
    <row r="813">
      <c r="G813" s="241"/>
    </row>
    <row r="814">
      <c r="G814" s="241"/>
    </row>
    <row r="815">
      <c r="G815" s="241"/>
    </row>
    <row r="816">
      <c r="G816" s="241"/>
    </row>
    <row r="817">
      <c r="G817" s="241"/>
    </row>
    <row r="818">
      <c r="G818" s="241"/>
    </row>
    <row r="819">
      <c r="G819" s="241"/>
    </row>
    <row r="820">
      <c r="G820" s="241"/>
    </row>
    <row r="821">
      <c r="G821" s="241"/>
    </row>
    <row r="822">
      <c r="G822" s="241"/>
    </row>
    <row r="823">
      <c r="G823" s="241"/>
    </row>
    <row r="824">
      <c r="G824" s="241"/>
    </row>
    <row r="825">
      <c r="G825" s="241"/>
    </row>
    <row r="826">
      <c r="G826" s="241"/>
    </row>
    <row r="827">
      <c r="G827" s="241"/>
    </row>
    <row r="828">
      <c r="G828" s="241"/>
    </row>
    <row r="829">
      <c r="G829" s="241"/>
    </row>
    <row r="830">
      <c r="G830" s="241"/>
    </row>
    <row r="831">
      <c r="G831" s="241"/>
    </row>
    <row r="832">
      <c r="G832" s="241"/>
    </row>
    <row r="833">
      <c r="G833" s="241"/>
    </row>
    <row r="834">
      <c r="G834" s="241"/>
    </row>
    <row r="835">
      <c r="G835" s="241"/>
    </row>
    <row r="836">
      <c r="G836" s="241"/>
    </row>
    <row r="837">
      <c r="G837" s="241"/>
    </row>
    <row r="838">
      <c r="G838" s="241"/>
    </row>
    <row r="839">
      <c r="G839" s="241"/>
    </row>
    <row r="840">
      <c r="G840" s="241"/>
    </row>
    <row r="841">
      <c r="G841" s="241"/>
    </row>
    <row r="842">
      <c r="G842" s="241"/>
    </row>
    <row r="843">
      <c r="G843" s="241"/>
    </row>
    <row r="844">
      <c r="G844" s="241"/>
    </row>
    <row r="845">
      <c r="G845" s="241"/>
    </row>
    <row r="846">
      <c r="G846" s="241"/>
    </row>
    <row r="847">
      <c r="G847" s="241"/>
    </row>
    <row r="848">
      <c r="G848" s="241"/>
    </row>
    <row r="849">
      <c r="G849" s="241"/>
    </row>
    <row r="850">
      <c r="G850" s="241"/>
    </row>
    <row r="851">
      <c r="G851" s="241"/>
    </row>
    <row r="852">
      <c r="G852" s="241"/>
    </row>
    <row r="853">
      <c r="G853" s="241"/>
    </row>
    <row r="854">
      <c r="G854" s="241"/>
    </row>
    <row r="855">
      <c r="G855" s="241"/>
    </row>
    <row r="856">
      <c r="G856" s="241"/>
    </row>
    <row r="857">
      <c r="G857" s="241"/>
    </row>
    <row r="858">
      <c r="G858" s="241"/>
    </row>
    <row r="859">
      <c r="G859" s="241"/>
    </row>
    <row r="860">
      <c r="G860" s="241"/>
    </row>
    <row r="861">
      <c r="G861" s="241"/>
    </row>
    <row r="862">
      <c r="G862" s="241"/>
    </row>
    <row r="863">
      <c r="G863" s="241"/>
    </row>
    <row r="864">
      <c r="G864" s="241"/>
    </row>
    <row r="865">
      <c r="G865" s="241"/>
    </row>
    <row r="866">
      <c r="G866" s="241"/>
    </row>
    <row r="867">
      <c r="G867" s="241"/>
    </row>
    <row r="868">
      <c r="G868" s="241"/>
    </row>
    <row r="869">
      <c r="G869" s="241"/>
    </row>
    <row r="870">
      <c r="G870" s="241"/>
    </row>
    <row r="871">
      <c r="G871" s="241"/>
    </row>
    <row r="872">
      <c r="G872" s="241"/>
    </row>
    <row r="873">
      <c r="G873" s="241"/>
    </row>
    <row r="874">
      <c r="G874" s="241"/>
    </row>
    <row r="875">
      <c r="G875" s="241"/>
    </row>
    <row r="876">
      <c r="G876" s="241"/>
    </row>
    <row r="877">
      <c r="G877" s="241"/>
    </row>
    <row r="878">
      <c r="G878" s="241"/>
    </row>
    <row r="879">
      <c r="G879" s="241"/>
    </row>
    <row r="880">
      <c r="G880" s="241"/>
    </row>
    <row r="881">
      <c r="G881" s="241"/>
    </row>
    <row r="882">
      <c r="G882" s="241"/>
    </row>
    <row r="883">
      <c r="G883" s="241"/>
    </row>
    <row r="884">
      <c r="G884" s="241"/>
    </row>
    <row r="885">
      <c r="G885" s="241"/>
    </row>
    <row r="886">
      <c r="G886" s="241"/>
    </row>
    <row r="887">
      <c r="G887" s="241"/>
    </row>
    <row r="888">
      <c r="G888" s="241"/>
    </row>
    <row r="889">
      <c r="G889" s="241"/>
    </row>
    <row r="890">
      <c r="G890" s="241"/>
    </row>
    <row r="891">
      <c r="G891" s="241"/>
    </row>
    <row r="892">
      <c r="G892" s="241"/>
    </row>
    <row r="893">
      <c r="G893" s="241"/>
    </row>
    <row r="894">
      <c r="G894" s="241"/>
    </row>
    <row r="895">
      <c r="G895" s="241"/>
    </row>
    <row r="896">
      <c r="G896" s="241"/>
    </row>
    <row r="897">
      <c r="G897" s="241"/>
    </row>
    <row r="898">
      <c r="G898" s="241"/>
    </row>
    <row r="899">
      <c r="G899" s="241"/>
    </row>
    <row r="900">
      <c r="G900" s="241"/>
    </row>
    <row r="901">
      <c r="G901" s="241"/>
    </row>
    <row r="902">
      <c r="G902" s="241"/>
    </row>
    <row r="903">
      <c r="G903" s="241"/>
    </row>
    <row r="904">
      <c r="G904" s="241"/>
    </row>
    <row r="905">
      <c r="G905" s="241"/>
    </row>
    <row r="906">
      <c r="G906" s="241"/>
    </row>
    <row r="907">
      <c r="G907" s="241"/>
    </row>
    <row r="908">
      <c r="G908" s="241"/>
    </row>
    <row r="909">
      <c r="G909" s="241"/>
    </row>
    <row r="910">
      <c r="G910" s="241"/>
    </row>
    <row r="911">
      <c r="G911" s="241"/>
    </row>
    <row r="912">
      <c r="G912" s="241"/>
    </row>
    <row r="913">
      <c r="G913" s="241"/>
    </row>
    <row r="914">
      <c r="G914" s="241"/>
    </row>
    <row r="915">
      <c r="G915" s="241"/>
    </row>
    <row r="916">
      <c r="G916" s="241"/>
    </row>
    <row r="917">
      <c r="G917" s="241"/>
    </row>
    <row r="918">
      <c r="G918" s="241"/>
    </row>
    <row r="919">
      <c r="G919" s="241"/>
    </row>
    <row r="920">
      <c r="G920" s="241"/>
    </row>
    <row r="921">
      <c r="G921" s="241"/>
    </row>
    <row r="922">
      <c r="G922" s="241"/>
    </row>
    <row r="923">
      <c r="G923" s="241"/>
    </row>
    <row r="924">
      <c r="G924" s="241"/>
    </row>
    <row r="925">
      <c r="G925" s="241"/>
    </row>
    <row r="926">
      <c r="G926" s="241"/>
    </row>
    <row r="927">
      <c r="G927" s="241"/>
    </row>
    <row r="928">
      <c r="G928" s="241"/>
    </row>
    <row r="929">
      <c r="G929" s="241"/>
    </row>
    <row r="930">
      <c r="G930" s="241"/>
    </row>
    <row r="931">
      <c r="G931" s="241"/>
    </row>
    <row r="932">
      <c r="G932" s="241"/>
    </row>
    <row r="933">
      <c r="G933" s="241"/>
    </row>
    <row r="934">
      <c r="G934" s="241"/>
    </row>
    <row r="935">
      <c r="G935" s="241"/>
    </row>
    <row r="936">
      <c r="G936" s="241"/>
    </row>
    <row r="937">
      <c r="G937" s="241"/>
    </row>
    <row r="938">
      <c r="G938" s="241"/>
    </row>
    <row r="939">
      <c r="G939" s="241"/>
    </row>
    <row r="940">
      <c r="G940" s="241"/>
    </row>
    <row r="941">
      <c r="G941" s="241"/>
    </row>
    <row r="942">
      <c r="G942" s="241"/>
    </row>
    <row r="943">
      <c r="G943" s="241"/>
    </row>
    <row r="944">
      <c r="G944" s="241"/>
    </row>
    <row r="945">
      <c r="G945" s="241"/>
    </row>
    <row r="946">
      <c r="G946" s="241"/>
    </row>
    <row r="947">
      <c r="G947" s="241"/>
    </row>
    <row r="948">
      <c r="G948" s="241"/>
    </row>
    <row r="949">
      <c r="G949" s="241"/>
    </row>
    <row r="950">
      <c r="G950" s="241"/>
    </row>
    <row r="951">
      <c r="G951" s="241"/>
    </row>
    <row r="952">
      <c r="G952" s="241"/>
    </row>
    <row r="953">
      <c r="G953" s="241"/>
    </row>
    <row r="954">
      <c r="G954" s="241"/>
    </row>
    <row r="955">
      <c r="G955" s="241"/>
    </row>
  </sheetData>
  <mergeCells count="1">
    <mergeCell ref="B2:B5"/>
  </mergeCells>
  <conditionalFormatting sqref="C8">
    <cfRule type="cellIs" dxfId="0" priority="1" operator="between">
      <formula>"14.90%"</formula>
      <formula>"-14.90%"</formula>
    </cfRule>
  </conditionalFormatting>
  <conditionalFormatting sqref="C8">
    <cfRule type="cellIs" dxfId="1" priority="2" operator="between">
      <formula>"15%"</formula>
      <formula>"25%"</formula>
    </cfRule>
  </conditionalFormatting>
  <conditionalFormatting sqref="C8">
    <cfRule type="cellIs" dxfId="2" priority="3" operator="between">
      <formula>"25%"</formula>
      <formula>"50%"</formula>
    </cfRule>
  </conditionalFormatting>
  <conditionalFormatting sqref="C8">
    <cfRule type="cellIs" dxfId="3" priority="4" operator="greaterThan">
      <formula>"50%"</formula>
    </cfRule>
  </conditionalFormatting>
  <conditionalFormatting sqref="D8:F8">
    <cfRule type="cellIs" dxfId="0" priority="5" operator="equal">
      <formula>0</formula>
    </cfRule>
  </conditionalFormatting>
  <conditionalFormatting sqref="D8:F8">
    <cfRule type="cellIs" dxfId="1" priority="6" operator="equal">
      <formula>1</formula>
    </cfRule>
  </conditionalFormatting>
  <conditionalFormatting sqref="D8:F8">
    <cfRule type="cellIs" dxfId="2" priority="7" operator="equal">
      <formula>2</formula>
    </cfRule>
  </conditionalFormatting>
  <conditionalFormatting sqref="D8:F8">
    <cfRule type="cellIs" dxfId="3" priority="8" operator="equal">
      <formula>3</formula>
    </cfRule>
  </conditionalFormatting>
  <conditionalFormatting sqref="D8:F8">
    <cfRule type="cellIs" dxfId="4" priority="9" operator="equal">
      <formula>"?"</formula>
    </cfRule>
  </conditionalFormatting>
  <conditionalFormatting sqref="C8">
    <cfRule type="cellIs" dxfId="1" priority="10" operator="between">
      <formula>"-15%"</formula>
      <formula>"-25%"</formula>
    </cfRule>
  </conditionalFormatting>
  <conditionalFormatting sqref="C8">
    <cfRule type="cellIs" dxfId="3" priority="11" operator="lessThan">
      <formula>"-50%"</formula>
    </cfRule>
  </conditionalFormatting>
  <conditionalFormatting sqref="C8">
    <cfRule type="cellIs" dxfId="2" priority="12" operator="between">
      <formula>"-25%"</formula>
      <formula>"-50%"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58.86"/>
  </cols>
  <sheetData>
    <row r="2">
      <c r="B2" s="172" t="str">
        <f>DSW!$B$1</f>
        <v>Kenya</v>
      </c>
      <c r="C2" s="172" t="str">
        <f>DSW!$C$1</f>
        <v>Uganda</v>
      </c>
      <c r="D2" s="172" t="str">
        <f>DSW!$D$1</f>
        <v>Malawi</v>
      </c>
    </row>
    <row r="3">
      <c r="A3" s="14" t="s">
        <v>498</v>
      </c>
      <c r="B3" s="103">
        <f>DSW!B10</f>
        <v>0.056</v>
      </c>
      <c r="C3" s="103">
        <f>DSW!C10</f>
        <v>0.06130476429</v>
      </c>
      <c r="D3" s="103">
        <f>DSW!D10</f>
        <v>0.109</v>
      </c>
    </row>
    <row r="4">
      <c r="A4" s="14" t="s">
        <v>499</v>
      </c>
      <c r="B4" s="49">
        <f>DSW!B24</f>
        <v>0.01126082026</v>
      </c>
      <c r="C4" s="49">
        <f>DSW!C24</f>
        <v>0.03463446248</v>
      </c>
      <c r="D4" s="49">
        <f>DSW!D24</f>
        <v>0.04151153294</v>
      </c>
    </row>
    <row r="6">
      <c r="B6" s="172" t="str">
        <f>DSW!$B$1</f>
        <v>Kenya</v>
      </c>
      <c r="C6" s="172" t="str">
        <f>DSW!$C$1</f>
        <v>Uganda</v>
      </c>
      <c r="D6" s="172" t="str">
        <f>DSW!$D$1</f>
        <v>Malawi</v>
      </c>
    </row>
    <row r="7">
      <c r="A7" s="14" t="s">
        <v>500</v>
      </c>
      <c r="B7" s="103">
        <f>DSW!B33</f>
        <v>0.08574519788</v>
      </c>
      <c r="C7" s="103">
        <f>DSW!C33</f>
        <v>0.1378068194</v>
      </c>
      <c r="D7" s="103">
        <f>DSW!D33</f>
        <v>0.1784998775</v>
      </c>
    </row>
    <row r="9">
      <c r="B9" s="172" t="str">
        <f>DSW!$B$1</f>
        <v>Kenya</v>
      </c>
      <c r="C9" s="172" t="str">
        <f>DSW!$C$1</f>
        <v>Uganda</v>
      </c>
      <c r="D9" s="172" t="str">
        <f>DSW!$D$1</f>
        <v>Malawi</v>
      </c>
    </row>
    <row r="10">
      <c r="A10" s="14" t="s">
        <v>501</v>
      </c>
      <c r="B10" s="51">
        <f>DSW!B49</f>
        <v>555.0866184</v>
      </c>
      <c r="C10" s="51">
        <f>DSW!C49</f>
        <v>553.2601254</v>
      </c>
      <c r="D10" s="51">
        <f>DSW!D49</f>
        <v>1097.470286</v>
      </c>
    </row>
    <row r="12">
      <c r="B12" s="172" t="str">
        <f>DSW!$B$1</f>
        <v>Kenya</v>
      </c>
      <c r="C12" s="172" t="str">
        <f>DSW!$C$1</f>
        <v>Uganda</v>
      </c>
      <c r="D12" s="172" t="str">
        <f>DSW!$D$1</f>
        <v>Malawi</v>
      </c>
    </row>
    <row r="13">
      <c r="A13" s="14" t="s">
        <v>125</v>
      </c>
      <c r="B13" s="242">
        <f>DSW!B62</f>
        <v>4.212399549</v>
      </c>
      <c r="C13" s="242">
        <f>DSW!C62</f>
        <v>3.197444631</v>
      </c>
      <c r="D13" s="242">
        <f>DSW!D62</f>
        <v>4.544095436</v>
      </c>
    </row>
    <row r="14">
      <c r="A14" t="str">
        <f>DSW!A70</f>
        <v>Units of value per 100,000 covered</v>
      </c>
      <c r="B14" s="51">
        <f>DSW!B70</f>
        <v>906.3713038</v>
      </c>
      <c r="C14" s="51">
        <f>DSW!C70</f>
        <v>736.9747971</v>
      </c>
      <c r="D14" s="51">
        <f>DSW!D70</f>
        <v>1632.356923</v>
      </c>
    </row>
    <row r="16">
      <c r="B16" s="172" t="str">
        <f>DSW!$B$1</f>
        <v>Kenya</v>
      </c>
      <c r="C16" s="172" t="str">
        <f>DSW!$C$1</f>
        <v>Uganda</v>
      </c>
      <c r="D16" s="172" t="str">
        <f>DSW!$D$1</f>
        <v>Malawi</v>
      </c>
    </row>
    <row r="17">
      <c r="A17" t="str">
        <f>DSW!A74</f>
        <v>Annual cost per person served</v>
      </c>
      <c r="B17" s="226">
        <f>DSW!B74</f>
        <v>1.676032735</v>
      </c>
      <c r="C17" s="242">
        <f>DSW!C74</f>
        <v>1.216049303</v>
      </c>
      <c r="D17" s="242">
        <f>DSW!D74</f>
        <v>1.857356006</v>
      </c>
    </row>
  </sheetData>
  <drawing r:id="rId1"/>
</worksheet>
</file>